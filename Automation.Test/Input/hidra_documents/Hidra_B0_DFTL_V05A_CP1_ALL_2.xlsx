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alan_lee6/Desktop/hidra_documents/B0_V05A/CP1/"/>
    </mc:Choice>
  </mc:AlternateContent>
  <xr:revisionPtr revIDLastSave="0" documentId="8_{A652F913-76FD-4244-8DD6-55EC3FB926EB}" xr6:coauthVersionLast="47" xr6:coauthVersionMax="47" xr10:uidLastSave="{00000000-0000-0000-0000-000000000000}"/>
  <bookViews>
    <workbookView xWindow="44620" yWindow="6700" windowWidth="53020" windowHeight="20420" xr2:uid="{6EC5A330-EE0A-0847-90D8-ECA5EF940478}"/>
  </bookViews>
  <sheets>
    <sheet name="V04A_PROD_DFTL" sheetId="20" r:id="rId1"/>
  </sheets>
  <definedNames>
    <definedName name="_xlnm._FilterDatabase" localSheetId="0" hidden="1">V04A_PROD_DFTL!$A$2:$CI$127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93" i="20" l="1"/>
  <c r="P94" i="20"/>
  <c r="P95" i="20"/>
  <c r="P96" i="20"/>
  <c r="P97" i="20"/>
  <c r="P98" i="20"/>
  <c r="P99" i="20"/>
  <c r="P100" i="20"/>
  <c r="P101" i="20"/>
  <c r="P102" i="20"/>
  <c r="P103" i="20"/>
  <c r="P104" i="20"/>
  <c r="P105" i="20"/>
  <c r="P106" i="20"/>
  <c r="P107" i="20"/>
  <c r="P108" i="20"/>
  <c r="P109" i="20"/>
  <c r="P110" i="20"/>
  <c r="P111" i="20"/>
  <c r="P112" i="20"/>
  <c r="P113" i="20"/>
  <c r="P114" i="20"/>
  <c r="P115" i="20"/>
  <c r="P116" i="20"/>
  <c r="P117" i="20"/>
  <c r="P118" i="20"/>
  <c r="P119" i="20"/>
  <c r="P120" i="20"/>
  <c r="P121" i="20"/>
  <c r="P122" i="20"/>
  <c r="P123" i="20"/>
  <c r="P124" i="20"/>
  <c r="P125" i="20"/>
  <c r="P126" i="20"/>
  <c r="P127" i="20"/>
  <c r="P92" i="20"/>
  <c r="P70" i="20" l="1"/>
  <c r="P73" i="20"/>
  <c r="P74" i="20"/>
  <c r="P81" i="20"/>
  <c r="P62" i="20"/>
  <c r="S62" i="20" a="1"/>
  <c r="S62" i="20" s="1"/>
  <c r="T62" i="20" a="1"/>
  <c r="T62" i="20" s="1"/>
  <c r="BZ62" i="20" a="1"/>
  <c r="BZ62" i="20" s="1"/>
  <c r="CD62" i="20"/>
  <c r="P63" i="20"/>
  <c r="S63" i="20" a="1"/>
  <c r="S63" i="20" s="1"/>
  <c r="T63" i="20" a="1"/>
  <c r="T63" i="20" s="1"/>
  <c r="BZ63" i="20" a="1"/>
  <c r="BZ63" i="20" s="1"/>
  <c r="CD63" i="20"/>
  <c r="CD61" i="20"/>
  <c r="BZ61" i="20" a="1"/>
  <c r="BZ61" i="20" s="1"/>
  <c r="T61" i="20" a="1"/>
  <c r="T61" i="20" s="1"/>
  <c r="S61" i="20" a="1"/>
  <c r="S61" i="20" s="1"/>
  <c r="P61" i="20"/>
  <c r="CD67" i="20"/>
  <c r="CC67" i="20"/>
  <c r="P67" i="20"/>
  <c r="P60" i="20" l="1"/>
  <c r="P69" i="20"/>
  <c r="P66" i="20"/>
  <c r="P32" i="20"/>
  <c r="P31" i="20"/>
  <c r="P30" i="20"/>
  <c r="P29" i="20"/>
  <c r="P28" i="20"/>
  <c r="CD60" i="20"/>
  <c r="CC60" i="20"/>
  <c r="P84" i="20" l="1"/>
  <c r="P5" i="20"/>
  <c r="P80" i="20"/>
  <c r="P57" i="20"/>
  <c r="P59" i="20"/>
  <c r="P3" i="20"/>
  <c r="P13" i="20"/>
  <c r="P11" i="20"/>
  <c r="P12" i="20"/>
  <c r="P83" i="20"/>
  <c r="P85" i="20"/>
  <c r="P82" i="20"/>
  <c r="P88" i="20"/>
  <c r="P17" i="20"/>
  <c r="P18" i="20"/>
  <c r="P86" i="20"/>
  <c r="P89" i="20"/>
  <c r="P21" i="20"/>
  <c r="P22" i="20"/>
  <c r="P90" i="20"/>
  <c r="P91" i="20"/>
  <c r="P27" i="20"/>
  <c r="P14" i="20"/>
  <c r="P24" i="20"/>
  <c r="P37" i="20"/>
  <c r="P38" i="20"/>
  <c r="P39" i="20"/>
  <c r="P40" i="20"/>
  <c r="P64" i="20"/>
  <c r="P65" i="20"/>
  <c r="P43" i="20"/>
  <c r="P44" i="20"/>
  <c r="P45" i="20"/>
  <c r="P46" i="20"/>
  <c r="P47" i="20"/>
  <c r="P48" i="20"/>
  <c r="P49" i="20"/>
  <c r="P50" i="20"/>
  <c r="P68" i="20"/>
  <c r="P33" i="20"/>
  <c r="P34" i="20"/>
  <c r="P35" i="20"/>
  <c r="P36" i="20"/>
  <c r="P41" i="20"/>
  <c r="P42" i="20"/>
  <c r="P51" i="20"/>
  <c r="P52" i="20"/>
  <c r="P53" i="20"/>
  <c r="P54" i="20"/>
  <c r="P55" i="20"/>
  <c r="P56" i="20"/>
  <c r="P71" i="20"/>
  <c r="P26" i="20"/>
  <c r="P15" i="20"/>
  <c r="P16" i="20"/>
  <c r="P19" i="20"/>
  <c r="P20" i="20"/>
  <c r="P23" i="20"/>
  <c r="P25" i="20"/>
  <c r="P72" i="20"/>
  <c r="P58" i="20"/>
  <c r="P4" i="20"/>
  <c r="P6" i="20"/>
  <c r="P7" i="20"/>
  <c r="P8" i="20"/>
  <c r="P9" i="20"/>
  <c r="P10" i="20"/>
  <c r="P75" i="20"/>
  <c r="P76" i="20"/>
  <c r="P77" i="20"/>
  <c r="P78" i="20"/>
  <c r="P79" i="20"/>
  <c r="CD79" i="20"/>
  <c r="CC79" i="20"/>
  <c r="CD10" i="20"/>
  <c r="CC10" i="20"/>
  <c r="CD9" i="20"/>
  <c r="CC9" i="20"/>
  <c r="CD8" i="20"/>
  <c r="CC8" i="20"/>
  <c r="CD7" i="20"/>
  <c r="CC7" i="20"/>
  <c r="CD6" i="20"/>
  <c r="CC6" i="20"/>
  <c r="CD4" i="20"/>
  <c r="CC4" i="20"/>
  <c r="CD58" i="20" l="1"/>
  <c r="CC58" i="20"/>
  <c r="CD72" i="20"/>
  <c r="CC72" i="20"/>
  <c r="S84" i="20" l="1" a="1"/>
  <c r="S84" i="20" s="1"/>
  <c r="T84" i="20" a="1"/>
  <c r="T84" i="20" s="1"/>
  <c r="S5" i="20" a="1"/>
  <c r="S5" i="20" s="1"/>
  <c r="T5" i="20" a="1"/>
  <c r="T5" i="20" s="1"/>
  <c r="S80" i="20" a="1"/>
  <c r="S80" i="20" s="1"/>
  <c r="T80" i="20" a="1"/>
  <c r="T80" i="20" s="1"/>
  <c r="S57" i="20" a="1"/>
  <c r="S57" i="20" s="1"/>
  <c r="T57" i="20" a="1"/>
  <c r="T57" i="20" s="1"/>
  <c r="S59" i="20" a="1"/>
  <c r="S59" i="20" s="1"/>
  <c r="T59" i="20" a="1"/>
  <c r="T59" i="20" s="1"/>
  <c r="S3" i="20" a="1"/>
  <c r="S3" i="20" s="1"/>
  <c r="T3" i="20" a="1"/>
  <c r="T3" i="20" s="1"/>
  <c r="S13" i="20" a="1"/>
  <c r="S13" i="20" s="1"/>
  <c r="T13" i="20" a="1"/>
  <c r="T13" i="20" s="1"/>
  <c r="S11" i="20" a="1"/>
  <c r="S11" i="20" s="1"/>
  <c r="T11" i="20" a="1"/>
  <c r="T11" i="20" s="1"/>
  <c r="S12" i="20" a="1"/>
  <c r="S12" i="20" s="1"/>
  <c r="T12" i="20" a="1"/>
  <c r="T12" i="20" s="1"/>
  <c r="S83" i="20" a="1"/>
  <c r="S83" i="20" s="1"/>
  <c r="T83" i="20" a="1"/>
  <c r="T83" i="20" s="1"/>
  <c r="S85" i="20" a="1"/>
  <c r="S85" i="20" s="1"/>
  <c r="T85" i="20" a="1"/>
  <c r="T85" i="20" s="1"/>
  <c r="S82" i="20" a="1"/>
  <c r="S82" i="20" s="1"/>
  <c r="T82" i="20" a="1"/>
  <c r="T82" i="20" s="1"/>
  <c r="S88" i="20" a="1"/>
  <c r="S88" i="20" s="1"/>
  <c r="T88" i="20" a="1"/>
  <c r="T88" i="20" s="1"/>
  <c r="S17" i="20" a="1"/>
  <c r="S17" i="20" s="1"/>
  <c r="T17" i="20" a="1"/>
  <c r="T17" i="20" s="1"/>
  <c r="S18" i="20" a="1"/>
  <c r="S18" i="20" s="1"/>
  <c r="T18" i="20" a="1"/>
  <c r="T18" i="20" s="1"/>
  <c r="S86" i="20" a="1"/>
  <c r="S86" i="20" s="1"/>
  <c r="T86" i="20" a="1"/>
  <c r="T86" i="20" s="1"/>
  <c r="S89" i="20" a="1"/>
  <c r="S89" i="20" s="1"/>
  <c r="T89" i="20" a="1"/>
  <c r="T89" i="20" s="1"/>
  <c r="S21" i="20" a="1"/>
  <c r="S21" i="20" s="1"/>
  <c r="T21" i="20" a="1"/>
  <c r="T21" i="20" s="1"/>
  <c r="S22" i="20" a="1"/>
  <c r="S22" i="20" s="1"/>
  <c r="T22" i="20" a="1"/>
  <c r="T22" i="20" s="1"/>
  <c r="S90" i="20" a="1"/>
  <c r="S90" i="20" s="1"/>
  <c r="T90" i="20" a="1"/>
  <c r="T90" i="20" s="1"/>
  <c r="S92" i="20" a="1"/>
  <c r="S92" i="20" s="1"/>
  <c r="T92" i="20" a="1"/>
  <c r="T92" i="20" s="1"/>
  <c r="S91" i="20" a="1"/>
  <c r="S91" i="20" s="1"/>
  <c r="T91" i="20" a="1"/>
  <c r="T91" i="20" s="1"/>
  <c r="S93" i="20" a="1"/>
  <c r="S93" i="20" s="1"/>
  <c r="T93" i="20" a="1"/>
  <c r="T93" i="20" s="1"/>
  <c r="S27" i="20" a="1"/>
  <c r="S27" i="20" s="1"/>
  <c r="T27" i="20" a="1"/>
  <c r="T27" i="20" s="1"/>
  <c r="S28" i="20" a="1"/>
  <c r="S28" i="20" s="1"/>
  <c r="T28" i="20" a="1"/>
  <c r="T28" i="20" s="1"/>
  <c r="S29" i="20" a="1"/>
  <c r="S29" i="20" s="1"/>
  <c r="T29" i="20" a="1"/>
  <c r="T29" i="20" s="1"/>
  <c r="S30" i="20" a="1"/>
  <c r="S30" i="20" s="1"/>
  <c r="T30" i="20" a="1"/>
  <c r="T30" i="20" s="1"/>
  <c r="S31" i="20" a="1"/>
  <c r="S31" i="20" s="1"/>
  <c r="T31" i="20" a="1"/>
  <c r="T31" i="20" s="1"/>
  <c r="S32" i="20" a="1"/>
  <c r="S32" i="20" s="1"/>
  <c r="T32" i="20" a="1"/>
  <c r="T32" i="20" s="1"/>
  <c r="S66" i="20" a="1"/>
  <c r="S66" i="20" s="1"/>
  <c r="T66" i="20" a="1"/>
  <c r="T66" i="20" s="1"/>
  <c r="S69" i="20" a="1"/>
  <c r="S69" i="20" s="1"/>
  <c r="T69" i="20" a="1"/>
  <c r="T69" i="20" s="1"/>
  <c r="S14" i="20" a="1"/>
  <c r="S14" i="20" s="1"/>
  <c r="T14" i="20" a="1"/>
  <c r="T14" i="20" s="1"/>
  <c r="S24" i="20" a="1"/>
  <c r="S24" i="20" s="1"/>
  <c r="T24" i="20" a="1"/>
  <c r="T24" i="20" s="1"/>
  <c r="S37" i="20" a="1"/>
  <c r="S37" i="20" s="1"/>
  <c r="T37" i="20" a="1"/>
  <c r="T37" i="20" s="1"/>
  <c r="S38" i="20" a="1"/>
  <c r="S38" i="20" s="1"/>
  <c r="T38" i="20" a="1"/>
  <c r="T38" i="20" s="1"/>
  <c r="S39" i="20" a="1"/>
  <c r="S39" i="20" s="1"/>
  <c r="T39" i="20" a="1"/>
  <c r="T39" i="20" s="1"/>
  <c r="S40" i="20" a="1"/>
  <c r="S40" i="20" s="1"/>
  <c r="T40" i="20" a="1"/>
  <c r="T40" i="20" s="1"/>
  <c r="S64" i="20" a="1"/>
  <c r="S64" i="20" s="1"/>
  <c r="T64" i="20" a="1"/>
  <c r="T64" i="20" s="1"/>
  <c r="S65" i="20" a="1"/>
  <c r="S65" i="20" s="1"/>
  <c r="T65" i="20" a="1"/>
  <c r="T65" i="20" s="1"/>
  <c r="S43" i="20" a="1"/>
  <c r="S43" i="20" s="1"/>
  <c r="T43" i="20" a="1"/>
  <c r="T43" i="20" s="1"/>
  <c r="S44" i="20" a="1"/>
  <c r="S44" i="20" s="1"/>
  <c r="T44" i="20" a="1"/>
  <c r="T44" i="20" s="1"/>
  <c r="S45" i="20" a="1"/>
  <c r="S45" i="20" s="1"/>
  <c r="T45" i="20" a="1"/>
  <c r="T45" i="20" s="1"/>
  <c r="S46" i="20" a="1"/>
  <c r="S46" i="20" s="1"/>
  <c r="T46" i="20" a="1"/>
  <c r="T46" i="20" s="1"/>
  <c r="S47" i="20" a="1"/>
  <c r="S47" i="20" s="1"/>
  <c r="T47" i="20" a="1"/>
  <c r="T47" i="20" s="1"/>
  <c r="S48" i="20" a="1"/>
  <c r="S48" i="20" s="1"/>
  <c r="T48" i="20" a="1"/>
  <c r="T48" i="20" s="1"/>
  <c r="S49" i="20" a="1"/>
  <c r="S49" i="20" s="1"/>
  <c r="T49" i="20" a="1"/>
  <c r="T49" i="20" s="1"/>
  <c r="S50" i="20" a="1"/>
  <c r="S50" i="20" s="1"/>
  <c r="T50" i="20" a="1"/>
  <c r="T50" i="20" s="1"/>
  <c r="S68" i="20" a="1"/>
  <c r="S68" i="20" s="1"/>
  <c r="T68" i="20" a="1"/>
  <c r="T68" i="20" s="1"/>
  <c r="S33" i="20" a="1"/>
  <c r="S33" i="20" s="1"/>
  <c r="T33" i="20" a="1"/>
  <c r="T33" i="20" s="1"/>
  <c r="S34" i="20" a="1"/>
  <c r="S34" i="20" s="1"/>
  <c r="T34" i="20" a="1"/>
  <c r="T34" i="20" s="1"/>
  <c r="S35" i="20" a="1"/>
  <c r="S35" i="20" s="1"/>
  <c r="T35" i="20" a="1"/>
  <c r="T35" i="20" s="1"/>
  <c r="S36" i="20" a="1"/>
  <c r="S36" i="20" s="1"/>
  <c r="T36" i="20" a="1"/>
  <c r="T36" i="20" s="1"/>
  <c r="S41" i="20" a="1"/>
  <c r="S41" i="20" s="1"/>
  <c r="T41" i="20" a="1"/>
  <c r="T41" i="20" s="1"/>
  <c r="S42" i="20" a="1"/>
  <c r="S42" i="20" s="1"/>
  <c r="T42" i="20" a="1"/>
  <c r="T42" i="20" s="1"/>
  <c r="S51" i="20" a="1"/>
  <c r="S51" i="20" s="1"/>
  <c r="T51" i="20" a="1"/>
  <c r="T51" i="20" s="1"/>
  <c r="S52" i="20" a="1"/>
  <c r="S52" i="20" s="1"/>
  <c r="T52" i="20" a="1"/>
  <c r="T52" i="20" s="1"/>
  <c r="S53" i="20" a="1"/>
  <c r="S53" i="20" s="1"/>
  <c r="T53" i="20" a="1"/>
  <c r="T53" i="20" s="1"/>
  <c r="S54" i="20" a="1"/>
  <c r="S54" i="20" s="1"/>
  <c r="T54" i="20" a="1"/>
  <c r="T54" i="20" s="1"/>
  <c r="S55" i="20" a="1"/>
  <c r="S55" i="20" s="1"/>
  <c r="T55" i="20" a="1"/>
  <c r="T55" i="20" s="1"/>
  <c r="S56" i="20" a="1"/>
  <c r="S56" i="20" s="1"/>
  <c r="T56" i="20" a="1"/>
  <c r="T56" i="20" s="1"/>
  <c r="S71" i="20" a="1"/>
  <c r="S71" i="20" s="1"/>
  <c r="T71" i="20" a="1"/>
  <c r="T71" i="20" s="1"/>
  <c r="S26" i="20" a="1"/>
  <c r="S26" i="20" s="1"/>
  <c r="T26" i="20" a="1"/>
  <c r="T26" i="20" s="1"/>
  <c r="T87" i="20" a="1"/>
  <c r="T87" i="20" s="1"/>
  <c r="S87" i="20" a="1"/>
  <c r="S87" i="20" s="1"/>
  <c r="BZ84" i="20" a="1"/>
  <c r="BZ84" i="20" s="1"/>
  <c r="BZ5" i="20" a="1"/>
  <c r="BZ5" i="20" s="1"/>
  <c r="BZ80" i="20" a="1"/>
  <c r="BZ80" i="20" s="1"/>
  <c r="BZ57" i="20" a="1"/>
  <c r="BZ57" i="20" s="1"/>
  <c r="BZ59" i="20" a="1"/>
  <c r="BZ59" i="20" s="1"/>
  <c r="BZ3" i="20" a="1"/>
  <c r="BZ3" i="20" s="1"/>
  <c r="BZ13" i="20" a="1"/>
  <c r="BZ13" i="20" s="1"/>
  <c r="BZ11" i="20" a="1"/>
  <c r="BZ11" i="20" s="1"/>
  <c r="BZ12" i="20" a="1"/>
  <c r="BZ12" i="20" s="1"/>
  <c r="BZ83" i="20" a="1"/>
  <c r="BZ83" i="20" s="1"/>
  <c r="BZ85" i="20" a="1"/>
  <c r="BZ85" i="20" s="1"/>
  <c r="BZ82" i="20" a="1"/>
  <c r="BZ82" i="20" s="1"/>
  <c r="BZ88" i="20" a="1"/>
  <c r="BZ88" i="20" s="1"/>
  <c r="BZ17" i="20" a="1"/>
  <c r="BZ17" i="20" s="1"/>
  <c r="BZ18" i="20" a="1"/>
  <c r="BZ18" i="20" s="1"/>
  <c r="BZ86" i="20" a="1"/>
  <c r="BZ86" i="20" s="1"/>
  <c r="BZ89" i="20" a="1"/>
  <c r="BZ89" i="20" s="1"/>
  <c r="BZ21" i="20" a="1"/>
  <c r="BZ21" i="20" s="1"/>
  <c r="BZ22" i="20" a="1"/>
  <c r="BZ22" i="20" s="1"/>
  <c r="BZ90" i="20" a="1"/>
  <c r="BZ90" i="20" s="1"/>
  <c r="BZ92" i="20" a="1"/>
  <c r="BZ92" i="20" s="1"/>
  <c r="BZ91" i="20" a="1"/>
  <c r="BZ91" i="20" s="1"/>
  <c r="BZ93" i="20" a="1"/>
  <c r="BZ93" i="20" s="1"/>
  <c r="BZ27" i="20" a="1"/>
  <c r="BZ27" i="20" s="1"/>
  <c r="BZ28" i="20" a="1"/>
  <c r="BZ28" i="20" s="1"/>
  <c r="BZ29" i="20" a="1"/>
  <c r="BZ29" i="20" s="1"/>
  <c r="BZ30" i="20" a="1"/>
  <c r="BZ30" i="20" s="1"/>
  <c r="BZ31" i="20" a="1"/>
  <c r="BZ31" i="20" s="1"/>
  <c r="BZ32" i="20" a="1"/>
  <c r="BZ32" i="20" s="1"/>
  <c r="BZ66" i="20" a="1"/>
  <c r="BZ66" i="20" s="1"/>
  <c r="BZ69" i="20" a="1"/>
  <c r="BZ69" i="20" s="1"/>
  <c r="BZ14" i="20" a="1"/>
  <c r="BZ14" i="20" s="1"/>
  <c r="BZ24" i="20" a="1"/>
  <c r="BZ24" i="20" s="1"/>
  <c r="BZ37" i="20" a="1"/>
  <c r="BZ37" i="20" s="1"/>
  <c r="BZ38" i="20" a="1"/>
  <c r="BZ38" i="20" s="1"/>
  <c r="BZ39" i="20" a="1"/>
  <c r="BZ39" i="20" s="1"/>
  <c r="BZ40" i="20" a="1"/>
  <c r="BZ40" i="20" s="1"/>
  <c r="BZ64" i="20" a="1"/>
  <c r="BZ64" i="20" s="1"/>
  <c r="BZ65" i="20" a="1"/>
  <c r="BZ65" i="20" s="1"/>
  <c r="BZ43" i="20" a="1"/>
  <c r="BZ43" i="20" s="1"/>
  <c r="BZ44" i="20" a="1"/>
  <c r="BZ44" i="20" s="1"/>
  <c r="BZ45" i="20" a="1"/>
  <c r="BZ45" i="20" s="1"/>
  <c r="BZ46" i="20" a="1"/>
  <c r="BZ46" i="20" s="1"/>
  <c r="BZ47" i="20" a="1"/>
  <c r="BZ47" i="20" s="1"/>
  <c r="BZ48" i="20" a="1"/>
  <c r="BZ48" i="20" s="1"/>
  <c r="BZ49" i="20" a="1"/>
  <c r="BZ49" i="20" s="1"/>
  <c r="BZ50" i="20" a="1"/>
  <c r="BZ50" i="20" s="1"/>
  <c r="BZ68" i="20" a="1"/>
  <c r="BZ68" i="20" s="1"/>
  <c r="BZ33" i="20" a="1"/>
  <c r="BZ33" i="20" s="1"/>
  <c r="BZ34" i="20" a="1"/>
  <c r="BZ34" i="20" s="1"/>
  <c r="BZ35" i="20" a="1"/>
  <c r="BZ35" i="20" s="1"/>
  <c r="BZ36" i="20" a="1"/>
  <c r="BZ36" i="20" s="1"/>
  <c r="BZ41" i="20" a="1"/>
  <c r="BZ41" i="20" s="1"/>
  <c r="BZ42" i="20" a="1"/>
  <c r="BZ42" i="20" s="1"/>
  <c r="BZ51" i="20" a="1"/>
  <c r="BZ51" i="20" s="1"/>
  <c r="BZ52" i="20" a="1"/>
  <c r="BZ52" i="20" s="1"/>
  <c r="BZ53" i="20" a="1"/>
  <c r="BZ53" i="20" s="1"/>
  <c r="BZ54" i="20" a="1"/>
  <c r="BZ54" i="20" s="1"/>
  <c r="BZ55" i="20" a="1"/>
  <c r="BZ55" i="20" s="1"/>
  <c r="BZ56" i="20" a="1"/>
  <c r="BZ56" i="20" s="1"/>
  <c r="BZ71" i="20" a="1"/>
  <c r="BZ71" i="20" s="1"/>
  <c r="BZ26" i="20" a="1"/>
  <c r="BZ26" i="20" s="1"/>
  <c r="BZ87" i="20" a="1"/>
  <c r="BZ87" i="20" s="1"/>
  <c r="CD26" i="20"/>
  <c r="CC26" i="20"/>
  <c r="CD14" i="20"/>
  <c r="CC14" i="20"/>
  <c r="CD84" i="20" l="1"/>
  <c r="CD5" i="20"/>
  <c r="CD80" i="20"/>
  <c r="CD57" i="20"/>
  <c r="CD59" i="20"/>
  <c r="CD3" i="20"/>
  <c r="CD13" i="20"/>
  <c r="CD11" i="20"/>
  <c r="CD12" i="20"/>
  <c r="CD83" i="20"/>
  <c r="CD85" i="20"/>
  <c r="CD82" i="20"/>
  <c r="CD88" i="20"/>
  <c r="CD17" i="20"/>
  <c r="CD18" i="20"/>
  <c r="CD86" i="20"/>
  <c r="CD89" i="20"/>
  <c r="CD21" i="20"/>
  <c r="CD22" i="20"/>
  <c r="CD90" i="20"/>
  <c r="CD92" i="20"/>
  <c r="CD91" i="20"/>
  <c r="CD93" i="20"/>
  <c r="CD27" i="20"/>
  <c r="CD28" i="20"/>
  <c r="CD29" i="20"/>
  <c r="CD30" i="20"/>
  <c r="CD31" i="20"/>
  <c r="CD32" i="20"/>
  <c r="CD66" i="20"/>
  <c r="CD69" i="20"/>
  <c r="CD71" i="20"/>
  <c r="CD24" i="20"/>
  <c r="CD64" i="20"/>
  <c r="CD65" i="20"/>
  <c r="CD68" i="20"/>
  <c r="CD37" i="20"/>
  <c r="CD38" i="20"/>
  <c r="CD39" i="20"/>
  <c r="CD40" i="20"/>
  <c r="CD43" i="20"/>
  <c r="CD44" i="20"/>
  <c r="CD45" i="20"/>
  <c r="CD46" i="20"/>
  <c r="CD47" i="20"/>
  <c r="CD48" i="20"/>
  <c r="CD49" i="20"/>
  <c r="CD50" i="20"/>
  <c r="CD33" i="20"/>
  <c r="CD55" i="20"/>
  <c r="CD56" i="20"/>
  <c r="CD34" i="20"/>
  <c r="CD35" i="20"/>
  <c r="CD36" i="20"/>
  <c r="CD41" i="20"/>
  <c r="CD42" i="20"/>
  <c r="CD51" i="20"/>
  <c r="CD52" i="20"/>
  <c r="CD53" i="20"/>
  <c r="CD54" i="20"/>
  <c r="CD87" i="20"/>
  <c r="P87" i="20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<sst xmlns="http://schemas.openxmlformats.org/spreadsheetml/2006/main" count="3247" uniqueCount="395">
  <si>
    <t>Domain</t>
  </si>
  <si>
    <t>Sweep</t>
  </si>
  <si>
    <t>Perf Mode</t>
  </si>
  <si>
    <t>TEST</t>
  </si>
  <si>
    <t>Cluster</t>
  </si>
  <si>
    <t>Categorization Requirement</t>
  </si>
  <si>
    <t>IP Use</t>
  </si>
  <si>
    <t>VDDPCPU</t>
  </si>
  <si>
    <t>VDDECPU</t>
  </si>
  <si>
    <t>VDDGPU</t>
  </si>
  <si>
    <t>VDDSOC</t>
  </si>
  <si>
    <t>VDDDCSDDR</t>
  </si>
  <si>
    <t>VDDDISP</t>
  </si>
  <si>
    <t>VDDCPUSRAM</t>
  </si>
  <si>
    <t>VDDSRAMGPU</t>
  </si>
  <si>
    <t>VDDCIO</t>
  </si>
  <si>
    <t>Search</t>
  </si>
  <si>
    <t>Nominal</t>
  </si>
  <si>
    <t>Use/Not Use</t>
  </si>
  <si>
    <t>Updated</t>
  </si>
  <si>
    <t>Priority</t>
  </si>
  <si>
    <t>Comments</t>
  </si>
  <si>
    <t>USERDEF1</t>
  </si>
  <si>
    <t>USERDEF2</t>
  </si>
  <si>
    <t>USERDEF3</t>
  </si>
  <si>
    <t>GROUP</t>
  </si>
  <si>
    <t>CATEGORY</t>
  </si>
  <si>
    <t>USERDEF4</t>
  </si>
  <si>
    <t>USERDEF5</t>
  </si>
  <si>
    <t>USERDEF6</t>
  </si>
  <si>
    <t>USERDEF7</t>
  </si>
  <si>
    <t>USERDEF8</t>
  </si>
  <si>
    <t>USERDEF9</t>
  </si>
  <si>
    <t>TP name(TE use suffix)</t>
  </si>
  <si>
    <t>Test Items</t>
  </si>
  <si>
    <t>Description</t>
  </si>
  <si>
    <t>USL</t>
  </si>
  <si>
    <t>LSL</t>
  </si>
  <si>
    <t>Units</t>
  </si>
  <si>
    <t>Init1</t>
  </si>
  <si>
    <t>Init2</t>
  </si>
  <si>
    <t>Init3</t>
  </si>
  <si>
    <t>Init4</t>
  </si>
  <si>
    <t>Init5</t>
  </si>
  <si>
    <t>Init6</t>
  </si>
  <si>
    <t>Init7</t>
  </si>
  <si>
    <t>Init8</t>
  </si>
  <si>
    <t>Init9</t>
  </si>
  <si>
    <t>Init10</t>
  </si>
  <si>
    <t>Payload1</t>
  </si>
  <si>
    <t>Payload2</t>
  </si>
  <si>
    <t>Payload3</t>
  </si>
  <si>
    <t>Payload4</t>
  </si>
  <si>
    <t>Payload5</t>
  </si>
  <si>
    <t>Other Supplies</t>
  </si>
  <si>
    <t>Start</t>
  </si>
  <si>
    <t>Stop</t>
  </si>
  <si>
    <t>Step</t>
  </si>
  <si>
    <t>Method</t>
  </si>
  <si>
    <t>LVCC/HVCC Target</t>
  </si>
  <si>
    <t>Voltage</t>
  </si>
  <si>
    <t>RetentionTime</t>
  </si>
  <si>
    <t>HTOL</t>
  </si>
  <si>
    <t>TTR</t>
  </si>
  <si>
    <t>DFC</t>
  </si>
  <si>
    <t>Use</t>
  </si>
  <si>
    <t>SOC</t>
  </si>
  <si>
    <t>LOW</t>
  </si>
  <si>
    <t>MSXXXX</t>
  </si>
  <si>
    <t>PRC</t>
  </si>
  <si>
    <t>X</t>
  </si>
  <si>
    <t>V</t>
  </si>
  <si>
    <t>PP_HIDA0_S_IN01_SC_CXXX_XXX_XXX_AUT_MSX000_SI_RESET_PWR</t>
  </si>
  <si>
    <t>PP_HIDA0_S_IN02_SC_CXXX_XXX_XXX_EMA_ALLFRV_SI_EMA_DEF</t>
  </si>
  <si>
    <t>PP_HIDA0_S_IN03_SC_CXXX_XXX_XXX_AUT_MSXXXX_SI_SRMDSSC</t>
  </si>
  <si>
    <t>NV</t>
  </si>
  <si>
    <t>Jump</t>
  </si>
  <si>
    <t>CCB0</t>
  </si>
  <si>
    <t>CCE0</t>
  </si>
  <si>
    <t>PP_HIDA0_S_IN01_SC_CXGX_XXX_XXX_AUT_MSX000_SI_RESET_PWR</t>
  </si>
  <si>
    <t>DISP</t>
  </si>
  <si>
    <t>CIA0</t>
  </si>
  <si>
    <t>SRAM</t>
  </si>
  <si>
    <t>PCPU</t>
  </si>
  <si>
    <t>CAD0</t>
  </si>
  <si>
    <t>DCSDDR</t>
  </si>
  <si>
    <t>FIXED</t>
  </si>
  <si>
    <t>ECPU</t>
  </si>
  <si>
    <t>SSC</t>
  </si>
  <si>
    <t>CEA0</t>
  </si>
  <si>
    <t>PL10</t>
  </si>
  <si>
    <t>Not Use</t>
  </si>
  <si>
    <t>DFTL</t>
  </si>
  <si>
    <t>MSX001</t>
  </si>
  <si>
    <t>SOCTDF</t>
  </si>
  <si>
    <t>PL00</t>
  </si>
  <si>
    <t>MSX005</t>
  </si>
  <si>
    <t>MLX001</t>
  </si>
  <si>
    <t>MIX001</t>
  </si>
  <si>
    <t>MIX003</t>
  </si>
  <si>
    <t>MPX001</t>
  </si>
  <si>
    <t>MPX002</t>
  </si>
  <si>
    <t>MPX003</t>
  </si>
  <si>
    <t>MPX004</t>
  </si>
  <si>
    <t>MPX006</t>
  </si>
  <si>
    <t>MPX007</t>
  </si>
  <si>
    <t>MPX009</t>
  </si>
  <si>
    <t>MPX00A</t>
  </si>
  <si>
    <t>MPX00C</t>
  </si>
  <si>
    <t>MPX00D</t>
  </si>
  <si>
    <t>PP_HIDA0_S_IN04_SC_CAD0_TDF_PRC_AUT_MPX001_SI</t>
  </si>
  <si>
    <t>PP_HIDA0_S_PL00_SC_CAD0_TDF_PRC_HAR_MPXXXX_SI</t>
  </si>
  <si>
    <t>MDX001</t>
  </si>
  <si>
    <t>PP_HIDA0_S_IN04_SC_CCE0_TDF_SSC_AUT_MSX001_SI</t>
  </si>
  <si>
    <t>PP_HIDA0_S_IN04_SC_CIA0_TDF_SSC_AUT_MIX001_SI</t>
  </si>
  <si>
    <t>PP_HIDA0_S_PL00_SC_CIA0_TDF_SSC_HAR_MIXXXX_SI</t>
  </si>
  <si>
    <t>PP_HIDA0_S_IN04_SC_CEA0_TDF_SSC_AUT_MIX003_SI</t>
  </si>
  <si>
    <t>SOCBIR</t>
  </si>
  <si>
    <t>GR01</t>
  </si>
  <si>
    <t>SRVA</t>
  </si>
  <si>
    <t>PP_HIDA0_S_IN01_BI_XXXX_XXX_JTG_UNS_F00024_SI_CMNINIT</t>
  </si>
  <si>
    <t>PP_HIDA0_S_IN01_BI_CHIP_EFU_JTG_UNS_ALLFRV_SI_AOPLOAD_EFHUB</t>
  </si>
  <si>
    <t>PP_HIDA0_S_IN01_BI_CHIP_EFU_JTG_UNS_ALLFRV_SI_SOCLOAD_EFHUB</t>
  </si>
  <si>
    <t>PP_HIDA0_S_IN01_BI_XXXX_PLL_JTG_UNS_MSX001_SI_FROM_F00024</t>
  </si>
  <si>
    <t>PP_HIDA0_S_IN01_BI_XXXX_TDR_JTG_UNS_ALLFRV_SI_SRMDSSC</t>
  </si>
  <si>
    <t>PP_HIDA0_S_PL01_BI_XXXX_WFC_JTG_UNS_ALLFRV_SI_WAITTIME</t>
  </si>
  <si>
    <t>PP_HIDA0_S_IN01_BI_XXXX_PLL_JTG_UNS_F00100_SI_FROM_F00024</t>
  </si>
  <si>
    <t>SG02</t>
  </si>
  <si>
    <t>PP_HIDA0_S_PL01_BI_GR01_BIR_JTG_UNS_MLXXXX_SI_SRVASETP_SG02</t>
  </si>
  <si>
    <t>PP_HIDA0_S_PL01_BI_GR01_BIR_JTG_UNS_MLXXXX_SI_SRVASTCK_SG02</t>
  </si>
  <si>
    <t>GR04</t>
  </si>
  <si>
    <t>PP_HIDA0_S_PL01_BI_GR04_BIR_JTG_UNS_MLXXXX_SI_SRVASETP</t>
  </si>
  <si>
    <t>PP_HIDA0_S_PL01_BI_GR04_BIR_JTG_UNS_MLXXXX_SI_SRVASTCK</t>
  </si>
  <si>
    <t>P001</t>
  </si>
  <si>
    <t>SRVC</t>
  </si>
  <si>
    <t>PP_HIDA0_S_PL01_BI_P001_BIR_JTG_UNS_MSXXXX_SI_SRVC</t>
  </si>
  <si>
    <t>CPUSRAM</t>
  </si>
  <si>
    <t>SOCBST</t>
  </si>
  <si>
    <t>PP_HIDA0_S_PL01_BI_GR01_BST_JTG_UNS_MLXXXX_SI_SRVASETP_SG02</t>
  </si>
  <si>
    <t>PP_HIDA0_S_PL01_BI_GR01_BST_JTG_UNS_MLXXXX_SI_SRVASTCK_SG02</t>
  </si>
  <si>
    <t>PP_HIDA0_S_PL01_BI_GR04_BST_JTG_UNS_MLXXXX_SI_SRVASETP</t>
  </si>
  <si>
    <t>PP_HIDA0_S_PL01_BI_GR04_BST_JTG_UNS_MLXXXX_SI_SRVASTCK</t>
  </si>
  <si>
    <t>PP_HIDA0_S_PL01_BI_P001_BST_JTG_UNS_MSXXXX_SI_SRVC</t>
  </si>
  <si>
    <t>MDX008</t>
  </si>
  <si>
    <t>VDDSRAMSOC</t>
  </si>
  <si>
    <t>GPU</t>
  </si>
  <si>
    <t>PLLP</t>
  </si>
  <si>
    <t>PP_HIDA0_L_INLP_SC_CXXX_XXX_COM_AUT_ALLFRV_SI_SOC_RESET</t>
  </si>
  <si>
    <t>MGX001</t>
  </si>
  <si>
    <t>GPUTDF</t>
  </si>
  <si>
    <t>PP_HIDA0_L_INLP_SC_CXXX_TDF_COM_AUT_MGX001_SI</t>
  </si>
  <si>
    <t>MGX002</t>
  </si>
  <si>
    <t>PP_HIDA0_L_INLP_SC_CXXX_TDF_COM_AUT_MGX002_SI</t>
  </si>
  <si>
    <t>MGX004</t>
  </si>
  <si>
    <t>PP_HIDA0_L_INLP_SC_CXXX_TDF_COM_AUT_MGX004_SI</t>
  </si>
  <si>
    <t>MGX005</t>
  </si>
  <si>
    <t>PP_HIDA0_L_INLP_SC_CXXX_TDF_COM_AUT_MGX005_SI</t>
  </si>
  <si>
    <t>MGX006</t>
  </si>
  <si>
    <t>PP_HIDA0_L_INLP_SC_CXXX_TDF_COM_AUT_MGX006_SI</t>
  </si>
  <si>
    <t>MGX007</t>
  </si>
  <si>
    <t>PP_HIDA0_L_INLP_SC_CXXX_TDF_COM_AUT_MGX007_SI</t>
  </si>
  <si>
    <t>MGX008</t>
  </si>
  <si>
    <t>PP_HIDA0_L_INLP_SC_CXXX_TDF_COM_AUT_MGX008_SI</t>
  </si>
  <si>
    <t>MGX009</t>
  </si>
  <si>
    <t>PP_HIDA0_L_INLP_SC_CXXX_TDF_COM_AUT_MGX009_SI</t>
  </si>
  <si>
    <t>MGX00A</t>
  </si>
  <si>
    <t>PP_HIDA0_L_INLP_SC_CXXX_TDF_COM_AUT_MGX00A_SI</t>
  </si>
  <si>
    <t>MGX00B</t>
  </si>
  <si>
    <t>PP_HIDA0_L_INLP_SC_CXXX_TDF_COM_AUT_MGX00B_SI</t>
  </si>
  <si>
    <t>MGX00C</t>
  </si>
  <si>
    <t>PP_HIDA0_L_INLP_SC_CXXX_TDF_COM_AUT_MGX00C_SI</t>
  </si>
  <si>
    <t>CPU</t>
  </si>
  <si>
    <t>C307</t>
  </si>
  <si>
    <t>PP_HIDA0_C_IN00_XX_CX0X_XXX_XXX_XXX_MPXXXX_SI_SRMDSSC</t>
  </si>
  <si>
    <t>MEX001</t>
  </si>
  <si>
    <t>DIV166</t>
  </si>
  <si>
    <t>MEX002</t>
  </si>
  <si>
    <t>MEX003</t>
  </si>
  <si>
    <t>MEX004</t>
  </si>
  <si>
    <t>MEX005</t>
  </si>
  <si>
    <t>MEX007</t>
  </si>
  <si>
    <t>MEX009</t>
  </si>
  <si>
    <t>MPX00G</t>
  </si>
  <si>
    <t>CPUBIR</t>
  </si>
  <si>
    <t>C303</t>
  </si>
  <si>
    <t>59N</t>
  </si>
  <si>
    <t>REPREST</t>
  </si>
  <si>
    <t>PP_HIDA0_C_IN00_BI_CX0X_XXX_XXX_XXX_MPXXXX_SI_SRMDSSC</t>
  </si>
  <si>
    <t>PP_HIDA0_C_IN01_BI_CXXX_BST_JTG_XXX_MPXXXX_SI_SMT</t>
  </si>
  <si>
    <t>PP_HIDA0_C_PLLP_BI_C303_BIR_JTG_59N_MPXXXX_SI_REPREST</t>
  </si>
  <si>
    <t>MPX00I</t>
  </si>
  <si>
    <t>C0FC</t>
  </si>
  <si>
    <t>PP_HIDA0_C_IN00_BI_C0XX_XXX_XXX_XXX_MEXXXX_SI_SRMDSSC</t>
  </si>
  <si>
    <t>PP_HIDA0_C_IN01_BI_CXXX_BST_JTG_XXX_MEXXXX_SI_SMT</t>
  </si>
  <si>
    <t>CPUBST</t>
  </si>
  <si>
    <t>LATR</t>
  </si>
  <si>
    <t>PP_HIDA0_C_PLLP_BI_C303_BST_JTG_59N_MPXXXX_SI_REPREST</t>
  </si>
  <si>
    <t>PP_HIDA0_C_PLLP_BI_C0FC_BST_JTG_59N_MEXXXX_SI_LATR</t>
  </si>
  <si>
    <t>PP_HIDA0_C_PLLP_BI_C0FC_BST_JTG_59N_MEXXXX_SI_REPREST</t>
  </si>
  <si>
    <t>WAT</t>
  </si>
  <si>
    <t>VDDLOWALL</t>
  </si>
  <si>
    <t>PP_HIDA0_S_IN01_BI_CHIP_SRV_JTG_UNS_ALLFRV_SI_SRVAC_NOINIT</t>
  </si>
  <si>
    <t>SelsrmSSSS</t>
  </si>
  <si>
    <t>Selsrm1S11</t>
  </si>
  <si>
    <t>VDDIO12GRP</t>
  </si>
  <si>
    <t>VDDFIXEDALL</t>
  </si>
  <si>
    <t>PL0010</t>
  </si>
  <si>
    <t>MGX00D</t>
  </si>
  <si>
    <t>111111111111111111110000</t>
  </si>
  <si>
    <t>MFX001</t>
  </si>
  <si>
    <t>MPX00L</t>
  </si>
  <si>
    <t>PP_HIDA0_S_IN01_BI_XXXX_XXX_JTG_UNS_F00024_SI_BISTINIT</t>
  </si>
  <si>
    <t>CUD0</t>
  </si>
  <si>
    <t>x10</t>
  </si>
  <si>
    <t>PP_HIDB0_L_PL00_SC_CFXX_TDF_COM_HAR_ALLFRV_SI</t>
  </si>
  <si>
    <t>PP_HIDB0_L_PL10_SC_CFXX_TDF_COM_HAR_ALLFRV_SI</t>
  </si>
  <si>
    <t>PP_HIDB0_L_INLP_SC_CXXX_XXX_COM_AUT_ALLFRV_SI_SRMDSSC</t>
  </si>
  <si>
    <t>PP_HIDB0_L_INLP_SC_CFXX_TDF_COM_AUT_ALLFRV_SI_XORDSSC:DigSrc</t>
  </si>
  <si>
    <t>PP_HIDB0_L_INLP_SC_CXXX_XXX_COM_AUT_ALLFRV_SI_PWRUP</t>
  </si>
  <si>
    <t>PP_HIDB0_L_INLP_SC_CXXX_TDF_COM_AUT_MGX00D_SI</t>
  </si>
  <si>
    <t>CAN1</t>
  </si>
  <si>
    <t>PP_HIDA0_S_IN04_SC_CAN1_TDF_COM_AUT_MPX001_SI</t>
  </si>
  <si>
    <t>PP_HIDA0_S_PL00_SC_CAN1_TDF_COM_HAR_MPXXXX_SI</t>
  </si>
  <si>
    <t>PP_HIDB0_S_PL00_SC_CEA0_TDF_SSC_HAR_MIXXXX_SI</t>
  </si>
  <si>
    <t>PP_HIDB0_S_PL10_SC_CUD0_TDF_UNC_AUT_MSFXXX_SI</t>
  </si>
  <si>
    <t>PP_HIDB0_S_PL00_SC_CDD0_TDF_SSC_AUT_MSDXXX_SI</t>
  </si>
  <si>
    <t>PP_HIDB0_S_PL00_SC_CCE0_TDF_SSC_HAR_MSLXXX_SI</t>
  </si>
  <si>
    <t>PP_HIDB0_C_IN02_BI_CXXX_XXX_XXX_EMA_MEX001_SI</t>
  </si>
  <si>
    <t>PP_HIDB0_C_IN02_BI_CXXX_XXX_XXX_EMA_MEX002_SI</t>
  </si>
  <si>
    <t>PP_HIDB0_C_IN02_BI_CXXX_XXX_XXX_EMA_MEX003_SI</t>
  </si>
  <si>
    <t>PP_HIDB0_C_IN02_BI_CXXX_XXX_XXX_EMA_MEX004_SI</t>
  </si>
  <si>
    <t>PP_HIDB0_C_IN02_BI_CXXX_XXX_XXX_EMA_MEX005_SI</t>
  </si>
  <si>
    <t>PP_HIDB0_C_IN02_BI_CXXX_XXX_XXX_EMA_MEX007_SI</t>
  </si>
  <si>
    <t>PP_HIDB0_C_IN02_BI_CXXX_XXX_XXX_EMA_MEX009_SI</t>
  </si>
  <si>
    <t>PP_HIDB0_C_IN02_BI_CXXX_XXX_XXX_EMA_MPX001_SI</t>
  </si>
  <si>
    <t>PP_HIDB0_C_IN02_BI_CXXX_XXX_XXX_EMA_MPX002_SI</t>
  </si>
  <si>
    <t>PP_HIDB0_C_IN02_BI_CXXX_XXX_XXX_EMA_MPX003_SI</t>
  </si>
  <si>
    <t>PP_HIDB0_C_IN02_BI_CXXX_XXX_XXX_EMA_MPX004_SI</t>
  </si>
  <si>
    <t>PP_HIDB0_C_IN02_BI_CXXX_XXX_XXX_EMA_MPX006_SI</t>
  </si>
  <si>
    <t>PP_HIDB0_C_IN02_BI_CXXX_XXX_XXX_EMA_MPX007_SI</t>
  </si>
  <si>
    <t>PP_HIDB0_C_IN02_BI_CXXX_XXX_XXX_EMA_MPX009_SI</t>
  </si>
  <si>
    <t>PP_HIDB0_C_IN02_BI_CXXX_XXX_XXX_EMA_MPX00A_SI</t>
  </si>
  <si>
    <t>PP_HIDB0_C_IN02_BI_CXXX_XXX_XXX_EMA_MPX00C_SI</t>
  </si>
  <si>
    <t>PP_HIDB0_C_IN02_BI_CXXX_XXX_XXX_EMA_MPX00G_SI</t>
  </si>
  <si>
    <t>PP_HIDB0_L_INLP_SC_CXXX_XXX_COM_EMA_ALLFRV_SI_EMA_DEF</t>
  </si>
  <si>
    <t>PP_HIDB0_S_IN04_SC_CAD0_TDF_PRC_AUT_MPX00D_SI</t>
  </si>
  <si>
    <t>PP_HIDB0_S_IN04_SC_CAN1_TDF_COM_AUT_MPX00D_SI</t>
  </si>
  <si>
    <t>PP_HIDB0_C_IN02_SC_CXXX_XXX_XXX_EMA_MPX00I_SI</t>
  </si>
  <si>
    <t>PP_HIDB0_C_IN02_SC_CXXX_XXX_XXX_EMA_MPX00L_SI</t>
  </si>
  <si>
    <t>C0</t>
  </si>
  <si>
    <t>CPUTDF1P</t>
  </si>
  <si>
    <t>PP_HIDB0_C_IN01_SC_C307_TDF_COM_AUT_MPXXXX_SI_DIV133_C0</t>
  </si>
  <si>
    <t>PP_HIDB0_C_PL00_SC_C307_TDF_COM_HAR_MPXXXX_SI_DIV133_1CBLK</t>
  </si>
  <si>
    <t>PP_HIDB0_C_PL10_SC_C307_TDF_COM_HAR_MPXXXX_SI_DIV133_1CBLK</t>
  </si>
  <si>
    <t>C1</t>
  </si>
  <si>
    <t>PP_HIDB0_C_IN01_SC_C307_TDF_COM_AUT_MPXXXX_SI_DIV133_C1</t>
  </si>
  <si>
    <t>C2</t>
  </si>
  <si>
    <t>PP_HIDB0_C_IN01_SC_C307_TDF_COM_AUT_MPXXXX_SI_DIV133_C2</t>
  </si>
  <si>
    <t>C3</t>
  </si>
  <si>
    <t>PP_HIDB0_C_IN01_SC_C307_TDF_COM_AUT_MPXXXX_SI_DIV133_C3</t>
  </si>
  <si>
    <t>PP_HIDB0_S_IN04_SC_CDD0_TDF_SSC_AUT_MDX008_SI</t>
  </si>
  <si>
    <t>CDD0</t>
  </si>
  <si>
    <t>PP_HIDB0_S_IN01_BI_XXXX_PLL_JTG_UNS_MSX005_SI_FROM_F00024</t>
  </si>
  <si>
    <t>PP_HIDB0_S_IN04_SC_CCB0_TDF_SSC_AUT_MSX005_SI</t>
  </si>
  <si>
    <t>PP_HIDB0_S_IN04_SC_CCE0_TDF_SSC_AUT_MSX005_SI</t>
  </si>
  <si>
    <t>PP_HIDB0_S_PL00_SC_CCB0_TDF_SSC_HAR_MSLXXX_SI</t>
  </si>
  <si>
    <t>PP_HIDB0_S_IN04_SC_CDD0_TDF_SSC_AUT_MDX001_SI</t>
  </si>
  <si>
    <t>PP_HIDB0_C_IN02_BI_CXXX_XXX_XXX_EMA_MPX00L_SI</t>
  </si>
  <si>
    <t>ES-CPALL</t>
  </si>
  <si>
    <t>CP1ALL</t>
  </si>
  <si>
    <t>CPWAT</t>
  </si>
  <si>
    <t>WATacross</t>
  </si>
  <si>
    <t>CP1ALL,WATrest</t>
  </si>
  <si>
    <t>CPALL</t>
  </si>
  <si>
    <t>CPALL, WATrest</t>
  </si>
  <si>
    <t>CP1</t>
  </si>
  <si>
    <t>CP2</t>
  </si>
  <si>
    <t>FT1</t>
  </si>
  <si>
    <t>FT2</t>
  </si>
  <si>
    <t>ALL</t>
  </si>
  <si>
    <t>ES</t>
  </si>
  <si>
    <t>CPUTDF</t>
  </si>
  <si>
    <t>C0F7</t>
  </si>
  <si>
    <t>PP_HIDA0_C_IN00_XX_C0XX_XXX_XXX_XXX_MEXXXX_SI_SRMDSSC</t>
  </si>
  <si>
    <t>PP_HIDA0_C_IN01_SC_C0F7_TDF_COM_AUT_MEXXXX_SI_DIV166</t>
  </si>
  <si>
    <t>MEX008</t>
  </si>
  <si>
    <t>CP1ALL,WATacross</t>
  </si>
  <si>
    <t>CCA0</t>
  </si>
  <si>
    <t>pp_hida0_s_in04_sc_cca0_tdf_ssc_aut_MSX001_SI</t>
  </si>
  <si>
    <t>PP_HIDA0_S_PL00_SC_CCA0_TDF_SSC_HAR_MSLXXX_SI</t>
  </si>
  <si>
    <t>MIX002</t>
  </si>
  <si>
    <t>PP_HIDA0_S_IN04_SC_CIA0_TDF_SSC_AUT_MIX002_SI</t>
  </si>
  <si>
    <t>MDX002</t>
  </si>
  <si>
    <t>PP_HIDB0_S_IN04_SC_CDD0_TDF_SSC_AUT_MDX002_SI</t>
  </si>
  <si>
    <t>MDX003</t>
  </si>
  <si>
    <t>PP_HIDB0_S_IN04_SC_CDD0_TDF_SSC_AUT_MDX003_SI</t>
  </si>
  <si>
    <t>MDX004</t>
  </si>
  <si>
    <t>PP_HIDB0_S_IN04_SC_CDD0_TDF_SSC_AUT_MDX004_SI</t>
  </si>
  <si>
    <t>MDX005</t>
  </si>
  <si>
    <t>PP_HIDB0_S_IN04_SC_CDD0_TDF_SSC_AUT_MDX005_SI</t>
  </si>
  <si>
    <t>MDX006</t>
  </si>
  <si>
    <t>PP_HIDB0_S_IN04_SC_CDD0_TDF_SSC_AUT_MDX006_SI</t>
  </si>
  <si>
    <t>MDX007</t>
  </si>
  <si>
    <t>PP_HIDB0_S_IN04_SC_CDD0_TDF_SSC_AUT_MDX007_SI</t>
  </si>
  <si>
    <t>MSX002</t>
  </si>
  <si>
    <t>PP_HIDA0_S_IN04_SC_CCE0_TDF_SSC_AUT_MSX002_SI</t>
  </si>
  <si>
    <t>CCF0</t>
  </si>
  <si>
    <t>PP_HIDA0_S_IN04_SC_CCF0_TDF_SSC_AUT_MSX002_SI</t>
  </si>
  <si>
    <t>PP_HIDB0_S_PL00_SC_CCF0_TDF_SSC_HAR_MSXXXX_SI</t>
  </si>
  <si>
    <t>MSX003</t>
  </si>
  <si>
    <t>CCD0</t>
  </si>
  <si>
    <t>PP_HIDA0_S_IN04_SC_CCD0_TDF_SSC_AUT_MSX003_SI</t>
  </si>
  <si>
    <t>PP_HIDB0_S_PL00_SC_CCD0_TDF_SSC_HAR_MSXXXX_SI</t>
  </si>
  <si>
    <t>CCG0</t>
  </si>
  <si>
    <t>PP_HIDA0_S_IN04_SC_CCG0_TDF_SSC_AUT_MSX003_SI</t>
  </si>
  <si>
    <t>PP_HIDB0_S_PL00_SC_CCG0_TDF_SSC_HAR_MSXXXX_SI</t>
  </si>
  <si>
    <t>MSX004</t>
  </si>
  <si>
    <t>CAF0</t>
  </si>
  <si>
    <t>PP_HIDB0_S_IN04_SC_CAF0_TDF_PRC_AUT_MSX004_SI</t>
  </si>
  <si>
    <t>PP_HIDA0_S_PL00_SC_CAF0_TDF_PRC_HAR_MSPXXX_SI</t>
  </si>
  <si>
    <t>PP_HIDB0_S_IN02_SC_CXXX_XXX_XXX_EMA_ALLFRV_SI_EMA_DEF</t>
  </si>
  <si>
    <t>PP_hidb0_S_IN04_SC_CUD0_TDF_UNC_AUT_MSX001_SI</t>
  </si>
  <si>
    <t>PP_HIDB0_S_IN01_BI_CHIP_TDR_JTG_EMA_ALLFRV_SI_EMA_DEF</t>
  </si>
  <si>
    <t>PP_HIDB0_C_IN02_SC_CXXX_XXX_XXX_EMA_MEX001_SI</t>
  </si>
  <si>
    <t>PP_HIDB0_C_IN02_SC_CXXX_XXX_XXX_EMA_MEX002_SI</t>
  </si>
  <si>
    <t>PP_HIDB0_C_IN02_SC_CXXX_XXX_XXX_EMA_MEX003_SI</t>
  </si>
  <si>
    <t>PP_HIDB0_C_IN02_SC_CXXX_XXX_XXX_EMA_MEX004_SI</t>
  </si>
  <si>
    <t>PP_HIDB0_C_IN02_SC_CXXX_XXX_XXX_EMA_MEX005_SI</t>
  </si>
  <si>
    <t>PP_HIDB0_C_IN02_SC_CXXX_XXX_XXX_EMA_MEX008_SI</t>
  </si>
  <si>
    <t>PP_HIDA0_C_IN01_SC_C307_TDF_COM_AUT_MPXXXX_SI_DIV166</t>
  </si>
  <si>
    <t>PP_HIDB0_C_PL00_SC_C307_TDF_COM_HAR_MPXXXX_SI_DIV166</t>
  </si>
  <si>
    <t>PP_HIDB0_C_PL10_SC_C307_TDF_COM_HAR_MPXXXX_SI_DIV166</t>
  </si>
  <si>
    <t>MPX00F</t>
  </si>
  <si>
    <t>PP_HIDB0_C_IN02_SC_CXXX_XXX_XXX_EMA_MPX00F_SI</t>
  </si>
  <si>
    <t>PP_HIDB0_C_PL00_SC_C0F7_TDF_COM_HAR_MEXXXX_SI_DIV166</t>
  </si>
  <si>
    <t>PP_HIDB0_C_PL10_SC_C0F7_TDF_COM_HAR_MEXXXX_SI_DIV166</t>
  </si>
  <si>
    <t>SOCBSTNL</t>
  </si>
  <si>
    <t>DIV133</t>
  </si>
  <si>
    <t>removed for V05A</t>
  </si>
  <si>
    <t>CP2ALL,FTALL</t>
  </si>
  <si>
    <t>CAC0</t>
  </si>
  <si>
    <t>PP_HIDA0_S_IN04_SC_CAC0_TDF_PRC_AUT_MPX002_SI</t>
  </si>
  <si>
    <t>PP_HIDA0_S_PL00_SC_CAC0_TDF_PRC_HAR_MPXXXX_SI</t>
  </si>
  <si>
    <t>PP_HIDA0_S_IN04_SC_CAC0_TDF_PRC_AUT_MPX003_SI</t>
  </si>
  <si>
    <t>PP_HIDA0_S_IN04_SC_CAC0_TDF_PRC_AUT_MPX004_SI</t>
  </si>
  <si>
    <t>PP_HIDA0_S_IN04_SC_CAC0_TDF_PRC_AUT_MPX006_SI</t>
  </si>
  <si>
    <t>PP_HIDA0_S_IN04_SC_CAC0_TDF_PRC_AUT_MPX007_SI</t>
  </si>
  <si>
    <t>PP_HIDA0_S_IN04_SC_CAC0_TDF_PRC_AUT_MPX009_SI</t>
  </si>
  <si>
    <t>PP_HIDA0_S_IN04_SC_CAC0_TDF_PRC_AUT_MPX00A_SI</t>
  </si>
  <si>
    <t>PP_HIDA0_S_IN04_SC_CAC0_TDF_PRC_AUT_MPX00C_SI</t>
  </si>
  <si>
    <t>CAE0</t>
  </si>
  <si>
    <t>PP_HIDA0_S_IN04_SC_CAE0_TDF_PRC_AUT_MPX002_SI</t>
  </si>
  <si>
    <t>PP_HIDA0_S_PL00_SC_CAE0_TDF_PRC_HAR_MPXXXX_SI</t>
  </si>
  <si>
    <t>PP_HIDA0_S_IN04_SC_CAE0_TDF_PRC_AUT_MPX003_SI</t>
  </si>
  <si>
    <t>PP_HIDA0_S_IN04_SC_CAE0_TDF_PRC_AUT_MPX004_SI</t>
  </si>
  <si>
    <t>PP_HIDA0_S_IN04_SC_CAE0_TDF_PRC_AUT_MPX006_SI</t>
  </si>
  <si>
    <t>PP_HIDA0_S_IN04_SC_CAE0_TDF_PRC_AUT_MPX007_SI</t>
  </si>
  <si>
    <t>PP_HIDA0_S_IN04_SC_CAE0_TDF_PRC_AUT_MPX009_SI</t>
  </si>
  <si>
    <t>PP_HIDA0_S_IN04_SC_CAE0_TDF_PRC_AUT_MPX00A_SI</t>
  </si>
  <si>
    <t>PP_HIDA0_S_IN04_SC_CAE0_TDF_PRC_AUT_MPX00C_SI</t>
  </si>
  <si>
    <t>interpolation</t>
  </si>
  <si>
    <t>DFTLH</t>
  </si>
  <si>
    <t>GPUBST</t>
  </si>
  <si>
    <t>PSOC</t>
  </si>
  <si>
    <t>55N</t>
  </si>
  <si>
    <t>PP_HIDA0_L_INLP_BI_TDRS_RST_JTG_UNS_ALLFRV_SI_SOC_INIT</t>
  </si>
  <si>
    <t>PP_HIDB0_L_INLP_BI_TDRS_RST_JTG_UNS_ALLFRV_SI_GFX_INIT</t>
  </si>
  <si>
    <t>PP_HIDB0_L_INLP_BI_TDRS_RST_JTG_EMA_ALLFRV_SI_EMA_DEF</t>
  </si>
  <si>
    <t>PP_HIDA0_L_INLP_BI_TDRS_PLL_JTG_UNS_MGSXXX_SI</t>
  </si>
  <si>
    <t>PP_HIDA0_L_INLP_BI_TDRS_RST_JTG_UNS_ALLFRV_SI_SRMDSSC</t>
  </si>
  <si>
    <t>PP_HIDA0_L_PLLP_BI_PSOC_BST_JTG_55N_MSXXXX_SI</t>
  </si>
  <si>
    <t>PP_HIDA0_L_INLP_BI_TDRS_PLL_JTG_UNS_MSX001_SI</t>
  </si>
  <si>
    <t>SRVL</t>
  </si>
  <si>
    <t>PP_HIDA0_S_IN01_BI_XXXX_PLL_JTG_UNS_MIX001_SI_FROM_F00024</t>
  </si>
  <si>
    <t>PP_HIDA0_S_PL01_BI_GR01_BIR_JTG_UNS_MIXXXX_SI_SRVLSETP</t>
  </si>
  <si>
    <t>PP_HIDA0_S_PL01_BI_GR01_BIR_JTG_UNS_MIXXXX_SI_SRVLSTCK</t>
  </si>
  <si>
    <t>GR02</t>
  </si>
  <si>
    <t>PP_HIDA0_S_PL01_BI_GR02_BIR_JTG_UNS_MIXXXX_SI_SRVLSETP</t>
  </si>
  <si>
    <t>PP_HIDA0_S_PL01_BI_GR02_BIR_JTG_UNS_MIXXXX_SI_SRVLSTCK</t>
  </si>
  <si>
    <t>SRVR</t>
  </si>
  <si>
    <t>PP_HIDA0_S_PL01_BI_GR01_BIR_JTG_UNS_MSXXXX_SI_SRVRSETP</t>
  </si>
  <si>
    <t>PP_HIDA0_S_PL01_BI_GR01_BIR_JTG_UNS_MSXXXX_SI_SRVRSTCK</t>
  </si>
  <si>
    <t>GH01</t>
  </si>
  <si>
    <t>PP_HIDA0_S_PL01_BI_GH01_BIR_JTG_UNS_MSXXXX_SI_SRVRSETP</t>
  </si>
  <si>
    <t>PP_HIDA0_S_PL01_BI_GH01_BIR_JTG_UNS_MSXXXX_SI_SRVRSTCK</t>
  </si>
  <si>
    <t>PP_HIDA0_S_PL01_BI_GR01_BST_JTG_UNS_MIXXXX_SI_SRVLSETP</t>
  </si>
  <si>
    <t>PP_HIDA0_S_PL01_BI_GR01_BST_JTG_UNS_MIXXXX_SI_SRVLSTCK</t>
  </si>
  <si>
    <t>PP_HIDA0_S_PL01_BI_GR02_BST_JTG_UNS_MIXXXX_SI_SRVLSETP</t>
  </si>
  <si>
    <t>PP_HIDA0_S_PL01_BI_GR02_BST_JTG_UNS_MIXXXX_SI_SRVLSTCK</t>
  </si>
  <si>
    <t>PP_HIDA0_S_PL01_BI_GR01_BST_JTG_UNS_MSXXXX_SI_SRVRSETP</t>
  </si>
  <si>
    <t>PP_HIDA0_S_PL01_BI_GR01_BST_JTG_UNS_MSXXXX_SI_SRVRSTCK</t>
  </si>
  <si>
    <t>PP_HIDA0_S_PL01_BI_GH01_BST_JTG_UNS_MSXXXX_SI_SRVRSETP</t>
  </si>
  <si>
    <t>PP_HIDA0_S_PL01_BI_GH01_BST_JTG_UNS_MSXXXX_SI_SRVRSTCK</t>
  </si>
  <si>
    <t>Turbo</t>
  </si>
  <si>
    <t>Memories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</si>
</sst>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theme="1"/>
      <name val="SF Hello"/>
      <family val="2"/>
    </font>
    <font>
      <sz val="12"/>
      <color rgb="FF000000"/>
      <name val="Calibri"/>
      <family val="2"/>
      <scheme val="minor"/>
    </font>
    <font>
      <sz val="10"/>
      <name val="Arial"/>
      <family val="2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7" tint="0.79998168889431442"/>
        <bgColor indexed="65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0" fontId="1" fillId="2" borderId="0" applyNumberFormat="0" applyBorder="0" applyAlignment="0" applyProtection="0"/>
    <xf numFmtId="0" fontId="2" fillId="0" borderId="0"/>
    <xf numFmtId="0" fontId="4" fillId="0" borderId="0"/>
    <xf numFmtId="0" fontId="6" fillId="0" borderId="0"/>
    <xf numFmtId="0" fontId="6" fillId="3" borderId="0"/>
  </cellStyleXfs>
  <cellXfs count="8">
    <xf numFmtId="0" fontId="0" fillId="0" borderId="0" xfId="0"/>
    <xf numFmtId="0" fontId="1" fillId="2" borderId="0" xfId="1"/>
    <xf numFmtId="0" fontId="5" fillId="0" borderId="0" xfId="0" applyFont="1"/>
    <xf numFmtId="0" fontId="3" fillId="0" borderId="0" xfId="0" applyFont="1"/>
    <xf numFmtId="0" fontId="0" fillId="0" borderId="0" xfId="0" applyAlignment="1">
      <alignment vertical="top"/>
    </xf>
    <xf numFmtId="0" fontId="0" fillId="0" borderId="0" xfId="0" quotePrefix="1"/>
    <xf numFmtId="16" fontId="0" fillId="0" borderId="0" xfId="0" applyNumberFormat="1"/>
    <xf numFmtId="16" fontId="0" fillId="0" borderId="0" xfId="0" quotePrefix="1" applyNumberFormat="1"/>
  </cellXfs>
  <cellStyles count="6">
    <cellStyle name="20% - Accent4 2" xfId="5" xr:uid="{E64CB34F-9BFD-7B44-8FB2-D0A80F213414}"/>
    <cellStyle name="Excel Built-in Normal" xfId="3" xr:uid="{D0232798-1AC6-104F-95EE-3EEC4E9BF844}"/>
    <cellStyle name="Good" xfId="1" builtinId="26"/>
    <cellStyle name="Normal" xfId="0" builtinId="0"/>
    <cellStyle name="Normal 2" xfId="2" xr:uid="{E9705549-F3CE-7545-B3BE-7593010BCA78}"/>
    <cellStyle name="Normal 3 3" xfId="4" xr:uid="{E552DEC4-0F6C-C842-BD09-250E69278B50}"/>
  </cellStyles>
  <dxfs count="27"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AFE0F-4775-8640-B2D2-95E88BCE0A1A}">
  <sheetPr filterMode="1"/>
  <dimension ref="A1:CI127"/>
  <sheetViews>
    <sheetView tabSelected="1" zoomScaleNormal="140" workbookViewId="0">
      <pane xSplit="14" ySplit="2" topLeftCell="O48" activePane="bottomRight" state="frozen"/>
      <selection pane="topRight" activeCell="O1" sqref="O1"/>
      <selection pane="bottomLeft" activeCell="A3" sqref="A3"/>
      <selection pane="bottomRight" activeCell="F102" sqref="F102"/>
    </sheetView>
  </sheetViews>
  <sheetFormatPr baseColWidth="10" defaultColWidth="10.6640625" defaultRowHeight="16" outlineLevelCol="2" x14ac:dyDescent="0.2"/>
  <cols>
    <col min="1" max="1" width="14.33203125" bestFit="1" customWidth="1"/>
    <col min="2" max="2" width="16" bestFit="1" customWidth="1"/>
    <col min="3" max="3" width="9.5" bestFit="1" customWidth="1"/>
    <col min="4" max="4" width="16.83203125" bestFit="1" customWidth="1"/>
    <col min="5" max="7" width="12.33203125" bestFit="1" customWidth="1"/>
    <col min="8" max="8" width="9.83203125" bestFit="1" customWidth="1"/>
    <col min="9" max="9" width="12.6640625" bestFit="1" customWidth="1"/>
    <col min="10" max="13" width="12.33203125" bestFit="1" customWidth="1"/>
    <col min="14" max="14" width="25.5" bestFit="1" customWidth="1"/>
    <col min="15" max="15" width="12.33203125" customWidth="1" outlineLevel="1"/>
    <col min="16" max="16" width="84.1640625" bestFit="1" customWidth="1" outlineLevel="1"/>
    <col min="17" max="17" width="12.33203125" bestFit="1" customWidth="1" outlineLevel="1"/>
    <col min="18" max="18" width="12.83203125" bestFit="1" customWidth="1" outlineLevel="1"/>
    <col min="19" max="20" width="7.1640625" bestFit="1" customWidth="1" outlineLevel="1"/>
    <col min="21" max="21" width="8" bestFit="1" customWidth="1" outlineLevel="2"/>
    <col min="22" max="22" width="59.6640625" bestFit="1" customWidth="1" outlineLevel="2"/>
    <col min="23" max="23" width="59.1640625" bestFit="1" customWidth="1" outlineLevel="2"/>
    <col min="24" max="24" width="63.33203125" bestFit="1" customWidth="1" outlineLevel="2"/>
    <col min="25" max="25" width="63.1640625" bestFit="1" customWidth="1" outlineLevel="2"/>
    <col min="26" max="26" width="60.83203125" bestFit="1" customWidth="1" outlineLevel="2"/>
    <col min="27" max="27" width="57.1640625" bestFit="1" customWidth="1" outlineLevel="2"/>
    <col min="28" max="28" width="49.1640625" bestFit="1" customWidth="1" outlineLevel="2"/>
    <col min="29" max="29" width="63" bestFit="1" customWidth="1" outlineLevel="2"/>
    <col min="30" max="30" width="61" bestFit="1" customWidth="1" outlineLevel="2"/>
    <col min="31" max="31" width="8.33203125" bestFit="1" customWidth="1" outlineLevel="2"/>
    <col min="32" max="32" width="63.5" bestFit="1" customWidth="1" outlineLevel="2"/>
    <col min="33" max="33" width="62.1640625" bestFit="1" customWidth="1" outlineLevel="2"/>
    <col min="34" max="34" width="63.5" bestFit="1" customWidth="1" outlineLevel="2"/>
    <col min="35" max="36" width="11" customWidth="1" outlineLevel="2"/>
    <col min="37" max="37" width="15.6640625" customWidth="1" outlineLevel="2"/>
    <col min="38" max="38" width="9" bestFit="1" customWidth="1"/>
    <col min="39" max="40" width="7.33203125" bestFit="1" customWidth="1"/>
    <col min="41" max="41" width="9" bestFit="1" customWidth="1"/>
    <col min="42" max="43" width="7.33203125" bestFit="1" customWidth="1"/>
    <col min="44" max="44" width="8.33203125" bestFit="1" customWidth="1"/>
    <col min="45" max="46" width="7.33203125" bestFit="1" customWidth="1"/>
    <col min="47" max="47" width="8" bestFit="1" customWidth="1"/>
    <col min="48" max="49" width="7.33203125" bestFit="1" customWidth="1"/>
    <col min="50" max="50" width="11.33203125" bestFit="1" customWidth="1"/>
    <col min="51" max="52" width="7.33203125" bestFit="1" customWidth="1"/>
    <col min="53" max="53" width="8.33203125" bestFit="1" customWidth="1"/>
    <col min="54" max="55" width="7.33203125" bestFit="1" customWidth="1"/>
    <col min="56" max="56" width="13" bestFit="1" customWidth="1"/>
    <col min="57" max="58" width="7.33203125" bestFit="1" customWidth="1"/>
    <col min="59" max="59" width="13" bestFit="1" customWidth="1"/>
    <col min="60" max="61" width="7.33203125" bestFit="1" customWidth="1"/>
    <col min="62" max="62" width="13.33203125" bestFit="1" customWidth="1"/>
    <col min="63" max="64" width="7.33203125" bestFit="1" customWidth="1"/>
    <col min="65" max="65" width="12.1640625" bestFit="1" customWidth="1"/>
    <col min="66" max="67" width="7.33203125" bestFit="1" customWidth="1"/>
    <col min="68" max="68" width="11.5" bestFit="1" customWidth="1"/>
    <col min="69" max="70" width="7.33203125" bestFit="1" customWidth="1"/>
    <col min="71" max="71" width="7.6640625" customWidth="1"/>
    <col min="72" max="73" width="7.33203125" bestFit="1" customWidth="1"/>
    <col min="74" max="74" width="12" bestFit="1" customWidth="1"/>
    <col min="75" max="76" width="7.33203125" bestFit="1" customWidth="1"/>
    <col min="77" max="77" width="10" bestFit="1" customWidth="1"/>
    <col min="78" max="78" width="18.83203125" bestFit="1" customWidth="1"/>
    <col min="79" max="79" width="10" bestFit="1" customWidth="1"/>
    <col min="80" max="80" width="15.83203125" bestFit="1" customWidth="1"/>
    <col min="81" max="81" width="8" bestFit="1" customWidth="1"/>
    <col min="82" max="83" width="6.83203125" bestFit="1" customWidth="1"/>
    <col min="84" max="87" width="6.6640625" bestFit="1" customWidth="1"/>
  </cols>
  <sheetData>
    <row r="1" spans="1:87" x14ac:dyDescent="0.2">
      <c r="F1" t="s">
        <v>0</v>
      </c>
      <c r="G1" t="s">
        <v>1</v>
      </c>
      <c r="H1" t="s">
        <v>2</v>
      </c>
      <c r="I1" t="s">
        <v>3</v>
      </c>
      <c r="J1" t="s">
        <v>4</v>
      </c>
      <c r="P1" t="s">
        <v>5</v>
      </c>
      <c r="Q1" t="s">
        <v>6</v>
      </c>
      <c r="R1" t="s">
        <v>6</v>
      </c>
      <c r="S1" t="s">
        <v>6</v>
      </c>
      <c r="T1" t="s">
        <v>6</v>
      </c>
      <c r="U1" t="s">
        <v>6</v>
      </c>
      <c r="AL1" t="s">
        <v>7</v>
      </c>
      <c r="AO1" t="s">
        <v>8</v>
      </c>
      <c r="AR1" t="s">
        <v>9</v>
      </c>
      <c r="AU1" t="s">
        <v>10</v>
      </c>
      <c r="AX1" t="s">
        <v>11</v>
      </c>
      <c r="BA1" t="s">
        <v>12</v>
      </c>
      <c r="BD1" t="s">
        <v>13</v>
      </c>
      <c r="BG1" t="s">
        <v>144</v>
      </c>
      <c r="BJ1" t="s">
        <v>14</v>
      </c>
      <c r="BM1" s="3" t="s">
        <v>205</v>
      </c>
      <c r="BP1" t="s">
        <v>200</v>
      </c>
      <c r="BS1" t="s">
        <v>15</v>
      </c>
      <c r="BV1" s="3" t="s">
        <v>204</v>
      </c>
      <c r="BY1" t="s">
        <v>16</v>
      </c>
      <c r="CA1" t="s">
        <v>17</v>
      </c>
    </row>
    <row r="2" spans="1:87" x14ac:dyDescent="0.2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33</v>
      </c>
      <c r="Q2" t="s">
        <v>34</v>
      </c>
      <c r="R2" t="s">
        <v>35</v>
      </c>
      <c r="S2" t="s">
        <v>36</v>
      </c>
      <c r="T2" t="s">
        <v>37</v>
      </c>
      <c r="U2" t="s">
        <v>38</v>
      </c>
      <c r="V2" t="s">
        <v>39</v>
      </c>
      <c r="W2" t="s">
        <v>40</v>
      </c>
      <c r="X2" t="s">
        <v>41</v>
      </c>
      <c r="Y2" t="s">
        <v>42</v>
      </c>
      <c r="Z2" t="s">
        <v>43</v>
      </c>
      <c r="AA2" t="s">
        <v>44</v>
      </c>
      <c r="AB2" t="s">
        <v>45</v>
      </c>
      <c r="AC2" t="s">
        <v>46</v>
      </c>
      <c r="AD2" t="s">
        <v>47</v>
      </c>
      <c r="AE2" t="s">
        <v>48</v>
      </c>
      <c r="AF2" t="s">
        <v>49</v>
      </c>
      <c r="AG2" t="s">
        <v>50</v>
      </c>
      <c r="AH2" t="s">
        <v>51</v>
      </c>
      <c r="AI2" t="s">
        <v>52</v>
      </c>
      <c r="AJ2" t="s">
        <v>53</v>
      </c>
      <c r="AK2" t="s">
        <v>54</v>
      </c>
      <c r="AL2" t="s">
        <v>55</v>
      </c>
      <c r="AM2" t="s">
        <v>56</v>
      </c>
      <c r="AN2" t="s">
        <v>57</v>
      </c>
      <c r="AO2" t="s">
        <v>55</v>
      </c>
      <c r="AP2" t="s">
        <v>56</v>
      </c>
      <c r="AQ2" t="s">
        <v>57</v>
      </c>
      <c r="AR2" t="s">
        <v>55</v>
      </c>
      <c r="AS2" t="s">
        <v>56</v>
      </c>
      <c r="AT2" t="s">
        <v>57</v>
      </c>
      <c r="AU2" t="s">
        <v>55</v>
      </c>
      <c r="AV2" t="s">
        <v>56</v>
      </c>
      <c r="AW2" t="s">
        <v>57</v>
      </c>
      <c r="AX2" t="s">
        <v>55</v>
      </c>
      <c r="AY2" t="s">
        <v>56</v>
      </c>
      <c r="AZ2" t="s">
        <v>57</v>
      </c>
      <c r="BA2" t="s">
        <v>55</v>
      </c>
      <c r="BB2" t="s">
        <v>56</v>
      </c>
      <c r="BC2" t="s">
        <v>57</v>
      </c>
      <c r="BD2" t="s">
        <v>55</v>
      </c>
      <c r="BE2" t="s">
        <v>56</v>
      </c>
      <c r="BF2" t="s">
        <v>57</v>
      </c>
      <c r="BG2" t="s">
        <v>55</v>
      </c>
      <c r="BH2" t="s">
        <v>56</v>
      </c>
      <c r="BI2" t="s">
        <v>57</v>
      </c>
      <c r="BJ2" t="s">
        <v>55</v>
      </c>
      <c r="BK2" t="s">
        <v>56</v>
      </c>
      <c r="BL2" t="s">
        <v>57</v>
      </c>
      <c r="BM2" t="s">
        <v>55</v>
      </c>
      <c r="BN2" t="s">
        <v>56</v>
      </c>
      <c r="BO2" t="s">
        <v>57</v>
      </c>
      <c r="BP2" t="s">
        <v>55</v>
      </c>
      <c r="BQ2" t="s">
        <v>56</v>
      </c>
      <c r="BR2" t="s">
        <v>57</v>
      </c>
      <c r="BS2" t="s">
        <v>55</v>
      </c>
      <c r="BT2" t="s">
        <v>56</v>
      </c>
      <c r="BU2" t="s">
        <v>57</v>
      </c>
      <c r="BV2" t="s">
        <v>55</v>
      </c>
      <c r="BW2" t="s">
        <v>56</v>
      </c>
      <c r="BX2" t="s">
        <v>57</v>
      </c>
      <c r="BY2" t="s">
        <v>58</v>
      </c>
      <c r="BZ2" t="s">
        <v>59</v>
      </c>
      <c r="CA2" t="s">
        <v>60</v>
      </c>
      <c r="CB2" t="s">
        <v>61</v>
      </c>
      <c r="CC2" t="s">
        <v>62</v>
      </c>
      <c r="CD2" t="s">
        <v>63</v>
      </c>
      <c r="CE2" t="s">
        <v>64</v>
      </c>
      <c r="CF2" t="s">
        <v>275</v>
      </c>
      <c r="CG2" t="s">
        <v>276</v>
      </c>
      <c r="CH2" t="s">
        <v>277</v>
      </c>
      <c r="CI2" t="s">
        <v>278</v>
      </c>
    </row>
    <row r="3" spans="1:87" hidden="1" x14ac:dyDescent="0.2">
      <c r="A3" t="s">
        <v>91</v>
      </c>
      <c r="B3" s="6" t="s">
        <v>338</v>
      </c>
      <c r="D3" t="s">
        <v>271</v>
      </c>
      <c r="E3" t="s">
        <v>92</v>
      </c>
      <c r="F3" t="s">
        <v>66</v>
      </c>
      <c r="G3" t="s">
        <v>85</v>
      </c>
      <c r="H3" t="s">
        <v>112</v>
      </c>
      <c r="I3" t="s">
        <v>94</v>
      </c>
      <c r="J3" t="s">
        <v>261</v>
      </c>
      <c r="K3" t="s">
        <v>95</v>
      </c>
      <c r="L3" t="s">
        <v>88</v>
      </c>
      <c r="M3" t="s">
        <v>70</v>
      </c>
      <c r="N3" t="s">
        <v>70</v>
      </c>
      <c r="O3" t="s">
        <v>202</v>
      </c>
      <c r="P3" s="4" t="str">
        <f t="shared" ref="P3:P34" si="0">E3&amp;"_"&amp;F3&amp;"_"&amp;G3&amp;"_"&amp;H3&amp;"_"&amp;I3&amp;"_"&amp;J3&amp;"_"&amp;K3&amp;"_"&amp;L3&amp;"_"&amp;M3&amp;"_"&amp;N3&amp;"_"&amp;O3&amp;"_"</f>
        <v>DFTL_SOC_DCSDDR_MDX001_SOCTDF_CDD0_PL00_SSC_X_X_SelsrmSSSS_</v>
      </c>
      <c r="S3" cm="1">
        <f t="array" ref="S3">_xlfn.IFS($AN3&gt;0,MAX(AL3:AM3),$AQ3&gt;0,MAX(AO3:AP3),$AT3&gt;0,MAX(AR3:AS3),$AW3&gt;0,MAX(AU3:AV3),$AZ3&gt;0,MAX(AX3:AY3),$BC3&gt;0,MAX(BA3:BB3),$BF3&gt;0,MAX(BD3:BE3),$BI3&gt;0,MAX(BG3:BH3),$BL3&gt;0,MAX(BJ3:BK3),$BO3&gt;0,MAX(BM3:BN3),$BR3&gt;0,MAX(BP3:BQ3),$BU3&gt;0,MAX(BS3:BT3),$BX3&gt;0,MAX(BV3:BW3))-0.01</f>
        <v>0.69</v>
      </c>
      <c r="T3" cm="1">
        <f t="array" ref="T3">_xlfn.IFS($AN3&gt;0,MIN(AL3:AM3),$AQ3&gt;0,MIN(AO3:AP3),$AT3&gt;0,MIN(AR3:AS3),$AW3&gt;0,MIN(AU3:AV3),$AZ3&gt;0,MIN(AX3:AY3),$BC3&gt;0,MIN(BA3:BB3),$BF3&gt;0,MIN(BD3:BE3),$BI3&gt;0,MIN(BG3:BH3),$BL3&gt;0,MIN(BJ3:BK3),$BO3&gt;0,MIN(BM3:BN3),$BR3&gt;0,MIN(BP3:BQ3),$BU3&gt;0,MIN(BS3:BT3),$BX3&gt;0,MIN(BV3:BW3))+0.01</f>
        <v>0.46</v>
      </c>
      <c r="U3" t="s">
        <v>71</v>
      </c>
      <c r="V3" t="s">
        <v>72</v>
      </c>
      <c r="W3" t="s">
        <v>320</v>
      </c>
      <c r="X3" t="s">
        <v>74</v>
      </c>
      <c r="Y3" t="s">
        <v>266</v>
      </c>
      <c r="AF3" t="s">
        <v>225</v>
      </c>
      <c r="AK3" t="s">
        <v>75</v>
      </c>
      <c r="AL3">
        <v>0.755</v>
      </c>
      <c r="AM3">
        <v>0.755</v>
      </c>
      <c r="AO3">
        <v>0.71499999999999997</v>
      </c>
      <c r="AP3">
        <v>0.71499999999999997</v>
      </c>
      <c r="AR3">
        <v>0.72</v>
      </c>
      <c r="AS3">
        <v>0.72</v>
      </c>
      <c r="AU3">
        <v>0.81</v>
      </c>
      <c r="AV3">
        <v>0.81</v>
      </c>
      <c r="AX3" s="1">
        <v>0.7</v>
      </c>
      <c r="AY3" s="1">
        <v>0.45</v>
      </c>
      <c r="AZ3">
        <v>5.0000000000000001E-3</v>
      </c>
      <c r="BA3">
        <v>0.76500000000000001</v>
      </c>
      <c r="BB3">
        <v>0.76500000000000001</v>
      </c>
      <c r="BD3">
        <v>0.85</v>
      </c>
      <c r="BE3">
        <v>0.85</v>
      </c>
      <c r="BG3">
        <v>0.77500000000000002</v>
      </c>
      <c r="BH3">
        <v>0.77500000000000002</v>
      </c>
      <c r="BJ3">
        <v>0.77500000000000002</v>
      </c>
      <c r="BK3">
        <v>0.77500000000000002</v>
      </c>
      <c r="BM3">
        <v>0.81</v>
      </c>
      <c r="BN3">
        <v>0.81</v>
      </c>
      <c r="BP3">
        <v>0.72</v>
      </c>
      <c r="BQ3">
        <v>0.72</v>
      </c>
      <c r="BS3">
        <v>0.8</v>
      </c>
      <c r="BT3">
        <v>0.8</v>
      </c>
      <c r="BV3">
        <v>1.32</v>
      </c>
      <c r="BW3">
        <v>1.32</v>
      </c>
      <c r="BY3" t="s">
        <v>76</v>
      </c>
      <c r="BZ3" cm="1">
        <f t="array" ref="BZ3">_xlfn.IFS($AN3&gt;0,AVERAGE(AL3:AM3),$AQ3&gt;0,AVERAGE(AO3:AP3),$AT3&gt;0,AVERAGE(AR3:AS3),$AW3&gt;0,AVERAGE(AU3:AV3),$AZ3&gt;0,AVERAGE(AX3:AY3),$BC3&gt;0,AVERAGE(BA3:BB3),$BF3&gt;0,AVERAGE(BD3:BE3),$BI3&gt;0,AVERAGE(BG3:BH3),$BL3&gt;0,AVERAGE(BJ3:BK3),$BO3&gt;0,AVERAGE(BM3:BN3),$BR3&gt;0,AVERAGE(BP3:BQ3),$BU3&gt;0,AVERAGE(BS3:BT3),$BX3&gt;0,AVERAGE(BV3:BW3))</f>
        <v>0.57499999999999996</v>
      </c>
      <c r="CA3">
        <v>0.72</v>
      </c>
      <c r="CC3">
        <v>0</v>
      </c>
      <c r="CD3">
        <f t="shared" ref="CD3:CD14" si="1">IF(ISNUMBER(SEARCH("TTR",$D3)),1,0)</f>
        <v>0</v>
      </c>
      <c r="CE3">
        <v>0</v>
      </c>
      <c r="CF3" s="1" t="s">
        <v>199</v>
      </c>
      <c r="CG3" s="1" t="s">
        <v>199</v>
      </c>
      <c r="CH3" s="1" t="s">
        <v>199</v>
      </c>
      <c r="CI3" s="1" t="s">
        <v>199</v>
      </c>
    </row>
    <row r="4" spans="1:87" hidden="1" x14ac:dyDescent="0.2">
      <c r="A4" t="s">
        <v>91</v>
      </c>
      <c r="B4" s="6" t="s">
        <v>338</v>
      </c>
      <c r="D4" t="s">
        <v>269</v>
      </c>
      <c r="E4" t="s">
        <v>92</v>
      </c>
      <c r="F4" t="s">
        <v>66</v>
      </c>
      <c r="G4" t="s">
        <v>85</v>
      </c>
      <c r="H4" t="s">
        <v>292</v>
      </c>
      <c r="I4" t="s">
        <v>94</v>
      </c>
      <c r="J4" t="s">
        <v>261</v>
      </c>
      <c r="K4" t="s">
        <v>95</v>
      </c>
      <c r="L4" t="s">
        <v>88</v>
      </c>
      <c r="M4" t="s">
        <v>70</v>
      </c>
      <c r="N4" t="s">
        <v>70</v>
      </c>
      <c r="O4" t="s">
        <v>202</v>
      </c>
      <c r="P4" s="4" t="str">
        <f t="shared" si="0"/>
        <v>DFTL_SOC_DCSDDR_MDX002_SOCTDF_CDD0_PL00_SSC_X_X_SelsrmSSSS_</v>
      </c>
      <c r="S4">
        <v>0.85</v>
      </c>
      <c r="T4">
        <v>0.79900000000000004</v>
      </c>
      <c r="U4" t="s">
        <v>71</v>
      </c>
      <c r="V4" t="s">
        <v>72</v>
      </c>
      <c r="W4" t="s">
        <v>320</v>
      </c>
      <c r="X4" t="s">
        <v>74</v>
      </c>
      <c r="Y4" t="s">
        <v>293</v>
      </c>
      <c r="AF4" t="s">
        <v>225</v>
      </c>
      <c r="AK4" t="s">
        <v>75</v>
      </c>
      <c r="AL4">
        <v>0.755</v>
      </c>
      <c r="AM4">
        <v>0.755</v>
      </c>
      <c r="AO4">
        <v>0.71499999999999997</v>
      </c>
      <c r="AP4">
        <v>0.71499999999999997</v>
      </c>
      <c r="AR4">
        <v>0.72</v>
      </c>
      <c r="AS4">
        <v>0.72</v>
      </c>
      <c r="AU4">
        <v>0.81</v>
      </c>
      <c r="AV4">
        <v>0.81</v>
      </c>
      <c r="AX4">
        <v>0.8</v>
      </c>
      <c r="AY4">
        <v>0.45</v>
      </c>
      <c r="AZ4">
        <v>5.0000000000000001E-3</v>
      </c>
      <c r="BA4">
        <v>0.76500000000000001</v>
      </c>
      <c r="BB4">
        <v>0.76500000000000001</v>
      </c>
      <c r="BD4">
        <v>0.85</v>
      </c>
      <c r="BE4">
        <v>0.85</v>
      </c>
      <c r="BG4">
        <v>0.77500000000000002</v>
      </c>
      <c r="BH4">
        <v>0.77500000000000002</v>
      </c>
      <c r="BJ4">
        <v>0.77500000000000002</v>
      </c>
      <c r="BK4">
        <v>0.77500000000000002</v>
      </c>
      <c r="BM4">
        <v>0.81</v>
      </c>
      <c r="BN4">
        <v>0.81</v>
      </c>
      <c r="BP4">
        <v>0.72</v>
      </c>
      <c r="BQ4">
        <v>0.72</v>
      </c>
      <c r="BS4">
        <v>0.8</v>
      </c>
      <c r="BT4">
        <v>0.8</v>
      </c>
      <c r="BV4">
        <v>1.32</v>
      </c>
      <c r="BW4">
        <v>1.32</v>
      </c>
      <c r="BY4" t="s">
        <v>76</v>
      </c>
      <c r="BZ4">
        <v>0.79900000000000004</v>
      </c>
      <c r="CA4">
        <v>0.85</v>
      </c>
      <c r="CC4">
        <f>IF(ISNUMBER(SEARCH("HTOL",$D4)),1,0)</f>
        <v>0</v>
      </c>
      <c r="CD4">
        <f t="shared" si="1"/>
        <v>0</v>
      </c>
      <c r="CE4">
        <v>0</v>
      </c>
      <c r="CF4" s="1" t="s">
        <v>279</v>
      </c>
    </row>
    <row r="5" spans="1:87" hidden="1" x14ac:dyDescent="0.2">
      <c r="A5" t="s">
        <v>91</v>
      </c>
      <c r="B5" s="6">
        <v>45513</v>
      </c>
      <c r="D5" t="s">
        <v>272</v>
      </c>
      <c r="E5" t="s">
        <v>92</v>
      </c>
      <c r="F5" t="s">
        <v>66</v>
      </c>
      <c r="G5" t="s">
        <v>66</v>
      </c>
      <c r="H5" t="s">
        <v>93</v>
      </c>
      <c r="I5" t="s">
        <v>94</v>
      </c>
      <c r="J5" t="s">
        <v>78</v>
      </c>
      <c r="K5" t="s">
        <v>95</v>
      </c>
      <c r="L5" t="s">
        <v>88</v>
      </c>
      <c r="M5" t="s">
        <v>70</v>
      </c>
      <c r="N5" t="s">
        <v>70</v>
      </c>
      <c r="O5" t="s">
        <v>202</v>
      </c>
      <c r="P5" s="4" t="str">
        <f t="shared" si="0"/>
        <v>DFTL_SOC_SOC_MSX001_SOCTDF_CCE0_PL00_SSC_X_X_SelsrmSSSS_</v>
      </c>
      <c r="S5" cm="1">
        <f t="array" ref="S5">_xlfn.IFS($AN5&gt;0,MAX(AL5:AM5),$AQ5&gt;0,MAX(AO5:AP5),$AT5&gt;0,MAX(AR5:AS5),$AW5&gt;0,MAX(AU5:AV5),$AZ5&gt;0,MAX(AX5:AY5),$BC5&gt;0,MAX(BA5:BB5),$BF5&gt;0,MAX(BD5:BE5),$BI5&gt;0,MAX(BG5:BH5),$BL5&gt;0,MAX(BJ5:BK5),$BO5&gt;0,MAX(BM5:BN5),$BR5&gt;0,MAX(BP5:BQ5),$BU5&gt;0,MAX(BS5:BT5),$BX5&gt;0,MAX(BV5:BW5))-0.01</f>
        <v>0.69</v>
      </c>
      <c r="T5" cm="1">
        <f t="array" ref="T5">_xlfn.IFS($AN5&gt;0,MIN(AL5:AM5),$AQ5&gt;0,MIN(AO5:AP5),$AT5&gt;0,MIN(AR5:AS5),$AW5&gt;0,MIN(AU5:AV5),$AZ5&gt;0,MIN(AX5:AY5),$BC5&gt;0,MIN(BA5:BB5),$BF5&gt;0,MIN(BD5:BE5),$BI5&gt;0,MIN(BG5:BH5),$BL5&gt;0,MIN(BJ5:BK5),$BO5&gt;0,MIN(BM5:BN5),$BR5&gt;0,MIN(BP5:BQ5),$BU5&gt;0,MIN(BS5:BT5),$BX5&gt;0,MIN(BV5:BW5))+0.01</f>
        <v>0.51</v>
      </c>
      <c r="U5" t="s">
        <v>71</v>
      </c>
      <c r="V5" t="s">
        <v>79</v>
      </c>
      <c r="W5" t="s">
        <v>73</v>
      </c>
      <c r="X5" t="s">
        <v>74</v>
      </c>
      <c r="Y5" t="s">
        <v>113</v>
      </c>
      <c r="AF5" t="s">
        <v>226</v>
      </c>
      <c r="AK5" t="s">
        <v>75</v>
      </c>
      <c r="AL5">
        <v>0.755</v>
      </c>
      <c r="AM5">
        <v>0.755</v>
      </c>
      <c r="AO5">
        <v>0.71499999999999997</v>
      </c>
      <c r="AP5">
        <v>0.71499999999999997</v>
      </c>
      <c r="AR5">
        <v>0.72</v>
      </c>
      <c r="AS5">
        <v>0.72</v>
      </c>
      <c r="AU5" s="1">
        <v>0.7</v>
      </c>
      <c r="AV5" s="1">
        <v>0.5</v>
      </c>
      <c r="AW5">
        <v>5.0000000000000001E-3</v>
      </c>
      <c r="AX5">
        <v>1.05</v>
      </c>
      <c r="AY5">
        <v>1.05</v>
      </c>
      <c r="BA5">
        <v>1.0349999999999999</v>
      </c>
      <c r="BB5">
        <v>1.0349999999999999</v>
      </c>
      <c r="BD5">
        <v>0.85</v>
      </c>
      <c r="BE5">
        <v>0.85</v>
      </c>
      <c r="BG5">
        <v>0.77500000000000002</v>
      </c>
      <c r="BH5">
        <v>0.77500000000000002</v>
      </c>
      <c r="BJ5">
        <v>0.77500000000000002</v>
      </c>
      <c r="BK5">
        <v>0.77500000000000002</v>
      </c>
      <c r="BM5">
        <v>0.81</v>
      </c>
      <c r="BN5">
        <v>0.81</v>
      </c>
      <c r="BP5">
        <v>0.72</v>
      </c>
      <c r="BQ5">
        <v>0.72</v>
      </c>
      <c r="BS5">
        <v>0.8</v>
      </c>
      <c r="BT5">
        <v>0.8</v>
      </c>
      <c r="BV5">
        <v>1.32</v>
      </c>
      <c r="BW5">
        <v>1.32</v>
      </c>
      <c r="BY5" t="s">
        <v>76</v>
      </c>
      <c r="BZ5" cm="1">
        <f t="array" ref="BZ5">_xlfn.IFS($AN5&gt;0,AVERAGE(AL5:AM5),$AQ5&gt;0,AVERAGE(AO5:AP5),$AT5&gt;0,AVERAGE(AR5:AS5),$AW5&gt;0,AVERAGE(AU5:AV5),$AZ5&gt;0,AVERAGE(AX5:AY5),$BC5&gt;0,AVERAGE(BA5:BB5),$BF5&gt;0,AVERAGE(BD5:BE5),$BI5&gt;0,AVERAGE(BG5:BH5),$BL5&gt;0,AVERAGE(BJ5:BK5),$BO5&gt;0,AVERAGE(BM5:BN5),$BR5&gt;0,AVERAGE(BP5:BQ5),$BU5&gt;0,AVERAGE(BS5:BT5),$BX5&gt;0,AVERAGE(BV5:BW5))</f>
        <v>0.6</v>
      </c>
      <c r="CA5">
        <v>0.73</v>
      </c>
      <c r="CC5">
        <v>0</v>
      </c>
      <c r="CD5">
        <f t="shared" si="1"/>
        <v>0</v>
      </c>
      <c r="CE5">
        <v>0</v>
      </c>
      <c r="CF5" t="s">
        <v>279</v>
      </c>
      <c r="CG5" t="s">
        <v>199</v>
      </c>
      <c r="CH5" t="s">
        <v>199</v>
      </c>
      <c r="CI5" t="s">
        <v>199</v>
      </c>
    </row>
    <row r="6" spans="1:87" hidden="1" x14ac:dyDescent="0.2">
      <c r="A6" t="s">
        <v>91</v>
      </c>
      <c r="B6" s="6" t="s">
        <v>338</v>
      </c>
      <c r="D6" t="s">
        <v>269</v>
      </c>
      <c r="E6" t="s">
        <v>92</v>
      </c>
      <c r="F6" t="s">
        <v>66</v>
      </c>
      <c r="G6" t="s">
        <v>85</v>
      </c>
      <c r="H6" t="s">
        <v>294</v>
      </c>
      <c r="I6" t="s">
        <v>94</v>
      </c>
      <c r="J6" t="s">
        <v>261</v>
      </c>
      <c r="K6" t="s">
        <v>95</v>
      </c>
      <c r="L6" t="s">
        <v>88</v>
      </c>
      <c r="M6" t="s">
        <v>70</v>
      </c>
      <c r="N6" t="s">
        <v>70</v>
      </c>
      <c r="O6" t="s">
        <v>202</v>
      </c>
      <c r="P6" s="4" t="str">
        <f t="shared" si="0"/>
        <v>DFTL_SOC_DCSDDR_MDX003_SOCTDF_CDD0_PL00_SSC_X_X_SelsrmSSSS_</v>
      </c>
      <c r="S6">
        <v>0.96499999999999997</v>
      </c>
      <c r="T6">
        <v>0.90710000000000002</v>
      </c>
      <c r="U6" t="s">
        <v>71</v>
      </c>
      <c r="V6" t="s">
        <v>72</v>
      </c>
      <c r="W6" t="s">
        <v>320</v>
      </c>
      <c r="X6" t="s">
        <v>74</v>
      </c>
      <c r="Y6" t="s">
        <v>295</v>
      </c>
      <c r="AF6" t="s">
        <v>225</v>
      </c>
      <c r="AK6" t="s">
        <v>75</v>
      </c>
      <c r="AL6">
        <v>0.755</v>
      </c>
      <c r="AM6">
        <v>0.755</v>
      </c>
      <c r="AO6">
        <v>0.71499999999999997</v>
      </c>
      <c r="AP6">
        <v>0.71499999999999997</v>
      </c>
      <c r="AR6">
        <v>0.72</v>
      </c>
      <c r="AS6">
        <v>0.72</v>
      </c>
      <c r="AU6">
        <v>0.81</v>
      </c>
      <c r="AV6">
        <v>0.81</v>
      </c>
      <c r="AX6">
        <v>0.9</v>
      </c>
      <c r="AY6">
        <v>0.5</v>
      </c>
      <c r="AZ6">
        <v>5.0000000000000001E-3</v>
      </c>
      <c r="BA6">
        <v>0.76500000000000001</v>
      </c>
      <c r="BB6">
        <v>0.76500000000000001</v>
      </c>
      <c r="BD6">
        <v>0.85</v>
      </c>
      <c r="BE6">
        <v>0.85</v>
      </c>
      <c r="BG6">
        <v>0.77500000000000002</v>
      </c>
      <c r="BH6">
        <v>0.77500000000000002</v>
      </c>
      <c r="BJ6">
        <v>0.77500000000000002</v>
      </c>
      <c r="BK6">
        <v>0.77500000000000002</v>
      </c>
      <c r="BM6">
        <v>0.81</v>
      </c>
      <c r="BN6">
        <v>0.81</v>
      </c>
      <c r="BP6">
        <v>0.72</v>
      </c>
      <c r="BQ6">
        <v>0.72</v>
      </c>
      <c r="BS6">
        <v>0.8</v>
      </c>
      <c r="BT6">
        <v>0.8</v>
      </c>
      <c r="BV6">
        <v>1.32</v>
      </c>
      <c r="BW6">
        <v>1.32</v>
      </c>
      <c r="BY6" t="s">
        <v>76</v>
      </c>
      <c r="BZ6">
        <v>0.90700000000000003</v>
      </c>
      <c r="CA6">
        <v>0.96499999999999997</v>
      </c>
      <c r="CC6">
        <f>IF(ISNUMBER(SEARCH("HTOL",$D6)),1,0)</f>
        <v>0</v>
      </c>
      <c r="CD6">
        <f t="shared" si="1"/>
        <v>0</v>
      </c>
      <c r="CE6">
        <v>0</v>
      </c>
      <c r="CF6" s="1" t="s">
        <v>279</v>
      </c>
    </row>
    <row r="7" spans="1:87" hidden="1" x14ac:dyDescent="0.2">
      <c r="A7" t="s">
        <v>91</v>
      </c>
      <c r="B7" s="6" t="s">
        <v>338</v>
      </c>
      <c r="D7" t="s">
        <v>269</v>
      </c>
      <c r="E7" t="s">
        <v>92</v>
      </c>
      <c r="F7" t="s">
        <v>66</v>
      </c>
      <c r="G7" t="s">
        <v>85</v>
      </c>
      <c r="H7" t="s">
        <v>296</v>
      </c>
      <c r="I7" t="s">
        <v>94</v>
      </c>
      <c r="J7" t="s">
        <v>261</v>
      </c>
      <c r="K7" t="s">
        <v>95</v>
      </c>
      <c r="L7" t="s">
        <v>88</v>
      </c>
      <c r="M7" t="s">
        <v>70</v>
      </c>
      <c r="N7" t="s">
        <v>70</v>
      </c>
      <c r="O7" t="s">
        <v>202</v>
      </c>
      <c r="P7" s="4" t="str">
        <f t="shared" si="0"/>
        <v>DFTL_SOC_DCSDDR_MDX004_SOCTDF_CDD0_PL00_SSC_X_X_SelsrmSSSS_</v>
      </c>
      <c r="S7">
        <v>1.01</v>
      </c>
      <c r="T7">
        <v>0.94940000000000002</v>
      </c>
      <c r="U7" t="s">
        <v>71</v>
      </c>
      <c r="V7" t="s">
        <v>72</v>
      </c>
      <c r="W7" t="s">
        <v>320</v>
      </c>
      <c r="X7" t="s">
        <v>74</v>
      </c>
      <c r="Y7" t="s">
        <v>297</v>
      </c>
      <c r="AF7" t="s">
        <v>225</v>
      </c>
      <c r="AK7" t="s">
        <v>75</v>
      </c>
      <c r="AL7">
        <v>0.755</v>
      </c>
      <c r="AM7">
        <v>0.755</v>
      </c>
      <c r="AO7">
        <v>0.71499999999999997</v>
      </c>
      <c r="AP7">
        <v>0.71499999999999997</v>
      </c>
      <c r="AR7">
        <v>0.72</v>
      </c>
      <c r="AS7">
        <v>0.72</v>
      </c>
      <c r="AU7">
        <v>0.81</v>
      </c>
      <c r="AV7">
        <v>0.81</v>
      </c>
      <c r="AX7">
        <v>1</v>
      </c>
      <c r="AY7">
        <v>0.6</v>
      </c>
      <c r="AZ7">
        <v>5.0000000000000001E-3</v>
      </c>
      <c r="BA7">
        <v>0.76500000000000001</v>
      </c>
      <c r="BB7">
        <v>0.76500000000000001</v>
      </c>
      <c r="BD7">
        <v>0.85</v>
      </c>
      <c r="BE7">
        <v>0.85</v>
      </c>
      <c r="BG7">
        <v>0.77500000000000002</v>
      </c>
      <c r="BH7">
        <v>0.77500000000000002</v>
      </c>
      <c r="BJ7">
        <v>0.77500000000000002</v>
      </c>
      <c r="BK7">
        <v>0.77500000000000002</v>
      </c>
      <c r="BM7">
        <v>0.81</v>
      </c>
      <c r="BN7">
        <v>0.81</v>
      </c>
      <c r="BP7">
        <v>0.72</v>
      </c>
      <c r="BQ7">
        <v>0.72</v>
      </c>
      <c r="BS7">
        <v>0.8</v>
      </c>
      <c r="BT7">
        <v>0.8</v>
      </c>
      <c r="BV7">
        <v>1.32</v>
      </c>
      <c r="BW7">
        <v>1.32</v>
      </c>
      <c r="BY7" t="s">
        <v>76</v>
      </c>
      <c r="BZ7">
        <v>0.94899999999999995</v>
      </c>
      <c r="CA7">
        <v>1.01</v>
      </c>
      <c r="CC7">
        <f>IF(ISNUMBER(SEARCH("HTOL",$D7)),1,0)</f>
        <v>0</v>
      </c>
      <c r="CD7">
        <f t="shared" si="1"/>
        <v>0</v>
      </c>
      <c r="CE7">
        <v>0</v>
      </c>
      <c r="CF7" s="1" t="s">
        <v>279</v>
      </c>
    </row>
    <row r="8" spans="1:87" hidden="1" x14ac:dyDescent="0.2">
      <c r="A8" t="s">
        <v>91</v>
      </c>
      <c r="B8" s="6" t="s">
        <v>338</v>
      </c>
      <c r="D8" t="s">
        <v>269</v>
      </c>
      <c r="E8" t="s">
        <v>92</v>
      </c>
      <c r="F8" t="s">
        <v>66</v>
      </c>
      <c r="G8" t="s">
        <v>85</v>
      </c>
      <c r="H8" t="s">
        <v>298</v>
      </c>
      <c r="I8" t="s">
        <v>94</v>
      </c>
      <c r="J8" t="s">
        <v>261</v>
      </c>
      <c r="K8" t="s">
        <v>95</v>
      </c>
      <c r="L8" t="s">
        <v>88</v>
      </c>
      <c r="M8" t="s">
        <v>70</v>
      </c>
      <c r="N8" t="s">
        <v>70</v>
      </c>
      <c r="O8" t="s">
        <v>202</v>
      </c>
      <c r="P8" s="4" t="str">
        <f t="shared" si="0"/>
        <v>DFTL_SOC_DCSDDR_MDX005_SOCTDF_CDD0_PL00_SSC_X_X_SelsrmSSSS_</v>
      </c>
      <c r="S8">
        <v>1.05</v>
      </c>
      <c r="T8">
        <v>0.98699999999999999</v>
      </c>
      <c r="U8" t="s">
        <v>71</v>
      </c>
      <c r="V8" t="s">
        <v>72</v>
      </c>
      <c r="W8" t="s">
        <v>320</v>
      </c>
      <c r="X8" t="s">
        <v>74</v>
      </c>
      <c r="Y8" t="s">
        <v>299</v>
      </c>
      <c r="AF8" t="s">
        <v>225</v>
      </c>
      <c r="AK8" t="s">
        <v>75</v>
      </c>
      <c r="AL8">
        <v>0.755</v>
      </c>
      <c r="AM8">
        <v>0.755</v>
      </c>
      <c r="AO8">
        <v>0.71499999999999997</v>
      </c>
      <c r="AP8">
        <v>0.71499999999999997</v>
      </c>
      <c r="AR8">
        <v>0.72</v>
      </c>
      <c r="AS8">
        <v>0.72</v>
      </c>
      <c r="AU8">
        <v>0.81</v>
      </c>
      <c r="AV8">
        <v>0.81</v>
      </c>
      <c r="AX8">
        <v>1</v>
      </c>
      <c r="AY8">
        <v>0.6</v>
      </c>
      <c r="AZ8">
        <v>5.0000000000000001E-3</v>
      </c>
      <c r="BA8">
        <v>0.76500000000000001</v>
      </c>
      <c r="BB8">
        <v>0.76500000000000001</v>
      </c>
      <c r="BD8">
        <v>0.85</v>
      </c>
      <c r="BE8">
        <v>0.85</v>
      </c>
      <c r="BG8">
        <v>0.77500000000000002</v>
      </c>
      <c r="BH8">
        <v>0.77500000000000002</v>
      </c>
      <c r="BJ8">
        <v>0.77500000000000002</v>
      </c>
      <c r="BK8">
        <v>0.77500000000000002</v>
      </c>
      <c r="BM8">
        <v>0.81</v>
      </c>
      <c r="BN8">
        <v>0.81</v>
      </c>
      <c r="BP8">
        <v>0.72</v>
      </c>
      <c r="BQ8">
        <v>0.72</v>
      </c>
      <c r="BS8">
        <v>0.8</v>
      </c>
      <c r="BT8">
        <v>0.8</v>
      </c>
      <c r="BV8">
        <v>1.32</v>
      </c>
      <c r="BW8">
        <v>1.32</v>
      </c>
      <c r="BY8" t="s">
        <v>76</v>
      </c>
      <c r="BZ8">
        <v>0.98699999999999999</v>
      </c>
      <c r="CA8">
        <v>1.05</v>
      </c>
      <c r="CC8">
        <f>IF(ISNUMBER(SEARCH("HTOL",$D8)),1,0)</f>
        <v>0</v>
      </c>
      <c r="CD8">
        <f t="shared" si="1"/>
        <v>0</v>
      </c>
      <c r="CE8">
        <v>0</v>
      </c>
      <c r="CF8" s="1" t="s">
        <v>279</v>
      </c>
    </row>
    <row r="9" spans="1:87" hidden="1" x14ac:dyDescent="0.2">
      <c r="A9" t="s">
        <v>91</v>
      </c>
      <c r="B9" s="6" t="s">
        <v>338</v>
      </c>
      <c r="D9" t="s">
        <v>269</v>
      </c>
      <c r="E9" t="s">
        <v>92</v>
      </c>
      <c r="F9" t="s">
        <v>66</v>
      </c>
      <c r="G9" t="s">
        <v>85</v>
      </c>
      <c r="H9" t="s">
        <v>300</v>
      </c>
      <c r="I9" t="s">
        <v>94</v>
      </c>
      <c r="J9" t="s">
        <v>261</v>
      </c>
      <c r="K9" t="s">
        <v>95</v>
      </c>
      <c r="L9" t="s">
        <v>88</v>
      </c>
      <c r="M9" t="s">
        <v>70</v>
      </c>
      <c r="N9" t="s">
        <v>70</v>
      </c>
      <c r="O9" t="s">
        <v>202</v>
      </c>
      <c r="P9" s="4" t="str">
        <f t="shared" si="0"/>
        <v>DFTL_SOC_DCSDDR_MDX006_SOCTDF_CDD0_PL00_SSC_X_X_SelsrmSSSS_</v>
      </c>
      <c r="S9">
        <v>1.095</v>
      </c>
      <c r="T9">
        <v>1.0293000000000001</v>
      </c>
      <c r="U9" t="s">
        <v>71</v>
      </c>
      <c r="V9" t="s">
        <v>72</v>
      </c>
      <c r="W9" t="s">
        <v>320</v>
      </c>
      <c r="X9" t="s">
        <v>74</v>
      </c>
      <c r="Y9" t="s">
        <v>301</v>
      </c>
      <c r="AF9" t="s">
        <v>225</v>
      </c>
      <c r="AK9" t="s">
        <v>75</v>
      </c>
      <c r="AL9">
        <v>0.755</v>
      </c>
      <c r="AM9">
        <v>0.755</v>
      </c>
      <c r="AO9">
        <v>0.71499999999999997</v>
      </c>
      <c r="AP9">
        <v>0.71499999999999997</v>
      </c>
      <c r="AR9">
        <v>0.72</v>
      </c>
      <c r="AS9">
        <v>0.72</v>
      </c>
      <c r="AU9">
        <v>0.81</v>
      </c>
      <c r="AV9">
        <v>0.81</v>
      </c>
      <c r="AX9">
        <v>1.2</v>
      </c>
      <c r="AY9">
        <v>0.65</v>
      </c>
      <c r="AZ9">
        <v>5.0000000000000001E-3</v>
      </c>
      <c r="BA9">
        <v>0.76500000000000001</v>
      </c>
      <c r="BB9">
        <v>0.76500000000000001</v>
      </c>
      <c r="BD9">
        <v>0.85</v>
      </c>
      <c r="BE9">
        <v>0.85</v>
      </c>
      <c r="BG9">
        <v>0.77500000000000002</v>
      </c>
      <c r="BH9">
        <v>0.77500000000000002</v>
      </c>
      <c r="BJ9">
        <v>0.77500000000000002</v>
      </c>
      <c r="BK9">
        <v>0.77500000000000002</v>
      </c>
      <c r="BM9">
        <v>0.81</v>
      </c>
      <c r="BN9">
        <v>0.81</v>
      </c>
      <c r="BP9">
        <v>0.72</v>
      </c>
      <c r="BQ9">
        <v>0.72</v>
      </c>
      <c r="BS9">
        <v>0.8</v>
      </c>
      <c r="BT9">
        <v>0.8</v>
      </c>
      <c r="BV9">
        <v>1.32</v>
      </c>
      <c r="BW9">
        <v>1.32</v>
      </c>
      <c r="BY9" t="s">
        <v>76</v>
      </c>
      <c r="BZ9">
        <v>1.0289999999999999</v>
      </c>
      <c r="CA9">
        <v>1.095</v>
      </c>
      <c r="CC9">
        <f>IF(ISNUMBER(SEARCH("HTOL",$D9)),1,0)</f>
        <v>0</v>
      </c>
      <c r="CD9">
        <f t="shared" si="1"/>
        <v>0</v>
      </c>
      <c r="CE9">
        <v>0</v>
      </c>
      <c r="CF9" s="1" t="s">
        <v>279</v>
      </c>
    </row>
    <row r="10" spans="1:87" hidden="1" x14ac:dyDescent="0.2">
      <c r="A10" t="s">
        <v>91</v>
      </c>
      <c r="B10" s="6" t="s">
        <v>338</v>
      </c>
      <c r="D10" t="s">
        <v>269</v>
      </c>
      <c r="E10" t="s">
        <v>92</v>
      </c>
      <c r="F10" t="s">
        <v>66</v>
      </c>
      <c r="G10" t="s">
        <v>85</v>
      </c>
      <c r="H10" t="s">
        <v>302</v>
      </c>
      <c r="I10" t="s">
        <v>94</v>
      </c>
      <c r="J10" t="s">
        <v>261</v>
      </c>
      <c r="K10" t="s">
        <v>95</v>
      </c>
      <c r="L10" t="s">
        <v>88</v>
      </c>
      <c r="M10" t="s">
        <v>70</v>
      </c>
      <c r="N10" t="s">
        <v>70</v>
      </c>
      <c r="O10" t="s">
        <v>202</v>
      </c>
      <c r="P10" s="4" t="str">
        <f t="shared" si="0"/>
        <v>DFTL_SOC_DCSDDR_MDX007_SOCTDF_CDD0_PL00_SSC_X_X_SelsrmSSSS_</v>
      </c>
      <c r="S10">
        <v>1.3089999999999999</v>
      </c>
      <c r="T10">
        <v>1.19</v>
      </c>
      <c r="U10" t="s">
        <v>71</v>
      </c>
      <c r="V10" t="s">
        <v>72</v>
      </c>
      <c r="W10" t="s">
        <v>320</v>
      </c>
      <c r="X10" t="s">
        <v>74</v>
      </c>
      <c r="Y10" t="s">
        <v>303</v>
      </c>
      <c r="AF10" t="s">
        <v>225</v>
      </c>
      <c r="AK10" t="s">
        <v>75</v>
      </c>
      <c r="AL10">
        <v>0.755</v>
      </c>
      <c r="AM10">
        <v>0.755</v>
      </c>
      <c r="AO10">
        <v>0.71499999999999997</v>
      </c>
      <c r="AP10">
        <v>0.71499999999999997</v>
      </c>
      <c r="AR10">
        <v>0.72</v>
      </c>
      <c r="AS10">
        <v>0.72</v>
      </c>
      <c r="AU10">
        <v>0.81</v>
      </c>
      <c r="AV10">
        <v>0.81</v>
      </c>
      <c r="AX10">
        <v>1.2</v>
      </c>
      <c r="AY10">
        <v>0.7</v>
      </c>
      <c r="AZ10">
        <v>5.0000000000000001E-3</v>
      </c>
      <c r="BA10">
        <v>0.76500000000000001</v>
      </c>
      <c r="BB10">
        <v>0.76500000000000001</v>
      </c>
      <c r="BD10">
        <v>0.85</v>
      </c>
      <c r="BE10">
        <v>0.85</v>
      </c>
      <c r="BG10">
        <v>0.77500000000000002</v>
      </c>
      <c r="BH10">
        <v>0.77500000000000002</v>
      </c>
      <c r="BJ10">
        <v>0.77500000000000002</v>
      </c>
      <c r="BK10">
        <v>0.77500000000000002</v>
      </c>
      <c r="BM10">
        <v>0.81</v>
      </c>
      <c r="BN10">
        <v>0.81</v>
      </c>
      <c r="BP10">
        <v>0.72</v>
      </c>
      <c r="BQ10">
        <v>0.72</v>
      </c>
      <c r="BS10">
        <v>0.8</v>
      </c>
      <c r="BT10">
        <v>0.8</v>
      </c>
      <c r="BV10">
        <v>1.32</v>
      </c>
      <c r="BW10">
        <v>1.32</v>
      </c>
      <c r="BY10" t="s">
        <v>76</v>
      </c>
      <c r="BZ10">
        <v>1.3089999999999999</v>
      </c>
      <c r="CA10">
        <v>1.19</v>
      </c>
      <c r="CC10">
        <f>IF(ISNUMBER(SEARCH("HTOL",$D10)),1,0)</f>
        <v>0</v>
      </c>
      <c r="CD10">
        <f t="shared" si="1"/>
        <v>0</v>
      </c>
      <c r="CE10">
        <v>0</v>
      </c>
      <c r="CF10" s="1" t="s">
        <v>279</v>
      </c>
    </row>
    <row r="11" spans="1:87" hidden="1" x14ac:dyDescent="0.2">
      <c r="A11" t="s">
        <v>91</v>
      </c>
      <c r="B11" s="6">
        <v>45513</v>
      </c>
      <c r="D11" t="s">
        <v>271</v>
      </c>
      <c r="E11" t="s">
        <v>92</v>
      </c>
      <c r="F11" t="s">
        <v>66</v>
      </c>
      <c r="G11" t="s">
        <v>83</v>
      </c>
      <c r="H11" t="s">
        <v>100</v>
      </c>
      <c r="I11" t="s">
        <v>94</v>
      </c>
      <c r="J11" t="s">
        <v>84</v>
      </c>
      <c r="K11" t="s">
        <v>95</v>
      </c>
      <c r="L11" t="s">
        <v>69</v>
      </c>
      <c r="M11" t="s">
        <v>70</v>
      </c>
      <c r="N11" t="s">
        <v>70</v>
      </c>
      <c r="O11" t="s">
        <v>202</v>
      </c>
      <c r="P11" s="4" t="str">
        <f t="shared" si="0"/>
        <v>DFTL_SOC_PCPU_MPX001_SOCTDF_CAD0_PL00_PRC_X_X_SelsrmSSSS_</v>
      </c>
      <c r="S11" cm="1">
        <f t="array" ref="S11">_xlfn.IFS($AN11&gt;0,MAX(AL11:AM11),$AQ11&gt;0,MAX(AO11:AP11),$AT11&gt;0,MAX(AR11:AS11),$AW11&gt;0,MAX(AU11:AV11),$AZ11&gt;0,MAX(AX11:AY11),$BC11&gt;0,MAX(BA11:BB11),$BF11&gt;0,MAX(BD11:BE11),$BI11&gt;0,MAX(BG11:BH11),$BL11&gt;0,MAX(BJ11:BK11),$BO11&gt;0,MAX(BM11:BN11),$BR11&gt;0,MAX(BP11:BQ11),$BU11&gt;0,MAX(BS11:BT11),$BX11&gt;0,MAX(BV11:BW11))-0.01</f>
        <v>0.69</v>
      </c>
      <c r="T11" cm="1">
        <f t="array" ref="T11">_xlfn.IFS($AN11&gt;0,MIN(AL11:AM11),$AQ11&gt;0,MIN(AO11:AP11),$AT11&gt;0,MIN(AR11:AS11),$AW11&gt;0,MIN(AU11:AV11),$AZ11&gt;0,MIN(AX11:AY11),$BC11&gt;0,MIN(BA11:BB11),$BF11&gt;0,MIN(BD11:BE11),$BI11&gt;0,MIN(BG11:BH11),$BL11&gt;0,MIN(BJ11:BK11),$BO11&gt;0,MIN(BM11:BN11),$BR11&gt;0,MIN(BP11:BQ11),$BU11&gt;0,MIN(BS11:BT11),$BX11&gt;0,MIN(BV11:BW11))+0.01</f>
        <v>0.46</v>
      </c>
      <c r="U11" t="s">
        <v>71</v>
      </c>
      <c r="V11" t="s">
        <v>72</v>
      </c>
      <c r="W11" t="s">
        <v>73</v>
      </c>
      <c r="X11" t="s">
        <v>74</v>
      </c>
      <c r="Y11" t="s">
        <v>110</v>
      </c>
      <c r="AF11" t="s">
        <v>111</v>
      </c>
      <c r="AK11" t="s">
        <v>75</v>
      </c>
      <c r="AL11" s="1">
        <v>0.7</v>
      </c>
      <c r="AM11" s="1">
        <v>0.45</v>
      </c>
      <c r="AN11">
        <v>5.0000000000000001E-3</v>
      </c>
      <c r="AO11">
        <v>0.71499999999999997</v>
      </c>
      <c r="AP11">
        <v>0.71499999999999997</v>
      </c>
      <c r="AR11">
        <v>0.72</v>
      </c>
      <c r="AS11">
        <v>0.72</v>
      </c>
      <c r="AU11">
        <v>1.1100000000000001</v>
      </c>
      <c r="AV11">
        <v>1.1100000000000001</v>
      </c>
      <c r="AX11">
        <v>0.72</v>
      </c>
      <c r="AY11">
        <v>0.72</v>
      </c>
      <c r="BA11">
        <v>0.76500000000000001</v>
      </c>
      <c r="BB11">
        <v>0.76500000000000001</v>
      </c>
      <c r="BD11">
        <v>0.85</v>
      </c>
      <c r="BE11">
        <v>0.85</v>
      </c>
      <c r="BG11">
        <v>0.77500000000000002</v>
      </c>
      <c r="BH11">
        <v>0.77500000000000002</v>
      </c>
      <c r="BJ11">
        <v>0.77500000000000002</v>
      </c>
      <c r="BK11">
        <v>0.77500000000000002</v>
      </c>
      <c r="BM11">
        <v>0.81</v>
      </c>
      <c r="BN11">
        <v>0.81</v>
      </c>
      <c r="BP11">
        <v>0.72</v>
      </c>
      <c r="BQ11">
        <v>0.72</v>
      </c>
      <c r="BS11">
        <v>0.8</v>
      </c>
      <c r="BT11">
        <v>0.8</v>
      </c>
      <c r="BV11">
        <v>1.32</v>
      </c>
      <c r="BW11">
        <v>1.32</v>
      </c>
      <c r="BY11" t="s">
        <v>76</v>
      </c>
      <c r="BZ11" cm="1">
        <f t="array" ref="BZ11">_xlfn.IFS($AN11&gt;0,AVERAGE(AL11:AM11),$AQ11&gt;0,AVERAGE(AO11:AP11),$AT11&gt;0,AVERAGE(AR11:AS11),$AW11&gt;0,AVERAGE(AU11:AV11),$AZ11&gt;0,AVERAGE(AX11:AY11),$BC11&gt;0,AVERAGE(BA11:BB11),$BF11&gt;0,AVERAGE(BD11:BE11),$BI11&gt;0,AVERAGE(BG11:BH11),$BL11&gt;0,AVERAGE(BJ11:BK11),$BO11&gt;0,AVERAGE(BM11:BN11),$BR11&gt;0,AVERAGE(BP11:BQ11),$BU11&gt;0,AVERAGE(BS11:BT11),$BX11&gt;0,AVERAGE(BV11:BW11))</f>
        <v>0.57499999999999996</v>
      </c>
      <c r="CA11">
        <v>0.755</v>
      </c>
      <c r="CC11">
        <v>0</v>
      </c>
      <c r="CD11">
        <f t="shared" si="1"/>
        <v>0</v>
      </c>
      <c r="CE11">
        <v>0</v>
      </c>
      <c r="CF11" t="s">
        <v>199</v>
      </c>
      <c r="CG11" t="s">
        <v>199</v>
      </c>
      <c r="CH11" t="s">
        <v>199</v>
      </c>
      <c r="CI11" t="s">
        <v>199</v>
      </c>
    </row>
    <row r="12" spans="1:87" hidden="1" x14ac:dyDescent="0.2">
      <c r="A12" t="s">
        <v>91</v>
      </c>
      <c r="B12" s="6">
        <v>45513</v>
      </c>
      <c r="D12" t="s">
        <v>271</v>
      </c>
      <c r="E12" t="s">
        <v>92</v>
      </c>
      <c r="F12" t="s">
        <v>66</v>
      </c>
      <c r="G12" t="s">
        <v>83</v>
      </c>
      <c r="H12" t="s">
        <v>109</v>
      </c>
      <c r="I12" t="s">
        <v>94</v>
      </c>
      <c r="J12" t="s">
        <v>84</v>
      </c>
      <c r="K12" t="s">
        <v>95</v>
      </c>
      <c r="L12" t="s">
        <v>69</v>
      </c>
      <c r="M12" t="s">
        <v>70</v>
      </c>
      <c r="N12" t="s">
        <v>70</v>
      </c>
      <c r="O12" t="s">
        <v>202</v>
      </c>
      <c r="P12" s="4" t="str">
        <f t="shared" si="0"/>
        <v>DFTL_SOC_PCPU_MPX00D_SOCTDF_CAD0_PL00_PRC_X_X_SelsrmSSSS_</v>
      </c>
      <c r="S12" cm="1">
        <f t="array" ref="S12">_xlfn.IFS($AN12&gt;0,MAX(AL12:AM12),$AQ12&gt;0,MAX(AO12:AP12),$AT12&gt;0,MAX(AR12:AS12),$AW12&gt;0,MAX(AU12:AV12),$AZ12&gt;0,MAX(AX12:AY12),$BC12&gt;0,MAX(BA12:BB12),$BF12&gt;0,MAX(BD12:BE12),$BI12&gt;0,MAX(BG12:BH12),$BL12&gt;0,MAX(BJ12:BK12),$BO12&gt;0,MAX(BM12:BN12),$BR12&gt;0,MAX(BP12:BQ12),$BU12&gt;0,MAX(BS12:BT12),$BX12&gt;0,MAX(BV12:BW12))-0.01</f>
        <v>1.0900000000000001</v>
      </c>
      <c r="T12" cm="1">
        <f t="array" ref="T12">_xlfn.IFS($AN12&gt;0,MIN(AL12:AM12),$AQ12&gt;0,MIN(AO12:AP12),$AT12&gt;0,MIN(AR12:AS12),$AW12&gt;0,MIN(AU12:AV12),$AZ12&gt;0,MIN(AX12:AY12),$BC12&gt;0,MIN(BA12:BB12),$BF12&gt;0,MIN(BD12:BE12),$BI12&gt;0,MIN(BG12:BH12),$BL12&gt;0,MIN(BJ12:BK12),$BO12&gt;0,MIN(BM12:BN12),$BR12&gt;0,MIN(BP12:BQ12),$BU12&gt;0,MIN(BS12:BT12),$BX12&gt;0,MIN(BV12:BW12))+0.01</f>
        <v>0.81</v>
      </c>
      <c r="U12" t="s">
        <v>71</v>
      </c>
      <c r="V12" t="s">
        <v>72</v>
      </c>
      <c r="W12" t="s">
        <v>73</v>
      </c>
      <c r="X12" t="s">
        <v>74</v>
      </c>
      <c r="Y12" t="s">
        <v>245</v>
      </c>
      <c r="AF12" t="s">
        <v>111</v>
      </c>
      <c r="AK12" t="s">
        <v>75</v>
      </c>
      <c r="AL12" s="1">
        <v>1.1000000000000001</v>
      </c>
      <c r="AM12" s="1">
        <v>0.8</v>
      </c>
      <c r="AN12">
        <v>5.0000000000000001E-3</v>
      </c>
      <c r="AO12">
        <v>0.71499999999999997</v>
      </c>
      <c r="AP12">
        <v>0.71499999999999997</v>
      </c>
      <c r="AR12">
        <v>0.72</v>
      </c>
      <c r="AS12">
        <v>0.72</v>
      </c>
      <c r="AU12">
        <v>1.1100000000000001</v>
      </c>
      <c r="AV12">
        <v>1.1100000000000001</v>
      </c>
      <c r="AX12">
        <v>0.72</v>
      </c>
      <c r="AY12">
        <v>0.72</v>
      </c>
      <c r="BA12">
        <v>0.76500000000000001</v>
      </c>
      <c r="BB12">
        <v>0.76500000000000001</v>
      </c>
      <c r="BD12">
        <v>1.1850000000000001</v>
      </c>
      <c r="BE12">
        <v>1.1850000000000001</v>
      </c>
      <c r="BG12">
        <v>0.77500000000000002</v>
      </c>
      <c r="BH12">
        <v>0.77500000000000002</v>
      </c>
      <c r="BJ12">
        <v>0.77500000000000002</v>
      </c>
      <c r="BK12">
        <v>0.77500000000000002</v>
      </c>
      <c r="BM12">
        <v>0.81</v>
      </c>
      <c r="BN12">
        <v>0.81</v>
      </c>
      <c r="BP12">
        <v>0.72</v>
      </c>
      <c r="BQ12">
        <v>0.72</v>
      </c>
      <c r="BS12">
        <v>0.8</v>
      </c>
      <c r="BT12">
        <v>0.8</v>
      </c>
      <c r="BV12">
        <v>1.32</v>
      </c>
      <c r="BW12">
        <v>1.32</v>
      </c>
      <c r="BY12" t="s">
        <v>76</v>
      </c>
      <c r="BZ12" cm="1">
        <f t="array" ref="BZ12">_xlfn.IFS($AN12&gt;0,AVERAGE(AL12:AM12),$AQ12&gt;0,AVERAGE(AO12:AP12),$AT12&gt;0,AVERAGE(AR12:AS12),$AW12&gt;0,AVERAGE(AU12:AV12),$AZ12&gt;0,AVERAGE(AX12:AY12),$BC12&gt;0,AVERAGE(BA12:BB12),$BF12&gt;0,AVERAGE(BD12:BE12),$BI12&gt;0,AVERAGE(BG12:BH12),$BL12&gt;0,AVERAGE(BJ12:BK12),$BO12&gt;0,AVERAGE(BM12:BN12),$BR12&gt;0,AVERAGE(BP12:BQ12),$BU12&gt;0,AVERAGE(BS12:BT12),$BX12&gt;0,AVERAGE(BV12:BW12))</f>
        <v>0.95000000000000007</v>
      </c>
      <c r="CA12">
        <v>1.18</v>
      </c>
      <c r="CC12">
        <v>0</v>
      </c>
      <c r="CD12">
        <f t="shared" si="1"/>
        <v>0</v>
      </c>
      <c r="CE12">
        <v>0</v>
      </c>
      <c r="CF12" t="s">
        <v>199</v>
      </c>
      <c r="CG12" t="s">
        <v>199</v>
      </c>
      <c r="CH12" t="s">
        <v>199</v>
      </c>
      <c r="CI12" t="s">
        <v>199</v>
      </c>
    </row>
    <row r="13" spans="1:87" hidden="1" x14ac:dyDescent="0.2">
      <c r="A13" t="s">
        <v>91</v>
      </c>
      <c r="B13" s="6" t="s">
        <v>338</v>
      </c>
      <c r="D13" t="s">
        <v>271</v>
      </c>
      <c r="E13" t="s">
        <v>92</v>
      </c>
      <c r="F13" t="s">
        <v>66</v>
      </c>
      <c r="G13" t="s">
        <v>85</v>
      </c>
      <c r="H13" t="s">
        <v>143</v>
      </c>
      <c r="I13" t="s">
        <v>94</v>
      </c>
      <c r="J13" t="s">
        <v>261</v>
      </c>
      <c r="K13" t="s">
        <v>95</v>
      </c>
      <c r="L13" t="s">
        <v>88</v>
      </c>
      <c r="M13" t="s">
        <v>70</v>
      </c>
      <c r="N13" t="s">
        <v>70</v>
      </c>
      <c r="O13" t="s">
        <v>202</v>
      </c>
      <c r="P13" s="4" t="str">
        <f t="shared" si="0"/>
        <v>DFTL_SOC_DCSDDR_MDX008_SOCTDF_CDD0_PL00_SSC_X_X_SelsrmSSSS_</v>
      </c>
      <c r="S13" cm="1">
        <f t="array" ref="S13">_xlfn.IFS($AN13&gt;0,MAX(AL13:AM13),$AQ13&gt;0,MAX(AO13:AP13),$AT13&gt;0,MAX(AR13:AS13),$AW13&gt;0,MAX(AU13:AV13),$AZ13&gt;0,MAX(AX13:AY13),$BC13&gt;0,MAX(BA13:BB13),$BF13&gt;0,MAX(BD13:BE13),$BI13&gt;0,MAX(BG13:BH13),$BL13&gt;0,MAX(BJ13:BK13),$BO13&gt;0,MAX(BM13:BN13),$BR13&gt;0,MAX(BP13:BQ13),$BU13&gt;0,MAX(BS13:BT13),$BX13&gt;0,MAX(BV13:BW13))-0.01</f>
        <v>1.0900000000000001</v>
      </c>
      <c r="T13" cm="1">
        <f t="array" ref="T13">_xlfn.IFS($AN13&gt;0,MIN(AL13:AM13),$AQ13&gt;0,MIN(AO13:AP13),$AT13&gt;0,MIN(AR13:AS13),$AW13&gt;0,MIN(AU13:AV13),$AZ13&gt;0,MIN(AX13:AY13),$BC13&gt;0,MIN(BA13:BB13),$BF13&gt;0,MIN(BD13:BE13),$BI13&gt;0,MIN(BG13:BH13),$BL13&gt;0,MIN(BJ13:BK13),$BO13&gt;0,MIN(BM13:BN13),$BR13&gt;0,MIN(BP13:BQ13),$BU13&gt;0,MIN(BS13:BT13),$BX13&gt;0,MIN(BV13:BW13))+0.01</f>
        <v>0.76</v>
      </c>
      <c r="U13" t="s">
        <v>71</v>
      </c>
      <c r="V13" t="s">
        <v>72</v>
      </c>
      <c r="W13" t="s">
        <v>320</v>
      </c>
      <c r="X13" t="s">
        <v>74</v>
      </c>
      <c r="Y13" t="s">
        <v>260</v>
      </c>
      <c r="AF13" t="s">
        <v>225</v>
      </c>
      <c r="AK13" t="s">
        <v>75</v>
      </c>
      <c r="AL13">
        <v>0.755</v>
      </c>
      <c r="AM13">
        <v>0.755</v>
      </c>
      <c r="AO13">
        <v>0.71499999999999997</v>
      </c>
      <c r="AP13">
        <v>0.71499999999999997</v>
      </c>
      <c r="AR13">
        <v>0.72</v>
      </c>
      <c r="AS13">
        <v>0.72</v>
      </c>
      <c r="AU13">
        <v>0.81</v>
      </c>
      <c r="AV13">
        <v>0.81</v>
      </c>
      <c r="AX13" s="1">
        <v>1.1000000000000001</v>
      </c>
      <c r="AY13" s="1">
        <v>0.75</v>
      </c>
      <c r="AZ13">
        <v>5.0000000000000001E-3</v>
      </c>
      <c r="BA13">
        <v>0.76500000000000001</v>
      </c>
      <c r="BB13">
        <v>0.76500000000000001</v>
      </c>
      <c r="BD13">
        <v>0.85</v>
      </c>
      <c r="BE13">
        <v>0.85</v>
      </c>
      <c r="BG13">
        <v>0.77500000000000002</v>
      </c>
      <c r="BH13">
        <v>0.77500000000000002</v>
      </c>
      <c r="BJ13">
        <v>0.77500000000000002</v>
      </c>
      <c r="BK13">
        <v>0.77500000000000002</v>
      </c>
      <c r="BM13">
        <v>0.81</v>
      </c>
      <c r="BN13">
        <v>0.81</v>
      </c>
      <c r="BP13">
        <v>0.72</v>
      </c>
      <c r="BQ13">
        <v>0.72</v>
      </c>
      <c r="BS13">
        <v>0.8</v>
      </c>
      <c r="BT13">
        <v>0.8</v>
      </c>
      <c r="BV13">
        <v>1.32</v>
      </c>
      <c r="BW13">
        <v>1.32</v>
      </c>
      <c r="BY13" t="s">
        <v>76</v>
      </c>
      <c r="BZ13" cm="1">
        <f t="array" ref="BZ13">_xlfn.IFS($AN13&gt;0,AVERAGE(AL13:AM13),$AQ13&gt;0,AVERAGE(AO13:AP13),$AT13&gt;0,AVERAGE(AR13:AS13),$AW13&gt;0,AVERAGE(AU13:AV13),$AZ13&gt;0,AVERAGE(AX13:AY13),$BC13&gt;0,AVERAGE(BA13:BB13),$BF13&gt;0,AVERAGE(BD13:BE13),$BI13&gt;0,AVERAGE(BG13:BH13),$BL13&gt;0,AVERAGE(BJ13:BK13),$BO13&gt;0,AVERAGE(BM13:BN13),$BR13&gt;0,AVERAGE(BP13:BQ13),$BU13&gt;0,AVERAGE(BS13:BT13),$BX13&gt;0,AVERAGE(BV13:BW13))</f>
        <v>0.92500000000000004</v>
      </c>
      <c r="CA13">
        <v>1.19</v>
      </c>
      <c r="CC13">
        <v>0</v>
      </c>
      <c r="CD13">
        <f t="shared" si="1"/>
        <v>0</v>
      </c>
      <c r="CE13">
        <v>0</v>
      </c>
      <c r="CF13" s="1" t="s">
        <v>199</v>
      </c>
      <c r="CG13" s="1" t="s">
        <v>199</v>
      </c>
      <c r="CH13" s="1" t="s">
        <v>199</v>
      </c>
      <c r="CI13" s="1" t="s">
        <v>199</v>
      </c>
    </row>
    <row r="14" spans="1:87" hidden="1" x14ac:dyDescent="0.2">
      <c r="A14" t="s">
        <v>91</v>
      </c>
      <c r="B14" s="6" t="s">
        <v>338</v>
      </c>
      <c r="D14" t="s">
        <v>271</v>
      </c>
      <c r="E14" t="s">
        <v>92</v>
      </c>
      <c r="F14" t="s">
        <v>171</v>
      </c>
      <c r="G14" t="s">
        <v>136</v>
      </c>
      <c r="H14" t="s">
        <v>174</v>
      </c>
      <c r="I14" t="s">
        <v>194</v>
      </c>
      <c r="J14" t="s">
        <v>191</v>
      </c>
      <c r="K14" t="s">
        <v>146</v>
      </c>
      <c r="L14" t="s">
        <v>185</v>
      </c>
      <c r="M14" t="s">
        <v>186</v>
      </c>
      <c r="N14" t="s">
        <v>70</v>
      </c>
      <c r="O14" t="s">
        <v>202</v>
      </c>
      <c r="P14" s="4" t="str">
        <f t="shared" si="0"/>
        <v>DFTL_CPU_CPUSRAM_MEX001_CPUBST_C0FC_PLLP_59N_REPREST_X_SelsrmSSSS_</v>
      </c>
      <c r="S14" cm="1">
        <f t="array" ref="S14">_xlfn.IFS($AN14&gt;0,MAX(AL14:AM14),$AQ14&gt;0,MAX(AO14:AP14),$AT14&gt;0,MAX(AR14:AS14),$AW14&gt;0,MAX(AU14:AV14),$AZ14&gt;0,MAX(AX14:AY14),$BC14&gt;0,MAX(BA14:BB14),$BF14&gt;0,MAX(BD14:BE14),$BI14&gt;0,MAX(BG14:BH14),$BL14&gt;0,MAX(BJ14:BK14),$BO14&gt;0,MAX(BM14:BN14),$BR14&gt;0,MAX(BP14:BQ14),$BU14&gt;0,MAX(BS14:BT14),$BX14&gt;0,MAX(BV14:BW14))-0.01</f>
        <v>0.79</v>
      </c>
      <c r="T14" cm="1">
        <f t="array" ref="T14">_xlfn.IFS($AN14&gt;0,MIN(AL14:AM14),$AQ14&gt;0,MIN(AO14:AP14),$AT14&gt;0,MIN(AR14:AS14),$AW14&gt;0,MIN(AU14:AV14),$AZ14&gt;0,MIN(AX14:AY14),$BC14&gt;0,MIN(BA14:BB14),$BF14&gt;0,MIN(BD14:BE14),$BI14&gt;0,MIN(BG14:BH14),$BL14&gt;0,MIN(BJ14:BK14),$BO14&gt;0,MIN(BM14:BN14),$BR14&gt;0,MIN(BP14:BQ14),$BU14&gt;0,MIN(BS14:BT14),$BX14&gt;0,MIN(BV14:BW14))+0.01</f>
        <v>0.41000000000000003</v>
      </c>
      <c r="U14" t="s">
        <v>71</v>
      </c>
      <c r="V14" t="s">
        <v>192</v>
      </c>
      <c r="W14" t="s">
        <v>193</v>
      </c>
      <c r="X14" t="s">
        <v>227</v>
      </c>
      <c r="AF14" t="s">
        <v>198</v>
      </c>
      <c r="AK14" t="s">
        <v>75</v>
      </c>
      <c r="AL14">
        <v>0.755</v>
      </c>
      <c r="AM14">
        <v>0.755</v>
      </c>
      <c r="AO14">
        <v>0.71499999999999997</v>
      </c>
      <c r="AP14">
        <v>0.71499999999999997</v>
      </c>
      <c r="AR14">
        <v>0.72</v>
      </c>
      <c r="AS14">
        <v>0.72</v>
      </c>
      <c r="AU14">
        <v>0.95</v>
      </c>
      <c r="AV14">
        <v>0.95</v>
      </c>
      <c r="AX14" s="3">
        <v>1.1100000000000001</v>
      </c>
      <c r="AY14" s="3">
        <v>1.1100000000000001</v>
      </c>
      <c r="BA14">
        <v>0.76500000000000001</v>
      </c>
      <c r="BB14">
        <v>0.76500000000000001</v>
      </c>
      <c r="BD14" s="1">
        <v>0.8</v>
      </c>
      <c r="BE14" s="1">
        <v>0.4</v>
      </c>
      <c r="BF14">
        <v>5.0000000000000001E-3</v>
      </c>
      <c r="BG14">
        <v>0.77500000000000002</v>
      </c>
      <c r="BH14">
        <v>0.77500000000000002</v>
      </c>
      <c r="BJ14">
        <v>0.77500000000000002</v>
      </c>
      <c r="BK14">
        <v>0.77500000000000002</v>
      </c>
      <c r="BM14">
        <v>0.81</v>
      </c>
      <c r="BN14">
        <v>0.81</v>
      </c>
      <c r="BP14">
        <v>0.72</v>
      </c>
      <c r="BQ14">
        <v>0.72</v>
      </c>
      <c r="BS14">
        <v>0.8</v>
      </c>
      <c r="BT14">
        <v>0.8</v>
      </c>
      <c r="BV14">
        <v>1.32</v>
      </c>
      <c r="BW14">
        <v>1.32</v>
      </c>
      <c r="BY14" t="s">
        <v>76</v>
      </c>
      <c r="BZ14" cm="1">
        <f t="array" ref="BZ14">_xlfn.IFS($AN14&gt;0,AVERAGE(AL14:AM14),$AQ14&gt;0,AVERAGE(AO14:AP14),$AT14&gt;0,AVERAGE(AR14:AS14),$AW14&gt;0,AVERAGE(AU14:AV14),$AZ14&gt;0,AVERAGE(AX14:AY14),$BC14&gt;0,AVERAGE(BA14:BB14),$BF14&gt;0,AVERAGE(BD14:BE14),$BI14&gt;0,AVERAGE(BG14:BH14),$BL14&gt;0,AVERAGE(BJ14:BK14),$BO14&gt;0,AVERAGE(BM14:BN14),$BR14&gt;0,AVERAGE(BP14:BQ14),$BU14&gt;0,AVERAGE(BS14:BT14),$BX14&gt;0,AVERAGE(BV14:BW14))</f>
        <v>0.60000000000000009</v>
      </c>
      <c r="CA14">
        <v>0.79</v>
      </c>
      <c r="CC14">
        <f>IF(ISNUMBER(SEARCH("HTOL",$D14)),1,0)</f>
        <v>0</v>
      </c>
      <c r="CD14">
        <f t="shared" si="1"/>
        <v>0</v>
      </c>
      <c r="CE14">
        <v>0</v>
      </c>
      <c r="CF14" s="1" t="s">
        <v>199</v>
      </c>
      <c r="CG14" s="1" t="s">
        <v>199</v>
      </c>
      <c r="CH14" s="1" t="s">
        <v>199</v>
      </c>
      <c r="CI14" s="1" t="s">
        <v>199</v>
      </c>
    </row>
    <row r="15" spans="1:87" hidden="1" x14ac:dyDescent="0.2">
      <c r="A15" t="s">
        <v>91</v>
      </c>
      <c r="B15" s="6" t="s">
        <v>338</v>
      </c>
      <c r="D15" t="s">
        <v>271</v>
      </c>
      <c r="E15" t="s">
        <v>92</v>
      </c>
      <c r="F15" t="s">
        <v>171</v>
      </c>
      <c r="G15" t="s">
        <v>87</v>
      </c>
      <c r="H15" t="s">
        <v>174</v>
      </c>
      <c r="I15" t="s">
        <v>281</v>
      </c>
      <c r="J15" t="s">
        <v>282</v>
      </c>
      <c r="K15" t="s">
        <v>206</v>
      </c>
      <c r="L15" t="s">
        <v>70</v>
      </c>
      <c r="M15" t="s">
        <v>70</v>
      </c>
      <c r="N15" t="s">
        <v>175</v>
      </c>
      <c r="O15" t="s">
        <v>202</v>
      </c>
      <c r="P15" s="4" t="str">
        <f t="shared" si="0"/>
        <v>DFTL_CPU_ECPU_MEX001_CPUTDF_C0F7_PL0010_X_X_DIV166_SelsrmSSSS_</v>
      </c>
      <c r="S15">
        <v>0.59499999999999997</v>
      </c>
      <c r="T15">
        <v>0.55930000000000002</v>
      </c>
      <c r="U15" t="s">
        <v>71</v>
      </c>
      <c r="V15" t="s">
        <v>283</v>
      </c>
      <c r="W15" t="s">
        <v>284</v>
      </c>
      <c r="X15" t="s">
        <v>323</v>
      </c>
      <c r="AF15" t="s">
        <v>334</v>
      </c>
      <c r="AG15" t="s">
        <v>335</v>
      </c>
      <c r="AK15" t="s">
        <v>75</v>
      </c>
      <c r="AL15">
        <v>0.59</v>
      </c>
      <c r="AM15">
        <v>0.59</v>
      </c>
      <c r="AO15">
        <v>0.79500000000000004</v>
      </c>
      <c r="AP15">
        <v>0.45</v>
      </c>
      <c r="AQ15">
        <v>5.0000000000000001E-3</v>
      </c>
      <c r="AR15">
        <v>0.72</v>
      </c>
      <c r="AS15">
        <v>0.72</v>
      </c>
      <c r="AU15">
        <v>1.1100000000000001</v>
      </c>
      <c r="AV15">
        <v>1.1100000000000001</v>
      </c>
      <c r="AX15">
        <v>0.72</v>
      </c>
      <c r="AY15">
        <v>0.72</v>
      </c>
      <c r="BA15">
        <v>0.76500000000000001</v>
      </c>
      <c r="BB15">
        <v>0.76500000000000001</v>
      </c>
      <c r="BD15">
        <v>0.85</v>
      </c>
      <c r="BE15">
        <v>0.85</v>
      </c>
      <c r="BG15">
        <v>0.77500000000000002</v>
      </c>
      <c r="BH15">
        <v>0.77500000000000002</v>
      </c>
      <c r="BJ15">
        <v>0.77500000000000002</v>
      </c>
      <c r="BK15">
        <v>0.77500000000000002</v>
      </c>
      <c r="BM15">
        <v>0.81</v>
      </c>
      <c r="BN15">
        <v>0.81</v>
      </c>
      <c r="BP15">
        <v>0.72</v>
      </c>
      <c r="BQ15">
        <v>0.72</v>
      </c>
      <c r="BS15">
        <v>0.8</v>
      </c>
      <c r="BT15">
        <v>0.8</v>
      </c>
      <c r="BV15">
        <v>1.32</v>
      </c>
      <c r="BW15">
        <v>1.32</v>
      </c>
      <c r="BY15" t="s">
        <v>76</v>
      </c>
      <c r="BZ15">
        <v>0.55900000000000005</v>
      </c>
      <c r="CA15">
        <v>0.59499999999999997</v>
      </c>
      <c r="CC15">
        <v>1</v>
      </c>
      <c r="CD15">
        <v>0</v>
      </c>
      <c r="CE15">
        <v>0</v>
      </c>
      <c r="CF15" s="1" t="s">
        <v>199</v>
      </c>
      <c r="CG15" s="1" t="s">
        <v>199</v>
      </c>
      <c r="CH15" s="1" t="s">
        <v>199</v>
      </c>
      <c r="CI15" s="1" t="s">
        <v>199</v>
      </c>
    </row>
    <row r="16" spans="1:87" hidden="1" x14ac:dyDescent="0.2">
      <c r="A16" t="s">
        <v>91</v>
      </c>
      <c r="B16" s="6" t="s">
        <v>338</v>
      </c>
      <c r="D16" t="s">
        <v>269</v>
      </c>
      <c r="E16" t="s">
        <v>92</v>
      </c>
      <c r="F16" t="s">
        <v>171</v>
      </c>
      <c r="G16" t="s">
        <v>87</v>
      </c>
      <c r="H16" t="s">
        <v>176</v>
      </c>
      <c r="I16" t="s">
        <v>281</v>
      </c>
      <c r="J16" t="s">
        <v>282</v>
      </c>
      <c r="K16" t="s">
        <v>95</v>
      </c>
      <c r="L16" t="s">
        <v>70</v>
      </c>
      <c r="M16" t="s">
        <v>70</v>
      </c>
      <c r="N16" t="s">
        <v>175</v>
      </c>
      <c r="O16" t="s">
        <v>202</v>
      </c>
      <c r="P16" s="4" t="str">
        <f t="shared" si="0"/>
        <v>DFTL_CPU_ECPU_MEX002_CPUTDF_C0F7_PL00_X_X_DIV166_SelsrmSSSS_</v>
      </c>
      <c r="S16">
        <v>0.59499999999999997</v>
      </c>
      <c r="T16">
        <v>0.55930000000000002</v>
      </c>
      <c r="U16" t="s">
        <v>71</v>
      </c>
      <c r="V16" t="s">
        <v>283</v>
      </c>
      <c r="W16" t="s">
        <v>284</v>
      </c>
      <c r="X16" t="s">
        <v>324</v>
      </c>
      <c r="AF16" t="s">
        <v>334</v>
      </c>
      <c r="AK16" t="s">
        <v>75</v>
      </c>
      <c r="AL16">
        <v>0.59</v>
      </c>
      <c r="AM16">
        <v>0.59</v>
      </c>
      <c r="AO16">
        <v>0.79500000000000004</v>
      </c>
      <c r="AP16">
        <v>0.5</v>
      </c>
      <c r="AQ16">
        <v>5.0000000000000001E-3</v>
      </c>
      <c r="AR16">
        <v>0.72</v>
      </c>
      <c r="AS16">
        <v>0.72</v>
      </c>
      <c r="AU16">
        <v>1.1100000000000001</v>
      </c>
      <c r="AV16">
        <v>1.1100000000000001</v>
      </c>
      <c r="AX16">
        <v>0.72</v>
      </c>
      <c r="AY16">
        <v>0.72</v>
      </c>
      <c r="BA16">
        <v>0.76500000000000001</v>
      </c>
      <c r="BB16">
        <v>0.76500000000000001</v>
      </c>
      <c r="BD16">
        <v>0.86499999999999999</v>
      </c>
      <c r="BE16">
        <v>0.86499999999999999</v>
      </c>
      <c r="BG16">
        <v>0.77500000000000002</v>
      </c>
      <c r="BH16">
        <v>0.77500000000000002</v>
      </c>
      <c r="BJ16">
        <v>0.77500000000000002</v>
      </c>
      <c r="BK16">
        <v>0.77500000000000002</v>
      </c>
      <c r="BM16">
        <v>0.81</v>
      </c>
      <c r="BN16">
        <v>0.81</v>
      </c>
      <c r="BP16">
        <v>0.72</v>
      </c>
      <c r="BQ16">
        <v>0.72</v>
      </c>
      <c r="BS16">
        <v>0.8</v>
      </c>
      <c r="BT16">
        <v>0.8</v>
      </c>
      <c r="BV16">
        <v>1.32</v>
      </c>
      <c r="BW16">
        <v>1.32</v>
      </c>
      <c r="BY16" t="s">
        <v>76</v>
      </c>
      <c r="BZ16">
        <v>0.55900000000000005</v>
      </c>
      <c r="CA16">
        <v>0.59499999999999997</v>
      </c>
      <c r="CC16">
        <v>0</v>
      </c>
      <c r="CD16">
        <v>0</v>
      </c>
      <c r="CE16">
        <v>0</v>
      </c>
      <c r="CF16" s="1" t="s">
        <v>279</v>
      </c>
    </row>
    <row r="17" spans="1:87" hidden="1" x14ac:dyDescent="0.2">
      <c r="A17" t="s">
        <v>91</v>
      </c>
      <c r="B17" s="6">
        <v>45513</v>
      </c>
      <c r="C17" t="s">
        <v>280</v>
      </c>
      <c r="D17" t="s">
        <v>268</v>
      </c>
      <c r="E17" t="s">
        <v>92</v>
      </c>
      <c r="F17" t="s">
        <v>66</v>
      </c>
      <c r="G17" t="s">
        <v>67</v>
      </c>
      <c r="H17" t="s">
        <v>97</v>
      </c>
      <c r="I17" t="s">
        <v>117</v>
      </c>
      <c r="J17" t="s">
        <v>130</v>
      </c>
      <c r="K17" t="s">
        <v>70</v>
      </c>
      <c r="L17" t="s">
        <v>70</v>
      </c>
      <c r="M17" t="s">
        <v>119</v>
      </c>
      <c r="N17" t="s">
        <v>70</v>
      </c>
      <c r="O17" t="s">
        <v>202</v>
      </c>
      <c r="P17" s="4" t="str">
        <f t="shared" si="0"/>
        <v>DFTL_SOC_LOW_MLX001_SOCBIR_GR04_X_X_SRVA_X_SelsrmSSSS_</v>
      </c>
      <c r="S17" cm="1">
        <f t="array" ref="S17">_xlfn.IFS($AN17&gt;0,MAX(AL17:AM17),$AQ17&gt;0,MAX(AO17:AP17),$AT17&gt;0,MAX(AR17:AS17),$AW17&gt;0,MAX(AU17:AV17),$AZ17&gt;0,MAX(AX17:AY17),$BC17&gt;0,MAX(BA17:BB17),$BF17&gt;0,MAX(BD17:BE17),$BI17&gt;0,MAX(BG17:BH17),$BL17&gt;0,MAX(BJ17:BK17),$BO17&gt;0,MAX(BM17:BN17),$BR17&gt;0,MAX(BP17:BQ17),$BU17&gt;0,MAX(BS17:BT17),$BX17&gt;0,MAX(BV17:BW17))-0.01</f>
        <v>0.69</v>
      </c>
      <c r="T17" cm="1">
        <f t="array" ref="T17">_xlfn.IFS($AN17&gt;0,MIN(AL17:AM17),$AQ17&gt;0,MIN(AO17:AP17),$AT17&gt;0,MIN(AR17:AS17),$AW17&gt;0,MIN(AU17:AV17),$AZ17&gt;0,MIN(AX17:AY17),$BC17&gt;0,MIN(BA17:BB17),$BF17&gt;0,MIN(BD17:BE17),$BI17&gt;0,MIN(BG17:BH17),$BL17&gt;0,MIN(BJ17:BK17),$BO17&gt;0,MIN(BM17:BN17),$BR17&gt;0,MIN(BP17:BQ17),$BU17&gt;0,MIN(BS17:BT17),$BX17&gt;0,MIN(BV17:BW17))+0.01</f>
        <v>0.51</v>
      </c>
      <c r="U17" t="s">
        <v>71</v>
      </c>
      <c r="V17" t="s">
        <v>120</v>
      </c>
      <c r="W17" t="s">
        <v>211</v>
      </c>
      <c r="X17" t="s">
        <v>121</v>
      </c>
      <c r="Y17" t="s">
        <v>122</v>
      </c>
      <c r="Z17" t="s">
        <v>262</v>
      </c>
      <c r="AA17" t="s">
        <v>124</v>
      </c>
      <c r="AC17" t="s">
        <v>322</v>
      </c>
      <c r="AF17" t="s">
        <v>131</v>
      </c>
      <c r="AG17" t="s">
        <v>125</v>
      </c>
      <c r="AH17" t="s">
        <v>132</v>
      </c>
      <c r="AK17" t="s">
        <v>75</v>
      </c>
      <c r="AL17">
        <v>0.755</v>
      </c>
      <c r="AM17">
        <v>0.755</v>
      </c>
      <c r="AO17">
        <v>0.71499999999999997</v>
      </c>
      <c r="AP17">
        <v>0.71499999999999997</v>
      </c>
      <c r="AR17">
        <v>0.72</v>
      </c>
      <c r="AS17">
        <v>0.72</v>
      </c>
      <c r="AU17">
        <v>1.1100000000000001</v>
      </c>
      <c r="AV17">
        <v>1.1100000000000001</v>
      </c>
      <c r="AX17">
        <v>1.19</v>
      </c>
      <c r="AY17">
        <v>1.19</v>
      </c>
      <c r="BA17">
        <v>1.0349999999999999</v>
      </c>
      <c r="BB17">
        <v>1.0349999999999999</v>
      </c>
      <c r="BD17">
        <v>0.85</v>
      </c>
      <c r="BE17">
        <v>0.85</v>
      </c>
      <c r="BG17">
        <v>0.77500000000000002</v>
      </c>
      <c r="BH17">
        <v>0.77500000000000002</v>
      </c>
      <c r="BJ17">
        <v>0.77500000000000002</v>
      </c>
      <c r="BK17">
        <v>0.77500000000000002</v>
      </c>
      <c r="BM17">
        <v>0.81</v>
      </c>
      <c r="BN17">
        <v>0.81</v>
      </c>
      <c r="BP17" s="1">
        <v>0.7</v>
      </c>
      <c r="BQ17" s="1">
        <v>0.5</v>
      </c>
      <c r="BR17">
        <v>5.0000000000000001E-3</v>
      </c>
      <c r="BS17">
        <v>0.8</v>
      </c>
      <c r="BT17">
        <v>0.8</v>
      </c>
      <c r="BV17">
        <v>1.32</v>
      </c>
      <c r="BW17">
        <v>1.32</v>
      </c>
      <c r="BY17" t="s">
        <v>76</v>
      </c>
      <c r="BZ17" cm="1">
        <f t="array" ref="BZ17">_xlfn.IFS($AN17&gt;0,AVERAGE(AL17:AM17),$AQ17&gt;0,AVERAGE(AO17:AP17),$AT17&gt;0,AVERAGE(AR17:AS17),$AW17&gt;0,AVERAGE(AU17:AV17),$AZ17&gt;0,AVERAGE(AX17:AY17),$BC17&gt;0,AVERAGE(BA17:BB17),$BF17&gt;0,AVERAGE(BD17:BE17),$BI17&gt;0,AVERAGE(BG17:BH17),$BL17&gt;0,AVERAGE(BJ17:BK17),$BO17&gt;0,AVERAGE(BM17:BN17),$BR17&gt;0,AVERAGE(BP17:BQ17),$BU17&gt;0,AVERAGE(BS17:BT17),$BX17&gt;0,AVERAGE(BV17:BW17))</f>
        <v>0.6</v>
      </c>
      <c r="CA17">
        <v>0.72</v>
      </c>
      <c r="CC17">
        <v>0</v>
      </c>
      <c r="CD17">
        <f>IF(ISNUMBER(SEARCH("TTR",$D17)),1,0)</f>
        <v>0</v>
      </c>
      <c r="CE17">
        <v>0</v>
      </c>
      <c r="CF17" t="s">
        <v>279</v>
      </c>
      <c r="CG17" t="s">
        <v>279</v>
      </c>
    </row>
    <row r="18" spans="1:87" hidden="1" x14ac:dyDescent="0.2">
      <c r="A18" t="s">
        <v>91</v>
      </c>
      <c r="B18" s="6">
        <v>45513</v>
      </c>
      <c r="C18" t="s">
        <v>280</v>
      </c>
      <c r="D18" t="s">
        <v>268</v>
      </c>
      <c r="E18" t="s">
        <v>92</v>
      </c>
      <c r="F18" t="s">
        <v>66</v>
      </c>
      <c r="G18" t="s">
        <v>67</v>
      </c>
      <c r="H18" t="s">
        <v>68</v>
      </c>
      <c r="I18" t="s">
        <v>117</v>
      </c>
      <c r="J18" t="s">
        <v>130</v>
      </c>
      <c r="K18" t="s">
        <v>70</v>
      </c>
      <c r="L18" t="s">
        <v>70</v>
      </c>
      <c r="M18" t="s">
        <v>119</v>
      </c>
      <c r="N18" t="s">
        <v>70</v>
      </c>
      <c r="O18" t="s">
        <v>202</v>
      </c>
      <c r="P18" s="4" t="str">
        <f t="shared" si="0"/>
        <v>DFTL_SOC_LOW_MSXXXX_SOCBIR_GR04_X_X_SRVA_X_SelsrmSSSS_</v>
      </c>
      <c r="S18" cm="1">
        <f t="array" ref="S18">_xlfn.IFS($AN18&gt;0,MAX(AL18:AM18),$AQ18&gt;0,MAX(AO18:AP18),$AT18&gt;0,MAX(AR18:AS18),$AW18&gt;0,MAX(AU18:AV18),$AZ18&gt;0,MAX(AX18:AY18),$BC18&gt;0,MAX(BA18:BB18),$BF18&gt;0,MAX(BD18:BE18),$BI18&gt;0,MAX(BG18:BH18),$BL18&gt;0,MAX(BJ18:BK18),$BO18&gt;0,MAX(BM18:BN18),$BR18&gt;0,MAX(BP18:BQ18),$BU18&gt;0,MAX(BS18:BT18),$BX18&gt;0,MAX(BV18:BW18))-0.01</f>
        <v>0.69</v>
      </c>
      <c r="T18" cm="1">
        <f t="array" ref="T18">_xlfn.IFS($AN18&gt;0,MIN(AL18:AM18),$AQ18&gt;0,MIN(AO18:AP18),$AT18&gt;0,MIN(AR18:AS18),$AW18&gt;0,MIN(AU18:AV18),$AZ18&gt;0,MIN(AX18:AY18),$BC18&gt;0,MIN(BA18:BB18),$BF18&gt;0,MIN(BD18:BE18),$BI18&gt;0,MIN(BG18:BH18),$BL18&gt;0,MIN(BJ18:BK18),$BO18&gt;0,MIN(BM18:BN18),$BR18&gt;0,MIN(BP18:BQ18),$BU18&gt;0,MIN(BS18:BT18),$BX18&gt;0,MIN(BV18:BW18))+0.01</f>
        <v>0.46</v>
      </c>
      <c r="U18" t="s">
        <v>71</v>
      </c>
      <c r="V18" t="s">
        <v>120</v>
      </c>
      <c r="W18" t="s">
        <v>211</v>
      </c>
      <c r="X18" t="s">
        <v>121</v>
      </c>
      <c r="Y18" t="s">
        <v>122</v>
      </c>
      <c r="Z18" t="s">
        <v>126</v>
      </c>
      <c r="AA18" t="s">
        <v>124</v>
      </c>
      <c r="AC18" t="s">
        <v>322</v>
      </c>
      <c r="AF18" t="s">
        <v>131</v>
      </c>
      <c r="AG18" t="s">
        <v>125</v>
      </c>
      <c r="AH18" t="s">
        <v>132</v>
      </c>
      <c r="AK18" t="s">
        <v>75</v>
      </c>
      <c r="AL18">
        <v>0.755</v>
      </c>
      <c r="AM18">
        <v>0.755</v>
      </c>
      <c r="AO18">
        <v>0.71499999999999997</v>
      </c>
      <c r="AP18">
        <v>0.71499999999999997</v>
      </c>
      <c r="AR18">
        <v>0.72</v>
      </c>
      <c r="AS18">
        <v>0.72</v>
      </c>
      <c r="AU18">
        <v>0.73</v>
      </c>
      <c r="AV18">
        <v>0.73</v>
      </c>
      <c r="AX18">
        <v>0.72</v>
      </c>
      <c r="AY18">
        <v>0.72</v>
      </c>
      <c r="BA18">
        <v>0.76500000000000001</v>
      </c>
      <c r="BB18">
        <v>0.76500000000000001</v>
      </c>
      <c r="BD18">
        <v>0.85</v>
      </c>
      <c r="BE18">
        <v>0.85</v>
      </c>
      <c r="BG18">
        <v>0.77500000000000002</v>
      </c>
      <c r="BH18">
        <v>0.77500000000000002</v>
      </c>
      <c r="BJ18">
        <v>0.77500000000000002</v>
      </c>
      <c r="BK18">
        <v>0.77500000000000002</v>
      </c>
      <c r="BM18">
        <v>0.81</v>
      </c>
      <c r="BN18">
        <v>0.81</v>
      </c>
      <c r="BP18" s="1">
        <v>0.7</v>
      </c>
      <c r="BQ18" s="1">
        <v>0.45</v>
      </c>
      <c r="BR18">
        <v>5.0000000000000001E-3</v>
      </c>
      <c r="BS18">
        <v>0.8</v>
      </c>
      <c r="BT18">
        <v>0.8</v>
      </c>
      <c r="BV18">
        <v>1.32</v>
      </c>
      <c r="BW18">
        <v>1.32</v>
      </c>
      <c r="BY18" t="s">
        <v>76</v>
      </c>
      <c r="BZ18" cm="1">
        <f t="array" ref="BZ18">_xlfn.IFS($AN18&gt;0,AVERAGE(AL18:AM18),$AQ18&gt;0,AVERAGE(AO18:AP18),$AT18&gt;0,AVERAGE(AR18:AS18),$AW18&gt;0,AVERAGE(AU18:AV18),$AZ18&gt;0,AVERAGE(AX18:AY18),$BC18&gt;0,AVERAGE(BA18:BB18),$BF18&gt;0,AVERAGE(BD18:BE18),$BI18&gt;0,AVERAGE(BG18:BH18),$BL18&gt;0,AVERAGE(BJ18:BK18),$BO18&gt;0,AVERAGE(BM18:BN18),$BR18&gt;0,AVERAGE(BP18:BQ18),$BU18&gt;0,AVERAGE(BS18:BT18),$BX18&gt;0,AVERAGE(BV18:BW18))</f>
        <v>0.57499999999999996</v>
      </c>
      <c r="CA18">
        <v>0.72</v>
      </c>
      <c r="CC18">
        <v>0</v>
      </c>
      <c r="CD18">
        <f>IF(ISNUMBER(SEARCH("TTR",$D18)),1,0)</f>
        <v>0</v>
      </c>
      <c r="CE18">
        <v>0</v>
      </c>
      <c r="CF18" t="s">
        <v>279</v>
      </c>
      <c r="CG18" t="s">
        <v>279</v>
      </c>
    </row>
    <row r="19" spans="1:87" hidden="1" x14ac:dyDescent="0.2">
      <c r="A19" t="s">
        <v>91</v>
      </c>
      <c r="B19" s="6" t="s">
        <v>338</v>
      </c>
      <c r="D19" t="s">
        <v>269</v>
      </c>
      <c r="E19" t="s">
        <v>92</v>
      </c>
      <c r="F19" t="s">
        <v>171</v>
      </c>
      <c r="G19" t="s">
        <v>87</v>
      </c>
      <c r="H19" t="s">
        <v>177</v>
      </c>
      <c r="I19" t="s">
        <v>281</v>
      </c>
      <c r="J19" t="s">
        <v>282</v>
      </c>
      <c r="K19" t="s">
        <v>95</v>
      </c>
      <c r="L19" t="s">
        <v>70</v>
      </c>
      <c r="M19" t="s">
        <v>70</v>
      </c>
      <c r="N19" t="s">
        <v>175</v>
      </c>
      <c r="O19" t="s">
        <v>202</v>
      </c>
      <c r="P19" s="4" t="str">
        <f t="shared" si="0"/>
        <v>DFTL_CPU_ECPU_MEX003_CPUTDF_C0F7_PL00_X_X_DIV166_SelsrmSSSS_</v>
      </c>
      <c r="S19">
        <v>0.59499999999999997</v>
      </c>
      <c r="T19">
        <v>0.55930000000000002</v>
      </c>
      <c r="U19" t="s">
        <v>71</v>
      </c>
      <c r="V19" t="s">
        <v>283</v>
      </c>
      <c r="W19" t="s">
        <v>284</v>
      </c>
      <c r="X19" t="s">
        <v>325</v>
      </c>
      <c r="AF19" t="s">
        <v>334</v>
      </c>
      <c r="AK19" t="s">
        <v>75</v>
      </c>
      <c r="AL19">
        <v>0.59</v>
      </c>
      <c r="AM19">
        <v>0.59</v>
      </c>
      <c r="AO19">
        <v>0.79500000000000004</v>
      </c>
      <c r="AP19">
        <v>0.5</v>
      </c>
      <c r="AQ19">
        <v>5.0000000000000001E-3</v>
      </c>
      <c r="AR19">
        <v>0.72</v>
      </c>
      <c r="AS19">
        <v>0.72</v>
      </c>
      <c r="AU19">
        <v>1.1100000000000001</v>
      </c>
      <c r="AV19">
        <v>1.1100000000000001</v>
      </c>
      <c r="AX19">
        <v>0.72</v>
      </c>
      <c r="AY19">
        <v>0.72</v>
      </c>
      <c r="BA19">
        <v>0.76500000000000001</v>
      </c>
      <c r="BB19">
        <v>0.76500000000000001</v>
      </c>
      <c r="BD19">
        <v>0.88</v>
      </c>
      <c r="BE19">
        <v>0.88</v>
      </c>
      <c r="BG19">
        <v>0.77500000000000002</v>
      </c>
      <c r="BH19">
        <v>0.77500000000000002</v>
      </c>
      <c r="BJ19">
        <v>0.77500000000000002</v>
      </c>
      <c r="BK19">
        <v>0.77500000000000002</v>
      </c>
      <c r="BM19">
        <v>0.81</v>
      </c>
      <c r="BN19">
        <v>0.81</v>
      </c>
      <c r="BP19">
        <v>0.72</v>
      </c>
      <c r="BQ19">
        <v>0.72</v>
      </c>
      <c r="BS19">
        <v>0.8</v>
      </c>
      <c r="BT19">
        <v>0.8</v>
      </c>
      <c r="BV19">
        <v>1.32</v>
      </c>
      <c r="BW19">
        <v>1.32</v>
      </c>
      <c r="BY19" t="s">
        <v>76</v>
      </c>
      <c r="BZ19">
        <v>0.55900000000000005</v>
      </c>
      <c r="CA19">
        <v>0.59499999999999997</v>
      </c>
      <c r="CC19">
        <v>1</v>
      </c>
      <c r="CD19">
        <v>0</v>
      </c>
      <c r="CE19">
        <v>0</v>
      </c>
      <c r="CF19" s="1" t="s">
        <v>279</v>
      </c>
    </row>
    <row r="20" spans="1:87" hidden="1" x14ac:dyDescent="0.2">
      <c r="A20" t="s">
        <v>91</v>
      </c>
      <c r="B20" s="6" t="s">
        <v>338</v>
      </c>
      <c r="D20" t="s">
        <v>269</v>
      </c>
      <c r="E20" t="s">
        <v>92</v>
      </c>
      <c r="F20" t="s">
        <v>171</v>
      </c>
      <c r="G20" t="s">
        <v>87</v>
      </c>
      <c r="H20" t="s">
        <v>178</v>
      </c>
      <c r="I20" t="s">
        <v>281</v>
      </c>
      <c r="J20" t="s">
        <v>282</v>
      </c>
      <c r="K20" t="s">
        <v>95</v>
      </c>
      <c r="L20" t="s">
        <v>70</v>
      </c>
      <c r="M20" t="s">
        <v>70</v>
      </c>
      <c r="N20" t="s">
        <v>175</v>
      </c>
      <c r="O20" t="s">
        <v>202</v>
      </c>
      <c r="P20" s="4" t="str">
        <f t="shared" si="0"/>
        <v>DFTL_CPU_ECPU_MEX004_CPUTDF_C0F7_PL00_X_X_DIV166_SelsrmSSSS_</v>
      </c>
      <c r="S20">
        <v>0.59499999999999997</v>
      </c>
      <c r="T20">
        <v>0.55930000000000002</v>
      </c>
      <c r="U20" t="s">
        <v>71</v>
      </c>
      <c r="V20" t="s">
        <v>283</v>
      </c>
      <c r="W20" t="s">
        <v>284</v>
      </c>
      <c r="X20" t="s">
        <v>326</v>
      </c>
      <c r="AF20" t="s">
        <v>334</v>
      </c>
      <c r="AK20" t="s">
        <v>75</v>
      </c>
      <c r="AL20">
        <v>0.59</v>
      </c>
      <c r="AM20">
        <v>0.59</v>
      </c>
      <c r="AO20">
        <v>1</v>
      </c>
      <c r="AP20">
        <v>0.5</v>
      </c>
      <c r="AQ20">
        <v>5.0000000000000001E-3</v>
      </c>
      <c r="AR20">
        <v>0.72</v>
      </c>
      <c r="AS20">
        <v>0.72</v>
      </c>
      <c r="AU20">
        <v>1.1100000000000001</v>
      </c>
      <c r="AV20">
        <v>1.1100000000000001</v>
      </c>
      <c r="AX20">
        <v>0.72</v>
      </c>
      <c r="AY20">
        <v>0.72</v>
      </c>
      <c r="BA20">
        <v>0.76500000000000001</v>
      </c>
      <c r="BB20">
        <v>0.76500000000000001</v>
      </c>
      <c r="BD20">
        <v>0.91</v>
      </c>
      <c r="BE20">
        <v>0.91</v>
      </c>
      <c r="BG20">
        <v>0.77500000000000002</v>
      </c>
      <c r="BH20">
        <v>0.77500000000000002</v>
      </c>
      <c r="BJ20">
        <v>0.77500000000000002</v>
      </c>
      <c r="BK20">
        <v>0.77500000000000002</v>
      </c>
      <c r="BM20">
        <v>0.81</v>
      </c>
      <c r="BN20">
        <v>0.81</v>
      </c>
      <c r="BP20">
        <v>0.72</v>
      </c>
      <c r="BQ20">
        <v>0.72</v>
      </c>
      <c r="BS20">
        <v>0.8</v>
      </c>
      <c r="BT20">
        <v>0.8</v>
      </c>
      <c r="BV20">
        <v>1.32</v>
      </c>
      <c r="BW20">
        <v>1.32</v>
      </c>
      <c r="BY20" t="s">
        <v>76</v>
      </c>
      <c r="BZ20">
        <v>0.55900000000000005</v>
      </c>
      <c r="CA20">
        <v>0.59499999999999997</v>
      </c>
      <c r="CC20">
        <v>0</v>
      </c>
      <c r="CD20">
        <v>0</v>
      </c>
      <c r="CE20">
        <v>0</v>
      </c>
      <c r="CF20" s="1" t="s">
        <v>279</v>
      </c>
    </row>
    <row r="21" spans="1:87" hidden="1" x14ac:dyDescent="0.2">
      <c r="A21" t="s">
        <v>91</v>
      </c>
      <c r="B21" s="6">
        <v>45513</v>
      </c>
      <c r="C21" t="s">
        <v>280</v>
      </c>
      <c r="D21" t="s">
        <v>268</v>
      </c>
      <c r="E21" t="s">
        <v>92</v>
      </c>
      <c r="F21" t="s">
        <v>66</v>
      </c>
      <c r="G21" t="s">
        <v>67</v>
      </c>
      <c r="H21" t="s">
        <v>97</v>
      </c>
      <c r="I21" t="s">
        <v>137</v>
      </c>
      <c r="J21" t="s">
        <v>130</v>
      </c>
      <c r="K21" t="s">
        <v>70</v>
      </c>
      <c r="L21" t="s">
        <v>70</v>
      </c>
      <c r="M21" t="s">
        <v>119</v>
      </c>
      <c r="N21" t="s">
        <v>70</v>
      </c>
      <c r="O21" t="s">
        <v>202</v>
      </c>
      <c r="P21" s="4" t="str">
        <f t="shared" si="0"/>
        <v>DFTL_SOC_LOW_MLX001_SOCBST_GR04_X_X_SRVA_X_SelsrmSSSS_</v>
      </c>
      <c r="S21" cm="1">
        <f t="array" ref="S21">_xlfn.IFS($AN21&gt;0,MAX(AL21:AM21),$AQ21&gt;0,MAX(AO21:AP21),$AT21&gt;0,MAX(AR21:AS21),$AW21&gt;0,MAX(AU21:AV21),$AZ21&gt;0,MAX(AX21:AY21),$BC21&gt;0,MAX(BA21:BB21),$BF21&gt;0,MAX(BD21:BE21),$BI21&gt;0,MAX(BG21:BH21),$BL21&gt;0,MAX(BJ21:BK21),$BO21&gt;0,MAX(BM21:BN21),$BR21&gt;0,MAX(BP21:BQ21),$BU21&gt;0,MAX(BS21:BT21),$BX21&gt;0,MAX(BV21:BW21))-0.01</f>
        <v>0.69</v>
      </c>
      <c r="T21" cm="1">
        <f t="array" ref="T21">_xlfn.IFS($AN21&gt;0,MIN(AL21:AM21),$AQ21&gt;0,MIN(AO21:AP21),$AT21&gt;0,MIN(AR21:AS21),$AW21&gt;0,MIN(AU21:AV21),$AZ21&gt;0,MIN(AX21:AY21),$BC21&gt;0,MIN(BA21:BB21),$BF21&gt;0,MIN(BD21:BE21),$BI21&gt;0,MIN(BG21:BH21),$BL21&gt;0,MIN(BJ21:BK21),$BO21&gt;0,MIN(BM21:BN21),$BR21&gt;0,MIN(BP21:BQ21),$BU21&gt;0,MIN(BS21:BT21),$BX21&gt;0,MIN(BV21:BW21))+0.01</f>
        <v>0.51</v>
      </c>
      <c r="U21" t="s">
        <v>71</v>
      </c>
      <c r="V21" t="s">
        <v>120</v>
      </c>
      <c r="W21" t="s">
        <v>211</v>
      </c>
      <c r="X21" t="s">
        <v>121</v>
      </c>
      <c r="Y21" t="s">
        <v>122</v>
      </c>
      <c r="Z21" t="s">
        <v>262</v>
      </c>
      <c r="AA21" t="s">
        <v>124</v>
      </c>
      <c r="AC21" t="s">
        <v>322</v>
      </c>
      <c r="AD21" t="s">
        <v>201</v>
      </c>
      <c r="AF21" t="s">
        <v>140</v>
      </c>
      <c r="AG21" t="s">
        <v>125</v>
      </c>
      <c r="AH21" t="s">
        <v>141</v>
      </c>
      <c r="AK21" t="s">
        <v>75</v>
      </c>
      <c r="AL21">
        <v>0.755</v>
      </c>
      <c r="AM21">
        <v>0.755</v>
      </c>
      <c r="AO21">
        <v>0.71499999999999997</v>
      </c>
      <c r="AP21">
        <v>0.71499999999999997</v>
      </c>
      <c r="AR21">
        <v>0.72</v>
      </c>
      <c r="AS21">
        <v>0.72</v>
      </c>
      <c r="AU21">
        <v>1.1100000000000001</v>
      </c>
      <c r="AV21">
        <v>1.1100000000000001</v>
      </c>
      <c r="AX21">
        <v>1.19</v>
      </c>
      <c r="AY21">
        <v>1.19</v>
      </c>
      <c r="BA21">
        <v>1.0349999999999999</v>
      </c>
      <c r="BB21">
        <v>1.0349999999999999</v>
      </c>
      <c r="BD21">
        <v>0.85</v>
      </c>
      <c r="BE21">
        <v>0.85</v>
      </c>
      <c r="BG21">
        <v>0.77500000000000002</v>
      </c>
      <c r="BH21">
        <v>0.77500000000000002</v>
      </c>
      <c r="BJ21">
        <v>0.77500000000000002</v>
      </c>
      <c r="BK21">
        <v>0.77500000000000002</v>
      </c>
      <c r="BM21">
        <v>0.81</v>
      </c>
      <c r="BN21">
        <v>0.81</v>
      </c>
      <c r="BP21" s="1">
        <v>0.7</v>
      </c>
      <c r="BQ21" s="1">
        <v>0.5</v>
      </c>
      <c r="BR21">
        <v>5.0000000000000001E-3</v>
      </c>
      <c r="BS21">
        <v>0.8</v>
      </c>
      <c r="BT21">
        <v>0.8</v>
      </c>
      <c r="BV21">
        <v>1.32</v>
      </c>
      <c r="BW21">
        <v>1.32</v>
      </c>
      <c r="BY21" t="s">
        <v>76</v>
      </c>
      <c r="BZ21" cm="1">
        <f t="array" ref="BZ21">_xlfn.IFS($AN21&gt;0,AVERAGE(AL21:AM21),$AQ21&gt;0,AVERAGE(AO21:AP21),$AT21&gt;0,AVERAGE(AR21:AS21),$AW21&gt;0,AVERAGE(AU21:AV21),$AZ21&gt;0,AVERAGE(AX21:AY21),$BC21&gt;0,AVERAGE(BA21:BB21),$BF21&gt;0,AVERAGE(BD21:BE21),$BI21&gt;0,AVERAGE(BG21:BH21),$BL21&gt;0,AVERAGE(BJ21:BK21),$BO21&gt;0,AVERAGE(BM21:BN21),$BR21&gt;0,AVERAGE(BP21:BQ21),$BU21&gt;0,AVERAGE(BS21:BT21),$BX21&gt;0,AVERAGE(BV21:BW21))</f>
        <v>0.6</v>
      </c>
      <c r="CA21">
        <v>0.72</v>
      </c>
      <c r="CC21">
        <v>0</v>
      </c>
      <c r="CD21">
        <f>IF(ISNUMBER(SEARCH("TTR",$D21)),1,0)</f>
        <v>0</v>
      </c>
      <c r="CE21">
        <v>0</v>
      </c>
      <c r="CF21" t="s">
        <v>279</v>
      </c>
      <c r="CG21" t="s">
        <v>279</v>
      </c>
    </row>
    <row r="22" spans="1:87" hidden="1" x14ac:dyDescent="0.2">
      <c r="A22" t="s">
        <v>91</v>
      </c>
      <c r="B22" s="6">
        <v>45513</v>
      </c>
      <c r="C22" t="s">
        <v>280</v>
      </c>
      <c r="D22" t="s">
        <v>268</v>
      </c>
      <c r="E22" t="s">
        <v>92</v>
      </c>
      <c r="F22" t="s">
        <v>66</v>
      </c>
      <c r="G22" t="s">
        <v>67</v>
      </c>
      <c r="H22" t="s">
        <v>68</v>
      </c>
      <c r="I22" t="s">
        <v>137</v>
      </c>
      <c r="J22" t="s">
        <v>130</v>
      </c>
      <c r="K22" t="s">
        <v>70</v>
      </c>
      <c r="L22" t="s">
        <v>70</v>
      </c>
      <c r="M22" t="s">
        <v>119</v>
      </c>
      <c r="N22" t="s">
        <v>70</v>
      </c>
      <c r="O22" t="s">
        <v>202</v>
      </c>
      <c r="P22" s="4" t="str">
        <f t="shared" si="0"/>
        <v>DFTL_SOC_LOW_MSXXXX_SOCBST_GR04_X_X_SRVA_X_SelsrmSSSS_</v>
      </c>
      <c r="S22" cm="1">
        <f t="array" ref="S22">_xlfn.IFS($AN22&gt;0,MAX(AL22:AM22),$AQ22&gt;0,MAX(AO22:AP22),$AT22&gt;0,MAX(AR22:AS22),$AW22&gt;0,MAX(AU22:AV22),$AZ22&gt;0,MAX(AX22:AY22),$BC22&gt;0,MAX(BA22:BB22),$BF22&gt;0,MAX(BD22:BE22),$BI22&gt;0,MAX(BG22:BH22),$BL22&gt;0,MAX(BJ22:BK22),$BO22&gt;0,MAX(BM22:BN22),$BR22&gt;0,MAX(BP22:BQ22),$BU22&gt;0,MAX(BS22:BT22),$BX22&gt;0,MAX(BV22:BW22))-0.01</f>
        <v>0.69</v>
      </c>
      <c r="T22" cm="1">
        <f t="array" ref="T22">_xlfn.IFS($AN22&gt;0,MIN(AL22:AM22),$AQ22&gt;0,MIN(AO22:AP22),$AT22&gt;0,MIN(AR22:AS22),$AW22&gt;0,MIN(AU22:AV22),$AZ22&gt;0,MIN(AX22:AY22),$BC22&gt;0,MIN(BA22:BB22),$BF22&gt;0,MIN(BD22:BE22),$BI22&gt;0,MIN(BG22:BH22),$BL22&gt;0,MIN(BJ22:BK22),$BO22&gt;0,MIN(BM22:BN22),$BR22&gt;0,MIN(BP22:BQ22),$BU22&gt;0,MIN(BS22:BT22),$BX22&gt;0,MIN(BV22:BW22))+0.01</f>
        <v>0.46</v>
      </c>
      <c r="U22" t="s">
        <v>71</v>
      </c>
      <c r="V22" t="s">
        <v>120</v>
      </c>
      <c r="W22" t="s">
        <v>211</v>
      </c>
      <c r="X22" t="s">
        <v>121</v>
      </c>
      <c r="Y22" t="s">
        <v>122</v>
      </c>
      <c r="Z22" t="s">
        <v>126</v>
      </c>
      <c r="AA22" t="s">
        <v>124</v>
      </c>
      <c r="AC22" t="s">
        <v>322</v>
      </c>
      <c r="AD22" t="s">
        <v>201</v>
      </c>
      <c r="AF22" t="s">
        <v>140</v>
      </c>
      <c r="AG22" t="s">
        <v>125</v>
      </c>
      <c r="AH22" t="s">
        <v>141</v>
      </c>
      <c r="AK22" t="s">
        <v>75</v>
      </c>
      <c r="AL22">
        <v>0.755</v>
      </c>
      <c r="AM22">
        <v>0.755</v>
      </c>
      <c r="AO22">
        <v>0.71499999999999997</v>
      </c>
      <c r="AP22">
        <v>0.71499999999999997</v>
      </c>
      <c r="AR22">
        <v>0.72</v>
      </c>
      <c r="AS22">
        <v>0.72</v>
      </c>
      <c r="AU22">
        <v>0.73</v>
      </c>
      <c r="AV22">
        <v>0.73</v>
      </c>
      <c r="AX22">
        <v>0.72</v>
      </c>
      <c r="AY22">
        <v>0.72</v>
      </c>
      <c r="BA22">
        <v>0.76500000000000001</v>
      </c>
      <c r="BB22">
        <v>0.76500000000000001</v>
      </c>
      <c r="BD22">
        <v>0.85</v>
      </c>
      <c r="BE22">
        <v>0.85</v>
      </c>
      <c r="BG22">
        <v>0.77500000000000002</v>
      </c>
      <c r="BH22">
        <v>0.77500000000000002</v>
      </c>
      <c r="BJ22">
        <v>0.77500000000000002</v>
      </c>
      <c r="BK22">
        <v>0.77500000000000002</v>
      </c>
      <c r="BM22">
        <v>0.81</v>
      </c>
      <c r="BN22">
        <v>0.81</v>
      </c>
      <c r="BP22" s="1">
        <v>0.7</v>
      </c>
      <c r="BQ22" s="1">
        <v>0.45</v>
      </c>
      <c r="BR22">
        <v>5.0000000000000001E-3</v>
      </c>
      <c r="BS22">
        <v>0.8</v>
      </c>
      <c r="BT22">
        <v>0.8</v>
      </c>
      <c r="BV22">
        <v>1.32</v>
      </c>
      <c r="BW22">
        <v>1.32</v>
      </c>
      <c r="BY22" t="s">
        <v>76</v>
      </c>
      <c r="BZ22" cm="1">
        <f t="array" ref="BZ22">_xlfn.IFS($AN22&gt;0,AVERAGE(AL22:AM22),$AQ22&gt;0,AVERAGE(AO22:AP22),$AT22&gt;0,AVERAGE(AR22:AS22),$AW22&gt;0,AVERAGE(AU22:AV22),$AZ22&gt;0,AVERAGE(AX22:AY22),$BC22&gt;0,AVERAGE(BA22:BB22),$BF22&gt;0,AVERAGE(BD22:BE22),$BI22&gt;0,AVERAGE(BG22:BH22),$BL22&gt;0,AVERAGE(BJ22:BK22),$BO22&gt;0,AVERAGE(BM22:BN22),$BR22&gt;0,AVERAGE(BP22:BQ22),$BU22&gt;0,AVERAGE(BS22:BT22),$BX22&gt;0,AVERAGE(BV22:BW22))</f>
        <v>0.57499999999999996</v>
      </c>
      <c r="CA22">
        <v>0.72</v>
      </c>
      <c r="CC22">
        <v>0</v>
      </c>
      <c r="CD22">
        <f>IF(ISNUMBER(SEARCH("TTR",$D22)),1,0)</f>
        <v>0</v>
      </c>
      <c r="CE22">
        <v>0</v>
      </c>
      <c r="CF22" t="s">
        <v>279</v>
      </c>
      <c r="CG22" t="s">
        <v>279</v>
      </c>
    </row>
    <row r="23" spans="1:87" hidden="1" x14ac:dyDescent="0.2">
      <c r="A23" t="s">
        <v>91</v>
      </c>
      <c r="B23" s="6" t="s">
        <v>338</v>
      </c>
      <c r="D23" t="s">
        <v>269</v>
      </c>
      <c r="E23" t="s">
        <v>92</v>
      </c>
      <c r="F23" t="s">
        <v>171</v>
      </c>
      <c r="G23" t="s">
        <v>87</v>
      </c>
      <c r="H23" t="s">
        <v>179</v>
      </c>
      <c r="I23" t="s">
        <v>281</v>
      </c>
      <c r="J23" t="s">
        <v>282</v>
      </c>
      <c r="K23" t="s">
        <v>95</v>
      </c>
      <c r="L23" t="s">
        <v>70</v>
      </c>
      <c r="M23" t="s">
        <v>70</v>
      </c>
      <c r="N23" t="s">
        <v>175</v>
      </c>
      <c r="O23" t="s">
        <v>202</v>
      </c>
      <c r="P23" s="4" t="str">
        <f t="shared" si="0"/>
        <v>DFTL_CPU_ECPU_MEX005_CPUTDF_C0F7_PL00_X_X_DIV166_SelsrmSSSS_</v>
      </c>
      <c r="S23">
        <v>0.59499999999999997</v>
      </c>
      <c r="T23">
        <v>0.55930000000000002</v>
      </c>
      <c r="U23" t="s">
        <v>71</v>
      </c>
      <c r="V23" t="s">
        <v>283</v>
      </c>
      <c r="W23" t="s">
        <v>284</v>
      </c>
      <c r="X23" t="s">
        <v>327</v>
      </c>
      <c r="AF23" t="s">
        <v>334</v>
      </c>
      <c r="AK23" t="s">
        <v>75</v>
      </c>
      <c r="AL23">
        <v>0.59</v>
      </c>
      <c r="AM23">
        <v>0.59</v>
      </c>
      <c r="AO23">
        <v>1</v>
      </c>
      <c r="AP23">
        <v>0.5</v>
      </c>
      <c r="AQ23">
        <v>5.0000000000000001E-3</v>
      </c>
      <c r="AR23">
        <v>0.72</v>
      </c>
      <c r="AS23">
        <v>0.72</v>
      </c>
      <c r="AU23">
        <v>1.1100000000000001</v>
      </c>
      <c r="AV23">
        <v>1.1100000000000001</v>
      </c>
      <c r="AX23">
        <v>0.72</v>
      </c>
      <c r="AY23">
        <v>0.72</v>
      </c>
      <c r="BA23">
        <v>0.76500000000000001</v>
      </c>
      <c r="BB23">
        <v>0.76500000000000001</v>
      </c>
      <c r="BD23">
        <v>0.96499999999999997</v>
      </c>
      <c r="BE23">
        <v>0.96499999999999997</v>
      </c>
      <c r="BG23">
        <v>0.77500000000000002</v>
      </c>
      <c r="BH23">
        <v>0.77500000000000002</v>
      </c>
      <c r="BJ23">
        <v>0.77500000000000002</v>
      </c>
      <c r="BK23">
        <v>0.77500000000000002</v>
      </c>
      <c r="BM23">
        <v>0.81</v>
      </c>
      <c r="BN23">
        <v>0.81</v>
      </c>
      <c r="BP23">
        <v>0.72</v>
      </c>
      <c r="BQ23">
        <v>0.72</v>
      </c>
      <c r="BS23">
        <v>0.8</v>
      </c>
      <c r="BT23">
        <v>0.8</v>
      </c>
      <c r="BV23">
        <v>1.32</v>
      </c>
      <c r="BW23">
        <v>1.32</v>
      </c>
      <c r="BY23" t="s">
        <v>76</v>
      </c>
      <c r="BZ23">
        <v>0.55900000000000005</v>
      </c>
      <c r="CA23">
        <v>0.59499999999999997</v>
      </c>
      <c r="CC23">
        <v>1</v>
      </c>
      <c r="CD23">
        <v>0</v>
      </c>
      <c r="CE23">
        <v>0</v>
      </c>
      <c r="CF23" s="1" t="s">
        <v>279</v>
      </c>
    </row>
    <row r="24" spans="1:87" hidden="1" x14ac:dyDescent="0.2">
      <c r="A24" t="s">
        <v>91</v>
      </c>
      <c r="B24" s="6" t="s">
        <v>338</v>
      </c>
      <c r="D24" t="s">
        <v>269</v>
      </c>
      <c r="E24" t="s">
        <v>92</v>
      </c>
      <c r="F24" t="s">
        <v>171</v>
      </c>
      <c r="G24" t="s">
        <v>87</v>
      </c>
      <c r="H24" t="s">
        <v>180</v>
      </c>
      <c r="I24" t="s">
        <v>194</v>
      </c>
      <c r="J24" t="s">
        <v>191</v>
      </c>
      <c r="K24" t="s">
        <v>146</v>
      </c>
      <c r="L24" t="s">
        <v>185</v>
      </c>
      <c r="M24" t="s">
        <v>195</v>
      </c>
      <c r="N24" t="s">
        <v>70</v>
      </c>
      <c r="O24" t="s">
        <v>202</v>
      </c>
      <c r="P24" s="4" t="str">
        <f t="shared" si="0"/>
        <v>DFTL_CPU_ECPU_MEX007_CPUBST_C0FC_PLLP_59N_LATR_X_SelsrmSSSS_</v>
      </c>
      <c r="S24" cm="1">
        <f t="array" ref="S24">_xlfn.IFS($AN24&gt;0,MAX(AL24:AM24),$AQ24&gt;0,MAX(AO24:AP24),$AT24&gt;0,MAX(AR24:AS24),$AW24&gt;0,MAX(AU24:AV24),$AZ24&gt;0,MAX(AX24:AY24),$BC24&gt;0,MAX(BA24:BB24),$BF24&gt;0,MAX(BD24:BE24),$BI24&gt;0,MAX(BG24:BH24),$BL24&gt;0,MAX(BJ24:BK24),$BO24&gt;0,MAX(BM24:BN24),$BR24&gt;0,MAX(BP24:BQ24),$BU24&gt;0,MAX(BS24:BT24),$BX24&gt;0,MAX(BV24:BW24))-0.01</f>
        <v>1.0900000000000001</v>
      </c>
      <c r="T24" cm="1">
        <f t="array" ref="T24">_xlfn.IFS($AN24&gt;0,MIN(AL24:AM24),$AQ24&gt;0,MIN(AO24:AP24),$AT24&gt;0,MIN(AR24:AS24),$AW24&gt;0,MIN(AU24:AV24),$AZ24&gt;0,MIN(AX24:AY24),$BC24&gt;0,MIN(BA24:BB24),$BF24&gt;0,MIN(BD24:BE24),$BI24&gt;0,MIN(BG24:BH24),$BL24&gt;0,MIN(BJ24:BK24),$BO24&gt;0,MIN(BM24:BN24),$BR24&gt;0,MIN(BP24:BQ24),$BU24&gt;0,MIN(BS24:BT24),$BX24&gt;0,MIN(BV24:BW24))+0.01</f>
        <v>0.71</v>
      </c>
      <c r="U24" t="s">
        <v>71</v>
      </c>
      <c r="V24" t="s">
        <v>192</v>
      </c>
      <c r="W24" t="s">
        <v>193</v>
      </c>
      <c r="X24" t="s">
        <v>232</v>
      </c>
      <c r="AF24" t="s">
        <v>197</v>
      </c>
      <c r="AK24" t="s">
        <v>75</v>
      </c>
      <c r="AL24">
        <v>0.59</v>
      </c>
      <c r="AM24">
        <v>0.59</v>
      </c>
      <c r="AO24" s="1">
        <v>1.1000000000000001</v>
      </c>
      <c r="AP24" s="1">
        <v>0.7</v>
      </c>
      <c r="AQ24">
        <v>5.0000000000000001E-3</v>
      </c>
      <c r="AR24">
        <v>0.72</v>
      </c>
      <c r="AS24">
        <v>0.72</v>
      </c>
      <c r="AU24">
        <v>1.1100000000000001</v>
      </c>
      <c r="AV24">
        <v>1.1100000000000001</v>
      </c>
      <c r="AX24">
        <v>0.72</v>
      </c>
      <c r="AY24">
        <v>0.72</v>
      </c>
      <c r="BA24">
        <v>0.76500000000000001</v>
      </c>
      <c r="BB24">
        <v>0.76500000000000001</v>
      </c>
      <c r="BD24">
        <v>1.115</v>
      </c>
      <c r="BE24">
        <v>1.115</v>
      </c>
      <c r="BG24">
        <v>0.77500000000000002</v>
      </c>
      <c r="BH24">
        <v>0.77500000000000002</v>
      </c>
      <c r="BJ24">
        <v>0.77500000000000002</v>
      </c>
      <c r="BK24">
        <v>0.77500000000000002</v>
      </c>
      <c r="BM24">
        <v>0.81</v>
      </c>
      <c r="BN24">
        <v>0.81</v>
      </c>
      <c r="BP24">
        <v>0.72</v>
      </c>
      <c r="BQ24">
        <v>0.72</v>
      </c>
      <c r="BS24">
        <v>0.8</v>
      </c>
      <c r="BT24">
        <v>0.8</v>
      </c>
      <c r="BV24">
        <v>1.32</v>
      </c>
      <c r="BW24">
        <v>1.32</v>
      </c>
      <c r="BY24" t="s">
        <v>76</v>
      </c>
      <c r="BZ24" cm="1">
        <f t="array" ref="BZ24">_xlfn.IFS($AN24&gt;0,AVERAGE(AL24:AM24),$AQ24&gt;0,AVERAGE(AO24:AP24),$AT24&gt;0,AVERAGE(AR24:AS24),$AW24&gt;0,AVERAGE(AU24:AV24),$AZ24&gt;0,AVERAGE(AX24:AY24),$BC24&gt;0,AVERAGE(BA24:BB24),$BF24&gt;0,AVERAGE(BD24:BE24),$BI24&gt;0,AVERAGE(BG24:BH24),$BL24&gt;0,AVERAGE(BJ24:BK24),$BO24&gt;0,AVERAGE(BM24:BN24),$BR24&gt;0,AVERAGE(BP24:BQ24),$BU24&gt;0,AVERAGE(BS24:BT24),$BX24&gt;0,AVERAGE(BV24:BW24))</f>
        <v>0.9</v>
      </c>
      <c r="CA24">
        <v>0.59499999999999997</v>
      </c>
      <c r="CC24">
        <v>0</v>
      </c>
      <c r="CD24">
        <f>IF(ISNUMBER(SEARCH("TTR",$D24)),1,0)</f>
        <v>0</v>
      </c>
      <c r="CE24">
        <v>0</v>
      </c>
      <c r="CF24" s="1" t="s">
        <v>279</v>
      </c>
    </row>
    <row r="25" spans="1:87" hidden="1" x14ac:dyDescent="0.2">
      <c r="A25" t="s">
        <v>91</v>
      </c>
      <c r="B25" s="6" t="s">
        <v>338</v>
      </c>
      <c r="D25" t="s">
        <v>271</v>
      </c>
      <c r="E25" t="s">
        <v>92</v>
      </c>
      <c r="F25" t="s">
        <v>171</v>
      </c>
      <c r="G25" t="s">
        <v>87</v>
      </c>
      <c r="H25" t="s">
        <v>285</v>
      </c>
      <c r="I25" t="s">
        <v>281</v>
      </c>
      <c r="J25" t="s">
        <v>282</v>
      </c>
      <c r="K25" t="s">
        <v>206</v>
      </c>
      <c r="L25" t="s">
        <v>70</v>
      </c>
      <c r="M25" t="s">
        <v>70</v>
      </c>
      <c r="N25" t="s">
        <v>175</v>
      </c>
      <c r="O25" t="s">
        <v>202</v>
      </c>
      <c r="P25" s="4" t="str">
        <f t="shared" si="0"/>
        <v>DFTL_CPU_ECPU_MEX008_CPUTDF_C0F7_PL0010_X_X_DIV166_SelsrmSSSS_</v>
      </c>
      <c r="S25">
        <v>0.59499999999999997</v>
      </c>
      <c r="T25">
        <v>0.55930000000000002</v>
      </c>
      <c r="U25" t="s">
        <v>71</v>
      </c>
      <c r="V25" t="s">
        <v>283</v>
      </c>
      <c r="W25" t="s">
        <v>284</v>
      </c>
      <c r="X25" t="s">
        <v>328</v>
      </c>
      <c r="AF25" t="s">
        <v>334</v>
      </c>
      <c r="AG25" t="s">
        <v>335</v>
      </c>
      <c r="AK25" t="s">
        <v>75</v>
      </c>
      <c r="AL25">
        <v>0.59</v>
      </c>
      <c r="AM25">
        <v>0.59</v>
      </c>
      <c r="AO25">
        <v>1.2</v>
      </c>
      <c r="AP25">
        <v>0.6</v>
      </c>
      <c r="AQ25">
        <v>5.0000000000000001E-3</v>
      </c>
      <c r="AR25">
        <v>0.72</v>
      </c>
      <c r="AS25">
        <v>0.72</v>
      </c>
      <c r="AU25">
        <v>1.1100000000000001</v>
      </c>
      <c r="AV25">
        <v>1.1100000000000001</v>
      </c>
      <c r="AX25">
        <v>0.72</v>
      </c>
      <c r="AY25">
        <v>0.72</v>
      </c>
      <c r="BA25">
        <v>0.76500000000000001</v>
      </c>
      <c r="BB25">
        <v>0.76500000000000001</v>
      </c>
      <c r="BD25">
        <v>1.115</v>
      </c>
      <c r="BE25">
        <v>1.115</v>
      </c>
      <c r="BG25">
        <v>0.77500000000000002</v>
      </c>
      <c r="BH25">
        <v>0.77500000000000002</v>
      </c>
      <c r="BJ25">
        <v>0.77500000000000002</v>
      </c>
      <c r="BK25">
        <v>0.77500000000000002</v>
      </c>
      <c r="BM25">
        <v>0.81</v>
      </c>
      <c r="BN25">
        <v>0.81</v>
      </c>
      <c r="BP25">
        <v>0.72</v>
      </c>
      <c r="BQ25">
        <v>0.72</v>
      </c>
      <c r="BS25">
        <v>0.8</v>
      </c>
      <c r="BT25">
        <v>0.8</v>
      </c>
      <c r="BV25">
        <v>1.32</v>
      </c>
      <c r="BW25">
        <v>1.32</v>
      </c>
      <c r="BY25" t="s">
        <v>76</v>
      </c>
      <c r="BZ25">
        <v>0.55900000000000005</v>
      </c>
      <c r="CA25">
        <v>0.59499999999999997</v>
      </c>
      <c r="CC25">
        <v>1</v>
      </c>
      <c r="CD25">
        <v>0</v>
      </c>
      <c r="CE25">
        <v>0</v>
      </c>
      <c r="CF25" s="1" t="s">
        <v>199</v>
      </c>
      <c r="CG25" s="1" t="s">
        <v>199</v>
      </c>
      <c r="CH25" s="1" t="s">
        <v>199</v>
      </c>
      <c r="CI25" s="1" t="s">
        <v>199</v>
      </c>
    </row>
    <row r="26" spans="1:87" hidden="1" x14ac:dyDescent="0.2">
      <c r="A26" t="s">
        <v>91</v>
      </c>
      <c r="B26" s="6" t="s">
        <v>338</v>
      </c>
      <c r="D26" t="s">
        <v>271</v>
      </c>
      <c r="E26" t="s">
        <v>92</v>
      </c>
      <c r="F26" t="s">
        <v>171</v>
      </c>
      <c r="G26" t="s">
        <v>136</v>
      </c>
      <c r="H26" t="s">
        <v>181</v>
      </c>
      <c r="I26" t="s">
        <v>194</v>
      </c>
      <c r="J26" t="s">
        <v>191</v>
      </c>
      <c r="K26" t="s">
        <v>146</v>
      </c>
      <c r="L26" t="s">
        <v>185</v>
      </c>
      <c r="M26" t="s">
        <v>186</v>
      </c>
      <c r="N26" t="s">
        <v>70</v>
      </c>
      <c r="O26" t="s">
        <v>202</v>
      </c>
      <c r="P26" s="4" t="str">
        <f t="shared" si="0"/>
        <v>DFTL_CPU_CPUSRAM_MEX009_CPUBST_C0FC_PLLP_59N_REPREST_X_SelsrmSSSS_</v>
      </c>
      <c r="S26" cm="1">
        <f t="array" ref="S26">_xlfn.IFS($AN26&gt;0,MAX(AL26:AM26),$AQ26&gt;0,MAX(AO26:AP26),$AT26&gt;0,MAX(AR26:AS26),$AW26&gt;0,MAX(AU26:AV26),$AZ26&gt;0,MAX(AX26:AY26),$BC26&gt;0,MAX(BA26:BB26),$BF26&gt;0,MAX(BD26:BE26),$BI26&gt;0,MAX(BG26:BH26),$BL26&gt;0,MAX(BJ26:BK26),$BO26&gt;0,MAX(BM26:BN26),$BR26&gt;0,MAX(BP26:BQ26),$BU26&gt;0,MAX(BS26:BT26),$BX26&gt;0,MAX(BV26:BW26))-0.01</f>
        <v>0.99</v>
      </c>
      <c r="T26" cm="1">
        <f t="array" ref="T26">_xlfn.IFS($AN26&gt;0,MIN(AL26:AM26),$AQ26&gt;0,MIN(AO26:AP26),$AT26&gt;0,MIN(AR26:AS26),$AW26&gt;0,MIN(AU26:AV26),$AZ26&gt;0,MIN(AX26:AY26),$BC26&gt;0,MIN(BA26:BB26),$BF26&gt;0,MIN(BD26:BE26),$BI26&gt;0,MIN(BG26:BH26),$BL26&gt;0,MIN(BJ26:BK26),$BO26&gt;0,MIN(BM26:BN26),$BR26&gt;0,MIN(BP26:BQ26),$BU26&gt;0,MIN(BS26:BT26),$BX26&gt;0,MIN(BV26:BW26))+0.01</f>
        <v>0.71</v>
      </c>
      <c r="U26" t="s">
        <v>71</v>
      </c>
      <c r="V26" t="s">
        <v>192</v>
      </c>
      <c r="W26" t="s">
        <v>193</v>
      </c>
      <c r="X26" t="s">
        <v>233</v>
      </c>
      <c r="AF26" t="s">
        <v>198</v>
      </c>
      <c r="AK26" t="s">
        <v>75</v>
      </c>
      <c r="AL26">
        <v>0.755</v>
      </c>
      <c r="AM26">
        <v>0.755</v>
      </c>
      <c r="AO26">
        <v>1.1950000000000001</v>
      </c>
      <c r="AP26">
        <v>1.1950000000000001</v>
      </c>
      <c r="AR26">
        <v>0.72</v>
      </c>
      <c r="AS26">
        <v>0.72</v>
      </c>
      <c r="AU26">
        <v>1.1100000000000001</v>
      </c>
      <c r="AV26">
        <v>1.1100000000000001</v>
      </c>
      <c r="AX26">
        <v>0.64300000000000002</v>
      </c>
      <c r="AY26">
        <v>0.64300000000000002</v>
      </c>
      <c r="BA26">
        <v>0.65100000000000002</v>
      </c>
      <c r="BB26">
        <v>0.65100000000000002</v>
      </c>
      <c r="BD26" s="1">
        <v>1</v>
      </c>
      <c r="BE26" s="1">
        <v>0.7</v>
      </c>
      <c r="BF26">
        <v>5.0000000000000001E-3</v>
      </c>
      <c r="BG26">
        <v>0.77500000000000002</v>
      </c>
      <c r="BH26">
        <v>0.77500000000000002</v>
      </c>
      <c r="BJ26">
        <v>0.77500000000000002</v>
      </c>
      <c r="BK26">
        <v>0.77500000000000002</v>
      </c>
      <c r="BM26">
        <v>0.81</v>
      </c>
      <c r="BN26">
        <v>0.81</v>
      </c>
      <c r="BP26">
        <v>0.72</v>
      </c>
      <c r="BQ26">
        <v>0.72</v>
      </c>
      <c r="BS26">
        <v>0.8</v>
      </c>
      <c r="BT26">
        <v>0.8</v>
      </c>
      <c r="BV26">
        <v>1.32</v>
      </c>
      <c r="BW26">
        <v>1.32</v>
      </c>
      <c r="BY26" t="s">
        <v>76</v>
      </c>
      <c r="BZ26" cm="1">
        <f t="array" ref="BZ26">_xlfn.IFS($AN26&gt;0,AVERAGE(AL26:AM26),$AQ26&gt;0,AVERAGE(AO26:AP26),$AT26&gt;0,AVERAGE(AR26:AS26),$AW26&gt;0,AVERAGE(AU26:AV26),$AZ26&gt;0,AVERAGE(AX26:AY26),$BC26&gt;0,AVERAGE(BA26:BB26),$BF26&gt;0,AVERAGE(BD26:BE26),$BI26&gt;0,AVERAGE(BG26:BH26),$BL26&gt;0,AVERAGE(BJ26:BK26),$BO26&gt;0,AVERAGE(BM26:BN26),$BR26&gt;0,AVERAGE(BP26:BQ26),$BU26&gt;0,AVERAGE(BS26:BT26),$BX26&gt;0,AVERAGE(BV26:BW26))</f>
        <v>0.85</v>
      </c>
      <c r="CA26">
        <v>0.79</v>
      </c>
      <c r="CC26">
        <f>IF(ISNUMBER(SEARCH("HTOL",$D26)),1,0)</f>
        <v>0</v>
      </c>
      <c r="CD26">
        <f t="shared" ref="CD26:CD57" si="2">IF(ISNUMBER(SEARCH("TTR",$D26)),1,0)</f>
        <v>0</v>
      </c>
      <c r="CE26">
        <v>0</v>
      </c>
      <c r="CF26" s="1" t="s">
        <v>199</v>
      </c>
      <c r="CG26" s="1" t="s">
        <v>199</v>
      </c>
      <c r="CH26" s="1" t="s">
        <v>199</v>
      </c>
      <c r="CI26" s="1" t="s">
        <v>199</v>
      </c>
    </row>
    <row r="27" spans="1:87" hidden="1" x14ac:dyDescent="0.2">
      <c r="A27" t="s">
        <v>91</v>
      </c>
      <c r="B27" s="6">
        <v>45513</v>
      </c>
      <c r="C27" t="s">
        <v>280</v>
      </c>
      <c r="D27" t="s">
        <v>268</v>
      </c>
      <c r="E27" t="s">
        <v>92</v>
      </c>
      <c r="F27" t="s">
        <v>171</v>
      </c>
      <c r="G27" t="s">
        <v>83</v>
      </c>
      <c r="H27" t="s">
        <v>190</v>
      </c>
      <c r="I27" t="s">
        <v>250</v>
      </c>
      <c r="J27" t="s">
        <v>172</v>
      </c>
      <c r="K27" t="s">
        <v>206</v>
      </c>
      <c r="L27" t="s">
        <v>249</v>
      </c>
      <c r="M27" t="s">
        <v>70</v>
      </c>
      <c r="N27" t="s">
        <v>175</v>
      </c>
      <c r="O27" t="s">
        <v>202</v>
      </c>
      <c r="P27" s="4" t="str">
        <f t="shared" si="0"/>
        <v>DFTL_CPU_PCPU_MPX00I_CPUTDF1P_C307_PL0010_C0_X_DIV166_SelsrmSSSS_</v>
      </c>
      <c r="S27" cm="1">
        <f t="array" ref="S27">_xlfn.IFS($AN27&gt;0,MAX(AL27:AM27),$AQ27&gt;0,MAX(AO27:AP27),$AT27&gt;0,MAX(AR27:AS27),$AW27&gt;0,MAX(AU27:AV27),$AZ27&gt;0,MAX(AX27:AY27),$BC27&gt;0,MAX(BA27:BB27),$BF27&gt;0,MAX(BD27:BE27),$BI27&gt;0,MAX(BG27:BH27),$BL27&gt;0,MAX(BJ27:BK27),$BO27&gt;0,MAX(BM27:BN27),$BR27&gt;0,MAX(BP27:BQ27),$BU27&gt;0,MAX(BS27:BT27),$BX27&gt;0,MAX(BV27:BW27))-0.01</f>
        <v>1.19</v>
      </c>
      <c r="T27" cm="1">
        <f t="array" ref="T27">_xlfn.IFS($AN27&gt;0,MIN(AL27:AM27),$AQ27&gt;0,MIN(AO27:AP27),$AT27&gt;0,MIN(AR27:AS27),$AW27&gt;0,MIN(AU27:AV27),$AZ27&gt;0,MIN(AX27:AY27),$BC27&gt;0,MIN(BA27:BB27),$BF27&gt;0,MIN(BD27:BE27),$BI27&gt;0,MIN(BG27:BH27),$BL27&gt;0,MIN(BJ27:BK27),$BO27&gt;0,MIN(BM27:BN27),$BR27&gt;0,MIN(BP27:BQ27),$BU27&gt;0,MIN(BS27:BT27),$BX27&gt;0,MIN(BV27:BW27))+0.01</f>
        <v>0.81</v>
      </c>
      <c r="U27" t="s">
        <v>71</v>
      </c>
      <c r="V27" t="s">
        <v>173</v>
      </c>
      <c r="W27" t="s">
        <v>251</v>
      </c>
      <c r="X27" t="s">
        <v>247</v>
      </c>
      <c r="AF27" t="s">
        <v>252</v>
      </c>
      <c r="AG27" t="s">
        <v>253</v>
      </c>
      <c r="AK27" t="s">
        <v>75</v>
      </c>
      <c r="AL27" s="1">
        <v>1.2</v>
      </c>
      <c r="AM27" s="1">
        <v>0.8</v>
      </c>
      <c r="AN27">
        <v>5.0000000000000001E-3</v>
      </c>
      <c r="AO27">
        <v>0.71499999999999997</v>
      </c>
      <c r="AP27">
        <v>0.71499999999999997</v>
      </c>
      <c r="AR27">
        <v>0.72</v>
      </c>
      <c r="AS27">
        <v>0.72</v>
      </c>
      <c r="AU27">
        <v>1.1100000000000001</v>
      </c>
      <c r="AV27">
        <v>1.1100000000000001</v>
      </c>
      <c r="AX27">
        <v>0.72</v>
      </c>
      <c r="AY27">
        <v>0.72</v>
      </c>
      <c r="BA27">
        <v>0.76500000000000001</v>
      </c>
      <c r="BB27">
        <v>0.76500000000000001</v>
      </c>
      <c r="BD27">
        <v>1.1850000000000001</v>
      </c>
      <c r="BE27">
        <v>1.1850000000000001</v>
      </c>
      <c r="BG27">
        <v>0.77500000000000002</v>
      </c>
      <c r="BH27">
        <v>0.77500000000000002</v>
      </c>
      <c r="BJ27">
        <v>0.77500000000000002</v>
      </c>
      <c r="BK27">
        <v>0.77500000000000002</v>
      </c>
      <c r="BM27">
        <v>0.81</v>
      </c>
      <c r="BN27">
        <v>0.81</v>
      </c>
      <c r="BP27">
        <v>0.72</v>
      </c>
      <c r="BQ27">
        <v>0.72</v>
      </c>
      <c r="BS27">
        <v>0.8</v>
      </c>
      <c r="BT27">
        <v>0.8</v>
      </c>
      <c r="BV27">
        <v>1.32</v>
      </c>
      <c r="BW27">
        <v>1.32</v>
      </c>
      <c r="BY27" t="s">
        <v>76</v>
      </c>
      <c r="BZ27" cm="1">
        <f t="array" ref="BZ27">_xlfn.IFS($AN27&gt;0,AVERAGE(AL27:AM27),$AQ27&gt;0,AVERAGE(AO27:AP27),$AT27&gt;0,AVERAGE(AR27:AS27),$AW27&gt;0,AVERAGE(AU27:AV27),$AZ27&gt;0,AVERAGE(AX27:AY27),$BC27&gt;0,AVERAGE(BA27:BB27),$BF27&gt;0,AVERAGE(BD27:BE27),$BI27&gt;0,AVERAGE(BG27:BH27),$BL27&gt;0,AVERAGE(BJ27:BK27),$BO27&gt;0,AVERAGE(BM27:BN27),$BR27&gt;0,AVERAGE(BP27:BQ27),$BU27&gt;0,AVERAGE(BS27:BT27),$BX27&gt;0,AVERAGE(BV27:BW27))</f>
        <v>1</v>
      </c>
      <c r="CA27">
        <v>0.59</v>
      </c>
      <c r="CC27">
        <v>0</v>
      </c>
      <c r="CD27">
        <f t="shared" si="2"/>
        <v>0</v>
      </c>
      <c r="CE27">
        <v>0</v>
      </c>
      <c r="CF27" t="s">
        <v>279</v>
      </c>
      <c r="CG27" t="s">
        <v>279</v>
      </c>
    </row>
    <row r="28" spans="1:87" hidden="1" x14ac:dyDescent="0.2">
      <c r="A28" t="s">
        <v>91</v>
      </c>
      <c r="B28" s="6">
        <v>45513</v>
      </c>
      <c r="C28" t="s">
        <v>280</v>
      </c>
      <c r="D28" t="s">
        <v>268</v>
      </c>
      <c r="E28" t="s">
        <v>92</v>
      </c>
      <c r="F28" t="s">
        <v>171</v>
      </c>
      <c r="G28" t="s">
        <v>83</v>
      </c>
      <c r="H28" t="s">
        <v>210</v>
      </c>
      <c r="I28" t="s">
        <v>250</v>
      </c>
      <c r="J28" t="s">
        <v>172</v>
      </c>
      <c r="K28" t="s">
        <v>206</v>
      </c>
      <c r="L28" t="s">
        <v>249</v>
      </c>
      <c r="M28" t="s">
        <v>70</v>
      </c>
      <c r="N28" t="s">
        <v>175</v>
      </c>
      <c r="O28" t="s">
        <v>202</v>
      </c>
      <c r="P28" s="4" t="str">
        <f t="shared" si="0"/>
        <v>DFTL_CPU_PCPU_MPX00L_CPUTDF1P_C307_PL0010_C0_X_DIV166_SelsrmSSSS_</v>
      </c>
      <c r="S28" cm="1">
        <f t="array" ref="S28">_xlfn.IFS($AN28&gt;0,MAX(AL28:AM28),$AQ28&gt;0,MAX(AO28:AP28),$AT28&gt;0,MAX(AR28:AS28),$AW28&gt;0,MAX(AU28:AV28),$AZ28&gt;0,MAX(AX28:AY28),$BC28&gt;0,MAX(BA28:BB28),$BF28&gt;0,MAX(BD28:BE28),$BI28&gt;0,MAX(BG28:BH28),$BL28&gt;0,MAX(BJ28:BK28),$BO28&gt;0,MAX(BM28:BN28),$BR28&gt;0,MAX(BP28:BQ28),$BU28&gt;0,MAX(BS28:BT28),$BX28&gt;0,MAX(BV28:BW28))-0.01</f>
        <v>1.19</v>
      </c>
      <c r="T28" cm="1">
        <f t="array" ref="T28">_xlfn.IFS($AN28&gt;0,MIN(AL28:AM28),$AQ28&gt;0,MIN(AO28:AP28),$AT28&gt;0,MIN(AR28:AS28),$AW28&gt;0,MIN(AU28:AV28),$AZ28&gt;0,MIN(AX28:AY28),$BC28&gt;0,MIN(BA28:BB28),$BF28&gt;0,MIN(BD28:BE28),$BI28&gt;0,MIN(BG28:BH28),$BL28&gt;0,MIN(BJ28:BK28),$BO28&gt;0,MIN(BM28:BN28),$BR28&gt;0,MIN(BP28:BQ28),$BU28&gt;0,MIN(BS28:BT28),$BX28&gt;0,MIN(BV28:BW28))+0.01</f>
        <v>0.81</v>
      </c>
      <c r="U28" t="s">
        <v>71</v>
      </c>
      <c r="V28" t="s">
        <v>173</v>
      </c>
      <c r="W28" t="s">
        <v>251</v>
      </c>
      <c r="X28" t="s">
        <v>248</v>
      </c>
      <c r="AF28" t="s">
        <v>252</v>
      </c>
      <c r="AG28" t="s">
        <v>253</v>
      </c>
      <c r="AK28" t="s">
        <v>75</v>
      </c>
      <c r="AL28" s="1">
        <v>1.2</v>
      </c>
      <c r="AM28" s="1">
        <v>0.8</v>
      </c>
      <c r="AN28">
        <v>5.0000000000000001E-3</v>
      </c>
      <c r="AO28">
        <v>0.71499999999999997</v>
      </c>
      <c r="AP28">
        <v>0.71499999999999997</v>
      </c>
      <c r="AR28">
        <v>0.72</v>
      </c>
      <c r="AS28">
        <v>0.72</v>
      </c>
      <c r="AU28">
        <v>1.1100000000000001</v>
      </c>
      <c r="AV28">
        <v>1.1100000000000001</v>
      </c>
      <c r="AX28">
        <v>0.72</v>
      </c>
      <c r="AY28">
        <v>0.72</v>
      </c>
      <c r="BA28">
        <v>0.76500000000000001</v>
      </c>
      <c r="BB28">
        <v>0.76500000000000001</v>
      </c>
      <c r="BD28">
        <v>1.1850000000000001</v>
      </c>
      <c r="BE28">
        <v>1.1850000000000001</v>
      </c>
      <c r="BG28">
        <v>0.77500000000000002</v>
      </c>
      <c r="BH28">
        <v>0.77500000000000002</v>
      </c>
      <c r="BJ28">
        <v>0.77500000000000002</v>
      </c>
      <c r="BK28">
        <v>0.77500000000000002</v>
      </c>
      <c r="BM28">
        <v>0.81</v>
      </c>
      <c r="BN28">
        <v>0.81</v>
      </c>
      <c r="BP28">
        <v>0.72</v>
      </c>
      <c r="BQ28">
        <v>0.72</v>
      </c>
      <c r="BS28">
        <v>0.8</v>
      </c>
      <c r="BT28">
        <v>0.8</v>
      </c>
      <c r="BV28">
        <v>1.32</v>
      </c>
      <c r="BW28">
        <v>1.32</v>
      </c>
      <c r="BY28" t="s">
        <v>76</v>
      </c>
      <c r="BZ28" cm="1">
        <f t="array" ref="BZ28">_xlfn.IFS($AN28&gt;0,AVERAGE(AL28:AM28),$AQ28&gt;0,AVERAGE(AO28:AP28),$AT28&gt;0,AVERAGE(AR28:AS28),$AW28&gt;0,AVERAGE(AU28:AV28),$AZ28&gt;0,AVERAGE(AX28:AY28),$BC28&gt;0,AVERAGE(BA28:BB28),$BF28&gt;0,AVERAGE(BD28:BE28),$BI28&gt;0,AVERAGE(BG28:BH28),$BL28&gt;0,AVERAGE(BJ28:BK28),$BO28&gt;0,AVERAGE(BM28:BN28),$BR28&gt;0,AVERAGE(BP28:BQ28),$BU28&gt;0,AVERAGE(BS28:BT28),$BX28&gt;0,AVERAGE(BV28:BW28))</f>
        <v>1</v>
      </c>
      <c r="CA28">
        <v>0.59</v>
      </c>
      <c r="CC28">
        <v>0</v>
      </c>
      <c r="CD28">
        <f t="shared" si="2"/>
        <v>0</v>
      </c>
      <c r="CE28">
        <v>0</v>
      </c>
      <c r="CF28" t="s">
        <v>279</v>
      </c>
      <c r="CG28" t="s">
        <v>279</v>
      </c>
    </row>
    <row r="29" spans="1:87" hidden="1" x14ac:dyDescent="0.2">
      <c r="A29" t="s">
        <v>91</v>
      </c>
      <c r="B29" s="6">
        <v>45513</v>
      </c>
      <c r="C29" t="s">
        <v>280</v>
      </c>
      <c r="D29" t="s">
        <v>268</v>
      </c>
      <c r="E29" t="s">
        <v>92</v>
      </c>
      <c r="F29" t="s">
        <v>171</v>
      </c>
      <c r="G29" t="s">
        <v>83</v>
      </c>
      <c r="H29" t="s">
        <v>190</v>
      </c>
      <c r="I29" t="s">
        <v>250</v>
      </c>
      <c r="J29" t="s">
        <v>172</v>
      </c>
      <c r="K29" t="s">
        <v>206</v>
      </c>
      <c r="L29" t="s">
        <v>254</v>
      </c>
      <c r="M29" t="s">
        <v>70</v>
      </c>
      <c r="N29" t="s">
        <v>175</v>
      </c>
      <c r="O29" t="s">
        <v>202</v>
      </c>
      <c r="P29" s="4" t="str">
        <f t="shared" si="0"/>
        <v>DFTL_CPU_PCPU_MPX00I_CPUTDF1P_C307_PL0010_C1_X_DIV166_SelsrmSSSS_</v>
      </c>
      <c r="S29" cm="1">
        <f t="array" ref="S29">_xlfn.IFS($AN29&gt;0,MAX(AL29:AM29),$AQ29&gt;0,MAX(AO29:AP29),$AT29&gt;0,MAX(AR29:AS29),$AW29&gt;0,MAX(AU29:AV29),$AZ29&gt;0,MAX(AX29:AY29),$BC29&gt;0,MAX(BA29:BB29),$BF29&gt;0,MAX(BD29:BE29),$BI29&gt;0,MAX(BG29:BH29),$BL29&gt;0,MAX(BJ29:BK29),$BO29&gt;0,MAX(BM29:BN29),$BR29&gt;0,MAX(BP29:BQ29),$BU29&gt;0,MAX(BS29:BT29),$BX29&gt;0,MAX(BV29:BW29))-0.01</f>
        <v>1.19</v>
      </c>
      <c r="T29" cm="1">
        <f t="array" ref="T29">_xlfn.IFS($AN29&gt;0,MIN(AL29:AM29),$AQ29&gt;0,MIN(AO29:AP29),$AT29&gt;0,MIN(AR29:AS29),$AW29&gt;0,MIN(AU29:AV29),$AZ29&gt;0,MIN(AX29:AY29),$BC29&gt;0,MIN(BA29:BB29),$BF29&gt;0,MIN(BD29:BE29),$BI29&gt;0,MIN(BG29:BH29),$BL29&gt;0,MIN(BJ29:BK29),$BO29&gt;0,MIN(BM29:BN29),$BR29&gt;0,MIN(BP29:BQ29),$BU29&gt;0,MIN(BS29:BT29),$BX29&gt;0,MIN(BV29:BW29))+0.01</f>
        <v>0.81</v>
      </c>
      <c r="U29" t="s">
        <v>71</v>
      </c>
      <c r="V29" t="s">
        <v>173</v>
      </c>
      <c r="W29" t="s">
        <v>255</v>
      </c>
      <c r="X29" t="s">
        <v>247</v>
      </c>
      <c r="AF29" t="s">
        <v>252</v>
      </c>
      <c r="AG29" t="s">
        <v>253</v>
      </c>
      <c r="AK29" t="s">
        <v>75</v>
      </c>
      <c r="AL29" s="1">
        <v>1.2</v>
      </c>
      <c r="AM29" s="1">
        <v>0.8</v>
      </c>
      <c r="AN29">
        <v>5.0000000000000001E-3</v>
      </c>
      <c r="AO29">
        <v>0.71499999999999997</v>
      </c>
      <c r="AP29">
        <v>0.71499999999999997</v>
      </c>
      <c r="AR29">
        <v>0.72</v>
      </c>
      <c r="AS29">
        <v>0.72</v>
      </c>
      <c r="AU29">
        <v>1.1100000000000001</v>
      </c>
      <c r="AV29">
        <v>1.1100000000000001</v>
      </c>
      <c r="AX29">
        <v>0.72</v>
      </c>
      <c r="AY29">
        <v>0.72</v>
      </c>
      <c r="BA29">
        <v>0.76500000000000001</v>
      </c>
      <c r="BB29">
        <v>0.76500000000000001</v>
      </c>
      <c r="BD29">
        <v>1.1850000000000001</v>
      </c>
      <c r="BE29">
        <v>1.1850000000000001</v>
      </c>
      <c r="BG29">
        <v>0.77500000000000002</v>
      </c>
      <c r="BH29">
        <v>0.77500000000000002</v>
      </c>
      <c r="BJ29">
        <v>0.77500000000000002</v>
      </c>
      <c r="BK29">
        <v>0.77500000000000002</v>
      </c>
      <c r="BM29">
        <v>0.81</v>
      </c>
      <c r="BN29">
        <v>0.81</v>
      </c>
      <c r="BP29">
        <v>0.72</v>
      </c>
      <c r="BQ29">
        <v>0.72</v>
      </c>
      <c r="BS29">
        <v>0.8</v>
      </c>
      <c r="BT29">
        <v>0.8</v>
      </c>
      <c r="BV29">
        <v>1.32</v>
      </c>
      <c r="BW29">
        <v>1.32</v>
      </c>
      <c r="BY29" t="s">
        <v>76</v>
      </c>
      <c r="BZ29" cm="1">
        <f t="array" ref="BZ29">_xlfn.IFS($AN29&gt;0,AVERAGE(AL29:AM29),$AQ29&gt;0,AVERAGE(AO29:AP29),$AT29&gt;0,AVERAGE(AR29:AS29),$AW29&gt;0,AVERAGE(AU29:AV29),$AZ29&gt;0,AVERAGE(AX29:AY29),$BC29&gt;0,AVERAGE(BA29:BB29),$BF29&gt;0,AVERAGE(BD29:BE29),$BI29&gt;0,AVERAGE(BG29:BH29),$BL29&gt;0,AVERAGE(BJ29:BK29),$BO29&gt;0,AVERAGE(BM29:BN29),$BR29&gt;0,AVERAGE(BP29:BQ29),$BU29&gt;0,AVERAGE(BS29:BT29),$BX29&gt;0,AVERAGE(BV29:BW29))</f>
        <v>1</v>
      </c>
      <c r="CA29">
        <v>0.59</v>
      </c>
      <c r="CC29">
        <v>0</v>
      </c>
      <c r="CD29">
        <f t="shared" si="2"/>
        <v>0</v>
      </c>
      <c r="CE29">
        <v>0</v>
      </c>
      <c r="CF29" t="s">
        <v>279</v>
      </c>
      <c r="CG29" t="s">
        <v>279</v>
      </c>
    </row>
    <row r="30" spans="1:87" hidden="1" x14ac:dyDescent="0.2">
      <c r="A30" t="s">
        <v>91</v>
      </c>
      <c r="B30" s="6">
        <v>45513</v>
      </c>
      <c r="C30" t="s">
        <v>280</v>
      </c>
      <c r="D30" t="s">
        <v>268</v>
      </c>
      <c r="E30" t="s">
        <v>92</v>
      </c>
      <c r="F30" t="s">
        <v>171</v>
      </c>
      <c r="G30" t="s">
        <v>83</v>
      </c>
      <c r="H30" t="s">
        <v>210</v>
      </c>
      <c r="I30" t="s">
        <v>250</v>
      </c>
      <c r="J30" t="s">
        <v>172</v>
      </c>
      <c r="K30" t="s">
        <v>206</v>
      </c>
      <c r="L30" t="s">
        <v>254</v>
      </c>
      <c r="M30" t="s">
        <v>70</v>
      </c>
      <c r="N30" t="s">
        <v>175</v>
      </c>
      <c r="O30" t="s">
        <v>202</v>
      </c>
      <c r="P30" s="4" t="str">
        <f t="shared" si="0"/>
        <v>DFTL_CPU_PCPU_MPX00L_CPUTDF1P_C307_PL0010_C1_X_DIV166_SelsrmSSSS_</v>
      </c>
      <c r="S30" cm="1">
        <f t="array" ref="S30">_xlfn.IFS($AN30&gt;0,MAX(AL30:AM30),$AQ30&gt;0,MAX(AO30:AP30),$AT30&gt;0,MAX(AR30:AS30),$AW30&gt;0,MAX(AU30:AV30),$AZ30&gt;0,MAX(AX30:AY30),$BC30&gt;0,MAX(BA30:BB30),$BF30&gt;0,MAX(BD30:BE30),$BI30&gt;0,MAX(BG30:BH30),$BL30&gt;0,MAX(BJ30:BK30),$BO30&gt;0,MAX(BM30:BN30),$BR30&gt;0,MAX(BP30:BQ30),$BU30&gt;0,MAX(BS30:BT30),$BX30&gt;0,MAX(BV30:BW30))-0.01</f>
        <v>1.19</v>
      </c>
      <c r="T30" cm="1">
        <f t="array" ref="T30">_xlfn.IFS($AN30&gt;0,MIN(AL30:AM30),$AQ30&gt;0,MIN(AO30:AP30),$AT30&gt;0,MIN(AR30:AS30),$AW30&gt;0,MIN(AU30:AV30),$AZ30&gt;0,MIN(AX30:AY30),$BC30&gt;0,MIN(BA30:BB30),$BF30&gt;0,MIN(BD30:BE30),$BI30&gt;0,MIN(BG30:BH30),$BL30&gt;0,MIN(BJ30:BK30),$BO30&gt;0,MIN(BM30:BN30),$BR30&gt;0,MIN(BP30:BQ30),$BU30&gt;0,MIN(BS30:BT30),$BX30&gt;0,MIN(BV30:BW30))+0.01</f>
        <v>0.81</v>
      </c>
      <c r="U30" t="s">
        <v>71</v>
      </c>
      <c r="V30" t="s">
        <v>173</v>
      </c>
      <c r="W30" t="s">
        <v>255</v>
      </c>
      <c r="X30" t="s">
        <v>248</v>
      </c>
      <c r="AF30" t="s">
        <v>252</v>
      </c>
      <c r="AG30" t="s">
        <v>253</v>
      </c>
      <c r="AK30" t="s">
        <v>75</v>
      </c>
      <c r="AL30" s="1">
        <v>1.2</v>
      </c>
      <c r="AM30" s="1">
        <v>0.8</v>
      </c>
      <c r="AN30">
        <v>5.0000000000000001E-3</v>
      </c>
      <c r="AO30">
        <v>0.71499999999999997</v>
      </c>
      <c r="AP30">
        <v>0.71499999999999997</v>
      </c>
      <c r="AR30">
        <v>0.72</v>
      </c>
      <c r="AS30">
        <v>0.72</v>
      </c>
      <c r="AU30">
        <v>1.1100000000000001</v>
      </c>
      <c r="AV30">
        <v>1.1100000000000001</v>
      </c>
      <c r="AX30">
        <v>0.72</v>
      </c>
      <c r="AY30">
        <v>0.72</v>
      </c>
      <c r="BA30">
        <v>0.76500000000000001</v>
      </c>
      <c r="BB30">
        <v>0.76500000000000001</v>
      </c>
      <c r="BD30">
        <v>1.1850000000000001</v>
      </c>
      <c r="BE30">
        <v>1.1850000000000001</v>
      </c>
      <c r="BG30">
        <v>0.77500000000000002</v>
      </c>
      <c r="BH30">
        <v>0.77500000000000002</v>
      </c>
      <c r="BJ30">
        <v>0.77500000000000002</v>
      </c>
      <c r="BK30">
        <v>0.77500000000000002</v>
      </c>
      <c r="BM30">
        <v>0.81</v>
      </c>
      <c r="BN30">
        <v>0.81</v>
      </c>
      <c r="BP30">
        <v>0.72</v>
      </c>
      <c r="BQ30">
        <v>0.72</v>
      </c>
      <c r="BS30">
        <v>0.8</v>
      </c>
      <c r="BT30">
        <v>0.8</v>
      </c>
      <c r="BV30">
        <v>1.32</v>
      </c>
      <c r="BW30">
        <v>1.32</v>
      </c>
      <c r="BY30" t="s">
        <v>76</v>
      </c>
      <c r="BZ30" cm="1">
        <f t="array" ref="BZ30">_xlfn.IFS($AN30&gt;0,AVERAGE(AL30:AM30),$AQ30&gt;0,AVERAGE(AO30:AP30),$AT30&gt;0,AVERAGE(AR30:AS30),$AW30&gt;0,AVERAGE(AU30:AV30),$AZ30&gt;0,AVERAGE(AX30:AY30),$BC30&gt;0,AVERAGE(BA30:BB30),$BF30&gt;0,AVERAGE(BD30:BE30),$BI30&gt;0,AVERAGE(BG30:BH30),$BL30&gt;0,AVERAGE(BJ30:BK30),$BO30&gt;0,AVERAGE(BM30:BN30),$BR30&gt;0,AVERAGE(BP30:BQ30),$BU30&gt;0,AVERAGE(BS30:BT30),$BX30&gt;0,AVERAGE(BV30:BW30))</f>
        <v>1</v>
      </c>
      <c r="CA30">
        <v>0.59</v>
      </c>
      <c r="CC30">
        <v>0</v>
      </c>
      <c r="CD30">
        <f t="shared" si="2"/>
        <v>0</v>
      </c>
      <c r="CE30">
        <v>0</v>
      </c>
      <c r="CF30" t="s">
        <v>279</v>
      </c>
      <c r="CG30" t="s">
        <v>279</v>
      </c>
    </row>
    <row r="31" spans="1:87" hidden="1" x14ac:dyDescent="0.2">
      <c r="A31" t="s">
        <v>91</v>
      </c>
      <c r="B31" s="6">
        <v>45513</v>
      </c>
      <c r="C31" t="s">
        <v>280</v>
      </c>
      <c r="D31" t="s">
        <v>268</v>
      </c>
      <c r="E31" t="s">
        <v>92</v>
      </c>
      <c r="F31" t="s">
        <v>171</v>
      </c>
      <c r="G31" t="s">
        <v>83</v>
      </c>
      <c r="H31" t="s">
        <v>190</v>
      </c>
      <c r="I31" t="s">
        <v>250</v>
      </c>
      <c r="J31" t="s">
        <v>172</v>
      </c>
      <c r="K31" t="s">
        <v>206</v>
      </c>
      <c r="L31" t="s">
        <v>256</v>
      </c>
      <c r="M31" t="s">
        <v>70</v>
      </c>
      <c r="N31" t="s">
        <v>175</v>
      </c>
      <c r="O31" t="s">
        <v>202</v>
      </c>
      <c r="P31" s="4" t="str">
        <f t="shared" si="0"/>
        <v>DFTL_CPU_PCPU_MPX00I_CPUTDF1P_C307_PL0010_C2_X_DIV166_SelsrmSSSS_</v>
      </c>
      <c r="S31" cm="1">
        <f t="array" ref="S31">_xlfn.IFS($AN31&gt;0,MAX(AL31:AM31),$AQ31&gt;0,MAX(AO31:AP31),$AT31&gt;0,MAX(AR31:AS31),$AW31&gt;0,MAX(AU31:AV31),$AZ31&gt;0,MAX(AX31:AY31),$BC31&gt;0,MAX(BA31:BB31),$BF31&gt;0,MAX(BD31:BE31),$BI31&gt;0,MAX(BG31:BH31),$BL31&gt;0,MAX(BJ31:BK31),$BO31&gt;0,MAX(BM31:BN31),$BR31&gt;0,MAX(BP31:BQ31),$BU31&gt;0,MAX(BS31:BT31),$BX31&gt;0,MAX(BV31:BW31))-0.01</f>
        <v>1.19</v>
      </c>
      <c r="T31" cm="1">
        <f t="array" ref="T31">_xlfn.IFS($AN31&gt;0,MIN(AL31:AM31),$AQ31&gt;0,MIN(AO31:AP31),$AT31&gt;0,MIN(AR31:AS31),$AW31&gt;0,MIN(AU31:AV31),$AZ31&gt;0,MIN(AX31:AY31),$BC31&gt;0,MIN(BA31:BB31),$BF31&gt;0,MIN(BD31:BE31),$BI31&gt;0,MIN(BG31:BH31),$BL31&gt;0,MIN(BJ31:BK31),$BO31&gt;0,MIN(BM31:BN31),$BR31&gt;0,MIN(BP31:BQ31),$BU31&gt;0,MIN(BS31:BT31),$BX31&gt;0,MIN(BV31:BW31))+0.01</f>
        <v>0.81</v>
      </c>
      <c r="U31" t="s">
        <v>71</v>
      </c>
      <c r="V31" t="s">
        <v>173</v>
      </c>
      <c r="W31" t="s">
        <v>257</v>
      </c>
      <c r="X31" t="s">
        <v>247</v>
      </c>
      <c r="AF31" t="s">
        <v>252</v>
      </c>
      <c r="AG31" t="s">
        <v>253</v>
      </c>
      <c r="AK31" t="s">
        <v>75</v>
      </c>
      <c r="AL31" s="1">
        <v>1.2</v>
      </c>
      <c r="AM31" s="1">
        <v>0.8</v>
      </c>
      <c r="AN31">
        <v>5.0000000000000001E-3</v>
      </c>
      <c r="AO31">
        <v>0.71499999999999997</v>
      </c>
      <c r="AP31">
        <v>0.71499999999999997</v>
      </c>
      <c r="AR31">
        <v>0.72</v>
      </c>
      <c r="AS31">
        <v>0.72</v>
      </c>
      <c r="AU31">
        <v>1.1100000000000001</v>
      </c>
      <c r="AV31">
        <v>1.1100000000000001</v>
      </c>
      <c r="AX31">
        <v>0.72</v>
      </c>
      <c r="AY31">
        <v>0.72</v>
      </c>
      <c r="BA31">
        <v>0.76500000000000001</v>
      </c>
      <c r="BB31">
        <v>0.76500000000000001</v>
      </c>
      <c r="BD31">
        <v>1.1850000000000001</v>
      </c>
      <c r="BE31">
        <v>1.1850000000000001</v>
      </c>
      <c r="BG31">
        <v>0.77500000000000002</v>
      </c>
      <c r="BH31">
        <v>0.77500000000000002</v>
      </c>
      <c r="BJ31">
        <v>0.77500000000000002</v>
      </c>
      <c r="BK31">
        <v>0.77500000000000002</v>
      </c>
      <c r="BM31">
        <v>0.81</v>
      </c>
      <c r="BN31">
        <v>0.81</v>
      </c>
      <c r="BP31">
        <v>0.72</v>
      </c>
      <c r="BQ31">
        <v>0.72</v>
      </c>
      <c r="BS31">
        <v>0.8</v>
      </c>
      <c r="BT31">
        <v>0.8</v>
      </c>
      <c r="BV31">
        <v>1.32</v>
      </c>
      <c r="BW31">
        <v>1.32</v>
      </c>
      <c r="BY31" t="s">
        <v>76</v>
      </c>
      <c r="BZ31" cm="1">
        <f t="array" ref="BZ31">_xlfn.IFS($AN31&gt;0,AVERAGE(AL31:AM31),$AQ31&gt;0,AVERAGE(AO31:AP31),$AT31&gt;0,AVERAGE(AR31:AS31),$AW31&gt;0,AVERAGE(AU31:AV31),$AZ31&gt;0,AVERAGE(AX31:AY31),$BC31&gt;0,AVERAGE(BA31:BB31),$BF31&gt;0,AVERAGE(BD31:BE31),$BI31&gt;0,AVERAGE(BG31:BH31),$BL31&gt;0,AVERAGE(BJ31:BK31),$BO31&gt;0,AVERAGE(BM31:BN31),$BR31&gt;0,AVERAGE(BP31:BQ31),$BU31&gt;0,AVERAGE(BS31:BT31),$BX31&gt;0,AVERAGE(BV31:BW31))</f>
        <v>1</v>
      </c>
      <c r="CA31">
        <v>0.59</v>
      </c>
      <c r="CC31">
        <v>0</v>
      </c>
      <c r="CD31">
        <f t="shared" si="2"/>
        <v>0</v>
      </c>
      <c r="CE31">
        <v>0</v>
      </c>
      <c r="CF31" t="s">
        <v>279</v>
      </c>
      <c r="CG31" t="s">
        <v>279</v>
      </c>
    </row>
    <row r="32" spans="1:87" hidden="1" x14ac:dyDescent="0.2">
      <c r="A32" t="s">
        <v>91</v>
      </c>
      <c r="B32" s="6">
        <v>45513</v>
      </c>
      <c r="C32" t="s">
        <v>280</v>
      </c>
      <c r="D32" t="s">
        <v>268</v>
      </c>
      <c r="E32" t="s">
        <v>92</v>
      </c>
      <c r="F32" t="s">
        <v>171</v>
      </c>
      <c r="G32" t="s">
        <v>83</v>
      </c>
      <c r="H32" t="s">
        <v>210</v>
      </c>
      <c r="I32" t="s">
        <v>250</v>
      </c>
      <c r="J32" t="s">
        <v>172</v>
      </c>
      <c r="K32" t="s">
        <v>206</v>
      </c>
      <c r="L32" t="s">
        <v>256</v>
      </c>
      <c r="M32" t="s">
        <v>70</v>
      </c>
      <c r="N32" t="s">
        <v>175</v>
      </c>
      <c r="O32" t="s">
        <v>202</v>
      </c>
      <c r="P32" s="4" t="str">
        <f t="shared" si="0"/>
        <v>DFTL_CPU_PCPU_MPX00L_CPUTDF1P_C307_PL0010_C2_X_DIV166_SelsrmSSSS_</v>
      </c>
      <c r="S32" cm="1">
        <f t="array" ref="S32">_xlfn.IFS($AN32&gt;0,MAX(AL32:AM32),$AQ32&gt;0,MAX(AO32:AP32),$AT32&gt;0,MAX(AR32:AS32),$AW32&gt;0,MAX(AU32:AV32),$AZ32&gt;0,MAX(AX32:AY32),$BC32&gt;0,MAX(BA32:BB32),$BF32&gt;0,MAX(BD32:BE32),$BI32&gt;0,MAX(BG32:BH32),$BL32&gt;0,MAX(BJ32:BK32),$BO32&gt;0,MAX(BM32:BN32),$BR32&gt;0,MAX(BP32:BQ32),$BU32&gt;0,MAX(BS32:BT32),$BX32&gt;0,MAX(BV32:BW32))-0.01</f>
        <v>1.19</v>
      </c>
      <c r="T32" cm="1">
        <f t="array" ref="T32">_xlfn.IFS($AN32&gt;0,MIN(AL32:AM32),$AQ32&gt;0,MIN(AO32:AP32),$AT32&gt;0,MIN(AR32:AS32),$AW32&gt;0,MIN(AU32:AV32),$AZ32&gt;0,MIN(AX32:AY32),$BC32&gt;0,MIN(BA32:BB32),$BF32&gt;0,MIN(BD32:BE32),$BI32&gt;0,MIN(BG32:BH32),$BL32&gt;0,MIN(BJ32:BK32),$BO32&gt;0,MIN(BM32:BN32),$BR32&gt;0,MIN(BP32:BQ32),$BU32&gt;0,MIN(BS32:BT32),$BX32&gt;0,MIN(BV32:BW32))+0.01</f>
        <v>0.81</v>
      </c>
      <c r="U32" t="s">
        <v>71</v>
      </c>
      <c r="V32" t="s">
        <v>173</v>
      </c>
      <c r="W32" t="s">
        <v>257</v>
      </c>
      <c r="X32" t="s">
        <v>248</v>
      </c>
      <c r="AF32" t="s">
        <v>252</v>
      </c>
      <c r="AG32" t="s">
        <v>253</v>
      </c>
      <c r="AK32" t="s">
        <v>75</v>
      </c>
      <c r="AL32" s="1">
        <v>1.2</v>
      </c>
      <c r="AM32" s="1">
        <v>0.8</v>
      </c>
      <c r="AN32">
        <v>5.0000000000000001E-3</v>
      </c>
      <c r="AO32">
        <v>0.71499999999999997</v>
      </c>
      <c r="AP32">
        <v>0.71499999999999997</v>
      </c>
      <c r="AR32">
        <v>0.72</v>
      </c>
      <c r="AS32">
        <v>0.72</v>
      </c>
      <c r="AU32">
        <v>1.1100000000000001</v>
      </c>
      <c r="AV32">
        <v>1.1100000000000001</v>
      </c>
      <c r="AX32">
        <v>0.72</v>
      </c>
      <c r="AY32">
        <v>0.72</v>
      </c>
      <c r="BA32">
        <v>0.76500000000000001</v>
      </c>
      <c r="BB32">
        <v>0.76500000000000001</v>
      </c>
      <c r="BD32">
        <v>1.1850000000000001</v>
      </c>
      <c r="BE32">
        <v>1.1850000000000001</v>
      </c>
      <c r="BG32">
        <v>0.77500000000000002</v>
      </c>
      <c r="BH32">
        <v>0.77500000000000002</v>
      </c>
      <c r="BJ32">
        <v>0.77500000000000002</v>
      </c>
      <c r="BK32">
        <v>0.77500000000000002</v>
      </c>
      <c r="BM32">
        <v>0.81</v>
      </c>
      <c r="BN32">
        <v>0.81</v>
      </c>
      <c r="BP32">
        <v>0.72</v>
      </c>
      <c r="BQ32">
        <v>0.72</v>
      </c>
      <c r="BS32">
        <v>0.8</v>
      </c>
      <c r="BT32">
        <v>0.8</v>
      </c>
      <c r="BV32">
        <v>1.32</v>
      </c>
      <c r="BW32">
        <v>1.32</v>
      </c>
      <c r="BY32" t="s">
        <v>76</v>
      </c>
      <c r="BZ32" cm="1">
        <f t="array" ref="BZ32">_xlfn.IFS($AN32&gt;0,AVERAGE(AL32:AM32),$AQ32&gt;0,AVERAGE(AO32:AP32),$AT32&gt;0,AVERAGE(AR32:AS32),$AW32&gt;0,AVERAGE(AU32:AV32),$AZ32&gt;0,AVERAGE(AX32:AY32),$BC32&gt;0,AVERAGE(BA32:BB32),$BF32&gt;0,AVERAGE(BD32:BE32),$BI32&gt;0,AVERAGE(BG32:BH32),$BL32&gt;0,AVERAGE(BJ32:BK32),$BO32&gt;0,AVERAGE(BM32:BN32),$BR32&gt;0,AVERAGE(BP32:BQ32),$BU32&gt;0,AVERAGE(BS32:BT32),$BX32&gt;0,AVERAGE(BV32:BW32))</f>
        <v>1</v>
      </c>
      <c r="CA32">
        <v>0.59</v>
      </c>
      <c r="CC32">
        <v>0</v>
      </c>
      <c r="CD32">
        <f t="shared" si="2"/>
        <v>0</v>
      </c>
      <c r="CE32">
        <v>0</v>
      </c>
      <c r="CF32" t="s">
        <v>279</v>
      </c>
      <c r="CG32" t="s">
        <v>279</v>
      </c>
    </row>
    <row r="33" spans="1:87" hidden="1" x14ac:dyDescent="0.2">
      <c r="A33" t="s">
        <v>91</v>
      </c>
      <c r="B33" s="6" t="s">
        <v>338</v>
      </c>
      <c r="D33" t="s">
        <v>271</v>
      </c>
      <c r="E33" t="s">
        <v>92</v>
      </c>
      <c r="F33" t="s">
        <v>145</v>
      </c>
      <c r="G33" t="s">
        <v>145</v>
      </c>
      <c r="H33" t="s">
        <v>148</v>
      </c>
      <c r="I33" t="s">
        <v>149</v>
      </c>
      <c r="J33" t="s">
        <v>213</v>
      </c>
      <c r="K33" t="s">
        <v>206</v>
      </c>
      <c r="L33" t="s">
        <v>70</v>
      </c>
      <c r="M33" t="s">
        <v>70</v>
      </c>
      <c r="N33" s="5" t="s">
        <v>208</v>
      </c>
      <c r="O33" t="s">
        <v>202</v>
      </c>
      <c r="P33" s="4" t="str">
        <f t="shared" si="0"/>
        <v>DFTL_GPU_GPU_MGX001_GPUTDF_x10_PL0010_X_X_111111111111111111110000_SelsrmSSSS_</v>
      </c>
      <c r="S33" cm="1">
        <f t="array" ref="S33">_xlfn.IFS($AN33&gt;0,MAX(AL33:AM33),$AQ33&gt;0,MAX(AO33:AP33),$AT33&gt;0,MAX(AR33:AS33),$AW33&gt;0,MAX(AU33:AV33),$AZ33&gt;0,MAX(AX33:AY33),$BC33&gt;0,MAX(BA33:BB33),$BF33&gt;0,MAX(BD33:BE33),$BI33&gt;0,MAX(BG33:BH33),$BL33&gt;0,MAX(BJ33:BK33),$BO33&gt;0,MAX(BM33:BN33),$BR33&gt;0,MAX(BP33:BQ33),$BU33&gt;0,MAX(BS33:BT33),$BX33&gt;0,MAX(BV33:BW33))-0.01</f>
        <v>0.69</v>
      </c>
      <c r="T33" cm="1">
        <f t="array" ref="T33">_xlfn.IFS($AN33&gt;0,MIN(AL33:AM33),$AQ33&gt;0,MIN(AO33:AP33),$AT33&gt;0,MIN(AR33:AS33),$AW33&gt;0,MIN(AU33:AV33),$AZ33&gt;0,MIN(AX33:AY33),$BC33&gt;0,MIN(BA33:BB33),$BF33&gt;0,MIN(BD33:BE33),$BI33&gt;0,MIN(BG33:BH33),$BL33&gt;0,MIN(BJ33:BK33),$BO33&gt;0,MIN(BM33:BN33),$BR33&gt;0,MIN(BP33:BQ33),$BU33&gt;0,MIN(BS33:BT33),$BX33&gt;0,MIN(BV33:BW33))+0.01</f>
        <v>0.41000000000000003</v>
      </c>
      <c r="U33" t="s">
        <v>71</v>
      </c>
      <c r="V33" t="s">
        <v>147</v>
      </c>
      <c r="Y33" t="s">
        <v>218</v>
      </c>
      <c r="Z33" t="s">
        <v>244</v>
      </c>
      <c r="AA33" t="s">
        <v>216</v>
      </c>
      <c r="AB33" t="s">
        <v>150</v>
      </c>
      <c r="AC33" t="s">
        <v>217</v>
      </c>
      <c r="AF33" t="s">
        <v>214</v>
      </c>
      <c r="AG33" t="s">
        <v>215</v>
      </c>
      <c r="AK33" t="s">
        <v>75</v>
      </c>
      <c r="AL33">
        <v>0.755</v>
      </c>
      <c r="AM33">
        <v>0.755</v>
      </c>
      <c r="AO33">
        <v>0.71499999999999997</v>
      </c>
      <c r="AP33">
        <v>0.71499999999999997</v>
      </c>
      <c r="AR33" s="1">
        <v>0.7</v>
      </c>
      <c r="AS33" s="1">
        <v>0.4</v>
      </c>
      <c r="AT33">
        <v>5.0000000000000001E-3</v>
      </c>
      <c r="AU33">
        <v>0.95</v>
      </c>
      <c r="AV33">
        <v>0.95</v>
      </c>
      <c r="AX33">
        <v>0.72</v>
      </c>
      <c r="AY33">
        <v>0.72</v>
      </c>
      <c r="BA33">
        <v>0.76500000000000001</v>
      </c>
      <c r="BB33">
        <v>0.76500000000000001</v>
      </c>
      <c r="BD33">
        <v>0.85</v>
      </c>
      <c r="BE33">
        <v>0.85</v>
      </c>
      <c r="BG33">
        <v>0.77500000000000002</v>
      </c>
      <c r="BH33">
        <v>0.77500000000000002</v>
      </c>
      <c r="BJ33">
        <v>0.77500000000000002</v>
      </c>
      <c r="BK33">
        <v>0.77500000000000002</v>
      </c>
      <c r="BM33">
        <v>0.81</v>
      </c>
      <c r="BN33">
        <v>0.81</v>
      </c>
      <c r="BP33">
        <v>0.72</v>
      </c>
      <c r="BQ33">
        <v>0.72</v>
      </c>
      <c r="BS33">
        <v>0.8</v>
      </c>
      <c r="BT33">
        <v>0.8</v>
      </c>
      <c r="BV33">
        <v>1.32</v>
      </c>
      <c r="BW33">
        <v>1.32</v>
      </c>
      <c r="BY33" t="s">
        <v>76</v>
      </c>
      <c r="BZ33" cm="1">
        <f t="array" ref="BZ33">_xlfn.IFS($AN33&gt;0,AVERAGE(AL33:AM33),$AQ33&gt;0,AVERAGE(AO33:AP33),$AT33&gt;0,AVERAGE(AR33:AS33),$AW33&gt;0,AVERAGE(AU33:AV33),$AZ33&gt;0,AVERAGE(AX33:AY33),$BC33&gt;0,AVERAGE(BA33:BB33),$BF33&gt;0,AVERAGE(BD33:BE33),$BI33&gt;0,AVERAGE(BG33:BH33),$BL33&gt;0,AVERAGE(BJ33:BK33),$BO33&gt;0,AVERAGE(BM33:BN33),$BR33&gt;0,AVERAGE(BP33:BQ33),$BU33&gt;0,AVERAGE(BS33:BT33),$BX33&gt;0,AVERAGE(BV33:BW33))</f>
        <v>0.55000000000000004</v>
      </c>
      <c r="CA33">
        <v>0.59899999999999998</v>
      </c>
      <c r="CC33">
        <v>0</v>
      </c>
      <c r="CD33">
        <f t="shared" si="2"/>
        <v>0</v>
      </c>
      <c r="CE33">
        <v>0</v>
      </c>
      <c r="CF33" s="1" t="s">
        <v>199</v>
      </c>
      <c r="CG33" s="1" t="s">
        <v>199</v>
      </c>
      <c r="CH33" s="1" t="s">
        <v>199</v>
      </c>
      <c r="CI33" s="1" t="s">
        <v>199</v>
      </c>
    </row>
    <row r="34" spans="1:87" hidden="1" x14ac:dyDescent="0.2">
      <c r="A34" t="s">
        <v>91</v>
      </c>
      <c r="B34" s="6" t="s">
        <v>338</v>
      </c>
      <c r="D34" t="s">
        <v>269</v>
      </c>
      <c r="E34" t="s">
        <v>92</v>
      </c>
      <c r="F34" t="s">
        <v>145</v>
      </c>
      <c r="G34" t="s">
        <v>145</v>
      </c>
      <c r="H34" t="s">
        <v>151</v>
      </c>
      <c r="I34" t="s">
        <v>149</v>
      </c>
      <c r="J34" t="s">
        <v>213</v>
      </c>
      <c r="K34" t="s">
        <v>95</v>
      </c>
      <c r="L34" t="s">
        <v>70</v>
      </c>
      <c r="M34" t="s">
        <v>70</v>
      </c>
      <c r="N34" s="5" t="s">
        <v>208</v>
      </c>
      <c r="O34" t="s">
        <v>202</v>
      </c>
      <c r="P34" s="4" t="str">
        <f t="shared" si="0"/>
        <v>DFTL_GPU_GPU_MGX002_GPUTDF_x10_PL00_X_X_111111111111111111110000_SelsrmSSSS_</v>
      </c>
      <c r="S34" cm="1">
        <f t="array" ref="S34">_xlfn.IFS($AN34&gt;0,MAX(AL34:AM34),$AQ34&gt;0,MAX(AO34:AP34),$AT34&gt;0,MAX(AR34:AS34),$AW34&gt;0,MAX(AU34:AV34),$AZ34&gt;0,MAX(AX34:AY34),$BC34&gt;0,MAX(BA34:BB34),$BF34&gt;0,MAX(BD34:BE34),$BI34&gt;0,MAX(BG34:BH34),$BL34&gt;0,MAX(BJ34:BK34),$BO34&gt;0,MAX(BM34:BN34),$BR34&gt;0,MAX(BP34:BQ34),$BU34&gt;0,MAX(BS34:BT34),$BX34&gt;0,MAX(BV34:BW34))-0.01</f>
        <v>0.69</v>
      </c>
      <c r="T34" cm="1">
        <f t="array" ref="T34">_xlfn.IFS($AN34&gt;0,MIN(AL34:AM34),$AQ34&gt;0,MIN(AO34:AP34),$AT34&gt;0,MIN(AR34:AS34),$AW34&gt;0,MIN(AU34:AV34),$AZ34&gt;0,MIN(AX34:AY34),$BC34&gt;0,MIN(BA34:BB34),$BF34&gt;0,MIN(BD34:BE34),$BI34&gt;0,MIN(BG34:BH34),$BL34&gt;0,MIN(BJ34:BK34),$BO34&gt;0,MIN(BM34:BN34),$BR34&gt;0,MIN(BP34:BQ34),$BU34&gt;0,MIN(BS34:BT34),$BX34&gt;0,MIN(BV34:BW34))+0.01</f>
        <v>0.41000000000000003</v>
      </c>
      <c r="U34" t="s">
        <v>71</v>
      </c>
      <c r="V34" t="s">
        <v>147</v>
      </c>
      <c r="Y34" t="s">
        <v>218</v>
      </c>
      <c r="Z34" t="s">
        <v>244</v>
      </c>
      <c r="AA34" t="s">
        <v>216</v>
      </c>
      <c r="AB34" t="s">
        <v>152</v>
      </c>
      <c r="AC34" t="s">
        <v>217</v>
      </c>
      <c r="AF34" t="s">
        <v>214</v>
      </c>
      <c r="AK34" t="s">
        <v>75</v>
      </c>
      <c r="AL34">
        <v>0.755</v>
      </c>
      <c r="AM34">
        <v>0.755</v>
      </c>
      <c r="AO34">
        <v>0.71499999999999997</v>
      </c>
      <c r="AP34">
        <v>0.71499999999999997</v>
      </c>
      <c r="AR34" s="1">
        <v>0.7</v>
      </c>
      <c r="AS34" s="1">
        <v>0.4</v>
      </c>
      <c r="AT34">
        <v>5.0000000000000001E-3</v>
      </c>
      <c r="AU34">
        <v>0.95</v>
      </c>
      <c r="AV34">
        <v>0.95</v>
      </c>
      <c r="AX34">
        <v>0.72</v>
      </c>
      <c r="AY34">
        <v>0.72</v>
      </c>
      <c r="BA34">
        <v>0.76500000000000001</v>
      </c>
      <c r="BB34">
        <v>0.76500000000000001</v>
      </c>
      <c r="BD34">
        <v>0.85</v>
      </c>
      <c r="BE34">
        <v>0.85</v>
      </c>
      <c r="BG34">
        <v>0.77500000000000002</v>
      </c>
      <c r="BH34">
        <v>0.77500000000000002</v>
      </c>
      <c r="BJ34">
        <v>0.77500000000000002</v>
      </c>
      <c r="BK34">
        <v>0.77500000000000002</v>
      </c>
      <c r="BM34">
        <v>0.81</v>
      </c>
      <c r="BN34">
        <v>0.81</v>
      </c>
      <c r="BP34">
        <v>0.72</v>
      </c>
      <c r="BQ34">
        <v>0.72</v>
      </c>
      <c r="BS34">
        <v>0.8</v>
      </c>
      <c r="BT34">
        <v>0.8</v>
      </c>
      <c r="BV34">
        <v>1.32</v>
      </c>
      <c r="BW34">
        <v>1.32</v>
      </c>
      <c r="BY34" t="s">
        <v>76</v>
      </c>
      <c r="BZ34" cm="1">
        <f t="array" ref="BZ34">_xlfn.IFS($AN34&gt;0,AVERAGE(AL34:AM34),$AQ34&gt;0,AVERAGE(AO34:AP34),$AT34&gt;0,AVERAGE(AR34:AS34),$AW34&gt;0,AVERAGE(AU34:AV34),$AZ34&gt;0,AVERAGE(AX34:AY34),$BC34&gt;0,AVERAGE(BA34:BB34),$BF34&gt;0,AVERAGE(BD34:BE34),$BI34&gt;0,AVERAGE(BG34:BH34),$BL34&gt;0,AVERAGE(BJ34:BK34),$BO34&gt;0,AVERAGE(BM34:BN34),$BR34&gt;0,AVERAGE(BP34:BQ34),$BU34&gt;0,AVERAGE(BS34:BT34),$BX34&gt;0,AVERAGE(BV34:BW34))</f>
        <v>0.55000000000000004</v>
      </c>
      <c r="CA34">
        <v>0.59899999999999998</v>
      </c>
      <c r="CC34">
        <v>0</v>
      </c>
      <c r="CD34">
        <f t="shared" si="2"/>
        <v>0</v>
      </c>
      <c r="CE34">
        <v>0</v>
      </c>
      <c r="CF34" s="1" t="s">
        <v>279</v>
      </c>
    </row>
    <row r="35" spans="1:87" hidden="1" x14ac:dyDescent="0.2">
      <c r="A35" t="s">
        <v>91</v>
      </c>
      <c r="B35" s="6" t="s">
        <v>338</v>
      </c>
      <c r="D35" t="s">
        <v>269</v>
      </c>
      <c r="E35" t="s">
        <v>92</v>
      </c>
      <c r="F35" t="s">
        <v>145</v>
      </c>
      <c r="G35" t="s">
        <v>145</v>
      </c>
      <c r="H35" t="s">
        <v>153</v>
      </c>
      <c r="I35" t="s">
        <v>149</v>
      </c>
      <c r="J35" t="s">
        <v>213</v>
      </c>
      <c r="K35" t="s">
        <v>95</v>
      </c>
      <c r="L35" t="s">
        <v>70</v>
      </c>
      <c r="M35" t="s">
        <v>70</v>
      </c>
      <c r="N35" s="5" t="s">
        <v>208</v>
      </c>
      <c r="O35" t="s">
        <v>202</v>
      </c>
      <c r="P35" s="4" t="str">
        <f t="shared" ref="P35:P59" si="3">E35&amp;"_"&amp;F35&amp;"_"&amp;G35&amp;"_"&amp;H35&amp;"_"&amp;I35&amp;"_"&amp;J35&amp;"_"&amp;K35&amp;"_"&amp;L35&amp;"_"&amp;M35&amp;"_"&amp;N35&amp;"_"&amp;O35&amp;"_"</f>
        <v>DFTL_GPU_GPU_MGX004_GPUTDF_x10_PL00_X_X_111111111111111111110000_SelsrmSSSS_</v>
      </c>
      <c r="S35" cm="1">
        <f t="array" ref="S35">_xlfn.IFS($AN35&gt;0,MAX(AL35:AM35),$AQ35&gt;0,MAX(AO35:AP35),$AT35&gt;0,MAX(AR35:AS35),$AW35&gt;0,MAX(AU35:AV35),$AZ35&gt;0,MAX(AX35:AY35),$BC35&gt;0,MAX(BA35:BB35),$BF35&gt;0,MAX(BD35:BE35),$BI35&gt;0,MAX(BG35:BH35),$BL35&gt;0,MAX(BJ35:BK35),$BO35&gt;0,MAX(BM35:BN35),$BR35&gt;0,MAX(BP35:BQ35),$BU35&gt;0,MAX(BS35:BT35),$BX35&gt;0,MAX(BV35:BW35))-0.01</f>
        <v>0.74</v>
      </c>
      <c r="T35" cm="1">
        <f t="array" ref="T35">_xlfn.IFS($AN35&gt;0,MIN(AL35:AM35),$AQ35&gt;0,MIN(AO35:AP35),$AT35&gt;0,MIN(AR35:AS35),$AW35&gt;0,MIN(AU35:AV35),$AZ35&gt;0,MIN(AX35:AY35),$BC35&gt;0,MIN(BA35:BB35),$BF35&gt;0,MIN(BD35:BE35),$BI35&gt;0,MIN(BG35:BH35),$BL35&gt;0,MIN(BJ35:BK35),$BO35&gt;0,MIN(BM35:BN35),$BR35&gt;0,MIN(BP35:BQ35),$BU35&gt;0,MIN(BS35:BT35),$BX35&gt;0,MIN(BV35:BW35))+0.01</f>
        <v>0.51</v>
      </c>
      <c r="U35" t="s">
        <v>71</v>
      </c>
      <c r="V35" t="s">
        <v>147</v>
      </c>
      <c r="Y35" t="s">
        <v>218</v>
      </c>
      <c r="Z35" t="s">
        <v>244</v>
      </c>
      <c r="AA35" t="s">
        <v>216</v>
      </c>
      <c r="AB35" t="s">
        <v>154</v>
      </c>
      <c r="AC35" t="s">
        <v>217</v>
      </c>
      <c r="AF35" t="s">
        <v>214</v>
      </c>
      <c r="AK35" t="s">
        <v>75</v>
      </c>
      <c r="AL35">
        <v>0.755</v>
      </c>
      <c r="AM35">
        <v>0.755</v>
      </c>
      <c r="AO35">
        <v>0.71499999999999997</v>
      </c>
      <c r="AP35">
        <v>0.71499999999999997</v>
      </c>
      <c r="AR35" s="1">
        <v>0.75</v>
      </c>
      <c r="AS35" s="1">
        <v>0.5</v>
      </c>
      <c r="AT35">
        <v>5.0000000000000001E-3</v>
      </c>
      <c r="AU35">
        <v>0.95</v>
      </c>
      <c r="AV35">
        <v>0.95</v>
      </c>
      <c r="AX35">
        <v>0.72</v>
      </c>
      <c r="AY35">
        <v>0.72</v>
      </c>
      <c r="BA35">
        <v>0.76500000000000001</v>
      </c>
      <c r="BB35">
        <v>0.76500000000000001</v>
      </c>
      <c r="BD35">
        <v>0.85</v>
      </c>
      <c r="BE35">
        <v>0.85</v>
      </c>
      <c r="BG35">
        <v>0.77500000000000002</v>
      </c>
      <c r="BH35">
        <v>0.77500000000000002</v>
      </c>
      <c r="BJ35">
        <v>0.77500000000000002</v>
      </c>
      <c r="BK35">
        <v>0.77500000000000002</v>
      </c>
      <c r="BM35">
        <v>0.81</v>
      </c>
      <c r="BN35">
        <v>0.81</v>
      </c>
      <c r="BP35">
        <v>0.72</v>
      </c>
      <c r="BQ35">
        <v>0.72</v>
      </c>
      <c r="BS35">
        <v>0.8</v>
      </c>
      <c r="BT35">
        <v>0.8</v>
      </c>
      <c r="BV35">
        <v>1.32</v>
      </c>
      <c r="BW35">
        <v>1.32</v>
      </c>
      <c r="BY35" t="s">
        <v>76</v>
      </c>
      <c r="BZ35" cm="1">
        <f t="array" ref="BZ35">_xlfn.IFS($AN35&gt;0,AVERAGE(AL35:AM35),$AQ35&gt;0,AVERAGE(AO35:AP35),$AT35&gt;0,AVERAGE(AR35:AS35),$AW35&gt;0,AVERAGE(AU35:AV35),$AZ35&gt;0,AVERAGE(AX35:AY35),$BC35&gt;0,AVERAGE(BA35:BB35),$BF35&gt;0,AVERAGE(BD35:BE35),$BI35&gt;0,AVERAGE(BG35:BH35),$BL35&gt;0,AVERAGE(BJ35:BK35),$BO35&gt;0,AVERAGE(BM35:BN35),$BR35&gt;0,AVERAGE(BP35:BQ35),$BU35&gt;0,AVERAGE(BS35:BT35),$BX35&gt;0,AVERAGE(BV35:BW35))</f>
        <v>0.625</v>
      </c>
      <c r="CA35">
        <v>0.59899999999999998</v>
      </c>
      <c r="CC35">
        <v>0</v>
      </c>
      <c r="CD35">
        <f t="shared" si="2"/>
        <v>0</v>
      </c>
      <c r="CE35">
        <v>0</v>
      </c>
      <c r="CF35" s="1" t="s">
        <v>279</v>
      </c>
    </row>
    <row r="36" spans="1:87" hidden="1" x14ac:dyDescent="0.2">
      <c r="A36" t="s">
        <v>91</v>
      </c>
      <c r="B36" s="6" t="s">
        <v>338</v>
      </c>
      <c r="D36" t="s">
        <v>269</v>
      </c>
      <c r="E36" t="s">
        <v>92</v>
      </c>
      <c r="F36" t="s">
        <v>145</v>
      </c>
      <c r="G36" t="s">
        <v>145</v>
      </c>
      <c r="H36" t="s">
        <v>155</v>
      </c>
      <c r="I36" t="s">
        <v>149</v>
      </c>
      <c r="J36" t="s">
        <v>213</v>
      </c>
      <c r="K36" t="s">
        <v>95</v>
      </c>
      <c r="L36" t="s">
        <v>70</v>
      </c>
      <c r="M36" t="s">
        <v>70</v>
      </c>
      <c r="N36" s="5" t="s">
        <v>208</v>
      </c>
      <c r="O36" t="s">
        <v>202</v>
      </c>
      <c r="P36" s="4" t="str">
        <f t="shared" si="3"/>
        <v>DFTL_GPU_GPU_MGX005_GPUTDF_x10_PL00_X_X_111111111111111111110000_SelsrmSSSS_</v>
      </c>
      <c r="S36" cm="1">
        <f t="array" ref="S36">_xlfn.IFS($AN36&gt;0,MAX(AL36:AM36),$AQ36&gt;0,MAX(AO36:AP36),$AT36&gt;0,MAX(AR36:AS36),$AW36&gt;0,MAX(AU36:AV36),$AZ36&gt;0,MAX(AX36:AY36),$BC36&gt;0,MAX(BA36:BB36),$BF36&gt;0,MAX(BD36:BE36),$BI36&gt;0,MAX(BG36:BH36),$BL36&gt;0,MAX(BJ36:BK36),$BO36&gt;0,MAX(BM36:BN36),$BR36&gt;0,MAX(BP36:BQ36),$BU36&gt;0,MAX(BS36:BT36),$BX36&gt;0,MAX(BV36:BW36))-0.01</f>
        <v>0.79</v>
      </c>
      <c r="T36" cm="1">
        <f t="array" ref="T36">_xlfn.IFS($AN36&gt;0,MIN(AL36:AM36),$AQ36&gt;0,MIN(AO36:AP36),$AT36&gt;0,MIN(AR36:AS36),$AW36&gt;0,MIN(AU36:AV36),$AZ36&gt;0,MIN(AX36:AY36),$BC36&gt;0,MIN(BA36:BB36),$BF36&gt;0,MIN(BD36:BE36),$BI36&gt;0,MIN(BG36:BH36),$BL36&gt;0,MIN(BJ36:BK36),$BO36&gt;0,MIN(BM36:BN36),$BR36&gt;0,MIN(BP36:BQ36),$BU36&gt;0,MIN(BS36:BT36),$BX36&gt;0,MIN(BV36:BW36))+0.01</f>
        <v>0.56000000000000005</v>
      </c>
      <c r="U36" t="s">
        <v>71</v>
      </c>
      <c r="V36" t="s">
        <v>147</v>
      </c>
      <c r="Y36" t="s">
        <v>218</v>
      </c>
      <c r="Z36" t="s">
        <v>244</v>
      </c>
      <c r="AA36" t="s">
        <v>216</v>
      </c>
      <c r="AB36" t="s">
        <v>156</v>
      </c>
      <c r="AC36" t="s">
        <v>217</v>
      </c>
      <c r="AF36" t="s">
        <v>214</v>
      </c>
      <c r="AK36" t="s">
        <v>75</v>
      </c>
      <c r="AL36">
        <v>0.755</v>
      </c>
      <c r="AM36">
        <v>0.755</v>
      </c>
      <c r="AO36">
        <v>0.71499999999999997</v>
      </c>
      <c r="AP36">
        <v>0.71499999999999997</v>
      </c>
      <c r="AR36" s="1">
        <v>0.8</v>
      </c>
      <c r="AS36" s="1">
        <v>0.55000000000000004</v>
      </c>
      <c r="AT36">
        <v>5.0000000000000001E-3</v>
      </c>
      <c r="AU36">
        <v>0.95</v>
      </c>
      <c r="AV36">
        <v>0.95</v>
      </c>
      <c r="AX36">
        <v>0.72</v>
      </c>
      <c r="AY36">
        <v>0.72</v>
      </c>
      <c r="BA36">
        <v>0.76500000000000001</v>
      </c>
      <c r="BB36">
        <v>0.76500000000000001</v>
      </c>
      <c r="BD36">
        <v>0.85</v>
      </c>
      <c r="BE36">
        <v>0.85</v>
      </c>
      <c r="BG36">
        <v>0.77500000000000002</v>
      </c>
      <c r="BH36">
        <v>0.77500000000000002</v>
      </c>
      <c r="BJ36">
        <v>0.77500000000000002</v>
      </c>
      <c r="BK36">
        <v>0.77500000000000002</v>
      </c>
      <c r="BM36">
        <v>0.81</v>
      </c>
      <c r="BN36">
        <v>0.81</v>
      </c>
      <c r="BP36">
        <v>0.72</v>
      </c>
      <c r="BQ36">
        <v>0.72</v>
      </c>
      <c r="BS36">
        <v>0.8</v>
      </c>
      <c r="BT36">
        <v>0.8</v>
      </c>
      <c r="BV36">
        <v>1.32</v>
      </c>
      <c r="BW36">
        <v>1.32</v>
      </c>
      <c r="BY36" t="s">
        <v>76</v>
      </c>
      <c r="BZ36" cm="1">
        <f t="array" ref="BZ36">_xlfn.IFS($AN36&gt;0,AVERAGE(AL36:AM36),$AQ36&gt;0,AVERAGE(AO36:AP36),$AT36&gt;0,AVERAGE(AR36:AS36),$AW36&gt;0,AVERAGE(AU36:AV36),$AZ36&gt;0,AVERAGE(AX36:AY36),$BC36&gt;0,AVERAGE(BA36:BB36),$BF36&gt;0,AVERAGE(BD36:BE36),$BI36&gt;0,AVERAGE(BG36:BH36),$BL36&gt;0,AVERAGE(BJ36:BK36),$BO36&gt;0,AVERAGE(BM36:BN36),$BR36&gt;0,AVERAGE(BP36:BQ36),$BU36&gt;0,AVERAGE(BS36:BT36),$BX36&gt;0,AVERAGE(BV36:BW36))</f>
        <v>0.67500000000000004</v>
      </c>
      <c r="CA36">
        <v>0.59899999999999998</v>
      </c>
      <c r="CC36">
        <v>0</v>
      </c>
      <c r="CD36">
        <f t="shared" si="2"/>
        <v>0</v>
      </c>
      <c r="CE36">
        <v>0</v>
      </c>
      <c r="CF36" s="1" t="s">
        <v>279</v>
      </c>
    </row>
    <row r="37" spans="1:87" hidden="1" x14ac:dyDescent="0.2">
      <c r="A37" t="s">
        <v>91</v>
      </c>
      <c r="B37" s="6">
        <v>45513</v>
      </c>
      <c r="D37" t="s">
        <v>269</v>
      </c>
      <c r="E37" t="s">
        <v>92</v>
      </c>
      <c r="F37" t="s">
        <v>171</v>
      </c>
      <c r="G37" t="s">
        <v>136</v>
      </c>
      <c r="H37" t="s">
        <v>176</v>
      </c>
      <c r="I37" t="s">
        <v>194</v>
      </c>
      <c r="J37" t="s">
        <v>191</v>
      </c>
      <c r="K37" t="s">
        <v>146</v>
      </c>
      <c r="L37" t="s">
        <v>185</v>
      </c>
      <c r="M37" t="s">
        <v>186</v>
      </c>
      <c r="N37" t="s">
        <v>70</v>
      </c>
      <c r="O37" t="s">
        <v>202</v>
      </c>
      <c r="P37" s="4" t="str">
        <f t="shared" si="3"/>
        <v>DFTL_CPU_CPUSRAM_MEX002_CPUBST_C0FC_PLLP_59N_REPREST_X_SelsrmSSSS_</v>
      </c>
      <c r="S37" cm="1">
        <f t="array" ref="S37">_xlfn.IFS($AN37&gt;0,MAX(AL37:AM37),$AQ37&gt;0,MAX(AO37:AP37),$AT37&gt;0,MAX(AR37:AS37),$AW37&gt;0,MAX(AU37:AV37),$AZ37&gt;0,MAX(AX37:AY37),$BC37&gt;0,MAX(BA37:BB37),$BF37&gt;0,MAX(BD37:BE37),$BI37&gt;0,MAX(BG37:BH37),$BL37&gt;0,MAX(BJ37:BK37),$BO37&gt;0,MAX(BM37:BN37),$BR37&gt;0,MAX(BP37:BQ37),$BU37&gt;0,MAX(BS37:BT37),$BX37&gt;0,MAX(BV37:BW37))-0.01</f>
        <v>0.79</v>
      </c>
      <c r="T37" cm="1">
        <f t="array" ref="T37">_xlfn.IFS($AN37&gt;0,MIN(AL37:AM37),$AQ37&gt;0,MIN(AO37:AP37),$AT37&gt;0,MIN(AR37:AS37),$AW37&gt;0,MIN(AU37:AV37),$AZ37&gt;0,MIN(AX37:AY37),$BC37&gt;0,MIN(BA37:BB37),$BF37&gt;0,MIN(BD37:BE37),$BI37&gt;0,MIN(BG37:BH37),$BL37&gt;0,MIN(BJ37:BK37),$BO37&gt;0,MIN(BM37:BN37),$BR37&gt;0,MIN(BP37:BQ37),$BU37&gt;0,MIN(BS37:BT37),$BX37&gt;0,MIN(BV37:BW37))+0.01</f>
        <v>0.56000000000000005</v>
      </c>
      <c r="U37" t="s">
        <v>71</v>
      </c>
      <c r="V37" t="s">
        <v>192</v>
      </c>
      <c r="W37" t="s">
        <v>193</v>
      </c>
      <c r="X37" t="s">
        <v>228</v>
      </c>
      <c r="AF37" t="s">
        <v>198</v>
      </c>
      <c r="AK37" t="s">
        <v>75</v>
      </c>
      <c r="AL37">
        <v>0.755</v>
      </c>
      <c r="AM37">
        <v>0.755</v>
      </c>
      <c r="AO37">
        <v>0.76</v>
      </c>
      <c r="AP37">
        <v>0.76</v>
      </c>
      <c r="AR37">
        <v>0.72</v>
      </c>
      <c r="AS37">
        <v>0.72</v>
      </c>
      <c r="AU37">
        <v>1.1100000000000001</v>
      </c>
      <c r="AV37">
        <v>1.1100000000000001</v>
      </c>
      <c r="AX37">
        <v>0.72</v>
      </c>
      <c r="AY37">
        <v>0.72</v>
      </c>
      <c r="BA37">
        <v>0.76500000000000001</v>
      </c>
      <c r="BB37">
        <v>0.76500000000000001</v>
      </c>
      <c r="BD37" s="1">
        <v>0.8</v>
      </c>
      <c r="BE37" s="1">
        <v>0.55000000000000004</v>
      </c>
      <c r="BF37">
        <v>5.0000000000000001E-3</v>
      </c>
      <c r="BG37">
        <v>0.77500000000000002</v>
      </c>
      <c r="BH37">
        <v>0.77500000000000002</v>
      </c>
      <c r="BJ37">
        <v>0.77500000000000002</v>
      </c>
      <c r="BK37">
        <v>0.77500000000000002</v>
      </c>
      <c r="BM37">
        <v>0.81</v>
      </c>
      <c r="BN37">
        <v>0.81</v>
      </c>
      <c r="BP37">
        <v>0.72</v>
      </c>
      <c r="BQ37">
        <v>0.72</v>
      </c>
      <c r="BS37">
        <v>0.8</v>
      </c>
      <c r="BT37">
        <v>0.8</v>
      </c>
      <c r="BV37">
        <v>1.32</v>
      </c>
      <c r="BW37">
        <v>1.32</v>
      </c>
      <c r="BY37" t="s">
        <v>76</v>
      </c>
      <c r="BZ37" cm="1">
        <f t="array" ref="BZ37">_xlfn.IFS($AN37&gt;0,AVERAGE(AL37:AM37),$AQ37&gt;0,AVERAGE(AO37:AP37),$AT37&gt;0,AVERAGE(AR37:AS37),$AW37&gt;0,AVERAGE(AU37:AV37),$AZ37&gt;0,AVERAGE(AX37:AY37),$BC37&gt;0,AVERAGE(BA37:BB37),$BF37&gt;0,AVERAGE(BD37:BE37),$BI37&gt;0,AVERAGE(BG37:BH37),$BL37&gt;0,AVERAGE(BJ37:BK37),$BO37&gt;0,AVERAGE(BM37:BN37),$BR37&gt;0,AVERAGE(BP37:BQ37),$BU37&gt;0,AVERAGE(BS37:BT37),$BX37&gt;0,AVERAGE(BV37:BW37))</f>
        <v>0.67500000000000004</v>
      </c>
      <c r="CA37">
        <v>0.79</v>
      </c>
      <c r="CC37">
        <v>0</v>
      </c>
      <c r="CD37">
        <f t="shared" si="2"/>
        <v>0</v>
      </c>
      <c r="CE37">
        <v>0</v>
      </c>
      <c r="CF37" t="s">
        <v>279</v>
      </c>
    </row>
    <row r="38" spans="1:87" hidden="1" x14ac:dyDescent="0.2">
      <c r="A38" t="s">
        <v>91</v>
      </c>
      <c r="B38" s="6">
        <v>45513</v>
      </c>
      <c r="D38" t="s">
        <v>269</v>
      </c>
      <c r="E38" t="s">
        <v>92</v>
      </c>
      <c r="F38" t="s">
        <v>171</v>
      </c>
      <c r="G38" t="s">
        <v>136</v>
      </c>
      <c r="H38" t="s">
        <v>177</v>
      </c>
      <c r="I38" t="s">
        <v>194</v>
      </c>
      <c r="J38" t="s">
        <v>191</v>
      </c>
      <c r="K38" t="s">
        <v>146</v>
      </c>
      <c r="L38" t="s">
        <v>185</v>
      </c>
      <c r="M38" t="s">
        <v>186</v>
      </c>
      <c r="N38" t="s">
        <v>70</v>
      </c>
      <c r="O38" t="s">
        <v>202</v>
      </c>
      <c r="P38" s="4" t="str">
        <f t="shared" si="3"/>
        <v>DFTL_CPU_CPUSRAM_MEX003_CPUBST_C0FC_PLLP_59N_REPREST_X_SelsrmSSSS_</v>
      </c>
      <c r="S38" cm="1">
        <f t="array" ref="S38">_xlfn.IFS($AN38&gt;0,MAX(AL38:AM38),$AQ38&gt;0,MAX(AO38:AP38),$AT38&gt;0,MAX(AR38:AS38),$AW38&gt;0,MAX(AU38:AV38),$AZ38&gt;0,MAX(AX38:AY38),$BC38&gt;0,MAX(BA38:BB38),$BF38&gt;0,MAX(BD38:BE38),$BI38&gt;0,MAX(BG38:BH38),$BL38&gt;0,MAX(BJ38:BK38),$BO38&gt;0,MAX(BM38:BN38),$BR38&gt;0,MAX(BP38:BQ38),$BU38&gt;0,MAX(BS38:BT38),$BX38&gt;0,MAX(BV38:BW38))-0.01</f>
        <v>0.79</v>
      </c>
      <c r="T38" cm="1">
        <f t="array" ref="T38">_xlfn.IFS($AN38&gt;0,MIN(AL38:AM38),$AQ38&gt;0,MIN(AO38:AP38),$AT38&gt;0,MIN(AR38:AS38),$AW38&gt;0,MIN(AU38:AV38),$AZ38&gt;0,MIN(AX38:AY38),$BC38&gt;0,MIN(BA38:BB38),$BF38&gt;0,MIN(BD38:BE38),$BI38&gt;0,MIN(BG38:BH38),$BL38&gt;0,MIN(BJ38:BK38),$BO38&gt;0,MIN(BM38:BN38),$BR38&gt;0,MIN(BP38:BQ38),$BU38&gt;0,MIN(BS38:BT38),$BX38&gt;0,MIN(BV38:BW38))+0.01</f>
        <v>0.56000000000000005</v>
      </c>
      <c r="U38" t="s">
        <v>71</v>
      </c>
      <c r="V38" t="s">
        <v>192</v>
      </c>
      <c r="W38" t="s">
        <v>193</v>
      </c>
      <c r="X38" t="s">
        <v>229</v>
      </c>
      <c r="AF38" t="s">
        <v>198</v>
      </c>
      <c r="AK38" t="s">
        <v>75</v>
      </c>
      <c r="AL38">
        <v>0.755</v>
      </c>
      <c r="AM38">
        <v>0.755</v>
      </c>
      <c r="AO38">
        <v>0.87</v>
      </c>
      <c r="AP38">
        <v>0.87</v>
      </c>
      <c r="AR38">
        <v>0.72</v>
      </c>
      <c r="AS38">
        <v>0.72</v>
      </c>
      <c r="AU38">
        <v>1.1100000000000001</v>
      </c>
      <c r="AV38">
        <v>1.1100000000000001</v>
      </c>
      <c r="AX38">
        <v>1.02</v>
      </c>
      <c r="AY38">
        <v>1.02</v>
      </c>
      <c r="BA38">
        <v>0.96499999999999997</v>
      </c>
      <c r="BB38">
        <v>0.96499999999999997</v>
      </c>
      <c r="BD38" s="1">
        <v>0.8</v>
      </c>
      <c r="BE38" s="1">
        <v>0.55000000000000004</v>
      </c>
      <c r="BF38">
        <v>5.0000000000000001E-3</v>
      </c>
      <c r="BG38">
        <v>0.77500000000000002</v>
      </c>
      <c r="BH38">
        <v>0.77500000000000002</v>
      </c>
      <c r="BJ38">
        <v>0.77500000000000002</v>
      </c>
      <c r="BK38">
        <v>0.77500000000000002</v>
      </c>
      <c r="BM38">
        <v>0.81</v>
      </c>
      <c r="BN38">
        <v>0.81</v>
      </c>
      <c r="BP38">
        <v>0.72</v>
      </c>
      <c r="BQ38">
        <v>0.72</v>
      </c>
      <c r="BS38">
        <v>0.8</v>
      </c>
      <c r="BT38">
        <v>0.8</v>
      </c>
      <c r="BV38">
        <v>1.32</v>
      </c>
      <c r="BW38">
        <v>1.32</v>
      </c>
      <c r="BY38" t="s">
        <v>76</v>
      </c>
      <c r="BZ38" cm="1">
        <f t="array" ref="BZ38">_xlfn.IFS($AN38&gt;0,AVERAGE(AL38:AM38),$AQ38&gt;0,AVERAGE(AO38:AP38),$AT38&gt;0,AVERAGE(AR38:AS38),$AW38&gt;0,AVERAGE(AU38:AV38),$AZ38&gt;0,AVERAGE(AX38:AY38),$BC38&gt;0,AVERAGE(BA38:BB38),$BF38&gt;0,AVERAGE(BD38:BE38),$BI38&gt;0,AVERAGE(BG38:BH38),$BL38&gt;0,AVERAGE(BJ38:BK38),$BO38&gt;0,AVERAGE(BM38:BN38),$BR38&gt;0,AVERAGE(BP38:BQ38),$BU38&gt;0,AVERAGE(BS38:BT38),$BX38&gt;0,AVERAGE(BV38:BW38))</f>
        <v>0.67500000000000004</v>
      </c>
      <c r="CA38">
        <v>0.79</v>
      </c>
      <c r="CC38">
        <v>0</v>
      </c>
      <c r="CD38">
        <f t="shared" si="2"/>
        <v>0</v>
      </c>
      <c r="CE38">
        <v>0</v>
      </c>
      <c r="CF38" t="s">
        <v>279</v>
      </c>
    </row>
    <row r="39" spans="1:87" hidden="1" x14ac:dyDescent="0.2">
      <c r="A39" t="s">
        <v>91</v>
      </c>
      <c r="B39" s="6">
        <v>45513</v>
      </c>
      <c r="D39" t="s">
        <v>269</v>
      </c>
      <c r="E39" t="s">
        <v>92</v>
      </c>
      <c r="F39" t="s">
        <v>171</v>
      </c>
      <c r="G39" t="s">
        <v>136</v>
      </c>
      <c r="H39" t="s">
        <v>178</v>
      </c>
      <c r="I39" t="s">
        <v>194</v>
      </c>
      <c r="J39" t="s">
        <v>191</v>
      </c>
      <c r="K39" t="s">
        <v>146</v>
      </c>
      <c r="L39" t="s">
        <v>185</v>
      </c>
      <c r="M39" t="s">
        <v>186</v>
      </c>
      <c r="N39" t="s">
        <v>70</v>
      </c>
      <c r="O39" t="s">
        <v>202</v>
      </c>
      <c r="P39" s="4" t="str">
        <f t="shared" si="3"/>
        <v>DFTL_CPU_CPUSRAM_MEX004_CPUBST_C0FC_PLLP_59N_REPREST_X_SelsrmSSSS_</v>
      </c>
      <c r="S39" cm="1">
        <f t="array" ref="S39">_xlfn.IFS($AN39&gt;0,MAX(AL39:AM39),$AQ39&gt;0,MAX(AO39:AP39),$AT39&gt;0,MAX(AR39:AS39),$AW39&gt;0,MAX(AU39:AV39),$AZ39&gt;0,MAX(AX39:AY39),$BC39&gt;0,MAX(BA39:BB39),$BF39&gt;0,MAX(BD39:BE39),$BI39&gt;0,MAX(BG39:BH39),$BL39&gt;0,MAX(BJ39:BK39),$BO39&gt;0,MAX(BM39:BN39),$BR39&gt;0,MAX(BP39:BQ39),$BU39&gt;0,MAX(BS39:BT39),$BX39&gt;0,MAX(BV39:BW39))-0.01</f>
        <v>0.84</v>
      </c>
      <c r="T39" cm="1">
        <f t="array" ref="T39">_xlfn.IFS($AN39&gt;0,MIN(AL39:AM39),$AQ39&gt;0,MIN(AO39:AP39),$AT39&gt;0,MIN(AR39:AS39),$AW39&gt;0,MIN(AU39:AV39),$AZ39&gt;0,MIN(AX39:AY39),$BC39&gt;0,MIN(BA39:BB39),$BF39&gt;0,MIN(BD39:BE39),$BI39&gt;0,MIN(BG39:BH39),$BL39&gt;0,MIN(BJ39:BK39),$BO39&gt;0,MIN(BM39:BN39),$BR39&gt;0,MIN(BP39:BQ39),$BU39&gt;0,MIN(BS39:BT39),$BX39&gt;0,MIN(BV39:BW39))+0.01</f>
        <v>0.61</v>
      </c>
      <c r="U39" t="s">
        <v>71</v>
      </c>
      <c r="V39" t="s">
        <v>192</v>
      </c>
      <c r="W39" t="s">
        <v>193</v>
      </c>
      <c r="X39" t="s">
        <v>230</v>
      </c>
      <c r="AF39" t="s">
        <v>198</v>
      </c>
      <c r="AK39" t="s">
        <v>75</v>
      </c>
      <c r="AL39">
        <v>0.755</v>
      </c>
      <c r="AM39">
        <v>0.755</v>
      </c>
      <c r="AO39">
        <v>0.96499999999999997</v>
      </c>
      <c r="AP39">
        <v>0.96499999999999997</v>
      </c>
      <c r="AR39">
        <v>0.72</v>
      </c>
      <c r="AS39">
        <v>0.72</v>
      </c>
      <c r="AU39">
        <v>1.1100000000000001</v>
      </c>
      <c r="AV39">
        <v>1.1100000000000001</v>
      </c>
      <c r="AX39">
        <v>0.64300000000000002</v>
      </c>
      <c r="AY39">
        <v>0.64300000000000002</v>
      </c>
      <c r="BA39">
        <v>0.65100000000000002</v>
      </c>
      <c r="BB39">
        <v>0.65100000000000002</v>
      </c>
      <c r="BD39" s="1">
        <v>0.85</v>
      </c>
      <c r="BE39" s="1">
        <v>0.6</v>
      </c>
      <c r="BF39">
        <v>5.0000000000000001E-3</v>
      </c>
      <c r="BG39">
        <v>0.77500000000000002</v>
      </c>
      <c r="BH39">
        <v>0.77500000000000002</v>
      </c>
      <c r="BJ39">
        <v>0.77500000000000002</v>
      </c>
      <c r="BK39">
        <v>0.77500000000000002</v>
      </c>
      <c r="BM39">
        <v>0.81</v>
      </c>
      <c r="BN39">
        <v>0.81</v>
      </c>
      <c r="BP39">
        <v>0.72</v>
      </c>
      <c r="BQ39">
        <v>0.72</v>
      </c>
      <c r="BS39">
        <v>0.8</v>
      </c>
      <c r="BT39">
        <v>0.8</v>
      </c>
      <c r="BV39">
        <v>1.32</v>
      </c>
      <c r="BW39">
        <v>1.32</v>
      </c>
      <c r="BY39" t="s">
        <v>76</v>
      </c>
      <c r="BZ39" cm="1">
        <f t="array" ref="BZ39">_xlfn.IFS($AN39&gt;0,AVERAGE(AL39:AM39),$AQ39&gt;0,AVERAGE(AO39:AP39),$AT39&gt;0,AVERAGE(AR39:AS39),$AW39&gt;0,AVERAGE(AU39:AV39),$AZ39&gt;0,AVERAGE(AX39:AY39),$BC39&gt;0,AVERAGE(BA39:BB39),$BF39&gt;0,AVERAGE(BD39:BE39),$BI39&gt;0,AVERAGE(BG39:BH39),$BL39&gt;0,AVERAGE(BJ39:BK39),$BO39&gt;0,AVERAGE(BM39:BN39),$BR39&gt;0,AVERAGE(BP39:BQ39),$BU39&gt;0,AVERAGE(BS39:BT39),$BX39&gt;0,AVERAGE(BV39:BW39))</f>
        <v>0.72499999999999998</v>
      </c>
      <c r="CA39">
        <v>0.79</v>
      </c>
      <c r="CC39">
        <v>0</v>
      </c>
      <c r="CD39">
        <f t="shared" si="2"/>
        <v>0</v>
      </c>
      <c r="CE39">
        <v>0</v>
      </c>
      <c r="CF39" t="s">
        <v>279</v>
      </c>
    </row>
    <row r="40" spans="1:87" hidden="1" x14ac:dyDescent="0.2">
      <c r="A40" t="s">
        <v>91</v>
      </c>
      <c r="B40" s="6">
        <v>45513</v>
      </c>
      <c r="D40" t="s">
        <v>269</v>
      </c>
      <c r="E40" t="s">
        <v>92</v>
      </c>
      <c r="F40" t="s">
        <v>171</v>
      </c>
      <c r="G40" t="s">
        <v>136</v>
      </c>
      <c r="H40" t="s">
        <v>179</v>
      </c>
      <c r="I40" t="s">
        <v>194</v>
      </c>
      <c r="J40" t="s">
        <v>191</v>
      </c>
      <c r="K40" t="s">
        <v>146</v>
      </c>
      <c r="L40" t="s">
        <v>185</v>
      </c>
      <c r="M40" t="s">
        <v>186</v>
      </c>
      <c r="N40" t="s">
        <v>70</v>
      </c>
      <c r="O40" t="s">
        <v>202</v>
      </c>
      <c r="P40" s="4" t="str">
        <f t="shared" si="3"/>
        <v>DFTL_CPU_CPUSRAM_MEX005_CPUBST_C0FC_PLLP_59N_REPREST_X_SelsrmSSSS_</v>
      </c>
      <c r="S40" cm="1">
        <f t="array" ref="S40">_xlfn.IFS($AN40&gt;0,MAX(AL40:AM40),$AQ40&gt;0,MAX(AO40:AP40),$AT40&gt;0,MAX(AR40:AS40),$AW40&gt;0,MAX(AU40:AV40),$AZ40&gt;0,MAX(AX40:AY40),$BC40&gt;0,MAX(BA40:BB40),$BF40&gt;0,MAX(BD40:BE40),$BI40&gt;0,MAX(BG40:BH40),$BL40&gt;0,MAX(BJ40:BK40),$BO40&gt;0,MAX(BM40:BN40),$BR40&gt;0,MAX(BP40:BQ40),$BU40&gt;0,MAX(BS40:BT40),$BX40&gt;0,MAX(BV40:BW40))-0.01</f>
        <v>0.89</v>
      </c>
      <c r="T40" cm="1">
        <f t="array" ref="T40">_xlfn.IFS($AN40&gt;0,MIN(AL40:AM40),$AQ40&gt;0,MIN(AO40:AP40),$AT40&gt;0,MIN(AR40:AS40),$AW40&gt;0,MIN(AU40:AV40),$AZ40&gt;0,MIN(AX40:AY40),$BC40&gt;0,MIN(BA40:BB40),$BF40&gt;0,MIN(BD40:BE40),$BI40&gt;0,MIN(BG40:BH40),$BL40&gt;0,MIN(BJ40:BK40),$BO40&gt;0,MIN(BM40:BN40),$BR40&gt;0,MIN(BP40:BQ40),$BU40&gt;0,MIN(BS40:BT40),$BX40&gt;0,MIN(BV40:BW40))+0.01</f>
        <v>0.61</v>
      </c>
      <c r="U40" t="s">
        <v>71</v>
      </c>
      <c r="V40" t="s">
        <v>192</v>
      </c>
      <c r="W40" t="s">
        <v>193</v>
      </c>
      <c r="X40" t="s">
        <v>231</v>
      </c>
      <c r="AF40" t="s">
        <v>198</v>
      </c>
      <c r="AK40" t="s">
        <v>75</v>
      </c>
      <c r="AL40">
        <v>0.755</v>
      </c>
      <c r="AM40">
        <v>0.755</v>
      </c>
      <c r="AO40">
        <v>1.03</v>
      </c>
      <c r="AP40">
        <v>1.03</v>
      </c>
      <c r="AR40">
        <v>0.72</v>
      </c>
      <c r="AS40">
        <v>0.72</v>
      </c>
      <c r="AU40">
        <v>1.1100000000000001</v>
      </c>
      <c r="AV40">
        <v>1.1100000000000001</v>
      </c>
      <c r="AX40">
        <v>0.64300000000000002</v>
      </c>
      <c r="AY40">
        <v>0.64300000000000002</v>
      </c>
      <c r="BA40">
        <v>0.65100000000000002</v>
      </c>
      <c r="BB40">
        <v>0.65100000000000002</v>
      </c>
      <c r="BD40" s="1">
        <v>0.9</v>
      </c>
      <c r="BE40" s="1">
        <v>0.6</v>
      </c>
      <c r="BF40">
        <v>5.0000000000000001E-3</v>
      </c>
      <c r="BG40">
        <v>0.77500000000000002</v>
      </c>
      <c r="BH40">
        <v>0.77500000000000002</v>
      </c>
      <c r="BJ40">
        <v>0.77500000000000002</v>
      </c>
      <c r="BK40">
        <v>0.77500000000000002</v>
      </c>
      <c r="BM40">
        <v>0.81</v>
      </c>
      <c r="BN40">
        <v>0.81</v>
      </c>
      <c r="BP40">
        <v>0.72</v>
      </c>
      <c r="BQ40">
        <v>0.72</v>
      </c>
      <c r="BS40">
        <v>0.8</v>
      </c>
      <c r="BT40">
        <v>0.8</v>
      </c>
      <c r="BV40">
        <v>1.32</v>
      </c>
      <c r="BW40">
        <v>1.32</v>
      </c>
      <c r="BY40" t="s">
        <v>76</v>
      </c>
      <c r="BZ40" cm="1">
        <f t="array" ref="BZ40">_xlfn.IFS($AN40&gt;0,AVERAGE(AL40:AM40),$AQ40&gt;0,AVERAGE(AO40:AP40),$AT40&gt;0,AVERAGE(AR40:AS40),$AW40&gt;0,AVERAGE(AU40:AV40),$AZ40&gt;0,AVERAGE(AX40:AY40),$BC40&gt;0,AVERAGE(BA40:BB40),$BF40&gt;0,AVERAGE(BD40:BE40),$BI40&gt;0,AVERAGE(BG40:BH40),$BL40&gt;0,AVERAGE(BJ40:BK40),$BO40&gt;0,AVERAGE(BM40:BN40),$BR40&gt;0,AVERAGE(BP40:BQ40),$BU40&gt;0,AVERAGE(BS40:BT40),$BX40&gt;0,AVERAGE(BV40:BW40))</f>
        <v>0.75</v>
      </c>
      <c r="CA40">
        <v>0.79</v>
      </c>
      <c r="CC40">
        <v>0</v>
      </c>
      <c r="CD40">
        <f t="shared" si="2"/>
        <v>0</v>
      </c>
      <c r="CE40">
        <v>0</v>
      </c>
      <c r="CF40" t="s">
        <v>279</v>
      </c>
    </row>
    <row r="41" spans="1:87" hidden="1" x14ac:dyDescent="0.2">
      <c r="A41" t="s">
        <v>91</v>
      </c>
      <c r="B41" s="6" t="s">
        <v>338</v>
      </c>
      <c r="D41" t="s">
        <v>269</v>
      </c>
      <c r="E41" t="s">
        <v>92</v>
      </c>
      <c r="F41" t="s">
        <v>145</v>
      </c>
      <c r="G41" t="s">
        <v>145</v>
      </c>
      <c r="H41" t="s">
        <v>157</v>
      </c>
      <c r="I41" t="s">
        <v>149</v>
      </c>
      <c r="J41" t="s">
        <v>213</v>
      </c>
      <c r="K41" t="s">
        <v>95</v>
      </c>
      <c r="L41" t="s">
        <v>70</v>
      </c>
      <c r="M41" t="s">
        <v>70</v>
      </c>
      <c r="N41" s="5" t="s">
        <v>208</v>
      </c>
      <c r="O41" t="s">
        <v>202</v>
      </c>
      <c r="P41" s="4" t="str">
        <f t="shared" si="3"/>
        <v>DFTL_GPU_GPU_MGX006_GPUTDF_x10_PL00_X_X_111111111111111111110000_SelsrmSSSS_</v>
      </c>
      <c r="S41" cm="1">
        <f t="array" ref="S41">_xlfn.IFS($AN41&gt;0,MAX(AL41:AM41),$AQ41&gt;0,MAX(AO41:AP41),$AT41&gt;0,MAX(AR41:AS41),$AW41&gt;0,MAX(AU41:AV41),$AZ41&gt;0,MAX(AX41:AY41),$BC41&gt;0,MAX(BA41:BB41),$BF41&gt;0,MAX(BD41:BE41),$BI41&gt;0,MAX(BG41:BH41),$BL41&gt;0,MAX(BJ41:BK41),$BO41&gt;0,MAX(BM41:BN41),$BR41&gt;0,MAX(BP41:BQ41),$BU41&gt;0,MAX(BS41:BT41),$BX41&gt;0,MAX(BV41:BW41))-0.01</f>
        <v>0.84</v>
      </c>
      <c r="T41" cm="1">
        <f t="array" ref="T41">_xlfn.IFS($AN41&gt;0,MIN(AL41:AM41),$AQ41&gt;0,MIN(AO41:AP41),$AT41&gt;0,MIN(AR41:AS41),$AW41&gt;0,MIN(AU41:AV41),$AZ41&gt;0,MIN(AX41:AY41),$BC41&gt;0,MIN(BA41:BB41),$BF41&gt;0,MIN(BD41:BE41),$BI41&gt;0,MIN(BG41:BH41),$BL41&gt;0,MIN(BJ41:BK41),$BO41&gt;0,MIN(BM41:BN41),$BR41&gt;0,MIN(BP41:BQ41),$BU41&gt;0,MIN(BS41:BT41),$BX41&gt;0,MIN(BV41:BW41))+0.01</f>
        <v>0.61</v>
      </c>
      <c r="U41" t="s">
        <v>71</v>
      </c>
      <c r="V41" t="s">
        <v>147</v>
      </c>
      <c r="Y41" t="s">
        <v>218</v>
      </c>
      <c r="Z41" t="s">
        <v>244</v>
      </c>
      <c r="AA41" t="s">
        <v>216</v>
      </c>
      <c r="AB41" t="s">
        <v>158</v>
      </c>
      <c r="AC41" t="s">
        <v>217</v>
      </c>
      <c r="AF41" t="s">
        <v>214</v>
      </c>
      <c r="AK41" t="s">
        <v>75</v>
      </c>
      <c r="AL41">
        <v>0.755</v>
      </c>
      <c r="AM41">
        <v>0.755</v>
      </c>
      <c r="AO41">
        <v>0.71499999999999997</v>
      </c>
      <c r="AP41">
        <v>0.71499999999999997</v>
      </c>
      <c r="AR41" s="1">
        <v>0.85</v>
      </c>
      <c r="AS41" s="1">
        <v>0.6</v>
      </c>
      <c r="AT41">
        <v>5.0000000000000001E-3</v>
      </c>
      <c r="AU41">
        <v>0.95</v>
      </c>
      <c r="AV41">
        <v>0.95</v>
      </c>
      <c r="AX41">
        <v>0.72</v>
      </c>
      <c r="AY41">
        <v>0.72</v>
      </c>
      <c r="BA41">
        <v>0.76500000000000001</v>
      </c>
      <c r="BB41">
        <v>0.76500000000000001</v>
      </c>
      <c r="BD41">
        <v>0.85</v>
      </c>
      <c r="BE41">
        <v>0.85</v>
      </c>
      <c r="BG41">
        <v>0.77500000000000002</v>
      </c>
      <c r="BH41">
        <v>0.77500000000000002</v>
      </c>
      <c r="BJ41">
        <v>0.77500000000000002</v>
      </c>
      <c r="BK41">
        <v>0.77500000000000002</v>
      </c>
      <c r="BM41">
        <v>0.81</v>
      </c>
      <c r="BN41">
        <v>0.81</v>
      </c>
      <c r="BP41">
        <v>0.72</v>
      </c>
      <c r="BQ41">
        <v>0.72</v>
      </c>
      <c r="BS41">
        <v>0.8</v>
      </c>
      <c r="BT41">
        <v>0.8</v>
      </c>
      <c r="BV41">
        <v>1.32</v>
      </c>
      <c r="BW41">
        <v>1.32</v>
      </c>
      <c r="BY41" t="s">
        <v>76</v>
      </c>
      <c r="BZ41" cm="1">
        <f t="array" ref="BZ41">_xlfn.IFS($AN41&gt;0,AVERAGE(AL41:AM41),$AQ41&gt;0,AVERAGE(AO41:AP41),$AT41&gt;0,AVERAGE(AR41:AS41),$AW41&gt;0,AVERAGE(AU41:AV41),$AZ41&gt;0,AVERAGE(AX41:AY41),$BC41&gt;0,AVERAGE(BA41:BB41),$BF41&gt;0,AVERAGE(BD41:BE41),$BI41&gt;0,AVERAGE(BG41:BH41),$BL41&gt;0,AVERAGE(BJ41:BK41),$BO41&gt;0,AVERAGE(BM41:BN41),$BR41&gt;0,AVERAGE(BP41:BQ41),$BU41&gt;0,AVERAGE(BS41:BT41),$BX41&gt;0,AVERAGE(BV41:BW41))</f>
        <v>0.72499999999999998</v>
      </c>
      <c r="CA41">
        <v>0.59899999999999998</v>
      </c>
      <c r="CC41">
        <v>0</v>
      </c>
      <c r="CD41">
        <f t="shared" si="2"/>
        <v>0</v>
      </c>
      <c r="CE41">
        <v>0</v>
      </c>
      <c r="CF41" s="1" t="s">
        <v>279</v>
      </c>
    </row>
    <row r="42" spans="1:87" hidden="1" x14ac:dyDescent="0.2">
      <c r="A42" t="s">
        <v>91</v>
      </c>
      <c r="B42" s="6" t="s">
        <v>338</v>
      </c>
      <c r="D42" t="s">
        <v>269</v>
      </c>
      <c r="E42" t="s">
        <v>92</v>
      </c>
      <c r="F42" t="s">
        <v>145</v>
      </c>
      <c r="G42" t="s">
        <v>145</v>
      </c>
      <c r="H42" t="s">
        <v>159</v>
      </c>
      <c r="I42" t="s">
        <v>149</v>
      </c>
      <c r="J42" t="s">
        <v>213</v>
      </c>
      <c r="K42" t="s">
        <v>95</v>
      </c>
      <c r="L42" t="s">
        <v>70</v>
      </c>
      <c r="M42" t="s">
        <v>70</v>
      </c>
      <c r="N42" s="5" t="s">
        <v>208</v>
      </c>
      <c r="O42" t="s">
        <v>202</v>
      </c>
      <c r="P42" s="4" t="str">
        <f t="shared" si="3"/>
        <v>DFTL_GPU_GPU_MGX007_GPUTDF_x10_PL00_X_X_111111111111111111110000_SelsrmSSSS_</v>
      </c>
      <c r="S42" cm="1">
        <f t="array" ref="S42">_xlfn.IFS($AN42&gt;0,MAX(AL42:AM42),$AQ42&gt;0,MAX(AO42:AP42),$AT42&gt;0,MAX(AR42:AS42),$AW42&gt;0,MAX(AU42:AV42),$AZ42&gt;0,MAX(AX42:AY42),$BC42&gt;0,MAX(BA42:BB42),$BF42&gt;0,MAX(BD42:BE42),$BI42&gt;0,MAX(BG42:BH42),$BL42&gt;0,MAX(BJ42:BK42),$BO42&gt;0,MAX(BM42:BN42),$BR42&gt;0,MAX(BP42:BQ42),$BU42&gt;0,MAX(BS42:BT42),$BX42&gt;0,MAX(BV42:BW42))-0.01</f>
        <v>0.89</v>
      </c>
      <c r="T42" cm="1">
        <f t="array" ref="T42">_xlfn.IFS($AN42&gt;0,MIN(AL42:AM42),$AQ42&gt;0,MIN(AO42:AP42),$AT42&gt;0,MIN(AR42:AS42),$AW42&gt;0,MIN(AU42:AV42),$AZ42&gt;0,MIN(AX42:AY42),$BC42&gt;0,MIN(BA42:BB42),$BF42&gt;0,MIN(BD42:BE42),$BI42&gt;0,MIN(BG42:BH42),$BL42&gt;0,MIN(BJ42:BK42),$BO42&gt;0,MIN(BM42:BN42),$BR42&gt;0,MIN(BP42:BQ42),$BU42&gt;0,MIN(BS42:BT42),$BX42&gt;0,MIN(BV42:BW42))+0.01</f>
        <v>0.66</v>
      </c>
      <c r="U42" t="s">
        <v>71</v>
      </c>
      <c r="V42" t="s">
        <v>147</v>
      </c>
      <c r="Y42" t="s">
        <v>218</v>
      </c>
      <c r="Z42" t="s">
        <v>244</v>
      </c>
      <c r="AA42" t="s">
        <v>216</v>
      </c>
      <c r="AB42" t="s">
        <v>160</v>
      </c>
      <c r="AC42" t="s">
        <v>217</v>
      </c>
      <c r="AF42" t="s">
        <v>214</v>
      </c>
      <c r="AK42" t="s">
        <v>75</v>
      </c>
      <c r="AL42">
        <v>0.755</v>
      </c>
      <c r="AM42">
        <v>0.755</v>
      </c>
      <c r="AO42">
        <v>0.71499999999999997</v>
      </c>
      <c r="AP42">
        <v>0.71499999999999997</v>
      </c>
      <c r="AR42" s="1">
        <v>0.9</v>
      </c>
      <c r="AS42" s="1">
        <v>0.65</v>
      </c>
      <c r="AT42">
        <v>5.0000000000000001E-3</v>
      </c>
      <c r="AU42">
        <v>0.95</v>
      </c>
      <c r="AV42">
        <v>0.95</v>
      </c>
      <c r="AX42">
        <v>0.72</v>
      </c>
      <c r="AY42">
        <v>0.72</v>
      </c>
      <c r="BA42">
        <v>0.76500000000000001</v>
      </c>
      <c r="BB42">
        <v>0.76500000000000001</v>
      </c>
      <c r="BD42">
        <v>0.85</v>
      </c>
      <c r="BE42">
        <v>0.85</v>
      </c>
      <c r="BG42">
        <v>0.77500000000000002</v>
      </c>
      <c r="BH42">
        <v>0.77500000000000002</v>
      </c>
      <c r="BJ42">
        <v>0.77500000000000002</v>
      </c>
      <c r="BK42">
        <v>0.77500000000000002</v>
      </c>
      <c r="BM42">
        <v>0.81</v>
      </c>
      <c r="BN42">
        <v>0.81</v>
      </c>
      <c r="BP42">
        <v>0.72</v>
      </c>
      <c r="BQ42">
        <v>0.72</v>
      </c>
      <c r="BS42">
        <v>0.8</v>
      </c>
      <c r="BT42">
        <v>0.8</v>
      </c>
      <c r="BV42">
        <v>1.32</v>
      </c>
      <c r="BW42">
        <v>1.32</v>
      </c>
      <c r="BY42" t="s">
        <v>76</v>
      </c>
      <c r="BZ42" cm="1">
        <f t="array" ref="BZ42">_xlfn.IFS($AN42&gt;0,AVERAGE(AL42:AM42),$AQ42&gt;0,AVERAGE(AO42:AP42),$AT42&gt;0,AVERAGE(AR42:AS42),$AW42&gt;0,AVERAGE(AU42:AV42),$AZ42&gt;0,AVERAGE(AX42:AY42),$BC42&gt;0,AVERAGE(BA42:BB42),$BF42&gt;0,AVERAGE(BD42:BE42),$BI42&gt;0,AVERAGE(BG42:BH42),$BL42&gt;0,AVERAGE(BJ42:BK42),$BO42&gt;0,AVERAGE(BM42:BN42),$BR42&gt;0,AVERAGE(BP42:BQ42),$BU42&gt;0,AVERAGE(BS42:BT42),$BX42&gt;0,AVERAGE(BV42:BW42))</f>
        <v>0.77500000000000002</v>
      </c>
      <c r="CA42">
        <v>0.59899999999999998</v>
      </c>
      <c r="CC42">
        <v>0</v>
      </c>
      <c r="CD42">
        <f t="shared" si="2"/>
        <v>0</v>
      </c>
      <c r="CE42">
        <v>0</v>
      </c>
      <c r="CF42" s="1" t="s">
        <v>279</v>
      </c>
    </row>
    <row r="43" spans="1:87" hidden="1" x14ac:dyDescent="0.2">
      <c r="A43" t="s">
        <v>91</v>
      </c>
      <c r="B43" s="6">
        <v>45513</v>
      </c>
      <c r="D43" t="s">
        <v>269</v>
      </c>
      <c r="E43" t="s">
        <v>92</v>
      </c>
      <c r="F43" t="s">
        <v>171</v>
      </c>
      <c r="G43" t="s">
        <v>136</v>
      </c>
      <c r="H43" t="s">
        <v>101</v>
      </c>
      <c r="I43" t="s">
        <v>194</v>
      </c>
      <c r="J43" t="s">
        <v>184</v>
      </c>
      <c r="K43" t="s">
        <v>146</v>
      </c>
      <c r="L43" t="s">
        <v>185</v>
      </c>
      <c r="M43" t="s">
        <v>186</v>
      </c>
      <c r="N43" t="s">
        <v>70</v>
      </c>
      <c r="O43" t="s">
        <v>202</v>
      </c>
      <c r="P43" s="4" t="str">
        <f t="shared" si="3"/>
        <v>DFTL_CPU_CPUSRAM_MPX002_CPUBST_C303_PLLP_59N_REPREST_X_SelsrmSSSS_</v>
      </c>
      <c r="S43" cm="1">
        <f t="array" ref="S43">_xlfn.IFS($AN43&gt;0,MAX(AL43:AM43),$AQ43&gt;0,MAX(AO43:AP43),$AT43&gt;0,MAX(AR43:AS43),$AW43&gt;0,MAX(AU43:AV43),$AZ43&gt;0,MAX(AX43:AY43),$BC43&gt;0,MAX(BA43:BB43),$BF43&gt;0,MAX(BD43:BE43),$BI43&gt;0,MAX(BG43:BH43),$BL43&gt;0,MAX(BJ43:BK43),$BO43&gt;0,MAX(BM43:BN43),$BR43&gt;0,MAX(BP43:BQ43),$BU43&gt;0,MAX(BS43:BT43),$BX43&gt;0,MAX(BV43:BW43))-0.01</f>
        <v>0.79</v>
      </c>
      <c r="T43" cm="1">
        <f t="array" ref="T43">_xlfn.IFS($AN43&gt;0,MIN(AL43:AM43),$AQ43&gt;0,MIN(AO43:AP43),$AT43&gt;0,MIN(AR43:AS43),$AW43&gt;0,MIN(AU43:AV43),$AZ43&gt;0,MIN(AX43:AY43),$BC43&gt;0,MIN(BA43:BB43),$BF43&gt;0,MIN(BD43:BE43),$BI43&gt;0,MIN(BG43:BH43),$BL43&gt;0,MIN(BJ43:BK43),$BO43&gt;0,MIN(BM43:BN43),$BR43&gt;0,MIN(BP43:BQ43),$BU43&gt;0,MIN(BS43:BT43),$BX43&gt;0,MIN(BV43:BW43))+0.01</f>
        <v>0.51</v>
      </c>
      <c r="U43" t="s">
        <v>71</v>
      </c>
      <c r="V43" t="s">
        <v>187</v>
      </c>
      <c r="W43" t="s">
        <v>188</v>
      </c>
      <c r="X43" t="s">
        <v>235</v>
      </c>
      <c r="AF43" t="s">
        <v>196</v>
      </c>
      <c r="AK43" t="s">
        <v>75</v>
      </c>
      <c r="AL43">
        <v>0.77</v>
      </c>
      <c r="AM43">
        <v>0.77</v>
      </c>
      <c r="AO43">
        <v>0.71499999999999997</v>
      </c>
      <c r="AP43">
        <v>0.71499999999999997</v>
      </c>
      <c r="AR43">
        <v>0.72</v>
      </c>
      <c r="AS43">
        <v>0.72</v>
      </c>
      <c r="AU43">
        <v>1.1100000000000001</v>
      </c>
      <c r="AV43">
        <v>1.1100000000000001</v>
      </c>
      <c r="AX43">
        <v>0.72</v>
      </c>
      <c r="AY43">
        <v>0.72</v>
      </c>
      <c r="BA43">
        <v>0.76500000000000001</v>
      </c>
      <c r="BB43">
        <v>0.76500000000000001</v>
      </c>
      <c r="BD43" s="1">
        <v>0.8</v>
      </c>
      <c r="BE43" s="1">
        <v>0.5</v>
      </c>
      <c r="BF43">
        <v>5.0000000000000001E-3</v>
      </c>
      <c r="BG43">
        <v>0.77500000000000002</v>
      </c>
      <c r="BH43">
        <v>0.77500000000000002</v>
      </c>
      <c r="BJ43">
        <v>0.77500000000000002</v>
      </c>
      <c r="BK43">
        <v>0.77500000000000002</v>
      </c>
      <c r="BM43">
        <v>0.81</v>
      </c>
      <c r="BN43">
        <v>0.81</v>
      </c>
      <c r="BP43">
        <v>0.72</v>
      </c>
      <c r="BQ43">
        <v>0.72</v>
      </c>
      <c r="BS43">
        <v>0.8</v>
      </c>
      <c r="BT43">
        <v>0.8</v>
      </c>
      <c r="BV43">
        <v>1.32</v>
      </c>
      <c r="BW43">
        <v>1.32</v>
      </c>
      <c r="BY43" t="s">
        <v>76</v>
      </c>
      <c r="BZ43" cm="1">
        <f t="array" ref="BZ43">_xlfn.IFS($AN43&gt;0,AVERAGE(AL43:AM43),$AQ43&gt;0,AVERAGE(AO43:AP43),$AT43&gt;0,AVERAGE(AR43:AS43),$AW43&gt;0,AVERAGE(AU43:AV43),$AZ43&gt;0,AVERAGE(AX43:AY43),$BC43&gt;0,AVERAGE(BA43:BB43),$BF43&gt;0,AVERAGE(BD43:BE43),$BI43&gt;0,AVERAGE(BG43:BH43),$BL43&gt;0,AVERAGE(BJ43:BK43),$BO43&gt;0,AVERAGE(BM43:BN43),$BR43&gt;0,AVERAGE(BP43:BQ43),$BU43&gt;0,AVERAGE(BS43:BT43),$BX43&gt;0,AVERAGE(BV43:BW43))</f>
        <v>0.65</v>
      </c>
      <c r="CA43">
        <v>0.86</v>
      </c>
      <c r="CC43">
        <v>0</v>
      </c>
      <c r="CD43">
        <f t="shared" si="2"/>
        <v>0</v>
      </c>
      <c r="CE43">
        <v>0</v>
      </c>
      <c r="CF43" t="s">
        <v>279</v>
      </c>
    </row>
    <row r="44" spans="1:87" hidden="1" x14ac:dyDescent="0.2">
      <c r="A44" t="s">
        <v>91</v>
      </c>
      <c r="B44" s="6">
        <v>45513</v>
      </c>
      <c r="D44" t="s">
        <v>269</v>
      </c>
      <c r="E44" t="s">
        <v>92</v>
      </c>
      <c r="F44" t="s">
        <v>171</v>
      </c>
      <c r="G44" t="s">
        <v>136</v>
      </c>
      <c r="H44" t="s">
        <v>102</v>
      </c>
      <c r="I44" t="s">
        <v>194</v>
      </c>
      <c r="J44" t="s">
        <v>184</v>
      </c>
      <c r="K44" t="s">
        <v>146</v>
      </c>
      <c r="L44" t="s">
        <v>185</v>
      </c>
      <c r="M44" t="s">
        <v>186</v>
      </c>
      <c r="N44" t="s">
        <v>70</v>
      </c>
      <c r="O44" t="s">
        <v>202</v>
      </c>
      <c r="P44" s="4" t="str">
        <f t="shared" si="3"/>
        <v>DFTL_CPU_CPUSRAM_MPX003_CPUBST_C303_PLLP_59N_REPREST_X_SelsrmSSSS_</v>
      </c>
      <c r="S44" cm="1">
        <f t="array" ref="S44">_xlfn.IFS($AN44&gt;0,MAX(AL44:AM44),$AQ44&gt;0,MAX(AO44:AP44),$AT44&gt;0,MAX(AR44:AS44),$AW44&gt;0,MAX(AU44:AV44),$AZ44&gt;0,MAX(AX44:AY44),$BC44&gt;0,MAX(BA44:BB44),$BF44&gt;0,MAX(BD44:BE44),$BI44&gt;0,MAX(BG44:BH44),$BL44&gt;0,MAX(BJ44:BK44),$BO44&gt;0,MAX(BM44:BN44),$BR44&gt;0,MAX(BP44:BQ44),$BU44&gt;0,MAX(BS44:BT44),$BX44&gt;0,MAX(BV44:BW44))-0.01</f>
        <v>0.79</v>
      </c>
      <c r="T44" cm="1">
        <f t="array" ref="T44">_xlfn.IFS($AN44&gt;0,MIN(AL44:AM44),$AQ44&gt;0,MIN(AO44:AP44),$AT44&gt;0,MIN(AR44:AS44),$AW44&gt;0,MIN(AU44:AV44),$AZ44&gt;0,MIN(AX44:AY44),$BC44&gt;0,MIN(BA44:BB44),$BF44&gt;0,MIN(BD44:BE44),$BI44&gt;0,MIN(BG44:BH44),$BL44&gt;0,MIN(BJ44:BK44),$BO44&gt;0,MIN(BM44:BN44),$BR44&gt;0,MIN(BP44:BQ44),$BU44&gt;0,MIN(BS44:BT44),$BX44&gt;0,MIN(BV44:BW44))+0.01</f>
        <v>0.51</v>
      </c>
      <c r="U44" t="s">
        <v>71</v>
      </c>
      <c r="V44" t="s">
        <v>187</v>
      </c>
      <c r="W44" t="s">
        <v>188</v>
      </c>
      <c r="X44" t="s">
        <v>236</v>
      </c>
      <c r="AF44" t="s">
        <v>196</v>
      </c>
      <c r="AK44" t="s">
        <v>75</v>
      </c>
      <c r="AL44">
        <v>0.78500000000000003</v>
      </c>
      <c r="AM44">
        <v>0.78500000000000003</v>
      </c>
      <c r="AO44">
        <v>0.71499999999999997</v>
      </c>
      <c r="AP44">
        <v>0.71499999999999997</v>
      </c>
      <c r="AR44">
        <v>0.72</v>
      </c>
      <c r="AS44">
        <v>0.72</v>
      </c>
      <c r="AU44">
        <v>1.1100000000000001</v>
      </c>
      <c r="AV44">
        <v>1.1100000000000001</v>
      </c>
      <c r="AX44">
        <v>0.72</v>
      </c>
      <c r="AY44">
        <v>0.72</v>
      </c>
      <c r="BA44">
        <v>0.76500000000000001</v>
      </c>
      <c r="BB44">
        <v>0.76500000000000001</v>
      </c>
      <c r="BD44" s="1">
        <v>0.8</v>
      </c>
      <c r="BE44" s="1">
        <v>0.5</v>
      </c>
      <c r="BF44">
        <v>5.0000000000000001E-3</v>
      </c>
      <c r="BG44">
        <v>0.77500000000000002</v>
      </c>
      <c r="BH44">
        <v>0.77500000000000002</v>
      </c>
      <c r="BJ44">
        <v>0.77500000000000002</v>
      </c>
      <c r="BK44">
        <v>0.77500000000000002</v>
      </c>
      <c r="BM44">
        <v>0.81</v>
      </c>
      <c r="BN44">
        <v>0.81</v>
      </c>
      <c r="BP44">
        <v>0.72</v>
      </c>
      <c r="BQ44">
        <v>0.72</v>
      </c>
      <c r="BS44">
        <v>0.8</v>
      </c>
      <c r="BT44">
        <v>0.8</v>
      </c>
      <c r="BV44">
        <v>1.32</v>
      </c>
      <c r="BW44">
        <v>1.32</v>
      </c>
      <c r="BY44" t="s">
        <v>76</v>
      </c>
      <c r="BZ44" cm="1">
        <f t="array" ref="BZ44">_xlfn.IFS($AN44&gt;0,AVERAGE(AL44:AM44),$AQ44&gt;0,AVERAGE(AO44:AP44),$AT44&gt;0,AVERAGE(AR44:AS44),$AW44&gt;0,AVERAGE(AU44:AV44),$AZ44&gt;0,AVERAGE(AX44:AY44),$BC44&gt;0,AVERAGE(BA44:BB44),$BF44&gt;0,AVERAGE(BD44:BE44),$BI44&gt;0,AVERAGE(BG44:BH44),$BL44&gt;0,AVERAGE(BJ44:BK44),$BO44&gt;0,AVERAGE(BM44:BN44),$BR44&gt;0,AVERAGE(BP44:BQ44),$BU44&gt;0,AVERAGE(BS44:BT44),$BX44&gt;0,AVERAGE(BV44:BW44))</f>
        <v>0.65</v>
      </c>
      <c r="CA44">
        <v>1.1499999999999999</v>
      </c>
      <c r="CC44">
        <v>0</v>
      </c>
      <c r="CD44">
        <f t="shared" si="2"/>
        <v>0</v>
      </c>
      <c r="CE44">
        <v>0</v>
      </c>
      <c r="CF44" t="s">
        <v>279</v>
      </c>
    </row>
    <row r="45" spans="1:87" hidden="1" x14ac:dyDescent="0.2">
      <c r="A45" t="s">
        <v>91</v>
      </c>
      <c r="B45" s="6">
        <v>45513</v>
      </c>
      <c r="D45" t="s">
        <v>269</v>
      </c>
      <c r="E45" t="s">
        <v>92</v>
      </c>
      <c r="F45" t="s">
        <v>171</v>
      </c>
      <c r="G45" t="s">
        <v>136</v>
      </c>
      <c r="H45" t="s">
        <v>103</v>
      </c>
      <c r="I45" t="s">
        <v>194</v>
      </c>
      <c r="J45" t="s">
        <v>184</v>
      </c>
      <c r="K45" t="s">
        <v>146</v>
      </c>
      <c r="L45" t="s">
        <v>185</v>
      </c>
      <c r="M45" t="s">
        <v>186</v>
      </c>
      <c r="N45" t="s">
        <v>70</v>
      </c>
      <c r="O45" t="s">
        <v>202</v>
      </c>
      <c r="P45" s="4" t="str">
        <f t="shared" si="3"/>
        <v>DFTL_CPU_CPUSRAM_MPX004_CPUBST_C303_PLLP_59N_REPREST_X_SelsrmSSSS_</v>
      </c>
      <c r="S45" cm="1">
        <f t="array" ref="S45">_xlfn.IFS($AN45&gt;0,MAX(AL45:AM45),$AQ45&gt;0,MAX(AO45:AP45),$AT45&gt;0,MAX(AR45:AS45),$AW45&gt;0,MAX(AU45:AV45),$AZ45&gt;0,MAX(AX45:AY45),$BC45&gt;0,MAX(BA45:BB45),$BF45&gt;0,MAX(BD45:BE45),$BI45&gt;0,MAX(BG45:BH45),$BL45&gt;0,MAX(BJ45:BK45),$BO45&gt;0,MAX(BM45:BN45),$BR45&gt;0,MAX(BP45:BQ45),$BU45&gt;0,MAX(BS45:BT45),$BX45&gt;0,MAX(BV45:BW45))-0.01</f>
        <v>0.84</v>
      </c>
      <c r="T45" cm="1">
        <f t="array" ref="T45">_xlfn.IFS($AN45&gt;0,MIN(AL45:AM45),$AQ45&gt;0,MIN(AO45:AP45),$AT45&gt;0,MIN(AR45:AS45),$AW45&gt;0,MIN(AU45:AV45),$AZ45&gt;0,MIN(AX45:AY45),$BC45&gt;0,MIN(BA45:BB45),$BF45&gt;0,MIN(BD45:BE45),$BI45&gt;0,MIN(BG45:BH45),$BL45&gt;0,MIN(BJ45:BK45),$BO45&gt;0,MIN(BM45:BN45),$BR45&gt;0,MIN(BP45:BQ45),$BU45&gt;0,MIN(BS45:BT45),$BX45&gt;0,MIN(BV45:BW45))+0.01</f>
        <v>0.56000000000000005</v>
      </c>
      <c r="U45" t="s">
        <v>71</v>
      </c>
      <c r="V45" t="s">
        <v>187</v>
      </c>
      <c r="W45" t="s">
        <v>188</v>
      </c>
      <c r="X45" t="s">
        <v>237</v>
      </c>
      <c r="AF45" t="s">
        <v>196</v>
      </c>
      <c r="AK45" t="s">
        <v>75</v>
      </c>
      <c r="AL45">
        <v>0.83</v>
      </c>
      <c r="AM45">
        <v>0.83</v>
      </c>
      <c r="AO45">
        <v>0.71499999999999997</v>
      </c>
      <c r="AP45">
        <v>0.71499999999999997</v>
      </c>
      <c r="AR45">
        <v>0.72</v>
      </c>
      <c r="AS45">
        <v>0.72</v>
      </c>
      <c r="AU45">
        <v>1.1100000000000001</v>
      </c>
      <c r="AV45">
        <v>1.1100000000000001</v>
      </c>
      <c r="AX45">
        <v>0.72</v>
      </c>
      <c r="AY45">
        <v>0.72</v>
      </c>
      <c r="BA45">
        <v>0.76500000000000001</v>
      </c>
      <c r="BB45">
        <v>0.76500000000000001</v>
      </c>
      <c r="BD45" s="1">
        <v>0.85</v>
      </c>
      <c r="BE45" s="1">
        <v>0.55000000000000004</v>
      </c>
      <c r="BF45">
        <v>5.0000000000000001E-3</v>
      </c>
      <c r="BG45">
        <v>0.77500000000000002</v>
      </c>
      <c r="BH45">
        <v>0.77500000000000002</v>
      </c>
      <c r="BJ45">
        <v>0.77500000000000002</v>
      </c>
      <c r="BK45">
        <v>0.77500000000000002</v>
      </c>
      <c r="BM45">
        <v>0.81</v>
      </c>
      <c r="BN45">
        <v>0.81</v>
      </c>
      <c r="BP45">
        <v>0.72</v>
      </c>
      <c r="BQ45">
        <v>0.72</v>
      </c>
      <c r="BS45">
        <v>0.8</v>
      </c>
      <c r="BT45">
        <v>0.8</v>
      </c>
      <c r="BV45">
        <v>1.32</v>
      </c>
      <c r="BW45">
        <v>1.32</v>
      </c>
      <c r="BY45" t="s">
        <v>76</v>
      </c>
      <c r="BZ45" cm="1">
        <f t="array" ref="BZ45">_xlfn.IFS($AN45&gt;0,AVERAGE(AL45:AM45),$AQ45&gt;0,AVERAGE(AO45:AP45),$AT45&gt;0,AVERAGE(AR45:AS45),$AW45&gt;0,AVERAGE(AU45:AV45),$AZ45&gt;0,AVERAGE(AX45:AY45),$BC45&gt;0,AVERAGE(BA45:BB45),$BF45&gt;0,AVERAGE(BD45:BE45),$BI45&gt;0,AVERAGE(BG45:BH45),$BL45&gt;0,AVERAGE(BJ45:BK45),$BO45&gt;0,AVERAGE(BM45:BN45),$BR45&gt;0,AVERAGE(BP45:BQ45),$BU45&gt;0,AVERAGE(BS45:BT45),$BX45&gt;0,AVERAGE(BV45:BW45))</f>
        <v>0.7</v>
      </c>
      <c r="CA45">
        <v>0.79</v>
      </c>
      <c r="CC45">
        <v>0</v>
      </c>
      <c r="CD45">
        <f t="shared" si="2"/>
        <v>0</v>
      </c>
      <c r="CE45">
        <v>0</v>
      </c>
      <c r="CF45" t="s">
        <v>279</v>
      </c>
    </row>
    <row r="46" spans="1:87" hidden="1" x14ac:dyDescent="0.2">
      <c r="A46" t="s">
        <v>91</v>
      </c>
      <c r="B46" s="6">
        <v>45513</v>
      </c>
      <c r="D46" t="s">
        <v>269</v>
      </c>
      <c r="E46" t="s">
        <v>92</v>
      </c>
      <c r="F46" t="s">
        <v>171</v>
      </c>
      <c r="G46" t="s">
        <v>136</v>
      </c>
      <c r="H46" t="s">
        <v>104</v>
      </c>
      <c r="I46" t="s">
        <v>194</v>
      </c>
      <c r="J46" t="s">
        <v>184</v>
      </c>
      <c r="K46" t="s">
        <v>146</v>
      </c>
      <c r="L46" t="s">
        <v>185</v>
      </c>
      <c r="M46" t="s">
        <v>186</v>
      </c>
      <c r="N46" t="s">
        <v>70</v>
      </c>
      <c r="O46" t="s">
        <v>202</v>
      </c>
      <c r="P46" s="4" t="str">
        <f t="shared" si="3"/>
        <v>DFTL_CPU_CPUSRAM_MPX006_CPUBST_C303_PLLP_59N_REPREST_X_SelsrmSSSS_</v>
      </c>
      <c r="S46" cm="1">
        <f t="array" ref="S46">_xlfn.IFS($AN46&gt;0,MAX(AL46:AM46),$AQ46&gt;0,MAX(AO46:AP46),$AT46&gt;0,MAX(AR46:AS46),$AW46&gt;0,MAX(AU46:AV46),$AZ46&gt;0,MAX(AX46:AY46),$BC46&gt;0,MAX(BA46:BB46),$BF46&gt;0,MAX(BD46:BE46),$BI46&gt;0,MAX(BG46:BH46),$BL46&gt;0,MAX(BJ46:BK46),$BO46&gt;0,MAX(BM46:BN46),$BR46&gt;0,MAX(BP46:BQ46),$BU46&gt;0,MAX(BS46:BT46),$BX46&gt;0,MAX(BV46:BW46))-0.01</f>
        <v>0.79</v>
      </c>
      <c r="T46" cm="1">
        <f t="array" ref="T46">_xlfn.IFS($AN46&gt;0,MIN(AL46:AM46),$AQ46&gt;0,MIN(AO46:AP46),$AT46&gt;0,MIN(AR46:AS46),$AW46&gt;0,MIN(AU46:AV46),$AZ46&gt;0,MIN(AX46:AY46),$BC46&gt;0,MIN(BA46:BB46),$BF46&gt;0,MIN(BD46:BE46),$BI46&gt;0,MIN(BG46:BH46),$BL46&gt;0,MIN(BJ46:BK46),$BO46&gt;0,MIN(BM46:BN46),$BR46&gt;0,MIN(BP46:BQ46),$BU46&gt;0,MIN(BS46:BT46),$BX46&gt;0,MIN(BV46:BW46))+0.01</f>
        <v>0.61</v>
      </c>
      <c r="U46" t="s">
        <v>71</v>
      </c>
      <c r="V46" t="s">
        <v>187</v>
      </c>
      <c r="W46" t="s">
        <v>188</v>
      </c>
      <c r="X46" t="s">
        <v>238</v>
      </c>
      <c r="AF46" t="s">
        <v>196</v>
      </c>
      <c r="AK46" t="s">
        <v>75</v>
      </c>
      <c r="AL46">
        <v>0.92</v>
      </c>
      <c r="AM46">
        <v>0.92</v>
      </c>
      <c r="AO46">
        <v>0.71499999999999997</v>
      </c>
      <c r="AP46">
        <v>0.71499999999999997</v>
      </c>
      <c r="AR46">
        <v>0.72</v>
      </c>
      <c r="AS46">
        <v>0.72</v>
      </c>
      <c r="AU46">
        <v>1.1100000000000001</v>
      </c>
      <c r="AV46">
        <v>1.1100000000000001</v>
      </c>
      <c r="AX46">
        <v>0.72</v>
      </c>
      <c r="AY46">
        <v>0.72</v>
      </c>
      <c r="BA46">
        <v>0.76500000000000001</v>
      </c>
      <c r="BB46">
        <v>0.76500000000000001</v>
      </c>
      <c r="BD46" s="1">
        <v>0.8</v>
      </c>
      <c r="BE46" s="1">
        <v>0.6</v>
      </c>
      <c r="BF46">
        <v>5.0000000000000001E-3</v>
      </c>
      <c r="BG46">
        <v>0.77500000000000002</v>
      </c>
      <c r="BH46">
        <v>0.77500000000000002</v>
      </c>
      <c r="BJ46">
        <v>0.77500000000000002</v>
      </c>
      <c r="BK46">
        <v>0.77500000000000002</v>
      </c>
      <c r="BM46">
        <v>0.81</v>
      </c>
      <c r="BN46">
        <v>0.81</v>
      </c>
      <c r="BP46">
        <v>0.72</v>
      </c>
      <c r="BQ46">
        <v>0.72</v>
      </c>
      <c r="BS46">
        <v>0.8</v>
      </c>
      <c r="BT46">
        <v>0.8</v>
      </c>
      <c r="BV46">
        <v>1.32</v>
      </c>
      <c r="BW46">
        <v>1.32</v>
      </c>
      <c r="BY46" t="s">
        <v>76</v>
      </c>
      <c r="BZ46" cm="1">
        <f t="array" ref="BZ46">_xlfn.IFS($AN46&gt;0,AVERAGE(AL46:AM46),$AQ46&gt;0,AVERAGE(AO46:AP46),$AT46&gt;0,AVERAGE(AR46:AS46),$AW46&gt;0,AVERAGE(AU46:AV46),$AZ46&gt;0,AVERAGE(AX46:AY46),$BC46&gt;0,AVERAGE(BA46:BB46),$BF46&gt;0,AVERAGE(BD46:BE46),$BI46&gt;0,AVERAGE(BG46:BH46),$BL46&gt;0,AVERAGE(BJ46:BK46),$BO46&gt;0,AVERAGE(BM46:BN46),$BR46&gt;0,AVERAGE(BP46:BQ46),$BU46&gt;0,AVERAGE(BS46:BT46),$BX46&gt;0,AVERAGE(BV46:BW46))</f>
        <v>0.7</v>
      </c>
      <c r="CA46">
        <v>0.79</v>
      </c>
      <c r="CC46">
        <v>0</v>
      </c>
      <c r="CD46">
        <f t="shared" si="2"/>
        <v>0</v>
      </c>
      <c r="CE46">
        <v>0</v>
      </c>
      <c r="CF46" t="s">
        <v>279</v>
      </c>
    </row>
    <row r="47" spans="1:87" hidden="1" x14ac:dyDescent="0.2">
      <c r="A47" t="s">
        <v>91</v>
      </c>
      <c r="B47" s="6">
        <v>45513</v>
      </c>
      <c r="D47" t="s">
        <v>269</v>
      </c>
      <c r="E47" t="s">
        <v>92</v>
      </c>
      <c r="F47" t="s">
        <v>171</v>
      </c>
      <c r="G47" t="s">
        <v>136</v>
      </c>
      <c r="H47" t="s">
        <v>105</v>
      </c>
      <c r="I47" t="s">
        <v>194</v>
      </c>
      <c r="J47" t="s">
        <v>184</v>
      </c>
      <c r="K47" t="s">
        <v>146</v>
      </c>
      <c r="L47" t="s">
        <v>185</v>
      </c>
      <c r="M47" t="s">
        <v>186</v>
      </c>
      <c r="N47" t="s">
        <v>70</v>
      </c>
      <c r="O47" t="s">
        <v>202</v>
      </c>
      <c r="P47" s="4" t="str">
        <f t="shared" si="3"/>
        <v>DFTL_CPU_CPUSRAM_MPX007_CPUBST_C303_PLLP_59N_REPREST_X_SelsrmSSSS_</v>
      </c>
      <c r="S47" cm="1">
        <f t="array" ref="S47">_xlfn.IFS($AN47&gt;0,MAX(AL47:AM47),$AQ47&gt;0,MAX(AO47:AP47),$AT47&gt;0,MAX(AR47:AS47),$AW47&gt;0,MAX(AU47:AV47),$AZ47&gt;0,MAX(AX47:AY47),$BC47&gt;0,MAX(BA47:BB47),$BF47&gt;0,MAX(BD47:BE47),$BI47&gt;0,MAX(BG47:BH47),$BL47&gt;0,MAX(BJ47:BK47),$BO47&gt;0,MAX(BM47:BN47),$BR47&gt;0,MAX(BP47:BQ47),$BU47&gt;0,MAX(BS47:BT47),$BX47&gt;0,MAX(BV47:BW47))-0.01</f>
        <v>0.99</v>
      </c>
      <c r="T47" cm="1">
        <f t="array" ref="T47">_xlfn.IFS($AN47&gt;0,MIN(AL47:AM47),$AQ47&gt;0,MIN(AO47:AP47),$AT47&gt;0,MIN(AR47:AS47),$AW47&gt;0,MIN(AU47:AV47),$AZ47&gt;0,MIN(AX47:AY47),$BC47&gt;0,MIN(BA47:BB47),$BF47&gt;0,MIN(BD47:BE47),$BI47&gt;0,MIN(BG47:BH47),$BL47&gt;0,MIN(BJ47:BK47),$BO47&gt;0,MIN(BM47:BN47),$BR47&gt;0,MIN(BP47:BQ47),$BU47&gt;0,MIN(BS47:BT47),$BX47&gt;0,MIN(BV47:BW47))+0.01</f>
        <v>0.66</v>
      </c>
      <c r="U47" t="s">
        <v>71</v>
      </c>
      <c r="V47" t="s">
        <v>187</v>
      </c>
      <c r="W47" t="s">
        <v>188</v>
      </c>
      <c r="X47" t="s">
        <v>239</v>
      </c>
      <c r="AF47" t="s">
        <v>196</v>
      </c>
      <c r="AK47" t="s">
        <v>75</v>
      </c>
      <c r="AL47">
        <v>0.96499999999999997</v>
      </c>
      <c r="AM47">
        <v>0.96499999999999997</v>
      </c>
      <c r="AO47">
        <v>0.71499999999999997</v>
      </c>
      <c r="AP47">
        <v>0.71499999999999997</v>
      </c>
      <c r="AR47">
        <v>0.72</v>
      </c>
      <c r="AS47">
        <v>0.72</v>
      </c>
      <c r="AU47">
        <v>1.1100000000000001</v>
      </c>
      <c r="AV47">
        <v>1.1100000000000001</v>
      </c>
      <c r="AX47">
        <v>0.72</v>
      </c>
      <c r="AY47">
        <v>0.72</v>
      </c>
      <c r="BA47">
        <v>0.76500000000000001</v>
      </c>
      <c r="BB47">
        <v>0.76500000000000001</v>
      </c>
      <c r="BD47" s="1">
        <v>1</v>
      </c>
      <c r="BE47" s="1">
        <v>0.65</v>
      </c>
      <c r="BF47">
        <v>5.0000000000000001E-3</v>
      </c>
      <c r="BG47">
        <v>0.77500000000000002</v>
      </c>
      <c r="BH47">
        <v>0.77500000000000002</v>
      </c>
      <c r="BJ47">
        <v>0.77500000000000002</v>
      </c>
      <c r="BK47">
        <v>0.77500000000000002</v>
      </c>
      <c r="BM47">
        <v>0.81</v>
      </c>
      <c r="BN47">
        <v>0.81</v>
      </c>
      <c r="BP47">
        <v>0.72</v>
      </c>
      <c r="BQ47">
        <v>0.72</v>
      </c>
      <c r="BS47">
        <v>0.8</v>
      </c>
      <c r="BT47">
        <v>0.8</v>
      </c>
      <c r="BV47">
        <v>1.32</v>
      </c>
      <c r="BW47">
        <v>1.32</v>
      </c>
      <c r="BY47" t="s">
        <v>76</v>
      </c>
      <c r="BZ47" cm="1">
        <f t="array" ref="BZ47">_xlfn.IFS($AN47&gt;0,AVERAGE(AL47:AM47),$AQ47&gt;0,AVERAGE(AO47:AP47),$AT47&gt;0,AVERAGE(AR47:AS47),$AW47&gt;0,AVERAGE(AU47:AV47),$AZ47&gt;0,AVERAGE(AX47:AY47),$BC47&gt;0,AVERAGE(BA47:BB47),$BF47&gt;0,AVERAGE(BD47:BE47),$BI47&gt;0,AVERAGE(BG47:BH47),$BL47&gt;0,AVERAGE(BJ47:BK47),$BO47&gt;0,AVERAGE(BM47:BN47),$BR47&gt;0,AVERAGE(BP47:BQ47),$BU47&gt;0,AVERAGE(BS47:BT47),$BX47&gt;0,AVERAGE(BV47:BW47))</f>
        <v>0.82499999999999996</v>
      </c>
      <c r="CA47">
        <v>0.79</v>
      </c>
      <c r="CC47">
        <v>0</v>
      </c>
      <c r="CD47">
        <f t="shared" si="2"/>
        <v>0</v>
      </c>
      <c r="CE47">
        <v>0</v>
      </c>
      <c r="CF47" t="s">
        <v>279</v>
      </c>
    </row>
    <row r="48" spans="1:87" x14ac:dyDescent="0.2">
      <c r="A48" t="s">
        <v>65</v>
      </c>
      <c r="B48" s="6" t="s">
        <v>60</v>
      </c>
      <c r="D48" t="s">
        <v>269</v>
      </c>
      <c r="E48" t="s">
        <v>92</v>
      </c>
      <c r="F48" t="s">
        <v>171</v>
      </c>
      <c r="G48" t="s">
        <v>136</v>
      </c>
      <c r="H48" t="s">
        <v>106</v>
      </c>
      <c r="I48" t="s">
        <v>194</v>
      </c>
      <c r="J48" t="s">
        <v>184</v>
      </c>
      <c r="K48" t="s">
        <v>146</v>
      </c>
      <c r="L48" t="s">
        <v>185</v>
      </c>
      <c r="M48" t="s">
        <v>186</v>
      </c>
      <c r="N48" t="s">
        <v>70</v>
      </c>
      <c r="O48" t="s">
        <v>202</v>
      </c>
      <c r="P48" s="4" t="str">
        <f t="shared" si="3"/>
        <v>DFTL_CPU_CPUSRAM_MPX009_CPUBST_C303_PLLP_59N_REPREST_X_SelsrmSSSS_</v>
      </c>
      <c r="S48" cm="1">
        <f t="array" ref="S48">_xlfn.IFS($AN48&gt;0,MAX(AL48:AM48),$AQ48&gt;0,MAX(AO48:AP48),$AT48&gt;0,MAX(AR48:AS48),$AW48&gt;0,MAX(AU48:AV48),$AZ48&gt;0,MAX(AX48:AY48),$BC48&gt;0,MAX(BA48:BB48),$BF48&gt;0,MAX(BD48:BE48),$BI48&gt;0,MAX(BG48:BH48),$BL48&gt;0,MAX(BJ48:BK48),$BO48&gt;0,MAX(BM48:BN48),$BR48&gt;0,MAX(BP48:BQ48),$BU48&gt;0,MAX(BS48:BT48),$BX48&gt;0,MAX(BV48:BW48))-0.01</f>
        <v>0.99</v>
      </c>
      <c r="T48" cm="1">
        <f t="array" ref="T48">_xlfn.IFS($AN48&gt;0,MIN(AL48:AM48),$AQ48&gt;0,MIN(AO48:AP48),$AT48&gt;0,MIN(AR48:AS48),$AW48&gt;0,MIN(AU48:AV48),$AZ48&gt;0,MIN(AX48:AY48),$BC48&gt;0,MIN(BA48:BB48),$BF48&gt;0,MIN(BD48:BE48),$BI48&gt;0,MIN(BG48:BH48),$BL48&gt;0,MIN(BJ48:BK48),$BO48&gt;0,MIN(BM48:BN48),$BR48&gt;0,MIN(BP48:BQ48),$BU48&gt;0,MIN(BS48:BT48),$BX48&gt;0,MIN(BV48:BW48))+0.01</f>
        <v>0.66</v>
      </c>
      <c r="U48" t="s">
        <v>71</v>
      </c>
      <c r="V48" t="s">
        <v>187</v>
      </c>
      <c r="W48" t="s">
        <v>188</v>
      </c>
      <c r="X48" t="s">
        <v>240</v>
      </c>
      <c r="AF48" t="s">
        <v>196</v>
      </c>
      <c r="AK48" t="s">
        <v>75</v>
      </c>
      <c r="AL48">
        <v>1.0149999999999999</v>
      </c>
      <c r="AM48">
        <v>1.0149999999999999</v>
      </c>
      <c r="AO48">
        <v>0.71499999999999997</v>
      </c>
      <c r="AP48">
        <v>0.71499999999999997</v>
      </c>
      <c r="AR48">
        <v>0.72</v>
      </c>
      <c r="AS48">
        <v>0.72</v>
      </c>
      <c r="AU48">
        <v>1.1100000000000001</v>
      </c>
      <c r="AV48">
        <v>1.1100000000000001</v>
      </c>
      <c r="AX48">
        <v>0.72</v>
      </c>
      <c r="AY48">
        <v>0.72</v>
      </c>
      <c r="BA48">
        <v>0.76500000000000001</v>
      </c>
      <c r="BB48">
        <v>0.76500000000000001</v>
      </c>
      <c r="BD48" s="1">
        <v>1</v>
      </c>
      <c r="BE48" s="1">
        <v>0.65</v>
      </c>
      <c r="BF48">
        <v>5.0000000000000001E-3</v>
      </c>
      <c r="BG48">
        <v>0.77500000000000002</v>
      </c>
      <c r="BH48">
        <v>0.77500000000000002</v>
      </c>
      <c r="BJ48">
        <v>0.77500000000000002</v>
      </c>
      <c r="BK48">
        <v>0.77500000000000002</v>
      </c>
      <c r="BM48">
        <v>0.81</v>
      </c>
      <c r="BN48">
        <v>0.81</v>
      </c>
      <c r="BP48">
        <v>0.72</v>
      </c>
      <c r="BQ48">
        <v>0.72</v>
      </c>
      <c r="BS48">
        <v>0.8</v>
      </c>
      <c r="BT48">
        <v>0.8</v>
      </c>
      <c r="BV48">
        <v>1.32</v>
      </c>
      <c r="BW48">
        <v>1.32</v>
      </c>
      <c r="BY48" t="s">
        <v>76</v>
      </c>
      <c r="BZ48" cm="1">
        <f t="array" ref="BZ48">_xlfn.IFS($AN48&gt;0,AVERAGE(AL48:AM48),$AQ48&gt;0,AVERAGE(AO48:AP48),$AT48&gt;0,AVERAGE(AR48:AS48),$AW48&gt;0,AVERAGE(AU48:AV48),$AZ48&gt;0,AVERAGE(AX48:AY48),$BC48&gt;0,AVERAGE(BA48:BB48),$BF48&gt;0,AVERAGE(BD48:BE48),$BI48&gt;0,AVERAGE(BG48:BH48),$BL48&gt;0,AVERAGE(BJ48:BK48),$BO48&gt;0,AVERAGE(BM48:BN48),$BR48&gt;0,AVERAGE(BP48:BQ48),$BU48&gt;0,AVERAGE(BS48:BT48),$BX48&gt;0,AVERAGE(BV48:BW48))</f>
        <v>0.82499999999999996</v>
      </c>
      <c r="CA48">
        <v>0.79</v>
      </c>
      <c r="CC48">
        <v>0</v>
      </c>
      <c r="CD48">
        <f t="shared" si="2"/>
        <v>0</v>
      </c>
      <c r="CE48">
        <v>0</v>
      </c>
      <c r="CF48" s="1" t="s">
        <v>279</v>
      </c>
    </row>
    <row r="49" spans="1:87" hidden="1" x14ac:dyDescent="0.2">
      <c r="A49" t="s">
        <v>91</v>
      </c>
      <c r="B49" s="6">
        <v>45513</v>
      </c>
      <c r="D49" t="s">
        <v>269</v>
      </c>
      <c r="E49" t="s">
        <v>92</v>
      </c>
      <c r="F49" t="s">
        <v>171</v>
      </c>
      <c r="G49" t="s">
        <v>136</v>
      </c>
      <c r="H49" t="s">
        <v>107</v>
      </c>
      <c r="I49" t="s">
        <v>194</v>
      </c>
      <c r="J49" t="s">
        <v>184</v>
      </c>
      <c r="K49" t="s">
        <v>146</v>
      </c>
      <c r="L49" t="s">
        <v>185</v>
      </c>
      <c r="M49" t="s">
        <v>186</v>
      </c>
      <c r="N49" t="s">
        <v>70</v>
      </c>
      <c r="O49" t="s">
        <v>202</v>
      </c>
      <c r="P49" s="4" t="str">
        <f t="shared" si="3"/>
        <v>DFTL_CPU_CPUSRAM_MPX00A_CPUBST_C303_PLLP_59N_REPREST_X_SelsrmSSSS_</v>
      </c>
      <c r="S49" cm="1">
        <f t="array" ref="S49">_xlfn.IFS($AN49&gt;0,MAX(AL49:AM49),$AQ49&gt;0,MAX(AO49:AP49),$AT49&gt;0,MAX(AR49:AS49),$AW49&gt;0,MAX(AU49:AV49),$AZ49&gt;0,MAX(AX49:AY49),$BC49&gt;0,MAX(BA49:BB49),$BF49&gt;0,MAX(BD49:BE49),$BI49&gt;0,MAX(BG49:BH49),$BL49&gt;0,MAX(BJ49:BK49),$BO49&gt;0,MAX(BM49:BN49),$BR49&gt;0,MAX(BP49:BQ49),$BU49&gt;0,MAX(BS49:BT49),$BX49&gt;0,MAX(BV49:BW49))-0.01</f>
        <v>0.99</v>
      </c>
      <c r="T49" cm="1">
        <f t="array" ref="T49">_xlfn.IFS($AN49&gt;0,MIN(AL49:AM49),$AQ49&gt;0,MIN(AO49:AP49),$AT49&gt;0,MIN(AR49:AS49),$AW49&gt;0,MIN(AU49:AV49),$AZ49&gt;0,MIN(AX49:AY49),$BC49&gt;0,MIN(BA49:BB49),$BF49&gt;0,MIN(BD49:BE49),$BI49&gt;0,MIN(BG49:BH49),$BL49&gt;0,MIN(BJ49:BK49),$BO49&gt;0,MIN(BM49:BN49),$BR49&gt;0,MIN(BP49:BQ49),$BU49&gt;0,MIN(BS49:BT49),$BX49&gt;0,MIN(BV49:BW49))+0.01</f>
        <v>0.71</v>
      </c>
      <c r="U49" t="s">
        <v>71</v>
      </c>
      <c r="V49" t="s">
        <v>187</v>
      </c>
      <c r="W49" t="s">
        <v>188</v>
      </c>
      <c r="X49" t="s">
        <v>241</v>
      </c>
      <c r="AF49" t="s">
        <v>196</v>
      </c>
      <c r="AK49" t="s">
        <v>75</v>
      </c>
      <c r="AL49">
        <v>1.06</v>
      </c>
      <c r="AM49">
        <v>1.06</v>
      </c>
      <c r="AO49">
        <v>0.71499999999999997</v>
      </c>
      <c r="AP49">
        <v>0.71499999999999997</v>
      </c>
      <c r="AR49">
        <v>0.72</v>
      </c>
      <c r="AS49">
        <v>0.72</v>
      </c>
      <c r="AU49">
        <v>1.1100000000000001</v>
      </c>
      <c r="AV49">
        <v>1.1100000000000001</v>
      </c>
      <c r="AX49">
        <v>0.72</v>
      </c>
      <c r="AY49">
        <v>0.72</v>
      </c>
      <c r="BA49">
        <v>0.76500000000000001</v>
      </c>
      <c r="BB49">
        <v>0.76500000000000001</v>
      </c>
      <c r="BD49" s="1">
        <v>1</v>
      </c>
      <c r="BE49" s="1">
        <v>0.7</v>
      </c>
      <c r="BF49">
        <v>5.0000000000000001E-3</v>
      </c>
      <c r="BG49">
        <v>0.77500000000000002</v>
      </c>
      <c r="BH49">
        <v>0.77500000000000002</v>
      </c>
      <c r="BJ49">
        <v>0.77500000000000002</v>
      </c>
      <c r="BK49">
        <v>0.77500000000000002</v>
      </c>
      <c r="BM49">
        <v>0.81</v>
      </c>
      <c r="BN49">
        <v>0.81</v>
      </c>
      <c r="BP49">
        <v>0.72</v>
      </c>
      <c r="BQ49">
        <v>0.72</v>
      </c>
      <c r="BS49">
        <v>0.8</v>
      </c>
      <c r="BT49">
        <v>0.8</v>
      </c>
      <c r="BV49">
        <v>1.32</v>
      </c>
      <c r="BW49">
        <v>1.32</v>
      </c>
      <c r="BY49" t="s">
        <v>76</v>
      </c>
      <c r="BZ49" cm="1">
        <f t="array" ref="BZ49">_xlfn.IFS($AN49&gt;0,AVERAGE(AL49:AM49),$AQ49&gt;0,AVERAGE(AO49:AP49),$AT49&gt;0,AVERAGE(AR49:AS49),$AW49&gt;0,AVERAGE(AU49:AV49),$AZ49&gt;0,AVERAGE(AX49:AY49),$BC49&gt;0,AVERAGE(BA49:BB49),$BF49&gt;0,AVERAGE(BD49:BE49),$BI49&gt;0,AVERAGE(BG49:BH49),$BL49&gt;0,AVERAGE(BJ49:BK49),$BO49&gt;0,AVERAGE(BM49:BN49),$BR49&gt;0,AVERAGE(BP49:BQ49),$BU49&gt;0,AVERAGE(BS49:BT49),$BX49&gt;0,AVERAGE(BV49:BW49))</f>
        <v>0.85</v>
      </c>
      <c r="CA49">
        <v>0.79</v>
      </c>
      <c r="CC49">
        <v>0</v>
      </c>
      <c r="CD49">
        <f t="shared" si="2"/>
        <v>0</v>
      </c>
      <c r="CE49">
        <v>0</v>
      </c>
      <c r="CF49" t="s">
        <v>279</v>
      </c>
    </row>
    <row r="50" spans="1:87" hidden="1" x14ac:dyDescent="0.2">
      <c r="A50" t="s">
        <v>91</v>
      </c>
      <c r="B50" s="6">
        <v>45513</v>
      </c>
      <c r="D50" t="s">
        <v>269</v>
      </c>
      <c r="E50" t="s">
        <v>92</v>
      </c>
      <c r="F50" t="s">
        <v>171</v>
      </c>
      <c r="G50" t="s">
        <v>136</v>
      </c>
      <c r="H50" t="s">
        <v>108</v>
      </c>
      <c r="I50" t="s">
        <v>194</v>
      </c>
      <c r="J50" t="s">
        <v>184</v>
      </c>
      <c r="K50" t="s">
        <v>146</v>
      </c>
      <c r="L50" t="s">
        <v>185</v>
      </c>
      <c r="M50" t="s">
        <v>186</v>
      </c>
      <c r="N50" t="s">
        <v>70</v>
      </c>
      <c r="O50" t="s">
        <v>202</v>
      </c>
      <c r="P50" s="4" t="str">
        <f t="shared" si="3"/>
        <v>DFTL_CPU_CPUSRAM_MPX00C_CPUBST_C303_PLLP_59N_REPREST_X_SelsrmSSSS_</v>
      </c>
      <c r="S50" cm="1">
        <f t="array" ref="S50">_xlfn.IFS($AN50&gt;0,MAX(AL50:AM50),$AQ50&gt;0,MAX(AO50:AP50),$AT50&gt;0,MAX(AR50:AS50),$AW50&gt;0,MAX(AU50:AV50),$AZ50&gt;0,MAX(AX50:AY50),$BC50&gt;0,MAX(BA50:BB50),$BF50&gt;0,MAX(BD50:BE50),$BI50&gt;0,MAX(BG50:BH50),$BL50&gt;0,MAX(BJ50:BK50),$BO50&gt;0,MAX(BM50:BN50),$BR50&gt;0,MAX(BP50:BQ50),$BU50&gt;0,MAX(BS50:BT50),$BX50&gt;0,MAX(BV50:BW50))-0.01</f>
        <v>1.0900000000000001</v>
      </c>
      <c r="T50" cm="1">
        <f t="array" ref="T50">_xlfn.IFS($AN50&gt;0,MIN(AL50:AM50),$AQ50&gt;0,MIN(AO50:AP50),$AT50&gt;0,MIN(AR50:AS50),$AW50&gt;0,MIN(AU50:AV50),$AZ50&gt;0,MIN(AX50:AY50),$BC50&gt;0,MIN(BA50:BB50),$BF50&gt;0,MIN(BD50:BE50),$BI50&gt;0,MIN(BG50:BH50),$BL50&gt;0,MIN(BJ50:BK50),$BO50&gt;0,MIN(BM50:BN50),$BR50&gt;0,MIN(BP50:BQ50),$BU50&gt;0,MIN(BS50:BT50),$BX50&gt;0,MIN(BV50:BW50))+0.01</f>
        <v>0.76</v>
      </c>
      <c r="U50" t="s">
        <v>71</v>
      </c>
      <c r="V50" t="s">
        <v>187</v>
      </c>
      <c r="W50" t="s">
        <v>188</v>
      </c>
      <c r="X50" t="s">
        <v>242</v>
      </c>
      <c r="AF50" t="s">
        <v>196</v>
      </c>
      <c r="AK50" t="s">
        <v>75</v>
      </c>
      <c r="AL50">
        <v>1.1399999999999999</v>
      </c>
      <c r="AM50">
        <v>1.1399999999999999</v>
      </c>
      <c r="AO50">
        <v>0.71499999999999997</v>
      </c>
      <c r="AP50">
        <v>0.71499999999999997</v>
      </c>
      <c r="AR50">
        <v>0.72</v>
      </c>
      <c r="AS50">
        <v>0.72</v>
      </c>
      <c r="AU50">
        <v>1.1100000000000001</v>
      </c>
      <c r="AV50">
        <v>1.1100000000000001</v>
      </c>
      <c r="AX50">
        <v>0.72</v>
      </c>
      <c r="AY50">
        <v>0.72</v>
      </c>
      <c r="BA50">
        <v>0.76500000000000001</v>
      </c>
      <c r="BB50">
        <v>0.76500000000000001</v>
      </c>
      <c r="BD50" s="1">
        <v>1.1000000000000001</v>
      </c>
      <c r="BE50" s="1">
        <v>0.75</v>
      </c>
      <c r="BF50">
        <v>5.0000000000000001E-3</v>
      </c>
      <c r="BG50">
        <v>0.77500000000000002</v>
      </c>
      <c r="BH50">
        <v>0.77500000000000002</v>
      </c>
      <c r="BJ50">
        <v>0.77500000000000002</v>
      </c>
      <c r="BK50">
        <v>0.77500000000000002</v>
      </c>
      <c r="BM50">
        <v>0.81</v>
      </c>
      <c r="BN50">
        <v>0.81</v>
      </c>
      <c r="BP50">
        <v>0.72</v>
      </c>
      <c r="BQ50">
        <v>0.72</v>
      </c>
      <c r="BS50">
        <v>0.8</v>
      </c>
      <c r="BT50">
        <v>0.8</v>
      </c>
      <c r="BV50">
        <v>1.32</v>
      </c>
      <c r="BW50">
        <v>1.32</v>
      </c>
      <c r="BY50" t="s">
        <v>76</v>
      </c>
      <c r="BZ50" cm="1">
        <f t="array" ref="BZ50">_xlfn.IFS($AN50&gt;0,AVERAGE(AL50:AM50),$AQ50&gt;0,AVERAGE(AO50:AP50),$AT50&gt;0,AVERAGE(AR50:AS50),$AW50&gt;0,AVERAGE(AU50:AV50),$AZ50&gt;0,AVERAGE(AX50:AY50),$BC50&gt;0,AVERAGE(BA50:BB50),$BF50&gt;0,AVERAGE(BD50:BE50),$BI50&gt;0,AVERAGE(BG50:BH50),$BL50&gt;0,AVERAGE(BJ50:BK50),$BO50&gt;0,AVERAGE(BM50:BN50),$BR50&gt;0,AVERAGE(BP50:BQ50),$BU50&gt;0,AVERAGE(BS50:BT50),$BX50&gt;0,AVERAGE(BV50:BW50))</f>
        <v>0.92500000000000004</v>
      </c>
      <c r="CA50">
        <v>0.79</v>
      </c>
      <c r="CC50">
        <v>0</v>
      </c>
      <c r="CD50">
        <f t="shared" si="2"/>
        <v>0</v>
      </c>
      <c r="CE50">
        <v>0</v>
      </c>
      <c r="CF50" t="s">
        <v>279</v>
      </c>
    </row>
    <row r="51" spans="1:87" hidden="1" x14ac:dyDescent="0.2">
      <c r="A51" t="s">
        <v>91</v>
      </c>
      <c r="B51" s="6" t="s">
        <v>338</v>
      </c>
      <c r="D51" t="s">
        <v>269</v>
      </c>
      <c r="E51" t="s">
        <v>92</v>
      </c>
      <c r="F51" t="s">
        <v>145</v>
      </c>
      <c r="G51" t="s">
        <v>145</v>
      </c>
      <c r="H51" t="s">
        <v>161</v>
      </c>
      <c r="I51" t="s">
        <v>149</v>
      </c>
      <c r="J51" t="s">
        <v>213</v>
      </c>
      <c r="K51" t="s">
        <v>95</v>
      </c>
      <c r="L51" t="s">
        <v>70</v>
      </c>
      <c r="M51" t="s">
        <v>70</v>
      </c>
      <c r="N51" s="5" t="s">
        <v>208</v>
      </c>
      <c r="O51" t="s">
        <v>202</v>
      </c>
      <c r="P51" s="4" t="str">
        <f t="shared" si="3"/>
        <v>DFTL_GPU_GPU_MGX008_GPUTDF_x10_PL00_X_X_111111111111111111110000_SelsrmSSSS_</v>
      </c>
      <c r="S51" cm="1">
        <f t="array" ref="S51">_xlfn.IFS($AN51&gt;0,MAX(AL51:AM51),$AQ51&gt;0,MAX(AO51:AP51),$AT51&gt;0,MAX(AR51:AS51),$AW51&gt;0,MAX(AU51:AV51),$AZ51&gt;0,MAX(AX51:AY51),$BC51&gt;0,MAX(BA51:BB51),$BF51&gt;0,MAX(BD51:BE51),$BI51&gt;0,MAX(BG51:BH51),$BL51&gt;0,MAX(BJ51:BK51),$BO51&gt;0,MAX(BM51:BN51),$BR51&gt;0,MAX(BP51:BQ51),$BU51&gt;0,MAX(BS51:BT51),$BX51&gt;0,MAX(BV51:BW51))-0.01</f>
        <v>0.94</v>
      </c>
      <c r="T51" cm="1">
        <f t="array" ref="T51">_xlfn.IFS($AN51&gt;0,MIN(AL51:AM51),$AQ51&gt;0,MIN(AO51:AP51),$AT51&gt;0,MIN(AR51:AS51),$AW51&gt;0,MIN(AU51:AV51),$AZ51&gt;0,MIN(AX51:AY51),$BC51&gt;0,MIN(BA51:BB51),$BF51&gt;0,MIN(BD51:BE51),$BI51&gt;0,MIN(BG51:BH51),$BL51&gt;0,MIN(BJ51:BK51),$BO51&gt;0,MIN(BM51:BN51),$BR51&gt;0,MIN(BP51:BQ51),$BU51&gt;0,MIN(BS51:BT51),$BX51&gt;0,MIN(BV51:BW51))+0.01</f>
        <v>0.71</v>
      </c>
      <c r="U51" t="s">
        <v>71</v>
      </c>
      <c r="V51" t="s">
        <v>147</v>
      </c>
      <c r="Y51" t="s">
        <v>218</v>
      </c>
      <c r="Z51" t="s">
        <v>244</v>
      </c>
      <c r="AA51" t="s">
        <v>216</v>
      </c>
      <c r="AB51" t="s">
        <v>162</v>
      </c>
      <c r="AC51" t="s">
        <v>217</v>
      </c>
      <c r="AF51" t="s">
        <v>214</v>
      </c>
      <c r="AK51" t="s">
        <v>75</v>
      </c>
      <c r="AL51">
        <v>0.755</v>
      </c>
      <c r="AM51">
        <v>0.755</v>
      </c>
      <c r="AO51">
        <v>0.71499999999999997</v>
      </c>
      <c r="AP51">
        <v>0.71499999999999997</v>
      </c>
      <c r="AR51" s="1">
        <v>0.95</v>
      </c>
      <c r="AS51" s="1">
        <v>0.7</v>
      </c>
      <c r="AT51">
        <v>5.0000000000000001E-3</v>
      </c>
      <c r="AU51">
        <v>0.95</v>
      </c>
      <c r="AV51">
        <v>0.95</v>
      </c>
      <c r="AX51">
        <v>0.72</v>
      </c>
      <c r="AY51">
        <v>0.72</v>
      </c>
      <c r="BA51">
        <v>0.76500000000000001</v>
      </c>
      <c r="BB51">
        <v>0.76500000000000001</v>
      </c>
      <c r="BD51">
        <v>0.85</v>
      </c>
      <c r="BE51">
        <v>0.85</v>
      </c>
      <c r="BG51">
        <v>0.77500000000000002</v>
      </c>
      <c r="BH51">
        <v>0.77500000000000002</v>
      </c>
      <c r="BJ51">
        <v>0.77500000000000002</v>
      </c>
      <c r="BK51">
        <v>0.77500000000000002</v>
      </c>
      <c r="BM51">
        <v>0.81</v>
      </c>
      <c r="BN51">
        <v>0.81</v>
      </c>
      <c r="BP51">
        <v>0.72</v>
      </c>
      <c r="BQ51">
        <v>0.72</v>
      </c>
      <c r="BS51">
        <v>0.8</v>
      </c>
      <c r="BT51">
        <v>0.8</v>
      </c>
      <c r="BV51">
        <v>1.32</v>
      </c>
      <c r="BW51">
        <v>1.32</v>
      </c>
      <c r="BY51" t="s">
        <v>76</v>
      </c>
      <c r="BZ51" cm="1">
        <f t="array" ref="BZ51">_xlfn.IFS($AN51&gt;0,AVERAGE(AL51:AM51),$AQ51&gt;0,AVERAGE(AO51:AP51),$AT51&gt;0,AVERAGE(AR51:AS51),$AW51&gt;0,AVERAGE(AU51:AV51),$AZ51&gt;0,AVERAGE(AX51:AY51),$BC51&gt;0,AVERAGE(BA51:BB51),$BF51&gt;0,AVERAGE(BD51:BE51),$BI51&gt;0,AVERAGE(BG51:BH51),$BL51&gt;0,AVERAGE(BJ51:BK51),$BO51&gt;0,AVERAGE(BM51:BN51),$BR51&gt;0,AVERAGE(BP51:BQ51),$BU51&gt;0,AVERAGE(BS51:BT51),$BX51&gt;0,AVERAGE(BV51:BW51))</f>
        <v>0.82499999999999996</v>
      </c>
      <c r="CA51">
        <v>0.59899999999999998</v>
      </c>
      <c r="CC51">
        <v>0</v>
      </c>
      <c r="CD51">
        <f t="shared" si="2"/>
        <v>0</v>
      </c>
      <c r="CE51">
        <v>0</v>
      </c>
      <c r="CF51" s="1" t="s">
        <v>279</v>
      </c>
    </row>
    <row r="52" spans="1:87" hidden="1" x14ac:dyDescent="0.2">
      <c r="A52" t="s">
        <v>91</v>
      </c>
      <c r="B52" s="6" t="s">
        <v>338</v>
      </c>
      <c r="D52" t="s">
        <v>269</v>
      </c>
      <c r="E52" t="s">
        <v>92</v>
      </c>
      <c r="F52" t="s">
        <v>145</v>
      </c>
      <c r="G52" t="s">
        <v>145</v>
      </c>
      <c r="H52" t="s">
        <v>163</v>
      </c>
      <c r="I52" t="s">
        <v>149</v>
      </c>
      <c r="J52" t="s">
        <v>213</v>
      </c>
      <c r="K52" t="s">
        <v>95</v>
      </c>
      <c r="L52" t="s">
        <v>70</v>
      </c>
      <c r="M52" t="s">
        <v>70</v>
      </c>
      <c r="N52" s="5" t="s">
        <v>208</v>
      </c>
      <c r="O52" t="s">
        <v>202</v>
      </c>
      <c r="P52" s="4" t="str">
        <f t="shared" si="3"/>
        <v>DFTL_GPU_GPU_MGX009_GPUTDF_x10_PL00_X_X_111111111111111111110000_SelsrmSSSS_</v>
      </c>
      <c r="S52" cm="1">
        <f t="array" ref="S52">_xlfn.IFS($AN52&gt;0,MAX(AL52:AM52),$AQ52&gt;0,MAX(AO52:AP52),$AT52&gt;0,MAX(AR52:AS52),$AW52&gt;0,MAX(AU52:AV52),$AZ52&gt;0,MAX(AX52:AY52),$BC52&gt;0,MAX(BA52:BB52),$BF52&gt;0,MAX(BD52:BE52),$BI52&gt;0,MAX(BG52:BH52),$BL52&gt;0,MAX(BJ52:BK52),$BO52&gt;0,MAX(BM52:BN52),$BR52&gt;0,MAX(BP52:BQ52),$BU52&gt;0,MAX(BS52:BT52),$BX52&gt;0,MAX(BV52:BW52))-0.01</f>
        <v>0.99</v>
      </c>
      <c r="T52" cm="1">
        <f t="array" ref="T52">_xlfn.IFS($AN52&gt;0,MIN(AL52:AM52),$AQ52&gt;0,MIN(AO52:AP52),$AT52&gt;0,MIN(AR52:AS52),$AW52&gt;0,MIN(AU52:AV52),$AZ52&gt;0,MIN(AX52:AY52),$BC52&gt;0,MIN(BA52:BB52),$BF52&gt;0,MIN(BD52:BE52),$BI52&gt;0,MIN(BG52:BH52),$BL52&gt;0,MIN(BJ52:BK52),$BO52&gt;0,MIN(BM52:BN52),$BR52&gt;0,MIN(BP52:BQ52),$BU52&gt;0,MIN(BS52:BT52),$BX52&gt;0,MIN(BV52:BW52))+0.01</f>
        <v>0.71</v>
      </c>
      <c r="U52" t="s">
        <v>71</v>
      </c>
      <c r="V52" t="s">
        <v>147</v>
      </c>
      <c r="Y52" t="s">
        <v>218</v>
      </c>
      <c r="Z52" t="s">
        <v>244</v>
      </c>
      <c r="AA52" t="s">
        <v>216</v>
      </c>
      <c r="AB52" t="s">
        <v>164</v>
      </c>
      <c r="AC52" t="s">
        <v>217</v>
      </c>
      <c r="AF52" t="s">
        <v>214</v>
      </c>
      <c r="AK52" t="s">
        <v>75</v>
      </c>
      <c r="AL52">
        <v>0.755</v>
      </c>
      <c r="AM52">
        <v>0.755</v>
      </c>
      <c r="AO52">
        <v>0.71499999999999997</v>
      </c>
      <c r="AP52">
        <v>0.71499999999999997</v>
      </c>
      <c r="AR52" s="1">
        <v>1</v>
      </c>
      <c r="AS52" s="1">
        <v>0.7</v>
      </c>
      <c r="AT52">
        <v>5.0000000000000001E-3</v>
      </c>
      <c r="AU52">
        <v>0.95</v>
      </c>
      <c r="AV52">
        <v>0.95</v>
      </c>
      <c r="AX52">
        <v>0.72</v>
      </c>
      <c r="AY52">
        <v>0.72</v>
      </c>
      <c r="BA52">
        <v>0.76500000000000001</v>
      </c>
      <c r="BB52">
        <v>0.76500000000000001</v>
      </c>
      <c r="BD52">
        <v>0.85</v>
      </c>
      <c r="BE52">
        <v>0.85</v>
      </c>
      <c r="BG52">
        <v>0.77500000000000002</v>
      </c>
      <c r="BH52">
        <v>0.77500000000000002</v>
      </c>
      <c r="BJ52">
        <v>0.77500000000000002</v>
      </c>
      <c r="BK52">
        <v>0.77500000000000002</v>
      </c>
      <c r="BM52">
        <v>0.81</v>
      </c>
      <c r="BN52">
        <v>0.81</v>
      </c>
      <c r="BP52">
        <v>0.72</v>
      </c>
      <c r="BQ52">
        <v>0.72</v>
      </c>
      <c r="BS52">
        <v>0.8</v>
      </c>
      <c r="BT52">
        <v>0.8</v>
      </c>
      <c r="BV52">
        <v>1.32</v>
      </c>
      <c r="BW52">
        <v>1.32</v>
      </c>
      <c r="BY52" t="s">
        <v>76</v>
      </c>
      <c r="BZ52" cm="1">
        <f t="array" ref="BZ52">_xlfn.IFS($AN52&gt;0,AVERAGE(AL52:AM52),$AQ52&gt;0,AVERAGE(AO52:AP52),$AT52&gt;0,AVERAGE(AR52:AS52),$AW52&gt;0,AVERAGE(AU52:AV52),$AZ52&gt;0,AVERAGE(AX52:AY52),$BC52&gt;0,AVERAGE(BA52:BB52),$BF52&gt;0,AVERAGE(BD52:BE52),$BI52&gt;0,AVERAGE(BG52:BH52),$BL52&gt;0,AVERAGE(BJ52:BK52),$BO52&gt;0,AVERAGE(BM52:BN52),$BR52&gt;0,AVERAGE(BP52:BQ52),$BU52&gt;0,AVERAGE(BS52:BT52),$BX52&gt;0,AVERAGE(BV52:BW52))</f>
        <v>0.85</v>
      </c>
      <c r="CA52">
        <v>0.59899999999999998</v>
      </c>
      <c r="CC52">
        <v>0</v>
      </c>
      <c r="CD52">
        <f t="shared" si="2"/>
        <v>0</v>
      </c>
      <c r="CE52">
        <v>0</v>
      </c>
      <c r="CF52" s="1" t="s">
        <v>279</v>
      </c>
    </row>
    <row r="53" spans="1:87" hidden="1" x14ac:dyDescent="0.2">
      <c r="A53" t="s">
        <v>91</v>
      </c>
      <c r="B53" s="6" t="s">
        <v>338</v>
      </c>
      <c r="D53" t="s">
        <v>269</v>
      </c>
      <c r="E53" t="s">
        <v>92</v>
      </c>
      <c r="F53" t="s">
        <v>145</v>
      </c>
      <c r="G53" t="s">
        <v>145</v>
      </c>
      <c r="H53" t="s">
        <v>165</v>
      </c>
      <c r="I53" t="s">
        <v>149</v>
      </c>
      <c r="J53" t="s">
        <v>213</v>
      </c>
      <c r="K53" t="s">
        <v>95</v>
      </c>
      <c r="L53" t="s">
        <v>70</v>
      </c>
      <c r="M53" t="s">
        <v>70</v>
      </c>
      <c r="N53" s="5" t="s">
        <v>208</v>
      </c>
      <c r="O53" t="s">
        <v>202</v>
      </c>
      <c r="P53" s="4" t="str">
        <f t="shared" si="3"/>
        <v>DFTL_GPU_GPU_MGX00A_GPUTDF_x10_PL00_X_X_111111111111111111110000_SelsrmSSSS_</v>
      </c>
      <c r="S53" cm="1">
        <f t="array" ref="S53">_xlfn.IFS($AN53&gt;0,MAX(AL53:AM53),$AQ53&gt;0,MAX(AO53:AP53),$AT53&gt;0,MAX(AR53:AS53),$AW53&gt;0,MAX(AU53:AV53),$AZ53&gt;0,MAX(AX53:AY53),$BC53&gt;0,MAX(BA53:BB53),$BF53&gt;0,MAX(BD53:BE53),$BI53&gt;0,MAX(BG53:BH53),$BL53&gt;0,MAX(BJ53:BK53),$BO53&gt;0,MAX(BM53:BN53),$BR53&gt;0,MAX(BP53:BQ53),$BU53&gt;0,MAX(BS53:BT53),$BX53&gt;0,MAX(BV53:BW53))-0.01</f>
        <v>1.0900000000000001</v>
      </c>
      <c r="T53" cm="1">
        <f t="array" ref="T53">_xlfn.IFS($AN53&gt;0,MIN(AL53:AM53),$AQ53&gt;0,MIN(AO53:AP53),$AT53&gt;0,MIN(AR53:AS53),$AW53&gt;0,MIN(AU53:AV53),$AZ53&gt;0,MIN(AX53:AY53),$BC53&gt;0,MIN(BA53:BB53),$BF53&gt;0,MIN(BD53:BE53),$BI53&gt;0,MIN(BG53:BH53),$BL53&gt;0,MIN(BJ53:BK53),$BO53&gt;0,MIN(BM53:BN53),$BR53&gt;0,MIN(BP53:BQ53),$BU53&gt;0,MIN(BS53:BT53),$BX53&gt;0,MIN(BV53:BW53))+0.01</f>
        <v>0.71</v>
      </c>
      <c r="U53" t="s">
        <v>71</v>
      </c>
      <c r="V53" t="s">
        <v>147</v>
      </c>
      <c r="Y53" t="s">
        <v>218</v>
      </c>
      <c r="Z53" t="s">
        <v>244</v>
      </c>
      <c r="AA53" t="s">
        <v>216</v>
      </c>
      <c r="AB53" t="s">
        <v>166</v>
      </c>
      <c r="AC53" t="s">
        <v>217</v>
      </c>
      <c r="AF53" t="s">
        <v>214</v>
      </c>
      <c r="AK53" t="s">
        <v>75</v>
      </c>
      <c r="AL53">
        <v>0.755</v>
      </c>
      <c r="AM53">
        <v>0.755</v>
      </c>
      <c r="AO53">
        <v>0.71499999999999997</v>
      </c>
      <c r="AP53">
        <v>0.71499999999999997</v>
      </c>
      <c r="AR53" s="1">
        <v>1.1000000000000001</v>
      </c>
      <c r="AS53" s="1">
        <v>0.7</v>
      </c>
      <c r="AT53">
        <v>5.0000000000000001E-3</v>
      </c>
      <c r="AU53">
        <v>0.95</v>
      </c>
      <c r="AV53">
        <v>0.95</v>
      </c>
      <c r="AX53">
        <v>0.72</v>
      </c>
      <c r="AY53">
        <v>0.72</v>
      </c>
      <c r="BA53">
        <v>0.76500000000000001</v>
      </c>
      <c r="BB53">
        <v>0.76500000000000001</v>
      </c>
      <c r="BD53">
        <v>0.85</v>
      </c>
      <c r="BE53">
        <v>0.85</v>
      </c>
      <c r="BG53">
        <v>0.77500000000000002</v>
      </c>
      <c r="BH53">
        <v>0.77500000000000002</v>
      </c>
      <c r="BJ53">
        <v>0.77500000000000002</v>
      </c>
      <c r="BK53">
        <v>0.77500000000000002</v>
      </c>
      <c r="BM53">
        <v>0.81</v>
      </c>
      <c r="BN53">
        <v>0.81</v>
      </c>
      <c r="BP53">
        <v>0.72</v>
      </c>
      <c r="BQ53">
        <v>0.72</v>
      </c>
      <c r="BS53">
        <v>0.8</v>
      </c>
      <c r="BT53">
        <v>0.8</v>
      </c>
      <c r="BV53">
        <v>1.32</v>
      </c>
      <c r="BW53">
        <v>1.32</v>
      </c>
      <c r="BY53" t="s">
        <v>76</v>
      </c>
      <c r="BZ53" cm="1">
        <f t="array" ref="BZ53">_xlfn.IFS($AN53&gt;0,AVERAGE(AL53:AM53),$AQ53&gt;0,AVERAGE(AO53:AP53),$AT53&gt;0,AVERAGE(AR53:AS53),$AW53&gt;0,AVERAGE(AU53:AV53),$AZ53&gt;0,AVERAGE(AX53:AY53),$BC53&gt;0,AVERAGE(BA53:BB53),$BF53&gt;0,AVERAGE(BD53:BE53),$BI53&gt;0,AVERAGE(BG53:BH53),$BL53&gt;0,AVERAGE(BJ53:BK53),$BO53&gt;0,AVERAGE(BM53:BN53),$BR53&gt;0,AVERAGE(BP53:BQ53),$BU53&gt;0,AVERAGE(BS53:BT53),$BX53&gt;0,AVERAGE(BV53:BW53))</f>
        <v>0.9</v>
      </c>
      <c r="CA53">
        <v>0.59899999999999998</v>
      </c>
      <c r="CC53">
        <v>0</v>
      </c>
      <c r="CD53">
        <f t="shared" si="2"/>
        <v>0</v>
      </c>
      <c r="CE53">
        <v>0</v>
      </c>
      <c r="CF53" s="1" t="s">
        <v>279</v>
      </c>
    </row>
    <row r="54" spans="1:87" hidden="1" x14ac:dyDescent="0.2">
      <c r="A54" t="s">
        <v>91</v>
      </c>
      <c r="B54" s="6" t="s">
        <v>338</v>
      </c>
      <c r="D54" t="s">
        <v>269</v>
      </c>
      <c r="E54" t="s">
        <v>92</v>
      </c>
      <c r="F54" t="s">
        <v>145</v>
      </c>
      <c r="G54" t="s">
        <v>145</v>
      </c>
      <c r="H54" t="s">
        <v>167</v>
      </c>
      <c r="I54" t="s">
        <v>149</v>
      </c>
      <c r="J54" t="s">
        <v>213</v>
      </c>
      <c r="K54" t="s">
        <v>95</v>
      </c>
      <c r="L54" t="s">
        <v>70</v>
      </c>
      <c r="M54" t="s">
        <v>70</v>
      </c>
      <c r="N54" s="5" t="s">
        <v>208</v>
      </c>
      <c r="O54" t="s">
        <v>202</v>
      </c>
      <c r="P54" s="4" t="str">
        <f t="shared" si="3"/>
        <v>DFTL_GPU_GPU_MGX00B_GPUTDF_x10_PL00_X_X_111111111111111111110000_SelsrmSSSS_</v>
      </c>
      <c r="S54" cm="1">
        <f t="array" ref="S54">_xlfn.IFS($AN54&gt;0,MAX(AL54:AM54),$AQ54&gt;0,MAX(AO54:AP54),$AT54&gt;0,MAX(AR54:AS54),$AW54&gt;0,MAX(AU54:AV54),$AZ54&gt;0,MAX(AX54:AY54),$BC54&gt;0,MAX(BA54:BB54),$BF54&gt;0,MAX(BD54:BE54),$BI54&gt;0,MAX(BG54:BH54),$BL54&gt;0,MAX(BJ54:BK54),$BO54&gt;0,MAX(BM54:BN54),$BR54&gt;0,MAX(BP54:BQ54),$BU54&gt;0,MAX(BS54:BT54),$BX54&gt;0,MAX(BV54:BW54))-0.01</f>
        <v>1.0900000000000001</v>
      </c>
      <c r="T54" cm="1">
        <f t="array" ref="T54">_xlfn.IFS($AN54&gt;0,MIN(AL54:AM54),$AQ54&gt;0,MIN(AO54:AP54),$AT54&gt;0,MIN(AR54:AS54),$AW54&gt;0,MIN(AU54:AV54),$AZ54&gt;0,MIN(AX54:AY54),$BC54&gt;0,MIN(BA54:BB54),$BF54&gt;0,MIN(BD54:BE54),$BI54&gt;0,MIN(BG54:BH54),$BL54&gt;0,MIN(BJ54:BK54),$BO54&gt;0,MIN(BM54:BN54),$BR54&gt;0,MIN(BP54:BQ54),$BU54&gt;0,MIN(BS54:BT54),$BX54&gt;0,MIN(BV54:BW54))+0.01</f>
        <v>0.71</v>
      </c>
      <c r="U54" t="s">
        <v>71</v>
      </c>
      <c r="V54" t="s">
        <v>147</v>
      </c>
      <c r="Y54" t="s">
        <v>218</v>
      </c>
      <c r="Z54" t="s">
        <v>244</v>
      </c>
      <c r="AA54" t="s">
        <v>216</v>
      </c>
      <c r="AB54" t="s">
        <v>168</v>
      </c>
      <c r="AC54" t="s">
        <v>217</v>
      </c>
      <c r="AF54" t="s">
        <v>214</v>
      </c>
      <c r="AK54" t="s">
        <v>75</v>
      </c>
      <c r="AL54">
        <v>0.755</v>
      </c>
      <c r="AM54">
        <v>0.755</v>
      </c>
      <c r="AO54">
        <v>0.71499999999999997</v>
      </c>
      <c r="AP54">
        <v>0.71499999999999997</v>
      </c>
      <c r="AR54" s="1">
        <v>1.1000000000000001</v>
      </c>
      <c r="AS54" s="1">
        <v>0.7</v>
      </c>
      <c r="AT54">
        <v>5.0000000000000001E-3</v>
      </c>
      <c r="AU54">
        <v>0.95</v>
      </c>
      <c r="AV54">
        <v>0.95</v>
      </c>
      <c r="AX54">
        <v>0.72</v>
      </c>
      <c r="AY54">
        <v>0.72</v>
      </c>
      <c r="BA54">
        <v>0.76500000000000001</v>
      </c>
      <c r="BB54">
        <v>0.76500000000000001</v>
      </c>
      <c r="BD54">
        <v>0.85</v>
      </c>
      <c r="BE54">
        <v>0.85</v>
      </c>
      <c r="BG54">
        <v>0.77500000000000002</v>
      </c>
      <c r="BH54">
        <v>0.77500000000000002</v>
      </c>
      <c r="BJ54">
        <v>0.77500000000000002</v>
      </c>
      <c r="BK54">
        <v>0.77500000000000002</v>
      </c>
      <c r="BM54">
        <v>0.81</v>
      </c>
      <c r="BN54">
        <v>0.81</v>
      </c>
      <c r="BP54">
        <v>0.72</v>
      </c>
      <c r="BQ54">
        <v>0.72</v>
      </c>
      <c r="BS54">
        <v>0.8</v>
      </c>
      <c r="BT54">
        <v>0.8</v>
      </c>
      <c r="BV54">
        <v>1.32</v>
      </c>
      <c r="BW54">
        <v>1.32</v>
      </c>
      <c r="BY54" t="s">
        <v>76</v>
      </c>
      <c r="BZ54" cm="1">
        <f t="array" ref="BZ54">_xlfn.IFS($AN54&gt;0,AVERAGE(AL54:AM54),$AQ54&gt;0,AVERAGE(AO54:AP54),$AT54&gt;0,AVERAGE(AR54:AS54),$AW54&gt;0,AVERAGE(AU54:AV54),$AZ54&gt;0,AVERAGE(AX54:AY54),$BC54&gt;0,AVERAGE(BA54:BB54),$BF54&gt;0,AVERAGE(BD54:BE54),$BI54&gt;0,AVERAGE(BG54:BH54),$BL54&gt;0,AVERAGE(BJ54:BK54),$BO54&gt;0,AVERAGE(BM54:BN54),$BR54&gt;0,AVERAGE(BP54:BQ54),$BU54&gt;0,AVERAGE(BS54:BT54),$BX54&gt;0,AVERAGE(BV54:BW54))</f>
        <v>0.9</v>
      </c>
      <c r="CA54">
        <v>0.59899999999999998</v>
      </c>
      <c r="CC54">
        <v>0</v>
      </c>
      <c r="CD54">
        <f t="shared" si="2"/>
        <v>0</v>
      </c>
      <c r="CE54">
        <v>0</v>
      </c>
      <c r="CF54" s="1" t="s">
        <v>279</v>
      </c>
    </row>
    <row r="55" spans="1:87" hidden="1" x14ac:dyDescent="0.2">
      <c r="A55" t="s">
        <v>91</v>
      </c>
      <c r="B55" s="6" t="s">
        <v>338</v>
      </c>
      <c r="D55" t="s">
        <v>286</v>
      </c>
      <c r="E55" t="s">
        <v>92</v>
      </c>
      <c r="F55" t="s">
        <v>145</v>
      </c>
      <c r="G55" t="s">
        <v>145</v>
      </c>
      <c r="H55" t="s">
        <v>169</v>
      </c>
      <c r="I55" t="s">
        <v>149</v>
      </c>
      <c r="J55" t="s">
        <v>213</v>
      </c>
      <c r="K55" t="s">
        <v>206</v>
      </c>
      <c r="L55" t="s">
        <v>70</v>
      </c>
      <c r="M55" t="s">
        <v>70</v>
      </c>
      <c r="N55" s="5" t="s">
        <v>208</v>
      </c>
      <c r="O55" t="s">
        <v>202</v>
      </c>
      <c r="P55" s="4" t="str">
        <f t="shared" si="3"/>
        <v>DFTL_GPU_GPU_MGX00C_GPUTDF_x10_PL0010_X_X_111111111111111111110000_SelsrmSSSS_</v>
      </c>
      <c r="S55" cm="1">
        <f t="array" ref="S55">_xlfn.IFS($AN55&gt;0,MAX(AL55:AM55),$AQ55&gt;0,MAX(AO55:AP55),$AT55&gt;0,MAX(AR55:AS55),$AW55&gt;0,MAX(AU55:AV55),$AZ55&gt;0,MAX(AX55:AY55),$BC55&gt;0,MAX(BA55:BB55),$BF55&gt;0,MAX(BD55:BE55),$BI55&gt;0,MAX(BG55:BH55),$BL55&gt;0,MAX(BJ55:BK55),$BO55&gt;0,MAX(BM55:BN55),$BR55&gt;0,MAX(BP55:BQ55),$BU55&gt;0,MAX(BS55:BT55),$BX55&gt;0,MAX(BV55:BW55))-0.01</f>
        <v>1.1399999999999999</v>
      </c>
      <c r="T55" cm="1">
        <f t="array" ref="T55">_xlfn.IFS($AN55&gt;0,MIN(AL55:AM55),$AQ55&gt;0,MIN(AO55:AP55),$AT55&gt;0,MIN(AR55:AS55),$AW55&gt;0,MIN(AU55:AV55),$AZ55&gt;0,MIN(AX55:AY55),$BC55&gt;0,MIN(BA55:BB55),$BF55&gt;0,MIN(BD55:BE55),$BI55&gt;0,MIN(BG55:BH55),$BL55&gt;0,MIN(BJ55:BK55),$BO55&gt;0,MIN(BM55:BN55),$BR55&gt;0,MIN(BP55:BQ55),$BU55&gt;0,MIN(BS55:BT55),$BX55&gt;0,MIN(BV55:BW55))+0.01</f>
        <v>0.71</v>
      </c>
      <c r="U55" t="s">
        <v>71</v>
      </c>
      <c r="V55" t="s">
        <v>147</v>
      </c>
      <c r="Y55" t="s">
        <v>218</v>
      </c>
      <c r="Z55" t="s">
        <v>244</v>
      </c>
      <c r="AA55" t="s">
        <v>216</v>
      </c>
      <c r="AB55" t="s">
        <v>170</v>
      </c>
      <c r="AC55" t="s">
        <v>217</v>
      </c>
      <c r="AF55" t="s">
        <v>214</v>
      </c>
      <c r="AG55" t="s">
        <v>215</v>
      </c>
      <c r="AK55" t="s">
        <v>75</v>
      </c>
      <c r="AL55">
        <v>0.755</v>
      </c>
      <c r="AM55">
        <v>0.755</v>
      </c>
      <c r="AO55">
        <v>0.71499999999999997</v>
      </c>
      <c r="AP55">
        <v>0.71499999999999997</v>
      </c>
      <c r="AR55" s="1">
        <v>1.1499999999999999</v>
      </c>
      <c r="AS55" s="1">
        <v>0.7</v>
      </c>
      <c r="AT55">
        <v>5.0000000000000001E-3</v>
      </c>
      <c r="AU55">
        <v>0.95</v>
      </c>
      <c r="AV55">
        <v>0.95</v>
      </c>
      <c r="AX55">
        <v>0.72</v>
      </c>
      <c r="AY55">
        <v>0.72</v>
      </c>
      <c r="BA55">
        <v>0.76500000000000001</v>
      </c>
      <c r="BB55">
        <v>0.76500000000000001</v>
      </c>
      <c r="BD55">
        <v>0.85</v>
      </c>
      <c r="BE55">
        <v>0.85</v>
      </c>
      <c r="BG55">
        <v>0.77500000000000002</v>
      </c>
      <c r="BH55">
        <v>0.77500000000000002</v>
      </c>
      <c r="BJ55">
        <v>0.77500000000000002</v>
      </c>
      <c r="BK55">
        <v>0.77500000000000002</v>
      </c>
      <c r="BM55">
        <v>0.81</v>
      </c>
      <c r="BN55">
        <v>0.81</v>
      </c>
      <c r="BP55">
        <v>0.72</v>
      </c>
      <c r="BQ55">
        <v>0.72</v>
      </c>
      <c r="BS55">
        <v>0.8</v>
      </c>
      <c r="BT55">
        <v>0.8</v>
      </c>
      <c r="BV55">
        <v>1.32</v>
      </c>
      <c r="BW55">
        <v>1.32</v>
      </c>
      <c r="BY55" t="s">
        <v>76</v>
      </c>
      <c r="BZ55" cm="1">
        <f t="array" ref="BZ55">_xlfn.IFS($AN55&gt;0,AVERAGE(AL55:AM55),$AQ55&gt;0,AVERAGE(AO55:AP55),$AT55&gt;0,AVERAGE(AR55:AS55),$AW55&gt;0,AVERAGE(AU55:AV55),$AZ55&gt;0,AVERAGE(AX55:AY55),$BC55&gt;0,AVERAGE(BA55:BB55),$BF55&gt;0,AVERAGE(BD55:BE55),$BI55&gt;0,AVERAGE(BG55:BH55),$BL55&gt;0,AVERAGE(BJ55:BK55),$BO55&gt;0,AVERAGE(BM55:BN55),$BR55&gt;0,AVERAGE(BP55:BQ55),$BU55&gt;0,AVERAGE(BS55:BT55),$BX55&gt;0,AVERAGE(BV55:BW55))</f>
        <v>0.92499999999999993</v>
      </c>
      <c r="CA55">
        <v>0.59899999999999998</v>
      </c>
      <c r="CC55">
        <v>0</v>
      </c>
      <c r="CD55">
        <f t="shared" si="2"/>
        <v>0</v>
      </c>
      <c r="CE55">
        <v>0</v>
      </c>
      <c r="CF55" s="1" t="s">
        <v>279</v>
      </c>
      <c r="CG55" s="1" t="s">
        <v>199</v>
      </c>
      <c r="CH55" s="1" t="s">
        <v>199</v>
      </c>
      <c r="CI55" s="1" t="s">
        <v>199</v>
      </c>
    </row>
    <row r="56" spans="1:87" hidden="1" x14ac:dyDescent="0.2">
      <c r="A56" t="s">
        <v>91</v>
      </c>
      <c r="B56" s="6" t="s">
        <v>338</v>
      </c>
      <c r="D56" t="s">
        <v>271</v>
      </c>
      <c r="E56" t="s">
        <v>92</v>
      </c>
      <c r="F56" t="s">
        <v>145</v>
      </c>
      <c r="G56" t="s">
        <v>145</v>
      </c>
      <c r="H56" t="s">
        <v>207</v>
      </c>
      <c r="I56" t="s">
        <v>149</v>
      </c>
      <c r="J56" t="s">
        <v>213</v>
      </c>
      <c r="K56" t="s">
        <v>206</v>
      </c>
      <c r="L56" t="s">
        <v>70</v>
      </c>
      <c r="M56" t="s">
        <v>70</v>
      </c>
      <c r="N56" s="5" t="s">
        <v>208</v>
      </c>
      <c r="O56" t="s">
        <v>202</v>
      </c>
      <c r="P56" s="4" t="str">
        <f t="shared" si="3"/>
        <v>DFTL_GPU_GPU_MGX00D_GPUTDF_x10_PL0010_X_X_111111111111111111110000_SelsrmSSSS_</v>
      </c>
      <c r="S56" cm="1">
        <f t="array" ref="S56">_xlfn.IFS($AN56&gt;0,MAX(AL56:AM56),$AQ56&gt;0,MAX(AO56:AP56),$AT56&gt;0,MAX(AR56:AS56),$AW56&gt;0,MAX(AU56:AV56),$AZ56&gt;0,MAX(AX56:AY56),$BC56&gt;0,MAX(BA56:BB56),$BF56&gt;0,MAX(BD56:BE56),$BI56&gt;0,MAX(BG56:BH56),$BL56&gt;0,MAX(BJ56:BK56),$BO56&gt;0,MAX(BM56:BN56),$BR56&gt;0,MAX(BP56:BQ56),$BU56&gt;0,MAX(BS56:BT56),$BX56&gt;0,MAX(BV56:BW56))-0.01</f>
        <v>1.19</v>
      </c>
      <c r="T56" cm="1">
        <f t="array" ref="T56">_xlfn.IFS($AN56&gt;0,MIN(AL56:AM56),$AQ56&gt;0,MIN(AO56:AP56),$AT56&gt;0,MIN(AR56:AS56),$AW56&gt;0,MIN(AU56:AV56),$AZ56&gt;0,MIN(AX56:AY56),$BC56&gt;0,MIN(BA56:BB56),$BF56&gt;0,MIN(BD56:BE56),$BI56&gt;0,MIN(BG56:BH56),$BL56&gt;0,MIN(BJ56:BK56),$BO56&gt;0,MIN(BM56:BN56),$BR56&gt;0,MIN(BP56:BQ56),$BU56&gt;0,MIN(BS56:BT56),$BX56&gt;0,MIN(BV56:BW56))+0.01</f>
        <v>0.71</v>
      </c>
      <c r="U56" t="s">
        <v>71</v>
      </c>
      <c r="V56" t="s">
        <v>147</v>
      </c>
      <c r="Y56" t="s">
        <v>218</v>
      </c>
      <c r="Z56" t="s">
        <v>244</v>
      </c>
      <c r="AA56" t="s">
        <v>216</v>
      </c>
      <c r="AB56" t="s">
        <v>219</v>
      </c>
      <c r="AC56" t="s">
        <v>217</v>
      </c>
      <c r="AF56" t="s">
        <v>214</v>
      </c>
      <c r="AG56" t="s">
        <v>215</v>
      </c>
      <c r="AK56" t="s">
        <v>75</v>
      </c>
      <c r="AL56">
        <v>0.755</v>
      </c>
      <c r="AM56">
        <v>0.755</v>
      </c>
      <c r="AO56">
        <v>0.71499999999999997</v>
      </c>
      <c r="AP56">
        <v>0.71499999999999997</v>
      </c>
      <c r="AR56" s="1">
        <v>1.2</v>
      </c>
      <c r="AS56" s="1">
        <v>0.7</v>
      </c>
      <c r="AT56">
        <v>5.0000000000000001E-3</v>
      </c>
      <c r="AU56">
        <v>0.95</v>
      </c>
      <c r="AV56">
        <v>0.95</v>
      </c>
      <c r="AX56">
        <v>0.72</v>
      </c>
      <c r="AY56">
        <v>0.72</v>
      </c>
      <c r="BA56">
        <v>0.76500000000000001</v>
      </c>
      <c r="BB56">
        <v>0.76500000000000001</v>
      </c>
      <c r="BD56">
        <v>0.85</v>
      </c>
      <c r="BE56">
        <v>0.85</v>
      </c>
      <c r="BG56">
        <v>0.77500000000000002</v>
      </c>
      <c r="BH56">
        <v>0.77500000000000002</v>
      </c>
      <c r="BJ56">
        <v>0.77500000000000002</v>
      </c>
      <c r="BK56">
        <v>0.77500000000000002</v>
      </c>
      <c r="BM56">
        <v>0.81</v>
      </c>
      <c r="BN56">
        <v>0.81</v>
      </c>
      <c r="BP56">
        <v>0.72</v>
      </c>
      <c r="BQ56">
        <v>0.72</v>
      </c>
      <c r="BS56">
        <v>0.8</v>
      </c>
      <c r="BT56">
        <v>0.8</v>
      </c>
      <c r="BV56">
        <v>1.32</v>
      </c>
      <c r="BW56">
        <v>1.32</v>
      </c>
      <c r="BY56" t="s">
        <v>76</v>
      </c>
      <c r="BZ56" cm="1">
        <f t="array" ref="BZ56">_xlfn.IFS($AN56&gt;0,AVERAGE(AL56:AM56),$AQ56&gt;0,AVERAGE(AO56:AP56),$AT56&gt;0,AVERAGE(AR56:AS56),$AW56&gt;0,AVERAGE(AU56:AV56),$AZ56&gt;0,AVERAGE(AX56:AY56),$BC56&gt;0,AVERAGE(BA56:BB56),$BF56&gt;0,AVERAGE(BD56:BE56),$BI56&gt;0,AVERAGE(BG56:BH56),$BL56&gt;0,AVERAGE(BJ56:BK56),$BO56&gt;0,AVERAGE(BM56:BN56),$BR56&gt;0,AVERAGE(BP56:BQ56),$BU56&gt;0,AVERAGE(BS56:BT56),$BX56&gt;0,AVERAGE(BV56:BW56))</f>
        <v>0.95</v>
      </c>
      <c r="CA56">
        <v>0.59899999999999998</v>
      </c>
      <c r="CC56">
        <v>0</v>
      </c>
      <c r="CD56">
        <f t="shared" si="2"/>
        <v>0</v>
      </c>
      <c r="CE56">
        <v>0</v>
      </c>
      <c r="CF56" s="1" t="s">
        <v>199</v>
      </c>
      <c r="CG56" s="1" t="s">
        <v>199</v>
      </c>
      <c r="CH56" s="1" t="s">
        <v>199</v>
      </c>
      <c r="CI56" s="1" t="s">
        <v>199</v>
      </c>
    </row>
    <row r="57" spans="1:87" hidden="1" x14ac:dyDescent="0.2">
      <c r="A57" t="s">
        <v>91</v>
      </c>
      <c r="B57" s="6" t="s">
        <v>338</v>
      </c>
      <c r="D57" t="s">
        <v>271</v>
      </c>
      <c r="E57" t="s">
        <v>92</v>
      </c>
      <c r="F57" t="s">
        <v>66</v>
      </c>
      <c r="G57" t="s">
        <v>80</v>
      </c>
      <c r="H57" t="s">
        <v>98</v>
      </c>
      <c r="I57" t="s">
        <v>94</v>
      </c>
      <c r="J57" t="s">
        <v>81</v>
      </c>
      <c r="K57" t="s">
        <v>95</v>
      </c>
      <c r="L57" t="s">
        <v>88</v>
      </c>
      <c r="M57" t="s">
        <v>70</v>
      </c>
      <c r="N57" t="s">
        <v>70</v>
      </c>
      <c r="O57" t="s">
        <v>202</v>
      </c>
      <c r="P57" s="4" t="str">
        <f t="shared" si="3"/>
        <v>DFTL_SOC_DISP_MIX001_SOCTDF_CIA0_PL00_SSC_X_X_SelsrmSSSS_</v>
      </c>
      <c r="S57" cm="1">
        <f t="array" ref="S57">_xlfn.IFS($AN57&gt;0,MAX(AL57:AM57),$AQ57&gt;0,MAX(AO57:AP57),$AT57&gt;0,MAX(AR57:AS57),$AW57&gt;0,MAX(AU57:AV57),$AZ57&gt;0,MAX(AX57:AY57),$BC57&gt;0,MAX(BA57:BB57),$BF57&gt;0,MAX(BD57:BE57),$BI57&gt;0,MAX(BG57:BH57),$BL57&gt;0,MAX(BJ57:BK57),$BO57&gt;0,MAX(BM57:BN57),$BR57&gt;0,MAX(BP57:BQ57),$BU57&gt;0,MAX(BS57:BT57),$BX57&gt;0,MAX(BV57:BW57))-0.01</f>
        <v>0.69</v>
      </c>
      <c r="T57" cm="1">
        <f t="array" ref="T57">_xlfn.IFS($AN57&gt;0,MIN(AL57:AM57),$AQ57&gt;0,MIN(AO57:AP57),$AT57&gt;0,MIN(AR57:AS57),$AW57&gt;0,MIN(AU57:AV57),$AZ57&gt;0,MIN(AX57:AY57),$BC57&gt;0,MIN(BA57:BB57),$BF57&gt;0,MIN(BD57:BE57),$BI57&gt;0,MIN(BG57:BH57),$BL57&gt;0,MIN(BJ57:BK57),$BO57&gt;0,MIN(BM57:BN57),$BR57&gt;0,MIN(BP57:BQ57),$BU57&gt;0,MIN(BS57:BT57),$BX57&gt;0,MIN(BV57:BW57))+0.01</f>
        <v>0.51</v>
      </c>
      <c r="U57" t="s">
        <v>71</v>
      </c>
      <c r="V57" t="s">
        <v>72</v>
      </c>
      <c r="W57" t="s">
        <v>320</v>
      </c>
      <c r="X57" t="s">
        <v>74</v>
      </c>
      <c r="Y57" t="s">
        <v>114</v>
      </c>
      <c r="AF57" t="s">
        <v>115</v>
      </c>
      <c r="AK57" t="s">
        <v>75</v>
      </c>
      <c r="AL57">
        <v>0.755</v>
      </c>
      <c r="AM57">
        <v>0.755</v>
      </c>
      <c r="AO57">
        <v>0.71499999999999997</v>
      </c>
      <c r="AP57">
        <v>0.71499999999999997</v>
      </c>
      <c r="AR57">
        <v>0.72</v>
      </c>
      <c r="AS57">
        <v>0.72</v>
      </c>
      <c r="AU57">
        <v>1.1100000000000001</v>
      </c>
      <c r="AV57">
        <v>1.1100000000000001</v>
      </c>
      <c r="AX57">
        <v>0.72</v>
      </c>
      <c r="AY57">
        <v>0.72</v>
      </c>
      <c r="BA57" s="1">
        <v>0.7</v>
      </c>
      <c r="BB57" s="1">
        <v>0.5</v>
      </c>
      <c r="BC57">
        <v>5.0000000000000001E-3</v>
      </c>
      <c r="BD57">
        <v>0.85</v>
      </c>
      <c r="BE57">
        <v>0.85</v>
      </c>
      <c r="BG57">
        <v>0.77500000000000002</v>
      </c>
      <c r="BH57">
        <v>0.77500000000000002</v>
      </c>
      <c r="BJ57">
        <v>0.77500000000000002</v>
      </c>
      <c r="BK57">
        <v>0.77500000000000002</v>
      </c>
      <c r="BM57">
        <v>0.81</v>
      </c>
      <c r="BN57">
        <v>0.81</v>
      </c>
      <c r="BP57">
        <v>0.72</v>
      </c>
      <c r="BQ57">
        <v>0.72</v>
      </c>
      <c r="BS57">
        <v>0.8</v>
      </c>
      <c r="BT57">
        <v>0.8</v>
      </c>
      <c r="BV57">
        <v>1.32</v>
      </c>
      <c r="BW57">
        <v>1.32</v>
      </c>
      <c r="BY57" t="s">
        <v>76</v>
      </c>
      <c r="BZ57" cm="1">
        <f t="array" ref="BZ57">_xlfn.IFS($AN57&gt;0,AVERAGE(AL57:AM57),$AQ57&gt;0,AVERAGE(AO57:AP57),$AT57&gt;0,AVERAGE(AR57:AS57),$AW57&gt;0,AVERAGE(AU57:AV57),$AZ57&gt;0,AVERAGE(AX57:AY57),$BC57&gt;0,AVERAGE(BA57:BB57),$BF57&gt;0,AVERAGE(BD57:BE57),$BI57&gt;0,AVERAGE(BG57:BH57),$BL57&gt;0,AVERAGE(BJ57:BK57),$BO57&gt;0,AVERAGE(BM57:BN57),$BR57&gt;0,AVERAGE(BP57:BQ57),$BU57&gt;0,AVERAGE(BS57:BT57),$BX57&gt;0,AVERAGE(BV57:BW57))</f>
        <v>0.6</v>
      </c>
      <c r="CA57">
        <v>0.76500000000000001</v>
      </c>
      <c r="CC57">
        <v>0</v>
      </c>
      <c r="CD57">
        <f t="shared" si="2"/>
        <v>0</v>
      </c>
      <c r="CE57">
        <v>0</v>
      </c>
      <c r="CF57" s="1" t="s">
        <v>199</v>
      </c>
      <c r="CG57" s="1" t="s">
        <v>199</v>
      </c>
      <c r="CH57" s="1" t="s">
        <v>199</v>
      </c>
      <c r="CI57" s="1" t="s">
        <v>199</v>
      </c>
    </row>
    <row r="58" spans="1:87" hidden="1" x14ac:dyDescent="0.2">
      <c r="A58" t="s">
        <v>91</v>
      </c>
      <c r="B58" s="6" t="s">
        <v>338</v>
      </c>
      <c r="D58" t="s">
        <v>269</v>
      </c>
      <c r="E58" t="s">
        <v>92</v>
      </c>
      <c r="F58" t="s">
        <v>66</v>
      </c>
      <c r="G58" t="s">
        <v>80</v>
      </c>
      <c r="H58" t="s">
        <v>290</v>
      </c>
      <c r="I58" t="s">
        <v>94</v>
      </c>
      <c r="J58" t="s">
        <v>81</v>
      </c>
      <c r="K58" t="s">
        <v>95</v>
      </c>
      <c r="L58" t="s">
        <v>88</v>
      </c>
      <c r="M58" t="s">
        <v>70</v>
      </c>
      <c r="N58" t="s">
        <v>70</v>
      </c>
      <c r="O58" t="s">
        <v>202</v>
      </c>
      <c r="P58" s="4" t="str">
        <f t="shared" si="3"/>
        <v>DFTL_SOC_DISP_MIX002_SOCTDF_CIA0_PL00_SSC_X_X_SelsrmSSSS_</v>
      </c>
      <c r="S58">
        <v>0.84</v>
      </c>
      <c r="T58">
        <v>0.78959999999999997</v>
      </c>
      <c r="U58" t="s">
        <v>71</v>
      </c>
      <c r="V58" t="s">
        <v>72</v>
      </c>
      <c r="W58" t="s">
        <v>320</v>
      </c>
      <c r="X58" t="s">
        <v>74</v>
      </c>
      <c r="Y58" t="s">
        <v>291</v>
      </c>
      <c r="AF58" t="s">
        <v>115</v>
      </c>
      <c r="AK58" t="s">
        <v>75</v>
      </c>
      <c r="AL58">
        <v>0.755</v>
      </c>
      <c r="AM58">
        <v>0.755</v>
      </c>
      <c r="AO58">
        <v>0.71499999999999997</v>
      </c>
      <c r="AP58">
        <v>0.71499999999999997</v>
      </c>
      <c r="AR58">
        <v>0.72</v>
      </c>
      <c r="AS58">
        <v>0.72</v>
      </c>
      <c r="AU58">
        <v>1.1100000000000001</v>
      </c>
      <c r="AV58">
        <v>1.1100000000000001</v>
      </c>
      <c r="AX58">
        <v>0.72</v>
      </c>
      <c r="AY58">
        <v>0.72</v>
      </c>
      <c r="BA58">
        <v>0.9</v>
      </c>
      <c r="BB58">
        <v>0.6</v>
      </c>
      <c r="BC58">
        <v>5.0000000000000001E-3</v>
      </c>
      <c r="BD58">
        <v>0.85</v>
      </c>
      <c r="BE58">
        <v>0.85</v>
      </c>
      <c r="BG58">
        <v>0.77500000000000002</v>
      </c>
      <c r="BH58">
        <v>0.77500000000000002</v>
      </c>
      <c r="BJ58">
        <v>0.77500000000000002</v>
      </c>
      <c r="BK58">
        <v>0.77500000000000002</v>
      </c>
      <c r="BM58">
        <v>0.81</v>
      </c>
      <c r="BN58">
        <v>0.81</v>
      </c>
      <c r="BP58">
        <v>0.72</v>
      </c>
      <c r="BQ58">
        <v>0.72</v>
      </c>
      <c r="BS58">
        <v>0.8</v>
      </c>
      <c r="BT58">
        <v>0.8</v>
      </c>
      <c r="BV58">
        <v>1.32</v>
      </c>
      <c r="BW58">
        <v>1.32</v>
      </c>
      <c r="BY58" t="s">
        <v>76</v>
      </c>
      <c r="BZ58">
        <v>0.79</v>
      </c>
      <c r="CA58">
        <v>0.84</v>
      </c>
      <c r="CC58">
        <f>IF(ISNUMBER(SEARCH("HTOL",$D58)),1,0)</f>
        <v>0</v>
      </c>
      <c r="CD58">
        <f t="shared" ref="CD58:CD59" si="4">IF(ISNUMBER(SEARCH("TTR",$D58)),1,0)</f>
        <v>0</v>
      </c>
      <c r="CE58">
        <v>0</v>
      </c>
      <c r="CF58" s="1" t="s">
        <v>279</v>
      </c>
    </row>
    <row r="59" spans="1:87" hidden="1" x14ac:dyDescent="0.2">
      <c r="A59" t="s">
        <v>91</v>
      </c>
      <c r="B59" s="6" t="s">
        <v>338</v>
      </c>
      <c r="C59" s="3"/>
      <c r="D59" t="s">
        <v>272</v>
      </c>
      <c r="E59" t="s">
        <v>92</v>
      </c>
      <c r="F59" t="s">
        <v>66</v>
      </c>
      <c r="G59" t="s">
        <v>80</v>
      </c>
      <c r="H59" t="s">
        <v>99</v>
      </c>
      <c r="I59" t="s">
        <v>94</v>
      </c>
      <c r="J59" t="s">
        <v>89</v>
      </c>
      <c r="K59" t="s">
        <v>95</v>
      </c>
      <c r="L59" t="s">
        <v>88</v>
      </c>
      <c r="M59" t="s">
        <v>70</v>
      </c>
      <c r="N59" t="s">
        <v>70</v>
      </c>
      <c r="O59" t="s">
        <v>202</v>
      </c>
      <c r="P59" s="4" t="str">
        <f t="shared" si="3"/>
        <v>DFTL_SOC_DISP_MIX003_SOCTDF_CEA0_PL00_SSC_X_X_SelsrmSSSS_</v>
      </c>
      <c r="S59" cm="1">
        <f t="array" ref="S59">_xlfn.IFS($AN59&gt;0,MAX(AL59:AM59),$AQ59&gt;0,MAX(AO59:AP59),$AT59&gt;0,MAX(AR59:AS59),$AW59&gt;0,MAX(AU59:AV59),$AZ59&gt;0,MAX(AX59:AY59),$BC59&gt;0,MAX(BA59:BB59),$BF59&gt;0,MAX(BD59:BE59),$BI59&gt;0,MAX(BG59:BH59),$BL59&gt;0,MAX(BJ59:BK59),$BO59&gt;0,MAX(BM59:BN59),$BR59&gt;0,MAX(BP59:BQ59),$BU59&gt;0,MAX(BS59:BT59),$BX59&gt;0,MAX(BV59:BW59))-0.01</f>
        <v>0.94</v>
      </c>
      <c r="T59" cm="1">
        <f t="array" ref="T59">_xlfn.IFS($AN59&gt;0,MIN(AL59:AM59),$AQ59&gt;0,MIN(AO59:AP59),$AT59&gt;0,MIN(AR59:AS59),$AW59&gt;0,MIN(AU59:AV59),$AZ59&gt;0,MIN(AX59:AY59),$BC59&gt;0,MIN(BA59:BB59),$BF59&gt;0,MIN(BD59:BE59),$BI59&gt;0,MIN(BG59:BH59),$BL59&gt;0,MIN(BJ59:BK59),$BO59&gt;0,MIN(BM59:BN59),$BR59&gt;0,MIN(BP59:BQ59),$BU59&gt;0,MIN(BS59:BT59),$BX59&gt;0,MIN(BV59:BW59))+0.01</f>
        <v>0.66</v>
      </c>
      <c r="U59" t="s">
        <v>71</v>
      </c>
      <c r="V59" t="s">
        <v>72</v>
      </c>
      <c r="W59" t="s">
        <v>320</v>
      </c>
      <c r="X59" t="s">
        <v>74</v>
      </c>
      <c r="Y59" t="s">
        <v>116</v>
      </c>
      <c r="AF59" t="s">
        <v>223</v>
      </c>
      <c r="AK59" t="s">
        <v>75</v>
      </c>
      <c r="AL59">
        <v>0.755</v>
      </c>
      <c r="AM59">
        <v>0.755</v>
      </c>
      <c r="AO59">
        <v>0.71499999999999997</v>
      </c>
      <c r="AP59">
        <v>0.71499999999999997</v>
      </c>
      <c r="AR59">
        <v>0.72</v>
      </c>
      <c r="AS59">
        <v>0.72</v>
      </c>
      <c r="AU59">
        <v>1.1100000000000001</v>
      </c>
      <c r="AV59">
        <v>1.1100000000000001</v>
      </c>
      <c r="AX59">
        <v>0.72</v>
      </c>
      <c r="AY59">
        <v>0.72</v>
      </c>
      <c r="BA59" s="1">
        <v>0.95</v>
      </c>
      <c r="BB59" s="1">
        <v>0.65</v>
      </c>
      <c r="BC59">
        <v>5.0000000000000001E-3</v>
      </c>
      <c r="BD59">
        <v>0.85</v>
      </c>
      <c r="BE59">
        <v>0.85</v>
      </c>
      <c r="BG59">
        <v>0.77500000000000002</v>
      </c>
      <c r="BH59">
        <v>0.77500000000000002</v>
      </c>
      <c r="BJ59">
        <v>0.77500000000000002</v>
      </c>
      <c r="BK59">
        <v>0.77500000000000002</v>
      </c>
      <c r="BM59">
        <v>0.81</v>
      </c>
      <c r="BN59">
        <v>0.81</v>
      </c>
      <c r="BP59">
        <v>0.72</v>
      </c>
      <c r="BQ59">
        <v>0.72</v>
      </c>
      <c r="BS59">
        <v>0.8</v>
      </c>
      <c r="BT59">
        <v>0.8</v>
      </c>
      <c r="BV59">
        <v>1.32</v>
      </c>
      <c r="BW59">
        <v>1.32</v>
      </c>
      <c r="BY59" t="s">
        <v>76</v>
      </c>
      <c r="BZ59" cm="1">
        <f t="array" ref="BZ59">_xlfn.IFS($AN59&gt;0,AVERAGE(AL59:AM59),$AQ59&gt;0,AVERAGE(AO59:AP59),$AT59&gt;0,AVERAGE(AR59:AS59),$AW59&gt;0,AVERAGE(AU59:AV59),$AZ59&gt;0,AVERAGE(AX59:AY59),$BC59&gt;0,AVERAGE(BA59:BB59),$BF59&gt;0,AVERAGE(BD59:BE59),$BI59&gt;0,AVERAGE(BG59:BH59),$BL59&gt;0,AVERAGE(BJ59:BK59),$BO59&gt;0,AVERAGE(BM59:BN59),$BR59&gt;0,AVERAGE(BP59:BQ59),$BU59&gt;0,AVERAGE(BS59:BT59),$BX59&gt;0,AVERAGE(BV59:BW59))</f>
        <v>0.8</v>
      </c>
      <c r="CA59">
        <v>1.0349999999999999</v>
      </c>
      <c r="CC59">
        <v>0</v>
      </c>
      <c r="CD59">
        <f t="shared" si="4"/>
        <v>0</v>
      </c>
      <c r="CE59">
        <v>0</v>
      </c>
      <c r="CF59" s="1" t="s">
        <v>279</v>
      </c>
      <c r="CG59" s="1" t="s">
        <v>199</v>
      </c>
      <c r="CH59" s="1" t="s">
        <v>199</v>
      </c>
      <c r="CI59" s="1" t="s">
        <v>199</v>
      </c>
    </row>
    <row r="60" spans="1:87" hidden="1" x14ac:dyDescent="0.2">
      <c r="A60" t="s">
        <v>91</v>
      </c>
      <c r="B60" s="7" t="s">
        <v>338</v>
      </c>
      <c r="D60" t="s">
        <v>271</v>
      </c>
      <c r="E60" t="s">
        <v>92</v>
      </c>
      <c r="F60" t="s">
        <v>171</v>
      </c>
      <c r="G60" t="s">
        <v>83</v>
      </c>
      <c r="H60" t="s">
        <v>332</v>
      </c>
      <c r="I60" t="s">
        <v>281</v>
      </c>
      <c r="J60" t="s">
        <v>172</v>
      </c>
      <c r="K60" t="s">
        <v>206</v>
      </c>
      <c r="L60" t="s">
        <v>70</v>
      </c>
      <c r="M60" t="s">
        <v>70</v>
      </c>
      <c r="N60" t="s">
        <v>175</v>
      </c>
      <c r="O60" t="s">
        <v>202</v>
      </c>
      <c r="P60" s="4" t="str">
        <f t="shared" ref="P60:P91" si="5">E60&amp;"_"&amp;F60&amp;"_"&amp;G60&amp;"_"&amp;H60&amp;"_"&amp;I60&amp;"_"&amp;J60&amp;"_"&amp;K60&amp;"_"&amp;L60&amp;"_"&amp;M60&amp;"_"&amp;N60&amp;"_"&amp;O60&amp;"_"</f>
        <v>DFTL_CPU_PCPU_MPX00F_CPUTDF_C307_PL0010_X_X_DIV166_SelsrmSSSS_</v>
      </c>
      <c r="S60">
        <v>0.59</v>
      </c>
      <c r="T60">
        <v>0.55459999999999998</v>
      </c>
      <c r="U60" t="s">
        <v>71</v>
      </c>
      <c r="V60" t="s">
        <v>173</v>
      </c>
      <c r="W60" t="s">
        <v>329</v>
      </c>
      <c r="X60" t="s">
        <v>333</v>
      </c>
      <c r="AF60" t="s">
        <v>330</v>
      </c>
      <c r="AG60" t="s">
        <v>331</v>
      </c>
      <c r="AK60" t="s">
        <v>75</v>
      </c>
      <c r="AL60">
        <v>1.2</v>
      </c>
      <c r="AM60">
        <v>0.7</v>
      </c>
      <c r="AN60">
        <v>5.0000000000000001E-3</v>
      </c>
      <c r="AO60">
        <v>0.71499999999999997</v>
      </c>
      <c r="AP60">
        <v>0.71499999999999997</v>
      </c>
      <c r="AR60">
        <v>0.72</v>
      </c>
      <c r="AS60">
        <v>0.72</v>
      </c>
      <c r="AU60">
        <v>1.1100000000000001</v>
      </c>
      <c r="AV60">
        <v>1.1100000000000001</v>
      </c>
      <c r="AX60">
        <v>0.72</v>
      </c>
      <c r="AY60">
        <v>0.72</v>
      </c>
      <c r="BA60">
        <v>0.76500000000000001</v>
      </c>
      <c r="BB60">
        <v>0.76500000000000001</v>
      </c>
      <c r="BD60">
        <v>1.1850000000000001</v>
      </c>
      <c r="BE60">
        <v>1.1850000000000001</v>
      </c>
      <c r="BG60">
        <v>0.77500000000000002</v>
      </c>
      <c r="BH60">
        <v>0.77500000000000002</v>
      </c>
      <c r="BJ60">
        <v>0.77500000000000002</v>
      </c>
      <c r="BK60">
        <v>0.77500000000000002</v>
      </c>
      <c r="BM60">
        <v>0.81</v>
      </c>
      <c r="BN60">
        <v>0.81</v>
      </c>
      <c r="BP60">
        <v>0.72</v>
      </c>
      <c r="BQ60">
        <v>0.72</v>
      </c>
      <c r="BS60">
        <v>0.8</v>
      </c>
      <c r="BT60">
        <v>0.8</v>
      </c>
      <c r="BV60">
        <v>1.32</v>
      </c>
      <c r="BW60">
        <v>1.32</v>
      </c>
      <c r="BY60" t="s">
        <v>76</v>
      </c>
      <c r="BZ60">
        <v>0.55500000000000005</v>
      </c>
      <c r="CA60">
        <v>0.59</v>
      </c>
      <c r="CC60">
        <f>IF(ISNUMBER(SEARCH("HTOL",$D60)),1,0)</f>
        <v>0</v>
      </c>
      <c r="CD60">
        <f t="shared" ref="CD60:CD69" si="6">IF(ISNUMBER(SEARCH("TTR",$D60)),1,0)</f>
        <v>0</v>
      </c>
      <c r="CE60">
        <v>0</v>
      </c>
      <c r="CF60" s="1" t="s">
        <v>199</v>
      </c>
      <c r="CG60" s="1" t="s">
        <v>199</v>
      </c>
      <c r="CH60" s="1" t="s">
        <v>199</v>
      </c>
      <c r="CI60" s="1" t="s">
        <v>199</v>
      </c>
    </row>
    <row r="61" spans="1:87" hidden="1" x14ac:dyDescent="0.2">
      <c r="A61" t="s">
        <v>91</v>
      </c>
      <c r="B61" s="7" t="s">
        <v>393</v>
      </c>
      <c r="D61" t="s">
        <v>339</v>
      </c>
      <c r="E61" t="s">
        <v>92</v>
      </c>
      <c r="F61" t="s">
        <v>171</v>
      </c>
      <c r="G61" t="s">
        <v>83</v>
      </c>
      <c r="H61" t="s">
        <v>190</v>
      </c>
      <c r="I61" t="s">
        <v>250</v>
      </c>
      <c r="J61" t="s">
        <v>172</v>
      </c>
      <c r="K61" t="s">
        <v>206</v>
      </c>
      <c r="L61" t="s">
        <v>249</v>
      </c>
      <c r="M61" t="s">
        <v>70</v>
      </c>
      <c r="N61" t="s">
        <v>337</v>
      </c>
      <c r="O61" t="s">
        <v>202</v>
      </c>
      <c r="P61" s="4" t="str">
        <f t="shared" si="5"/>
        <v>DFTL_CPU_PCPU_MPX00I_CPUTDF1P_C307_PL0010_C0_X_DIV133_SelsrmSSSS_</v>
      </c>
      <c r="S61" cm="1">
        <f t="array" ref="S61">_xlfn.IFS($AN61&gt;0,MAX(AL61:AM61),$AQ61&gt;0,MAX(AO61:AP61),$AT61&gt;0,MAX(AR61:AS61),$AW61&gt;0,MAX(AU61:AV61),$AZ61&gt;0,MAX(AX61:AY61),$BC61&gt;0,MAX(BA61:BB61),$BF61&gt;0,MAX(BD61:BE61),$BI61&gt;0,MAX(BG61:BH61),$BL61&gt;0,MAX(BJ61:BK61),$BO61&gt;0,MAX(BM61:BN61),$BR61&gt;0,MAX(BP61:BQ61),$BU61&gt;0,MAX(BS61:BT61),$BX61&gt;0,MAX(BV61:BW61))-0.01</f>
        <v>1.19</v>
      </c>
      <c r="T61" cm="1">
        <f t="array" ref="T61">_xlfn.IFS($AN61&gt;0,MIN(AL61:AM61),$AQ61&gt;0,MIN(AO61:AP61),$AT61&gt;0,MIN(AR61:AS61),$AW61&gt;0,MIN(AU61:AV61),$AZ61&gt;0,MIN(AX61:AY61),$BC61&gt;0,MIN(BA61:BB61),$BF61&gt;0,MIN(BD61:BE61),$BI61&gt;0,MIN(BG61:BH61),$BL61&gt;0,MIN(BJ61:BK61),$BO61&gt;0,MIN(BM61:BN61),$BR61&gt;0,MIN(BP61:BQ61),$BU61&gt;0,MIN(BS61:BT61),$BX61&gt;0,MIN(BV61:BW61))+0.01</f>
        <v>0.81</v>
      </c>
      <c r="U61" t="s">
        <v>71</v>
      </c>
      <c r="V61" t="s">
        <v>173</v>
      </c>
      <c r="W61" t="s">
        <v>251</v>
      </c>
      <c r="X61" t="s">
        <v>247</v>
      </c>
      <c r="AF61" t="s">
        <v>252</v>
      </c>
      <c r="AG61" t="s">
        <v>253</v>
      </c>
      <c r="AK61" t="s">
        <v>75</v>
      </c>
      <c r="AL61" s="1">
        <v>1.2</v>
      </c>
      <c r="AM61" s="1">
        <v>0.8</v>
      </c>
      <c r="AN61">
        <v>5.0000000000000001E-3</v>
      </c>
      <c r="AO61">
        <v>0.71499999999999997</v>
      </c>
      <c r="AP61">
        <v>0.71499999999999997</v>
      </c>
      <c r="AR61">
        <v>0.72</v>
      </c>
      <c r="AS61">
        <v>0.72</v>
      </c>
      <c r="AU61">
        <v>1.1100000000000001</v>
      </c>
      <c r="AV61">
        <v>1.1100000000000001</v>
      </c>
      <c r="AX61">
        <v>0.72</v>
      </c>
      <c r="AY61">
        <v>0.72</v>
      </c>
      <c r="BA61">
        <v>0.76500000000000001</v>
      </c>
      <c r="BB61">
        <v>0.76500000000000001</v>
      </c>
      <c r="BD61">
        <v>1.1850000000000001</v>
      </c>
      <c r="BE61">
        <v>1.1850000000000001</v>
      </c>
      <c r="BG61">
        <v>0.77500000000000002</v>
      </c>
      <c r="BH61">
        <v>0.77500000000000002</v>
      </c>
      <c r="BJ61">
        <v>0.77500000000000002</v>
      </c>
      <c r="BK61">
        <v>0.77500000000000002</v>
      </c>
      <c r="BM61">
        <v>0.81</v>
      </c>
      <c r="BN61">
        <v>0.81</v>
      </c>
      <c r="BP61">
        <v>0.72</v>
      </c>
      <c r="BQ61">
        <v>0.72</v>
      </c>
      <c r="BS61">
        <v>0.8</v>
      </c>
      <c r="BT61">
        <v>0.8</v>
      </c>
      <c r="BV61">
        <v>1.32</v>
      </c>
      <c r="BW61">
        <v>1.32</v>
      </c>
      <c r="BY61" t="s">
        <v>76</v>
      </c>
      <c r="BZ61" cm="1">
        <f t="array" ref="BZ61">_xlfn.IFS($AN61&gt;0,AVERAGE(AL61:AM61),$AQ61&gt;0,AVERAGE(AO61:AP61),$AT61&gt;0,AVERAGE(AR61:AS61),$AW61&gt;0,AVERAGE(AU61:AV61),$AZ61&gt;0,AVERAGE(AX61:AY61),$BC61&gt;0,AVERAGE(BA61:BB61),$BF61&gt;0,AVERAGE(BD61:BE61),$BI61&gt;0,AVERAGE(BG61:BH61),$BL61&gt;0,AVERAGE(BJ61:BK61),$BO61&gt;0,AVERAGE(BM61:BN61),$BR61&gt;0,AVERAGE(BP61:BQ61),$BU61&gt;0,AVERAGE(BS61:BT61),$BX61&gt;0,AVERAGE(BV61:BW61))</f>
        <v>1</v>
      </c>
      <c r="CA61">
        <v>0.59</v>
      </c>
      <c r="CC61">
        <v>0</v>
      </c>
      <c r="CD61">
        <f t="shared" si="6"/>
        <v>0</v>
      </c>
      <c r="CE61">
        <v>0</v>
      </c>
      <c r="CG61" s="1" t="s">
        <v>279</v>
      </c>
      <c r="CH61" s="1" t="s">
        <v>279</v>
      </c>
      <c r="CI61" s="1" t="s">
        <v>279</v>
      </c>
    </row>
    <row r="62" spans="1:87" hidden="1" x14ac:dyDescent="0.2">
      <c r="A62" t="s">
        <v>91</v>
      </c>
      <c r="B62" s="7" t="s">
        <v>393</v>
      </c>
      <c r="D62" t="s">
        <v>339</v>
      </c>
      <c r="E62" t="s">
        <v>92</v>
      </c>
      <c r="F62" t="s">
        <v>171</v>
      </c>
      <c r="G62" t="s">
        <v>83</v>
      </c>
      <c r="H62" t="s">
        <v>190</v>
      </c>
      <c r="I62" t="s">
        <v>250</v>
      </c>
      <c r="J62" t="s">
        <v>172</v>
      </c>
      <c r="K62" t="s">
        <v>206</v>
      </c>
      <c r="L62" t="s">
        <v>254</v>
      </c>
      <c r="M62" t="s">
        <v>70</v>
      </c>
      <c r="N62" t="s">
        <v>337</v>
      </c>
      <c r="O62" t="s">
        <v>202</v>
      </c>
      <c r="P62" s="4" t="str">
        <f t="shared" si="5"/>
        <v>DFTL_CPU_PCPU_MPX00I_CPUTDF1P_C307_PL0010_C1_X_DIV133_SelsrmSSSS_</v>
      </c>
      <c r="S62" cm="1">
        <f t="array" ref="S62">_xlfn.IFS($AN62&gt;0,MAX(AL62:AM62),$AQ62&gt;0,MAX(AO62:AP62),$AT62&gt;0,MAX(AR62:AS62),$AW62&gt;0,MAX(AU62:AV62),$AZ62&gt;0,MAX(AX62:AY62),$BC62&gt;0,MAX(BA62:BB62),$BF62&gt;0,MAX(BD62:BE62),$BI62&gt;0,MAX(BG62:BH62),$BL62&gt;0,MAX(BJ62:BK62),$BO62&gt;0,MAX(BM62:BN62),$BR62&gt;0,MAX(BP62:BQ62),$BU62&gt;0,MAX(BS62:BT62),$BX62&gt;0,MAX(BV62:BW62))-0.01</f>
        <v>1.19</v>
      </c>
      <c r="T62" cm="1">
        <f t="array" ref="T62">_xlfn.IFS($AN62&gt;0,MIN(AL62:AM62),$AQ62&gt;0,MIN(AO62:AP62),$AT62&gt;0,MIN(AR62:AS62),$AW62&gt;0,MIN(AU62:AV62),$AZ62&gt;0,MIN(AX62:AY62),$BC62&gt;0,MIN(BA62:BB62),$BF62&gt;0,MIN(BD62:BE62),$BI62&gt;0,MIN(BG62:BH62),$BL62&gt;0,MIN(BJ62:BK62),$BO62&gt;0,MIN(BM62:BN62),$BR62&gt;0,MIN(BP62:BQ62),$BU62&gt;0,MIN(BS62:BT62),$BX62&gt;0,MIN(BV62:BW62))+0.01</f>
        <v>0.81</v>
      </c>
      <c r="U62" t="s">
        <v>71</v>
      </c>
      <c r="V62" t="s">
        <v>173</v>
      </c>
      <c r="W62" t="s">
        <v>255</v>
      </c>
      <c r="X62" t="s">
        <v>247</v>
      </c>
      <c r="AF62" t="s">
        <v>252</v>
      </c>
      <c r="AG62" t="s">
        <v>253</v>
      </c>
      <c r="AK62" t="s">
        <v>75</v>
      </c>
      <c r="AL62" s="1">
        <v>1.2</v>
      </c>
      <c r="AM62" s="1">
        <v>0.8</v>
      </c>
      <c r="AN62">
        <v>5.0000000000000001E-3</v>
      </c>
      <c r="AO62">
        <v>0.71499999999999997</v>
      </c>
      <c r="AP62">
        <v>0.71499999999999997</v>
      </c>
      <c r="AR62">
        <v>0.72</v>
      </c>
      <c r="AS62">
        <v>0.72</v>
      </c>
      <c r="AU62">
        <v>1.1100000000000001</v>
      </c>
      <c r="AV62">
        <v>1.1100000000000001</v>
      </c>
      <c r="AX62">
        <v>0.72</v>
      </c>
      <c r="AY62">
        <v>0.72</v>
      </c>
      <c r="BA62">
        <v>0.76500000000000001</v>
      </c>
      <c r="BB62">
        <v>0.76500000000000001</v>
      </c>
      <c r="BD62">
        <v>1.1850000000000001</v>
      </c>
      <c r="BE62">
        <v>1.1850000000000001</v>
      </c>
      <c r="BG62">
        <v>0.77500000000000002</v>
      </c>
      <c r="BH62">
        <v>0.77500000000000002</v>
      </c>
      <c r="BJ62">
        <v>0.77500000000000002</v>
      </c>
      <c r="BK62">
        <v>0.77500000000000002</v>
      </c>
      <c r="BM62">
        <v>0.81</v>
      </c>
      <c r="BN62">
        <v>0.81</v>
      </c>
      <c r="BP62">
        <v>0.72</v>
      </c>
      <c r="BQ62">
        <v>0.72</v>
      </c>
      <c r="BS62">
        <v>0.8</v>
      </c>
      <c r="BT62">
        <v>0.8</v>
      </c>
      <c r="BV62">
        <v>1.32</v>
      </c>
      <c r="BW62">
        <v>1.32</v>
      </c>
      <c r="BY62" t="s">
        <v>76</v>
      </c>
      <c r="BZ62" cm="1">
        <f t="array" ref="BZ62">_xlfn.IFS($AN62&gt;0,AVERAGE(AL62:AM62),$AQ62&gt;0,AVERAGE(AO62:AP62),$AT62&gt;0,AVERAGE(AR62:AS62),$AW62&gt;0,AVERAGE(AU62:AV62),$AZ62&gt;0,AVERAGE(AX62:AY62),$BC62&gt;0,AVERAGE(BA62:BB62),$BF62&gt;0,AVERAGE(BD62:BE62),$BI62&gt;0,AVERAGE(BG62:BH62),$BL62&gt;0,AVERAGE(BJ62:BK62),$BO62&gt;0,AVERAGE(BM62:BN62),$BR62&gt;0,AVERAGE(BP62:BQ62),$BU62&gt;0,AVERAGE(BS62:BT62),$BX62&gt;0,AVERAGE(BV62:BW62))</f>
        <v>1</v>
      </c>
      <c r="CA62">
        <v>0.59</v>
      </c>
      <c r="CC62">
        <v>0</v>
      </c>
      <c r="CD62">
        <f t="shared" si="6"/>
        <v>0</v>
      </c>
      <c r="CE62">
        <v>0</v>
      </c>
      <c r="CG62" s="1" t="s">
        <v>279</v>
      </c>
      <c r="CH62" s="1" t="s">
        <v>279</v>
      </c>
      <c r="CI62" s="1" t="s">
        <v>279</v>
      </c>
    </row>
    <row r="63" spans="1:87" hidden="1" x14ac:dyDescent="0.2">
      <c r="A63" t="s">
        <v>91</v>
      </c>
      <c r="B63" s="7" t="s">
        <v>393</v>
      </c>
      <c r="D63" t="s">
        <v>339</v>
      </c>
      <c r="E63" t="s">
        <v>92</v>
      </c>
      <c r="F63" t="s">
        <v>171</v>
      </c>
      <c r="G63" t="s">
        <v>83</v>
      </c>
      <c r="H63" t="s">
        <v>190</v>
      </c>
      <c r="I63" t="s">
        <v>250</v>
      </c>
      <c r="J63" t="s">
        <v>172</v>
      </c>
      <c r="K63" t="s">
        <v>206</v>
      </c>
      <c r="L63" t="s">
        <v>256</v>
      </c>
      <c r="M63" t="s">
        <v>70</v>
      </c>
      <c r="N63" t="s">
        <v>337</v>
      </c>
      <c r="O63" t="s">
        <v>202</v>
      </c>
      <c r="P63" s="4" t="str">
        <f t="shared" si="5"/>
        <v>DFTL_CPU_PCPU_MPX00I_CPUTDF1P_C307_PL0010_C2_X_DIV133_SelsrmSSSS_</v>
      </c>
      <c r="S63" cm="1">
        <f t="array" ref="S63">_xlfn.IFS($AN63&gt;0,MAX(AL63:AM63),$AQ63&gt;0,MAX(AO63:AP63),$AT63&gt;0,MAX(AR63:AS63),$AW63&gt;0,MAX(AU63:AV63),$AZ63&gt;0,MAX(AX63:AY63),$BC63&gt;0,MAX(BA63:BB63),$BF63&gt;0,MAX(BD63:BE63),$BI63&gt;0,MAX(BG63:BH63),$BL63&gt;0,MAX(BJ63:BK63),$BO63&gt;0,MAX(BM63:BN63),$BR63&gt;0,MAX(BP63:BQ63),$BU63&gt;0,MAX(BS63:BT63),$BX63&gt;0,MAX(BV63:BW63))-0.01</f>
        <v>1.19</v>
      </c>
      <c r="T63" cm="1">
        <f t="array" ref="T63">_xlfn.IFS($AN63&gt;0,MIN(AL63:AM63),$AQ63&gt;0,MIN(AO63:AP63),$AT63&gt;0,MIN(AR63:AS63),$AW63&gt;0,MIN(AU63:AV63),$AZ63&gt;0,MIN(AX63:AY63),$BC63&gt;0,MIN(BA63:BB63),$BF63&gt;0,MIN(BD63:BE63),$BI63&gt;0,MIN(BG63:BH63),$BL63&gt;0,MIN(BJ63:BK63),$BO63&gt;0,MIN(BM63:BN63),$BR63&gt;0,MIN(BP63:BQ63),$BU63&gt;0,MIN(BS63:BT63),$BX63&gt;0,MIN(BV63:BW63))+0.01</f>
        <v>0.81</v>
      </c>
      <c r="U63" t="s">
        <v>71</v>
      </c>
      <c r="V63" t="s">
        <v>173</v>
      </c>
      <c r="W63" t="s">
        <v>257</v>
      </c>
      <c r="X63" t="s">
        <v>247</v>
      </c>
      <c r="AF63" t="s">
        <v>252</v>
      </c>
      <c r="AG63" t="s">
        <v>253</v>
      </c>
      <c r="AK63" t="s">
        <v>75</v>
      </c>
      <c r="AL63" s="1">
        <v>1.2</v>
      </c>
      <c r="AM63" s="1">
        <v>0.8</v>
      </c>
      <c r="AN63">
        <v>5.0000000000000001E-3</v>
      </c>
      <c r="AO63">
        <v>0.71499999999999997</v>
      </c>
      <c r="AP63">
        <v>0.71499999999999997</v>
      </c>
      <c r="AR63">
        <v>0.72</v>
      </c>
      <c r="AS63">
        <v>0.72</v>
      </c>
      <c r="AU63">
        <v>1.1100000000000001</v>
      </c>
      <c r="AV63">
        <v>1.1100000000000001</v>
      </c>
      <c r="AX63">
        <v>0.72</v>
      </c>
      <c r="AY63">
        <v>0.72</v>
      </c>
      <c r="BA63">
        <v>0.76500000000000001</v>
      </c>
      <c r="BB63">
        <v>0.76500000000000001</v>
      </c>
      <c r="BD63">
        <v>1.1850000000000001</v>
      </c>
      <c r="BE63">
        <v>1.1850000000000001</v>
      </c>
      <c r="BG63">
        <v>0.77500000000000002</v>
      </c>
      <c r="BH63">
        <v>0.77500000000000002</v>
      </c>
      <c r="BJ63">
        <v>0.77500000000000002</v>
      </c>
      <c r="BK63">
        <v>0.77500000000000002</v>
      </c>
      <c r="BM63">
        <v>0.81</v>
      </c>
      <c r="BN63">
        <v>0.81</v>
      </c>
      <c r="BP63">
        <v>0.72</v>
      </c>
      <c r="BQ63">
        <v>0.72</v>
      </c>
      <c r="BS63">
        <v>0.8</v>
      </c>
      <c r="BT63">
        <v>0.8</v>
      </c>
      <c r="BV63">
        <v>1.32</v>
      </c>
      <c r="BW63">
        <v>1.32</v>
      </c>
      <c r="BY63" t="s">
        <v>76</v>
      </c>
      <c r="BZ63" cm="1">
        <f t="array" ref="BZ63">_xlfn.IFS($AN63&gt;0,AVERAGE(AL63:AM63),$AQ63&gt;0,AVERAGE(AO63:AP63),$AT63&gt;0,AVERAGE(AR63:AS63),$AW63&gt;0,AVERAGE(AU63:AV63),$AZ63&gt;0,AVERAGE(AX63:AY63),$BC63&gt;0,AVERAGE(BA63:BB63),$BF63&gt;0,AVERAGE(BD63:BE63),$BI63&gt;0,AVERAGE(BG63:BH63),$BL63&gt;0,AVERAGE(BJ63:BK63),$BO63&gt;0,AVERAGE(BM63:BN63),$BR63&gt;0,AVERAGE(BP63:BQ63),$BU63&gt;0,AVERAGE(BS63:BT63),$BX63&gt;0,AVERAGE(BV63:BW63))</f>
        <v>1</v>
      </c>
      <c r="CA63">
        <v>0.59</v>
      </c>
      <c r="CC63">
        <v>0</v>
      </c>
      <c r="CD63">
        <f t="shared" si="6"/>
        <v>0</v>
      </c>
      <c r="CE63">
        <v>0</v>
      </c>
      <c r="CG63" s="1" t="s">
        <v>279</v>
      </c>
      <c r="CH63" s="1" t="s">
        <v>279</v>
      </c>
      <c r="CI63" s="1" t="s">
        <v>279</v>
      </c>
    </row>
    <row r="64" spans="1:87" hidden="1" x14ac:dyDescent="0.2">
      <c r="A64" t="s">
        <v>91</v>
      </c>
      <c r="B64" s="6" t="s">
        <v>338</v>
      </c>
      <c r="D64" t="s">
        <v>273</v>
      </c>
      <c r="E64" t="s">
        <v>92</v>
      </c>
      <c r="F64" t="s">
        <v>171</v>
      </c>
      <c r="G64" t="s">
        <v>136</v>
      </c>
      <c r="H64" t="s">
        <v>100</v>
      </c>
      <c r="I64" t="s">
        <v>183</v>
      </c>
      <c r="J64" t="s">
        <v>184</v>
      </c>
      <c r="K64" t="s">
        <v>146</v>
      </c>
      <c r="L64" t="s">
        <v>185</v>
      </c>
      <c r="M64" t="s">
        <v>186</v>
      </c>
      <c r="N64" t="s">
        <v>70</v>
      </c>
      <c r="O64" t="s">
        <v>202</v>
      </c>
      <c r="P64" s="4" t="str">
        <f t="shared" si="5"/>
        <v>DFTL_CPU_CPUSRAM_MPX001_CPUBIR_C303_PLLP_59N_REPREST_X_SelsrmSSSS_</v>
      </c>
      <c r="S64" cm="1">
        <f t="array" ref="S64">_xlfn.IFS($AN64&gt;0,MAX(AL64:AM64),$AQ64&gt;0,MAX(AO64:AP64),$AT64&gt;0,MAX(AR64:AS64),$AW64&gt;0,MAX(AU64:AV64),$AZ64&gt;0,MAX(AX64:AY64),$BC64&gt;0,MAX(BA64:BB64),$BF64&gt;0,MAX(BD64:BE64),$BI64&gt;0,MAX(BG64:BH64),$BL64&gt;0,MAX(BJ64:BK64),$BO64&gt;0,MAX(BM64:BN64),$BR64&gt;0,MAX(BP64:BQ64),$BU64&gt;0,MAX(BS64:BT64),$BX64&gt;0,MAX(BV64:BW64))-0.01</f>
        <v>0.74</v>
      </c>
      <c r="T64" cm="1">
        <f t="array" ref="T64">_xlfn.IFS($AN64&gt;0,MIN(AL64:AM64),$AQ64&gt;0,MIN(AO64:AP64),$AT64&gt;0,MIN(AR64:AS64),$AW64&gt;0,MIN(AU64:AV64),$AZ64&gt;0,MIN(AX64:AY64),$BC64&gt;0,MIN(BA64:BB64),$BF64&gt;0,MIN(BD64:BE64),$BI64&gt;0,MIN(BG64:BH64),$BL64&gt;0,MIN(BJ64:BK64),$BO64&gt;0,MIN(BM64:BN64),$BR64&gt;0,MIN(BP64:BQ64),$BU64&gt;0,MIN(BS64:BT64),$BX64&gt;0,MIN(BV64:BW64))+0.01</f>
        <v>0.51</v>
      </c>
      <c r="U64" t="s">
        <v>71</v>
      </c>
      <c r="V64" t="s">
        <v>187</v>
      </c>
      <c r="W64" t="s">
        <v>188</v>
      </c>
      <c r="X64" t="s">
        <v>234</v>
      </c>
      <c r="AF64" t="s">
        <v>189</v>
      </c>
      <c r="AK64" t="s">
        <v>75</v>
      </c>
      <c r="AL64">
        <v>0.755</v>
      </c>
      <c r="AM64">
        <v>0.755</v>
      </c>
      <c r="AO64">
        <v>0.71499999999999997</v>
      </c>
      <c r="AP64">
        <v>0.71499999999999997</v>
      </c>
      <c r="AR64">
        <v>0.72</v>
      </c>
      <c r="AS64">
        <v>0.72</v>
      </c>
      <c r="AU64">
        <v>1.1100000000000001</v>
      </c>
      <c r="AV64">
        <v>1.1100000000000001</v>
      </c>
      <c r="AX64">
        <v>0.72</v>
      </c>
      <c r="AY64">
        <v>0.72</v>
      </c>
      <c r="BA64">
        <v>0.76500000000000001</v>
      </c>
      <c r="BB64">
        <v>0.76500000000000001</v>
      </c>
      <c r="BD64" s="1">
        <v>0.75</v>
      </c>
      <c r="BE64" s="1">
        <v>0.5</v>
      </c>
      <c r="BF64">
        <v>5.0000000000000001E-3</v>
      </c>
      <c r="BG64">
        <v>0.77500000000000002</v>
      </c>
      <c r="BH64">
        <v>0.77500000000000002</v>
      </c>
      <c r="BJ64">
        <v>0.77500000000000002</v>
      </c>
      <c r="BK64">
        <v>0.77500000000000002</v>
      </c>
      <c r="BM64">
        <v>0.81</v>
      </c>
      <c r="BN64">
        <v>0.81</v>
      </c>
      <c r="BP64">
        <v>0.72</v>
      </c>
      <c r="BQ64">
        <v>0.72</v>
      </c>
      <c r="BS64">
        <v>0.8</v>
      </c>
      <c r="BT64">
        <v>0.8</v>
      </c>
      <c r="BV64">
        <v>1.32</v>
      </c>
      <c r="BW64">
        <v>1.32</v>
      </c>
      <c r="BY64" t="s">
        <v>76</v>
      </c>
      <c r="BZ64" cm="1">
        <f t="array" ref="BZ64">_xlfn.IFS($AN64&gt;0,AVERAGE(AL64:AM64),$AQ64&gt;0,AVERAGE(AO64:AP64),$AT64&gt;0,AVERAGE(AR64:AS64),$AW64&gt;0,AVERAGE(AU64:AV64),$AZ64&gt;0,AVERAGE(AX64:AY64),$BC64&gt;0,AVERAGE(BA64:BB64),$BF64&gt;0,AVERAGE(BD64:BE64),$BI64&gt;0,AVERAGE(BG64:BH64),$BL64&gt;0,AVERAGE(BJ64:BK64),$BO64&gt;0,AVERAGE(BM64:BN64),$BR64&gt;0,AVERAGE(BP64:BQ64),$BU64&gt;0,AVERAGE(BS64:BT64),$BX64&gt;0,AVERAGE(BV64:BW64))</f>
        <v>0.625</v>
      </c>
      <c r="CA64">
        <v>0.80500000000000005</v>
      </c>
      <c r="CC64">
        <v>0</v>
      </c>
      <c r="CD64">
        <f t="shared" si="6"/>
        <v>0</v>
      </c>
      <c r="CE64">
        <v>0</v>
      </c>
      <c r="CF64" s="1" t="s">
        <v>279</v>
      </c>
      <c r="CG64" s="1" t="s">
        <v>279</v>
      </c>
    </row>
    <row r="65" spans="1:87" hidden="1" x14ac:dyDescent="0.2">
      <c r="A65" t="s">
        <v>91</v>
      </c>
      <c r="B65" s="6" t="s">
        <v>338</v>
      </c>
      <c r="D65" t="s">
        <v>274</v>
      </c>
      <c r="E65" t="s">
        <v>92</v>
      </c>
      <c r="F65" t="s">
        <v>171</v>
      </c>
      <c r="G65" t="s">
        <v>136</v>
      </c>
      <c r="H65" t="s">
        <v>100</v>
      </c>
      <c r="I65" t="s">
        <v>194</v>
      </c>
      <c r="J65" t="s">
        <v>184</v>
      </c>
      <c r="K65" t="s">
        <v>146</v>
      </c>
      <c r="L65" t="s">
        <v>185</v>
      </c>
      <c r="M65" t="s">
        <v>186</v>
      </c>
      <c r="N65" t="s">
        <v>70</v>
      </c>
      <c r="O65" t="s">
        <v>202</v>
      </c>
      <c r="P65" s="4" t="str">
        <f t="shared" si="5"/>
        <v>DFTL_CPU_CPUSRAM_MPX001_CPUBST_C303_PLLP_59N_REPREST_X_SelsrmSSSS_</v>
      </c>
      <c r="S65" cm="1">
        <f t="array" ref="S65">_xlfn.IFS($AN65&gt;0,MAX(AL65:AM65),$AQ65&gt;0,MAX(AO65:AP65),$AT65&gt;0,MAX(AR65:AS65),$AW65&gt;0,MAX(AU65:AV65),$AZ65&gt;0,MAX(AX65:AY65),$BC65&gt;0,MAX(BA65:BB65),$BF65&gt;0,MAX(BD65:BE65),$BI65&gt;0,MAX(BG65:BH65),$BL65&gt;0,MAX(BJ65:BK65),$BO65&gt;0,MAX(BM65:BN65),$BR65&gt;0,MAX(BP65:BQ65),$BU65&gt;0,MAX(BS65:BT65),$BX65&gt;0,MAX(BV65:BW65))-0.01</f>
        <v>0.74</v>
      </c>
      <c r="T65" cm="1">
        <f t="array" ref="T65">_xlfn.IFS($AN65&gt;0,MIN(AL65:AM65),$AQ65&gt;0,MIN(AO65:AP65),$AT65&gt;0,MIN(AR65:AS65),$AW65&gt;0,MIN(AU65:AV65),$AZ65&gt;0,MIN(AX65:AY65),$BC65&gt;0,MIN(BA65:BB65),$BF65&gt;0,MIN(BD65:BE65),$BI65&gt;0,MIN(BG65:BH65),$BL65&gt;0,MIN(BJ65:BK65),$BO65&gt;0,MIN(BM65:BN65),$BR65&gt;0,MIN(BP65:BQ65),$BU65&gt;0,MIN(BS65:BT65),$BX65&gt;0,MIN(BV65:BW65))+0.01</f>
        <v>0.51</v>
      </c>
      <c r="U65" t="s">
        <v>71</v>
      </c>
      <c r="V65" t="s">
        <v>187</v>
      </c>
      <c r="W65" t="s">
        <v>188</v>
      </c>
      <c r="X65" t="s">
        <v>234</v>
      </c>
      <c r="AF65" t="s">
        <v>196</v>
      </c>
      <c r="AK65" t="s">
        <v>75</v>
      </c>
      <c r="AL65">
        <v>0.755</v>
      </c>
      <c r="AM65">
        <v>0.755</v>
      </c>
      <c r="AO65">
        <v>0.71499999999999997</v>
      </c>
      <c r="AP65">
        <v>0.71499999999999997</v>
      </c>
      <c r="AR65">
        <v>0.72</v>
      </c>
      <c r="AS65">
        <v>0.72</v>
      </c>
      <c r="AU65">
        <v>1.1100000000000001</v>
      </c>
      <c r="AV65">
        <v>1.1100000000000001</v>
      </c>
      <c r="AX65">
        <v>0.72</v>
      </c>
      <c r="AY65">
        <v>0.72</v>
      </c>
      <c r="BA65">
        <v>0.76500000000000001</v>
      </c>
      <c r="BB65">
        <v>0.76500000000000001</v>
      </c>
      <c r="BD65" s="1">
        <v>0.75</v>
      </c>
      <c r="BE65" s="1">
        <v>0.5</v>
      </c>
      <c r="BF65">
        <v>5.0000000000000001E-3</v>
      </c>
      <c r="BG65">
        <v>0.77500000000000002</v>
      </c>
      <c r="BH65">
        <v>0.77500000000000002</v>
      </c>
      <c r="BJ65">
        <v>0.77500000000000002</v>
      </c>
      <c r="BK65">
        <v>0.77500000000000002</v>
      </c>
      <c r="BM65">
        <v>0.81</v>
      </c>
      <c r="BN65">
        <v>0.81</v>
      </c>
      <c r="BP65">
        <v>0.72</v>
      </c>
      <c r="BQ65">
        <v>0.72</v>
      </c>
      <c r="BS65">
        <v>0.8</v>
      </c>
      <c r="BT65">
        <v>0.8</v>
      </c>
      <c r="BV65">
        <v>1.32</v>
      </c>
      <c r="BW65">
        <v>1.32</v>
      </c>
      <c r="BY65" t="s">
        <v>76</v>
      </c>
      <c r="BZ65" cm="1">
        <f t="array" ref="BZ65">_xlfn.IFS($AN65&gt;0,AVERAGE(AL65:AM65),$AQ65&gt;0,AVERAGE(AO65:AP65),$AT65&gt;0,AVERAGE(AR65:AS65),$AW65&gt;0,AVERAGE(AU65:AV65),$AZ65&gt;0,AVERAGE(AX65:AY65),$BC65&gt;0,AVERAGE(BA65:BB65),$BF65&gt;0,AVERAGE(BD65:BE65),$BI65&gt;0,AVERAGE(BG65:BH65),$BL65&gt;0,AVERAGE(BJ65:BK65),$BO65&gt;0,AVERAGE(BM65:BN65),$BR65&gt;0,AVERAGE(BP65:BQ65),$BU65&gt;0,AVERAGE(BS65:BT65),$BX65&gt;0,AVERAGE(BV65:BW65))</f>
        <v>0.625</v>
      </c>
      <c r="CA65">
        <v>0.80500000000000005</v>
      </c>
      <c r="CC65">
        <v>0</v>
      </c>
      <c r="CD65">
        <f t="shared" si="6"/>
        <v>0</v>
      </c>
      <c r="CE65">
        <v>0</v>
      </c>
      <c r="CF65" s="1" t="s">
        <v>279</v>
      </c>
      <c r="CG65" s="1" t="s">
        <v>279</v>
      </c>
      <c r="CH65" s="1" t="s">
        <v>199</v>
      </c>
      <c r="CI65" s="1" t="s">
        <v>199</v>
      </c>
    </row>
    <row r="66" spans="1:87" hidden="1" x14ac:dyDescent="0.2">
      <c r="A66" t="s">
        <v>91</v>
      </c>
      <c r="B66" s="7" t="s">
        <v>393</v>
      </c>
      <c r="D66" t="s">
        <v>339</v>
      </c>
      <c r="E66" t="s">
        <v>92</v>
      </c>
      <c r="F66" t="s">
        <v>171</v>
      </c>
      <c r="G66" t="s">
        <v>83</v>
      </c>
      <c r="H66" t="s">
        <v>190</v>
      </c>
      <c r="I66" t="s">
        <v>250</v>
      </c>
      <c r="J66" t="s">
        <v>172</v>
      </c>
      <c r="K66" t="s">
        <v>206</v>
      </c>
      <c r="L66" t="s">
        <v>258</v>
      </c>
      <c r="M66" t="s">
        <v>70</v>
      </c>
      <c r="N66" t="s">
        <v>337</v>
      </c>
      <c r="O66" t="s">
        <v>202</v>
      </c>
      <c r="P66" s="4" t="str">
        <f t="shared" si="5"/>
        <v>DFTL_CPU_PCPU_MPX00I_CPUTDF1P_C307_PL0010_C3_X_DIV133_SelsrmSSSS_</v>
      </c>
      <c r="S66" cm="1">
        <f t="array" ref="S66">_xlfn.IFS($AN66&gt;0,MAX(AL66:AM66),$AQ66&gt;0,MAX(AO66:AP66),$AT66&gt;0,MAX(AR66:AS66),$AW66&gt;0,MAX(AU66:AV66),$AZ66&gt;0,MAX(AX66:AY66),$BC66&gt;0,MAX(BA66:BB66),$BF66&gt;0,MAX(BD66:BE66),$BI66&gt;0,MAX(BG66:BH66),$BL66&gt;0,MAX(BJ66:BK66),$BO66&gt;0,MAX(BM66:BN66),$BR66&gt;0,MAX(BP66:BQ66),$BU66&gt;0,MAX(BS66:BT66),$BX66&gt;0,MAX(BV66:BW66))-0.01</f>
        <v>1.19</v>
      </c>
      <c r="T66" cm="1">
        <f t="array" ref="T66">_xlfn.IFS($AN66&gt;0,MIN(AL66:AM66),$AQ66&gt;0,MIN(AO66:AP66),$AT66&gt;0,MIN(AR66:AS66),$AW66&gt;0,MIN(AU66:AV66),$AZ66&gt;0,MIN(AX66:AY66),$BC66&gt;0,MIN(BA66:BB66),$BF66&gt;0,MIN(BD66:BE66),$BI66&gt;0,MIN(BG66:BH66),$BL66&gt;0,MIN(BJ66:BK66),$BO66&gt;0,MIN(BM66:BN66),$BR66&gt;0,MIN(BP66:BQ66),$BU66&gt;0,MIN(BS66:BT66),$BX66&gt;0,MIN(BV66:BW66))+0.01</f>
        <v>0.81</v>
      </c>
      <c r="U66" t="s">
        <v>71</v>
      </c>
      <c r="V66" t="s">
        <v>173</v>
      </c>
      <c r="W66" t="s">
        <v>259</v>
      </c>
      <c r="X66" t="s">
        <v>247</v>
      </c>
      <c r="AF66" t="s">
        <v>252</v>
      </c>
      <c r="AG66" t="s">
        <v>253</v>
      </c>
      <c r="AK66" t="s">
        <v>75</v>
      </c>
      <c r="AL66" s="1">
        <v>1.2</v>
      </c>
      <c r="AM66" s="1">
        <v>0.8</v>
      </c>
      <c r="AN66">
        <v>5.0000000000000001E-3</v>
      </c>
      <c r="AO66">
        <v>0.71499999999999997</v>
      </c>
      <c r="AP66">
        <v>0.71499999999999997</v>
      </c>
      <c r="AR66">
        <v>0.72</v>
      </c>
      <c r="AS66">
        <v>0.72</v>
      </c>
      <c r="AU66">
        <v>1.1100000000000001</v>
      </c>
      <c r="AV66">
        <v>1.1100000000000001</v>
      </c>
      <c r="AX66">
        <v>0.72</v>
      </c>
      <c r="AY66">
        <v>0.72</v>
      </c>
      <c r="BA66">
        <v>0.76500000000000001</v>
      </c>
      <c r="BB66">
        <v>0.76500000000000001</v>
      </c>
      <c r="BD66">
        <v>1.1850000000000001</v>
      </c>
      <c r="BE66">
        <v>1.1850000000000001</v>
      </c>
      <c r="BG66">
        <v>0.77500000000000002</v>
      </c>
      <c r="BH66">
        <v>0.77500000000000002</v>
      </c>
      <c r="BJ66">
        <v>0.77500000000000002</v>
      </c>
      <c r="BK66">
        <v>0.77500000000000002</v>
      </c>
      <c r="BM66">
        <v>0.81</v>
      </c>
      <c r="BN66">
        <v>0.81</v>
      </c>
      <c r="BP66">
        <v>0.72</v>
      </c>
      <c r="BQ66">
        <v>0.72</v>
      </c>
      <c r="BS66">
        <v>0.8</v>
      </c>
      <c r="BT66">
        <v>0.8</v>
      </c>
      <c r="BV66">
        <v>1.32</v>
      </c>
      <c r="BW66">
        <v>1.32</v>
      </c>
      <c r="BY66" t="s">
        <v>76</v>
      </c>
      <c r="BZ66" cm="1">
        <f t="array" ref="BZ66">_xlfn.IFS($AN66&gt;0,AVERAGE(AL66:AM66),$AQ66&gt;0,AVERAGE(AO66:AP66),$AT66&gt;0,AVERAGE(AR66:AS66),$AW66&gt;0,AVERAGE(AU66:AV66),$AZ66&gt;0,AVERAGE(AX66:AY66),$BC66&gt;0,AVERAGE(BA66:BB66),$BF66&gt;0,AVERAGE(BD66:BE66),$BI66&gt;0,AVERAGE(BG66:BH66),$BL66&gt;0,AVERAGE(BJ66:BK66),$BO66&gt;0,AVERAGE(BM66:BN66),$BR66&gt;0,AVERAGE(BP66:BQ66),$BU66&gt;0,AVERAGE(BS66:BT66),$BX66&gt;0,AVERAGE(BV66:BW66))</f>
        <v>1</v>
      </c>
      <c r="CA66">
        <v>0.59</v>
      </c>
      <c r="CC66">
        <v>0</v>
      </c>
      <c r="CD66">
        <f t="shared" si="6"/>
        <v>0</v>
      </c>
      <c r="CE66">
        <v>0</v>
      </c>
      <c r="CG66" s="1" t="s">
        <v>279</v>
      </c>
      <c r="CH66" s="1" t="s">
        <v>279</v>
      </c>
      <c r="CI66" s="1" t="s">
        <v>279</v>
      </c>
    </row>
    <row r="67" spans="1:87" x14ac:dyDescent="0.2">
      <c r="A67" t="s">
        <v>65</v>
      </c>
      <c r="B67" s="7" t="s">
        <v>393</v>
      </c>
      <c r="D67" t="s">
        <v>269</v>
      </c>
      <c r="E67" t="s">
        <v>92</v>
      </c>
      <c r="F67" t="s">
        <v>171</v>
      </c>
      <c r="G67" t="s">
        <v>83</v>
      </c>
      <c r="H67" t="s">
        <v>210</v>
      </c>
      <c r="I67" t="s">
        <v>281</v>
      </c>
      <c r="J67" t="s">
        <v>172</v>
      </c>
      <c r="K67" t="s">
        <v>206</v>
      </c>
      <c r="L67" t="s">
        <v>70</v>
      </c>
      <c r="M67" t="s">
        <v>70</v>
      </c>
      <c r="N67" t="s">
        <v>175</v>
      </c>
      <c r="O67" t="s">
        <v>202</v>
      </c>
      <c r="P67" t="str">
        <f t="shared" si="5"/>
        <v>DFTL_CPU_PCPU_MPX00L_CPUTDF_C307_PL0010_X_X_DIV166_SelsrmSSSS_</v>
      </c>
      <c r="S67">
        <v>0.59</v>
      </c>
      <c r="T67">
        <v>0.55459999999999998</v>
      </c>
      <c r="U67" t="s">
        <v>71</v>
      </c>
      <c r="V67" t="s">
        <v>173</v>
      </c>
      <c r="W67" t="s">
        <v>329</v>
      </c>
      <c r="X67" t="s">
        <v>248</v>
      </c>
      <c r="AF67" t="s">
        <v>330</v>
      </c>
      <c r="AG67" t="s">
        <v>331</v>
      </c>
      <c r="AK67" t="s">
        <v>75</v>
      </c>
      <c r="AL67">
        <v>1.25</v>
      </c>
      <c r="AM67">
        <v>0.8</v>
      </c>
      <c r="AN67">
        <v>5.0000000000000001E-3</v>
      </c>
      <c r="AO67">
        <v>0.71499999999999997</v>
      </c>
      <c r="AP67">
        <v>0.71499999999999997</v>
      </c>
      <c r="AR67">
        <v>0.72</v>
      </c>
      <c r="AS67">
        <v>0.72</v>
      </c>
      <c r="AU67">
        <v>1.1100000000000001</v>
      </c>
      <c r="AV67">
        <v>1.1100000000000001</v>
      </c>
      <c r="AX67">
        <v>0.72</v>
      </c>
      <c r="AY67">
        <v>0.72</v>
      </c>
      <c r="BA67">
        <v>0.76500000000000001</v>
      </c>
      <c r="BB67">
        <v>0.76500000000000001</v>
      </c>
      <c r="BD67">
        <v>1.1850000000000001</v>
      </c>
      <c r="BE67">
        <v>1.1850000000000001</v>
      </c>
      <c r="BG67">
        <v>0.77500000000000002</v>
      </c>
      <c r="BH67">
        <v>0.77500000000000002</v>
      </c>
      <c r="BJ67">
        <v>0.77500000000000002</v>
      </c>
      <c r="BK67">
        <v>0.77500000000000002</v>
      </c>
      <c r="BM67">
        <v>0.81</v>
      </c>
      <c r="BN67">
        <v>0.81</v>
      </c>
      <c r="BP67">
        <v>0.72</v>
      </c>
      <c r="BQ67">
        <v>0.72</v>
      </c>
      <c r="BS67">
        <v>0.8</v>
      </c>
      <c r="BT67">
        <v>0.8</v>
      </c>
      <c r="BV67">
        <v>1.32</v>
      </c>
      <c r="BW67">
        <v>1.32</v>
      </c>
      <c r="BY67" t="s">
        <v>76</v>
      </c>
      <c r="BZ67">
        <v>0.55500000000000005</v>
      </c>
      <c r="CA67">
        <v>0.59</v>
      </c>
      <c r="CC67">
        <f>IF(ISNUMBER(SEARCH("HTOL",$D67)),1,0)</f>
        <v>0</v>
      </c>
      <c r="CD67">
        <f t="shared" si="6"/>
        <v>0</v>
      </c>
      <c r="CE67">
        <v>9</v>
      </c>
      <c r="CF67" s="1" t="s">
        <v>279</v>
      </c>
    </row>
    <row r="68" spans="1:87" x14ac:dyDescent="0.2">
      <c r="A68" t="s">
        <v>65</v>
      </c>
      <c r="B68" s="6" t="s">
        <v>60</v>
      </c>
      <c r="D68" t="s">
        <v>269</v>
      </c>
      <c r="E68" t="s">
        <v>92</v>
      </c>
      <c r="F68" t="s">
        <v>171</v>
      </c>
      <c r="G68" t="s">
        <v>136</v>
      </c>
      <c r="H68" t="s">
        <v>182</v>
      </c>
      <c r="I68" t="s">
        <v>194</v>
      </c>
      <c r="J68" t="s">
        <v>184</v>
      </c>
      <c r="K68" t="s">
        <v>146</v>
      </c>
      <c r="L68" t="s">
        <v>185</v>
      </c>
      <c r="M68" t="s">
        <v>186</v>
      </c>
      <c r="N68" t="s">
        <v>70</v>
      </c>
      <c r="O68" t="s">
        <v>202</v>
      </c>
      <c r="P68" s="4" t="str">
        <f t="shared" si="5"/>
        <v>DFTL_CPU_CPUSRAM_MPX00G_CPUBST_C303_PLLP_59N_REPREST_X_SelsrmSSSS_</v>
      </c>
      <c r="S68" cm="1">
        <f t="array" ref="S68">_xlfn.IFS($AN68&gt;0,MAX(AL68:AM68),$AQ68&gt;0,MAX(AO68:AP68),$AT68&gt;0,MAX(AR68:AS68),$AW68&gt;0,MAX(AU68:AV68),$AZ68&gt;0,MAX(AX68:AY68),$BC68&gt;0,MAX(BA68:BB68),$BF68&gt;0,MAX(BD68:BE68),$BI68&gt;0,MAX(BG68:BH68),$BL68&gt;0,MAX(BJ68:BK68),$BO68&gt;0,MAX(BM68:BN68),$BR68&gt;0,MAX(BP68:BQ68),$BU68&gt;0,MAX(BS68:BT68),$BX68&gt;0,MAX(BV68:BW68))-0.01</f>
        <v>1.0900000000000001</v>
      </c>
      <c r="T68" cm="1">
        <f t="array" ref="T68">_xlfn.IFS($AN68&gt;0,MIN(AL68:AM68),$AQ68&gt;0,MIN(AO68:AP68),$AT68&gt;0,MIN(AR68:AS68),$AW68&gt;0,MIN(AU68:AV68),$AZ68&gt;0,MIN(AX68:AY68),$BC68&gt;0,MIN(BA68:BB68),$BF68&gt;0,MIN(BD68:BE68),$BI68&gt;0,MIN(BG68:BH68),$BL68&gt;0,MIN(BJ68:BK68),$BO68&gt;0,MIN(BM68:BN68),$BR68&gt;0,MIN(BP68:BQ68),$BU68&gt;0,MIN(BS68:BT68),$BX68&gt;0,MIN(BV68:BW68))+0.01</f>
        <v>0.81</v>
      </c>
      <c r="U68" t="s">
        <v>71</v>
      </c>
      <c r="V68" t="s">
        <v>187</v>
      </c>
      <c r="W68" t="s">
        <v>188</v>
      </c>
      <c r="X68" t="s">
        <v>243</v>
      </c>
      <c r="AF68" t="s">
        <v>196</v>
      </c>
      <c r="AK68" t="s">
        <v>75</v>
      </c>
      <c r="AL68">
        <v>1.18</v>
      </c>
      <c r="AM68">
        <v>1.18</v>
      </c>
      <c r="AO68">
        <v>0.71499999999999997</v>
      </c>
      <c r="AP68">
        <v>0.71499999999999997</v>
      </c>
      <c r="AR68">
        <v>0.72</v>
      </c>
      <c r="AS68">
        <v>0.72</v>
      </c>
      <c r="AU68">
        <v>1.1100000000000001</v>
      </c>
      <c r="AV68">
        <v>1.1100000000000001</v>
      </c>
      <c r="AX68">
        <v>0.72</v>
      </c>
      <c r="AY68">
        <v>0.72</v>
      </c>
      <c r="BA68">
        <v>0.76500000000000001</v>
      </c>
      <c r="BB68">
        <v>0.76500000000000001</v>
      </c>
      <c r="BD68" s="1">
        <v>1.1000000000000001</v>
      </c>
      <c r="BE68" s="1">
        <v>0.8</v>
      </c>
      <c r="BF68">
        <v>5.0000000000000001E-3</v>
      </c>
      <c r="BG68">
        <v>0.77500000000000002</v>
      </c>
      <c r="BH68">
        <v>0.77500000000000002</v>
      </c>
      <c r="BJ68">
        <v>0.77500000000000002</v>
      </c>
      <c r="BK68">
        <v>0.77500000000000002</v>
      </c>
      <c r="BM68">
        <v>0.81</v>
      </c>
      <c r="BN68">
        <v>0.81</v>
      </c>
      <c r="BP68">
        <v>0.72</v>
      </c>
      <c r="BQ68">
        <v>0.72</v>
      </c>
      <c r="BS68">
        <v>0.8</v>
      </c>
      <c r="BT68">
        <v>0.8</v>
      </c>
      <c r="BV68">
        <v>1.32</v>
      </c>
      <c r="BW68">
        <v>1.32</v>
      </c>
      <c r="BY68" t="s">
        <v>76</v>
      </c>
      <c r="BZ68" cm="1">
        <f t="array" ref="BZ68">_xlfn.IFS($AN68&gt;0,AVERAGE(AL68:AM68),$AQ68&gt;0,AVERAGE(AO68:AP68),$AT68&gt;0,AVERAGE(AR68:AS68),$AW68&gt;0,AVERAGE(AU68:AV68),$AZ68&gt;0,AVERAGE(AX68:AY68),$BC68&gt;0,AVERAGE(BA68:BB68),$BF68&gt;0,AVERAGE(BD68:BE68),$BI68&gt;0,AVERAGE(BG68:BH68),$BL68&gt;0,AVERAGE(BJ68:BK68),$BO68&gt;0,AVERAGE(BM68:BN68),$BR68&gt;0,AVERAGE(BP68:BQ68),$BU68&gt;0,AVERAGE(BS68:BT68),$BX68&gt;0,AVERAGE(BV68:BW68))</f>
        <v>0.95000000000000007</v>
      </c>
      <c r="CA68">
        <v>0.79</v>
      </c>
      <c r="CC68">
        <v>0</v>
      </c>
      <c r="CD68">
        <f t="shared" si="6"/>
        <v>0</v>
      </c>
      <c r="CE68">
        <v>0</v>
      </c>
      <c r="CF68" s="1" t="s">
        <v>279</v>
      </c>
    </row>
    <row r="69" spans="1:87" hidden="1" x14ac:dyDescent="0.2">
      <c r="A69" t="s">
        <v>91</v>
      </c>
      <c r="B69" s="7" t="s">
        <v>338</v>
      </c>
      <c r="C69" t="s">
        <v>280</v>
      </c>
      <c r="D69" t="s">
        <v>339</v>
      </c>
      <c r="E69" t="s">
        <v>92</v>
      </c>
      <c r="F69" t="s">
        <v>171</v>
      </c>
      <c r="G69" t="s">
        <v>83</v>
      </c>
      <c r="H69" t="s">
        <v>210</v>
      </c>
      <c r="I69" t="s">
        <v>250</v>
      </c>
      <c r="J69" t="s">
        <v>172</v>
      </c>
      <c r="K69" t="s">
        <v>206</v>
      </c>
      <c r="L69" t="s">
        <v>258</v>
      </c>
      <c r="M69" t="s">
        <v>70</v>
      </c>
      <c r="N69" t="s">
        <v>337</v>
      </c>
      <c r="O69" t="s">
        <v>202</v>
      </c>
      <c r="P69" s="4" t="str">
        <f t="shared" si="5"/>
        <v>DFTL_CPU_PCPU_MPX00L_CPUTDF1P_C307_PL0010_C3_X_DIV133_SelsrmSSSS_</v>
      </c>
      <c r="S69" cm="1">
        <f t="array" ref="S69">_xlfn.IFS($AN69&gt;0,MAX(AL69:AM69),$AQ69&gt;0,MAX(AO69:AP69),$AT69&gt;0,MAX(AR69:AS69),$AW69&gt;0,MAX(AU69:AV69),$AZ69&gt;0,MAX(AX69:AY69),$BC69&gt;0,MAX(BA69:BB69),$BF69&gt;0,MAX(BD69:BE69),$BI69&gt;0,MAX(BG69:BH69),$BL69&gt;0,MAX(BJ69:BK69),$BO69&gt;0,MAX(BM69:BN69),$BR69&gt;0,MAX(BP69:BQ69),$BU69&gt;0,MAX(BS69:BT69),$BX69&gt;0,MAX(BV69:BW69))-0.01</f>
        <v>1.19</v>
      </c>
      <c r="T69" cm="1">
        <f t="array" ref="T69">_xlfn.IFS($AN69&gt;0,MIN(AL69:AM69),$AQ69&gt;0,MIN(AO69:AP69),$AT69&gt;0,MIN(AR69:AS69),$AW69&gt;0,MIN(AU69:AV69),$AZ69&gt;0,MIN(AX69:AY69),$BC69&gt;0,MIN(BA69:BB69),$BF69&gt;0,MIN(BD69:BE69),$BI69&gt;0,MIN(BG69:BH69),$BL69&gt;0,MIN(BJ69:BK69),$BO69&gt;0,MIN(BM69:BN69),$BR69&gt;0,MIN(BP69:BQ69),$BU69&gt;0,MIN(BS69:BT69),$BX69&gt;0,MIN(BV69:BW69))+0.01</f>
        <v>0.81</v>
      </c>
      <c r="U69" t="s">
        <v>71</v>
      </c>
      <c r="V69" t="s">
        <v>173</v>
      </c>
      <c r="W69" t="s">
        <v>259</v>
      </c>
      <c r="X69" t="s">
        <v>248</v>
      </c>
      <c r="AF69" t="s">
        <v>252</v>
      </c>
      <c r="AG69" t="s">
        <v>253</v>
      </c>
      <c r="AK69" t="s">
        <v>75</v>
      </c>
      <c r="AL69" s="1">
        <v>1.2</v>
      </c>
      <c r="AM69" s="1">
        <v>0.8</v>
      </c>
      <c r="AN69">
        <v>5.0000000000000001E-3</v>
      </c>
      <c r="AO69">
        <v>0.71499999999999997</v>
      </c>
      <c r="AP69">
        <v>0.71499999999999997</v>
      </c>
      <c r="AR69">
        <v>0.72</v>
      </c>
      <c r="AS69">
        <v>0.72</v>
      </c>
      <c r="AU69">
        <v>1.1100000000000001</v>
      </c>
      <c r="AV69">
        <v>1.1100000000000001</v>
      </c>
      <c r="AX69">
        <v>0.72</v>
      </c>
      <c r="AY69">
        <v>0.72</v>
      </c>
      <c r="BA69">
        <v>0.76500000000000001</v>
      </c>
      <c r="BB69">
        <v>0.76500000000000001</v>
      </c>
      <c r="BD69">
        <v>1.1850000000000001</v>
      </c>
      <c r="BE69">
        <v>1.1850000000000001</v>
      </c>
      <c r="BG69">
        <v>0.77500000000000002</v>
      </c>
      <c r="BH69">
        <v>0.77500000000000002</v>
      </c>
      <c r="BJ69">
        <v>0.77500000000000002</v>
      </c>
      <c r="BK69">
        <v>0.77500000000000002</v>
      </c>
      <c r="BM69">
        <v>0.81</v>
      </c>
      <c r="BN69">
        <v>0.81</v>
      </c>
      <c r="BP69">
        <v>0.72</v>
      </c>
      <c r="BQ69">
        <v>0.72</v>
      </c>
      <c r="BS69">
        <v>0.8</v>
      </c>
      <c r="BT69">
        <v>0.8</v>
      </c>
      <c r="BV69">
        <v>1.32</v>
      </c>
      <c r="BW69">
        <v>1.32</v>
      </c>
      <c r="BY69" t="s">
        <v>76</v>
      </c>
      <c r="BZ69" cm="1">
        <f t="array" ref="BZ69">_xlfn.IFS($AN69&gt;0,AVERAGE(AL69:AM69),$AQ69&gt;0,AVERAGE(AO69:AP69),$AT69&gt;0,AVERAGE(AR69:AS69),$AW69&gt;0,AVERAGE(AU69:AV69),$AZ69&gt;0,AVERAGE(AX69:AY69),$BC69&gt;0,AVERAGE(BA69:BB69),$BF69&gt;0,AVERAGE(BD69:BE69),$BI69&gt;0,AVERAGE(BG69:BH69),$BL69&gt;0,AVERAGE(BJ69:BK69),$BO69&gt;0,AVERAGE(BM69:BN69),$BR69&gt;0,AVERAGE(BP69:BQ69),$BU69&gt;0,AVERAGE(BS69:BT69),$BX69&gt;0,AVERAGE(BV69:BW69))</f>
        <v>1</v>
      </c>
      <c r="CA69">
        <v>0.59</v>
      </c>
      <c r="CC69">
        <v>0</v>
      </c>
      <c r="CD69">
        <f t="shared" si="6"/>
        <v>0</v>
      </c>
      <c r="CE69">
        <v>0</v>
      </c>
      <c r="CF69" s="1" t="s">
        <v>279</v>
      </c>
      <c r="CG69" s="1" t="s">
        <v>279</v>
      </c>
      <c r="CH69" s="1" t="s">
        <v>279</v>
      </c>
    </row>
    <row r="70" spans="1:87" hidden="1" x14ac:dyDescent="0.2">
      <c r="A70" t="s">
        <v>91</v>
      </c>
      <c r="B70" s="7" t="s">
        <v>393</v>
      </c>
      <c r="D70" t="s">
        <v>339</v>
      </c>
      <c r="E70" t="s">
        <v>92</v>
      </c>
      <c r="F70" t="s">
        <v>171</v>
      </c>
      <c r="G70" t="s">
        <v>83</v>
      </c>
      <c r="H70" t="s">
        <v>210</v>
      </c>
      <c r="I70" t="s">
        <v>250</v>
      </c>
      <c r="J70" t="s">
        <v>172</v>
      </c>
      <c r="K70" t="s">
        <v>206</v>
      </c>
      <c r="L70" t="s">
        <v>249</v>
      </c>
      <c r="M70" t="s">
        <v>70</v>
      </c>
      <c r="N70" t="s">
        <v>337</v>
      </c>
      <c r="O70" t="s">
        <v>202</v>
      </c>
      <c r="P70" s="4" t="str">
        <f t="shared" si="5"/>
        <v>DFTL_CPU_PCPU_MPX00L_CPUTDF1P_C307_PL0010_C0_X_DIV133_SelsrmSSSS_</v>
      </c>
      <c r="S70">
        <v>1.19</v>
      </c>
      <c r="T70">
        <v>0.81</v>
      </c>
      <c r="U70" t="s">
        <v>71</v>
      </c>
      <c r="V70" t="s">
        <v>173</v>
      </c>
      <c r="W70" t="s">
        <v>251</v>
      </c>
      <c r="X70" t="s">
        <v>248</v>
      </c>
      <c r="AF70" t="s">
        <v>252</v>
      </c>
      <c r="AG70" t="s">
        <v>253</v>
      </c>
      <c r="AK70" t="s">
        <v>75</v>
      </c>
      <c r="AL70" s="1">
        <v>1.2</v>
      </c>
      <c r="AM70" s="1">
        <v>0.8</v>
      </c>
      <c r="AN70">
        <v>5.0000000000000001E-3</v>
      </c>
      <c r="AO70">
        <v>0.71499999999999997</v>
      </c>
      <c r="AP70">
        <v>0.71499999999999997</v>
      </c>
      <c r="AR70">
        <v>0.72</v>
      </c>
      <c r="AS70">
        <v>0.72</v>
      </c>
      <c r="AU70">
        <v>1.1100000000000001</v>
      </c>
      <c r="AV70">
        <v>1.1100000000000001</v>
      </c>
      <c r="AX70">
        <v>0.72</v>
      </c>
      <c r="AY70">
        <v>0.72</v>
      </c>
      <c r="BA70">
        <v>0.76500000000000001</v>
      </c>
      <c r="BB70">
        <v>0.76500000000000001</v>
      </c>
      <c r="BD70">
        <v>1.1850000000000001</v>
      </c>
      <c r="BE70">
        <v>1.1850000000000001</v>
      </c>
      <c r="BG70">
        <v>0.77500000000000002</v>
      </c>
      <c r="BH70">
        <v>0.77500000000000002</v>
      </c>
      <c r="BJ70">
        <v>0.77500000000000002</v>
      </c>
      <c r="BK70">
        <v>0.77500000000000002</v>
      </c>
      <c r="BM70">
        <v>0.81</v>
      </c>
      <c r="BN70">
        <v>0.81</v>
      </c>
      <c r="BP70">
        <v>0.72</v>
      </c>
      <c r="BQ70">
        <v>0.72</v>
      </c>
      <c r="BS70">
        <v>0.8</v>
      </c>
      <c r="BT70">
        <v>0.8</v>
      </c>
      <c r="BV70">
        <v>1.32</v>
      </c>
      <c r="BW70">
        <v>1.32</v>
      </c>
      <c r="BY70" t="s">
        <v>76</v>
      </c>
      <c r="BZ70">
        <v>1</v>
      </c>
      <c r="CA70">
        <v>0.59</v>
      </c>
      <c r="CC70">
        <v>0</v>
      </c>
      <c r="CD70">
        <v>0</v>
      </c>
      <c r="CE70">
        <v>0</v>
      </c>
      <c r="CG70" s="1" t="s">
        <v>279</v>
      </c>
      <c r="CH70" s="1" t="s">
        <v>279</v>
      </c>
      <c r="CI70" s="1" t="s">
        <v>279</v>
      </c>
    </row>
    <row r="71" spans="1:87" x14ac:dyDescent="0.2">
      <c r="A71" t="s">
        <v>65</v>
      </c>
      <c r="B71" s="6" t="s">
        <v>60</v>
      </c>
      <c r="D71" t="s">
        <v>269</v>
      </c>
      <c r="E71" t="s">
        <v>92</v>
      </c>
      <c r="F71" t="s">
        <v>171</v>
      </c>
      <c r="G71" t="s">
        <v>136</v>
      </c>
      <c r="H71" t="s">
        <v>210</v>
      </c>
      <c r="I71" t="s">
        <v>194</v>
      </c>
      <c r="J71" t="s">
        <v>184</v>
      </c>
      <c r="K71" t="s">
        <v>146</v>
      </c>
      <c r="L71" t="s">
        <v>185</v>
      </c>
      <c r="M71" t="s">
        <v>186</v>
      </c>
      <c r="N71" t="s">
        <v>70</v>
      </c>
      <c r="O71" t="s">
        <v>202</v>
      </c>
      <c r="P71" s="4" t="str">
        <f t="shared" si="5"/>
        <v>DFTL_CPU_CPUSRAM_MPX00L_CPUBST_C303_PLLP_59N_REPREST_X_SelsrmSSSS_</v>
      </c>
      <c r="S71" cm="1">
        <f t="array" ref="S71">_xlfn.IFS($AN71&gt;0,MAX(AL71:AM71),$AQ71&gt;0,MAX(AO71:AP71),$AT71&gt;0,MAX(AR71:AS71),$AW71&gt;0,MAX(AU71:AV71),$AZ71&gt;0,MAX(AX71:AY71),$BC71&gt;0,MAX(BA71:BB71),$BF71&gt;0,MAX(BD71:BE71),$BI71&gt;0,MAX(BG71:BH71),$BL71&gt;0,MAX(BJ71:BK71),$BO71&gt;0,MAX(BM71:BN71),$BR71&gt;0,MAX(BP71:BQ71),$BU71&gt;0,MAX(BS71:BT71),$BX71&gt;0,MAX(BV71:BW71))-0.01</f>
        <v>1.19</v>
      </c>
      <c r="T71" cm="1">
        <f t="array" ref="T71">_xlfn.IFS($AN71&gt;0,MIN(AL71:AM71),$AQ71&gt;0,MIN(AO71:AP71),$AT71&gt;0,MIN(AR71:AS71),$AW71&gt;0,MIN(AU71:AV71),$AZ71&gt;0,MIN(AX71:AY71),$BC71&gt;0,MIN(BA71:BB71),$BF71&gt;0,MIN(BD71:BE71),$BI71&gt;0,MIN(BG71:BH71),$BL71&gt;0,MIN(BJ71:BK71),$BO71&gt;0,MIN(BM71:BN71),$BR71&gt;0,MIN(BP71:BQ71),$BU71&gt;0,MIN(BS71:BT71),$BX71&gt;0,MIN(BV71:BW71))+0.01</f>
        <v>0.81</v>
      </c>
      <c r="U71" t="s">
        <v>71</v>
      </c>
      <c r="V71" t="s">
        <v>187</v>
      </c>
      <c r="W71" t="s">
        <v>188</v>
      </c>
      <c r="X71" t="s">
        <v>267</v>
      </c>
      <c r="AF71" s="3" t="s">
        <v>196</v>
      </c>
      <c r="AK71" t="s">
        <v>75</v>
      </c>
      <c r="AL71">
        <v>1.25</v>
      </c>
      <c r="AM71">
        <v>1.25</v>
      </c>
      <c r="AO71">
        <v>0.71499999999999997</v>
      </c>
      <c r="AP71">
        <v>0.71499999999999997</v>
      </c>
      <c r="AR71">
        <v>0.72</v>
      </c>
      <c r="AS71">
        <v>0.72</v>
      </c>
      <c r="AU71">
        <v>1.1100000000000001</v>
      </c>
      <c r="AV71">
        <v>1.1100000000000001</v>
      </c>
      <c r="AX71">
        <v>0.72</v>
      </c>
      <c r="AY71">
        <v>0.72</v>
      </c>
      <c r="BA71">
        <v>0.76500000000000001</v>
      </c>
      <c r="BB71">
        <v>0.76500000000000001</v>
      </c>
      <c r="BD71" s="1">
        <v>1.2</v>
      </c>
      <c r="BE71" s="1">
        <v>0.8</v>
      </c>
      <c r="BF71">
        <v>5.0000000000000001E-3</v>
      </c>
      <c r="BG71">
        <v>0.77500000000000002</v>
      </c>
      <c r="BH71">
        <v>0.77500000000000002</v>
      </c>
      <c r="BJ71">
        <v>0.77500000000000002</v>
      </c>
      <c r="BK71">
        <v>0.77500000000000002</v>
      </c>
      <c r="BM71">
        <v>0.81</v>
      </c>
      <c r="BN71">
        <v>0.81</v>
      </c>
      <c r="BP71">
        <v>0.72</v>
      </c>
      <c r="BQ71">
        <v>0.72</v>
      </c>
      <c r="BS71">
        <v>0.8</v>
      </c>
      <c r="BT71">
        <v>0.8</v>
      </c>
      <c r="BV71">
        <v>1.32</v>
      </c>
      <c r="BW71">
        <v>1.32</v>
      </c>
      <c r="BY71" t="s">
        <v>76</v>
      </c>
      <c r="BZ71" cm="1">
        <f t="array" ref="BZ71">_xlfn.IFS($AN71&gt;0,AVERAGE(AL71:AM71),$AQ71&gt;0,AVERAGE(AO71:AP71),$AT71&gt;0,AVERAGE(AR71:AS71),$AW71&gt;0,AVERAGE(AU71:AV71),$AZ71&gt;0,AVERAGE(AX71:AY71),$BC71&gt;0,AVERAGE(BA71:BB71),$BF71&gt;0,AVERAGE(BD71:BE71),$BI71&gt;0,AVERAGE(BG71:BH71),$BL71&gt;0,AVERAGE(BJ71:BK71),$BO71&gt;0,AVERAGE(BM71:BN71),$BR71&gt;0,AVERAGE(BP71:BQ71),$BU71&gt;0,AVERAGE(BS71:BT71),$BX71&gt;0,AVERAGE(BV71:BW71))</f>
        <v>1</v>
      </c>
      <c r="CA71">
        <v>0.79</v>
      </c>
      <c r="CC71">
        <v>0</v>
      </c>
      <c r="CD71">
        <f>IF(ISNUMBER(SEARCH("TTR",$D71)),1,0)</f>
        <v>0</v>
      </c>
      <c r="CE71">
        <v>0</v>
      </c>
      <c r="CF71" s="1" t="s">
        <v>279</v>
      </c>
    </row>
    <row r="72" spans="1:87" hidden="1" x14ac:dyDescent="0.2">
      <c r="A72" t="s">
        <v>91</v>
      </c>
      <c r="B72" s="6" t="s">
        <v>338</v>
      </c>
      <c r="D72" t="s">
        <v>271</v>
      </c>
      <c r="E72" t="s">
        <v>92</v>
      </c>
      <c r="F72" t="s">
        <v>66</v>
      </c>
      <c r="G72" t="s">
        <v>66</v>
      </c>
      <c r="H72" t="s">
        <v>93</v>
      </c>
      <c r="I72" t="s">
        <v>94</v>
      </c>
      <c r="J72" t="s">
        <v>287</v>
      </c>
      <c r="K72" t="s">
        <v>95</v>
      </c>
      <c r="L72" t="s">
        <v>88</v>
      </c>
      <c r="M72" t="s">
        <v>70</v>
      </c>
      <c r="N72" t="s">
        <v>70</v>
      </c>
      <c r="O72" t="s">
        <v>202</v>
      </c>
      <c r="P72" s="4" t="str">
        <f t="shared" si="5"/>
        <v>DFTL_SOC_SOC_MSX001_SOCTDF_CCA0_PL00_SSC_X_X_SelsrmSSSS_</v>
      </c>
      <c r="S72">
        <v>0.73</v>
      </c>
      <c r="T72">
        <v>0.68620000000000003</v>
      </c>
      <c r="U72" t="s">
        <v>71</v>
      </c>
      <c r="V72" t="s">
        <v>72</v>
      </c>
      <c r="W72" t="s">
        <v>320</v>
      </c>
      <c r="X72" t="s">
        <v>74</v>
      </c>
      <c r="Y72" t="s">
        <v>288</v>
      </c>
      <c r="AF72" t="s">
        <v>289</v>
      </c>
      <c r="AK72" t="s">
        <v>75</v>
      </c>
      <c r="AL72">
        <v>0.755</v>
      </c>
      <c r="AM72">
        <v>0.755</v>
      </c>
      <c r="AO72">
        <v>0.71499999999999997</v>
      </c>
      <c r="AP72">
        <v>0.71499999999999997</v>
      </c>
      <c r="AR72">
        <v>0.72</v>
      </c>
      <c r="AS72">
        <v>0.72</v>
      </c>
      <c r="AU72">
        <v>0.7</v>
      </c>
      <c r="AV72">
        <v>0.5</v>
      </c>
      <c r="AW72">
        <v>5.0000000000000001E-3</v>
      </c>
      <c r="AX72">
        <v>1.05</v>
      </c>
      <c r="AY72">
        <v>1.05</v>
      </c>
      <c r="BA72">
        <v>1.0349999999999999</v>
      </c>
      <c r="BB72">
        <v>1.0349999999999999</v>
      </c>
      <c r="BD72">
        <v>0.85</v>
      </c>
      <c r="BE72">
        <v>0.85</v>
      </c>
      <c r="BG72">
        <v>0.77500000000000002</v>
      </c>
      <c r="BH72">
        <v>0.77500000000000002</v>
      </c>
      <c r="BJ72">
        <v>0.77500000000000002</v>
      </c>
      <c r="BK72">
        <v>0.77500000000000002</v>
      </c>
      <c r="BM72">
        <v>0.81</v>
      </c>
      <c r="BN72">
        <v>0.81</v>
      </c>
      <c r="BP72">
        <v>0.72</v>
      </c>
      <c r="BQ72">
        <v>0.72</v>
      </c>
      <c r="BS72">
        <v>0.8</v>
      </c>
      <c r="BT72">
        <v>0.8</v>
      </c>
      <c r="BV72">
        <v>1.32</v>
      </c>
      <c r="BW72">
        <v>1.32</v>
      </c>
      <c r="BY72" t="s">
        <v>76</v>
      </c>
      <c r="BZ72">
        <v>0.68600000000000005</v>
      </c>
      <c r="CA72">
        <v>0.73</v>
      </c>
      <c r="CC72">
        <f>IF(ISNUMBER(SEARCH("HTOL",$D72)),1,0)</f>
        <v>0</v>
      </c>
      <c r="CD72">
        <f>IF(ISNUMBER(SEARCH("TTR",$D72)),1,0)</f>
        <v>0</v>
      </c>
      <c r="CE72">
        <v>0</v>
      </c>
      <c r="CF72" s="1" t="s">
        <v>199</v>
      </c>
      <c r="CG72" s="1" t="s">
        <v>199</v>
      </c>
      <c r="CH72" s="1" t="s">
        <v>199</v>
      </c>
      <c r="CI72" s="1" t="s">
        <v>199</v>
      </c>
    </row>
    <row r="73" spans="1:87" hidden="1" x14ac:dyDescent="0.2">
      <c r="A73" t="s">
        <v>91</v>
      </c>
      <c r="B73" s="7" t="s">
        <v>393</v>
      </c>
      <c r="D73" t="s">
        <v>339</v>
      </c>
      <c r="E73" t="s">
        <v>92</v>
      </c>
      <c r="F73" t="s">
        <v>171</v>
      </c>
      <c r="G73" t="s">
        <v>83</v>
      </c>
      <c r="H73" t="s">
        <v>210</v>
      </c>
      <c r="I73" t="s">
        <v>250</v>
      </c>
      <c r="J73" t="s">
        <v>172</v>
      </c>
      <c r="K73" t="s">
        <v>206</v>
      </c>
      <c r="L73" t="s">
        <v>254</v>
      </c>
      <c r="M73" t="s">
        <v>70</v>
      </c>
      <c r="N73" t="s">
        <v>337</v>
      </c>
      <c r="O73" t="s">
        <v>202</v>
      </c>
      <c r="P73" s="4" t="str">
        <f t="shared" si="5"/>
        <v>DFTL_CPU_PCPU_MPX00L_CPUTDF1P_C307_PL0010_C1_X_DIV133_SelsrmSSSS_</v>
      </c>
      <c r="S73">
        <v>1.19</v>
      </c>
      <c r="T73">
        <v>0.81</v>
      </c>
      <c r="U73" t="s">
        <v>71</v>
      </c>
      <c r="V73" t="s">
        <v>173</v>
      </c>
      <c r="W73" t="s">
        <v>255</v>
      </c>
      <c r="X73" t="s">
        <v>248</v>
      </c>
      <c r="AF73" t="s">
        <v>252</v>
      </c>
      <c r="AG73" t="s">
        <v>253</v>
      </c>
      <c r="AK73" t="s">
        <v>75</v>
      </c>
      <c r="AL73" s="1">
        <v>1.2</v>
      </c>
      <c r="AM73" s="1">
        <v>0.8</v>
      </c>
      <c r="AN73">
        <v>5.0000000000000001E-3</v>
      </c>
      <c r="AO73">
        <v>0.71499999999999997</v>
      </c>
      <c r="AP73">
        <v>0.71499999999999997</v>
      </c>
      <c r="AR73">
        <v>0.72</v>
      </c>
      <c r="AS73">
        <v>0.72</v>
      </c>
      <c r="AU73">
        <v>1.1100000000000001</v>
      </c>
      <c r="AV73">
        <v>1.1100000000000001</v>
      </c>
      <c r="AX73">
        <v>0.72</v>
      </c>
      <c r="AY73">
        <v>0.72</v>
      </c>
      <c r="BA73">
        <v>0.76500000000000001</v>
      </c>
      <c r="BB73">
        <v>0.76500000000000001</v>
      </c>
      <c r="BD73">
        <v>1.1850000000000001</v>
      </c>
      <c r="BE73">
        <v>1.1850000000000001</v>
      </c>
      <c r="BG73">
        <v>0.77500000000000002</v>
      </c>
      <c r="BH73">
        <v>0.77500000000000002</v>
      </c>
      <c r="BJ73">
        <v>0.77500000000000002</v>
      </c>
      <c r="BK73">
        <v>0.77500000000000002</v>
      </c>
      <c r="BM73">
        <v>0.81</v>
      </c>
      <c r="BN73">
        <v>0.81</v>
      </c>
      <c r="BP73">
        <v>0.72</v>
      </c>
      <c r="BQ73">
        <v>0.72</v>
      </c>
      <c r="BS73">
        <v>0.8</v>
      </c>
      <c r="BT73">
        <v>0.8</v>
      </c>
      <c r="BV73">
        <v>1.32</v>
      </c>
      <c r="BW73">
        <v>1.32</v>
      </c>
      <c r="BY73" t="s">
        <v>76</v>
      </c>
      <c r="BZ73">
        <v>1</v>
      </c>
      <c r="CA73">
        <v>0.59</v>
      </c>
      <c r="CC73">
        <v>0</v>
      </c>
      <c r="CD73">
        <v>0</v>
      </c>
      <c r="CE73">
        <v>0</v>
      </c>
      <c r="CG73" s="1" t="s">
        <v>279</v>
      </c>
      <c r="CH73" s="1" t="s">
        <v>279</v>
      </c>
      <c r="CI73" s="1" t="s">
        <v>279</v>
      </c>
    </row>
    <row r="74" spans="1:87" hidden="1" x14ac:dyDescent="0.2">
      <c r="A74" t="s">
        <v>91</v>
      </c>
      <c r="B74" s="7" t="s">
        <v>393</v>
      </c>
      <c r="D74" t="s">
        <v>339</v>
      </c>
      <c r="E74" t="s">
        <v>92</v>
      </c>
      <c r="F74" t="s">
        <v>171</v>
      </c>
      <c r="G74" t="s">
        <v>83</v>
      </c>
      <c r="H74" t="s">
        <v>210</v>
      </c>
      <c r="I74" t="s">
        <v>250</v>
      </c>
      <c r="J74" t="s">
        <v>172</v>
      </c>
      <c r="K74" t="s">
        <v>206</v>
      </c>
      <c r="L74" t="s">
        <v>256</v>
      </c>
      <c r="M74" t="s">
        <v>70</v>
      </c>
      <c r="N74" t="s">
        <v>337</v>
      </c>
      <c r="O74" t="s">
        <v>202</v>
      </c>
      <c r="P74" s="4" t="str">
        <f t="shared" si="5"/>
        <v>DFTL_CPU_PCPU_MPX00L_CPUTDF1P_C307_PL0010_C2_X_DIV133_SelsrmSSSS_</v>
      </c>
      <c r="S74">
        <v>1.19</v>
      </c>
      <c r="T74">
        <v>0.81</v>
      </c>
      <c r="U74" t="s">
        <v>71</v>
      </c>
      <c r="V74" t="s">
        <v>173</v>
      </c>
      <c r="W74" t="s">
        <v>257</v>
      </c>
      <c r="X74" t="s">
        <v>248</v>
      </c>
      <c r="AF74" t="s">
        <v>252</v>
      </c>
      <c r="AG74" t="s">
        <v>253</v>
      </c>
      <c r="AK74" t="s">
        <v>75</v>
      </c>
      <c r="AL74" s="1">
        <v>1.2</v>
      </c>
      <c r="AM74" s="1">
        <v>0.8</v>
      </c>
      <c r="AN74">
        <v>5.0000000000000001E-3</v>
      </c>
      <c r="AO74">
        <v>0.71499999999999997</v>
      </c>
      <c r="AP74">
        <v>0.71499999999999997</v>
      </c>
      <c r="AR74">
        <v>0.72</v>
      </c>
      <c r="AS74">
        <v>0.72</v>
      </c>
      <c r="AU74">
        <v>1.1100000000000001</v>
      </c>
      <c r="AV74">
        <v>1.1100000000000001</v>
      </c>
      <c r="AX74">
        <v>0.72</v>
      </c>
      <c r="AY74">
        <v>0.72</v>
      </c>
      <c r="BA74">
        <v>0.76500000000000001</v>
      </c>
      <c r="BB74">
        <v>0.76500000000000001</v>
      </c>
      <c r="BD74">
        <v>1.1850000000000001</v>
      </c>
      <c r="BE74">
        <v>1.1850000000000001</v>
      </c>
      <c r="BG74">
        <v>0.77500000000000002</v>
      </c>
      <c r="BH74">
        <v>0.77500000000000002</v>
      </c>
      <c r="BJ74">
        <v>0.77500000000000002</v>
      </c>
      <c r="BK74">
        <v>0.77500000000000002</v>
      </c>
      <c r="BM74">
        <v>0.81</v>
      </c>
      <c r="BN74">
        <v>0.81</v>
      </c>
      <c r="BP74">
        <v>0.72</v>
      </c>
      <c r="BQ74">
        <v>0.72</v>
      </c>
      <c r="BS74">
        <v>0.8</v>
      </c>
      <c r="BT74">
        <v>0.8</v>
      </c>
      <c r="BV74">
        <v>1.32</v>
      </c>
      <c r="BW74">
        <v>1.32</v>
      </c>
      <c r="BY74" t="s">
        <v>76</v>
      </c>
      <c r="BZ74">
        <v>1</v>
      </c>
      <c r="CA74">
        <v>0.59</v>
      </c>
      <c r="CC74">
        <v>0</v>
      </c>
      <c r="CD74">
        <v>0</v>
      </c>
      <c r="CE74">
        <v>0</v>
      </c>
      <c r="CG74" s="1" t="s">
        <v>279</v>
      </c>
      <c r="CH74" s="1" t="s">
        <v>279</v>
      </c>
      <c r="CI74" s="1" t="s">
        <v>279</v>
      </c>
    </row>
    <row r="75" spans="1:87" hidden="1" x14ac:dyDescent="0.2">
      <c r="A75" t="s">
        <v>91</v>
      </c>
      <c r="B75" s="6" t="s">
        <v>338</v>
      </c>
      <c r="D75" t="s">
        <v>269</v>
      </c>
      <c r="E75" t="s">
        <v>92</v>
      </c>
      <c r="F75" t="s">
        <v>66</v>
      </c>
      <c r="G75" t="s">
        <v>66</v>
      </c>
      <c r="H75" t="s">
        <v>304</v>
      </c>
      <c r="I75" t="s">
        <v>94</v>
      </c>
      <c r="J75" t="s">
        <v>78</v>
      </c>
      <c r="K75" t="s">
        <v>95</v>
      </c>
      <c r="L75" t="s">
        <v>88</v>
      </c>
      <c r="M75" t="s">
        <v>70</v>
      </c>
      <c r="N75" t="s">
        <v>70</v>
      </c>
      <c r="O75" t="s">
        <v>202</v>
      </c>
      <c r="P75" s="4" t="str">
        <f t="shared" si="5"/>
        <v>DFTL_SOC_SOC_MSX002_SOCTDF_CCE0_PL00_SSC_X_X_SelsrmSSSS_</v>
      </c>
      <c r="S75">
        <v>0.81</v>
      </c>
      <c r="T75">
        <v>0.76139999999999997</v>
      </c>
      <c r="U75" t="s">
        <v>71</v>
      </c>
      <c r="V75" t="s">
        <v>79</v>
      </c>
      <c r="W75" t="s">
        <v>320</v>
      </c>
      <c r="X75" t="s">
        <v>74</v>
      </c>
      <c r="Y75" t="s">
        <v>305</v>
      </c>
      <c r="AF75" t="s">
        <v>226</v>
      </c>
      <c r="AK75" t="s">
        <v>75</v>
      </c>
      <c r="AL75">
        <v>0.755</v>
      </c>
      <c r="AM75">
        <v>0.755</v>
      </c>
      <c r="AO75">
        <v>0.71499999999999997</v>
      </c>
      <c r="AP75">
        <v>0.71499999999999997</v>
      </c>
      <c r="AR75">
        <v>0.72</v>
      </c>
      <c r="AS75">
        <v>0.72</v>
      </c>
      <c r="AU75">
        <v>0.85</v>
      </c>
      <c r="AV75">
        <v>0.55000000000000004</v>
      </c>
      <c r="AW75">
        <v>5.0000000000000001E-3</v>
      </c>
      <c r="AX75">
        <v>1.19</v>
      </c>
      <c r="AY75">
        <v>1.19</v>
      </c>
      <c r="BA75">
        <v>1.0349999999999999</v>
      </c>
      <c r="BB75">
        <v>1.0349999999999999</v>
      </c>
      <c r="BD75">
        <v>0.85</v>
      </c>
      <c r="BE75">
        <v>0.85</v>
      </c>
      <c r="BG75">
        <v>0.77500000000000002</v>
      </c>
      <c r="BH75">
        <v>0.77500000000000002</v>
      </c>
      <c r="BJ75">
        <v>0.77500000000000002</v>
      </c>
      <c r="BK75">
        <v>0.77500000000000002</v>
      </c>
      <c r="BM75">
        <v>0.81</v>
      </c>
      <c r="BN75">
        <v>0.81</v>
      </c>
      <c r="BP75">
        <v>0.72</v>
      </c>
      <c r="BQ75">
        <v>0.72</v>
      </c>
      <c r="BS75">
        <v>0.8</v>
      </c>
      <c r="BT75">
        <v>0.8</v>
      </c>
      <c r="BV75">
        <v>1.32</v>
      </c>
      <c r="BW75">
        <v>1.32</v>
      </c>
      <c r="BY75" t="s">
        <v>76</v>
      </c>
      <c r="BZ75">
        <v>0.76100000000000001</v>
      </c>
      <c r="CA75">
        <v>0.81</v>
      </c>
      <c r="CC75">
        <v>0</v>
      </c>
      <c r="CD75">
        <v>0</v>
      </c>
      <c r="CE75">
        <v>0</v>
      </c>
      <c r="CF75" s="1" t="s">
        <v>279</v>
      </c>
    </row>
    <row r="76" spans="1:87" hidden="1" x14ac:dyDescent="0.2">
      <c r="A76" t="s">
        <v>91</v>
      </c>
      <c r="B76" s="6" t="s">
        <v>338</v>
      </c>
      <c r="D76" t="s">
        <v>269</v>
      </c>
      <c r="E76" t="s">
        <v>92</v>
      </c>
      <c r="F76" t="s">
        <v>66</v>
      </c>
      <c r="G76" t="s">
        <v>66</v>
      </c>
      <c r="H76" t="s">
        <v>304</v>
      </c>
      <c r="I76" t="s">
        <v>94</v>
      </c>
      <c r="J76" t="s">
        <v>306</v>
      </c>
      <c r="K76" t="s">
        <v>95</v>
      </c>
      <c r="L76" t="s">
        <v>88</v>
      </c>
      <c r="M76" t="s">
        <v>70</v>
      </c>
      <c r="N76" t="s">
        <v>70</v>
      </c>
      <c r="O76" t="s">
        <v>202</v>
      </c>
      <c r="P76" s="4" t="str">
        <f t="shared" si="5"/>
        <v>DFTL_SOC_SOC_MSX002_SOCTDF_CCF0_PL00_SSC_X_X_SelsrmSSSS_</v>
      </c>
      <c r="S76">
        <v>0.81</v>
      </c>
      <c r="T76">
        <v>0.76139999999999997</v>
      </c>
      <c r="U76" t="s">
        <v>71</v>
      </c>
      <c r="V76" t="s">
        <v>72</v>
      </c>
      <c r="W76" t="s">
        <v>320</v>
      </c>
      <c r="X76" t="s">
        <v>74</v>
      </c>
      <c r="Y76" t="s">
        <v>307</v>
      </c>
      <c r="AF76" t="s">
        <v>308</v>
      </c>
      <c r="AK76" t="s">
        <v>75</v>
      </c>
      <c r="AL76">
        <v>0.755</v>
      </c>
      <c r="AM76">
        <v>0.755</v>
      </c>
      <c r="AO76">
        <v>0.71499999999999997</v>
      </c>
      <c r="AP76">
        <v>0.71499999999999997</v>
      </c>
      <c r="AR76">
        <v>0.72</v>
      </c>
      <c r="AS76">
        <v>0.72</v>
      </c>
      <c r="AU76">
        <v>0.85</v>
      </c>
      <c r="AV76">
        <v>0.55000000000000004</v>
      </c>
      <c r="AW76">
        <v>5.0000000000000001E-3</v>
      </c>
      <c r="AX76">
        <v>1.19</v>
      </c>
      <c r="AY76">
        <v>1.19</v>
      </c>
      <c r="BA76">
        <v>1.0349999999999999</v>
      </c>
      <c r="BB76">
        <v>1.0349999999999999</v>
      </c>
      <c r="BD76">
        <v>0.85</v>
      </c>
      <c r="BE76">
        <v>0.85</v>
      </c>
      <c r="BG76">
        <v>0.77500000000000002</v>
      </c>
      <c r="BH76">
        <v>0.77500000000000002</v>
      </c>
      <c r="BJ76">
        <v>0.77500000000000002</v>
      </c>
      <c r="BK76">
        <v>0.77500000000000002</v>
      </c>
      <c r="BM76">
        <v>0.81</v>
      </c>
      <c r="BN76">
        <v>0.81</v>
      </c>
      <c r="BP76">
        <v>0.72</v>
      </c>
      <c r="BQ76">
        <v>0.72</v>
      </c>
      <c r="BS76">
        <v>0.8</v>
      </c>
      <c r="BT76">
        <v>0.8</v>
      </c>
      <c r="BV76">
        <v>1.32</v>
      </c>
      <c r="BW76">
        <v>1.32</v>
      </c>
      <c r="BY76" t="s">
        <v>76</v>
      </c>
      <c r="BZ76">
        <v>0.76100000000000001</v>
      </c>
      <c r="CA76">
        <v>0.81</v>
      </c>
      <c r="CC76">
        <v>0</v>
      </c>
      <c r="CD76">
        <v>0</v>
      </c>
      <c r="CE76">
        <v>0</v>
      </c>
      <c r="CF76" s="1" t="s">
        <v>279</v>
      </c>
    </row>
    <row r="77" spans="1:87" hidden="1" x14ac:dyDescent="0.2">
      <c r="A77" t="s">
        <v>91</v>
      </c>
      <c r="B77" s="6" t="s">
        <v>338</v>
      </c>
      <c r="D77" t="s">
        <v>269</v>
      </c>
      <c r="E77" t="s">
        <v>92</v>
      </c>
      <c r="F77" t="s">
        <v>66</v>
      </c>
      <c r="G77" t="s">
        <v>66</v>
      </c>
      <c r="H77" t="s">
        <v>309</v>
      </c>
      <c r="I77" t="s">
        <v>94</v>
      </c>
      <c r="J77" t="s">
        <v>310</v>
      </c>
      <c r="K77" t="s">
        <v>95</v>
      </c>
      <c r="L77" t="s">
        <v>88</v>
      </c>
      <c r="M77" t="s">
        <v>70</v>
      </c>
      <c r="N77" t="s">
        <v>70</v>
      </c>
      <c r="O77" t="s">
        <v>202</v>
      </c>
      <c r="P77" s="4" t="str">
        <f t="shared" si="5"/>
        <v>DFTL_SOC_SOC_MSX003_SOCTDF_CCD0_PL00_SSC_X_X_SelsrmSSSS_</v>
      </c>
      <c r="S77">
        <v>0.98</v>
      </c>
      <c r="T77">
        <v>0.92120000000000002</v>
      </c>
      <c r="U77" t="s">
        <v>71</v>
      </c>
      <c r="V77" t="s">
        <v>79</v>
      </c>
      <c r="W77" t="s">
        <v>320</v>
      </c>
      <c r="X77" t="s">
        <v>74</v>
      </c>
      <c r="Y77" t="s">
        <v>311</v>
      </c>
      <c r="AF77" t="s">
        <v>312</v>
      </c>
      <c r="AK77" t="s">
        <v>75</v>
      </c>
      <c r="AL77">
        <v>0.755</v>
      </c>
      <c r="AM77">
        <v>0.755</v>
      </c>
      <c r="AO77">
        <v>0.71499999999999997</v>
      </c>
      <c r="AP77">
        <v>0.71499999999999997</v>
      </c>
      <c r="AR77">
        <v>0.72</v>
      </c>
      <c r="AS77">
        <v>0.72</v>
      </c>
      <c r="AU77">
        <v>1</v>
      </c>
      <c r="AV77">
        <v>0.6</v>
      </c>
      <c r="AW77">
        <v>5.0000000000000001E-3</v>
      </c>
      <c r="AX77">
        <v>1.19</v>
      </c>
      <c r="AY77">
        <v>1.19</v>
      </c>
      <c r="BA77">
        <v>1.0349999999999999</v>
      </c>
      <c r="BB77">
        <v>1.0349999999999999</v>
      </c>
      <c r="BD77">
        <v>0.85</v>
      </c>
      <c r="BE77">
        <v>0.85</v>
      </c>
      <c r="BG77">
        <v>0.77500000000000002</v>
      </c>
      <c r="BH77">
        <v>0.77500000000000002</v>
      </c>
      <c r="BJ77">
        <v>0.77500000000000002</v>
      </c>
      <c r="BK77">
        <v>0.77500000000000002</v>
      </c>
      <c r="BM77">
        <v>0.81</v>
      </c>
      <c r="BN77">
        <v>0.81</v>
      </c>
      <c r="BP77">
        <v>0.72</v>
      </c>
      <c r="BQ77">
        <v>0.72</v>
      </c>
      <c r="BS77">
        <v>0.8</v>
      </c>
      <c r="BT77">
        <v>0.8</v>
      </c>
      <c r="BV77">
        <v>1.32</v>
      </c>
      <c r="BW77">
        <v>1.32</v>
      </c>
      <c r="BY77" t="s">
        <v>76</v>
      </c>
      <c r="BZ77">
        <v>0.92100000000000004</v>
      </c>
      <c r="CA77">
        <v>0.98</v>
      </c>
      <c r="CC77">
        <v>1</v>
      </c>
      <c r="CD77">
        <v>0</v>
      </c>
      <c r="CE77">
        <v>0</v>
      </c>
      <c r="CF77" s="1" t="s">
        <v>279</v>
      </c>
    </row>
    <row r="78" spans="1:87" hidden="1" x14ac:dyDescent="0.2">
      <c r="A78" t="s">
        <v>91</v>
      </c>
      <c r="B78" s="6" t="s">
        <v>338</v>
      </c>
      <c r="D78" t="s">
        <v>269</v>
      </c>
      <c r="E78" t="s">
        <v>92</v>
      </c>
      <c r="F78" t="s">
        <v>66</v>
      </c>
      <c r="G78" t="s">
        <v>66</v>
      </c>
      <c r="H78" t="s">
        <v>309</v>
      </c>
      <c r="I78" t="s">
        <v>94</v>
      </c>
      <c r="J78" t="s">
        <v>313</v>
      </c>
      <c r="K78" t="s">
        <v>95</v>
      </c>
      <c r="L78" t="s">
        <v>88</v>
      </c>
      <c r="M78" t="s">
        <v>70</v>
      </c>
      <c r="N78" t="s">
        <v>70</v>
      </c>
      <c r="O78" t="s">
        <v>202</v>
      </c>
      <c r="P78" s="4" t="str">
        <f t="shared" si="5"/>
        <v>DFTL_SOC_SOC_MSX003_SOCTDF_CCG0_PL00_SSC_X_X_SelsrmSSSS_</v>
      </c>
      <c r="S78">
        <v>0.98</v>
      </c>
      <c r="T78">
        <v>0.92120000000000002</v>
      </c>
      <c r="U78" t="s">
        <v>71</v>
      </c>
      <c r="V78" t="s">
        <v>72</v>
      </c>
      <c r="W78" t="s">
        <v>320</v>
      </c>
      <c r="X78" t="s">
        <v>74</v>
      </c>
      <c r="Y78" t="s">
        <v>314</v>
      </c>
      <c r="AF78" t="s">
        <v>315</v>
      </c>
      <c r="AK78" t="s">
        <v>75</v>
      </c>
      <c r="AL78">
        <v>0.755</v>
      </c>
      <c r="AM78">
        <v>0.755</v>
      </c>
      <c r="AO78">
        <v>0.71499999999999997</v>
      </c>
      <c r="AP78">
        <v>0.71499999999999997</v>
      </c>
      <c r="AR78">
        <v>0.72</v>
      </c>
      <c r="AS78">
        <v>0.72</v>
      </c>
      <c r="AU78">
        <v>1</v>
      </c>
      <c r="AV78">
        <v>0.6</v>
      </c>
      <c r="AW78">
        <v>5.0000000000000001E-3</v>
      </c>
      <c r="AX78">
        <v>1.19</v>
      </c>
      <c r="AY78">
        <v>1.19</v>
      </c>
      <c r="BA78">
        <v>1.0349999999999999</v>
      </c>
      <c r="BB78">
        <v>1.0349999999999999</v>
      </c>
      <c r="BD78">
        <v>0.85</v>
      </c>
      <c r="BE78">
        <v>0.85</v>
      </c>
      <c r="BG78">
        <v>0.77500000000000002</v>
      </c>
      <c r="BH78">
        <v>0.77500000000000002</v>
      </c>
      <c r="BJ78">
        <v>0.77500000000000002</v>
      </c>
      <c r="BK78">
        <v>0.77500000000000002</v>
      </c>
      <c r="BM78">
        <v>0.81</v>
      </c>
      <c r="BN78">
        <v>0.81</v>
      </c>
      <c r="BP78">
        <v>0.72</v>
      </c>
      <c r="BQ78">
        <v>0.72</v>
      </c>
      <c r="BS78">
        <v>0.8</v>
      </c>
      <c r="BT78">
        <v>0.8</v>
      </c>
      <c r="BV78">
        <v>1.32</v>
      </c>
      <c r="BW78">
        <v>1.32</v>
      </c>
      <c r="BY78" t="s">
        <v>76</v>
      </c>
      <c r="BZ78">
        <v>0.92100000000000004</v>
      </c>
      <c r="CA78">
        <v>0.98</v>
      </c>
      <c r="CC78">
        <v>1</v>
      </c>
      <c r="CD78">
        <v>0</v>
      </c>
      <c r="CE78">
        <v>0</v>
      </c>
      <c r="CF78" s="1" t="s">
        <v>279</v>
      </c>
    </row>
    <row r="79" spans="1:87" hidden="1" x14ac:dyDescent="0.2">
      <c r="A79" t="s">
        <v>91</v>
      </c>
      <c r="B79" s="6" t="s">
        <v>338</v>
      </c>
      <c r="D79" t="s">
        <v>269</v>
      </c>
      <c r="E79" t="s">
        <v>92</v>
      </c>
      <c r="F79" t="s">
        <v>66</v>
      </c>
      <c r="G79" t="s">
        <v>66</v>
      </c>
      <c r="H79" t="s">
        <v>316</v>
      </c>
      <c r="I79" t="s">
        <v>94</v>
      </c>
      <c r="J79" t="s">
        <v>317</v>
      </c>
      <c r="K79" t="s">
        <v>95</v>
      </c>
      <c r="L79" t="s">
        <v>69</v>
      </c>
      <c r="M79" t="s">
        <v>70</v>
      </c>
      <c r="N79" t="s">
        <v>70</v>
      </c>
      <c r="O79" t="s">
        <v>202</v>
      </c>
      <c r="P79" s="4" t="str">
        <f t="shared" si="5"/>
        <v>DFTL_SOC_SOC_MSX004_SOCTDF_CAF0_PL00_PRC_X_X_SelsrmSSSS_</v>
      </c>
      <c r="S79">
        <v>1.0249999999999999</v>
      </c>
      <c r="T79">
        <v>0.96350000000000002</v>
      </c>
      <c r="U79" t="s">
        <v>71</v>
      </c>
      <c r="V79" t="s">
        <v>72</v>
      </c>
      <c r="W79" t="s">
        <v>320</v>
      </c>
      <c r="X79" t="s">
        <v>74</v>
      </c>
      <c r="Y79" t="s">
        <v>318</v>
      </c>
      <c r="AF79" t="s">
        <v>319</v>
      </c>
      <c r="AK79" t="s">
        <v>75</v>
      </c>
      <c r="AL79">
        <v>0.755</v>
      </c>
      <c r="AM79">
        <v>0.755</v>
      </c>
      <c r="AO79">
        <v>0.71499999999999997</v>
      </c>
      <c r="AP79">
        <v>0.71499999999999997</v>
      </c>
      <c r="AR79">
        <v>0.72</v>
      </c>
      <c r="AS79">
        <v>0.72</v>
      </c>
      <c r="AU79">
        <v>1.1000000000000001</v>
      </c>
      <c r="AV79">
        <v>0.6</v>
      </c>
      <c r="AW79">
        <v>5.0000000000000001E-3</v>
      </c>
      <c r="AX79">
        <v>1.19</v>
      </c>
      <c r="AY79">
        <v>1.19</v>
      </c>
      <c r="BA79">
        <v>1.0349999999999999</v>
      </c>
      <c r="BB79">
        <v>1.0349999999999999</v>
      </c>
      <c r="BD79">
        <v>0.85</v>
      </c>
      <c r="BE79">
        <v>0.85</v>
      </c>
      <c r="BG79">
        <v>0.77500000000000002</v>
      </c>
      <c r="BH79">
        <v>0.77500000000000002</v>
      </c>
      <c r="BJ79">
        <v>0.77500000000000002</v>
      </c>
      <c r="BK79">
        <v>0.77500000000000002</v>
      </c>
      <c r="BM79">
        <v>0.81</v>
      </c>
      <c r="BN79">
        <v>0.81</v>
      </c>
      <c r="BP79">
        <v>0.72</v>
      </c>
      <c r="BQ79">
        <v>0.72</v>
      </c>
      <c r="BS79">
        <v>0.8</v>
      </c>
      <c r="BT79">
        <v>0.8</v>
      </c>
      <c r="BV79">
        <v>1.32</v>
      </c>
      <c r="BW79">
        <v>1.32</v>
      </c>
      <c r="BY79" t="s">
        <v>76</v>
      </c>
      <c r="BZ79">
        <v>0.96299999999999997</v>
      </c>
      <c r="CA79">
        <v>1.0249999999999999</v>
      </c>
      <c r="CC79">
        <f>IF(ISNUMBER(SEARCH("HTOL",$D79)),1,0)</f>
        <v>0</v>
      </c>
      <c r="CD79">
        <f>IF(ISNUMBER(SEARCH("TTR",$D79)),1,0)</f>
        <v>0</v>
      </c>
      <c r="CE79">
        <v>0</v>
      </c>
      <c r="CF79" s="1" t="s">
        <v>279</v>
      </c>
    </row>
    <row r="80" spans="1:87" hidden="1" x14ac:dyDescent="0.2">
      <c r="A80" t="s">
        <v>91</v>
      </c>
      <c r="B80" s="6" t="s">
        <v>338</v>
      </c>
      <c r="D80" t="s">
        <v>271</v>
      </c>
      <c r="E80" t="s">
        <v>92</v>
      </c>
      <c r="F80" t="s">
        <v>66</v>
      </c>
      <c r="G80" t="s">
        <v>66</v>
      </c>
      <c r="H80" t="s">
        <v>96</v>
      </c>
      <c r="I80" t="s">
        <v>94</v>
      </c>
      <c r="J80" t="s">
        <v>77</v>
      </c>
      <c r="K80" t="s">
        <v>95</v>
      </c>
      <c r="L80" t="s">
        <v>88</v>
      </c>
      <c r="M80" t="s">
        <v>70</v>
      </c>
      <c r="N80" t="s">
        <v>70</v>
      </c>
      <c r="O80" t="s">
        <v>202</v>
      </c>
      <c r="P80" s="4" t="str">
        <f t="shared" si="5"/>
        <v>DFTL_SOC_SOC_MSX005_SOCTDF_CCB0_PL00_SSC_X_X_SelsrmSSSS_</v>
      </c>
      <c r="S80" cm="1">
        <f t="array" ref="S80">_xlfn.IFS($AN80&gt;0,MAX(AL80:AM80),$AQ80&gt;0,MAX(AO80:AP80),$AT80&gt;0,MAX(AR80:AS80),$AW80&gt;0,MAX(AU80:AV80),$AZ80&gt;0,MAX(AX80:AY80),$BC80&gt;0,MAX(BA80:BB80),$BF80&gt;0,MAX(BD80:BE80),$BI80&gt;0,MAX(BG80:BH80),$BL80&gt;0,MAX(BJ80:BK80),$BO80&gt;0,MAX(BM80:BN80),$BR80&gt;0,MAX(BP80:BQ80),$BU80&gt;0,MAX(BS80:BT80),$BX80&gt;0,MAX(BV80:BW80))-0.01</f>
        <v>0.99</v>
      </c>
      <c r="T80" cm="1">
        <f t="array" ref="T80">_xlfn.IFS($AN80&gt;0,MIN(AL80:AM80),$AQ80&gt;0,MIN(AO80:AP80),$AT80&gt;0,MIN(AR80:AS80),$AW80&gt;0,MIN(AU80:AV80),$AZ80&gt;0,MIN(AX80:AY80),$BC80&gt;0,MIN(BA80:BB80),$BF80&gt;0,MIN(BD80:BE80),$BI80&gt;0,MIN(BG80:BH80),$BL80&gt;0,MIN(BJ80:BK80),$BO80&gt;0,MIN(BM80:BN80),$BR80&gt;0,MIN(BP80:BQ80),$BU80&gt;0,MIN(BS80:BT80),$BX80&gt;0,MIN(BV80:BW80))+0.01</f>
        <v>0.61</v>
      </c>
      <c r="U80" t="s">
        <v>71</v>
      </c>
      <c r="V80" t="s">
        <v>72</v>
      </c>
      <c r="W80" t="s">
        <v>320</v>
      </c>
      <c r="X80" t="s">
        <v>74</v>
      </c>
      <c r="Y80" t="s">
        <v>263</v>
      </c>
      <c r="AF80" t="s">
        <v>265</v>
      </c>
      <c r="AK80" t="s">
        <v>75</v>
      </c>
      <c r="AL80">
        <v>0.755</v>
      </c>
      <c r="AM80">
        <v>0.755</v>
      </c>
      <c r="AO80">
        <v>0.71499999999999997</v>
      </c>
      <c r="AP80">
        <v>0.71499999999999997</v>
      </c>
      <c r="AR80">
        <v>0.72</v>
      </c>
      <c r="AS80">
        <v>0.72</v>
      </c>
      <c r="AU80" s="1">
        <v>1</v>
      </c>
      <c r="AV80" s="1">
        <v>0.6</v>
      </c>
      <c r="AW80">
        <v>5.0000000000000001E-3</v>
      </c>
      <c r="AX80">
        <v>1.19</v>
      </c>
      <c r="AY80">
        <v>1.19</v>
      </c>
      <c r="BA80">
        <v>1.0349999999999999</v>
      </c>
      <c r="BB80">
        <v>1.0349999999999999</v>
      </c>
      <c r="BD80">
        <v>0.85</v>
      </c>
      <c r="BE80">
        <v>0.85</v>
      </c>
      <c r="BG80">
        <v>0.77500000000000002</v>
      </c>
      <c r="BH80">
        <v>0.77500000000000002</v>
      </c>
      <c r="BJ80">
        <v>0.77500000000000002</v>
      </c>
      <c r="BK80">
        <v>0.77500000000000002</v>
      </c>
      <c r="BM80">
        <v>0.81</v>
      </c>
      <c r="BN80">
        <v>0.81</v>
      </c>
      <c r="BP80">
        <v>0.72</v>
      </c>
      <c r="BQ80">
        <v>0.72</v>
      </c>
      <c r="BS80">
        <v>0.8</v>
      </c>
      <c r="BT80">
        <v>0.8</v>
      </c>
      <c r="BV80">
        <v>1.32</v>
      </c>
      <c r="BW80">
        <v>1.32</v>
      </c>
      <c r="BY80" t="s">
        <v>76</v>
      </c>
      <c r="BZ80" cm="1">
        <f t="array" ref="BZ80">_xlfn.IFS($AN80&gt;0,AVERAGE(AL80:AM80),$AQ80&gt;0,AVERAGE(AO80:AP80),$AT80&gt;0,AVERAGE(AR80:AS80),$AW80&gt;0,AVERAGE(AU80:AV80),$AZ80&gt;0,AVERAGE(AX80:AY80),$BC80&gt;0,AVERAGE(BA80:BB80),$BF80&gt;0,AVERAGE(BD80:BE80),$BI80&gt;0,AVERAGE(BG80:BH80),$BL80&gt;0,AVERAGE(BJ80:BK80),$BO80&gt;0,AVERAGE(BM80:BN80),$BR80&gt;0,AVERAGE(BP80:BQ80),$BU80&gt;0,AVERAGE(BS80:BT80),$BX80&gt;0,AVERAGE(BV80:BW80))</f>
        <v>0.8</v>
      </c>
      <c r="CA80">
        <v>1.1100000000000001</v>
      </c>
      <c r="CC80">
        <v>0</v>
      </c>
      <c r="CD80">
        <f>IF(ISNUMBER(SEARCH("TTR",$D80)),1,0)</f>
        <v>0</v>
      </c>
      <c r="CE80">
        <v>0</v>
      </c>
      <c r="CF80" s="1" t="s">
        <v>199</v>
      </c>
      <c r="CG80" s="1" t="s">
        <v>199</v>
      </c>
      <c r="CH80" s="1" t="s">
        <v>199</v>
      </c>
      <c r="CI80" s="1" t="s">
        <v>199</v>
      </c>
    </row>
    <row r="81" spans="1:87" hidden="1" x14ac:dyDescent="0.2">
      <c r="A81" t="s">
        <v>91</v>
      </c>
      <c r="B81" s="7" t="s">
        <v>393</v>
      </c>
      <c r="D81" t="s">
        <v>339</v>
      </c>
      <c r="E81" t="s">
        <v>92</v>
      </c>
      <c r="F81" t="s">
        <v>171</v>
      </c>
      <c r="G81" t="s">
        <v>83</v>
      </c>
      <c r="H81" t="s">
        <v>210</v>
      </c>
      <c r="I81" t="s">
        <v>250</v>
      </c>
      <c r="J81" t="s">
        <v>172</v>
      </c>
      <c r="K81" t="s">
        <v>206</v>
      </c>
      <c r="L81" t="s">
        <v>258</v>
      </c>
      <c r="M81" t="s">
        <v>70</v>
      </c>
      <c r="N81" t="s">
        <v>337</v>
      </c>
      <c r="O81" t="s">
        <v>202</v>
      </c>
      <c r="P81" s="4" t="str">
        <f t="shared" si="5"/>
        <v>DFTL_CPU_PCPU_MPX00L_CPUTDF1P_C307_PL0010_C3_X_DIV133_SelsrmSSSS_</v>
      </c>
      <c r="S81">
        <v>1.19</v>
      </c>
      <c r="T81">
        <v>0.81</v>
      </c>
      <c r="U81" t="s">
        <v>71</v>
      </c>
      <c r="V81" t="s">
        <v>173</v>
      </c>
      <c r="W81" t="s">
        <v>259</v>
      </c>
      <c r="X81" t="s">
        <v>248</v>
      </c>
      <c r="AF81" t="s">
        <v>252</v>
      </c>
      <c r="AG81" t="s">
        <v>253</v>
      </c>
      <c r="AK81" t="s">
        <v>75</v>
      </c>
      <c r="AL81" s="1">
        <v>1.2</v>
      </c>
      <c r="AM81" s="1">
        <v>0.8</v>
      </c>
      <c r="AN81">
        <v>5.0000000000000001E-3</v>
      </c>
      <c r="AO81">
        <v>0.71499999999999997</v>
      </c>
      <c r="AP81">
        <v>0.71499999999999997</v>
      </c>
      <c r="AR81">
        <v>0.72</v>
      </c>
      <c r="AS81">
        <v>0.72</v>
      </c>
      <c r="AU81">
        <v>1.1100000000000001</v>
      </c>
      <c r="AV81">
        <v>1.1100000000000001</v>
      </c>
      <c r="AX81">
        <v>0.72</v>
      </c>
      <c r="AY81">
        <v>0.72</v>
      </c>
      <c r="BA81">
        <v>0.76500000000000001</v>
      </c>
      <c r="BB81">
        <v>0.76500000000000001</v>
      </c>
      <c r="BD81">
        <v>1.1850000000000001</v>
      </c>
      <c r="BE81">
        <v>1.1850000000000001</v>
      </c>
      <c r="BG81">
        <v>0.77500000000000002</v>
      </c>
      <c r="BH81">
        <v>0.77500000000000002</v>
      </c>
      <c r="BJ81">
        <v>0.77500000000000002</v>
      </c>
      <c r="BK81">
        <v>0.77500000000000002</v>
      </c>
      <c r="BM81">
        <v>0.81</v>
      </c>
      <c r="BN81">
        <v>0.81</v>
      </c>
      <c r="BP81">
        <v>0.72</v>
      </c>
      <c r="BQ81">
        <v>0.72</v>
      </c>
      <c r="BS81">
        <v>0.8</v>
      </c>
      <c r="BT81">
        <v>0.8</v>
      </c>
      <c r="BV81">
        <v>1.32</v>
      </c>
      <c r="BW81">
        <v>1.32</v>
      </c>
      <c r="BY81" t="s">
        <v>76</v>
      </c>
      <c r="BZ81">
        <v>1</v>
      </c>
      <c r="CA81">
        <v>0.59</v>
      </c>
      <c r="CC81">
        <v>0</v>
      </c>
      <c r="CD81">
        <v>0</v>
      </c>
      <c r="CE81">
        <v>0</v>
      </c>
      <c r="CG81" s="1" t="s">
        <v>279</v>
      </c>
      <c r="CH81" s="1" t="s">
        <v>279</v>
      </c>
      <c r="CI81" s="1" t="s">
        <v>279</v>
      </c>
    </row>
    <row r="82" spans="1:87" x14ac:dyDescent="0.2">
      <c r="A82" t="s">
        <v>65</v>
      </c>
      <c r="B82" s="6" t="s">
        <v>394</v>
      </c>
      <c r="D82" t="s">
        <v>273</v>
      </c>
      <c r="E82" t="s">
        <v>92</v>
      </c>
      <c r="F82" t="s">
        <v>66</v>
      </c>
      <c r="G82" t="s">
        <v>67</v>
      </c>
      <c r="H82" t="s">
        <v>97</v>
      </c>
      <c r="I82" t="s">
        <v>117</v>
      </c>
      <c r="J82" t="s">
        <v>118</v>
      </c>
      <c r="K82" t="s">
        <v>70</v>
      </c>
      <c r="L82" t="s">
        <v>70</v>
      </c>
      <c r="M82" t="s">
        <v>119</v>
      </c>
      <c r="N82" t="s">
        <v>127</v>
      </c>
      <c r="O82" t="s">
        <v>202</v>
      </c>
      <c r="P82" s="4" t="str">
        <f t="shared" si="5"/>
        <v>DFTL_SOC_LOW_MLX001_SOCBIR_GR01_X_X_SRVA_SG02_SelsrmSSSS_</v>
      </c>
      <c r="S82" cm="1">
        <f t="array" ref="S82">_xlfn.IFS($AN82&gt;0,MAX(AL82:AM82),$AQ82&gt;0,MAX(AO82:AP82),$AT82&gt;0,MAX(AR82:AS82),$AW82&gt;0,MAX(AU82:AV82),$AZ82&gt;0,MAX(AX82:AY82),$BC82&gt;0,MAX(BA82:BB82),$BF82&gt;0,MAX(BD82:BE82),$BI82&gt;0,MAX(BG82:BH82),$BL82&gt;0,MAX(BJ82:BK82),$BO82&gt;0,MAX(BM82:BN82),$BR82&gt;0,MAX(BP82:BQ82),$BU82&gt;0,MAX(BS82:BT82),$BX82&gt;0,MAX(BV82:BW82))-0.01</f>
        <v>0.69</v>
      </c>
      <c r="T82" cm="1">
        <f t="array" ref="T82">_xlfn.IFS($AN82&gt;0,MIN(AL82:AM82),$AQ82&gt;0,MIN(AO82:AP82),$AT82&gt;0,MIN(AR82:AS82),$AW82&gt;0,MIN(AU82:AV82),$AZ82&gt;0,MIN(AX82:AY82),$BC82&gt;0,MIN(BA82:BB82),$BF82&gt;0,MIN(BD82:BE82),$BI82&gt;0,MIN(BG82:BH82),$BL82&gt;0,MIN(BJ82:BK82),$BO82&gt;0,MIN(BM82:BN82),$BR82&gt;0,MIN(BP82:BQ82),$BU82&gt;0,MIN(BS82:BT82),$BX82&gt;0,MIN(BV82:BW82))+0.01</f>
        <v>0.51</v>
      </c>
      <c r="U82" t="s">
        <v>71</v>
      </c>
      <c r="V82" t="s">
        <v>120</v>
      </c>
      <c r="W82" t="s">
        <v>211</v>
      </c>
      <c r="X82" t="s">
        <v>121</v>
      </c>
      <c r="Y82" t="s">
        <v>122</v>
      </c>
      <c r="Z82" t="s">
        <v>262</v>
      </c>
      <c r="AA82" t="s">
        <v>124</v>
      </c>
      <c r="AC82" t="s">
        <v>322</v>
      </c>
      <c r="AF82" t="s">
        <v>128</v>
      </c>
      <c r="AG82" t="s">
        <v>125</v>
      </c>
      <c r="AH82" t="s">
        <v>129</v>
      </c>
      <c r="AK82" t="s">
        <v>75</v>
      </c>
      <c r="AL82">
        <v>0.755</v>
      </c>
      <c r="AM82">
        <v>0.755</v>
      </c>
      <c r="AO82">
        <v>0.71499999999999997</v>
      </c>
      <c r="AP82">
        <v>0.71499999999999997</v>
      </c>
      <c r="AR82">
        <v>0.72</v>
      </c>
      <c r="AS82">
        <v>0.72</v>
      </c>
      <c r="AU82">
        <v>1.1100000000000001</v>
      </c>
      <c r="AV82">
        <v>1.1100000000000001</v>
      </c>
      <c r="AX82">
        <v>1.19</v>
      </c>
      <c r="AY82">
        <v>1.19</v>
      </c>
      <c r="BA82">
        <v>1.0349999999999999</v>
      </c>
      <c r="BB82">
        <v>1.0349999999999999</v>
      </c>
      <c r="BD82">
        <v>0.85</v>
      </c>
      <c r="BE82">
        <v>0.85</v>
      </c>
      <c r="BG82">
        <v>0.77500000000000002</v>
      </c>
      <c r="BH82">
        <v>0.77500000000000002</v>
      </c>
      <c r="BJ82">
        <v>0.77500000000000002</v>
      </c>
      <c r="BK82">
        <v>0.77500000000000002</v>
      </c>
      <c r="BM82">
        <v>0.81</v>
      </c>
      <c r="BN82">
        <v>0.81</v>
      </c>
      <c r="BP82" s="1">
        <v>0.7</v>
      </c>
      <c r="BQ82" s="1">
        <v>0.5</v>
      </c>
      <c r="BR82">
        <v>5.0000000000000001E-3</v>
      </c>
      <c r="BS82">
        <v>0.8</v>
      </c>
      <c r="BT82">
        <v>0.8</v>
      </c>
      <c r="BV82">
        <v>1.32</v>
      </c>
      <c r="BW82">
        <v>1.32</v>
      </c>
      <c r="BY82" t="s">
        <v>76</v>
      </c>
      <c r="BZ82" cm="1">
        <f t="array" ref="BZ82">_xlfn.IFS($AN82&gt;0,AVERAGE(AL82:AM82),$AQ82&gt;0,AVERAGE(AO82:AP82),$AT82&gt;0,AVERAGE(AR82:AS82),$AW82&gt;0,AVERAGE(AU82:AV82),$AZ82&gt;0,AVERAGE(AX82:AY82),$BC82&gt;0,AVERAGE(BA82:BB82),$BF82&gt;0,AVERAGE(BD82:BE82),$BI82&gt;0,AVERAGE(BG82:BH82),$BL82&gt;0,AVERAGE(BJ82:BK82),$BO82&gt;0,AVERAGE(BM82:BN82),$BR82&gt;0,AVERAGE(BP82:BQ82),$BU82&gt;0,AVERAGE(BS82:BT82),$BX82&gt;0,AVERAGE(BV82:BW82))</f>
        <v>0.6</v>
      </c>
      <c r="CA82">
        <v>0.72</v>
      </c>
      <c r="CC82">
        <v>0</v>
      </c>
      <c r="CD82">
        <f t="shared" ref="CD82:CD93" si="7">IF(ISNUMBER(SEARCH("TTR",$D82)),1,0)</f>
        <v>0</v>
      </c>
      <c r="CE82">
        <v>0</v>
      </c>
      <c r="CF82" s="1" t="s">
        <v>279</v>
      </c>
      <c r="CG82" s="1" t="s">
        <v>279</v>
      </c>
    </row>
    <row r="83" spans="1:87" hidden="1" x14ac:dyDescent="0.2">
      <c r="A83" t="s">
        <v>91</v>
      </c>
      <c r="B83" s="7" t="s">
        <v>338</v>
      </c>
      <c r="D83" t="s">
        <v>271</v>
      </c>
      <c r="E83" t="s">
        <v>92</v>
      </c>
      <c r="F83" t="s">
        <v>66</v>
      </c>
      <c r="G83" t="s">
        <v>83</v>
      </c>
      <c r="H83" t="s">
        <v>100</v>
      </c>
      <c r="I83" t="s">
        <v>94</v>
      </c>
      <c r="J83" t="s">
        <v>220</v>
      </c>
      <c r="K83" t="s">
        <v>95</v>
      </c>
      <c r="L83" t="s">
        <v>69</v>
      </c>
      <c r="M83" t="s">
        <v>70</v>
      </c>
      <c r="N83" t="s">
        <v>70</v>
      </c>
      <c r="O83" t="s">
        <v>202</v>
      </c>
      <c r="P83" s="4" t="str">
        <f t="shared" si="5"/>
        <v>DFTL_SOC_PCPU_MPX001_SOCTDF_CAN1_PL00_PRC_X_X_SelsrmSSSS_</v>
      </c>
      <c r="S83" cm="1">
        <f t="array" ref="S83">_xlfn.IFS($AN83&gt;0,MAX(AL83:AM83),$AQ83&gt;0,MAX(AO83:AP83),$AT83&gt;0,MAX(AR83:AS83),$AW83&gt;0,MAX(AU83:AV83),$AZ83&gt;0,MAX(AX83:AY83),$BC83&gt;0,MAX(BA83:BB83),$BF83&gt;0,MAX(BD83:BE83),$BI83&gt;0,MAX(BG83:BH83),$BL83&gt;0,MAX(BJ83:BK83),$BO83&gt;0,MAX(BM83:BN83),$BR83&gt;0,MAX(BP83:BQ83),$BU83&gt;0,MAX(BS83:BT83),$BX83&gt;0,MAX(BV83:BW83))-0.01</f>
        <v>0.69</v>
      </c>
      <c r="T83" cm="1">
        <f t="array" ref="T83">_xlfn.IFS($AN83&gt;0,MIN(AL83:AM83),$AQ83&gt;0,MIN(AO83:AP83),$AT83&gt;0,MIN(AR83:AS83),$AW83&gt;0,MIN(AU83:AV83),$AZ83&gt;0,MIN(AX83:AY83),$BC83&gt;0,MIN(BA83:BB83),$BF83&gt;0,MIN(BD83:BE83),$BI83&gt;0,MIN(BG83:BH83),$BL83&gt;0,MIN(BJ83:BK83),$BO83&gt;0,MIN(BM83:BN83),$BR83&gt;0,MIN(BP83:BQ83),$BU83&gt;0,MIN(BS83:BT83),$BX83&gt;0,MIN(BV83:BW83))+0.01</f>
        <v>0.46</v>
      </c>
      <c r="U83" t="s">
        <v>71</v>
      </c>
      <c r="V83" t="s">
        <v>72</v>
      </c>
      <c r="W83" t="s">
        <v>320</v>
      </c>
      <c r="X83" t="s">
        <v>74</v>
      </c>
      <c r="Y83" t="s">
        <v>221</v>
      </c>
      <c r="AF83" t="s">
        <v>222</v>
      </c>
      <c r="AK83" t="s">
        <v>75</v>
      </c>
      <c r="AL83" s="1">
        <v>0.7</v>
      </c>
      <c r="AM83" s="1">
        <v>0.45</v>
      </c>
      <c r="AN83">
        <v>5.0000000000000001E-3</v>
      </c>
      <c r="AO83">
        <v>0.71499999999999997</v>
      </c>
      <c r="AP83">
        <v>0.71499999999999997</v>
      </c>
      <c r="AR83">
        <v>0.72</v>
      </c>
      <c r="AS83">
        <v>0.72</v>
      </c>
      <c r="AU83">
        <v>1.1100000000000001</v>
      </c>
      <c r="AV83">
        <v>1.1100000000000001</v>
      </c>
      <c r="AX83">
        <v>0.72</v>
      </c>
      <c r="AY83">
        <v>0.72</v>
      </c>
      <c r="BA83">
        <v>0.76500000000000001</v>
      </c>
      <c r="BB83">
        <v>0.76500000000000001</v>
      </c>
      <c r="BD83">
        <v>0.85</v>
      </c>
      <c r="BE83">
        <v>0.85</v>
      </c>
      <c r="BG83">
        <v>0.77500000000000002</v>
      </c>
      <c r="BH83">
        <v>0.77500000000000002</v>
      </c>
      <c r="BJ83">
        <v>0.77500000000000002</v>
      </c>
      <c r="BK83">
        <v>0.77500000000000002</v>
      </c>
      <c r="BM83">
        <v>0.81</v>
      </c>
      <c r="BN83">
        <v>0.81</v>
      </c>
      <c r="BP83">
        <v>0.72</v>
      </c>
      <c r="BQ83">
        <v>0.72</v>
      </c>
      <c r="BS83">
        <v>0.8</v>
      </c>
      <c r="BT83">
        <v>0.8</v>
      </c>
      <c r="BV83">
        <v>1.32</v>
      </c>
      <c r="BW83">
        <v>1.32</v>
      </c>
      <c r="BY83" t="s">
        <v>76</v>
      </c>
      <c r="BZ83" cm="1">
        <f t="array" ref="BZ83">_xlfn.IFS($AN83&gt;0,AVERAGE(AL83:AM83),$AQ83&gt;0,AVERAGE(AO83:AP83),$AT83&gt;0,AVERAGE(AR83:AS83),$AW83&gt;0,AVERAGE(AU83:AV83),$AZ83&gt;0,AVERAGE(AX83:AY83),$BC83&gt;0,AVERAGE(BA83:BB83),$BF83&gt;0,AVERAGE(BD83:BE83),$BI83&gt;0,AVERAGE(BG83:BH83),$BL83&gt;0,AVERAGE(BJ83:BK83),$BO83&gt;0,AVERAGE(BM83:BN83),$BR83&gt;0,AVERAGE(BP83:BQ83),$BU83&gt;0,AVERAGE(BS83:BT83),$BX83&gt;0,AVERAGE(BV83:BW83))</f>
        <v>0.57499999999999996</v>
      </c>
      <c r="CA83">
        <v>0.755</v>
      </c>
      <c r="CC83">
        <v>0</v>
      </c>
      <c r="CD83">
        <f t="shared" si="7"/>
        <v>0</v>
      </c>
      <c r="CE83">
        <v>0</v>
      </c>
      <c r="CF83" s="1" t="s">
        <v>199</v>
      </c>
      <c r="CG83" s="1" t="s">
        <v>199</v>
      </c>
      <c r="CH83" s="1" t="s">
        <v>199</v>
      </c>
      <c r="CI83" s="1" t="s">
        <v>199</v>
      </c>
    </row>
    <row r="84" spans="1:87" hidden="1" x14ac:dyDescent="0.2">
      <c r="A84" t="s">
        <v>91</v>
      </c>
      <c r="B84" s="6">
        <v>45513</v>
      </c>
      <c r="D84" t="s">
        <v>270</v>
      </c>
      <c r="E84" t="s">
        <v>92</v>
      </c>
      <c r="F84" t="s">
        <v>66</v>
      </c>
      <c r="G84" t="s">
        <v>86</v>
      </c>
      <c r="H84" t="s">
        <v>209</v>
      </c>
      <c r="I84" t="s">
        <v>94</v>
      </c>
      <c r="J84" t="s">
        <v>212</v>
      </c>
      <c r="K84" t="s">
        <v>90</v>
      </c>
      <c r="L84" t="s">
        <v>70</v>
      </c>
      <c r="M84" t="s">
        <v>70</v>
      </c>
      <c r="N84" t="s">
        <v>70</v>
      </c>
      <c r="O84" t="s">
        <v>202</v>
      </c>
      <c r="P84" s="4" t="str">
        <f t="shared" si="5"/>
        <v>DFTL_SOC_FIXED_MFX001_SOCTDF_CUD0_PL10_X_X_X_SelsrmSSSS_</v>
      </c>
      <c r="S84" cm="1">
        <f t="array" ref="S84">_xlfn.IFS($AN84&gt;0,MAX(AL84:AM84),$AQ84&gt;0,MAX(AO84:AP84),$AT84&gt;0,MAX(AR84:AS84),$AW84&gt;0,MAX(AU84:AV84),$AZ84&gt;0,MAX(AX84:AY84),$BC84&gt;0,MAX(BA84:BB84),$BF84&gt;0,MAX(BD84:BE84),$BI84&gt;0,MAX(BG84:BH84),$BL84&gt;0,MAX(BJ84:BK84),$BO84&gt;0,MAX(BM84:BN84),$BR84&gt;0,MAX(BP84:BQ84),$BU84&gt;0,MAX(BS84:BT84),$BX84&gt;0,MAX(BV84:BW84))-0.01</f>
        <v>0.76</v>
      </c>
      <c r="T84" cm="1">
        <f t="array" ref="T84">_xlfn.IFS($AN84&gt;0,MIN(AL84:AM84),$AQ84&gt;0,MIN(AO84:AP84),$AT84&gt;0,MIN(AR84:AS84),$AW84&gt;0,MIN(AU84:AV84),$AZ84&gt;0,MIN(AX84:AY84),$BC84&gt;0,MIN(BA84:BB84),$BF84&gt;0,MIN(BD84:BE84),$BI84&gt;0,MIN(BG84:BH84),$BL84&gt;0,MIN(BJ84:BK84),$BO84&gt;0,MIN(BM84:BN84),$BR84&gt;0,MIN(BP84:BQ84),$BU84&gt;0,MIN(BS84:BT84),$BX84&gt;0,MIN(BV84:BW84))+0.01</f>
        <v>0.61</v>
      </c>
      <c r="U84" t="s">
        <v>71</v>
      </c>
      <c r="V84" t="s">
        <v>72</v>
      </c>
      <c r="W84" t="s">
        <v>320</v>
      </c>
      <c r="X84" t="s">
        <v>74</v>
      </c>
      <c r="Y84" t="s">
        <v>321</v>
      </c>
      <c r="AF84" s="2" t="s">
        <v>224</v>
      </c>
      <c r="AK84" t="s">
        <v>75</v>
      </c>
      <c r="AL84">
        <v>0.755</v>
      </c>
      <c r="AM84">
        <v>0.755</v>
      </c>
      <c r="AO84">
        <v>0.71499999999999997</v>
      </c>
      <c r="AP84">
        <v>0.71499999999999997</v>
      </c>
      <c r="AR84">
        <v>0.72</v>
      </c>
      <c r="AS84">
        <v>0.72</v>
      </c>
      <c r="AU84">
        <v>0.73</v>
      </c>
      <c r="AV84">
        <v>0.73</v>
      </c>
      <c r="AX84">
        <v>0.72</v>
      </c>
      <c r="AY84">
        <v>0.72</v>
      </c>
      <c r="BA84">
        <v>0.76500000000000001</v>
      </c>
      <c r="BB84">
        <v>0.76500000000000001</v>
      </c>
      <c r="BD84">
        <v>0.85</v>
      </c>
      <c r="BE84">
        <v>0.85</v>
      </c>
      <c r="BG84">
        <v>0.77500000000000002</v>
      </c>
      <c r="BH84">
        <v>0.77500000000000002</v>
      </c>
      <c r="BJ84">
        <v>0.77500000000000002</v>
      </c>
      <c r="BK84">
        <v>0.77500000000000002</v>
      </c>
      <c r="BM84" s="1">
        <v>0.77</v>
      </c>
      <c r="BN84" s="1">
        <v>0.6</v>
      </c>
      <c r="BO84">
        <v>5.0000000000000001E-3</v>
      </c>
      <c r="BP84">
        <v>0.72</v>
      </c>
      <c r="BQ84">
        <v>0.72</v>
      </c>
      <c r="BS84">
        <v>0.8</v>
      </c>
      <c r="BT84">
        <v>0.8</v>
      </c>
      <c r="BV84">
        <v>1.32</v>
      </c>
      <c r="BW84">
        <v>1.32</v>
      </c>
      <c r="BY84" t="s">
        <v>76</v>
      </c>
      <c r="BZ84" cm="1">
        <f t="array" ref="BZ84">_xlfn.IFS($AN84&gt;0,AVERAGE(AL84:AM84),$AQ84&gt;0,AVERAGE(AO84:AP84),$AT84&gt;0,AVERAGE(AR84:AS84),$AW84&gt;0,AVERAGE(AU84:AV84),$AZ84&gt;0,AVERAGE(AX84:AY84),$BC84&gt;0,AVERAGE(BA84:BB84),$BF84&gt;0,AVERAGE(BD84:BE84),$BI84&gt;0,AVERAGE(BG84:BH84),$BL84&gt;0,AVERAGE(BJ84:BK84),$BO84&gt;0,AVERAGE(BM84:BN84),$BR84&gt;0,AVERAGE(BP84:BQ84),$BU84&gt;0,AVERAGE(BS84:BT84),$BX84&gt;0,AVERAGE(BV84:BW84))</f>
        <v>0.68500000000000005</v>
      </c>
      <c r="CA84">
        <v>0.81</v>
      </c>
      <c r="CC84">
        <v>0</v>
      </c>
      <c r="CD84">
        <f t="shared" si="7"/>
        <v>0</v>
      </c>
      <c r="CE84">
        <v>0</v>
      </c>
      <c r="CF84" t="s">
        <v>199</v>
      </c>
      <c r="CG84" t="s">
        <v>199</v>
      </c>
    </row>
    <row r="85" spans="1:87" hidden="1" x14ac:dyDescent="0.2">
      <c r="A85" t="s">
        <v>91</v>
      </c>
      <c r="B85" s="7" t="s">
        <v>338</v>
      </c>
      <c r="D85" t="s">
        <v>271</v>
      </c>
      <c r="E85" t="s">
        <v>92</v>
      </c>
      <c r="F85" t="s">
        <v>66</v>
      </c>
      <c r="G85" t="s">
        <v>83</v>
      </c>
      <c r="H85" t="s">
        <v>109</v>
      </c>
      <c r="I85" t="s">
        <v>94</v>
      </c>
      <c r="J85" t="s">
        <v>220</v>
      </c>
      <c r="K85" t="s">
        <v>95</v>
      </c>
      <c r="L85" t="s">
        <v>69</v>
      </c>
      <c r="M85" t="s">
        <v>70</v>
      </c>
      <c r="N85" t="s">
        <v>70</v>
      </c>
      <c r="O85" t="s">
        <v>202</v>
      </c>
      <c r="P85" s="4" t="str">
        <f t="shared" si="5"/>
        <v>DFTL_SOC_PCPU_MPX00D_SOCTDF_CAN1_PL00_PRC_X_X_SelsrmSSSS_</v>
      </c>
      <c r="S85" cm="1">
        <f t="array" ref="S85">_xlfn.IFS($AN85&gt;0,MAX(AL85:AM85),$AQ85&gt;0,MAX(AO85:AP85),$AT85&gt;0,MAX(AR85:AS85),$AW85&gt;0,MAX(AU85:AV85),$AZ85&gt;0,MAX(AX85:AY85),$BC85&gt;0,MAX(BA85:BB85),$BF85&gt;0,MAX(BD85:BE85),$BI85&gt;0,MAX(BG85:BH85),$BL85&gt;0,MAX(BJ85:BK85),$BO85&gt;0,MAX(BM85:BN85),$BR85&gt;0,MAX(BP85:BQ85),$BU85&gt;0,MAX(BS85:BT85),$BX85&gt;0,MAX(BV85:BW85))-0.01</f>
        <v>1.0900000000000001</v>
      </c>
      <c r="T85" cm="1">
        <f t="array" ref="T85">_xlfn.IFS($AN85&gt;0,MIN(AL85:AM85),$AQ85&gt;0,MIN(AO85:AP85),$AT85&gt;0,MIN(AR85:AS85),$AW85&gt;0,MIN(AU85:AV85),$AZ85&gt;0,MIN(AX85:AY85),$BC85&gt;0,MIN(BA85:BB85),$BF85&gt;0,MIN(BD85:BE85),$BI85&gt;0,MIN(BG85:BH85),$BL85&gt;0,MIN(BJ85:BK85),$BO85&gt;0,MIN(BM85:BN85),$BR85&gt;0,MIN(BP85:BQ85),$BU85&gt;0,MIN(BS85:BT85),$BX85&gt;0,MIN(BV85:BW85))+0.01</f>
        <v>0.81</v>
      </c>
      <c r="U85" t="s">
        <v>71</v>
      </c>
      <c r="V85" t="s">
        <v>72</v>
      </c>
      <c r="W85" t="s">
        <v>320</v>
      </c>
      <c r="X85" t="s">
        <v>74</v>
      </c>
      <c r="Y85" t="s">
        <v>246</v>
      </c>
      <c r="AF85" t="s">
        <v>222</v>
      </c>
      <c r="AK85" t="s">
        <v>75</v>
      </c>
      <c r="AL85" s="1">
        <v>1.1000000000000001</v>
      </c>
      <c r="AM85" s="1">
        <v>0.8</v>
      </c>
      <c r="AN85">
        <v>5.0000000000000001E-3</v>
      </c>
      <c r="AO85">
        <v>0.71499999999999997</v>
      </c>
      <c r="AP85">
        <v>0.71499999999999997</v>
      </c>
      <c r="AR85">
        <v>0.72</v>
      </c>
      <c r="AS85">
        <v>0.72</v>
      </c>
      <c r="AU85">
        <v>1.1100000000000001</v>
      </c>
      <c r="AV85">
        <v>1.1100000000000001</v>
      </c>
      <c r="AX85">
        <v>0.72</v>
      </c>
      <c r="AY85">
        <v>0.72</v>
      </c>
      <c r="BA85">
        <v>0.76500000000000001</v>
      </c>
      <c r="BB85">
        <v>0.76500000000000001</v>
      </c>
      <c r="BD85">
        <v>1.1850000000000001</v>
      </c>
      <c r="BE85">
        <v>1.1850000000000001</v>
      </c>
      <c r="BG85">
        <v>0.77500000000000002</v>
      </c>
      <c r="BH85">
        <v>0.77500000000000002</v>
      </c>
      <c r="BJ85">
        <v>0.77500000000000002</v>
      </c>
      <c r="BK85">
        <v>0.77500000000000002</v>
      </c>
      <c r="BM85">
        <v>0.81</v>
      </c>
      <c r="BN85">
        <v>0.81</v>
      </c>
      <c r="BP85">
        <v>0.72</v>
      </c>
      <c r="BQ85">
        <v>0.72</v>
      </c>
      <c r="BS85">
        <v>0.8</v>
      </c>
      <c r="BT85">
        <v>0.8</v>
      </c>
      <c r="BV85">
        <v>1.32</v>
      </c>
      <c r="BW85">
        <v>1.32</v>
      </c>
      <c r="BY85" t="s">
        <v>76</v>
      </c>
      <c r="BZ85" cm="1">
        <f t="array" ref="BZ85">_xlfn.IFS($AN85&gt;0,AVERAGE(AL85:AM85),$AQ85&gt;0,AVERAGE(AO85:AP85),$AT85&gt;0,AVERAGE(AR85:AS85),$AW85&gt;0,AVERAGE(AU85:AV85),$AZ85&gt;0,AVERAGE(AX85:AY85),$BC85&gt;0,AVERAGE(BA85:BB85),$BF85&gt;0,AVERAGE(BD85:BE85),$BI85&gt;0,AVERAGE(BG85:BH85),$BL85&gt;0,AVERAGE(BJ85:BK85),$BO85&gt;0,AVERAGE(BM85:BN85),$BR85&gt;0,AVERAGE(BP85:BQ85),$BU85&gt;0,AVERAGE(BS85:BT85),$BX85&gt;0,AVERAGE(BV85:BW85))</f>
        <v>0.95000000000000007</v>
      </c>
      <c r="CA85">
        <v>1.18</v>
      </c>
      <c r="CC85">
        <v>0</v>
      </c>
      <c r="CD85">
        <f t="shared" si="7"/>
        <v>0</v>
      </c>
      <c r="CE85">
        <v>0</v>
      </c>
      <c r="CF85" s="1" t="s">
        <v>199</v>
      </c>
      <c r="CG85" s="1" t="s">
        <v>199</v>
      </c>
      <c r="CH85" s="1" t="s">
        <v>199</v>
      </c>
      <c r="CI85" s="1" t="s">
        <v>199</v>
      </c>
    </row>
    <row r="86" spans="1:87" x14ac:dyDescent="0.2">
      <c r="A86" t="s">
        <v>65</v>
      </c>
      <c r="B86" s="6" t="s">
        <v>394</v>
      </c>
      <c r="D86" t="s">
        <v>273</v>
      </c>
      <c r="E86" t="s">
        <v>92</v>
      </c>
      <c r="F86" t="s">
        <v>66</v>
      </c>
      <c r="G86" t="s">
        <v>67</v>
      </c>
      <c r="H86" t="s">
        <v>97</v>
      </c>
      <c r="I86" t="s">
        <v>336</v>
      </c>
      <c r="J86" t="s">
        <v>118</v>
      </c>
      <c r="K86" t="s">
        <v>70</v>
      </c>
      <c r="L86" t="s">
        <v>70</v>
      </c>
      <c r="M86" t="s">
        <v>119</v>
      </c>
      <c r="N86" t="s">
        <v>127</v>
      </c>
      <c r="O86" t="s">
        <v>202</v>
      </c>
      <c r="P86" s="4" t="str">
        <f t="shared" si="5"/>
        <v>DFTL_SOC_LOW_MLX001_SOCBSTNL_GR01_X_X_SRVA_SG02_SelsrmSSSS_</v>
      </c>
      <c r="S86" cm="1">
        <f t="array" ref="S86">_xlfn.IFS($AN86&gt;0,MAX(AL86:AM86),$AQ86&gt;0,MAX(AO86:AP86),$AT86&gt;0,MAX(AR86:AS86),$AW86&gt;0,MAX(AU86:AV86),$AZ86&gt;0,MAX(AX86:AY86),$BC86&gt;0,MAX(BA86:BB86),$BF86&gt;0,MAX(BD86:BE86),$BI86&gt;0,MAX(BG86:BH86),$BL86&gt;0,MAX(BJ86:BK86),$BO86&gt;0,MAX(BM86:BN86),$BR86&gt;0,MAX(BP86:BQ86),$BU86&gt;0,MAX(BS86:BT86),$BX86&gt;0,MAX(BV86:BW86))-0.01</f>
        <v>0.69</v>
      </c>
      <c r="T86" cm="1">
        <f t="array" ref="T86">_xlfn.IFS($AN86&gt;0,MIN(AL86:AM86),$AQ86&gt;0,MIN(AO86:AP86),$AT86&gt;0,MIN(AR86:AS86),$AW86&gt;0,MIN(AU86:AV86),$AZ86&gt;0,MIN(AX86:AY86),$BC86&gt;0,MIN(BA86:BB86),$BF86&gt;0,MIN(BD86:BE86),$BI86&gt;0,MIN(BG86:BH86),$BL86&gt;0,MIN(BJ86:BK86),$BO86&gt;0,MIN(BM86:BN86),$BR86&gt;0,MIN(BP86:BQ86),$BU86&gt;0,MIN(BS86:BT86),$BX86&gt;0,MIN(BV86:BW86))+0.01</f>
        <v>0.51</v>
      </c>
      <c r="U86" t="s">
        <v>71</v>
      </c>
      <c r="V86" t="s">
        <v>120</v>
      </c>
      <c r="W86" t="s">
        <v>211</v>
      </c>
      <c r="X86" t="s">
        <v>121</v>
      </c>
      <c r="Y86" t="s">
        <v>122</v>
      </c>
      <c r="Z86" t="s">
        <v>262</v>
      </c>
      <c r="AA86" t="s">
        <v>124</v>
      </c>
      <c r="AC86" t="s">
        <v>322</v>
      </c>
      <c r="AF86" t="s">
        <v>138</v>
      </c>
      <c r="AG86" t="s">
        <v>125</v>
      </c>
      <c r="AH86" t="s">
        <v>139</v>
      </c>
      <c r="AK86" t="s">
        <v>75</v>
      </c>
      <c r="AL86">
        <v>0.755</v>
      </c>
      <c r="AM86">
        <v>0.755</v>
      </c>
      <c r="AO86">
        <v>0.71499999999999997</v>
      </c>
      <c r="AP86">
        <v>0.71499999999999997</v>
      </c>
      <c r="AR86">
        <v>0.72</v>
      </c>
      <c r="AS86">
        <v>0.72</v>
      </c>
      <c r="AU86">
        <v>1.1100000000000001</v>
      </c>
      <c r="AV86">
        <v>1.1100000000000001</v>
      </c>
      <c r="AX86">
        <v>1.19</v>
      </c>
      <c r="AY86">
        <v>1.19</v>
      </c>
      <c r="BA86">
        <v>1.0349999999999999</v>
      </c>
      <c r="BB86">
        <v>1.0349999999999999</v>
      </c>
      <c r="BD86">
        <v>0.85</v>
      </c>
      <c r="BE86">
        <v>0.85</v>
      </c>
      <c r="BG86">
        <v>0.77500000000000002</v>
      </c>
      <c r="BH86">
        <v>0.77500000000000002</v>
      </c>
      <c r="BJ86">
        <v>0.77500000000000002</v>
      </c>
      <c r="BK86">
        <v>0.77500000000000002</v>
      </c>
      <c r="BM86">
        <v>0.81</v>
      </c>
      <c r="BN86">
        <v>0.81</v>
      </c>
      <c r="BP86" s="1">
        <v>0.7</v>
      </c>
      <c r="BQ86" s="1">
        <v>0.5</v>
      </c>
      <c r="BR86">
        <v>5.0000000000000001E-3</v>
      </c>
      <c r="BS86">
        <v>0.8</v>
      </c>
      <c r="BT86">
        <v>0.8</v>
      </c>
      <c r="BV86">
        <v>1.32</v>
      </c>
      <c r="BW86">
        <v>1.32</v>
      </c>
      <c r="BY86" t="s">
        <v>76</v>
      </c>
      <c r="BZ86" cm="1">
        <f t="array" ref="BZ86">_xlfn.IFS($AN86&gt;0,AVERAGE(AL86:AM86),$AQ86&gt;0,AVERAGE(AO86:AP86),$AT86&gt;0,AVERAGE(AR86:AS86),$AW86&gt;0,AVERAGE(AU86:AV86),$AZ86&gt;0,AVERAGE(AX86:AY86),$BC86&gt;0,AVERAGE(BA86:BB86),$BF86&gt;0,AVERAGE(BD86:BE86),$BI86&gt;0,AVERAGE(BG86:BH86),$BL86&gt;0,AVERAGE(BJ86:BK86),$BO86&gt;0,AVERAGE(BM86:BN86),$BR86&gt;0,AVERAGE(BP86:BQ86),$BU86&gt;0,AVERAGE(BS86:BT86),$BX86&gt;0,AVERAGE(BV86:BW86))</f>
        <v>0.6</v>
      </c>
      <c r="CA86">
        <v>0.72</v>
      </c>
      <c r="CC86">
        <v>0</v>
      </c>
      <c r="CD86">
        <f t="shared" si="7"/>
        <v>0</v>
      </c>
      <c r="CE86">
        <v>0</v>
      </c>
      <c r="CF86" s="1" t="s">
        <v>279</v>
      </c>
      <c r="CG86" s="1" t="s">
        <v>279</v>
      </c>
    </row>
    <row r="87" spans="1:87" x14ac:dyDescent="0.2">
      <c r="A87" t="s">
        <v>65</v>
      </c>
      <c r="B87" s="7" t="s">
        <v>60</v>
      </c>
      <c r="D87" t="s">
        <v>273</v>
      </c>
      <c r="E87" t="s">
        <v>92</v>
      </c>
      <c r="F87" t="s">
        <v>66</v>
      </c>
      <c r="G87" t="s">
        <v>67</v>
      </c>
      <c r="H87" t="s">
        <v>97</v>
      </c>
      <c r="I87" t="s">
        <v>94</v>
      </c>
      <c r="J87" t="s">
        <v>78</v>
      </c>
      <c r="K87" t="s">
        <v>95</v>
      </c>
      <c r="L87" t="s">
        <v>88</v>
      </c>
      <c r="M87" t="s">
        <v>70</v>
      </c>
      <c r="N87" t="s">
        <v>70</v>
      </c>
      <c r="O87" t="s">
        <v>202</v>
      </c>
      <c r="P87" s="4" t="str">
        <f t="shared" si="5"/>
        <v>DFTL_SOC_LOW_MLX001_SOCTDF_CCE0_PL00_SSC_X_X_SelsrmSSSS_</v>
      </c>
      <c r="S87" cm="1">
        <f t="array" ref="S87">_xlfn.IFS($AN87&gt;0,MAX(AL87:AM87),$AQ87&gt;0,MAX(AO87:AP87),$AT87&gt;0,MAX(AR87:AS87),$AW87&gt;0,MAX(AU87:AV87),$AZ87&gt;0,MAX(AX87:AY87),$BC87&gt;0,MAX(BA87:BB87),$BF87&gt;0,MAX(BD87:BE87),$BI87&gt;0,MAX(BG87:BH87),$BL87&gt;0,MAX(BJ87:BK87),$BO87&gt;0,MAX(BM87:BN87),$BR87&gt;0,MAX(BP87:BQ87),$BU87&gt;0,MAX(BS87:BT87),$BX87&gt;0,MAX(BV87:BW87))-0.01</f>
        <v>0.69</v>
      </c>
      <c r="T87" cm="1">
        <f t="array" ref="T87">_xlfn.IFS($AN87&gt;0,MIN(AL87:AM87),$AQ87&gt;0,MIN(AO87:AP87),$AT87&gt;0,MIN(AR87:AS87),$AW87&gt;0,MIN(AU87:AV87),$AZ87&gt;0,MIN(AX87:AY87),$BC87&gt;0,MIN(BA87:BB87),$BF87&gt;0,MIN(BD87:BE87),$BI87&gt;0,MIN(BG87:BH87),$BL87&gt;0,MIN(BJ87:BK87),$BO87&gt;0,MIN(BM87:BN87),$BR87&gt;0,MIN(BP87:BQ87),$BU87&gt;0,MIN(BS87:BT87),$BX87&gt;0,MIN(BV87:BW87))+0.01</f>
        <v>0.51</v>
      </c>
      <c r="U87" t="s">
        <v>71</v>
      </c>
      <c r="V87" t="s">
        <v>79</v>
      </c>
      <c r="W87" t="s">
        <v>320</v>
      </c>
      <c r="X87" t="s">
        <v>74</v>
      </c>
      <c r="Y87" t="s">
        <v>264</v>
      </c>
      <c r="AF87" t="s">
        <v>226</v>
      </c>
      <c r="AK87" t="s">
        <v>75</v>
      </c>
      <c r="AL87">
        <v>0.755</v>
      </c>
      <c r="AM87">
        <v>0.755</v>
      </c>
      <c r="AO87">
        <v>0.71499999999999997</v>
      </c>
      <c r="AP87">
        <v>0.71499999999999997</v>
      </c>
      <c r="AR87">
        <v>0.72</v>
      </c>
      <c r="AS87">
        <v>0.72</v>
      </c>
      <c r="AU87">
        <v>1.1100000000000001</v>
      </c>
      <c r="AV87">
        <v>1.1100000000000001</v>
      </c>
      <c r="AX87">
        <v>1.19</v>
      </c>
      <c r="AY87">
        <v>1.19</v>
      </c>
      <c r="BA87">
        <v>1.0349999999999999</v>
      </c>
      <c r="BB87">
        <v>1.0349999999999999</v>
      </c>
      <c r="BD87">
        <v>0.85</v>
      </c>
      <c r="BE87">
        <v>0.85</v>
      </c>
      <c r="BG87">
        <v>0.77500000000000002</v>
      </c>
      <c r="BH87">
        <v>0.77500000000000002</v>
      </c>
      <c r="BJ87">
        <v>0.77500000000000002</v>
      </c>
      <c r="BK87">
        <v>0.77500000000000002</v>
      </c>
      <c r="BM87">
        <v>0.81</v>
      </c>
      <c r="BN87">
        <v>0.81</v>
      </c>
      <c r="BP87" s="1">
        <v>0.7</v>
      </c>
      <c r="BQ87" s="1">
        <v>0.5</v>
      </c>
      <c r="BR87">
        <v>5.0000000000000001E-3</v>
      </c>
      <c r="BS87">
        <v>0.8</v>
      </c>
      <c r="BT87">
        <v>0.8</v>
      </c>
      <c r="BV87">
        <v>1.32</v>
      </c>
      <c r="BW87">
        <v>1.32</v>
      </c>
      <c r="BY87" t="s">
        <v>76</v>
      </c>
      <c r="BZ87" cm="1">
        <f t="array" ref="BZ87">_xlfn.IFS($AN87&gt;0,AVERAGE(AL87:AM87),$AQ87&gt;0,AVERAGE(AO87:AP87),$AT87&gt;0,AVERAGE(AR87:AS87),$AW87&gt;0,AVERAGE(AU87:AV87),$AZ87&gt;0,AVERAGE(AX87:AY87),$BC87&gt;0,AVERAGE(BA87:BB87),$BF87&gt;0,AVERAGE(BD87:BE87),$BI87&gt;0,AVERAGE(BG87:BH87),$BL87&gt;0,AVERAGE(BJ87:BK87),$BO87&gt;0,AVERAGE(BM87:BN87),$BR87&gt;0,AVERAGE(BP87:BQ87),$BU87&gt;0,AVERAGE(BS87:BT87),$BX87&gt;0,AVERAGE(BV87:BW87))</f>
        <v>0.6</v>
      </c>
      <c r="CA87">
        <v>0.72</v>
      </c>
      <c r="CC87">
        <v>0</v>
      </c>
      <c r="CD87">
        <f t="shared" si="7"/>
        <v>0</v>
      </c>
      <c r="CE87">
        <v>0</v>
      </c>
      <c r="CF87" s="1" t="s">
        <v>279</v>
      </c>
      <c r="CG87" s="1" t="s">
        <v>279</v>
      </c>
    </row>
    <row r="88" spans="1:87" x14ac:dyDescent="0.2">
      <c r="A88" t="s">
        <v>65</v>
      </c>
      <c r="B88" s="6" t="s">
        <v>394</v>
      </c>
      <c r="D88" t="s">
        <v>273</v>
      </c>
      <c r="E88" t="s">
        <v>92</v>
      </c>
      <c r="F88" t="s">
        <v>66</v>
      </c>
      <c r="G88" t="s">
        <v>67</v>
      </c>
      <c r="H88" t="s">
        <v>68</v>
      </c>
      <c r="I88" t="s">
        <v>117</v>
      </c>
      <c r="J88" t="s">
        <v>118</v>
      </c>
      <c r="K88" t="s">
        <v>70</v>
      </c>
      <c r="L88" t="s">
        <v>70</v>
      </c>
      <c r="M88" t="s">
        <v>119</v>
      </c>
      <c r="N88" t="s">
        <v>127</v>
      </c>
      <c r="O88" t="s">
        <v>202</v>
      </c>
      <c r="P88" s="4" t="str">
        <f t="shared" si="5"/>
        <v>DFTL_SOC_LOW_MSXXXX_SOCBIR_GR01_X_X_SRVA_SG02_SelsrmSSSS_</v>
      </c>
      <c r="S88" cm="1">
        <f t="array" ref="S88">_xlfn.IFS($AN88&gt;0,MAX(AL88:AM88),$AQ88&gt;0,MAX(AO88:AP88),$AT88&gt;0,MAX(AR88:AS88),$AW88&gt;0,MAX(AU88:AV88),$AZ88&gt;0,MAX(AX88:AY88),$BC88&gt;0,MAX(BA88:BB88),$BF88&gt;0,MAX(BD88:BE88),$BI88&gt;0,MAX(BG88:BH88),$BL88&gt;0,MAX(BJ88:BK88),$BO88&gt;0,MAX(BM88:BN88),$BR88&gt;0,MAX(BP88:BQ88),$BU88&gt;0,MAX(BS88:BT88),$BX88&gt;0,MAX(BV88:BW88))-0.01</f>
        <v>0.69</v>
      </c>
      <c r="T88" cm="1">
        <f t="array" ref="T88">_xlfn.IFS($AN88&gt;0,MIN(AL88:AM88),$AQ88&gt;0,MIN(AO88:AP88),$AT88&gt;0,MIN(AR88:AS88),$AW88&gt;0,MIN(AU88:AV88),$AZ88&gt;0,MIN(AX88:AY88),$BC88&gt;0,MIN(BA88:BB88),$BF88&gt;0,MIN(BD88:BE88),$BI88&gt;0,MIN(BG88:BH88),$BL88&gt;0,MIN(BJ88:BK88),$BO88&gt;0,MIN(BM88:BN88),$BR88&gt;0,MIN(BP88:BQ88),$BU88&gt;0,MIN(BS88:BT88),$BX88&gt;0,MIN(BV88:BW88))+0.01</f>
        <v>0.46</v>
      </c>
      <c r="U88" t="s">
        <v>71</v>
      </c>
      <c r="V88" t="s">
        <v>120</v>
      </c>
      <c r="W88" t="s">
        <v>211</v>
      </c>
      <c r="X88" t="s">
        <v>121</v>
      </c>
      <c r="Y88" t="s">
        <v>122</v>
      </c>
      <c r="Z88" t="s">
        <v>126</v>
      </c>
      <c r="AA88" t="s">
        <v>124</v>
      </c>
      <c r="AC88" t="s">
        <v>322</v>
      </c>
      <c r="AF88" t="s">
        <v>128</v>
      </c>
      <c r="AG88" t="s">
        <v>125</v>
      </c>
      <c r="AH88" t="s">
        <v>129</v>
      </c>
      <c r="AK88" t="s">
        <v>75</v>
      </c>
      <c r="AL88">
        <v>0.755</v>
      </c>
      <c r="AM88">
        <v>0.755</v>
      </c>
      <c r="AO88">
        <v>0.71499999999999997</v>
      </c>
      <c r="AP88">
        <v>0.71499999999999997</v>
      </c>
      <c r="AR88">
        <v>0.72</v>
      </c>
      <c r="AS88">
        <v>0.72</v>
      </c>
      <c r="AU88">
        <v>0.73</v>
      </c>
      <c r="AV88">
        <v>0.73</v>
      </c>
      <c r="AX88">
        <v>0.72</v>
      </c>
      <c r="AY88">
        <v>0.72</v>
      </c>
      <c r="BA88">
        <v>0.76500000000000001</v>
      </c>
      <c r="BB88">
        <v>0.76500000000000001</v>
      </c>
      <c r="BD88">
        <v>0.85</v>
      </c>
      <c r="BE88">
        <v>0.85</v>
      </c>
      <c r="BG88">
        <v>0.77500000000000002</v>
      </c>
      <c r="BH88">
        <v>0.77500000000000002</v>
      </c>
      <c r="BJ88">
        <v>0.77500000000000002</v>
      </c>
      <c r="BK88">
        <v>0.77500000000000002</v>
      </c>
      <c r="BM88">
        <v>0.81</v>
      </c>
      <c r="BN88">
        <v>0.81</v>
      </c>
      <c r="BP88" s="1">
        <v>0.7</v>
      </c>
      <c r="BQ88" s="1">
        <v>0.45</v>
      </c>
      <c r="BR88">
        <v>5.0000000000000001E-3</v>
      </c>
      <c r="BS88">
        <v>0.8</v>
      </c>
      <c r="BT88">
        <v>0.8</v>
      </c>
      <c r="BV88">
        <v>1.32</v>
      </c>
      <c r="BW88">
        <v>1.32</v>
      </c>
      <c r="BY88" t="s">
        <v>76</v>
      </c>
      <c r="BZ88" cm="1">
        <f t="array" ref="BZ88">_xlfn.IFS($AN88&gt;0,AVERAGE(AL88:AM88),$AQ88&gt;0,AVERAGE(AO88:AP88),$AT88&gt;0,AVERAGE(AR88:AS88),$AW88&gt;0,AVERAGE(AU88:AV88),$AZ88&gt;0,AVERAGE(AX88:AY88),$BC88&gt;0,AVERAGE(BA88:BB88),$BF88&gt;0,AVERAGE(BD88:BE88),$BI88&gt;0,AVERAGE(BG88:BH88),$BL88&gt;0,AVERAGE(BJ88:BK88),$BO88&gt;0,AVERAGE(BM88:BN88),$BR88&gt;0,AVERAGE(BP88:BQ88),$BU88&gt;0,AVERAGE(BS88:BT88),$BX88&gt;0,AVERAGE(BV88:BW88))</f>
        <v>0.57499999999999996</v>
      </c>
      <c r="CA88">
        <v>0.72</v>
      </c>
      <c r="CC88">
        <v>0</v>
      </c>
      <c r="CD88">
        <f t="shared" si="7"/>
        <v>0</v>
      </c>
      <c r="CE88">
        <v>0</v>
      </c>
      <c r="CF88" s="1" t="s">
        <v>279</v>
      </c>
      <c r="CG88" s="1" t="s">
        <v>279</v>
      </c>
    </row>
    <row r="89" spans="1:87" x14ac:dyDescent="0.2">
      <c r="A89" t="s">
        <v>65</v>
      </c>
      <c r="B89" s="6" t="s">
        <v>394</v>
      </c>
      <c r="D89" t="s">
        <v>273</v>
      </c>
      <c r="E89" t="s">
        <v>92</v>
      </c>
      <c r="F89" t="s">
        <v>66</v>
      </c>
      <c r="G89" t="s">
        <v>67</v>
      </c>
      <c r="H89" t="s">
        <v>68</v>
      </c>
      <c r="I89" t="s">
        <v>336</v>
      </c>
      <c r="J89" t="s">
        <v>118</v>
      </c>
      <c r="K89" t="s">
        <v>70</v>
      </c>
      <c r="L89" t="s">
        <v>70</v>
      </c>
      <c r="M89" t="s">
        <v>119</v>
      </c>
      <c r="N89" t="s">
        <v>127</v>
      </c>
      <c r="O89" t="s">
        <v>202</v>
      </c>
      <c r="P89" s="4" t="str">
        <f t="shared" si="5"/>
        <v>DFTL_SOC_LOW_MSXXXX_SOCBSTNL_GR01_X_X_SRVA_SG02_SelsrmSSSS_</v>
      </c>
      <c r="S89" cm="1">
        <f t="array" ref="S89">_xlfn.IFS($AN89&gt;0,MAX(AL89:AM89),$AQ89&gt;0,MAX(AO89:AP89),$AT89&gt;0,MAX(AR89:AS89),$AW89&gt;0,MAX(AU89:AV89),$AZ89&gt;0,MAX(AX89:AY89),$BC89&gt;0,MAX(BA89:BB89),$BF89&gt;0,MAX(BD89:BE89),$BI89&gt;0,MAX(BG89:BH89),$BL89&gt;0,MAX(BJ89:BK89),$BO89&gt;0,MAX(BM89:BN89),$BR89&gt;0,MAX(BP89:BQ89),$BU89&gt;0,MAX(BS89:BT89),$BX89&gt;0,MAX(BV89:BW89))-0.01</f>
        <v>0.69</v>
      </c>
      <c r="T89" cm="1">
        <f t="array" ref="T89">_xlfn.IFS($AN89&gt;0,MIN(AL89:AM89),$AQ89&gt;0,MIN(AO89:AP89),$AT89&gt;0,MIN(AR89:AS89),$AW89&gt;0,MIN(AU89:AV89),$AZ89&gt;0,MIN(AX89:AY89),$BC89&gt;0,MIN(BA89:BB89),$BF89&gt;0,MIN(BD89:BE89),$BI89&gt;0,MIN(BG89:BH89),$BL89&gt;0,MIN(BJ89:BK89),$BO89&gt;0,MIN(BM89:BN89),$BR89&gt;0,MIN(BP89:BQ89),$BU89&gt;0,MIN(BS89:BT89),$BX89&gt;0,MIN(BV89:BW89))+0.01</f>
        <v>0.46</v>
      </c>
      <c r="U89" t="s">
        <v>71</v>
      </c>
      <c r="V89" t="s">
        <v>120</v>
      </c>
      <c r="W89" t="s">
        <v>211</v>
      </c>
      <c r="X89" t="s">
        <v>121</v>
      </c>
      <c r="Y89" t="s">
        <v>122</v>
      </c>
      <c r="Z89" t="s">
        <v>126</v>
      </c>
      <c r="AA89" t="s">
        <v>124</v>
      </c>
      <c r="AC89" t="s">
        <v>322</v>
      </c>
      <c r="AF89" t="s">
        <v>138</v>
      </c>
      <c r="AG89" t="s">
        <v>125</v>
      </c>
      <c r="AH89" t="s">
        <v>139</v>
      </c>
      <c r="AK89" t="s">
        <v>75</v>
      </c>
      <c r="AL89">
        <v>0.755</v>
      </c>
      <c r="AM89">
        <v>0.755</v>
      </c>
      <c r="AO89">
        <v>0.71499999999999997</v>
      </c>
      <c r="AP89">
        <v>0.71499999999999997</v>
      </c>
      <c r="AR89">
        <v>0.72</v>
      </c>
      <c r="AS89">
        <v>0.72</v>
      </c>
      <c r="AU89">
        <v>0.73</v>
      </c>
      <c r="AV89">
        <v>0.73</v>
      </c>
      <c r="AX89">
        <v>0.72</v>
      </c>
      <c r="AY89">
        <v>0.72</v>
      </c>
      <c r="BA89">
        <v>0.76500000000000001</v>
      </c>
      <c r="BB89">
        <v>0.76500000000000001</v>
      </c>
      <c r="BD89">
        <v>0.85</v>
      </c>
      <c r="BE89">
        <v>0.85</v>
      </c>
      <c r="BG89">
        <v>0.77500000000000002</v>
      </c>
      <c r="BH89">
        <v>0.77500000000000002</v>
      </c>
      <c r="BJ89">
        <v>0.77500000000000002</v>
      </c>
      <c r="BK89">
        <v>0.77500000000000002</v>
      </c>
      <c r="BM89">
        <v>0.81</v>
      </c>
      <c r="BN89">
        <v>0.81</v>
      </c>
      <c r="BP89" s="1">
        <v>0.7</v>
      </c>
      <c r="BQ89" s="1">
        <v>0.45</v>
      </c>
      <c r="BR89">
        <v>5.0000000000000001E-3</v>
      </c>
      <c r="BS89">
        <v>0.8</v>
      </c>
      <c r="BT89">
        <v>0.8</v>
      </c>
      <c r="BV89">
        <v>1.32</v>
      </c>
      <c r="BW89">
        <v>1.32</v>
      </c>
      <c r="BY89" t="s">
        <v>76</v>
      </c>
      <c r="BZ89" cm="1">
        <f t="array" ref="BZ89">_xlfn.IFS($AN89&gt;0,AVERAGE(AL89:AM89),$AQ89&gt;0,AVERAGE(AO89:AP89),$AT89&gt;0,AVERAGE(AR89:AS89),$AW89&gt;0,AVERAGE(AU89:AV89),$AZ89&gt;0,AVERAGE(AX89:AY89),$BC89&gt;0,AVERAGE(BA89:BB89),$BF89&gt;0,AVERAGE(BD89:BE89),$BI89&gt;0,AVERAGE(BG89:BH89),$BL89&gt;0,AVERAGE(BJ89:BK89),$BO89&gt;0,AVERAGE(BM89:BN89),$BR89&gt;0,AVERAGE(BP89:BQ89),$BU89&gt;0,AVERAGE(BS89:BT89),$BX89&gt;0,AVERAGE(BV89:BW89))</f>
        <v>0.57499999999999996</v>
      </c>
      <c r="CA89">
        <v>0.72</v>
      </c>
      <c r="CC89">
        <v>0</v>
      </c>
      <c r="CD89">
        <f t="shared" si="7"/>
        <v>0</v>
      </c>
      <c r="CE89">
        <v>0</v>
      </c>
      <c r="CF89" s="1" t="s">
        <v>279</v>
      </c>
      <c r="CG89" s="1" t="s">
        <v>279</v>
      </c>
    </row>
    <row r="90" spans="1:87" x14ac:dyDescent="0.2">
      <c r="A90" t="s">
        <v>65</v>
      </c>
      <c r="B90" s="6" t="s">
        <v>394</v>
      </c>
      <c r="D90" t="s">
        <v>273</v>
      </c>
      <c r="E90" t="s">
        <v>92</v>
      </c>
      <c r="F90" t="s">
        <v>66</v>
      </c>
      <c r="G90" t="s">
        <v>82</v>
      </c>
      <c r="H90" t="s">
        <v>93</v>
      </c>
      <c r="I90" t="s">
        <v>117</v>
      </c>
      <c r="J90" t="s">
        <v>133</v>
      </c>
      <c r="K90" t="s">
        <v>70</v>
      </c>
      <c r="L90" t="s">
        <v>70</v>
      </c>
      <c r="M90" t="s">
        <v>134</v>
      </c>
      <c r="N90" t="s">
        <v>70</v>
      </c>
      <c r="O90" t="s">
        <v>203</v>
      </c>
      <c r="P90" s="4" t="str">
        <f t="shared" si="5"/>
        <v>DFTL_SOC_SRAM_MSX001_SOCBIR_P001_X_X_SRVC_X_Selsrm1S11_</v>
      </c>
      <c r="S90" cm="1">
        <f t="array" ref="S90">_xlfn.IFS($AN90&gt;0,MAX(AL90:AM90),$AQ90&gt;0,MAX(AO90:AP90),$AT90&gt;0,MAX(AR90:AS90),$AW90&gt;0,MAX(AU90:AV90),$AZ90&gt;0,MAX(AX90:AY90),$BC90&gt;0,MAX(BA90:BB90),$BF90&gt;0,MAX(BD90:BE90),$BI90&gt;0,MAX(BG90:BH90),$BL90&gt;0,MAX(BJ90:BK90),$BO90&gt;0,MAX(BM90:BN90),$BR90&gt;0,MAX(BP90:BQ90),$BU90&gt;0,MAX(BS90:BT90),$BX90&gt;0,MAX(BV90:BW90))-0.01</f>
        <v>0.76</v>
      </c>
      <c r="T90" cm="1">
        <f t="array" ref="T90">_xlfn.IFS($AN90&gt;0,MIN(AL90:AM90),$AQ90&gt;0,MIN(AO90:AP90),$AT90&gt;0,MIN(AR90:AS90),$AW90&gt;0,MIN(AU90:AV90),$AZ90&gt;0,MIN(AX90:AY90),$BC90&gt;0,MIN(BA90:BB90),$BF90&gt;0,MIN(BD90:BE90),$BI90&gt;0,MIN(BG90:BH90),$BL90&gt;0,MIN(BJ90:BK90),$BO90&gt;0,MIN(BM90:BN90),$BR90&gt;0,MIN(BP90:BQ90),$BU90&gt;0,MIN(BS90:BT90),$BX90&gt;0,MIN(BV90:BW90))+0.01</f>
        <v>0.51</v>
      </c>
      <c r="U90" t="s">
        <v>71</v>
      </c>
      <c r="V90" t="s">
        <v>120</v>
      </c>
      <c r="W90" t="s">
        <v>211</v>
      </c>
      <c r="X90" t="s">
        <v>121</v>
      </c>
      <c r="Y90" t="s">
        <v>122</v>
      </c>
      <c r="Z90" t="s">
        <v>123</v>
      </c>
      <c r="AA90" t="s">
        <v>124</v>
      </c>
      <c r="AC90" t="s">
        <v>322</v>
      </c>
      <c r="AF90" t="s">
        <v>135</v>
      </c>
      <c r="AK90" t="s">
        <v>75</v>
      </c>
      <c r="AL90">
        <v>0.755</v>
      </c>
      <c r="AM90">
        <v>0.755</v>
      </c>
      <c r="AO90">
        <v>0.71499999999999997</v>
      </c>
      <c r="AP90">
        <v>0.71499999999999997</v>
      </c>
      <c r="AR90">
        <v>0.72</v>
      </c>
      <c r="AS90">
        <v>0.72</v>
      </c>
      <c r="AU90" s="1">
        <v>0.77</v>
      </c>
      <c r="AV90" s="1">
        <v>0.5</v>
      </c>
      <c r="AW90">
        <v>5.0000000000000001E-3</v>
      </c>
      <c r="AX90" s="1">
        <v>0.77</v>
      </c>
      <c r="AY90" s="1">
        <v>0.5</v>
      </c>
      <c r="AZ90">
        <v>5.0000000000000001E-3</v>
      </c>
      <c r="BA90" s="1">
        <v>0.77</v>
      </c>
      <c r="BB90" s="1">
        <v>0.5</v>
      </c>
      <c r="BC90">
        <v>5.0000000000000001E-3</v>
      </c>
      <c r="BD90">
        <v>0.85</v>
      </c>
      <c r="BE90">
        <v>0.85</v>
      </c>
      <c r="BG90" s="1">
        <v>0.77</v>
      </c>
      <c r="BH90" s="1">
        <v>0.5</v>
      </c>
      <c r="BI90">
        <v>5.0000000000000001E-3</v>
      </c>
      <c r="BJ90">
        <v>0.77500000000000002</v>
      </c>
      <c r="BK90">
        <v>0.77500000000000002</v>
      </c>
      <c r="BM90">
        <v>0.81</v>
      </c>
      <c r="BN90">
        <v>0.81</v>
      </c>
      <c r="BP90">
        <v>0.72</v>
      </c>
      <c r="BQ90">
        <v>0.72</v>
      </c>
      <c r="BS90">
        <v>0.8</v>
      </c>
      <c r="BT90">
        <v>0.8</v>
      </c>
      <c r="BV90">
        <v>1.32</v>
      </c>
      <c r="BW90">
        <v>1.32</v>
      </c>
      <c r="BY90" t="s">
        <v>76</v>
      </c>
      <c r="BZ90" cm="1">
        <f t="array" ref="BZ90">_xlfn.IFS($AN90&gt;0,AVERAGE(AL90:AM90),$AQ90&gt;0,AVERAGE(AO90:AP90),$AT90&gt;0,AVERAGE(AR90:AS90),$AW90&gt;0,AVERAGE(AU90:AV90),$AZ90&gt;0,AVERAGE(AX90:AY90),$BC90&gt;0,AVERAGE(BA90:BB90),$BF90&gt;0,AVERAGE(BD90:BE90),$BI90&gt;0,AVERAGE(BG90:BH90),$BL90&gt;0,AVERAGE(BJ90:BK90),$BO90&gt;0,AVERAGE(BM90:BN90),$BR90&gt;0,AVERAGE(BP90:BQ90),$BU90&gt;0,AVERAGE(BS90:BT90),$BX90&gt;0,AVERAGE(BV90:BW90))</f>
        <v>0.63500000000000001</v>
      </c>
      <c r="CA90">
        <v>0.77500000000000002</v>
      </c>
      <c r="CC90">
        <v>0</v>
      </c>
      <c r="CD90">
        <f t="shared" si="7"/>
        <v>0</v>
      </c>
      <c r="CE90">
        <v>0</v>
      </c>
      <c r="CF90" s="1" t="s">
        <v>279</v>
      </c>
      <c r="CG90" s="1" t="s">
        <v>279</v>
      </c>
    </row>
    <row r="91" spans="1:87" x14ac:dyDescent="0.2">
      <c r="A91" t="s">
        <v>65</v>
      </c>
      <c r="B91" s="6" t="s">
        <v>394</v>
      </c>
      <c r="D91" t="s">
        <v>273</v>
      </c>
      <c r="E91" t="s">
        <v>92</v>
      </c>
      <c r="F91" t="s">
        <v>66</v>
      </c>
      <c r="G91" t="s">
        <v>82</v>
      </c>
      <c r="H91" t="s">
        <v>93</v>
      </c>
      <c r="I91" t="s">
        <v>336</v>
      </c>
      <c r="J91" t="s">
        <v>133</v>
      </c>
      <c r="K91" t="s">
        <v>70</v>
      </c>
      <c r="L91" t="s">
        <v>70</v>
      </c>
      <c r="M91" t="s">
        <v>134</v>
      </c>
      <c r="N91" t="s">
        <v>70</v>
      </c>
      <c r="O91" t="s">
        <v>203</v>
      </c>
      <c r="P91" s="4" t="str">
        <f t="shared" si="5"/>
        <v>DFTL_SOC_SRAM_MSX001_SOCBSTNL_P001_X_X_SRVC_X_Selsrm1S11_</v>
      </c>
      <c r="S91" cm="1">
        <f t="array" ref="S91">_xlfn.IFS($AN91&gt;0,MAX(AL91:AM91),$AQ91&gt;0,MAX(AO91:AP91),$AT91&gt;0,MAX(AR91:AS91),$AW91&gt;0,MAX(AU91:AV91),$AZ91&gt;0,MAX(AX91:AY91),$BC91&gt;0,MAX(BA91:BB91),$BF91&gt;0,MAX(BD91:BE91),$BI91&gt;0,MAX(BG91:BH91),$BL91&gt;0,MAX(BJ91:BK91),$BO91&gt;0,MAX(BM91:BN91),$BR91&gt;0,MAX(BP91:BQ91),$BU91&gt;0,MAX(BS91:BT91),$BX91&gt;0,MAX(BV91:BW91))-0.01</f>
        <v>0.76</v>
      </c>
      <c r="T91" cm="1">
        <f t="array" ref="T91">_xlfn.IFS($AN91&gt;0,MIN(AL91:AM91),$AQ91&gt;0,MIN(AO91:AP91),$AT91&gt;0,MIN(AR91:AS91),$AW91&gt;0,MIN(AU91:AV91),$AZ91&gt;0,MIN(AX91:AY91),$BC91&gt;0,MIN(BA91:BB91),$BF91&gt;0,MIN(BD91:BE91),$BI91&gt;0,MIN(BG91:BH91),$BL91&gt;0,MIN(BJ91:BK91),$BO91&gt;0,MIN(BM91:BN91),$BR91&gt;0,MIN(BP91:BQ91),$BU91&gt;0,MIN(BS91:BT91),$BX91&gt;0,MIN(BV91:BW91))+0.01</f>
        <v>0.51</v>
      </c>
      <c r="U91" t="s">
        <v>71</v>
      </c>
      <c r="V91" t="s">
        <v>120</v>
      </c>
      <c r="W91" t="s">
        <v>211</v>
      </c>
      <c r="X91" t="s">
        <v>121</v>
      </c>
      <c r="Y91" t="s">
        <v>122</v>
      </c>
      <c r="Z91" t="s">
        <v>123</v>
      </c>
      <c r="AA91" t="s">
        <v>124</v>
      </c>
      <c r="AC91" t="s">
        <v>322</v>
      </c>
      <c r="AF91" t="s">
        <v>142</v>
      </c>
      <c r="AK91" t="s">
        <v>75</v>
      </c>
      <c r="AL91">
        <v>0.755</v>
      </c>
      <c r="AM91">
        <v>0.755</v>
      </c>
      <c r="AO91">
        <v>0.71499999999999997</v>
      </c>
      <c r="AP91">
        <v>0.71499999999999997</v>
      </c>
      <c r="AR91">
        <v>0.72</v>
      </c>
      <c r="AS91">
        <v>0.72</v>
      </c>
      <c r="AU91" s="1">
        <v>0.77</v>
      </c>
      <c r="AV91" s="1">
        <v>0.5</v>
      </c>
      <c r="AW91">
        <v>5.0000000000000001E-3</v>
      </c>
      <c r="AX91" s="1">
        <v>0.77</v>
      </c>
      <c r="AY91" s="1">
        <v>0.5</v>
      </c>
      <c r="AZ91">
        <v>5.0000000000000001E-3</v>
      </c>
      <c r="BA91" s="1">
        <v>0.77</v>
      </c>
      <c r="BB91" s="1">
        <v>0.5</v>
      </c>
      <c r="BC91">
        <v>5.0000000000000001E-3</v>
      </c>
      <c r="BD91">
        <v>0.85</v>
      </c>
      <c r="BE91">
        <v>0.85</v>
      </c>
      <c r="BG91" s="1">
        <v>0.77</v>
      </c>
      <c r="BH91" s="1">
        <v>0.5</v>
      </c>
      <c r="BI91">
        <v>5.0000000000000001E-3</v>
      </c>
      <c r="BJ91">
        <v>0.77500000000000002</v>
      </c>
      <c r="BK91">
        <v>0.77500000000000002</v>
      </c>
      <c r="BM91">
        <v>0.81</v>
      </c>
      <c r="BN91">
        <v>0.81</v>
      </c>
      <c r="BP91">
        <v>0.72</v>
      </c>
      <c r="BQ91">
        <v>0.72</v>
      </c>
      <c r="BS91">
        <v>0.8</v>
      </c>
      <c r="BT91">
        <v>0.8</v>
      </c>
      <c r="BV91">
        <v>1.32</v>
      </c>
      <c r="BW91">
        <v>1.32</v>
      </c>
      <c r="BY91" t="s">
        <v>76</v>
      </c>
      <c r="BZ91" cm="1">
        <f t="array" ref="BZ91">_xlfn.IFS($AN91&gt;0,AVERAGE(AL91:AM91),$AQ91&gt;0,AVERAGE(AO91:AP91),$AT91&gt;0,AVERAGE(AR91:AS91),$AW91&gt;0,AVERAGE(AU91:AV91),$AZ91&gt;0,AVERAGE(AX91:AY91),$BC91&gt;0,AVERAGE(BA91:BB91),$BF91&gt;0,AVERAGE(BD91:BE91),$BI91&gt;0,AVERAGE(BG91:BH91),$BL91&gt;0,AVERAGE(BJ91:BK91),$BO91&gt;0,AVERAGE(BM91:BN91),$BR91&gt;0,AVERAGE(BP91:BQ91),$BU91&gt;0,AVERAGE(BS91:BT91),$BX91&gt;0,AVERAGE(BV91:BW91))</f>
        <v>0.63500000000000001</v>
      </c>
      <c r="CA91">
        <v>0.77500000000000002</v>
      </c>
      <c r="CC91">
        <v>0</v>
      </c>
      <c r="CD91">
        <f t="shared" si="7"/>
        <v>0</v>
      </c>
      <c r="CE91">
        <v>0</v>
      </c>
      <c r="CF91" s="1" t="s">
        <v>279</v>
      </c>
      <c r="CG91" s="1" t="s">
        <v>279</v>
      </c>
    </row>
    <row r="92" spans="1:87" x14ac:dyDescent="0.2">
      <c r="A92" t="s">
        <v>65</v>
      </c>
      <c r="B92" s="6" t="s">
        <v>394</v>
      </c>
      <c r="D92" t="s">
        <v>273</v>
      </c>
      <c r="E92" t="s">
        <v>92</v>
      </c>
      <c r="F92" t="s">
        <v>66</v>
      </c>
      <c r="G92" t="s">
        <v>82</v>
      </c>
      <c r="H92" t="s">
        <v>68</v>
      </c>
      <c r="I92" t="s">
        <v>117</v>
      </c>
      <c r="J92" t="s">
        <v>133</v>
      </c>
      <c r="K92" t="s">
        <v>70</v>
      </c>
      <c r="L92" t="s">
        <v>70</v>
      </c>
      <c r="M92" t="s">
        <v>134</v>
      </c>
      <c r="N92" t="s">
        <v>70</v>
      </c>
      <c r="O92" t="s">
        <v>203</v>
      </c>
      <c r="P92" s="4" t="str">
        <f t="shared" ref="P92:P127" si="8">E92&amp;"_"&amp;F92&amp;"_"&amp;G92&amp;"_"&amp;H92&amp;"_"&amp;I92&amp;"_"&amp;J92&amp;"_"&amp;K92&amp;"_"&amp;L92&amp;"_"&amp;M92&amp;"_"&amp;N92&amp;"_"&amp;O92&amp;"_"</f>
        <v>DFTL_SOC_SRAM_MSXXXX_SOCBIR_P001_X_X_SRVC_X_Selsrm1S11_</v>
      </c>
      <c r="S92" cm="1">
        <f t="array" ref="S92">_xlfn.IFS($AN92&gt;0,MAX(AL92:AM92),$AQ92&gt;0,MAX(AO92:AP92),$AT92&gt;0,MAX(AR92:AS92),$AW92&gt;0,MAX(AU92:AV92),$AZ92&gt;0,MAX(AX92:AY92),$BC92&gt;0,MAX(BA92:BB92),$BF92&gt;0,MAX(BD92:BE92),$BI92&gt;0,MAX(BG92:BH92),$BL92&gt;0,MAX(BJ92:BK92),$BO92&gt;0,MAX(BM92:BN92),$BR92&gt;0,MAX(BP92:BQ92),$BU92&gt;0,MAX(BS92:BT92),$BX92&gt;0,MAX(BV92:BW92))-0.01</f>
        <v>0.76</v>
      </c>
      <c r="T92" cm="1">
        <f t="array" ref="T92">_xlfn.IFS($AN92&gt;0,MIN(AL92:AM92),$AQ92&gt;0,MIN(AO92:AP92),$AT92&gt;0,MIN(AR92:AS92),$AW92&gt;0,MIN(AU92:AV92),$AZ92&gt;0,MIN(AX92:AY92),$BC92&gt;0,MIN(BA92:BB92),$BF92&gt;0,MIN(BD92:BE92),$BI92&gt;0,MIN(BG92:BH92),$BL92&gt;0,MIN(BJ92:BK92),$BO92&gt;0,MIN(BM92:BN92),$BR92&gt;0,MIN(BP92:BQ92),$BU92&gt;0,MIN(BS92:BT92),$BX92&gt;0,MIN(BV92:BW92))+0.01</f>
        <v>0.51</v>
      </c>
      <c r="U92" t="s">
        <v>71</v>
      </c>
      <c r="V92" t="s">
        <v>120</v>
      </c>
      <c r="W92" t="s">
        <v>211</v>
      </c>
      <c r="X92" t="s">
        <v>121</v>
      </c>
      <c r="Y92" t="s">
        <v>122</v>
      </c>
      <c r="Z92" t="s">
        <v>126</v>
      </c>
      <c r="AA92" t="s">
        <v>124</v>
      </c>
      <c r="AC92" t="s">
        <v>322</v>
      </c>
      <c r="AF92" t="s">
        <v>135</v>
      </c>
      <c r="AK92" t="s">
        <v>75</v>
      </c>
      <c r="AL92">
        <v>0.755</v>
      </c>
      <c r="AM92">
        <v>0.755</v>
      </c>
      <c r="AO92">
        <v>0.71499999999999997</v>
      </c>
      <c r="AP92">
        <v>0.71499999999999997</v>
      </c>
      <c r="AR92">
        <v>0.72</v>
      </c>
      <c r="AS92">
        <v>0.72</v>
      </c>
      <c r="AU92" s="1">
        <v>0.77</v>
      </c>
      <c r="AV92" s="1">
        <v>0.5</v>
      </c>
      <c r="AW92">
        <v>5.0000000000000001E-3</v>
      </c>
      <c r="AX92" s="1">
        <v>0.77</v>
      </c>
      <c r="AY92" s="1">
        <v>0.5</v>
      </c>
      <c r="AZ92">
        <v>5.0000000000000001E-3</v>
      </c>
      <c r="BA92" s="1">
        <v>0.77</v>
      </c>
      <c r="BB92" s="1">
        <v>0.5</v>
      </c>
      <c r="BC92">
        <v>5.0000000000000001E-3</v>
      </c>
      <c r="BD92">
        <v>0.85</v>
      </c>
      <c r="BE92">
        <v>0.85</v>
      </c>
      <c r="BG92" s="1">
        <v>0.77</v>
      </c>
      <c r="BH92" s="1">
        <v>0.5</v>
      </c>
      <c r="BI92">
        <v>5.0000000000000001E-3</v>
      </c>
      <c r="BJ92">
        <v>0.77500000000000002</v>
      </c>
      <c r="BK92">
        <v>0.77500000000000002</v>
      </c>
      <c r="BM92">
        <v>0.81</v>
      </c>
      <c r="BN92">
        <v>0.81</v>
      </c>
      <c r="BP92">
        <v>0.72</v>
      </c>
      <c r="BQ92">
        <v>0.72</v>
      </c>
      <c r="BS92">
        <v>0.8</v>
      </c>
      <c r="BT92">
        <v>0.8</v>
      </c>
      <c r="BV92">
        <v>1.32</v>
      </c>
      <c r="BW92">
        <v>1.32</v>
      </c>
      <c r="BY92" t="s">
        <v>76</v>
      </c>
      <c r="BZ92" cm="1">
        <f t="array" ref="BZ92">_xlfn.IFS($AN92&gt;0,AVERAGE(AL92:AM92),$AQ92&gt;0,AVERAGE(AO92:AP92),$AT92&gt;0,AVERAGE(AR92:AS92),$AW92&gt;0,AVERAGE(AU92:AV92),$AZ92&gt;0,AVERAGE(AX92:AY92),$BC92&gt;0,AVERAGE(BA92:BB92),$BF92&gt;0,AVERAGE(BD92:BE92),$BI92&gt;0,AVERAGE(BG92:BH92),$BL92&gt;0,AVERAGE(BJ92:BK92),$BO92&gt;0,AVERAGE(BM92:BN92),$BR92&gt;0,AVERAGE(BP92:BQ92),$BU92&gt;0,AVERAGE(BS92:BT92),$BX92&gt;0,AVERAGE(BV92:BW92))</f>
        <v>0.63500000000000001</v>
      </c>
      <c r="CA92">
        <v>0.77500000000000002</v>
      </c>
      <c r="CC92">
        <v>0</v>
      </c>
      <c r="CD92">
        <f t="shared" si="7"/>
        <v>0</v>
      </c>
      <c r="CE92">
        <v>0</v>
      </c>
      <c r="CF92" s="1" t="s">
        <v>279</v>
      </c>
      <c r="CG92" s="1" t="s">
        <v>279</v>
      </c>
    </row>
    <row r="93" spans="1:87" x14ac:dyDescent="0.2">
      <c r="A93" t="s">
        <v>65</v>
      </c>
      <c r="B93" s="6" t="s">
        <v>394</v>
      </c>
      <c r="D93" t="s">
        <v>273</v>
      </c>
      <c r="E93" t="s">
        <v>92</v>
      </c>
      <c r="F93" t="s">
        <v>66</v>
      </c>
      <c r="G93" t="s">
        <v>82</v>
      </c>
      <c r="H93" t="s">
        <v>68</v>
      </c>
      <c r="I93" t="s">
        <v>336</v>
      </c>
      <c r="J93" t="s">
        <v>133</v>
      </c>
      <c r="K93" t="s">
        <v>70</v>
      </c>
      <c r="L93" t="s">
        <v>70</v>
      </c>
      <c r="M93" t="s">
        <v>134</v>
      </c>
      <c r="N93" t="s">
        <v>70</v>
      </c>
      <c r="O93" t="s">
        <v>203</v>
      </c>
      <c r="P93" s="4" t="str">
        <f t="shared" si="8"/>
        <v>DFTL_SOC_SRAM_MSXXXX_SOCBSTNL_P001_X_X_SRVC_X_Selsrm1S11_</v>
      </c>
      <c r="S93" cm="1">
        <f t="array" ref="S93">_xlfn.IFS($AN93&gt;0,MAX(AL93:AM93),$AQ93&gt;0,MAX(AO93:AP93),$AT93&gt;0,MAX(AR93:AS93),$AW93&gt;0,MAX(AU93:AV93),$AZ93&gt;0,MAX(AX93:AY93),$BC93&gt;0,MAX(BA93:BB93),$BF93&gt;0,MAX(BD93:BE93),$BI93&gt;0,MAX(BG93:BH93),$BL93&gt;0,MAX(BJ93:BK93),$BO93&gt;0,MAX(BM93:BN93),$BR93&gt;0,MAX(BP93:BQ93),$BU93&gt;0,MAX(BS93:BT93),$BX93&gt;0,MAX(BV93:BW93))-0.01</f>
        <v>0.76</v>
      </c>
      <c r="T93" cm="1">
        <f t="array" ref="T93">_xlfn.IFS($AN93&gt;0,MIN(AL93:AM93),$AQ93&gt;0,MIN(AO93:AP93),$AT93&gt;0,MIN(AR93:AS93),$AW93&gt;0,MIN(AU93:AV93),$AZ93&gt;0,MIN(AX93:AY93),$BC93&gt;0,MIN(BA93:BB93),$BF93&gt;0,MIN(BD93:BE93),$BI93&gt;0,MIN(BG93:BH93),$BL93&gt;0,MIN(BJ93:BK93),$BO93&gt;0,MIN(BM93:BN93),$BR93&gt;0,MIN(BP93:BQ93),$BU93&gt;0,MIN(BS93:BT93),$BX93&gt;0,MIN(BV93:BW93))+0.01</f>
        <v>0.51</v>
      </c>
      <c r="U93" t="s">
        <v>71</v>
      </c>
      <c r="V93" t="s">
        <v>120</v>
      </c>
      <c r="W93" t="s">
        <v>211</v>
      </c>
      <c r="X93" t="s">
        <v>121</v>
      </c>
      <c r="Y93" t="s">
        <v>122</v>
      </c>
      <c r="Z93" t="s">
        <v>126</v>
      </c>
      <c r="AA93" t="s">
        <v>124</v>
      </c>
      <c r="AC93" t="s">
        <v>322</v>
      </c>
      <c r="AF93" t="s">
        <v>142</v>
      </c>
      <c r="AK93" t="s">
        <v>75</v>
      </c>
      <c r="AL93">
        <v>0.755</v>
      </c>
      <c r="AM93">
        <v>0.755</v>
      </c>
      <c r="AO93">
        <v>0.71499999999999997</v>
      </c>
      <c r="AP93">
        <v>0.71499999999999997</v>
      </c>
      <c r="AR93">
        <v>0.72</v>
      </c>
      <c r="AS93">
        <v>0.72</v>
      </c>
      <c r="AU93" s="1">
        <v>0.77</v>
      </c>
      <c r="AV93" s="1">
        <v>0.5</v>
      </c>
      <c r="AW93">
        <v>5.0000000000000001E-3</v>
      </c>
      <c r="AX93" s="1">
        <v>0.77</v>
      </c>
      <c r="AY93" s="1">
        <v>0.5</v>
      </c>
      <c r="AZ93">
        <v>5.0000000000000001E-3</v>
      </c>
      <c r="BA93" s="1">
        <v>0.77</v>
      </c>
      <c r="BB93" s="1">
        <v>0.5</v>
      </c>
      <c r="BC93">
        <v>5.0000000000000001E-3</v>
      </c>
      <c r="BD93">
        <v>0.85</v>
      </c>
      <c r="BE93">
        <v>0.85</v>
      </c>
      <c r="BG93" s="1">
        <v>0.77</v>
      </c>
      <c r="BH93" s="1">
        <v>0.5</v>
      </c>
      <c r="BI93">
        <v>5.0000000000000001E-3</v>
      </c>
      <c r="BJ93">
        <v>0.77500000000000002</v>
      </c>
      <c r="BK93">
        <v>0.77500000000000002</v>
      </c>
      <c r="BM93">
        <v>0.81</v>
      </c>
      <c r="BN93">
        <v>0.81</v>
      </c>
      <c r="BP93">
        <v>0.72</v>
      </c>
      <c r="BQ93">
        <v>0.72</v>
      </c>
      <c r="BS93">
        <v>0.8</v>
      </c>
      <c r="BT93">
        <v>0.8</v>
      </c>
      <c r="BV93">
        <v>1.32</v>
      </c>
      <c r="BW93">
        <v>1.32</v>
      </c>
      <c r="BY93" t="s">
        <v>76</v>
      </c>
      <c r="BZ93" cm="1">
        <f t="array" ref="BZ93">_xlfn.IFS($AN93&gt;0,AVERAGE(AL93:AM93),$AQ93&gt;0,AVERAGE(AO93:AP93),$AT93&gt;0,AVERAGE(AR93:AS93),$AW93&gt;0,AVERAGE(AU93:AV93),$AZ93&gt;0,AVERAGE(AX93:AY93),$BC93&gt;0,AVERAGE(BA93:BB93),$BF93&gt;0,AVERAGE(BD93:BE93),$BI93&gt;0,AVERAGE(BG93:BH93),$BL93&gt;0,AVERAGE(BJ93:BK93),$BO93&gt;0,AVERAGE(BM93:BN93),$BR93&gt;0,AVERAGE(BP93:BQ93),$BU93&gt;0,AVERAGE(BS93:BT93),$BX93&gt;0,AVERAGE(BV93:BW93))</f>
        <v>0.63500000000000001</v>
      </c>
      <c r="CA93">
        <v>0.77500000000000002</v>
      </c>
      <c r="CC93">
        <v>0</v>
      </c>
      <c r="CD93">
        <f t="shared" si="7"/>
        <v>0</v>
      </c>
      <c r="CE93">
        <v>0</v>
      </c>
      <c r="CF93" s="1" t="s">
        <v>279</v>
      </c>
      <c r="CG93" s="1" t="s">
        <v>279</v>
      </c>
    </row>
    <row r="94" spans="1:87" x14ac:dyDescent="0.2">
      <c r="A94" t="s">
        <v>65</v>
      </c>
      <c r="B94" t="s">
        <v>360</v>
      </c>
      <c r="D94" t="s">
        <v>273</v>
      </c>
      <c r="E94" t="s">
        <v>92</v>
      </c>
      <c r="F94" t="s">
        <v>66</v>
      </c>
      <c r="G94" t="s">
        <v>83</v>
      </c>
      <c r="H94" t="s">
        <v>101</v>
      </c>
      <c r="I94" t="s">
        <v>94</v>
      </c>
      <c r="J94" t="s">
        <v>340</v>
      </c>
      <c r="K94" t="s">
        <v>95</v>
      </c>
      <c r="L94" t="s">
        <v>69</v>
      </c>
      <c r="M94" t="s">
        <v>70</v>
      </c>
      <c r="N94" t="s">
        <v>70</v>
      </c>
      <c r="O94" t="s">
        <v>202</v>
      </c>
      <c r="P94" s="4" t="str">
        <f t="shared" si="8"/>
        <v>DFTL_SOC_PCPU_MPX002_SOCTDF_CAC0_PL00_PRC_X_X_SelsrmSSSS_</v>
      </c>
      <c r="S94">
        <v>0.77</v>
      </c>
      <c r="T94">
        <v>0.7238</v>
      </c>
      <c r="U94" t="s">
        <v>71</v>
      </c>
      <c r="V94" t="s">
        <v>72</v>
      </c>
      <c r="W94" t="s">
        <v>320</v>
      </c>
      <c r="X94" t="s">
        <v>74</v>
      </c>
      <c r="Y94" t="s">
        <v>341</v>
      </c>
      <c r="AF94" t="s">
        <v>342</v>
      </c>
      <c r="AK94" t="s">
        <v>75</v>
      </c>
      <c r="AL94">
        <v>0.97</v>
      </c>
      <c r="AM94">
        <v>0.3</v>
      </c>
      <c r="AN94">
        <v>5.0000000000000001E-3</v>
      </c>
      <c r="AO94">
        <v>0.71499999999999997</v>
      </c>
      <c r="AP94">
        <v>0.71499999999999997</v>
      </c>
      <c r="AR94">
        <v>0.72</v>
      </c>
      <c r="AS94">
        <v>0.72</v>
      </c>
      <c r="AU94">
        <v>1.1100000000000001</v>
      </c>
      <c r="AV94">
        <v>1.1100000000000001</v>
      </c>
      <c r="AX94">
        <v>0.72</v>
      </c>
      <c r="AY94">
        <v>0.72</v>
      </c>
      <c r="BA94">
        <v>0.76500000000000001</v>
      </c>
      <c r="BB94">
        <v>0.76500000000000001</v>
      </c>
      <c r="BD94">
        <v>0.85</v>
      </c>
      <c r="BE94">
        <v>0.85</v>
      </c>
      <c r="BG94">
        <v>0.77500000000000002</v>
      </c>
      <c r="BH94">
        <v>0.77500000000000002</v>
      </c>
      <c r="BJ94">
        <v>0.77500000000000002</v>
      </c>
      <c r="BK94">
        <v>0.77500000000000002</v>
      </c>
      <c r="BM94">
        <v>0.81</v>
      </c>
      <c r="BN94">
        <v>0.81</v>
      </c>
      <c r="BP94">
        <v>0.72</v>
      </c>
      <c r="BQ94">
        <v>0.72</v>
      </c>
      <c r="BS94">
        <v>0.8</v>
      </c>
      <c r="BT94">
        <v>0.8</v>
      </c>
      <c r="BV94">
        <v>1.32</v>
      </c>
      <c r="BW94">
        <v>1.32</v>
      </c>
      <c r="BY94" t="s">
        <v>76</v>
      </c>
      <c r="BZ94">
        <v>0.72399999999999998</v>
      </c>
      <c r="CA94">
        <v>0.77</v>
      </c>
      <c r="CC94">
        <v>0</v>
      </c>
      <c r="CD94">
        <v>0</v>
      </c>
      <c r="CE94">
        <v>0</v>
      </c>
      <c r="CF94" s="1" t="s">
        <v>279</v>
      </c>
      <c r="CG94" s="1" t="s">
        <v>279</v>
      </c>
    </row>
    <row r="95" spans="1:87" x14ac:dyDescent="0.2">
      <c r="A95" t="s">
        <v>65</v>
      </c>
      <c r="B95" t="s">
        <v>360</v>
      </c>
      <c r="D95" t="s">
        <v>273</v>
      </c>
      <c r="E95" t="s">
        <v>92</v>
      </c>
      <c r="F95" t="s">
        <v>66</v>
      </c>
      <c r="G95" t="s">
        <v>83</v>
      </c>
      <c r="H95" t="s">
        <v>102</v>
      </c>
      <c r="I95" t="s">
        <v>94</v>
      </c>
      <c r="J95" t="s">
        <v>340</v>
      </c>
      <c r="K95" t="s">
        <v>95</v>
      </c>
      <c r="L95" t="s">
        <v>69</v>
      </c>
      <c r="M95" t="s">
        <v>70</v>
      </c>
      <c r="N95" t="s">
        <v>70</v>
      </c>
      <c r="O95" t="s">
        <v>202</v>
      </c>
      <c r="P95" s="4" t="str">
        <f t="shared" si="8"/>
        <v>DFTL_SOC_PCPU_MPX003_SOCTDF_CAC0_PL00_PRC_X_X_SelsrmSSSS_</v>
      </c>
      <c r="S95">
        <v>0.78500000000000003</v>
      </c>
      <c r="T95">
        <v>0.7379</v>
      </c>
      <c r="U95" t="s">
        <v>71</v>
      </c>
      <c r="V95" t="s">
        <v>72</v>
      </c>
      <c r="W95" t="s">
        <v>320</v>
      </c>
      <c r="X95" t="s">
        <v>74</v>
      </c>
      <c r="Y95" t="s">
        <v>343</v>
      </c>
      <c r="AF95" t="s">
        <v>342</v>
      </c>
      <c r="AK95" t="s">
        <v>75</v>
      </c>
      <c r="AL95">
        <v>0.98499999999999999</v>
      </c>
      <c r="AM95">
        <v>0.3</v>
      </c>
      <c r="AN95">
        <v>5.0000000000000001E-3</v>
      </c>
      <c r="AO95">
        <v>0.71499999999999997</v>
      </c>
      <c r="AP95">
        <v>0.71499999999999997</v>
      </c>
      <c r="AR95">
        <v>0.72</v>
      </c>
      <c r="AS95">
        <v>0.72</v>
      </c>
      <c r="AU95">
        <v>1.1100000000000001</v>
      </c>
      <c r="AV95">
        <v>1.1100000000000001</v>
      </c>
      <c r="AX95">
        <v>0.72</v>
      </c>
      <c r="AY95">
        <v>0.72</v>
      </c>
      <c r="BA95">
        <v>0.76500000000000001</v>
      </c>
      <c r="BB95">
        <v>0.76500000000000001</v>
      </c>
      <c r="BD95">
        <v>0.86</v>
      </c>
      <c r="BE95">
        <v>0.86</v>
      </c>
      <c r="BG95">
        <v>0.77500000000000002</v>
      </c>
      <c r="BH95">
        <v>0.77500000000000002</v>
      </c>
      <c r="BJ95">
        <v>0.77500000000000002</v>
      </c>
      <c r="BK95">
        <v>0.77500000000000002</v>
      </c>
      <c r="BM95">
        <v>0.81</v>
      </c>
      <c r="BN95">
        <v>0.81</v>
      </c>
      <c r="BP95">
        <v>0.72</v>
      </c>
      <c r="BQ95">
        <v>0.72</v>
      </c>
      <c r="BS95">
        <v>0.8</v>
      </c>
      <c r="BT95">
        <v>0.8</v>
      </c>
      <c r="BV95">
        <v>1.32</v>
      </c>
      <c r="BW95">
        <v>1.32</v>
      </c>
      <c r="BY95" t="s">
        <v>76</v>
      </c>
      <c r="BZ95">
        <v>0.73799999999999999</v>
      </c>
      <c r="CA95">
        <v>0.78500000000000003</v>
      </c>
      <c r="CC95">
        <v>1</v>
      </c>
      <c r="CD95">
        <v>0</v>
      </c>
      <c r="CE95">
        <v>0</v>
      </c>
      <c r="CF95" s="1" t="s">
        <v>279</v>
      </c>
      <c r="CG95" s="1" t="s">
        <v>279</v>
      </c>
    </row>
    <row r="96" spans="1:87" x14ac:dyDescent="0.2">
      <c r="A96" t="s">
        <v>65</v>
      </c>
      <c r="B96" t="s">
        <v>360</v>
      </c>
      <c r="D96" t="s">
        <v>273</v>
      </c>
      <c r="E96" t="s">
        <v>92</v>
      </c>
      <c r="F96" t="s">
        <v>66</v>
      </c>
      <c r="G96" t="s">
        <v>83</v>
      </c>
      <c r="H96" t="s">
        <v>103</v>
      </c>
      <c r="I96" t="s">
        <v>94</v>
      </c>
      <c r="J96" t="s">
        <v>340</v>
      </c>
      <c r="K96" t="s">
        <v>95</v>
      </c>
      <c r="L96" t="s">
        <v>69</v>
      </c>
      <c r="M96" t="s">
        <v>70</v>
      </c>
      <c r="N96" t="s">
        <v>70</v>
      </c>
      <c r="O96" t="s">
        <v>202</v>
      </c>
      <c r="P96" s="4" t="str">
        <f t="shared" si="8"/>
        <v>DFTL_SOC_PCPU_MPX004_SOCTDF_CAC0_PL00_PRC_X_X_SelsrmSSSS_</v>
      </c>
      <c r="S96">
        <v>0.83</v>
      </c>
      <c r="T96">
        <v>0.7802</v>
      </c>
      <c r="U96" t="s">
        <v>71</v>
      </c>
      <c r="V96" t="s">
        <v>72</v>
      </c>
      <c r="W96" t="s">
        <v>320</v>
      </c>
      <c r="X96" t="s">
        <v>74</v>
      </c>
      <c r="Y96" t="s">
        <v>344</v>
      </c>
      <c r="AF96" t="s">
        <v>342</v>
      </c>
      <c r="AK96" t="s">
        <v>75</v>
      </c>
      <c r="AL96">
        <v>1.03</v>
      </c>
      <c r="AM96">
        <v>0.33</v>
      </c>
      <c r="AN96">
        <v>5.0000000000000001E-3</v>
      </c>
      <c r="AO96">
        <v>0.71499999999999997</v>
      </c>
      <c r="AP96">
        <v>0.71499999999999997</v>
      </c>
      <c r="AR96">
        <v>0.72</v>
      </c>
      <c r="AS96">
        <v>0.72</v>
      </c>
      <c r="AU96">
        <v>1.1100000000000001</v>
      </c>
      <c r="AV96">
        <v>1.1100000000000001</v>
      </c>
      <c r="AX96">
        <v>0.72</v>
      </c>
      <c r="AY96">
        <v>0.72</v>
      </c>
      <c r="BA96">
        <v>0.76500000000000001</v>
      </c>
      <c r="BB96">
        <v>0.76500000000000001</v>
      </c>
      <c r="BD96">
        <v>0.88500000000000001</v>
      </c>
      <c r="BE96">
        <v>0.88500000000000001</v>
      </c>
      <c r="BG96">
        <v>0.77500000000000002</v>
      </c>
      <c r="BH96">
        <v>0.77500000000000002</v>
      </c>
      <c r="BJ96">
        <v>0.77500000000000002</v>
      </c>
      <c r="BK96">
        <v>0.77500000000000002</v>
      </c>
      <c r="BM96">
        <v>0.81</v>
      </c>
      <c r="BN96">
        <v>0.81</v>
      </c>
      <c r="BP96">
        <v>0.72</v>
      </c>
      <c r="BQ96">
        <v>0.72</v>
      </c>
      <c r="BS96">
        <v>0.8</v>
      </c>
      <c r="BT96">
        <v>0.8</v>
      </c>
      <c r="BV96">
        <v>1.32</v>
      </c>
      <c r="BW96">
        <v>1.32</v>
      </c>
      <c r="BY96" t="s">
        <v>76</v>
      </c>
      <c r="BZ96">
        <v>0.78</v>
      </c>
      <c r="CA96">
        <v>0.83</v>
      </c>
      <c r="CC96">
        <v>0</v>
      </c>
      <c r="CD96">
        <v>0</v>
      </c>
      <c r="CE96">
        <v>0</v>
      </c>
      <c r="CF96" s="1" t="s">
        <v>279</v>
      </c>
      <c r="CG96" s="1" t="s">
        <v>279</v>
      </c>
    </row>
    <row r="97" spans="1:85" x14ac:dyDescent="0.2">
      <c r="A97" t="s">
        <v>65</v>
      </c>
      <c r="B97" t="s">
        <v>360</v>
      </c>
      <c r="D97" t="s">
        <v>273</v>
      </c>
      <c r="E97" t="s">
        <v>92</v>
      </c>
      <c r="F97" t="s">
        <v>66</v>
      </c>
      <c r="G97" t="s">
        <v>83</v>
      </c>
      <c r="H97" t="s">
        <v>104</v>
      </c>
      <c r="I97" t="s">
        <v>94</v>
      </c>
      <c r="J97" t="s">
        <v>340</v>
      </c>
      <c r="K97" t="s">
        <v>95</v>
      </c>
      <c r="L97" t="s">
        <v>69</v>
      </c>
      <c r="M97" t="s">
        <v>70</v>
      </c>
      <c r="N97" t="s">
        <v>70</v>
      </c>
      <c r="O97" t="s">
        <v>202</v>
      </c>
      <c r="P97" s="4" t="str">
        <f t="shared" si="8"/>
        <v>DFTL_SOC_PCPU_MPX006_SOCTDF_CAC0_PL00_PRC_X_X_SelsrmSSSS_</v>
      </c>
      <c r="S97">
        <v>0.92</v>
      </c>
      <c r="T97">
        <v>0.86480000000000001</v>
      </c>
      <c r="U97" t="s">
        <v>71</v>
      </c>
      <c r="V97" t="s">
        <v>72</v>
      </c>
      <c r="W97" t="s">
        <v>320</v>
      </c>
      <c r="X97" t="s">
        <v>74</v>
      </c>
      <c r="Y97" t="s">
        <v>345</v>
      </c>
      <c r="AF97" t="s">
        <v>342</v>
      </c>
      <c r="AK97" t="s">
        <v>75</v>
      </c>
      <c r="AL97">
        <v>1.1200000000000001</v>
      </c>
      <c r="AM97">
        <v>0.42</v>
      </c>
      <c r="AN97">
        <v>5.0000000000000001E-3</v>
      </c>
      <c r="AO97">
        <v>0.71499999999999997</v>
      </c>
      <c r="AP97">
        <v>0.71499999999999997</v>
      </c>
      <c r="AR97">
        <v>0.72</v>
      </c>
      <c r="AS97">
        <v>0.72</v>
      </c>
      <c r="AU97">
        <v>1.1100000000000001</v>
      </c>
      <c r="AV97">
        <v>1.1100000000000001</v>
      </c>
      <c r="AX97">
        <v>0.72</v>
      </c>
      <c r="AY97">
        <v>0.72</v>
      </c>
      <c r="BA97">
        <v>0.76500000000000001</v>
      </c>
      <c r="BB97">
        <v>0.76500000000000001</v>
      </c>
      <c r="BD97">
        <v>0.95499999999999996</v>
      </c>
      <c r="BE97">
        <v>0.95499999999999996</v>
      </c>
      <c r="BG97">
        <v>0.77500000000000002</v>
      </c>
      <c r="BH97">
        <v>0.77500000000000002</v>
      </c>
      <c r="BJ97">
        <v>0.77500000000000002</v>
      </c>
      <c r="BK97">
        <v>0.77500000000000002</v>
      </c>
      <c r="BM97">
        <v>0.81</v>
      </c>
      <c r="BN97">
        <v>0.81</v>
      </c>
      <c r="BP97">
        <v>0.72</v>
      </c>
      <c r="BQ97">
        <v>0.72</v>
      </c>
      <c r="BS97">
        <v>0.8</v>
      </c>
      <c r="BT97">
        <v>0.8</v>
      </c>
      <c r="BV97">
        <v>1.32</v>
      </c>
      <c r="BW97">
        <v>1.32</v>
      </c>
      <c r="BY97" t="s">
        <v>76</v>
      </c>
      <c r="BZ97">
        <v>0.86499999999999999</v>
      </c>
      <c r="CA97">
        <v>0.92</v>
      </c>
      <c r="CC97">
        <v>0</v>
      </c>
      <c r="CD97">
        <v>0</v>
      </c>
      <c r="CE97">
        <v>0</v>
      </c>
      <c r="CF97" s="1" t="s">
        <v>279</v>
      </c>
      <c r="CG97" s="1" t="s">
        <v>279</v>
      </c>
    </row>
    <row r="98" spans="1:85" x14ac:dyDescent="0.2">
      <c r="A98" t="s">
        <v>65</v>
      </c>
      <c r="B98" t="s">
        <v>360</v>
      </c>
      <c r="D98" t="s">
        <v>273</v>
      </c>
      <c r="E98" t="s">
        <v>92</v>
      </c>
      <c r="F98" t="s">
        <v>66</v>
      </c>
      <c r="G98" t="s">
        <v>83</v>
      </c>
      <c r="H98" t="s">
        <v>105</v>
      </c>
      <c r="I98" t="s">
        <v>94</v>
      </c>
      <c r="J98" t="s">
        <v>340</v>
      </c>
      <c r="K98" t="s">
        <v>95</v>
      </c>
      <c r="L98" t="s">
        <v>69</v>
      </c>
      <c r="M98" t="s">
        <v>70</v>
      </c>
      <c r="N98" t="s">
        <v>70</v>
      </c>
      <c r="O98" t="s">
        <v>202</v>
      </c>
      <c r="P98" s="4" t="str">
        <f t="shared" si="8"/>
        <v>DFTL_SOC_PCPU_MPX007_SOCTDF_CAC0_PL00_PRC_X_X_SelsrmSSSS_</v>
      </c>
      <c r="S98">
        <v>0.96499999999999997</v>
      </c>
      <c r="T98">
        <v>0.90710000000000002</v>
      </c>
      <c r="U98" t="s">
        <v>71</v>
      </c>
      <c r="V98" t="s">
        <v>72</v>
      </c>
      <c r="W98" t="s">
        <v>320</v>
      </c>
      <c r="X98" t="s">
        <v>74</v>
      </c>
      <c r="Y98" t="s">
        <v>346</v>
      </c>
      <c r="AF98" t="s">
        <v>342</v>
      </c>
      <c r="AK98" t="s">
        <v>75</v>
      </c>
      <c r="AL98">
        <v>1.165</v>
      </c>
      <c r="AM98">
        <v>0.46500000000000002</v>
      </c>
      <c r="AN98">
        <v>5.0000000000000001E-3</v>
      </c>
      <c r="AO98">
        <v>0.71499999999999997</v>
      </c>
      <c r="AP98">
        <v>0.71499999999999997</v>
      </c>
      <c r="AR98">
        <v>0.72</v>
      </c>
      <c r="AS98">
        <v>0.72</v>
      </c>
      <c r="AU98">
        <v>1.1100000000000001</v>
      </c>
      <c r="AV98">
        <v>1.1100000000000001</v>
      </c>
      <c r="AX98">
        <v>0.72</v>
      </c>
      <c r="AY98">
        <v>0.72</v>
      </c>
      <c r="BA98">
        <v>0.76500000000000001</v>
      </c>
      <c r="BB98">
        <v>0.76500000000000001</v>
      </c>
      <c r="BD98">
        <v>0.99</v>
      </c>
      <c r="BE98">
        <v>0.99</v>
      </c>
      <c r="BG98">
        <v>0.77500000000000002</v>
      </c>
      <c r="BH98">
        <v>0.77500000000000002</v>
      </c>
      <c r="BJ98">
        <v>0.77500000000000002</v>
      </c>
      <c r="BK98">
        <v>0.77500000000000002</v>
      </c>
      <c r="BM98">
        <v>0.81</v>
      </c>
      <c r="BN98">
        <v>0.81</v>
      </c>
      <c r="BP98">
        <v>0.72</v>
      </c>
      <c r="BQ98">
        <v>0.72</v>
      </c>
      <c r="BS98">
        <v>0.8</v>
      </c>
      <c r="BT98">
        <v>0.8</v>
      </c>
      <c r="BV98">
        <v>1.32</v>
      </c>
      <c r="BW98">
        <v>1.32</v>
      </c>
      <c r="BY98" t="s">
        <v>76</v>
      </c>
      <c r="BZ98">
        <v>0.90700000000000003</v>
      </c>
      <c r="CA98">
        <v>0.96499999999999997</v>
      </c>
      <c r="CC98">
        <v>1</v>
      </c>
      <c r="CD98">
        <v>0</v>
      </c>
      <c r="CE98">
        <v>0</v>
      </c>
      <c r="CF98" s="1" t="s">
        <v>279</v>
      </c>
      <c r="CG98" s="1" t="s">
        <v>279</v>
      </c>
    </row>
    <row r="99" spans="1:85" x14ac:dyDescent="0.2">
      <c r="A99" t="s">
        <v>65</v>
      </c>
      <c r="B99" t="s">
        <v>360</v>
      </c>
      <c r="D99" t="s">
        <v>273</v>
      </c>
      <c r="E99" t="s">
        <v>92</v>
      </c>
      <c r="F99" t="s">
        <v>66</v>
      </c>
      <c r="G99" t="s">
        <v>83</v>
      </c>
      <c r="H99" t="s">
        <v>106</v>
      </c>
      <c r="I99" t="s">
        <v>94</v>
      </c>
      <c r="J99" t="s">
        <v>340</v>
      </c>
      <c r="K99" t="s">
        <v>95</v>
      </c>
      <c r="L99" t="s">
        <v>69</v>
      </c>
      <c r="M99" t="s">
        <v>70</v>
      </c>
      <c r="N99" t="s">
        <v>70</v>
      </c>
      <c r="O99" t="s">
        <v>202</v>
      </c>
      <c r="P99" s="4" t="str">
        <f t="shared" si="8"/>
        <v>DFTL_SOC_PCPU_MPX009_SOCTDF_CAC0_PL00_PRC_X_X_SelsrmSSSS_</v>
      </c>
      <c r="S99">
        <v>1.0149999999999999</v>
      </c>
      <c r="T99">
        <v>0.95409999999999995</v>
      </c>
      <c r="U99" t="s">
        <v>71</v>
      </c>
      <c r="V99" t="s">
        <v>72</v>
      </c>
      <c r="W99" t="s">
        <v>320</v>
      </c>
      <c r="X99" t="s">
        <v>74</v>
      </c>
      <c r="Y99" t="s">
        <v>347</v>
      </c>
      <c r="AF99" t="s">
        <v>342</v>
      </c>
      <c r="AK99" t="s">
        <v>75</v>
      </c>
      <c r="AL99">
        <v>1.2150000000000001</v>
      </c>
      <c r="AM99">
        <v>0.51500000000000001</v>
      </c>
      <c r="AN99">
        <v>5.0000000000000001E-3</v>
      </c>
      <c r="AO99">
        <v>0.71499999999999997</v>
      </c>
      <c r="AP99">
        <v>0.71499999999999997</v>
      </c>
      <c r="AR99">
        <v>0.72</v>
      </c>
      <c r="AS99">
        <v>0.72</v>
      </c>
      <c r="AU99">
        <v>1.1100000000000001</v>
      </c>
      <c r="AV99">
        <v>1.1100000000000001</v>
      </c>
      <c r="AX99">
        <v>0.72</v>
      </c>
      <c r="AY99">
        <v>0.72</v>
      </c>
      <c r="BA99">
        <v>0.76500000000000001</v>
      </c>
      <c r="BB99">
        <v>0.76500000000000001</v>
      </c>
      <c r="BD99">
        <v>1.0649999999999999</v>
      </c>
      <c r="BE99">
        <v>1.0649999999999999</v>
      </c>
      <c r="BG99">
        <v>0.77500000000000002</v>
      </c>
      <c r="BH99">
        <v>0.77500000000000002</v>
      </c>
      <c r="BJ99">
        <v>0.77500000000000002</v>
      </c>
      <c r="BK99">
        <v>0.77500000000000002</v>
      </c>
      <c r="BM99">
        <v>0.81</v>
      </c>
      <c r="BN99">
        <v>0.81</v>
      </c>
      <c r="BP99">
        <v>0.72</v>
      </c>
      <c r="BQ99">
        <v>0.72</v>
      </c>
      <c r="BS99">
        <v>0.8</v>
      </c>
      <c r="BT99">
        <v>0.8</v>
      </c>
      <c r="BV99">
        <v>1.32</v>
      </c>
      <c r="BW99">
        <v>1.32</v>
      </c>
      <c r="BY99" t="s">
        <v>76</v>
      </c>
      <c r="BZ99">
        <v>0.95399999999999996</v>
      </c>
      <c r="CA99">
        <v>1.0149999999999999</v>
      </c>
      <c r="CC99">
        <v>0</v>
      </c>
      <c r="CD99">
        <v>0</v>
      </c>
      <c r="CE99">
        <v>0</v>
      </c>
      <c r="CF99" s="1" t="s">
        <v>279</v>
      </c>
      <c r="CG99" s="1" t="s">
        <v>279</v>
      </c>
    </row>
    <row r="100" spans="1:85" x14ac:dyDescent="0.2">
      <c r="A100" t="s">
        <v>65</v>
      </c>
      <c r="B100" t="s">
        <v>360</v>
      </c>
      <c r="D100" t="s">
        <v>273</v>
      </c>
      <c r="E100" t="s">
        <v>92</v>
      </c>
      <c r="F100" t="s">
        <v>66</v>
      </c>
      <c r="G100" t="s">
        <v>83</v>
      </c>
      <c r="H100" t="s">
        <v>107</v>
      </c>
      <c r="I100" t="s">
        <v>94</v>
      </c>
      <c r="J100" t="s">
        <v>340</v>
      </c>
      <c r="K100" t="s">
        <v>95</v>
      </c>
      <c r="L100" t="s">
        <v>69</v>
      </c>
      <c r="M100" t="s">
        <v>70</v>
      </c>
      <c r="N100" t="s">
        <v>70</v>
      </c>
      <c r="O100" t="s">
        <v>202</v>
      </c>
      <c r="P100" s="4" t="str">
        <f t="shared" si="8"/>
        <v>DFTL_SOC_PCPU_MPX00A_SOCTDF_CAC0_PL00_PRC_X_X_SelsrmSSSS_</v>
      </c>
      <c r="S100">
        <v>1.06</v>
      </c>
      <c r="T100">
        <v>0.99639999999999995</v>
      </c>
      <c r="U100" t="s">
        <v>71</v>
      </c>
      <c r="V100" t="s">
        <v>72</v>
      </c>
      <c r="W100" t="s">
        <v>320</v>
      </c>
      <c r="X100" t="s">
        <v>74</v>
      </c>
      <c r="Y100" t="s">
        <v>348</v>
      </c>
      <c r="AF100" t="s">
        <v>342</v>
      </c>
      <c r="AK100" t="s">
        <v>75</v>
      </c>
      <c r="AL100">
        <v>1.26</v>
      </c>
      <c r="AM100">
        <v>0.56000000000000005</v>
      </c>
      <c r="AN100">
        <v>5.0000000000000001E-3</v>
      </c>
      <c r="AO100">
        <v>0.71499999999999997</v>
      </c>
      <c r="AP100">
        <v>0.71499999999999997</v>
      </c>
      <c r="AR100">
        <v>0.72</v>
      </c>
      <c r="AS100">
        <v>0.72</v>
      </c>
      <c r="AU100">
        <v>1.1100000000000001</v>
      </c>
      <c r="AV100">
        <v>1.1100000000000001</v>
      </c>
      <c r="AX100">
        <v>0.72</v>
      </c>
      <c r="AY100">
        <v>0.72</v>
      </c>
      <c r="BA100">
        <v>0.76500000000000001</v>
      </c>
      <c r="BB100">
        <v>0.76500000000000001</v>
      </c>
      <c r="BD100">
        <v>1.1000000000000001</v>
      </c>
      <c r="BE100">
        <v>1.1000000000000001</v>
      </c>
      <c r="BG100">
        <v>0.77500000000000002</v>
      </c>
      <c r="BH100">
        <v>0.77500000000000002</v>
      </c>
      <c r="BJ100">
        <v>0.77500000000000002</v>
      </c>
      <c r="BK100">
        <v>0.77500000000000002</v>
      </c>
      <c r="BM100">
        <v>0.81</v>
      </c>
      <c r="BN100">
        <v>0.81</v>
      </c>
      <c r="BP100">
        <v>0.72</v>
      </c>
      <c r="BQ100">
        <v>0.72</v>
      </c>
      <c r="BS100">
        <v>0.8</v>
      </c>
      <c r="BT100">
        <v>0.8</v>
      </c>
      <c r="BV100">
        <v>1.32</v>
      </c>
      <c r="BW100">
        <v>1.32</v>
      </c>
      <c r="BY100" t="s">
        <v>76</v>
      </c>
      <c r="BZ100">
        <v>0.996</v>
      </c>
      <c r="CA100">
        <v>1.06</v>
      </c>
      <c r="CC100">
        <v>1</v>
      </c>
      <c r="CD100">
        <v>0</v>
      </c>
      <c r="CE100">
        <v>0</v>
      </c>
      <c r="CF100" s="1" t="s">
        <v>279</v>
      </c>
      <c r="CG100" s="1" t="s">
        <v>279</v>
      </c>
    </row>
    <row r="101" spans="1:85" x14ac:dyDescent="0.2">
      <c r="A101" t="s">
        <v>65</v>
      </c>
      <c r="B101" t="s">
        <v>360</v>
      </c>
      <c r="D101" t="s">
        <v>273</v>
      </c>
      <c r="E101" t="s">
        <v>92</v>
      </c>
      <c r="F101" t="s">
        <v>66</v>
      </c>
      <c r="G101" t="s">
        <v>83</v>
      </c>
      <c r="H101" t="s">
        <v>108</v>
      </c>
      <c r="I101" t="s">
        <v>94</v>
      </c>
      <c r="J101" t="s">
        <v>340</v>
      </c>
      <c r="K101" t="s">
        <v>95</v>
      </c>
      <c r="L101" t="s">
        <v>69</v>
      </c>
      <c r="M101" t="s">
        <v>70</v>
      </c>
      <c r="N101" t="s">
        <v>70</v>
      </c>
      <c r="O101" t="s">
        <v>202</v>
      </c>
      <c r="P101" s="4" t="str">
        <f t="shared" si="8"/>
        <v>DFTL_SOC_PCPU_MPX00C_SOCTDF_CAC0_PL00_PRC_X_X_SelsrmSSSS_</v>
      </c>
      <c r="S101">
        <v>1.1399999999999999</v>
      </c>
      <c r="T101">
        <v>1.0716000000000001</v>
      </c>
      <c r="U101" t="s">
        <v>71</v>
      </c>
      <c r="V101" t="s">
        <v>72</v>
      </c>
      <c r="W101" t="s">
        <v>320</v>
      </c>
      <c r="X101" t="s">
        <v>74</v>
      </c>
      <c r="Y101" t="s">
        <v>349</v>
      </c>
      <c r="AF101" t="s">
        <v>342</v>
      </c>
      <c r="AK101" t="s">
        <v>75</v>
      </c>
      <c r="AL101">
        <v>1.3</v>
      </c>
      <c r="AM101">
        <v>0.64</v>
      </c>
      <c r="AN101">
        <v>5.0000000000000001E-3</v>
      </c>
      <c r="AO101">
        <v>0.71499999999999997</v>
      </c>
      <c r="AP101">
        <v>0.71499999999999997</v>
      </c>
      <c r="AR101">
        <v>0.72</v>
      </c>
      <c r="AS101">
        <v>0.72</v>
      </c>
      <c r="AU101">
        <v>1.1100000000000001</v>
      </c>
      <c r="AV101">
        <v>1.1100000000000001</v>
      </c>
      <c r="AX101">
        <v>0.72</v>
      </c>
      <c r="AY101">
        <v>0.72</v>
      </c>
      <c r="BA101">
        <v>0.76500000000000001</v>
      </c>
      <c r="BB101">
        <v>0.76500000000000001</v>
      </c>
      <c r="BD101">
        <v>1.1399999999999999</v>
      </c>
      <c r="BE101">
        <v>1.1399999999999999</v>
      </c>
      <c r="BG101">
        <v>0.77500000000000002</v>
      </c>
      <c r="BH101">
        <v>0.77500000000000002</v>
      </c>
      <c r="BJ101">
        <v>0.77500000000000002</v>
      </c>
      <c r="BK101">
        <v>0.77500000000000002</v>
      </c>
      <c r="BM101">
        <v>0.81</v>
      </c>
      <c r="BN101">
        <v>0.81</v>
      </c>
      <c r="BP101">
        <v>0.72</v>
      </c>
      <c r="BQ101">
        <v>0.72</v>
      </c>
      <c r="BS101">
        <v>0.8</v>
      </c>
      <c r="BT101">
        <v>0.8</v>
      </c>
      <c r="BV101">
        <v>1.32</v>
      </c>
      <c r="BW101">
        <v>1.32</v>
      </c>
      <c r="BY101" t="s">
        <v>76</v>
      </c>
      <c r="BZ101">
        <v>1.0720000000000001</v>
      </c>
      <c r="CA101">
        <v>1.1399999999999999</v>
      </c>
      <c r="CC101">
        <v>1</v>
      </c>
      <c r="CD101">
        <v>0</v>
      </c>
      <c r="CE101">
        <v>0</v>
      </c>
      <c r="CF101" s="1" t="s">
        <v>279</v>
      </c>
      <c r="CG101" s="1" t="s">
        <v>279</v>
      </c>
    </row>
    <row r="102" spans="1:85" x14ac:dyDescent="0.2">
      <c r="A102" t="s">
        <v>65</v>
      </c>
      <c r="B102" t="s">
        <v>360</v>
      </c>
      <c r="D102" t="s">
        <v>273</v>
      </c>
      <c r="E102" t="s">
        <v>92</v>
      </c>
      <c r="F102" t="s">
        <v>66</v>
      </c>
      <c r="G102" t="s">
        <v>83</v>
      </c>
      <c r="H102" t="s">
        <v>101</v>
      </c>
      <c r="I102" t="s">
        <v>94</v>
      </c>
      <c r="J102" t="s">
        <v>350</v>
      </c>
      <c r="K102" t="s">
        <v>95</v>
      </c>
      <c r="L102" t="s">
        <v>69</v>
      </c>
      <c r="M102" t="s">
        <v>70</v>
      </c>
      <c r="N102" t="s">
        <v>70</v>
      </c>
      <c r="O102" t="s">
        <v>202</v>
      </c>
      <c r="P102" s="4" t="str">
        <f t="shared" si="8"/>
        <v>DFTL_SOC_PCPU_MPX002_SOCTDF_CAE0_PL00_PRC_X_X_SelsrmSSSS_</v>
      </c>
      <c r="S102">
        <v>0.77</v>
      </c>
      <c r="T102">
        <v>0.7238</v>
      </c>
      <c r="U102" t="s">
        <v>71</v>
      </c>
      <c r="V102" t="s">
        <v>72</v>
      </c>
      <c r="W102" t="s">
        <v>320</v>
      </c>
      <c r="X102" t="s">
        <v>74</v>
      </c>
      <c r="Y102" t="s">
        <v>351</v>
      </c>
      <c r="AF102" t="s">
        <v>352</v>
      </c>
      <c r="AK102" t="s">
        <v>75</v>
      </c>
      <c r="AL102">
        <v>0.97</v>
      </c>
      <c r="AM102">
        <v>0.3</v>
      </c>
      <c r="AN102">
        <v>5.0000000000000001E-3</v>
      </c>
      <c r="AO102">
        <v>0.71499999999999997</v>
      </c>
      <c r="AP102">
        <v>0.71499999999999997</v>
      </c>
      <c r="AR102">
        <v>0.72</v>
      </c>
      <c r="AS102">
        <v>0.72</v>
      </c>
      <c r="AU102">
        <v>1.1100000000000001</v>
      </c>
      <c r="AV102">
        <v>1.1100000000000001</v>
      </c>
      <c r="AX102">
        <v>0.72</v>
      </c>
      <c r="AY102">
        <v>0.72</v>
      </c>
      <c r="BA102">
        <v>0.76500000000000001</v>
      </c>
      <c r="BB102">
        <v>0.76500000000000001</v>
      </c>
      <c r="BD102">
        <v>0.85</v>
      </c>
      <c r="BE102">
        <v>0.85</v>
      </c>
      <c r="BG102">
        <v>0.77500000000000002</v>
      </c>
      <c r="BH102">
        <v>0.77500000000000002</v>
      </c>
      <c r="BJ102">
        <v>0.77500000000000002</v>
      </c>
      <c r="BK102">
        <v>0.77500000000000002</v>
      </c>
      <c r="BM102">
        <v>0.81</v>
      </c>
      <c r="BN102">
        <v>0.81</v>
      </c>
      <c r="BP102">
        <v>0.72</v>
      </c>
      <c r="BQ102">
        <v>0.72</v>
      </c>
      <c r="BS102">
        <v>0.8</v>
      </c>
      <c r="BT102">
        <v>0.8</v>
      </c>
      <c r="BV102">
        <v>1.32</v>
      </c>
      <c r="BW102">
        <v>1.32</v>
      </c>
      <c r="BY102" t="s">
        <v>76</v>
      </c>
      <c r="BZ102">
        <v>0.72399999999999998</v>
      </c>
      <c r="CA102">
        <v>0.77</v>
      </c>
      <c r="CC102">
        <v>0</v>
      </c>
      <c r="CD102">
        <v>0</v>
      </c>
      <c r="CE102">
        <v>0</v>
      </c>
      <c r="CF102" s="1" t="s">
        <v>279</v>
      </c>
      <c r="CG102" s="1" t="s">
        <v>279</v>
      </c>
    </row>
    <row r="103" spans="1:85" x14ac:dyDescent="0.2">
      <c r="A103" t="s">
        <v>65</v>
      </c>
      <c r="B103" t="s">
        <v>360</v>
      </c>
      <c r="D103" t="s">
        <v>273</v>
      </c>
      <c r="E103" t="s">
        <v>92</v>
      </c>
      <c r="F103" t="s">
        <v>66</v>
      </c>
      <c r="G103" t="s">
        <v>83</v>
      </c>
      <c r="H103" t="s">
        <v>102</v>
      </c>
      <c r="I103" t="s">
        <v>94</v>
      </c>
      <c r="J103" t="s">
        <v>350</v>
      </c>
      <c r="K103" t="s">
        <v>95</v>
      </c>
      <c r="L103" t="s">
        <v>69</v>
      </c>
      <c r="M103" t="s">
        <v>70</v>
      </c>
      <c r="N103" t="s">
        <v>70</v>
      </c>
      <c r="O103" t="s">
        <v>202</v>
      </c>
      <c r="P103" s="4" t="str">
        <f t="shared" si="8"/>
        <v>DFTL_SOC_PCPU_MPX003_SOCTDF_CAE0_PL00_PRC_X_X_SelsrmSSSS_</v>
      </c>
      <c r="S103">
        <v>0.78500000000000003</v>
      </c>
      <c r="T103">
        <v>0.7379</v>
      </c>
      <c r="U103" t="s">
        <v>71</v>
      </c>
      <c r="V103" t="s">
        <v>72</v>
      </c>
      <c r="W103" t="s">
        <v>320</v>
      </c>
      <c r="X103" t="s">
        <v>74</v>
      </c>
      <c r="Y103" t="s">
        <v>353</v>
      </c>
      <c r="AF103" t="s">
        <v>352</v>
      </c>
      <c r="AK103" t="s">
        <v>75</v>
      </c>
      <c r="AL103">
        <v>0.98499999999999999</v>
      </c>
      <c r="AM103">
        <v>0.3</v>
      </c>
      <c r="AN103">
        <v>5.0000000000000001E-3</v>
      </c>
      <c r="AO103">
        <v>0.71499999999999997</v>
      </c>
      <c r="AP103">
        <v>0.71499999999999997</v>
      </c>
      <c r="AR103">
        <v>0.72</v>
      </c>
      <c r="AS103">
        <v>0.72</v>
      </c>
      <c r="AU103">
        <v>1.1100000000000001</v>
      </c>
      <c r="AV103">
        <v>1.1100000000000001</v>
      </c>
      <c r="AX103">
        <v>0.72</v>
      </c>
      <c r="AY103">
        <v>0.72</v>
      </c>
      <c r="BA103">
        <v>0.76500000000000001</v>
      </c>
      <c r="BB103">
        <v>0.76500000000000001</v>
      </c>
      <c r="BD103">
        <v>0.86</v>
      </c>
      <c r="BE103">
        <v>0.86</v>
      </c>
      <c r="BG103">
        <v>0.77500000000000002</v>
      </c>
      <c r="BH103">
        <v>0.77500000000000002</v>
      </c>
      <c r="BJ103">
        <v>0.77500000000000002</v>
      </c>
      <c r="BK103">
        <v>0.77500000000000002</v>
      </c>
      <c r="BM103">
        <v>0.81</v>
      </c>
      <c r="BN103">
        <v>0.81</v>
      </c>
      <c r="BP103">
        <v>0.72</v>
      </c>
      <c r="BQ103">
        <v>0.72</v>
      </c>
      <c r="BS103">
        <v>0.8</v>
      </c>
      <c r="BT103">
        <v>0.8</v>
      </c>
      <c r="BV103">
        <v>1.32</v>
      </c>
      <c r="BW103">
        <v>1.32</v>
      </c>
      <c r="BY103" t="s">
        <v>76</v>
      </c>
      <c r="BZ103">
        <v>0.73799999999999999</v>
      </c>
      <c r="CA103">
        <v>0.78500000000000003</v>
      </c>
      <c r="CC103">
        <v>1</v>
      </c>
      <c r="CD103">
        <v>0</v>
      </c>
      <c r="CE103">
        <v>0</v>
      </c>
      <c r="CF103" s="1" t="s">
        <v>279</v>
      </c>
      <c r="CG103" s="1" t="s">
        <v>279</v>
      </c>
    </row>
    <row r="104" spans="1:85" x14ac:dyDescent="0.2">
      <c r="A104" t="s">
        <v>65</v>
      </c>
      <c r="B104" t="s">
        <v>360</v>
      </c>
      <c r="D104" t="s">
        <v>273</v>
      </c>
      <c r="E104" t="s">
        <v>92</v>
      </c>
      <c r="F104" t="s">
        <v>66</v>
      </c>
      <c r="G104" t="s">
        <v>83</v>
      </c>
      <c r="H104" t="s">
        <v>103</v>
      </c>
      <c r="I104" t="s">
        <v>94</v>
      </c>
      <c r="J104" t="s">
        <v>350</v>
      </c>
      <c r="K104" t="s">
        <v>95</v>
      </c>
      <c r="L104" t="s">
        <v>69</v>
      </c>
      <c r="M104" t="s">
        <v>70</v>
      </c>
      <c r="N104" t="s">
        <v>70</v>
      </c>
      <c r="O104" t="s">
        <v>202</v>
      </c>
      <c r="P104" s="4" t="str">
        <f t="shared" si="8"/>
        <v>DFTL_SOC_PCPU_MPX004_SOCTDF_CAE0_PL00_PRC_X_X_SelsrmSSSS_</v>
      </c>
      <c r="S104">
        <v>0.83</v>
      </c>
      <c r="T104">
        <v>0.7802</v>
      </c>
      <c r="U104" t="s">
        <v>71</v>
      </c>
      <c r="V104" t="s">
        <v>72</v>
      </c>
      <c r="W104" t="s">
        <v>320</v>
      </c>
      <c r="X104" t="s">
        <v>74</v>
      </c>
      <c r="Y104" t="s">
        <v>354</v>
      </c>
      <c r="AF104" t="s">
        <v>352</v>
      </c>
      <c r="AK104" t="s">
        <v>75</v>
      </c>
      <c r="AL104">
        <v>1.03</v>
      </c>
      <c r="AM104">
        <v>0.33</v>
      </c>
      <c r="AN104">
        <v>5.0000000000000001E-3</v>
      </c>
      <c r="AO104">
        <v>0.71499999999999997</v>
      </c>
      <c r="AP104">
        <v>0.71499999999999997</v>
      </c>
      <c r="AR104">
        <v>0.72</v>
      </c>
      <c r="AS104">
        <v>0.72</v>
      </c>
      <c r="AU104">
        <v>1.1100000000000001</v>
      </c>
      <c r="AV104">
        <v>1.1100000000000001</v>
      </c>
      <c r="AX104">
        <v>0.72</v>
      </c>
      <c r="AY104">
        <v>0.72</v>
      </c>
      <c r="BA104">
        <v>0.76500000000000001</v>
      </c>
      <c r="BB104">
        <v>0.76500000000000001</v>
      </c>
      <c r="BD104">
        <v>0.88500000000000001</v>
      </c>
      <c r="BE104">
        <v>0.88500000000000001</v>
      </c>
      <c r="BG104">
        <v>0.77500000000000002</v>
      </c>
      <c r="BH104">
        <v>0.77500000000000002</v>
      </c>
      <c r="BJ104">
        <v>0.77500000000000002</v>
      </c>
      <c r="BK104">
        <v>0.77500000000000002</v>
      </c>
      <c r="BM104">
        <v>0.81</v>
      </c>
      <c r="BN104">
        <v>0.81</v>
      </c>
      <c r="BP104">
        <v>0.72</v>
      </c>
      <c r="BQ104">
        <v>0.72</v>
      </c>
      <c r="BS104">
        <v>0.8</v>
      </c>
      <c r="BT104">
        <v>0.8</v>
      </c>
      <c r="BV104">
        <v>1.32</v>
      </c>
      <c r="BW104">
        <v>1.32</v>
      </c>
      <c r="BY104" t="s">
        <v>76</v>
      </c>
      <c r="BZ104">
        <v>0.78</v>
      </c>
      <c r="CA104">
        <v>0.83</v>
      </c>
      <c r="CC104">
        <v>0</v>
      </c>
      <c r="CD104">
        <v>0</v>
      </c>
      <c r="CE104">
        <v>0</v>
      </c>
      <c r="CF104" s="1" t="s">
        <v>279</v>
      </c>
      <c r="CG104" s="1" t="s">
        <v>279</v>
      </c>
    </row>
    <row r="105" spans="1:85" x14ac:dyDescent="0.2">
      <c r="A105" t="s">
        <v>65</v>
      </c>
      <c r="B105" t="s">
        <v>360</v>
      </c>
      <c r="D105" t="s">
        <v>273</v>
      </c>
      <c r="E105" t="s">
        <v>92</v>
      </c>
      <c r="F105" t="s">
        <v>66</v>
      </c>
      <c r="G105" t="s">
        <v>83</v>
      </c>
      <c r="H105" t="s">
        <v>104</v>
      </c>
      <c r="I105" t="s">
        <v>94</v>
      </c>
      <c r="J105" t="s">
        <v>350</v>
      </c>
      <c r="K105" t="s">
        <v>95</v>
      </c>
      <c r="L105" t="s">
        <v>69</v>
      </c>
      <c r="M105" t="s">
        <v>70</v>
      </c>
      <c r="N105" t="s">
        <v>70</v>
      </c>
      <c r="O105" t="s">
        <v>202</v>
      </c>
      <c r="P105" s="4" t="str">
        <f t="shared" si="8"/>
        <v>DFTL_SOC_PCPU_MPX006_SOCTDF_CAE0_PL00_PRC_X_X_SelsrmSSSS_</v>
      </c>
      <c r="S105">
        <v>0.92</v>
      </c>
      <c r="T105">
        <v>0.86480000000000001</v>
      </c>
      <c r="U105" t="s">
        <v>71</v>
      </c>
      <c r="V105" t="s">
        <v>72</v>
      </c>
      <c r="W105" t="s">
        <v>320</v>
      </c>
      <c r="X105" t="s">
        <v>74</v>
      </c>
      <c r="Y105" t="s">
        <v>355</v>
      </c>
      <c r="AF105" t="s">
        <v>352</v>
      </c>
      <c r="AK105" t="s">
        <v>75</v>
      </c>
      <c r="AL105">
        <v>1.1200000000000001</v>
      </c>
      <c r="AM105">
        <v>0.42</v>
      </c>
      <c r="AN105">
        <v>5.0000000000000001E-3</v>
      </c>
      <c r="AO105">
        <v>0.71499999999999997</v>
      </c>
      <c r="AP105">
        <v>0.71499999999999997</v>
      </c>
      <c r="AR105">
        <v>0.72</v>
      </c>
      <c r="AS105">
        <v>0.72</v>
      </c>
      <c r="AU105">
        <v>1.1100000000000001</v>
      </c>
      <c r="AV105">
        <v>1.1100000000000001</v>
      </c>
      <c r="AX105">
        <v>0.72</v>
      </c>
      <c r="AY105">
        <v>0.72</v>
      </c>
      <c r="BA105">
        <v>0.76500000000000001</v>
      </c>
      <c r="BB105">
        <v>0.76500000000000001</v>
      </c>
      <c r="BD105">
        <v>0.95499999999999996</v>
      </c>
      <c r="BE105">
        <v>0.95499999999999996</v>
      </c>
      <c r="BG105">
        <v>0.77500000000000002</v>
      </c>
      <c r="BH105">
        <v>0.77500000000000002</v>
      </c>
      <c r="BJ105">
        <v>0.77500000000000002</v>
      </c>
      <c r="BK105">
        <v>0.77500000000000002</v>
      </c>
      <c r="BM105">
        <v>0.81</v>
      </c>
      <c r="BN105">
        <v>0.81</v>
      </c>
      <c r="BP105">
        <v>0.72</v>
      </c>
      <c r="BQ105">
        <v>0.72</v>
      </c>
      <c r="BS105">
        <v>0.8</v>
      </c>
      <c r="BT105">
        <v>0.8</v>
      </c>
      <c r="BV105">
        <v>1.32</v>
      </c>
      <c r="BW105">
        <v>1.32</v>
      </c>
      <c r="BY105" t="s">
        <v>76</v>
      </c>
      <c r="BZ105">
        <v>0.86499999999999999</v>
      </c>
      <c r="CA105">
        <v>0.92</v>
      </c>
      <c r="CC105">
        <v>0</v>
      </c>
      <c r="CD105">
        <v>0</v>
      </c>
      <c r="CE105">
        <v>0</v>
      </c>
      <c r="CF105" s="1" t="s">
        <v>279</v>
      </c>
      <c r="CG105" s="1" t="s">
        <v>279</v>
      </c>
    </row>
    <row r="106" spans="1:85" x14ac:dyDescent="0.2">
      <c r="A106" t="s">
        <v>65</v>
      </c>
      <c r="B106" t="s">
        <v>360</v>
      </c>
      <c r="D106" t="s">
        <v>273</v>
      </c>
      <c r="E106" t="s">
        <v>92</v>
      </c>
      <c r="F106" t="s">
        <v>66</v>
      </c>
      <c r="G106" t="s">
        <v>83</v>
      </c>
      <c r="H106" t="s">
        <v>105</v>
      </c>
      <c r="I106" t="s">
        <v>94</v>
      </c>
      <c r="J106" t="s">
        <v>350</v>
      </c>
      <c r="K106" t="s">
        <v>95</v>
      </c>
      <c r="L106" t="s">
        <v>69</v>
      </c>
      <c r="M106" t="s">
        <v>70</v>
      </c>
      <c r="N106" t="s">
        <v>70</v>
      </c>
      <c r="O106" t="s">
        <v>202</v>
      </c>
      <c r="P106" s="4" t="str">
        <f t="shared" si="8"/>
        <v>DFTL_SOC_PCPU_MPX007_SOCTDF_CAE0_PL00_PRC_X_X_SelsrmSSSS_</v>
      </c>
      <c r="S106">
        <v>0.96499999999999997</v>
      </c>
      <c r="T106">
        <v>0.90710000000000002</v>
      </c>
      <c r="U106" t="s">
        <v>71</v>
      </c>
      <c r="V106" t="s">
        <v>72</v>
      </c>
      <c r="W106" t="s">
        <v>320</v>
      </c>
      <c r="X106" t="s">
        <v>74</v>
      </c>
      <c r="Y106" t="s">
        <v>356</v>
      </c>
      <c r="AF106" t="s">
        <v>352</v>
      </c>
      <c r="AK106" t="s">
        <v>75</v>
      </c>
      <c r="AL106">
        <v>1.165</v>
      </c>
      <c r="AM106">
        <v>0.46500000000000002</v>
      </c>
      <c r="AN106">
        <v>5.0000000000000001E-3</v>
      </c>
      <c r="AO106">
        <v>0.71499999999999997</v>
      </c>
      <c r="AP106">
        <v>0.71499999999999997</v>
      </c>
      <c r="AR106">
        <v>0.72</v>
      </c>
      <c r="AS106">
        <v>0.72</v>
      </c>
      <c r="AU106">
        <v>1.1100000000000001</v>
      </c>
      <c r="AV106">
        <v>1.1100000000000001</v>
      </c>
      <c r="AX106">
        <v>0.72</v>
      </c>
      <c r="AY106">
        <v>0.72</v>
      </c>
      <c r="BA106">
        <v>0.76500000000000001</v>
      </c>
      <c r="BB106">
        <v>0.76500000000000001</v>
      </c>
      <c r="BD106">
        <v>0.99</v>
      </c>
      <c r="BE106">
        <v>0.99</v>
      </c>
      <c r="BG106">
        <v>0.77500000000000002</v>
      </c>
      <c r="BH106">
        <v>0.77500000000000002</v>
      </c>
      <c r="BJ106">
        <v>0.77500000000000002</v>
      </c>
      <c r="BK106">
        <v>0.77500000000000002</v>
      </c>
      <c r="BM106">
        <v>0.81</v>
      </c>
      <c r="BN106">
        <v>0.81</v>
      </c>
      <c r="BP106">
        <v>0.72</v>
      </c>
      <c r="BQ106">
        <v>0.72</v>
      </c>
      <c r="BS106">
        <v>0.8</v>
      </c>
      <c r="BT106">
        <v>0.8</v>
      </c>
      <c r="BV106">
        <v>1.32</v>
      </c>
      <c r="BW106">
        <v>1.32</v>
      </c>
      <c r="BY106" t="s">
        <v>76</v>
      </c>
      <c r="BZ106">
        <v>0.90700000000000003</v>
      </c>
      <c r="CA106">
        <v>0.96499999999999997</v>
      </c>
      <c r="CC106">
        <v>1</v>
      </c>
      <c r="CD106">
        <v>0</v>
      </c>
      <c r="CE106">
        <v>0</v>
      </c>
      <c r="CF106" s="1" t="s">
        <v>279</v>
      </c>
      <c r="CG106" s="1" t="s">
        <v>279</v>
      </c>
    </row>
    <row r="107" spans="1:85" x14ac:dyDescent="0.2">
      <c r="A107" t="s">
        <v>65</v>
      </c>
      <c r="B107" t="s">
        <v>360</v>
      </c>
      <c r="D107" t="s">
        <v>273</v>
      </c>
      <c r="E107" t="s">
        <v>92</v>
      </c>
      <c r="F107" t="s">
        <v>66</v>
      </c>
      <c r="G107" t="s">
        <v>83</v>
      </c>
      <c r="H107" t="s">
        <v>106</v>
      </c>
      <c r="I107" t="s">
        <v>94</v>
      </c>
      <c r="J107" t="s">
        <v>350</v>
      </c>
      <c r="K107" t="s">
        <v>95</v>
      </c>
      <c r="L107" t="s">
        <v>69</v>
      </c>
      <c r="M107" t="s">
        <v>70</v>
      </c>
      <c r="N107" t="s">
        <v>70</v>
      </c>
      <c r="O107" t="s">
        <v>202</v>
      </c>
      <c r="P107" s="4" t="str">
        <f t="shared" si="8"/>
        <v>DFTL_SOC_PCPU_MPX009_SOCTDF_CAE0_PL00_PRC_X_X_SelsrmSSSS_</v>
      </c>
      <c r="S107">
        <v>1.0149999999999999</v>
      </c>
      <c r="T107">
        <v>0.95409999999999995</v>
      </c>
      <c r="U107" t="s">
        <v>71</v>
      </c>
      <c r="V107" t="s">
        <v>72</v>
      </c>
      <c r="W107" t="s">
        <v>320</v>
      </c>
      <c r="X107" t="s">
        <v>74</v>
      </c>
      <c r="Y107" t="s">
        <v>357</v>
      </c>
      <c r="AF107" t="s">
        <v>352</v>
      </c>
      <c r="AK107" t="s">
        <v>75</v>
      </c>
      <c r="AL107">
        <v>1.2150000000000001</v>
      </c>
      <c r="AM107">
        <v>0.51500000000000001</v>
      </c>
      <c r="AN107">
        <v>5.0000000000000001E-3</v>
      </c>
      <c r="AO107">
        <v>0.71499999999999997</v>
      </c>
      <c r="AP107">
        <v>0.71499999999999997</v>
      </c>
      <c r="AR107">
        <v>0.72</v>
      </c>
      <c r="AS107">
        <v>0.72</v>
      </c>
      <c r="AU107">
        <v>1.1100000000000001</v>
      </c>
      <c r="AV107">
        <v>1.1100000000000001</v>
      </c>
      <c r="AX107">
        <v>0.72</v>
      </c>
      <c r="AY107">
        <v>0.72</v>
      </c>
      <c r="BA107">
        <v>0.76500000000000001</v>
      </c>
      <c r="BB107">
        <v>0.76500000000000001</v>
      </c>
      <c r="BD107">
        <v>1.0649999999999999</v>
      </c>
      <c r="BE107">
        <v>1.0649999999999999</v>
      </c>
      <c r="BG107">
        <v>0.77500000000000002</v>
      </c>
      <c r="BH107">
        <v>0.77500000000000002</v>
      </c>
      <c r="BJ107">
        <v>0.77500000000000002</v>
      </c>
      <c r="BK107">
        <v>0.77500000000000002</v>
      </c>
      <c r="BM107">
        <v>0.81</v>
      </c>
      <c r="BN107">
        <v>0.81</v>
      </c>
      <c r="BP107">
        <v>0.72</v>
      </c>
      <c r="BQ107">
        <v>0.72</v>
      </c>
      <c r="BS107">
        <v>0.8</v>
      </c>
      <c r="BT107">
        <v>0.8</v>
      </c>
      <c r="BV107">
        <v>1.32</v>
      </c>
      <c r="BW107">
        <v>1.32</v>
      </c>
      <c r="BY107" t="s">
        <v>76</v>
      </c>
      <c r="BZ107">
        <v>0.95399999999999996</v>
      </c>
      <c r="CA107">
        <v>1.0149999999999999</v>
      </c>
      <c r="CC107">
        <v>0</v>
      </c>
      <c r="CD107">
        <v>0</v>
      </c>
      <c r="CE107">
        <v>0</v>
      </c>
      <c r="CF107" s="1" t="s">
        <v>279</v>
      </c>
      <c r="CG107" s="1" t="s">
        <v>279</v>
      </c>
    </row>
    <row r="108" spans="1:85" x14ac:dyDescent="0.2">
      <c r="A108" t="s">
        <v>65</v>
      </c>
      <c r="B108" t="s">
        <v>360</v>
      </c>
      <c r="D108" t="s">
        <v>273</v>
      </c>
      <c r="E108" t="s">
        <v>92</v>
      </c>
      <c r="F108" t="s">
        <v>66</v>
      </c>
      <c r="G108" t="s">
        <v>83</v>
      </c>
      <c r="H108" t="s">
        <v>107</v>
      </c>
      <c r="I108" t="s">
        <v>94</v>
      </c>
      <c r="J108" t="s">
        <v>350</v>
      </c>
      <c r="K108" t="s">
        <v>95</v>
      </c>
      <c r="L108" t="s">
        <v>69</v>
      </c>
      <c r="M108" t="s">
        <v>70</v>
      </c>
      <c r="N108" t="s">
        <v>70</v>
      </c>
      <c r="O108" t="s">
        <v>202</v>
      </c>
      <c r="P108" s="4" t="str">
        <f t="shared" si="8"/>
        <v>DFTL_SOC_PCPU_MPX00A_SOCTDF_CAE0_PL00_PRC_X_X_SelsrmSSSS_</v>
      </c>
      <c r="S108">
        <v>1.06</v>
      </c>
      <c r="T108">
        <v>0.99639999999999995</v>
      </c>
      <c r="U108" t="s">
        <v>71</v>
      </c>
      <c r="V108" t="s">
        <v>72</v>
      </c>
      <c r="W108" t="s">
        <v>320</v>
      </c>
      <c r="X108" t="s">
        <v>74</v>
      </c>
      <c r="Y108" t="s">
        <v>358</v>
      </c>
      <c r="AF108" t="s">
        <v>352</v>
      </c>
      <c r="AK108" t="s">
        <v>75</v>
      </c>
      <c r="AL108">
        <v>1.26</v>
      </c>
      <c r="AM108">
        <v>0.56000000000000005</v>
      </c>
      <c r="AN108">
        <v>5.0000000000000001E-3</v>
      </c>
      <c r="AO108">
        <v>0.71499999999999997</v>
      </c>
      <c r="AP108">
        <v>0.71499999999999997</v>
      </c>
      <c r="AR108">
        <v>0.72</v>
      </c>
      <c r="AS108">
        <v>0.72</v>
      </c>
      <c r="AU108">
        <v>1.1100000000000001</v>
      </c>
      <c r="AV108">
        <v>1.1100000000000001</v>
      </c>
      <c r="AX108">
        <v>0.72</v>
      </c>
      <c r="AY108">
        <v>0.72</v>
      </c>
      <c r="BA108">
        <v>0.76500000000000001</v>
      </c>
      <c r="BB108">
        <v>0.76500000000000001</v>
      </c>
      <c r="BD108">
        <v>1.1000000000000001</v>
      </c>
      <c r="BE108">
        <v>1.1000000000000001</v>
      </c>
      <c r="BG108">
        <v>0.77500000000000002</v>
      </c>
      <c r="BH108">
        <v>0.77500000000000002</v>
      </c>
      <c r="BJ108">
        <v>0.77500000000000002</v>
      </c>
      <c r="BK108">
        <v>0.77500000000000002</v>
      </c>
      <c r="BM108">
        <v>0.81</v>
      </c>
      <c r="BN108">
        <v>0.81</v>
      </c>
      <c r="BP108">
        <v>0.72</v>
      </c>
      <c r="BQ108">
        <v>0.72</v>
      </c>
      <c r="BS108">
        <v>0.8</v>
      </c>
      <c r="BT108">
        <v>0.8</v>
      </c>
      <c r="BV108">
        <v>1.32</v>
      </c>
      <c r="BW108">
        <v>1.32</v>
      </c>
      <c r="BY108" t="s">
        <v>76</v>
      </c>
      <c r="BZ108">
        <v>0.996</v>
      </c>
      <c r="CA108">
        <v>1.06</v>
      </c>
      <c r="CC108">
        <v>1</v>
      </c>
      <c r="CD108">
        <v>0</v>
      </c>
      <c r="CE108">
        <v>0</v>
      </c>
      <c r="CF108" s="1" t="s">
        <v>279</v>
      </c>
      <c r="CG108" s="1" t="s">
        <v>279</v>
      </c>
    </row>
    <row r="109" spans="1:85" x14ac:dyDescent="0.2">
      <c r="A109" t="s">
        <v>65</v>
      </c>
      <c r="B109" t="s">
        <v>360</v>
      </c>
      <c r="D109" t="s">
        <v>273</v>
      </c>
      <c r="E109" t="s">
        <v>92</v>
      </c>
      <c r="F109" t="s">
        <v>66</v>
      </c>
      <c r="G109" t="s">
        <v>83</v>
      </c>
      <c r="H109" t="s">
        <v>108</v>
      </c>
      <c r="I109" t="s">
        <v>94</v>
      </c>
      <c r="J109" t="s">
        <v>350</v>
      </c>
      <c r="K109" t="s">
        <v>95</v>
      </c>
      <c r="L109" t="s">
        <v>69</v>
      </c>
      <c r="M109" t="s">
        <v>70</v>
      </c>
      <c r="N109" t="s">
        <v>70</v>
      </c>
      <c r="O109" t="s">
        <v>202</v>
      </c>
      <c r="P109" s="4" t="str">
        <f t="shared" si="8"/>
        <v>DFTL_SOC_PCPU_MPX00C_SOCTDF_CAE0_PL00_PRC_X_X_SelsrmSSSS_</v>
      </c>
      <c r="S109">
        <v>1.1399999999999999</v>
      </c>
      <c r="T109">
        <v>1.0716000000000001</v>
      </c>
      <c r="U109" t="s">
        <v>71</v>
      </c>
      <c r="V109" t="s">
        <v>72</v>
      </c>
      <c r="W109" t="s">
        <v>320</v>
      </c>
      <c r="X109" t="s">
        <v>74</v>
      </c>
      <c r="Y109" t="s">
        <v>359</v>
      </c>
      <c r="AF109" t="s">
        <v>352</v>
      </c>
      <c r="AK109" t="s">
        <v>75</v>
      </c>
      <c r="AL109">
        <v>1.3</v>
      </c>
      <c r="AM109">
        <v>0.64</v>
      </c>
      <c r="AN109">
        <v>5.0000000000000001E-3</v>
      </c>
      <c r="AO109">
        <v>0.71499999999999997</v>
      </c>
      <c r="AP109">
        <v>0.71499999999999997</v>
      </c>
      <c r="AR109">
        <v>0.72</v>
      </c>
      <c r="AS109">
        <v>0.72</v>
      </c>
      <c r="AU109">
        <v>1.1100000000000001</v>
      </c>
      <c r="AV109">
        <v>1.1100000000000001</v>
      </c>
      <c r="AX109">
        <v>0.72</v>
      </c>
      <c r="AY109">
        <v>0.72</v>
      </c>
      <c r="BA109">
        <v>0.76500000000000001</v>
      </c>
      <c r="BB109">
        <v>0.76500000000000001</v>
      </c>
      <c r="BD109">
        <v>1.1399999999999999</v>
      </c>
      <c r="BE109">
        <v>1.1399999999999999</v>
      </c>
      <c r="BG109">
        <v>0.77500000000000002</v>
      </c>
      <c r="BH109">
        <v>0.77500000000000002</v>
      </c>
      <c r="BJ109">
        <v>0.77500000000000002</v>
      </c>
      <c r="BK109">
        <v>0.77500000000000002</v>
      </c>
      <c r="BM109">
        <v>0.81</v>
      </c>
      <c r="BN109">
        <v>0.81</v>
      </c>
      <c r="BP109">
        <v>0.72</v>
      </c>
      <c r="BQ109">
        <v>0.72</v>
      </c>
      <c r="BS109">
        <v>0.8</v>
      </c>
      <c r="BT109">
        <v>0.8</v>
      </c>
      <c r="BV109">
        <v>1.32</v>
      </c>
      <c r="BW109">
        <v>1.32</v>
      </c>
      <c r="BY109" t="s">
        <v>76</v>
      </c>
      <c r="BZ109">
        <v>1.0720000000000001</v>
      </c>
      <c r="CA109">
        <v>1.1399999999999999</v>
      </c>
      <c r="CC109">
        <v>1</v>
      </c>
      <c r="CD109">
        <v>0</v>
      </c>
      <c r="CE109">
        <v>0</v>
      </c>
      <c r="CF109" s="1" t="s">
        <v>279</v>
      </c>
      <c r="CG109" s="1" t="s">
        <v>279</v>
      </c>
    </row>
    <row r="110" spans="1:85" x14ac:dyDescent="0.2">
      <c r="A110" t="s">
        <v>65</v>
      </c>
      <c r="B110" s="6" t="s">
        <v>394</v>
      </c>
      <c r="D110" t="s">
        <v>273</v>
      </c>
      <c r="E110" t="s">
        <v>92</v>
      </c>
      <c r="F110" t="s">
        <v>145</v>
      </c>
      <c r="G110" t="s">
        <v>82</v>
      </c>
      <c r="H110" t="s">
        <v>68</v>
      </c>
      <c r="I110" t="s">
        <v>362</v>
      </c>
      <c r="J110" t="s">
        <v>363</v>
      </c>
      <c r="K110" t="s">
        <v>146</v>
      </c>
      <c r="L110" t="s">
        <v>364</v>
      </c>
      <c r="M110" t="s">
        <v>70</v>
      </c>
      <c r="N110" t="s">
        <v>70</v>
      </c>
      <c r="O110" t="s">
        <v>203</v>
      </c>
      <c r="P110" s="4" t="str">
        <f t="shared" si="8"/>
        <v>DFTL_GPU_SRAM_MSXXXX_GPUBST_PSOC_PLLP_55N_X_X_Selsrm1S11_</v>
      </c>
      <c r="S110">
        <v>0.85250000000000004</v>
      </c>
      <c r="T110">
        <v>0.77500000000000002</v>
      </c>
      <c r="U110" t="s">
        <v>71</v>
      </c>
      <c r="V110" t="s">
        <v>365</v>
      </c>
      <c r="W110" t="s">
        <v>366</v>
      </c>
      <c r="X110" t="s">
        <v>367</v>
      </c>
      <c r="Z110" t="s">
        <v>368</v>
      </c>
      <c r="AA110" t="s">
        <v>369</v>
      </c>
      <c r="AF110" t="s">
        <v>370</v>
      </c>
      <c r="AK110" t="s">
        <v>75</v>
      </c>
      <c r="AL110">
        <v>0.755</v>
      </c>
      <c r="AM110">
        <v>0.755</v>
      </c>
      <c r="AO110">
        <v>0.71499999999999997</v>
      </c>
      <c r="AP110">
        <v>0.71499999999999997</v>
      </c>
      <c r="AR110">
        <v>0.72</v>
      </c>
      <c r="AS110">
        <v>0.72</v>
      </c>
      <c r="AU110" s="1">
        <v>0.77</v>
      </c>
      <c r="AV110" s="1">
        <v>0.5</v>
      </c>
      <c r="AW110">
        <v>5.0000000000000001E-3</v>
      </c>
      <c r="AX110" s="1">
        <v>0.77</v>
      </c>
      <c r="AY110" s="1">
        <v>0.5</v>
      </c>
      <c r="AZ110">
        <v>5.0000000000000001E-3</v>
      </c>
      <c r="BA110" s="1">
        <v>0.77</v>
      </c>
      <c r="BB110" s="1">
        <v>0.5</v>
      </c>
      <c r="BC110">
        <v>5.0000000000000001E-3</v>
      </c>
      <c r="BD110">
        <v>0.85</v>
      </c>
      <c r="BE110">
        <v>0.85</v>
      </c>
      <c r="BG110" s="1">
        <v>0.77</v>
      </c>
      <c r="BH110" s="1">
        <v>0.5</v>
      </c>
      <c r="BI110">
        <v>5.0000000000000001E-3</v>
      </c>
      <c r="BJ110">
        <v>0.77500000000000002</v>
      </c>
      <c r="BK110">
        <v>0.77500000000000002</v>
      </c>
      <c r="BM110">
        <v>0.81</v>
      </c>
      <c r="BN110">
        <v>0.81</v>
      </c>
      <c r="BP110">
        <v>0.72</v>
      </c>
      <c r="BQ110">
        <v>0.72</v>
      </c>
      <c r="BS110">
        <v>0.8</v>
      </c>
      <c r="BT110">
        <v>0.8</v>
      </c>
      <c r="BV110">
        <v>1.32</v>
      </c>
      <c r="BW110">
        <v>1.32</v>
      </c>
      <c r="BY110" t="s">
        <v>76</v>
      </c>
      <c r="BZ110">
        <v>0.85299999999999998</v>
      </c>
      <c r="CA110">
        <v>0.77500000000000002</v>
      </c>
      <c r="CC110">
        <v>1</v>
      </c>
      <c r="CD110">
        <v>0</v>
      </c>
      <c r="CE110">
        <v>0</v>
      </c>
      <c r="CF110" s="1" t="s">
        <v>279</v>
      </c>
      <c r="CG110" s="1" t="s">
        <v>279</v>
      </c>
    </row>
    <row r="111" spans="1:85" x14ac:dyDescent="0.2">
      <c r="A111" t="s">
        <v>65</v>
      </c>
      <c r="B111" s="6" t="s">
        <v>394</v>
      </c>
      <c r="D111" t="s">
        <v>273</v>
      </c>
      <c r="E111" t="s">
        <v>92</v>
      </c>
      <c r="F111" t="s">
        <v>145</v>
      </c>
      <c r="G111" t="s">
        <v>82</v>
      </c>
      <c r="H111" t="s">
        <v>93</v>
      </c>
      <c r="I111" t="s">
        <v>362</v>
      </c>
      <c r="J111" t="s">
        <v>363</v>
      </c>
      <c r="K111" t="s">
        <v>146</v>
      </c>
      <c r="L111" t="s">
        <v>364</v>
      </c>
      <c r="M111" t="s">
        <v>70</v>
      </c>
      <c r="N111" t="s">
        <v>70</v>
      </c>
      <c r="O111" t="s">
        <v>203</v>
      </c>
      <c r="P111" s="4" t="str">
        <f t="shared" si="8"/>
        <v>DFTL_GPU_SRAM_MSX001_GPUBST_PSOC_PLLP_55N_X_X_Selsrm1S11_</v>
      </c>
      <c r="S111">
        <v>0.77500000000000002</v>
      </c>
      <c r="T111">
        <v>0.72850000000000004</v>
      </c>
      <c r="U111" t="s">
        <v>71</v>
      </c>
      <c r="V111" t="s">
        <v>365</v>
      </c>
      <c r="W111" t="s">
        <v>366</v>
      </c>
      <c r="X111" t="s">
        <v>367</v>
      </c>
      <c r="Z111" t="s">
        <v>371</v>
      </c>
      <c r="AA111" t="s">
        <v>369</v>
      </c>
      <c r="AF111" t="s">
        <v>370</v>
      </c>
      <c r="AK111" t="s">
        <v>75</v>
      </c>
      <c r="AL111">
        <v>0.755</v>
      </c>
      <c r="AM111">
        <v>0.755</v>
      </c>
      <c r="AO111">
        <v>0.71499999999999997</v>
      </c>
      <c r="AP111">
        <v>0.71499999999999997</v>
      </c>
      <c r="AR111">
        <v>0.72</v>
      </c>
      <c r="AS111">
        <v>0.72</v>
      </c>
      <c r="AU111" s="1">
        <v>0.77</v>
      </c>
      <c r="AV111" s="1">
        <v>0.5</v>
      </c>
      <c r="AW111">
        <v>5.0000000000000001E-3</v>
      </c>
      <c r="AX111" s="1">
        <v>0.77</v>
      </c>
      <c r="AY111" s="1">
        <v>0.5</v>
      </c>
      <c r="AZ111">
        <v>5.0000000000000001E-3</v>
      </c>
      <c r="BA111" s="1">
        <v>0.77</v>
      </c>
      <c r="BB111" s="1">
        <v>0.5</v>
      </c>
      <c r="BC111">
        <v>5.0000000000000001E-3</v>
      </c>
      <c r="BD111">
        <v>0.85</v>
      </c>
      <c r="BE111">
        <v>0.85</v>
      </c>
      <c r="BG111" s="1">
        <v>0.77</v>
      </c>
      <c r="BH111" s="1">
        <v>0.5</v>
      </c>
      <c r="BI111">
        <v>5.0000000000000001E-3</v>
      </c>
      <c r="BJ111">
        <v>0.77500000000000002</v>
      </c>
      <c r="BK111">
        <v>0.77500000000000002</v>
      </c>
      <c r="BM111">
        <v>0.81</v>
      </c>
      <c r="BN111">
        <v>0.81</v>
      </c>
      <c r="BP111">
        <v>0.72</v>
      </c>
      <c r="BQ111">
        <v>0.72</v>
      </c>
      <c r="BS111">
        <v>0.8</v>
      </c>
      <c r="BT111">
        <v>0.8</v>
      </c>
      <c r="BV111">
        <v>1.32</v>
      </c>
      <c r="BW111">
        <v>1.32</v>
      </c>
      <c r="BY111" t="s">
        <v>76</v>
      </c>
      <c r="BZ111">
        <v>0.72799999999999998</v>
      </c>
      <c r="CA111">
        <v>0.77500000000000002</v>
      </c>
      <c r="CC111">
        <v>1</v>
      </c>
      <c r="CD111">
        <v>0</v>
      </c>
      <c r="CE111">
        <v>0</v>
      </c>
      <c r="CF111" s="1" t="s">
        <v>279</v>
      </c>
      <c r="CG111" s="1" t="s">
        <v>279</v>
      </c>
    </row>
    <row r="112" spans="1:85" x14ac:dyDescent="0.2">
      <c r="A112" t="s">
        <v>65</v>
      </c>
      <c r="B112" s="6" t="s">
        <v>394</v>
      </c>
      <c r="D112" t="s">
        <v>273</v>
      </c>
      <c r="E112" t="s">
        <v>92</v>
      </c>
      <c r="F112" t="s">
        <v>66</v>
      </c>
      <c r="G112" t="s">
        <v>82</v>
      </c>
      <c r="H112" t="s">
        <v>98</v>
      </c>
      <c r="I112" t="s">
        <v>117</v>
      </c>
      <c r="J112" t="s">
        <v>118</v>
      </c>
      <c r="K112" t="s">
        <v>70</v>
      </c>
      <c r="L112" t="s">
        <v>70</v>
      </c>
      <c r="M112" t="s">
        <v>372</v>
      </c>
      <c r="N112" t="s">
        <v>70</v>
      </c>
      <c r="O112" t="s">
        <v>203</v>
      </c>
      <c r="P112" s="4" t="str">
        <f t="shared" si="8"/>
        <v>DFTL_SOC_SRAM_MIX001_SOCBIR_GR01_X_X_SRVL_X_Selsrm1S11_</v>
      </c>
      <c r="S112">
        <v>0.77500000000000002</v>
      </c>
      <c r="T112">
        <v>0.72850000000000004</v>
      </c>
      <c r="U112" t="s">
        <v>71</v>
      </c>
      <c r="V112" t="s">
        <v>120</v>
      </c>
      <c r="W112" t="s">
        <v>211</v>
      </c>
      <c r="X112" t="s">
        <v>121</v>
      </c>
      <c r="Y112" t="s">
        <v>122</v>
      </c>
      <c r="Z112" t="s">
        <v>373</v>
      </c>
      <c r="AA112" t="s">
        <v>124</v>
      </c>
      <c r="AC112" t="s">
        <v>322</v>
      </c>
      <c r="AF112" t="s">
        <v>374</v>
      </c>
      <c r="AG112" t="s">
        <v>125</v>
      </c>
      <c r="AH112" t="s">
        <v>375</v>
      </c>
      <c r="AK112" t="s">
        <v>75</v>
      </c>
      <c r="AL112">
        <v>0.755</v>
      </c>
      <c r="AM112">
        <v>0.755</v>
      </c>
      <c r="AO112">
        <v>0.71499999999999997</v>
      </c>
      <c r="AP112">
        <v>0.71499999999999997</v>
      </c>
      <c r="AR112">
        <v>0.72</v>
      </c>
      <c r="AS112">
        <v>0.72</v>
      </c>
      <c r="AU112" s="1">
        <v>0.77</v>
      </c>
      <c r="AV112" s="1">
        <v>0.5</v>
      </c>
      <c r="AW112">
        <v>5.0000000000000001E-3</v>
      </c>
      <c r="AX112" s="1">
        <v>0.77</v>
      </c>
      <c r="AY112" s="1">
        <v>0.5</v>
      </c>
      <c r="AZ112">
        <v>5.0000000000000001E-3</v>
      </c>
      <c r="BA112" s="1">
        <v>0.77</v>
      </c>
      <c r="BB112" s="1">
        <v>0.5</v>
      </c>
      <c r="BC112">
        <v>5.0000000000000001E-3</v>
      </c>
      <c r="BD112">
        <v>0.85</v>
      </c>
      <c r="BE112">
        <v>0.85</v>
      </c>
      <c r="BG112" s="1">
        <v>0.77</v>
      </c>
      <c r="BH112" s="1">
        <v>0.5</v>
      </c>
      <c r="BI112">
        <v>5.0000000000000001E-3</v>
      </c>
      <c r="BJ112">
        <v>0.77500000000000002</v>
      </c>
      <c r="BK112">
        <v>0.77500000000000002</v>
      </c>
      <c r="BM112">
        <v>0.81</v>
      </c>
      <c r="BN112">
        <v>0.81</v>
      </c>
      <c r="BP112">
        <v>0.72</v>
      </c>
      <c r="BQ112">
        <v>0.72</v>
      </c>
      <c r="BS112">
        <v>0.8</v>
      </c>
      <c r="BT112">
        <v>0.8</v>
      </c>
      <c r="BV112">
        <v>1.32</v>
      </c>
      <c r="BW112">
        <v>1.32</v>
      </c>
      <c r="BY112" t="s">
        <v>76</v>
      </c>
      <c r="BZ112">
        <v>0.72799999999999998</v>
      </c>
      <c r="CA112">
        <v>0.77500000000000002</v>
      </c>
      <c r="CC112">
        <v>0</v>
      </c>
      <c r="CD112">
        <v>0</v>
      </c>
      <c r="CE112">
        <v>0</v>
      </c>
      <c r="CF112" s="1" t="s">
        <v>279</v>
      </c>
      <c r="CG112" s="1" t="s">
        <v>279</v>
      </c>
    </row>
    <row r="113" spans="1:85" x14ac:dyDescent="0.2">
      <c r="A113" t="s">
        <v>65</v>
      </c>
      <c r="B113" s="6" t="s">
        <v>394</v>
      </c>
      <c r="D113" t="s">
        <v>273</v>
      </c>
      <c r="E113" t="s">
        <v>361</v>
      </c>
      <c r="F113" t="s">
        <v>66</v>
      </c>
      <c r="G113" t="s">
        <v>82</v>
      </c>
      <c r="H113" t="s">
        <v>68</v>
      </c>
      <c r="I113" t="s">
        <v>117</v>
      </c>
      <c r="J113" t="s">
        <v>118</v>
      </c>
      <c r="K113" t="s">
        <v>70</v>
      </c>
      <c r="L113" t="s">
        <v>70</v>
      </c>
      <c r="M113" t="s">
        <v>372</v>
      </c>
      <c r="N113" t="s">
        <v>70</v>
      </c>
      <c r="O113" t="s">
        <v>203</v>
      </c>
      <c r="P113" s="4" t="str">
        <f t="shared" si="8"/>
        <v>DFTLH_SOC_SRAM_MSXXXX_SOCBIR_GR01_X_X_SRVL_X_Selsrm1S11_</v>
      </c>
      <c r="S113">
        <v>0.85250000000000004</v>
      </c>
      <c r="T113">
        <v>0.77500000000000002</v>
      </c>
      <c r="U113" t="s">
        <v>71</v>
      </c>
      <c r="V113" t="s">
        <v>120</v>
      </c>
      <c r="W113" t="s">
        <v>211</v>
      </c>
      <c r="X113" t="s">
        <v>121</v>
      </c>
      <c r="Y113" t="s">
        <v>122</v>
      </c>
      <c r="Z113" t="s">
        <v>126</v>
      </c>
      <c r="AA113" t="s">
        <v>124</v>
      </c>
      <c r="AC113" t="s">
        <v>322</v>
      </c>
      <c r="AF113" t="s">
        <v>374</v>
      </c>
      <c r="AG113" t="s">
        <v>125</v>
      </c>
      <c r="AH113" t="s">
        <v>375</v>
      </c>
      <c r="AK113" t="s">
        <v>75</v>
      </c>
      <c r="AL113">
        <v>0.755</v>
      </c>
      <c r="AM113">
        <v>0.755</v>
      </c>
      <c r="AO113">
        <v>0.71499999999999997</v>
      </c>
      <c r="AP113">
        <v>0.71499999999999997</v>
      </c>
      <c r="AR113">
        <v>0.72</v>
      </c>
      <c r="AS113">
        <v>0.72</v>
      </c>
      <c r="AU113" s="1">
        <v>0.77</v>
      </c>
      <c r="AV113" s="1">
        <v>0.5</v>
      </c>
      <c r="AW113">
        <v>5.0000000000000001E-3</v>
      </c>
      <c r="AX113" s="1">
        <v>0.77</v>
      </c>
      <c r="AY113" s="1">
        <v>0.5</v>
      </c>
      <c r="AZ113">
        <v>5.0000000000000001E-3</v>
      </c>
      <c r="BA113" s="1">
        <v>0.77</v>
      </c>
      <c r="BB113" s="1">
        <v>0.5</v>
      </c>
      <c r="BC113">
        <v>5.0000000000000001E-3</v>
      </c>
      <c r="BD113">
        <v>0.85</v>
      </c>
      <c r="BE113">
        <v>0.85</v>
      </c>
      <c r="BG113" s="1">
        <v>0.77</v>
      </c>
      <c r="BH113" s="1">
        <v>0.5</v>
      </c>
      <c r="BI113">
        <v>5.0000000000000001E-3</v>
      </c>
      <c r="BJ113">
        <v>0.77500000000000002</v>
      </c>
      <c r="BK113">
        <v>0.77500000000000002</v>
      </c>
      <c r="BM113">
        <v>0.81</v>
      </c>
      <c r="BN113">
        <v>0.81</v>
      </c>
      <c r="BP113">
        <v>0.72</v>
      </c>
      <c r="BQ113">
        <v>0.72</v>
      </c>
      <c r="BS113">
        <v>0.8</v>
      </c>
      <c r="BT113">
        <v>0.8</v>
      </c>
      <c r="BV113">
        <v>1.32</v>
      </c>
      <c r="BW113">
        <v>1.32</v>
      </c>
      <c r="BY113" t="s">
        <v>76</v>
      </c>
      <c r="BZ113">
        <v>0.85299999999999998</v>
      </c>
      <c r="CA113">
        <v>0.77500000000000002</v>
      </c>
      <c r="CC113">
        <v>0</v>
      </c>
      <c r="CD113">
        <v>0</v>
      </c>
      <c r="CE113">
        <v>0</v>
      </c>
      <c r="CF113" s="1" t="s">
        <v>279</v>
      </c>
      <c r="CG113" s="1" t="s">
        <v>279</v>
      </c>
    </row>
    <row r="114" spans="1:85" x14ac:dyDescent="0.2">
      <c r="A114" t="s">
        <v>65</v>
      </c>
      <c r="B114" s="6" t="s">
        <v>394</v>
      </c>
      <c r="D114" t="s">
        <v>273</v>
      </c>
      <c r="E114" t="s">
        <v>92</v>
      </c>
      <c r="F114" t="s">
        <v>66</v>
      </c>
      <c r="G114" t="s">
        <v>82</v>
      </c>
      <c r="H114" t="s">
        <v>98</v>
      </c>
      <c r="I114" t="s">
        <v>117</v>
      </c>
      <c r="J114" t="s">
        <v>376</v>
      </c>
      <c r="K114" t="s">
        <v>70</v>
      </c>
      <c r="L114" t="s">
        <v>70</v>
      </c>
      <c r="M114" t="s">
        <v>372</v>
      </c>
      <c r="N114" t="s">
        <v>70</v>
      </c>
      <c r="O114" t="s">
        <v>203</v>
      </c>
      <c r="P114" s="4" t="str">
        <f t="shared" si="8"/>
        <v>DFTL_SOC_SRAM_MIX001_SOCBIR_GR02_X_X_SRVL_X_Selsrm1S11_</v>
      </c>
      <c r="S114">
        <v>0.77500000000000002</v>
      </c>
      <c r="T114">
        <v>0.72850000000000004</v>
      </c>
      <c r="U114" t="s">
        <v>71</v>
      </c>
      <c r="V114" t="s">
        <v>120</v>
      </c>
      <c r="W114" t="s">
        <v>211</v>
      </c>
      <c r="X114" t="s">
        <v>121</v>
      </c>
      <c r="Y114" t="s">
        <v>122</v>
      </c>
      <c r="Z114" t="s">
        <v>373</v>
      </c>
      <c r="AA114" t="s">
        <v>124</v>
      </c>
      <c r="AC114" t="s">
        <v>322</v>
      </c>
      <c r="AF114" t="s">
        <v>377</v>
      </c>
      <c r="AG114" t="s">
        <v>125</v>
      </c>
      <c r="AH114" t="s">
        <v>378</v>
      </c>
      <c r="AK114" t="s">
        <v>75</v>
      </c>
      <c r="AL114">
        <v>0.755</v>
      </c>
      <c r="AM114">
        <v>0.755</v>
      </c>
      <c r="AO114">
        <v>0.71499999999999997</v>
      </c>
      <c r="AP114">
        <v>0.71499999999999997</v>
      </c>
      <c r="AR114">
        <v>0.72</v>
      </c>
      <c r="AS114">
        <v>0.72</v>
      </c>
      <c r="AU114" s="1">
        <v>0.77</v>
      </c>
      <c r="AV114" s="1">
        <v>0.5</v>
      </c>
      <c r="AW114">
        <v>5.0000000000000001E-3</v>
      </c>
      <c r="AX114" s="1">
        <v>0.77</v>
      </c>
      <c r="AY114" s="1">
        <v>0.5</v>
      </c>
      <c r="AZ114">
        <v>5.0000000000000001E-3</v>
      </c>
      <c r="BA114" s="1">
        <v>0.77</v>
      </c>
      <c r="BB114" s="1">
        <v>0.5</v>
      </c>
      <c r="BC114">
        <v>5.0000000000000001E-3</v>
      </c>
      <c r="BD114">
        <v>0.85</v>
      </c>
      <c r="BE114">
        <v>0.85</v>
      </c>
      <c r="BG114" s="1">
        <v>0.77</v>
      </c>
      <c r="BH114" s="1">
        <v>0.5</v>
      </c>
      <c r="BI114">
        <v>5.0000000000000001E-3</v>
      </c>
      <c r="BJ114">
        <v>0.77500000000000002</v>
      </c>
      <c r="BK114">
        <v>0.77500000000000002</v>
      </c>
      <c r="BM114">
        <v>0.81</v>
      </c>
      <c r="BN114">
        <v>0.81</v>
      </c>
      <c r="BP114">
        <v>0.72</v>
      </c>
      <c r="BQ114">
        <v>0.72</v>
      </c>
      <c r="BS114">
        <v>0.8</v>
      </c>
      <c r="BT114">
        <v>0.8</v>
      </c>
      <c r="BV114">
        <v>1.32</v>
      </c>
      <c r="BW114">
        <v>1.32</v>
      </c>
      <c r="BY114" t="s">
        <v>76</v>
      </c>
      <c r="BZ114">
        <v>0.72799999999999998</v>
      </c>
      <c r="CA114">
        <v>0.77500000000000002</v>
      </c>
      <c r="CC114">
        <v>0</v>
      </c>
      <c r="CD114">
        <v>0</v>
      </c>
      <c r="CE114">
        <v>0</v>
      </c>
      <c r="CF114" s="1" t="s">
        <v>279</v>
      </c>
      <c r="CG114" s="1" t="s">
        <v>279</v>
      </c>
    </row>
    <row r="115" spans="1:85" x14ac:dyDescent="0.2">
      <c r="A115" t="s">
        <v>65</v>
      </c>
      <c r="B115" s="6" t="s">
        <v>394</v>
      </c>
      <c r="D115" t="s">
        <v>273</v>
      </c>
      <c r="E115" t="s">
        <v>361</v>
      </c>
      <c r="F115" t="s">
        <v>66</v>
      </c>
      <c r="G115" t="s">
        <v>82</v>
      </c>
      <c r="H115" t="s">
        <v>68</v>
      </c>
      <c r="I115" t="s">
        <v>117</v>
      </c>
      <c r="J115" t="s">
        <v>376</v>
      </c>
      <c r="K115" t="s">
        <v>70</v>
      </c>
      <c r="L115" t="s">
        <v>70</v>
      </c>
      <c r="M115" t="s">
        <v>372</v>
      </c>
      <c r="N115" t="s">
        <v>70</v>
      </c>
      <c r="O115" t="s">
        <v>203</v>
      </c>
      <c r="P115" s="4" t="str">
        <f t="shared" si="8"/>
        <v>DFTLH_SOC_SRAM_MSXXXX_SOCBIR_GR02_X_X_SRVL_X_Selsrm1S11_</v>
      </c>
      <c r="S115">
        <v>0.85250000000000004</v>
      </c>
      <c r="T115">
        <v>0.77500000000000002</v>
      </c>
      <c r="U115" t="s">
        <v>71</v>
      </c>
      <c r="V115" t="s">
        <v>120</v>
      </c>
      <c r="W115" t="s">
        <v>211</v>
      </c>
      <c r="X115" t="s">
        <v>121</v>
      </c>
      <c r="Y115" t="s">
        <v>122</v>
      </c>
      <c r="Z115" t="s">
        <v>126</v>
      </c>
      <c r="AA115" t="s">
        <v>124</v>
      </c>
      <c r="AC115" t="s">
        <v>322</v>
      </c>
      <c r="AF115" t="s">
        <v>377</v>
      </c>
      <c r="AG115" t="s">
        <v>125</v>
      </c>
      <c r="AH115" t="s">
        <v>378</v>
      </c>
      <c r="AK115" t="s">
        <v>75</v>
      </c>
      <c r="AL115">
        <v>0.755</v>
      </c>
      <c r="AM115">
        <v>0.755</v>
      </c>
      <c r="AO115">
        <v>0.71499999999999997</v>
      </c>
      <c r="AP115">
        <v>0.71499999999999997</v>
      </c>
      <c r="AR115">
        <v>0.72</v>
      </c>
      <c r="AS115">
        <v>0.72</v>
      </c>
      <c r="AU115" s="1">
        <v>0.77</v>
      </c>
      <c r="AV115" s="1">
        <v>0.5</v>
      </c>
      <c r="AW115">
        <v>5.0000000000000001E-3</v>
      </c>
      <c r="AX115" s="1">
        <v>0.77</v>
      </c>
      <c r="AY115" s="1">
        <v>0.5</v>
      </c>
      <c r="AZ115">
        <v>5.0000000000000001E-3</v>
      </c>
      <c r="BA115" s="1">
        <v>0.77</v>
      </c>
      <c r="BB115" s="1">
        <v>0.5</v>
      </c>
      <c r="BC115">
        <v>5.0000000000000001E-3</v>
      </c>
      <c r="BD115">
        <v>0.85</v>
      </c>
      <c r="BE115">
        <v>0.85</v>
      </c>
      <c r="BG115" s="1">
        <v>0.77</v>
      </c>
      <c r="BH115" s="1">
        <v>0.5</v>
      </c>
      <c r="BI115">
        <v>5.0000000000000001E-3</v>
      </c>
      <c r="BJ115">
        <v>0.77500000000000002</v>
      </c>
      <c r="BK115">
        <v>0.77500000000000002</v>
      </c>
      <c r="BM115">
        <v>0.81</v>
      </c>
      <c r="BN115">
        <v>0.81</v>
      </c>
      <c r="BP115">
        <v>0.72</v>
      </c>
      <c r="BQ115">
        <v>0.72</v>
      </c>
      <c r="BS115">
        <v>0.8</v>
      </c>
      <c r="BT115">
        <v>0.8</v>
      </c>
      <c r="BV115">
        <v>1.32</v>
      </c>
      <c r="BW115">
        <v>1.32</v>
      </c>
      <c r="BY115" t="s">
        <v>76</v>
      </c>
      <c r="BZ115">
        <v>0.85299999999999998</v>
      </c>
      <c r="CA115">
        <v>0.77500000000000002</v>
      </c>
      <c r="CC115">
        <v>0</v>
      </c>
      <c r="CD115">
        <v>0</v>
      </c>
      <c r="CE115">
        <v>0</v>
      </c>
      <c r="CF115" s="1" t="s">
        <v>279</v>
      </c>
      <c r="CG115" s="1" t="s">
        <v>279</v>
      </c>
    </row>
    <row r="116" spans="1:85" x14ac:dyDescent="0.2">
      <c r="A116" t="s">
        <v>65</v>
      </c>
      <c r="B116" s="6" t="s">
        <v>394</v>
      </c>
      <c r="D116" t="s">
        <v>273</v>
      </c>
      <c r="E116" t="s">
        <v>92</v>
      </c>
      <c r="F116" t="s">
        <v>66</v>
      </c>
      <c r="G116" t="s">
        <v>82</v>
      </c>
      <c r="H116" t="s">
        <v>93</v>
      </c>
      <c r="I116" t="s">
        <v>117</v>
      </c>
      <c r="J116" t="s">
        <v>118</v>
      </c>
      <c r="K116" t="s">
        <v>70</v>
      </c>
      <c r="L116" t="s">
        <v>70</v>
      </c>
      <c r="M116" t="s">
        <v>379</v>
      </c>
      <c r="N116" t="s">
        <v>70</v>
      </c>
      <c r="O116" t="s">
        <v>203</v>
      </c>
      <c r="P116" s="4" t="str">
        <f t="shared" si="8"/>
        <v>DFTL_SOC_SRAM_MSX001_SOCBIR_GR01_X_X_SRVR_X_Selsrm1S11_</v>
      </c>
      <c r="S116">
        <v>0.77500000000000002</v>
      </c>
      <c r="T116">
        <v>0.72850000000000004</v>
      </c>
      <c r="U116" t="s">
        <v>71</v>
      </c>
      <c r="V116" t="s">
        <v>120</v>
      </c>
      <c r="W116" t="s">
        <v>211</v>
      </c>
      <c r="X116" t="s">
        <v>121</v>
      </c>
      <c r="Y116" t="s">
        <v>122</v>
      </c>
      <c r="Z116" t="s">
        <v>123</v>
      </c>
      <c r="AA116" t="s">
        <v>124</v>
      </c>
      <c r="AC116" t="s">
        <v>322</v>
      </c>
      <c r="AF116" t="s">
        <v>380</v>
      </c>
      <c r="AG116" t="s">
        <v>125</v>
      </c>
      <c r="AH116" t="s">
        <v>381</v>
      </c>
      <c r="AK116" t="s">
        <v>75</v>
      </c>
      <c r="AL116">
        <v>0.755</v>
      </c>
      <c r="AM116">
        <v>0.755</v>
      </c>
      <c r="AO116">
        <v>0.71499999999999997</v>
      </c>
      <c r="AP116">
        <v>0.71499999999999997</v>
      </c>
      <c r="AR116">
        <v>0.72</v>
      </c>
      <c r="AS116">
        <v>0.72</v>
      </c>
      <c r="AU116" s="1">
        <v>0.77</v>
      </c>
      <c r="AV116" s="1">
        <v>0.5</v>
      </c>
      <c r="AW116">
        <v>5.0000000000000001E-3</v>
      </c>
      <c r="AX116" s="1">
        <v>0.77</v>
      </c>
      <c r="AY116" s="1">
        <v>0.5</v>
      </c>
      <c r="AZ116">
        <v>5.0000000000000001E-3</v>
      </c>
      <c r="BA116" s="1">
        <v>0.77</v>
      </c>
      <c r="BB116" s="1">
        <v>0.5</v>
      </c>
      <c r="BC116">
        <v>5.0000000000000001E-3</v>
      </c>
      <c r="BD116">
        <v>0.85</v>
      </c>
      <c r="BE116">
        <v>0.85</v>
      </c>
      <c r="BG116" s="1">
        <v>0.77</v>
      </c>
      <c r="BH116" s="1">
        <v>0.5</v>
      </c>
      <c r="BI116">
        <v>5.0000000000000001E-3</v>
      </c>
      <c r="BJ116">
        <v>0.77500000000000002</v>
      </c>
      <c r="BK116">
        <v>0.77500000000000002</v>
      </c>
      <c r="BM116">
        <v>0.81</v>
      </c>
      <c r="BN116">
        <v>0.81</v>
      </c>
      <c r="BP116">
        <v>0.72</v>
      </c>
      <c r="BQ116">
        <v>0.72</v>
      </c>
      <c r="BS116">
        <v>0.8</v>
      </c>
      <c r="BT116">
        <v>0.8</v>
      </c>
      <c r="BV116">
        <v>1.32</v>
      </c>
      <c r="BW116">
        <v>1.32</v>
      </c>
      <c r="BY116" t="s">
        <v>76</v>
      </c>
      <c r="BZ116">
        <v>0.72799999999999998</v>
      </c>
      <c r="CA116">
        <v>0.77500000000000002</v>
      </c>
      <c r="CC116">
        <v>0</v>
      </c>
      <c r="CD116">
        <v>0</v>
      </c>
      <c r="CE116">
        <v>0</v>
      </c>
      <c r="CF116" s="1" t="s">
        <v>279</v>
      </c>
      <c r="CG116" s="1" t="s">
        <v>279</v>
      </c>
    </row>
    <row r="117" spans="1:85" x14ac:dyDescent="0.2">
      <c r="A117" t="s">
        <v>65</v>
      </c>
      <c r="B117" s="6" t="s">
        <v>394</v>
      </c>
      <c r="D117" t="s">
        <v>273</v>
      </c>
      <c r="E117" t="s">
        <v>361</v>
      </c>
      <c r="F117" t="s">
        <v>66</v>
      </c>
      <c r="G117" t="s">
        <v>82</v>
      </c>
      <c r="H117" t="s">
        <v>68</v>
      </c>
      <c r="I117" t="s">
        <v>117</v>
      </c>
      <c r="J117" t="s">
        <v>118</v>
      </c>
      <c r="K117" t="s">
        <v>70</v>
      </c>
      <c r="L117" t="s">
        <v>70</v>
      </c>
      <c r="M117" t="s">
        <v>379</v>
      </c>
      <c r="N117" t="s">
        <v>70</v>
      </c>
      <c r="O117" t="s">
        <v>203</v>
      </c>
      <c r="P117" s="4" t="str">
        <f t="shared" si="8"/>
        <v>DFTLH_SOC_SRAM_MSXXXX_SOCBIR_GR01_X_X_SRVR_X_Selsrm1S11_</v>
      </c>
      <c r="S117">
        <v>0.85250000000000004</v>
      </c>
      <c r="T117">
        <v>0.77500000000000002</v>
      </c>
      <c r="U117" t="s">
        <v>71</v>
      </c>
      <c r="V117" t="s">
        <v>120</v>
      </c>
      <c r="W117" t="s">
        <v>211</v>
      </c>
      <c r="X117" t="s">
        <v>121</v>
      </c>
      <c r="Y117" t="s">
        <v>122</v>
      </c>
      <c r="Z117" t="s">
        <v>126</v>
      </c>
      <c r="AA117" t="s">
        <v>124</v>
      </c>
      <c r="AC117" t="s">
        <v>322</v>
      </c>
      <c r="AF117" t="s">
        <v>380</v>
      </c>
      <c r="AG117" t="s">
        <v>125</v>
      </c>
      <c r="AH117" t="s">
        <v>381</v>
      </c>
      <c r="AK117" t="s">
        <v>75</v>
      </c>
      <c r="AL117">
        <v>0.755</v>
      </c>
      <c r="AM117">
        <v>0.755</v>
      </c>
      <c r="AO117">
        <v>0.71499999999999997</v>
      </c>
      <c r="AP117">
        <v>0.71499999999999997</v>
      </c>
      <c r="AR117">
        <v>0.72</v>
      </c>
      <c r="AS117">
        <v>0.72</v>
      </c>
      <c r="AU117" s="1">
        <v>0.77</v>
      </c>
      <c r="AV117" s="1">
        <v>0.5</v>
      </c>
      <c r="AW117">
        <v>5.0000000000000001E-3</v>
      </c>
      <c r="AX117" s="1">
        <v>0.77</v>
      </c>
      <c r="AY117" s="1">
        <v>0.5</v>
      </c>
      <c r="AZ117">
        <v>5.0000000000000001E-3</v>
      </c>
      <c r="BA117" s="1">
        <v>0.77</v>
      </c>
      <c r="BB117" s="1">
        <v>0.5</v>
      </c>
      <c r="BC117">
        <v>5.0000000000000001E-3</v>
      </c>
      <c r="BD117">
        <v>0.85</v>
      </c>
      <c r="BE117">
        <v>0.85</v>
      </c>
      <c r="BG117" s="1">
        <v>0.77</v>
      </c>
      <c r="BH117" s="1">
        <v>0.5</v>
      </c>
      <c r="BI117">
        <v>5.0000000000000001E-3</v>
      </c>
      <c r="BJ117">
        <v>0.77500000000000002</v>
      </c>
      <c r="BK117">
        <v>0.77500000000000002</v>
      </c>
      <c r="BM117">
        <v>0.81</v>
      </c>
      <c r="BN117">
        <v>0.81</v>
      </c>
      <c r="BP117">
        <v>0.72</v>
      </c>
      <c r="BQ117">
        <v>0.72</v>
      </c>
      <c r="BS117">
        <v>0.8</v>
      </c>
      <c r="BT117">
        <v>0.8</v>
      </c>
      <c r="BV117">
        <v>1.32</v>
      </c>
      <c r="BW117">
        <v>1.32</v>
      </c>
      <c r="BY117" t="s">
        <v>76</v>
      </c>
      <c r="BZ117">
        <v>0.85299999999999998</v>
      </c>
      <c r="CA117">
        <v>0.77500000000000002</v>
      </c>
      <c r="CC117">
        <v>0</v>
      </c>
      <c r="CD117">
        <v>0</v>
      </c>
      <c r="CE117">
        <v>0</v>
      </c>
      <c r="CF117" s="1" t="s">
        <v>279</v>
      </c>
      <c r="CG117" s="1" t="s">
        <v>279</v>
      </c>
    </row>
    <row r="118" spans="1:85" x14ac:dyDescent="0.2">
      <c r="A118" t="s">
        <v>65</v>
      </c>
      <c r="B118" s="6" t="s">
        <v>394</v>
      </c>
      <c r="D118" t="s">
        <v>273</v>
      </c>
      <c r="E118" t="s">
        <v>92</v>
      </c>
      <c r="F118" t="s">
        <v>66</v>
      </c>
      <c r="G118" t="s">
        <v>82</v>
      </c>
      <c r="H118" t="s">
        <v>93</v>
      </c>
      <c r="I118" t="s">
        <v>117</v>
      </c>
      <c r="J118" t="s">
        <v>382</v>
      </c>
      <c r="K118" t="s">
        <v>70</v>
      </c>
      <c r="L118" t="s">
        <v>70</v>
      </c>
      <c r="M118" t="s">
        <v>379</v>
      </c>
      <c r="N118" t="s">
        <v>70</v>
      </c>
      <c r="O118" t="s">
        <v>203</v>
      </c>
      <c r="P118" s="4" t="str">
        <f t="shared" si="8"/>
        <v>DFTL_SOC_SRAM_MSX001_SOCBIR_GH01_X_X_SRVR_X_Selsrm1S11_</v>
      </c>
      <c r="S118">
        <v>0.77500000000000002</v>
      </c>
      <c r="T118">
        <v>0.72850000000000004</v>
      </c>
      <c r="U118" t="s">
        <v>71</v>
      </c>
      <c r="V118" t="s">
        <v>120</v>
      </c>
      <c r="W118" t="s">
        <v>211</v>
      </c>
      <c r="X118" t="s">
        <v>121</v>
      </c>
      <c r="Y118" t="s">
        <v>122</v>
      </c>
      <c r="Z118" t="s">
        <v>123</v>
      </c>
      <c r="AA118" t="s">
        <v>124</v>
      </c>
      <c r="AC118" t="s">
        <v>322</v>
      </c>
      <c r="AF118" t="s">
        <v>383</v>
      </c>
      <c r="AG118" t="s">
        <v>125</v>
      </c>
      <c r="AH118" t="s">
        <v>384</v>
      </c>
      <c r="AK118" t="s">
        <v>75</v>
      </c>
      <c r="AL118">
        <v>0.755</v>
      </c>
      <c r="AM118">
        <v>0.755</v>
      </c>
      <c r="AO118">
        <v>0.71499999999999997</v>
      </c>
      <c r="AP118">
        <v>0.71499999999999997</v>
      </c>
      <c r="AR118">
        <v>0.72</v>
      </c>
      <c r="AS118">
        <v>0.72</v>
      </c>
      <c r="AU118" s="1">
        <v>0.77</v>
      </c>
      <c r="AV118" s="1">
        <v>0.5</v>
      </c>
      <c r="AW118">
        <v>5.0000000000000001E-3</v>
      </c>
      <c r="AX118" s="1">
        <v>0.77</v>
      </c>
      <c r="AY118" s="1">
        <v>0.5</v>
      </c>
      <c r="AZ118">
        <v>5.0000000000000001E-3</v>
      </c>
      <c r="BA118" s="1">
        <v>0.77</v>
      </c>
      <c r="BB118" s="1">
        <v>0.5</v>
      </c>
      <c r="BC118">
        <v>5.0000000000000001E-3</v>
      </c>
      <c r="BD118">
        <v>0.85</v>
      </c>
      <c r="BE118">
        <v>0.85</v>
      </c>
      <c r="BG118" s="1">
        <v>0.77</v>
      </c>
      <c r="BH118" s="1">
        <v>0.5</v>
      </c>
      <c r="BI118">
        <v>5.0000000000000001E-3</v>
      </c>
      <c r="BJ118">
        <v>0.77500000000000002</v>
      </c>
      <c r="BK118">
        <v>0.77500000000000002</v>
      </c>
      <c r="BM118">
        <v>0.81</v>
      </c>
      <c r="BN118">
        <v>0.81</v>
      </c>
      <c r="BP118">
        <v>0.72</v>
      </c>
      <c r="BQ118">
        <v>0.72</v>
      </c>
      <c r="BS118">
        <v>0.8</v>
      </c>
      <c r="BT118">
        <v>0.8</v>
      </c>
      <c r="BV118">
        <v>1.32</v>
      </c>
      <c r="BW118">
        <v>1.32</v>
      </c>
      <c r="BY118" t="s">
        <v>76</v>
      </c>
      <c r="BZ118">
        <v>0.72799999999999998</v>
      </c>
      <c r="CA118">
        <v>0.77500000000000002</v>
      </c>
      <c r="CC118">
        <v>0</v>
      </c>
      <c r="CD118">
        <v>0</v>
      </c>
      <c r="CE118">
        <v>0</v>
      </c>
      <c r="CF118" s="1" t="s">
        <v>279</v>
      </c>
      <c r="CG118" s="1" t="s">
        <v>279</v>
      </c>
    </row>
    <row r="119" spans="1:85" x14ac:dyDescent="0.2">
      <c r="A119" t="s">
        <v>65</v>
      </c>
      <c r="B119" s="6" t="s">
        <v>394</v>
      </c>
      <c r="D119" t="s">
        <v>273</v>
      </c>
      <c r="E119" t="s">
        <v>361</v>
      </c>
      <c r="F119" t="s">
        <v>66</v>
      </c>
      <c r="G119" t="s">
        <v>82</v>
      </c>
      <c r="H119" t="s">
        <v>68</v>
      </c>
      <c r="I119" t="s">
        <v>117</v>
      </c>
      <c r="J119" t="s">
        <v>382</v>
      </c>
      <c r="K119" t="s">
        <v>70</v>
      </c>
      <c r="L119" t="s">
        <v>70</v>
      </c>
      <c r="M119" t="s">
        <v>379</v>
      </c>
      <c r="N119" t="s">
        <v>70</v>
      </c>
      <c r="O119" t="s">
        <v>203</v>
      </c>
      <c r="P119" s="4" t="str">
        <f t="shared" si="8"/>
        <v>DFTLH_SOC_SRAM_MSXXXX_SOCBIR_GH01_X_X_SRVR_X_Selsrm1S11_</v>
      </c>
      <c r="S119">
        <v>0.85250000000000004</v>
      </c>
      <c r="T119">
        <v>0.77500000000000002</v>
      </c>
      <c r="U119" t="s">
        <v>71</v>
      </c>
      <c r="V119" t="s">
        <v>120</v>
      </c>
      <c r="W119" t="s">
        <v>211</v>
      </c>
      <c r="X119" t="s">
        <v>121</v>
      </c>
      <c r="Y119" t="s">
        <v>122</v>
      </c>
      <c r="Z119" t="s">
        <v>126</v>
      </c>
      <c r="AA119" t="s">
        <v>124</v>
      </c>
      <c r="AC119" t="s">
        <v>322</v>
      </c>
      <c r="AF119" t="s">
        <v>383</v>
      </c>
      <c r="AG119" t="s">
        <v>125</v>
      </c>
      <c r="AH119" t="s">
        <v>384</v>
      </c>
      <c r="AK119" t="s">
        <v>75</v>
      </c>
      <c r="AL119">
        <v>0.755</v>
      </c>
      <c r="AM119">
        <v>0.755</v>
      </c>
      <c r="AO119">
        <v>0.71499999999999997</v>
      </c>
      <c r="AP119">
        <v>0.71499999999999997</v>
      </c>
      <c r="AR119">
        <v>0.72</v>
      </c>
      <c r="AS119">
        <v>0.72</v>
      </c>
      <c r="AU119" s="1">
        <v>0.77</v>
      </c>
      <c r="AV119" s="1">
        <v>0.5</v>
      </c>
      <c r="AW119">
        <v>5.0000000000000001E-3</v>
      </c>
      <c r="AX119" s="1">
        <v>0.77</v>
      </c>
      <c r="AY119" s="1">
        <v>0.5</v>
      </c>
      <c r="AZ119">
        <v>5.0000000000000001E-3</v>
      </c>
      <c r="BA119" s="1">
        <v>0.77</v>
      </c>
      <c r="BB119" s="1">
        <v>0.5</v>
      </c>
      <c r="BC119">
        <v>5.0000000000000001E-3</v>
      </c>
      <c r="BD119">
        <v>0.85</v>
      </c>
      <c r="BE119">
        <v>0.85</v>
      </c>
      <c r="BG119" s="1">
        <v>0.77</v>
      </c>
      <c r="BH119" s="1">
        <v>0.5</v>
      </c>
      <c r="BI119">
        <v>5.0000000000000001E-3</v>
      </c>
      <c r="BJ119">
        <v>0.77500000000000002</v>
      </c>
      <c r="BK119">
        <v>0.77500000000000002</v>
      </c>
      <c r="BM119">
        <v>0.81</v>
      </c>
      <c r="BN119">
        <v>0.81</v>
      </c>
      <c r="BP119">
        <v>0.72</v>
      </c>
      <c r="BQ119">
        <v>0.72</v>
      </c>
      <c r="BS119">
        <v>0.8</v>
      </c>
      <c r="BT119">
        <v>0.8</v>
      </c>
      <c r="BV119">
        <v>1.32</v>
      </c>
      <c r="BW119">
        <v>1.32</v>
      </c>
      <c r="BY119" t="s">
        <v>76</v>
      </c>
      <c r="BZ119">
        <v>0.85299999999999998</v>
      </c>
      <c r="CA119">
        <v>0.77500000000000002</v>
      </c>
      <c r="CC119">
        <v>0</v>
      </c>
      <c r="CD119">
        <v>0</v>
      </c>
      <c r="CE119">
        <v>0</v>
      </c>
      <c r="CF119" s="1" t="s">
        <v>279</v>
      </c>
      <c r="CG119" s="1" t="s">
        <v>279</v>
      </c>
    </row>
    <row r="120" spans="1:85" x14ac:dyDescent="0.2">
      <c r="A120" t="s">
        <v>65</v>
      </c>
      <c r="B120" s="6" t="s">
        <v>394</v>
      </c>
      <c r="D120" t="s">
        <v>273</v>
      </c>
      <c r="E120" t="s">
        <v>92</v>
      </c>
      <c r="F120" t="s">
        <v>66</v>
      </c>
      <c r="G120" t="s">
        <v>82</v>
      </c>
      <c r="H120" t="s">
        <v>98</v>
      </c>
      <c r="I120" t="s">
        <v>336</v>
      </c>
      <c r="J120" t="s">
        <v>118</v>
      </c>
      <c r="K120" t="s">
        <v>70</v>
      </c>
      <c r="L120" t="s">
        <v>70</v>
      </c>
      <c r="M120" t="s">
        <v>372</v>
      </c>
      <c r="N120" t="s">
        <v>70</v>
      </c>
      <c r="O120" t="s">
        <v>203</v>
      </c>
      <c r="P120" s="4" t="str">
        <f t="shared" si="8"/>
        <v>DFTL_SOC_SRAM_MIX001_SOCBSTNL_GR01_X_X_SRVL_X_Selsrm1S11_</v>
      </c>
      <c r="S120">
        <v>0.77500000000000002</v>
      </c>
      <c r="T120">
        <v>0.72850000000000004</v>
      </c>
      <c r="U120" t="s">
        <v>71</v>
      </c>
      <c r="V120" t="s">
        <v>120</v>
      </c>
      <c r="W120" t="s">
        <v>211</v>
      </c>
      <c r="X120" t="s">
        <v>121</v>
      </c>
      <c r="Y120" t="s">
        <v>122</v>
      </c>
      <c r="Z120" t="s">
        <v>373</v>
      </c>
      <c r="AA120" t="s">
        <v>124</v>
      </c>
      <c r="AC120" t="s">
        <v>322</v>
      </c>
      <c r="AF120" t="s">
        <v>385</v>
      </c>
      <c r="AG120" t="s">
        <v>125</v>
      </c>
      <c r="AH120" t="s">
        <v>386</v>
      </c>
      <c r="AK120" t="s">
        <v>75</v>
      </c>
      <c r="AL120">
        <v>0.755</v>
      </c>
      <c r="AM120">
        <v>0.755</v>
      </c>
      <c r="AO120">
        <v>0.71499999999999997</v>
      </c>
      <c r="AP120">
        <v>0.71499999999999997</v>
      </c>
      <c r="AR120">
        <v>0.72</v>
      </c>
      <c r="AS120">
        <v>0.72</v>
      </c>
      <c r="AU120" s="1">
        <v>0.77</v>
      </c>
      <c r="AV120" s="1">
        <v>0.5</v>
      </c>
      <c r="AW120">
        <v>5.0000000000000001E-3</v>
      </c>
      <c r="AX120" s="1">
        <v>0.77</v>
      </c>
      <c r="AY120" s="1">
        <v>0.5</v>
      </c>
      <c r="AZ120">
        <v>5.0000000000000001E-3</v>
      </c>
      <c r="BA120" s="1">
        <v>0.77</v>
      </c>
      <c r="BB120" s="1">
        <v>0.5</v>
      </c>
      <c r="BC120">
        <v>5.0000000000000001E-3</v>
      </c>
      <c r="BD120">
        <v>0.85</v>
      </c>
      <c r="BE120">
        <v>0.85</v>
      </c>
      <c r="BG120" s="1">
        <v>0.77</v>
      </c>
      <c r="BH120" s="1">
        <v>0.5</v>
      </c>
      <c r="BI120">
        <v>5.0000000000000001E-3</v>
      </c>
      <c r="BJ120">
        <v>0.77500000000000002</v>
      </c>
      <c r="BK120">
        <v>0.77500000000000002</v>
      </c>
      <c r="BM120">
        <v>0.81</v>
      </c>
      <c r="BN120">
        <v>0.81</v>
      </c>
      <c r="BP120">
        <v>0.72</v>
      </c>
      <c r="BQ120">
        <v>0.72</v>
      </c>
      <c r="BS120">
        <v>0.8</v>
      </c>
      <c r="BT120">
        <v>0.8</v>
      </c>
      <c r="BV120">
        <v>1.32</v>
      </c>
      <c r="BW120">
        <v>1.32</v>
      </c>
      <c r="BY120" t="s">
        <v>76</v>
      </c>
      <c r="BZ120">
        <v>0.72799999999999998</v>
      </c>
      <c r="CA120">
        <v>0.77500000000000002</v>
      </c>
      <c r="CC120">
        <v>0</v>
      </c>
      <c r="CD120">
        <v>0</v>
      </c>
      <c r="CE120">
        <v>0</v>
      </c>
      <c r="CF120" s="1" t="s">
        <v>279</v>
      </c>
      <c r="CG120" s="1" t="s">
        <v>279</v>
      </c>
    </row>
    <row r="121" spans="1:85" x14ac:dyDescent="0.2">
      <c r="A121" t="s">
        <v>65</v>
      </c>
      <c r="B121" s="6" t="s">
        <v>394</v>
      </c>
      <c r="D121" t="s">
        <v>273</v>
      </c>
      <c r="E121" t="s">
        <v>92</v>
      </c>
      <c r="F121" t="s">
        <v>66</v>
      </c>
      <c r="G121" t="s">
        <v>82</v>
      </c>
      <c r="H121" t="s">
        <v>68</v>
      </c>
      <c r="I121" t="s">
        <v>336</v>
      </c>
      <c r="J121" t="s">
        <v>118</v>
      </c>
      <c r="K121" t="s">
        <v>70</v>
      </c>
      <c r="L121" t="s">
        <v>70</v>
      </c>
      <c r="M121" t="s">
        <v>372</v>
      </c>
      <c r="N121" t="s">
        <v>70</v>
      </c>
      <c r="O121" t="s">
        <v>203</v>
      </c>
      <c r="P121" s="4" t="str">
        <f t="shared" si="8"/>
        <v>DFTL_SOC_SRAM_MSXXXX_SOCBSTNL_GR01_X_X_SRVL_X_Selsrm1S11_</v>
      </c>
      <c r="S121">
        <v>0.85250000000000004</v>
      </c>
      <c r="T121">
        <v>0.77500000000000002</v>
      </c>
      <c r="U121" t="s">
        <v>71</v>
      </c>
      <c r="V121" t="s">
        <v>120</v>
      </c>
      <c r="W121" t="s">
        <v>211</v>
      </c>
      <c r="X121" t="s">
        <v>121</v>
      </c>
      <c r="Y121" t="s">
        <v>122</v>
      </c>
      <c r="Z121" t="s">
        <v>126</v>
      </c>
      <c r="AA121" t="s">
        <v>124</v>
      </c>
      <c r="AC121" t="s">
        <v>322</v>
      </c>
      <c r="AF121" t="s">
        <v>385</v>
      </c>
      <c r="AG121" t="s">
        <v>125</v>
      </c>
      <c r="AH121" t="s">
        <v>386</v>
      </c>
      <c r="AK121" t="s">
        <v>75</v>
      </c>
      <c r="AL121">
        <v>0.755</v>
      </c>
      <c r="AM121">
        <v>0.755</v>
      </c>
      <c r="AO121">
        <v>0.71499999999999997</v>
      </c>
      <c r="AP121">
        <v>0.71499999999999997</v>
      </c>
      <c r="AR121">
        <v>0.72</v>
      </c>
      <c r="AS121">
        <v>0.72</v>
      </c>
      <c r="AU121" s="1">
        <v>0.77</v>
      </c>
      <c r="AV121" s="1">
        <v>0.5</v>
      </c>
      <c r="AW121">
        <v>5.0000000000000001E-3</v>
      </c>
      <c r="AX121" s="1">
        <v>0.77</v>
      </c>
      <c r="AY121" s="1">
        <v>0.5</v>
      </c>
      <c r="AZ121">
        <v>5.0000000000000001E-3</v>
      </c>
      <c r="BA121" s="1">
        <v>0.77</v>
      </c>
      <c r="BB121" s="1">
        <v>0.5</v>
      </c>
      <c r="BC121">
        <v>5.0000000000000001E-3</v>
      </c>
      <c r="BD121">
        <v>0.85</v>
      </c>
      <c r="BE121">
        <v>0.85</v>
      </c>
      <c r="BG121" s="1">
        <v>0.77</v>
      </c>
      <c r="BH121" s="1">
        <v>0.5</v>
      </c>
      <c r="BI121">
        <v>5.0000000000000001E-3</v>
      </c>
      <c r="BJ121">
        <v>0.77500000000000002</v>
      </c>
      <c r="BK121">
        <v>0.77500000000000002</v>
      </c>
      <c r="BM121">
        <v>0.81</v>
      </c>
      <c r="BN121">
        <v>0.81</v>
      </c>
      <c r="BP121">
        <v>0.72</v>
      </c>
      <c r="BQ121">
        <v>0.72</v>
      </c>
      <c r="BS121">
        <v>0.8</v>
      </c>
      <c r="BT121">
        <v>0.8</v>
      </c>
      <c r="BV121">
        <v>1.32</v>
      </c>
      <c r="BW121">
        <v>1.32</v>
      </c>
      <c r="BY121" t="s">
        <v>76</v>
      </c>
      <c r="BZ121">
        <v>0.85299999999999998</v>
      </c>
      <c r="CA121">
        <v>0.77500000000000002</v>
      </c>
      <c r="CC121">
        <v>0</v>
      </c>
      <c r="CD121">
        <v>0</v>
      </c>
      <c r="CE121">
        <v>0</v>
      </c>
      <c r="CF121" s="1" t="s">
        <v>279</v>
      </c>
      <c r="CG121" s="1" t="s">
        <v>279</v>
      </c>
    </row>
    <row r="122" spans="1:85" x14ac:dyDescent="0.2">
      <c r="A122" t="s">
        <v>65</v>
      </c>
      <c r="B122" s="6" t="s">
        <v>394</v>
      </c>
      <c r="D122" t="s">
        <v>273</v>
      </c>
      <c r="E122" t="s">
        <v>92</v>
      </c>
      <c r="F122" t="s">
        <v>66</v>
      </c>
      <c r="G122" t="s">
        <v>82</v>
      </c>
      <c r="H122" t="s">
        <v>98</v>
      </c>
      <c r="I122" t="s">
        <v>336</v>
      </c>
      <c r="J122" t="s">
        <v>376</v>
      </c>
      <c r="K122" t="s">
        <v>70</v>
      </c>
      <c r="L122" t="s">
        <v>70</v>
      </c>
      <c r="M122" t="s">
        <v>372</v>
      </c>
      <c r="N122" t="s">
        <v>70</v>
      </c>
      <c r="O122" t="s">
        <v>203</v>
      </c>
      <c r="P122" s="4" t="str">
        <f t="shared" si="8"/>
        <v>DFTL_SOC_SRAM_MIX001_SOCBSTNL_GR02_X_X_SRVL_X_Selsrm1S11_</v>
      </c>
      <c r="S122">
        <v>0.77500000000000002</v>
      </c>
      <c r="T122">
        <v>0.72850000000000004</v>
      </c>
      <c r="U122" t="s">
        <v>71</v>
      </c>
      <c r="V122" t="s">
        <v>120</v>
      </c>
      <c r="W122" t="s">
        <v>211</v>
      </c>
      <c r="X122" t="s">
        <v>121</v>
      </c>
      <c r="Y122" t="s">
        <v>122</v>
      </c>
      <c r="Z122" t="s">
        <v>373</v>
      </c>
      <c r="AA122" t="s">
        <v>124</v>
      </c>
      <c r="AC122" t="s">
        <v>322</v>
      </c>
      <c r="AF122" t="s">
        <v>387</v>
      </c>
      <c r="AG122" t="s">
        <v>125</v>
      </c>
      <c r="AH122" t="s">
        <v>388</v>
      </c>
      <c r="AK122" t="s">
        <v>75</v>
      </c>
      <c r="AL122">
        <v>0.755</v>
      </c>
      <c r="AM122">
        <v>0.755</v>
      </c>
      <c r="AO122">
        <v>0.71499999999999997</v>
      </c>
      <c r="AP122">
        <v>0.71499999999999997</v>
      </c>
      <c r="AR122">
        <v>0.72</v>
      </c>
      <c r="AS122">
        <v>0.72</v>
      </c>
      <c r="AU122" s="1">
        <v>0.77</v>
      </c>
      <c r="AV122" s="1">
        <v>0.5</v>
      </c>
      <c r="AW122">
        <v>5.0000000000000001E-3</v>
      </c>
      <c r="AX122" s="1">
        <v>0.77</v>
      </c>
      <c r="AY122" s="1">
        <v>0.5</v>
      </c>
      <c r="AZ122">
        <v>5.0000000000000001E-3</v>
      </c>
      <c r="BA122" s="1">
        <v>0.77</v>
      </c>
      <c r="BB122" s="1">
        <v>0.5</v>
      </c>
      <c r="BC122">
        <v>5.0000000000000001E-3</v>
      </c>
      <c r="BD122">
        <v>0.85</v>
      </c>
      <c r="BE122">
        <v>0.85</v>
      </c>
      <c r="BG122" s="1">
        <v>0.77</v>
      </c>
      <c r="BH122" s="1">
        <v>0.5</v>
      </c>
      <c r="BI122">
        <v>5.0000000000000001E-3</v>
      </c>
      <c r="BJ122">
        <v>0.77500000000000002</v>
      </c>
      <c r="BK122">
        <v>0.77500000000000002</v>
      </c>
      <c r="BM122">
        <v>0.81</v>
      </c>
      <c r="BN122">
        <v>0.81</v>
      </c>
      <c r="BP122">
        <v>0.72</v>
      </c>
      <c r="BQ122">
        <v>0.72</v>
      </c>
      <c r="BS122">
        <v>0.8</v>
      </c>
      <c r="BT122">
        <v>0.8</v>
      </c>
      <c r="BV122">
        <v>1.32</v>
      </c>
      <c r="BW122">
        <v>1.32</v>
      </c>
      <c r="BY122" t="s">
        <v>76</v>
      </c>
      <c r="BZ122">
        <v>0.72799999999999998</v>
      </c>
      <c r="CA122">
        <v>0.77500000000000002</v>
      </c>
      <c r="CC122">
        <v>0</v>
      </c>
      <c r="CD122">
        <v>0</v>
      </c>
      <c r="CE122">
        <v>0</v>
      </c>
      <c r="CF122" s="1" t="s">
        <v>279</v>
      </c>
      <c r="CG122" s="1" t="s">
        <v>279</v>
      </c>
    </row>
    <row r="123" spans="1:85" x14ac:dyDescent="0.2">
      <c r="A123" t="s">
        <v>65</v>
      </c>
      <c r="B123" s="6" t="s">
        <v>394</v>
      </c>
      <c r="D123" t="s">
        <v>273</v>
      </c>
      <c r="E123" t="s">
        <v>92</v>
      </c>
      <c r="F123" t="s">
        <v>66</v>
      </c>
      <c r="G123" t="s">
        <v>82</v>
      </c>
      <c r="H123" t="s">
        <v>68</v>
      </c>
      <c r="I123" t="s">
        <v>336</v>
      </c>
      <c r="J123" t="s">
        <v>376</v>
      </c>
      <c r="K123" t="s">
        <v>70</v>
      </c>
      <c r="L123" t="s">
        <v>70</v>
      </c>
      <c r="M123" t="s">
        <v>372</v>
      </c>
      <c r="N123" t="s">
        <v>70</v>
      </c>
      <c r="O123" t="s">
        <v>203</v>
      </c>
      <c r="P123" s="4" t="str">
        <f t="shared" si="8"/>
        <v>DFTL_SOC_SRAM_MSXXXX_SOCBSTNL_GR02_X_X_SRVL_X_Selsrm1S11_</v>
      </c>
      <c r="S123">
        <v>0.85250000000000004</v>
      </c>
      <c r="T123">
        <v>0.77500000000000002</v>
      </c>
      <c r="U123" t="s">
        <v>71</v>
      </c>
      <c r="V123" t="s">
        <v>120</v>
      </c>
      <c r="W123" t="s">
        <v>211</v>
      </c>
      <c r="X123" t="s">
        <v>121</v>
      </c>
      <c r="Y123" t="s">
        <v>122</v>
      </c>
      <c r="Z123" t="s">
        <v>126</v>
      </c>
      <c r="AA123" t="s">
        <v>124</v>
      </c>
      <c r="AC123" t="s">
        <v>322</v>
      </c>
      <c r="AF123" t="s">
        <v>387</v>
      </c>
      <c r="AG123" t="s">
        <v>125</v>
      </c>
      <c r="AH123" t="s">
        <v>388</v>
      </c>
      <c r="AK123" t="s">
        <v>75</v>
      </c>
      <c r="AL123">
        <v>0.755</v>
      </c>
      <c r="AM123">
        <v>0.755</v>
      </c>
      <c r="AO123">
        <v>0.71499999999999997</v>
      </c>
      <c r="AP123">
        <v>0.71499999999999997</v>
      </c>
      <c r="AR123">
        <v>0.72</v>
      </c>
      <c r="AS123">
        <v>0.72</v>
      </c>
      <c r="AU123" s="1">
        <v>0.77</v>
      </c>
      <c r="AV123" s="1">
        <v>0.5</v>
      </c>
      <c r="AW123">
        <v>5.0000000000000001E-3</v>
      </c>
      <c r="AX123" s="1">
        <v>0.77</v>
      </c>
      <c r="AY123" s="1">
        <v>0.5</v>
      </c>
      <c r="AZ123">
        <v>5.0000000000000001E-3</v>
      </c>
      <c r="BA123" s="1">
        <v>0.77</v>
      </c>
      <c r="BB123" s="1">
        <v>0.5</v>
      </c>
      <c r="BC123">
        <v>5.0000000000000001E-3</v>
      </c>
      <c r="BD123">
        <v>0.85</v>
      </c>
      <c r="BE123">
        <v>0.85</v>
      </c>
      <c r="BG123" s="1">
        <v>0.77</v>
      </c>
      <c r="BH123" s="1">
        <v>0.5</v>
      </c>
      <c r="BI123">
        <v>5.0000000000000001E-3</v>
      </c>
      <c r="BJ123">
        <v>0.77500000000000002</v>
      </c>
      <c r="BK123">
        <v>0.77500000000000002</v>
      </c>
      <c r="BM123">
        <v>0.81</v>
      </c>
      <c r="BN123">
        <v>0.81</v>
      </c>
      <c r="BP123">
        <v>0.72</v>
      </c>
      <c r="BQ123">
        <v>0.72</v>
      </c>
      <c r="BS123">
        <v>0.8</v>
      </c>
      <c r="BT123">
        <v>0.8</v>
      </c>
      <c r="BV123">
        <v>1.32</v>
      </c>
      <c r="BW123">
        <v>1.32</v>
      </c>
      <c r="BY123" t="s">
        <v>76</v>
      </c>
      <c r="BZ123">
        <v>0.85299999999999998</v>
      </c>
      <c r="CA123">
        <v>0.77500000000000002</v>
      </c>
      <c r="CC123">
        <v>0</v>
      </c>
      <c r="CD123">
        <v>0</v>
      </c>
      <c r="CE123">
        <v>0</v>
      </c>
      <c r="CF123" s="1" t="s">
        <v>279</v>
      </c>
      <c r="CG123" s="1" t="s">
        <v>279</v>
      </c>
    </row>
    <row r="124" spans="1:85" x14ac:dyDescent="0.2">
      <c r="A124" t="s">
        <v>65</v>
      </c>
      <c r="B124" s="6" t="s">
        <v>394</v>
      </c>
      <c r="D124" t="s">
        <v>273</v>
      </c>
      <c r="E124" t="s">
        <v>92</v>
      </c>
      <c r="F124" t="s">
        <v>66</v>
      </c>
      <c r="G124" t="s">
        <v>82</v>
      </c>
      <c r="H124" t="s">
        <v>93</v>
      </c>
      <c r="I124" t="s">
        <v>336</v>
      </c>
      <c r="J124" t="s">
        <v>118</v>
      </c>
      <c r="K124" t="s">
        <v>70</v>
      </c>
      <c r="L124" t="s">
        <v>70</v>
      </c>
      <c r="M124" t="s">
        <v>379</v>
      </c>
      <c r="N124" t="s">
        <v>70</v>
      </c>
      <c r="O124" t="s">
        <v>203</v>
      </c>
      <c r="P124" s="4" t="str">
        <f t="shared" si="8"/>
        <v>DFTL_SOC_SRAM_MSX001_SOCBSTNL_GR01_X_X_SRVR_X_Selsrm1S11_</v>
      </c>
      <c r="S124">
        <v>0.77500000000000002</v>
      </c>
      <c r="T124">
        <v>0.72850000000000004</v>
      </c>
      <c r="U124" t="s">
        <v>71</v>
      </c>
      <c r="V124" t="s">
        <v>120</v>
      </c>
      <c r="W124" t="s">
        <v>211</v>
      </c>
      <c r="X124" t="s">
        <v>121</v>
      </c>
      <c r="Y124" t="s">
        <v>122</v>
      </c>
      <c r="Z124" t="s">
        <v>123</v>
      </c>
      <c r="AA124" t="s">
        <v>124</v>
      </c>
      <c r="AC124" t="s">
        <v>322</v>
      </c>
      <c r="AF124" t="s">
        <v>389</v>
      </c>
      <c r="AG124" t="s">
        <v>125</v>
      </c>
      <c r="AH124" t="s">
        <v>390</v>
      </c>
      <c r="AK124" t="s">
        <v>75</v>
      </c>
      <c r="AL124">
        <v>0.755</v>
      </c>
      <c r="AM124">
        <v>0.755</v>
      </c>
      <c r="AO124">
        <v>0.71499999999999997</v>
      </c>
      <c r="AP124">
        <v>0.71499999999999997</v>
      </c>
      <c r="AR124">
        <v>0.72</v>
      </c>
      <c r="AS124">
        <v>0.72</v>
      </c>
      <c r="AU124" s="1">
        <v>0.77</v>
      </c>
      <c r="AV124" s="1">
        <v>0.5</v>
      </c>
      <c r="AW124">
        <v>5.0000000000000001E-3</v>
      </c>
      <c r="AX124" s="1">
        <v>0.77</v>
      </c>
      <c r="AY124" s="1">
        <v>0.5</v>
      </c>
      <c r="AZ124">
        <v>5.0000000000000001E-3</v>
      </c>
      <c r="BA124" s="1">
        <v>0.77</v>
      </c>
      <c r="BB124" s="1">
        <v>0.5</v>
      </c>
      <c r="BC124">
        <v>5.0000000000000001E-3</v>
      </c>
      <c r="BD124">
        <v>0.85</v>
      </c>
      <c r="BE124">
        <v>0.85</v>
      </c>
      <c r="BG124" s="1">
        <v>0.77</v>
      </c>
      <c r="BH124" s="1">
        <v>0.5</v>
      </c>
      <c r="BI124">
        <v>5.0000000000000001E-3</v>
      </c>
      <c r="BJ124">
        <v>0.77500000000000002</v>
      </c>
      <c r="BK124">
        <v>0.77500000000000002</v>
      </c>
      <c r="BM124">
        <v>0.81</v>
      </c>
      <c r="BN124">
        <v>0.81</v>
      </c>
      <c r="BP124">
        <v>0.72</v>
      </c>
      <c r="BQ124">
        <v>0.72</v>
      </c>
      <c r="BS124">
        <v>0.8</v>
      </c>
      <c r="BT124">
        <v>0.8</v>
      </c>
      <c r="BV124">
        <v>1.32</v>
      </c>
      <c r="BW124">
        <v>1.32</v>
      </c>
      <c r="BY124" t="s">
        <v>76</v>
      </c>
      <c r="BZ124">
        <v>0.72799999999999998</v>
      </c>
      <c r="CA124">
        <v>0.77500000000000002</v>
      </c>
      <c r="CC124">
        <v>0</v>
      </c>
      <c r="CD124">
        <v>0</v>
      </c>
      <c r="CE124">
        <v>0</v>
      </c>
      <c r="CF124" s="1" t="s">
        <v>279</v>
      </c>
      <c r="CG124" s="1" t="s">
        <v>279</v>
      </c>
    </row>
    <row r="125" spans="1:85" x14ac:dyDescent="0.2">
      <c r="A125" t="s">
        <v>65</v>
      </c>
      <c r="B125" s="6" t="s">
        <v>394</v>
      </c>
      <c r="D125" t="s">
        <v>273</v>
      </c>
      <c r="E125" t="s">
        <v>92</v>
      </c>
      <c r="F125" t="s">
        <v>66</v>
      </c>
      <c r="G125" t="s">
        <v>82</v>
      </c>
      <c r="H125" t="s">
        <v>68</v>
      </c>
      <c r="I125" t="s">
        <v>336</v>
      </c>
      <c r="J125" t="s">
        <v>118</v>
      </c>
      <c r="K125" t="s">
        <v>70</v>
      </c>
      <c r="L125" t="s">
        <v>70</v>
      </c>
      <c r="M125" t="s">
        <v>379</v>
      </c>
      <c r="N125" t="s">
        <v>70</v>
      </c>
      <c r="O125" t="s">
        <v>203</v>
      </c>
      <c r="P125" s="4" t="str">
        <f t="shared" si="8"/>
        <v>DFTL_SOC_SRAM_MSXXXX_SOCBSTNL_GR01_X_X_SRVR_X_Selsrm1S11_</v>
      </c>
      <c r="S125">
        <v>0.85250000000000004</v>
      </c>
      <c r="T125">
        <v>0.77500000000000002</v>
      </c>
      <c r="U125" t="s">
        <v>71</v>
      </c>
      <c r="V125" t="s">
        <v>120</v>
      </c>
      <c r="W125" t="s">
        <v>211</v>
      </c>
      <c r="X125" t="s">
        <v>121</v>
      </c>
      <c r="Y125" t="s">
        <v>122</v>
      </c>
      <c r="Z125" t="s">
        <v>126</v>
      </c>
      <c r="AA125" t="s">
        <v>124</v>
      </c>
      <c r="AC125" t="s">
        <v>322</v>
      </c>
      <c r="AF125" t="s">
        <v>389</v>
      </c>
      <c r="AG125" t="s">
        <v>125</v>
      </c>
      <c r="AH125" t="s">
        <v>390</v>
      </c>
      <c r="AK125" t="s">
        <v>75</v>
      </c>
      <c r="AL125">
        <v>0.755</v>
      </c>
      <c r="AM125">
        <v>0.755</v>
      </c>
      <c r="AO125">
        <v>0.71499999999999997</v>
      </c>
      <c r="AP125">
        <v>0.71499999999999997</v>
      </c>
      <c r="AR125">
        <v>0.72</v>
      </c>
      <c r="AS125">
        <v>0.72</v>
      </c>
      <c r="AU125" s="1">
        <v>0.77</v>
      </c>
      <c r="AV125" s="1">
        <v>0.5</v>
      </c>
      <c r="AW125">
        <v>5.0000000000000001E-3</v>
      </c>
      <c r="AX125" s="1">
        <v>0.77</v>
      </c>
      <c r="AY125" s="1">
        <v>0.5</v>
      </c>
      <c r="AZ125">
        <v>5.0000000000000001E-3</v>
      </c>
      <c r="BA125" s="1">
        <v>0.77</v>
      </c>
      <c r="BB125" s="1">
        <v>0.5</v>
      </c>
      <c r="BC125">
        <v>5.0000000000000001E-3</v>
      </c>
      <c r="BD125">
        <v>0.85</v>
      </c>
      <c r="BE125">
        <v>0.85</v>
      </c>
      <c r="BG125" s="1">
        <v>0.77</v>
      </c>
      <c r="BH125" s="1">
        <v>0.5</v>
      </c>
      <c r="BI125">
        <v>5.0000000000000001E-3</v>
      </c>
      <c r="BJ125">
        <v>0.77500000000000002</v>
      </c>
      <c r="BK125">
        <v>0.77500000000000002</v>
      </c>
      <c r="BM125">
        <v>0.81</v>
      </c>
      <c r="BN125">
        <v>0.81</v>
      </c>
      <c r="BP125">
        <v>0.72</v>
      </c>
      <c r="BQ125">
        <v>0.72</v>
      </c>
      <c r="BS125">
        <v>0.8</v>
      </c>
      <c r="BT125">
        <v>0.8</v>
      </c>
      <c r="BV125">
        <v>1.32</v>
      </c>
      <c r="BW125">
        <v>1.32</v>
      </c>
      <c r="BY125" t="s">
        <v>76</v>
      </c>
      <c r="BZ125">
        <v>0.85299999999999998</v>
      </c>
      <c r="CA125">
        <v>0.77500000000000002</v>
      </c>
      <c r="CC125">
        <v>0</v>
      </c>
      <c r="CD125">
        <v>0</v>
      </c>
      <c r="CE125">
        <v>0</v>
      </c>
      <c r="CF125" s="1" t="s">
        <v>279</v>
      </c>
      <c r="CG125" s="1" t="s">
        <v>279</v>
      </c>
    </row>
    <row r="126" spans="1:85" x14ac:dyDescent="0.2">
      <c r="A126" t="s">
        <v>65</v>
      </c>
      <c r="B126" s="6" t="s">
        <v>394</v>
      </c>
      <c r="D126" t="s">
        <v>273</v>
      </c>
      <c r="E126" t="s">
        <v>92</v>
      </c>
      <c r="F126" t="s">
        <v>66</v>
      </c>
      <c r="G126" t="s">
        <v>82</v>
      </c>
      <c r="H126" t="s">
        <v>93</v>
      </c>
      <c r="I126" t="s">
        <v>336</v>
      </c>
      <c r="J126" t="s">
        <v>382</v>
      </c>
      <c r="K126" t="s">
        <v>70</v>
      </c>
      <c r="L126" t="s">
        <v>70</v>
      </c>
      <c r="M126" t="s">
        <v>379</v>
      </c>
      <c r="N126" t="s">
        <v>70</v>
      </c>
      <c r="O126" t="s">
        <v>203</v>
      </c>
      <c r="P126" s="4" t="str">
        <f t="shared" si="8"/>
        <v>DFTL_SOC_SRAM_MSX001_SOCBSTNL_GH01_X_X_SRVR_X_Selsrm1S11_</v>
      </c>
      <c r="S126">
        <v>0.77500000000000002</v>
      </c>
      <c r="T126">
        <v>0.72850000000000004</v>
      </c>
      <c r="U126" t="s">
        <v>71</v>
      </c>
      <c r="V126" t="s">
        <v>120</v>
      </c>
      <c r="W126" t="s">
        <v>211</v>
      </c>
      <c r="X126" t="s">
        <v>121</v>
      </c>
      <c r="Y126" t="s">
        <v>122</v>
      </c>
      <c r="Z126" t="s">
        <v>123</v>
      </c>
      <c r="AA126" t="s">
        <v>124</v>
      </c>
      <c r="AC126" t="s">
        <v>322</v>
      </c>
      <c r="AF126" t="s">
        <v>391</v>
      </c>
      <c r="AG126" t="s">
        <v>125</v>
      </c>
      <c r="AH126" t="s">
        <v>392</v>
      </c>
      <c r="AK126" t="s">
        <v>75</v>
      </c>
      <c r="AL126">
        <v>0.755</v>
      </c>
      <c r="AM126">
        <v>0.755</v>
      </c>
      <c r="AO126">
        <v>0.71499999999999997</v>
      </c>
      <c r="AP126">
        <v>0.71499999999999997</v>
      </c>
      <c r="AR126">
        <v>0.72</v>
      </c>
      <c r="AS126">
        <v>0.72</v>
      </c>
      <c r="AU126" s="1">
        <v>0.77</v>
      </c>
      <c r="AV126" s="1">
        <v>0.5</v>
      </c>
      <c r="AW126">
        <v>5.0000000000000001E-3</v>
      </c>
      <c r="AX126" s="1">
        <v>0.77</v>
      </c>
      <c r="AY126" s="1">
        <v>0.5</v>
      </c>
      <c r="AZ126">
        <v>5.0000000000000001E-3</v>
      </c>
      <c r="BA126" s="1">
        <v>0.77</v>
      </c>
      <c r="BB126" s="1">
        <v>0.5</v>
      </c>
      <c r="BC126">
        <v>5.0000000000000001E-3</v>
      </c>
      <c r="BD126">
        <v>0.85</v>
      </c>
      <c r="BE126">
        <v>0.85</v>
      </c>
      <c r="BG126" s="1">
        <v>0.77</v>
      </c>
      <c r="BH126" s="1">
        <v>0.5</v>
      </c>
      <c r="BI126">
        <v>5.0000000000000001E-3</v>
      </c>
      <c r="BJ126">
        <v>0.77500000000000002</v>
      </c>
      <c r="BK126">
        <v>0.77500000000000002</v>
      </c>
      <c r="BM126">
        <v>0.81</v>
      </c>
      <c r="BN126">
        <v>0.81</v>
      </c>
      <c r="BP126">
        <v>0.72</v>
      </c>
      <c r="BQ126">
        <v>0.72</v>
      </c>
      <c r="BS126">
        <v>0.8</v>
      </c>
      <c r="BT126">
        <v>0.8</v>
      </c>
      <c r="BV126">
        <v>1.32</v>
      </c>
      <c r="BW126">
        <v>1.32</v>
      </c>
      <c r="BY126" t="s">
        <v>76</v>
      </c>
      <c r="BZ126">
        <v>0.72799999999999998</v>
      </c>
      <c r="CA126">
        <v>0.77500000000000002</v>
      </c>
      <c r="CC126">
        <v>0</v>
      </c>
      <c r="CD126">
        <v>0</v>
      </c>
      <c r="CE126">
        <v>0</v>
      </c>
      <c r="CF126" s="1" t="s">
        <v>279</v>
      </c>
      <c r="CG126" s="1" t="s">
        <v>279</v>
      </c>
    </row>
    <row r="127" spans="1:85" x14ac:dyDescent="0.2">
      <c r="A127" t="s">
        <v>65</v>
      </c>
      <c r="B127" s="6" t="s">
        <v>394</v>
      </c>
      <c r="D127" t="s">
        <v>273</v>
      </c>
      <c r="E127" t="s">
        <v>92</v>
      </c>
      <c r="F127" t="s">
        <v>66</v>
      </c>
      <c r="G127" t="s">
        <v>82</v>
      </c>
      <c r="H127" t="s">
        <v>68</v>
      </c>
      <c r="I127" t="s">
        <v>336</v>
      </c>
      <c r="J127" t="s">
        <v>382</v>
      </c>
      <c r="K127" t="s">
        <v>70</v>
      </c>
      <c r="L127" t="s">
        <v>70</v>
      </c>
      <c r="M127" t="s">
        <v>379</v>
      </c>
      <c r="N127" t="s">
        <v>70</v>
      </c>
      <c r="O127" t="s">
        <v>203</v>
      </c>
      <c r="P127" s="4" t="str">
        <f t="shared" si="8"/>
        <v>DFTL_SOC_SRAM_MSXXXX_SOCBSTNL_GH01_X_X_SRVR_X_Selsrm1S11_</v>
      </c>
      <c r="S127">
        <v>0.85250000000000004</v>
      </c>
      <c r="T127">
        <v>0.77500000000000002</v>
      </c>
      <c r="U127" t="s">
        <v>71</v>
      </c>
      <c r="V127" t="s">
        <v>120</v>
      </c>
      <c r="W127" t="s">
        <v>211</v>
      </c>
      <c r="X127" t="s">
        <v>121</v>
      </c>
      <c r="Y127" t="s">
        <v>122</v>
      </c>
      <c r="Z127" t="s">
        <v>126</v>
      </c>
      <c r="AA127" t="s">
        <v>124</v>
      </c>
      <c r="AC127" t="s">
        <v>322</v>
      </c>
      <c r="AF127" t="s">
        <v>391</v>
      </c>
      <c r="AG127" t="s">
        <v>125</v>
      </c>
      <c r="AH127" t="s">
        <v>392</v>
      </c>
      <c r="AK127" t="s">
        <v>75</v>
      </c>
      <c r="AL127">
        <v>0.755</v>
      </c>
      <c r="AM127">
        <v>0.755</v>
      </c>
      <c r="AO127">
        <v>0.71499999999999997</v>
      </c>
      <c r="AP127">
        <v>0.71499999999999997</v>
      </c>
      <c r="AR127">
        <v>0.72</v>
      </c>
      <c r="AS127">
        <v>0.72</v>
      </c>
      <c r="AU127" s="1">
        <v>0.77</v>
      </c>
      <c r="AV127" s="1">
        <v>0.5</v>
      </c>
      <c r="AW127">
        <v>5.0000000000000001E-3</v>
      </c>
      <c r="AX127" s="1">
        <v>0.77</v>
      </c>
      <c r="AY127" s="1">
        <v>0.5</v>
      </c>
      <c r="AZ127">
        <v>5.0000000000000001E-3</v>
      </c>
      <c r="BA127" s="1">
        <v>0.77</v>
      </c>
      <c r="BB127" s="1">
        <v>0.5</v>
      </c>
      <c r="BC127">
        <v>5.0000000000000001E-3</v>
      </c>
      <c r="BD127">
        <v>0.85</v>
      </c>
      <c r="BE127">
        <v>0.85</v>
      </c>
      <c r="BG127" s="1">
        <v>0.77</v>
      </c>
      <c r="BH127" s="1">
        <v>0.5</v>
      </c>
      <c r="BI127">
        <v>5.0000000000000001E-3</v>
      </c>
      <c r="BJ127">
        <v>0.77500000000000002</v>
      </c>
      <c r="BK127">
        <v>0.77500000000000002</v>
      </c>
      <c r="BM127">
        <v>0.81</v>
      </c>
      <c r="BN127">
        <v>0.81</v>
      </c>
      <c r="BP127">
        <v>0.72</v>
      </c>
      <c r="BQ127">
        <v>0.72</v>
      </c>
      <c r="BS127">
        <v>0.8</v>
      </c>
      <c r="BT127">
        <v>0.8</v>
      </c>
      <c r="BV127">
        <v>1.32</v>
      </c>
      <c r="BW127">
        <v>1.32</v>
      </c>
      <c r="BY127" t="s">
        <v>76</v>
      </c>
      <c r="BZ127">
        <v>0.85299999999999998</v>
      </c>
      <c r="CA127">
        <v>0.77500000000000002</v>
      </c>
      <c r="CC127">
        <v>0</v>
      </c>
      <c r="CD127">
        <v>0</v>
      </c>
      <c r="CE127">
        <v>0</v>
      </c>
      <c r="CF127" s="1" t="s">
        <v>279</v>
      </c>
      <c r="CG127" s="1" t="s">
        <v>279</v>
      </c>
    </row>
  </sheetData>
  <autoFilter ref="A2:CI127" xr:uid="{340AFE0F-4775-8640-B2D2-95E88BCE0A1A}">
    <filterColumn colId="0">
      <filters>
        <filter val="Use"/>
      </filters>
    </filterColumn>
  </autoFilter>
  <conditionalFormatting sqref="K1:K14">
    <cfRule type="containsText" dxfId="26" priority="122" operator="containsText" text="PL2">
      <formula>NOT(ISERROR(SEARCH("PL2",K1)))</formula>
    </cfRule>
    <cfRule type="containsText" dxfId="25" priority="124" operator="containsText" text="PL00">
      <formula>NOT(ISERROR(SEARCH("PL00",K1)))</formula>
    </cfRule>
    <cfRule type="containsText" dxfId="24" priority="123" operator="containsText" text="PL1">
      <formula>NOT(ISERROR(SEARCH("PL1",K1)))</formula>
    </cfRule>
    <cfRule type="containsText" dxfId="23" priority="121" operator="containsText" text="PL4">
      <formula>NOT(ISERROR(SEARCH("PL4",K1)))</formula>
    </cfRule>
  </conditionalFormatting>
  <conditionalFormatting sqref="K72:K84">
    <cfRule type="containsText" dxfId="22" priority="34" operator="containsText" text="PL4">
      <formula>NOT(ISERROR(SEARCH("PL4",K72)))</formula>
    </cfRule>
    <cfRule type="containsText" dxfId="21" priority="35" operator="containsText" text="PL2">
      <formula>NOT(ISERROR(SEARCH("PL2",K72)))</formula>
    </cfRule>
    <cfRule type="containsText" dxfId="20" priority="36" operator="containsText" text="PL1">
      <formula>NOT(ISERROR(SEARCH("PL1",K72)))</formula>
    </cfRule>
    <cfRule type="containsText" dxfId="19" priority="37" operator="containsText" text="PL00">
      <formula>NOT(ISERROR(SEARCH("PL00",K72)))</formula>
    </cfRule>
  </conditionalFormatting>
  <conditionalFormatting sqref="K94:K109">
    <cfRule type="containsText" dxfId="18" priority="7" operator="containsText" text="PL4">
      <formula>NOT(ISERROR(SEARCH("PL4",K94)))</formula>
    </cfRule>
    <cfRule type="containsText" dxfId="17" priority="8" operator="containsText" text="PL2">
      <formula>NOT(ISERROR(SEARCH("PL2",K94)))</formula>
    </cfRule>
    <cfRule type="containsText" dxfId="16" priority="9" operator="containsText" text="PL1">
      <formula>NOT(ISERROR(SEARCH("PL1",K94)))</formula>
    </cfRule>
    <cfRule type="containsText" dxfId="15" priority="10" operator="containsText" text="PL00">
      <formula>NOT(ISERROR(SEARCH("PL00",K94)))</formula>
    </cfRule>
  </conditionalFormatting>
  <conditionalFormatting sqref="P1:P2">
    <cfRule type="duplicateValues" dxfId="14" priority="187"/>
  </conditionalFormatting>
  <conditionalFormatting sqref="P3:P85">
    <cfRule type="duplicateValues" dxfId="13" priority="188"/>
    <cfRule type="duplicateValues" dxfId="12" priority="189"/>
  </conditionalFormatting>
  <conditionalFormatting sqref="P86">
    <cfRule type="duplicateValues" dxfId="11" priority="21"/>
    <cfRule type="duplicateValues" dxfId="10" priority="22"/>
  </conditionalFormatting>
  <conditionalFormatting sqref="P87:P127">
    <cfRule type="duplicateValues" dxfId="9" priority="19"/>
    <cfRule type="duplicateValues" dxfId="8" priority="20"/>
  </conditionalFormatting>
  <conditionalFormatting sqref="V52:AH63">
    <cfRule type="containsText" dxfId="7" priority="94" operator="containsText" text="HIDB0">
      <formula>NOT(ISERROR(SEARCH("HIDB0",V52)))</formula>
    </cfRule>
  </conditionalFormatting>
  <conditionalFormatting sqref="V90:AH92">
    <cfRule type="containsText" dxfId="6" priority="15" operator="containsText" text="HIDB0">
      <formula>NOT(ISERROR(SEARCH("HIDB0",V90)))</formula>
    </cfRule>
  </conditionalFormatting>
  <conditionalFormatting sqref="V1:AJ14">
    <cfRule type="containsText" dxfId="5" priority="32" operator="containsText" text="HIDB0">
      <formula>NOT(ISERROR(SEARCH("HIDB0",V1)))</formula>
    </cfRule>
  </conditionalFormatting>
  <conditionalFormatting sqref="V15:AJ26">
    <cfRule type="containsText" dxfId="4" priority="30" operator="containsText" text="B0">
      <formula>NOT(ISERROR(SEARCH("B0",V15)))</formula>
    </cfRule>
  </conditionalFormatting>
  <conditionalFormatting sqref="V27:AJ51">
    <cfRule type="containsText" dxfId="3" priority="101" operator="containsText" text="HIDB0">
      <formula>NOT(ISERROR(SEARCH("HIDB0",V27)))</formula>
    </cfRule>
  </conditionalFormatting>
  <conditionalFormatting sqref="V64:AJ89">
    <cfRule type="containsText" dxfId="2" priority="18" operator="containsText" text="HIDB0">
      <formula>NOT(ISERROR(SEARCH("HIDB0",V64)))</formula>
    </cfRule>
  </conditionalFormatting>
  <conditionalFormatting sqref="V93:AJ109">
    <cfRule type="containsText" dxfId="1" priority="11" operator="containsText" text="HIDB0">
      <formula>NOT(ISERROR(SEARCH("HIDB0",V93)))</formula>
    </cfRule>
  </conditionalFormatting>
  <conditionalFormatting sqref="V110:AJ127">
    <cfRule type="containsText" dxfId="0" priority="1" operator="containsText" text="B0">
      <formula>NOT(ISERROR(SEARCH("B0",V110)))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V04A_PROD_DFTL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Ajay Rasquinha</dc:creator>
  <cp:lastModifiedBy>Alan Lee</cp:lastModifiedBy>
  <dcterms:created xsi:type="dcterms:W3CDTF">2024-02-13T17:34:36Z</dcterms:created>
  <dcterms:modified xsi:type="dcterms:W3CDTF">2024-10-11T07:26:10Z</dcterms:modified>
</cp:coreProperties>
</file>