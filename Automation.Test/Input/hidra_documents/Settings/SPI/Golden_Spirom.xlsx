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B9A5483C-18AF-BB45-A540-129E2F8F626D}" xr6:coauthVersionLast="47" xr6:coauthVersionMax="47" xr10:uidLastSave="{00000000-0000-0000-0000-000000000000}"/>
  <bookViews>
    <workbookView xWindow="2140" yWindow="8820" windowWidth="27560" windowHeight="12280" activeTab="6" xr2:uid="{00000000-000D-0000-FFFF-FFFF00000000}"/>
  </bookViews>
  <sheets>
    <sheet name="TestInst_SPIROM_CS" sheetId="9" r:id="rId1"/>
    <sheet name="TestInst_SPIROM" sheetId="5" r:id="rId2"/>
    <sheet name="Flow_Table_Write_SPIROM_main" sheetId="2" r:id="rId3"/>
    <sheet name="Flow_Table_Write_SPIROM" sheetId="1" r:id="rId4"/>
    <sheet name="PatSets_SPIROM" sheetId="3" r:id="rId5"/>
    <sheet name="SpiromCodeFile" sheetId="4" r:id="rId6"/>
    <sheet name="TSB_Write_SPIROM" sheetId="6" r:id="rId7"/>
    <sheet name="LinkSheet" sheetId="8" r:id="rId8"/>
    <sheet name="Levels_Write_SPIROM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7" l="1"/>
  <c r="E50" i="7"/>
  <c r="E49" i="7"/>
  <c r="E48" i="7"/>
  <c r="E47" i="7"/>
  <c r="E46" i="7"/>
  <c r="E45" i="7"/>
  <c r="E44" i="7"/>
  <c r="E43" i="7"/>
  <c r="E42" i="7"/>
  <c r="E41" i="7"/>
  <c r="E40" i="7"/>
  <c r="E39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8" i="7"/>
  <c r="E17" i="7"/>
  <c r="F16" i="7"/>
  <c r="E16" i="7"/>
  <c r="F15" i="7"/>
  <c r="E15" i="7"/>
  <c r="F14" i="7"/>
  <c r="E14" i="7"/>
  <c r="E13" i="7"/>
  <c r="E12" i="7"/>
  <c r="F11" i="7"/>
  <c r="E11" i="7"/>
  <c r="F10" i="7"/>
  <c r="E10" i="7"/>
  <c r="F9" i="7"/>
  <c r="E9" i="7"/>
  <c r="F8" i="7"/>
  <c r="E8" i="7"/>
  <c r="E7" i="7"/>
  <c r="E6" i="7"/>
  <c r="E5" i="7"/>
  <c r="F4" i="7"/>
  <c r="E4" i="7"/>
</calcChain>
</file>

<file path=xl/sharedStrings.xml><?xml version="1.0" encoding="utf-8"?>
<sst xmlns="http://schemas.openxmlformats.org/spreadsheetml/2006/main" count="1011" uniqueCount="426">
  <si>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</si>
  <si>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</si>
  <si>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</si>
  <si>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</si>
  <si>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</si>
  <si>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</si>
  <si>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</si>
  <si>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</si>
  <si>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</si>
  <si>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</si>
  <si>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</si>
  <si>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</si>
  <si>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</si>
  <si>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</si>
  <si>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</si>
  <si>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</si>
  <si>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</si>
  <si>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</si>
  <si>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</si>
  <si>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</si>
  <si>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</si>
  <si>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</si>
  <si>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</si>
  <si>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</si>
  <si>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</si>
  <si>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</si>
  <si>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</si>
  <si>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</si>
  <si>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</si>
  <si>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</si>
  <si>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</si>
  <si>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</si>
  <si>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</si>
  <si>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</si>
  <si>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Name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</si>
  <si>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</si>
  <si>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</si>
  <si>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</si>
  <si>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</si>
  <si>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</si>
  <si>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</si>
  <si>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</si>
  <si>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Comment</t>
  </si>
  <si>
    <t>flag-clear</t>
  </si>
  <si>
    <t>Test</t>
  </si>
  <si>
    <t>flag-true</t>
  </si>
  <si>
    <t>F_spirom_checksum</t>
  </si>
  <si>
    <t>Bintable</t>
  </si>
  <si>
    <t>Bin_spirom_checksum</t>
  </si>
  <si>
    <t>return</t>
  </si>
  <si>
    <t>SPIROM_1_Write</t>
  </si>
  <si>
    <t>nop</t>
  </si>
  <si>
    <t>SPIROM_2_Write</t>
  </si>
  <si>
    <t>First_Time_ROM_RW</t>
  </si>
  <si>
    <t>Write_SPIROM</t>
  </si>
  <si>
    <t>If</t>
  </si>
  <si>
    <t>disable-flow-word</t>
  </si>
  <si>
    <t>enable-flow-word</t>
  </si>
  <si>
    <t>SPIROM_Continuity</t>
  </si>
  <si>
    <t>Use-Limit</t>
  </si>
  <si>
    <t>SPIROM_PowerShort</t>
  </si>
  <si>
    <t>SPIROM_ReadID</t>
  </si>
  <si>
    <t>call</t>
  </si>
  <si>
    <t>all</t>
  </si>
  <si>
    <t>Flow_Table_Write_SPIROM_32M</t>
  </si>
  <si>
    <t>EndIf</t>
  </si>
  <si>
    <t>no</t>
  </si>
  <si>
    <t>Stop Label</t>
  </si>
  <si>
    <t>Start Label</t>
  </si>
  <si>
    <t>Burst</t>
  </si>
  <si>
    <t>File/Group Name</t>
  </si>
  <si>
    <t>Time Domain</t>
  </si>
  <si>
    <t>Pattern Set</t>
  </si>
  <si>
    <t>Pattern Sets</t>
  </si>
  <si>
    <t>DTTestInstancesSheet,version=2.4:platform=Jaguar:toprow=-1:leftcol=-1:rightcol=-1</t>
  </si>
  <si>
    <t>Test Instances</t>
  </si>
  <si>
    <t>Test Procedure</t>
  </si>
  <si>
    <t>DC Specs</t>
  </si>
  <si>
    <t>AC Specs</t>
  </si>
  <si>
    <t>Sheet Parameters</t>
  </si>
  <si>
    <t>Other Parameters</t>
  </si>
  <si>
    <t>Test Name</t>
  </si>
  <si>
    <t>Type</t>
  </si>
  <si>
    <t>Called As</t>
  </si>
  <si>
    <t>Category</t>
  </si>
  <si>
    <t>Selector</t>
  </si>
  <si>
    <t>Time Sets</t>
  </si>
  <si>
    <t>Edge Sets</t>
  </si>
  <si>
    <t>Pin Levels</t>
  </si>
  <si>
    <t>Mixed Signal Timing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</si>
  <si>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</si>
  <si>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</si>
  <si>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</si>
  <si>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</si>
  <si>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</si>
  <si>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</si>
  <si>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</si>
  <si>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</si>
  <si>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</si>
  <si>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</si>
  <si>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</si>
  <si>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</si>
  <si>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</si>
  <si>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</si>
  <si>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</si>
  <si>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</si>
  <si>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</si>
  <si>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</si>
  <si>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</si>
  <si>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</si>
  <si>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</si>
  <si>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</si>
  <si>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</si>
  <si>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</si>
  <si>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</si>
  <si>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</si>
  <si>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</si>
  <si>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</si>
  <si>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</si>
  <si>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</si>
  <si>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</si>
  <si>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</si>
  <si>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</si>
  <si>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</si>
  <si>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</si>
  <si>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</si>
  <si>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</si>
  <si>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</si>
  <si>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</si>
  <si>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</si>
  <si>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</si>
  <si>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</si>
  <si>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</si>
  <si>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</si>
  <si>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</si>
  <si>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</si>
  <si>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</si>
  <si>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</si>
  <si>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</si>
  <si>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</si>
  <si>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</si>
  <si>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</si>
  <si>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</si>
  <si>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</si>
  <si>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</si>
  <si>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</si>
  <si>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</si>
  <si>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</si>
  <si>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</si>
  <si>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</si>
  <si>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</si>
  <si>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</si>
  <si>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</si>
  <si>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</si>
  <si>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</si>
  <si>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</si>
  <si>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</si>
  <si>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</si>
  <si>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</si>
  <si>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</si>
  <si>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</si>
  <si>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</si>
  <si>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</si>
  <si>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</si>
  <si>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</si>
  <si>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</si>
  <si>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</si>
  <si>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</si>
  <si>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</si>
  <si>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</si>
  <si>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</si>
  <si>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</si>
  <si>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</si>
  <si>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</si>
  <si>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</si>
  <si>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</si>
  <si>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</si>
  <si>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</si>
  <si>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</si>
  <si>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</si>
  <si>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</si>
  <si>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</si>
  <si>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</si>
  <si>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</si>
  <si>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</si>
  <si>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</si>
  <si>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</si>
  <si>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</si>
  <si>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</si>
  <si>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</si>
  <si>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</si>
  <si>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</si>
  <si>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</si>
  <si>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</si>
  <si>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</si>
  <si>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</si>
  <si>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</si>
  <si>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</si>
  <si>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</si>
  <si>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</si>
  <si>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</si>
  <si>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</si>
  <si>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</si>
  <si>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</si>
  <si>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</si>
  <si>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</si>
  <si>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</si>
  <si>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</si>
  <si>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</si>
  <si>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</si>
  <si>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</si>
  <si>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</si>
  <si>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</si>
  <si>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</si>
  <si>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</si>
  <si>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</si>
  <si>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</si>
  <si>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</si>
  <si>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</si>
  <si>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VBT</t>
  </si>
  <si>
    <t>Print_Header</t>
  </si>
  <si>
    <t>PrintInfo</t>
  </si>
  <si>
    <t>Print_Footer</t>
  </si>
  <si>
    <t>SPI_ROM</t>
  </si>
  <si>
    <t>Typ</t>
  </si>
  <si>
    <t>TSB_Write_SPIROM</t>
  </si>
  <si>
    <t>Levels_Write_SPIROM</t>
  </si>
  <si>
    <t>RelayOnPins</t>
  </si>
  <si>
    <t>SPIROM_p2p_short_Power</t>
  </si>
  <si>
    <t>PowerPins,ForceV</t>
  </si>
  <si>
    <t>DTTimesetBasicSheet,version=2.3:platform=Jaguar:toprow=-1:leftcol=-1:rightcol=-1</t>
  </si>
  <si>
    <t>Time Sets (Basic)</t>
  </si>
  <si>
    <t>Timing Mode:</t>
  </si>
  <si>
    <t>Single</t>
  </si>
  <si>
    <t>Master Timeset Name:</t>
  </si>
  <si>
    <t>Time Domain:</t>
  </si>
  <si>
    <t>Strobe Ref Setup Name:</t>
  </si>
  <si>
    <t>Cycle</t>
  </si>
  <si>
    <t>Pin/Group</t>
  </si>
  <si>
    <t>Data</t>
  </si>
  <si>
    <t>Drive</t>
  </si>
  <si>
    <t>Compare</t>
  </si>
  <si>
    <t>Edge Resolution</t>
  </si>
  <si>
    <t>Time Set</t>
  </si>
  <si>
    <t>Period</t>
  </si>
  <si>
    <t>Clock Period</t>
  </si>
  <si>
    <t>Setup</t>
  </si>
  <si>
    <t>Src</t>
  </si>
  <si>
    <t>Fmt</t>
  </si>
  <si>
    <t>On</t>
  </si>
  <si>
    <t>Return</t>
  </si>
  <si>
    <t>Off</t>
  </si>
  <si>
    <t>Mode</t>
  </si>
  <si>
    <t>Open</t>
  </si>
  <si>
    <t>Close</t>
  </si>
  <si>
    <t>Ref Offset</t>
  </si>
  <si>
    <t>TS1</t>
  </si>
  <si>
    <t>i/o</t>
  </si>
  <si>
    <t>PAT</t>
  </si>
  <si>
    <t>NR</t>
  </si>
  <si>
    <t>RL</t>
  </si>
  <si>
    <t>Edge Capture</t>
  </si>
  <si>
    <t>DTLevelSheet,version=2.1:platform=Jaguar:toprow=-1:leftcol=-1:rightcol=-1</t>
  </si>
  <si>
    <t>Seq.</t>
  </si>
  <si>
    <t>Value</t>
  </si>
  <si>
    <t>SPIROM_POWER</t>
  </si>
  <si>
    <t>VMain</t>
  </si>
  <si>
    <t>VAlt</t>
  </si>
  <si>
    <t>IFoldLevel</t>
  </si>
  <si>
    <t>Tdelay</t>
  </si>
  <si>
    <t>SPIROM_PINS</t>
  </si>
  <si>
    <t>Vil</t>
  </si>
  <si>
    <t>Vih</t>
  </si>
  <si>
    <t>Vol</t>
  </si>
  <si>
    <t>Voh</t>
  </si>
  <si>
    <t>Iol</t>
  </si>
  <si>
    <t>Ioh</t>
  </si>
  <si>
    <t>Vt</t>
  </si>
  <si>
    <t>Vcl</t>
  </si>
  <si>
    <t>Vch</t>
  </si>
  <si>
    <t>VoutLoTyp</t>
  </si>
  <si>
    <t>VoutHiTyp</t>
  </si>
  <si>
    <t>DriverMode</t>
  </si>
  <si>
    <t>Largeswing-HiZ</t>
  </si>
  <si>
    <t>VT</t>
  </si>
  <si>
    <t>==== SUMMARUY ====</t>
  </si>
  <si>
    <t>TestInst_SPIROM_32M</t>
  </si>
  <si>
    <t>Flow_Table_Write_SPIROM_main</t>
  </si>
  <si>
    <t>PatSets_SPIROM</t>
  </si>
  <si>
    <t>SpiromCodeFile</t>
  </si>
  <si>
    <t>DC_Conti_SPIROM_Neg</t>
  </si>
  <si>
    <t>PPMU_Continuity</t>
  </si>
  <si>
    <t>SPIROM_Header_1</t>
  </si>
  <si>
    <t>SPIROM_Footer_1</t>
  </si>
  <si>
    <t>SPIROM_Header_2</t>
  </si>
  <si>
    <t>SPIROM_Footer_2</t>
  </si>
  <si>
    <t>Relay_ON_SPI_Conti</t>
  </si>
  <si>
    <t>HS08 CP, FT1</t>
  </si>
  <si>
    <t>.\PATTERN\SPIROM\ate_1p8p0534.spi</t>
  </si>
  <si>
    <t>HS08 FT2</t>
  </si>
  <si>
    <t>.\PATTERN\SPIROM\ateW0_20160425.bin</t>
  </si>
  <si>
    <t>ateW0_20160425.bin</t>
  </si>
  <si>
    <t>ate_20160430.spi</t>
  </si>
  <si>
    <t>ate_debug_05042016.spi</t>
  </si>
  <si>
    <t>ateW0_core0_05072016.spi</t>
  </si>
  <si>
    <t>.\PATTERN\SPIROM\ate_debug_05042016.spi</t>
  </si>
  <si>
    <t>.\PATTERN\SPIROM\ateW0_core0_05072016_autorun_3.spi</t>
  </si>
  <si>
    <t>RT_CLK32768_PA</t>
  </si>
  <si>
    <t>XI0_Diff_PA</t>
  </si>
  <si>
    <t>Vicm</t>
  </si>
  <si>
    <t>Vid</t>
  </si>
  <si>
    <t>dVid0</t>
  </si>
  <si>
    <t>dVid1</t>
  </si>
  <si>
    <t>dVicm0</t>
  </si>
  <si>
    <t>dVicm1</t>
  </si>
  <si>
    <t>Vod</t>
  </si>
  <si>
    <t>Vod_Alt1</t>
  </si>
  <si>
    <t>Vod_Alt2</t>
  </si>
  <si>
    <t>dVod0</t>
  </si>
  <si>
    <t>dVod1</t>
  </si>
  <si>
    <t>VodTyp</t>
  </si>
  <si>
    <t>VocmTyp</t>
  </si>
  <si>
    <t>vil</t>
  </si>
  <si>
    <t>vih</t>
  </si>
  <si>
    <t>vol</t>
  </si>
  <si>
    <t>voh</t>
  </si>
  <si>
    <t>voh_alt1</t>
  </si>
  <si>
    <t>voh_alt2</t>
  </si>
  <si>
    <t>iol</t>
  </si>
  <si>
    <t>ioh</t>
  </si>
  <si>
    <t>vt</t>
  </si>
  <si>
    <t>vcl</t>
  </si>
  <si>
    <t>vch</t>
  </si>
  <si>
    <t>voutLoTyp</t>
  </si>
  <si>
    <t>voutHiTyp</t>
  </si>
  <si>
    <t>driverMode</t>
  </si>
  <si>
    <t>HiZ</t>
  </si>
  <si>
    <t>Overlay</t>
  </si>
  <si>
    <t>Arg0</t>
  </si>
  <si>
    <t>K01,K02,K03,K04</t>
  </si>
  <si>
    <t>SPIROM1_VCC</t>
  </si>
  <si>
    <t>Relay_On_SPI_Conti</t>
  </si>
  <si>
    <t>Relay_Control</t>
  </si>
  <si>
    <t>relay_on,relay_off,WaitTime</t>
  </si>
  <si>
    <t>Conti_X_X_X</t>
  </si>
  <si>
    <t>Levels_Conti</t>
  </si>
  <si>
    <t>digital_pins,force_i,LowLimit,HiLimit,TestLimitMode,PN_Disconnect,Flag_Open,Flag_Short,connect_all_pins</t>
  </si>
  <si>
    <t>F_open</t>
  </si>
  <si>
    <t>F_short</t>
  </si>
  <si>
    <t>FLOW_WRITE_SPIROM</t>
  </si>
  <si>
    <t>SPIROM_Device_Check_Universal</t>
  </si>
  <si>
    <t>PatName,DigCapPin,RelayOnPins</t>
  </si>
  <si>
    <t>DSSC_SPIROM_ReadID</t>
  </si>
  <si>
    <t>SPI1_MISO</t>
  </si>
  <si>
    <t>SPIROM_InitialRead</t>
  </si>
  <si>
    <t>SPIROM_InitialRead_Universal</t>
  </si>
  <si>
    <t>PatName,DigSrcPin,DigCapPin,RelayOnPins,RelayOffPins,CompareByteCount</t>
  </si>
  <si>
    <t>DSSC_SPIROM_Addr_ReadData</t>
  </si>
  <si>
    <t>SPI1_MOSI</t>
  </si>
  <si>
    <t>SPIROM_Erase</t>
  </si>
  <si>
    <t>SPIROM_Erase_Universal</t>
  </si>
  <si>
    <t>PatName,DigSrcPin,RelayOnPins,EraseTime</t>
  </si>
  <si>
    <t>DSSC_SPIROM_Erase</t>
  </si>
  <si>
    <t>SPIROM_SectorErase</t>
  </si>
  <si>
    <t>SPIROM_SectorErase_Universal</t>
  </si>
  <si>
    <t>PatName,DigSrcPin,RelayOnPins</t>
  </si>
  <si>
    <t>DSSC_SPIROM_SectorErase</t>
  </si>
  <si>
    <t>SPIROM_Program</t>
  </si>
  <si>
    <t>SPIROM_Program_Universal</t>
  </si>
  <si>
    <t>DSSC_SPIROM_Program</t>
  </si>
  <si>
    <t>SPIROM_CheckSum</t>
  </si>
  <si>
    <t>SPIROM_CheckSum_Universal</t>
  </si>
  <si>
    <t>DTFlowtableSheet,version=3.0:platform=Jaguar:toprow=-1:leftcol=-1:rightcol=-1</t>
  </si>
  <si>
    <t>SPIROM_check_fail</t>
  </si>
  <si>
    <t>Write_SPIROM_SectorErase</t>
  </si>
  <si>
    <t>SPIROM_1_Write||SPIROM_2_Write</t>
  </si>
  <si>
    <t>Relay_ON_Default</t>
  </si>
  <si>
    <t>Write_SPIROM||Write_SPIROM_SectorErase</t>
  </si>
  <si>
    <t>print</t>
  </si>
  <si>
    <t>===== SPIROM Check Start =====</t>
  </si>
  <si>
    <t>CP1||CP2||FT1</t>
  </si>
  <si>
    <t>FT2||FT3</t>
  </si>
  <si>
    <t>F_spirom_conti</t>
  </si>
  <si>
    <t>Bin_spirom_conti</t>
  </si>
  <si>
    <t>P_spirom_readID</t>
  </si>
  <si>
    <t>F_spirom_readID</t>
  </si>
  <si>
    <t>Bin_spirom_readID</t>
  </si>
  <si>
    <t>===== SPIROM Check End =====</t>
  </si>
  <si>
    <t>Flow_Table_Write_SPIROM</t>
  </si>
  <si>
    <t>DTPatternSetSheet,version=2.3:platform=Jaguar:toprow=-1:leftcol=-1:rightcol=-1</t>
  </si>
  <si>
    <t>DSSC_SPIROM_ReadData</t>
  </si>
  <si>
    <t>.\Pattern\SPIROM\SPIROM_Read_DSSC.pat</t>
  </si>
  <si>
    <t>.\Pattern\SPIROM\SPIROM_ChipEraseAddrNCheckWIP.pat</t>
  </si>
  <si>
    <t>.\Pattern\SPIROM\SPIROM_SectorEraseNCheckWIP.pat</t>
  </si>
  <si>
    <t>.\Pattern\SPIROM\SPIROM_PageProgram.pat</t>
  </si>
  <si>
    <t>.\Pattern\SPIROM\SPIROM_ReadID.pat</t>
  </si>
  <si>
    <t>.\Pattern\SPIROM\SPIROM_Read_Addr_DSSC.pat</t>
  </si>
  <si>
    <t>SPIROM_Header</t>
  </si>
  <si>
    <t>SPIROM_Footer</t>
  </si>
  <si>
    <t>SPIROM_Check_Record</t>
  </si>
  <si>
    <t>.NET</t>
  </si>
  <si>
    <t>CoreTestLibrary.Rtos.Spirom.SpiromMain.SpiromProgram</t>
  </si>
  <si>
    <t>HardIP_X_X_X</t>
  </si>
  <si>
    <t>programPatName,readSpiromIDPatName,pathToBinary,waveDefName,digSrcPinSignal</t>
  </si>
  <si>
    <t>.\Pattern\patx\SPIROM\RTOS_HIDB0_ATE_2.spi</t>
  </si>
  <si>
    <t>CoreTestLibrary.Rtos.Spirom.SpiromMain.SpiromValidate</t>
  </si>
  <si>
    <t>readPatName,erasePatName,programPatName,pathToBinary,waveDefName,digSrcPinSignal,digCapPinSignal</t>
  </si>
  <si>
    <t>CoreTestLibrary.DC.DCTest.AutoZContinuity</t>
  </si>
  <si>
    <t>measuredPins,forceValue,lowLimit,highLimit,testLimitMode,disconnectPN,openFlagName,shortFlagName,connectPins,isTestWalkingZResult</t>
  </si>
  <si>
    <t>All_Digital</t>
  </si>
  <si>
    <t>CoreTestLibrary.DC.DCTest.PowerShort</t>
  </si>
  <si>
    <t>Levels_Conti_SPIROM</t>
  </si>
  <si>
    <t>measuredPins,forceCondition,testLimitMode,fixedRangePins,initialCRFromLimit,disconnectDigitalPins,lowLimit,highLimit,isParallel,maxForceVoltage,stepVoltage</t>
  </si>
  <si>
    <t>QSPI_PWR_1P2</t>
  </si>
  <si>
    <t>=1/_TCK_Freq_VAR</t>
  </si>
  <si>
    <t>SPI_SSIN</t>
  </si>
  <si>
    <t>=1/_TCK_Freq_VAR*0.25</t>
  </si>
  <si>
    <t>Auto</t>
  </si>
  <si>
    <t>SPI_SCLK</t>
  </si>
  <si>
    <t>=1/_TCK_Freq_VAR*0.5</t>
  </si>
  <si>
    <t>SPI_MOSI</t>
  </si>
  <si>
    <t>SPI_MISO</t>
  </si>
  <si>
    <t>=2.0834E-08</t>
  </si>
  <si>
    <t>I2C_SCL</t>
  </si>
  <si>
    <t>ALLHI</t>
  </si>
  <si>
    <t>I2C_SDA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</si>
</sst>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u/>
      <sz val="11"/>
      <color theme="10"/>
      <name val="Calibri"/>
      <family val="2"/>
      <charset val="136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0" fillId="0" borderId="0" xfId="0" quotePrefix="1" applyFont="1">
      <alignment vertical="center"/>
    </xf>
    <xf numFmtId="0" fontId="20" fillId="0" borderId="0" xfId="0" applyFont="1">
      <alignment vertical="center"/>
    </xf>
    <xf numFmtId="0" fontId="21" fillId="0" borderId="0" xfId="42" applyFont="1">
      <alignment vertical="center"/>
    </xf>
    <xf numFmtId="0" fontId="0" fillId="0" borderId="0" xfId="0" applyAlignment="1"/>
    <xf numFmtId="0" fontId="0" fillId="33" borderId="0" xfId="0" applyFill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EO21"/>
  <sheetViews>
    <sheetView workbookViewId="0">
      <selection activeCell="L27" sqref="L27"/>
    </sheetView>
  </sheetViews>
  <sheetFormatPr baseColWidth="10" defaultColWidth="8.83203125" defaultRowHeight="15" x14ac:dyDescent="0.2"/>
  <cols>
    <col min="2" max="2" width="27.1640625" bestFit="1" customWidth="1"/>
  </cols>
  <sheetData>
    <row r="1" spans="1:145" x14ac:dyDescent="0.2">
      <c r="A1" t="s">
        <v>74</v>
      </c>
      <c r="B1" t="s">
        <v>75</v>
      </c>
    </row>
    <row r="3" spans="1:145" x14ac:dyDescent="0.2">
      <c r="C3" t="s">
        <v>76</v>
      </c>
      <c r="F3" t="s">
        <v>77</v>
      </c>
      <c r="H3" t="s">
        <v>78</v>
      </c>
      <c r="J3" t="s">
        <v>79</v>
      </c>
      <c r="O3" t="s">
        <v>80</v>
      </c>
    </row>
    <row r="4" spans="1:145" x14ac:dyDescent="0.2">
      <c r="B4" t="s">
        <v>81</v>
      </c>
      <c r="C4" t="s">
        <v>82</v>
      </c>
      <c r="D4" t="s">
        <v>34</v>
      </c>
      <c r="E4" t="s">
        <v>83</v>
      </c>
      <c r="F4" t="s">
        <v>84</v>
      </c>
      <c r="G4" t="s">
        <v>85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337</v>
      </c>
      <c r="O4" t="s">
        <v>338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113</v>
      </c>
      <c r="AN4" t="s">
        <v>114</v>
      </c>
      <c r="AO4" t="s">
        <v>115</v>
      </c>
      <c r="AP4" t="s">
        <v>116</v>
      </c>
      <c r="AQ4" t="s">
        <v>117</v>
      </c>
      <c r="AR4" t="s">
        <v>118</v>
      </c>
      <c r="AS4" t="s">
        <v>119</v>
      </c>
      <c r="AT4" t="s">
        <v>120</v>
      </c>
      <c r="AU4" t="s">
        <v>121</v>
      </c>
      <c r="AV4" t="s">
        <v>122</v>
      </c>
      <c r="AW4" t="s">
        <v>123</v>
      </c>
      <c r="AX4" t="s">
        <v>124</v>
      </c>
      <c r="AY4" t="s">
        <v>125</v>
      </c>
      <c r="AZ4" t="s">
        <v>126</v>
      </c>
      <c r="BA4" t="s">
        <v>127</v>
      </c>
      <c r="BB4" t="s">
        <v>128</v>
      </c>
      <c r="BC4" t="s">
        <v>129</v>
      </c>
      <c r="BD4" t="s">
        <v>130</v>
      </c>
      <c r="BE4" t="s">
        <v>131</v>
      </c>
      <c r="BF4" t="s">
        <v>132</v>
      </c>
      <c r="BG4" t="s">
        <v>133</v>
      </c>
      <c r="BH4" t="s">
        <v>134</v>
      </c>
      <c r="BI4" t="s">
        <v>135</v>
      </c>
      <c r="BJ4" t="s">
        <v>136</v>
      </c>
      <c r="BK4" t="s">
        <v>137</v>
      </c>
      <c r="BL4" t="s">
        <v>138</v>
      </c>
      <c r="BM4" t="s">
        <v>139</v>
      </c>
      <c r="BN4" t="s">
        <v>140</v>
      </c>
      <c r="BO4" t="s">
        <v>141</v>
      </c>
      <c r="BP4" t="s">
        <v>142</v>
      </c>
      <c r="BQ4" t="s">
        <v>143</v>
      </c>
      <c r="BR4" t="s">
        <v>144</v>
      </c>
      <c r="BS4" t="s">
        <v>145</v>
      </c>
      <c r="BT4" t="s">
        <v>146</v>
      </c>
      <c r="BU4" t="s">
        <v>147</v>
      </c>
      <c r="BV4" t="s">
        <v>148</v>
      </c>
      <c r="BW4" t="s">
        <v>149</v>
      </c>
      <c r="BX4" t="s">
        <v>150</v>
      </c>
      <c r="BY4" t="s">
        <v>151</v>
      </c>
      <c r="BZ4" t="s">
        <v>152</v>
      </c>
      <c r="CA4" t="s">
        <v>153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159</v>
      </c>
      <c r="CH4" t="s">
        <v>160</v>
      </c>
      <c r="CI4" t="s">
        <v>161</v>
      </c>
      <c r="CJ4" t="s">
        <v>162</v>
      </c>
      <c r="CK4" t="s">
        <v>163</v>
      </c>
      <c r="CL4" t="s">
        <v>164</v>
      </c>
      <c r="CM4" t="s">
        <v>165</v>
      </c>
      <c r="CN4" t="s">
        <v>166</v>
      </c>
      <c r="CO4" t="s">
        <v>167</v>
      </c>
      <c r="CP4" t="s">
        <v>168</v>
      </c>
      <c r="CQ4" t="s">
        <v>169</v>
      </c>
      <c r="CR4" t="s">
        <v>170</v>
      </c>
      <c r="CS4" t="s">
        <v>171</v>
      </c>
      <c r="CT4" t="s">
        <v>172</v>
      </c>
      <c r="CU4" t="s">
        <v>173</v>
      </c>
      <c r="CV4" t="s">
        <v>174</v>
      </c>
      <c r="CW4" t="s">
        <v>175</v>
      </c>
      <c r="CX4" t="s">
        <v>176</v>
      </c>
      <c r="CY4" t="s">
        <v>177</v>
      </c>
      <c r="CZ4" t="s">
        <v>178</v>
      </c>
      <c r="DA4" t="s">
        <v>179</v>
      </c>
      <c r="DB4" t="s">
        <v>180</v>
      </c>
      <c r="DC4" t="s">
        <v>181</v>
      </c>
      <c r="DD4" t="s">
        <v>182</v>
      </c>
      <c r="DE4" t="s">
        <v>183</v>
      </c>
      <c r="DF4" t="s">
        <v>184</v>
      </c>
      <c r="DG4" t="s">
        <v>185</v>
      </c>
      <c r="DH4" t="s">
        <v>186</v>
      </c>
      <c r="DI4" t="s">
        <v>187</v>
      </c>
      <c r="DJ4" t="s">
        <v>188</v>
      </c>
      <c r="DK4" t="s">
        <v>189</v>
      </c>
      <c r="DL4" t="s">
        <v>190</v>
      </c>
      <c r="DM4" t="s">
        <v>191</v>
      </c>
      <c r="DN4" t="s">
        <v>192</v>
      </c>
      <c r="DO4" t="s">
        <v>193</v>
      </c>
      <c r="DP4" t="s">
        <v>194</v>
      </c>
      <c r="DQ4" t="s">
        <v>195</v>
      </c>
      <c r="DR4" t="s">
        <v>196</v>
      </c>
      <c r="DS4" t="s">
        <v>197</v>
      </c>
      <c r="DT4" t="s">
        <v>198</v>
      </c>
      <c r="DU4" t="s">
        <v>199</v>
      </c>
      <c r="DV4" t="s">
        <v>200</v>
      </c>
      <c r="DW4" t="s">
        <v>201</v>
      </c>
      <c r="DX4" t="s">
        <v>202</v>
      </c>
      <c r="DY4" t="s">
        <v>203</v>
      </c>
      <c r="DZ4" t="s">
        <v>204</v>
      </c>
      <c r="EA4" t="s">
        <v>205</v>
      </c>
      <c r="EB4" t="s">
        <v>206</v>
      </c>
      <c r="EC4" t="s">
        <v>207</v>
      </c>
      <c r="ED4" t="s">
        <v>208</v>
      </c>
      <c r="EE4" t="s">
        <v>209</v>
      </c>
      <c r="EF4" t="s">
        <v>210</v>
      </c>
      <c r="EG4" t="s">
        <v>211</v>
      </c>
      <c r="EH4" t="s">
        <v>212</v>
      </c>
      <c r="EI4" t="s">
        <v>213</v>
      </c>
      <c r="EJ4" t="s">
        <v>214</v>
      </c>
      <c r="EK4" t="s">
        <v>215</v>
      </c>
      <c r="EL4" t="s">
        <v>216</v>
      </c>
      <c r="EM4" t="s">
        <v>217</v>
      </c>
      <c r="EN4" t="s">
        <v>218</v>
      </c>
      <c r="EO4" t="s">
        <v>42</v>
      </c>
    </row>
    <row r="5" spans="1:145" x14ac:dyDescent="0.2">
      <c r="B5" t="s">
        <v>58</v>
      </c>
      <c r="C5" t="s">
        <v>219</v>
      </c>
      <c r="D5" t="s">
        <v>58</v>
      </c>
      <c r="O5" t="s">
        <v>227</v>
      </c>
      <c r="P5" t="s">
        <v>339</v>
      </c>
    </row>
    <row r="6" spans="1:145" x14ac:dyDescent="0.2">
      <c r="B6" t="s">
        <v>341</v>
      </c>
      <c r="C6" t="s">
        <v>219</v>
      </c>
      <c r="D6" t="s">
        <v>342</v>
      </c>
      <c r="O6" t="s">
        <v>343</v>
      </c>
      <c r="P6" t="s">
        <v>339</v>
      </c>
      <c r="R6">
        <v>3.0000000000000001E-3</v>
      </c>
    </row>
    <row r="7" spans="1:145" x14ac:dyDescent="0.2">
      <c r="B7" t="s">
        <v>397</v>
      </c>
      <c r="C7" t="s">
        <v>219</v>
      </c>
      <c r="D7" t="s">
        <v>220</v>
      </c>
    </row>
    <row r="8" spans="1:145" x14ac:dyDescent="0.2">
      <c r="B8" t="s">
        <v>398</v>
      </c>
      <c r="C8" t="s">
        <v>219</v>
      </c>
      <c r="D8" t="s">
        <v>222</v>
      </c>
    </row>
    <row r="9" spans="1:145" x14ac:dyDescent="0.2">
      <c r="B9" t="s">
        <v>61</v>
      </c>
      <c r="C9" t="s">
        <v>219</v>
      </c>
      <c r="D9" t="s">
        <v>350</v>
      </c>
      <c r="F9" t="s">
        <v>223</v>
      </c>
      <c r="G9" t="s">
        <v>224</v>
      </c>
      <c r="H9" t="s">
        <v>223</v>
      </c>
      <c r="I9" t="s">
        <v>224</v>
      </c>
      <c r="J9" t="s">
        <v>225</v>
      </c>
      <c r="L9" t="s">
        <v>226</v>
      </c>
      <c r="O9" t="s">
        <v>351</v>
      </c>
      <c r="P9" t="s">
        <v>352</v>
      </c>
      <c r="Q9" t="s">
        <v>353</v>
      </c>
      <c r="R9" t="s">
        <v>339</v>
      </c>
    </row>
    <row r="10" spans="1:145" x14ac:dyDescent="0.2">
      <c r="B10" t="s">
        <v>354</v>
      </c>
      <c r="C10" t="s">
        <v>219</v>
      </c>
      <c r="D10" t="s">
        <v>355</v>
      </c>
      <c r="F10" t="s">
        <v>223</v>
      </c>
      <c r="G10" t="s">
        <v>224</v>
      </c>
      <c r="H10" t="s">
        <v>223</v>
      </c>
      <c r="I10" t="s">
        <v>224</v>
      </c>
      <c r="J10" t="s">
        <v>225</v>
      </c>
      <c r="L10" t="s">
        <v>226</v>
      </c>
      <c r="O10" t="s">
        <v>356</v>
      </c>
      <c r="P10" t="s">
        <v>357</v>
      </c>
      <c r="Q10" t="s">
        <v>358</v>
      </c>
      <c r="R10" t="s">
        <v>353</v>
      </c>
      <c r="S10" t="s">
        <v>339</v>
      </c>
      <c r="U10">
        <v>8</v>
      </c>
    </row>
    <row r="11" spans="1:145" x14ac:dyDescent="0.2">
      <c r="B11" t="s">
        <v>359</v>
      </c>
      <c r="C11" t="s">
        <v>219</v>
      </c>
      <c r="D11" t="s">
        <v>360</v>
      </c>
      <c r="F11" t="s">
        <v>223</v>
      </c>
      <c r="G11" t="s">
        <v>224</v>
      </c>
      <c r="H11" t="s">
        <v>223</v>
      </c>
      <c r="I11" t="s">
        <v>224</v>
      </c>
      <c r="J11" t="s">
        <v>225</v>
      </c>
      <c r="L11" t="s">
        <v>226</v>
      </c>
      <c r="O11" t="s">
        <v>361</v>
      </c>
      <c r="P11" t="s">
        <v>362</v>
      </c>
      <c r="Q11" t="s">
        <v>358</v>
      </c>
      <c r="R11" t="s">
        <v>339</v>
      </c>
      <c r="S11">
        <v>250</v>
      </c>
    </row>
    <row r="12" spans="1:145" x14ac:dyDescent="0.2">
      <c r="B12" t="s">
        <v>363</v>
      </c>
      <c r="C12" t="s">
        <v>219</v>
      </c>
      <c r="D12" t="s">
        <v>364</v>
      </c>
      <c r="F12" t="s">
        <v>223</v>
      </c>
      <c r="G12" t="s">
        <v>224</v>
      </c>
      <c r="H12" t="s">
        <v>223</v>
      </c>
      <c r="I12" t="s">
        <v>224</v>
      </c>
      <c r="J12" t="s">
        <v>225</v>
      </c>
      <c r="L12" t="s">
        <v>226</v>
      </c>
      <c r="O12" t="s">
        <v>365</v>
      </c>
      <c r="P12" t="s">
        <v>366</v>
      </c>
      <c r="Q12" t="s">
        <v>358</v>
      </c>
      <c r="R12" t="s">
        <v>339</v>
      </c>
    </row>
    <row r="13" spans="1:145" x14ac:dyDescent="0.2">
      <c r="B13" t="s">
        <v>399</v>
      </c>
      <c r="C13" t="s">
        <v>219</v>
      </c>
      <c r="D13" t="s">
        <v>399</v>
      </c>
    </row>
    <row r="14" spans="1:145" x14ac:dyDescent="0.2">
      <c r="B14" t="s">
        <v>292</v>
      </c>
      <c r="C14" t="s">
        <v>219</v>
      </c>
      <c r="D14" t="s">
        <v>220</v>
      </c>
      <c r="O14" t="s">
        <v>221</v>
      </c>
      <c r="P14" t="s">
        <v>349</v>
      </c>
    </row>
    <row r="15" spans="1:145" x14ac:dyDescent="0.2">
      <c r="B15" t="s">
        <v>293</v>
      </c>
      <c r="C15" t="s">
        <v>219</v>
      </c>
      <c r="D15" t="s">
        <v>222</v>
      </c>
      <c r="O15" t="s">
        <v>221</v>
      </c>
      <c r="P15" t="s">
        <v>349</v>
      </c>
    </row>
    <row r="16" spans="1:145" x14ac:dyDescent="0.2">
      <c r="B16" t="s">
        <v>294</v>
      </c>
      <c r="C16" t="s">
        <v>219</v>
      </c>
      <c r="D16" t="s">
        <v>220</v>
      </c>
      <c r="O16" t="s">
        <v>221</v>
      </c>
      <c r="P16" t="s">
        <v>54</v>
      </c>
    </row>
    <row r="17" spans="2:24" x14ac:dyDescent="0.2">
      <c r="B17" t="s">
        <v>295</v>
      </c>
      <c r="C17" t="s">
        <v>219</v>
      </c>
      <c r="D17" t="s">
        <v>222</v>
      </c>
      <c r="O17" t="s">
        <v>221</v>
      </c>
      <c r="P17" t="s">
        <v>54</v>
      </c>
    </row>
    <row r="18" spans="2:24" x14ac:dyDescent="0.2">
      <c r="B18" t="s">
        <v>367</v>
      </c>
      <c r="C18" t="s">
        <v>400</v>
      </c>
      <c r="D18" t="s">
        <v>401</v>
      </c>
      <c r="F18" t="s">
        <v>402</v>
      </c>
      <c r="G18" t="s">
        <v>224</v>
      </c>
      <c r="H18" t="s">
        <v>223</v>
      </c>
      <c r="I18" t="s">
        <v>224</v>
      </c>
      <c r="J18" t="s">
        <v>225</v>
      </c>
      <c r="L18" t="s">
        <v>226</v>
      </c>
      <c r="O18" t="s">
        <v>403</v>
      </c>
      <c r="P18" t="s">
        <v>369</v>
      </c>
      <c r="Q18" t="s">
        <v>352</v>
      </c>
      <c r="R18" t="s">
        <v>404</v>
      </c>
    </row>
    <row r="19" spans="2:24" x14ac:dyDescent="0.2">
      <c r="B19" t="s">
        <v>370</v>
      </c>
      <c r="C19" t="s">
        <v>400</v>
      </c>
      <c r="D19" t="s">
        <v>405</v>
      </c>
      <c r="F19" t="s">
        <v>402</v>
      </c>
      <c r="G19" t="s">
        <v>224</v>
      </c>
      <c r="H19" t="s">
        <v>223</v>
      </c>
      <c r="I19" t="s">
        <v>224</v>
      </c>
      <c r="J19" t="s">
        <v>225</v>
      </c>
      <c r="L19" t="s">
        <v>226</v>
      </c>
      <c r="O19" t="s">
        <v>406</v>
      </c>
      <c r="P19" t="s">
        <v>357</v>
      </c>
      <c r="Q19" t="s">
        <v>362</v>
      </c>
      <c r="R19" t="s">
        <v>369</v>
      </c>
      <c r="S19" t="s">
        <v>404</v>
      </c>
    </row>
    <row r="20" spans="2:24" x14ac:dyDescent="0.2">
      <c r="B20" t="s">
        <v>290</v>
      </c>
      <c r="C20" t="s">
        <v>400</v>
      </c>
      <c r="D20" t="s">
        <v>407</v>
      </c>
      <c r="F20" t="s">
        <v>344</v>
      </c>
      <c r="G20" t="s">
        <v>224</v>
      </c>
      <c r="H20" t="s">
        <v>223</v>
      </c>
      <c r="I20" t="s">
        <v>224</v>
      </c>
      <c r="J20" t="s">
        <v>225</v>
      </c>
      <c r="L20" t="s">
        <v>345</v>
      </c>
      <c r="O20" t="s">
        <v>408</v>
      </c>
      <c r="P20" t="s">
        <v>270</v>
      </c>
      <c r="Q20">
        <v>-2.0000000000000001E-4</v>
      </c>
      <c r="R20">
        <v>-1</v>
      </c>
      <c r="S20">
        <v>-1E-4</v>
      </c>
      <c r="T20">
        <v>0</v>
      </c>
      <c r="V20" t="s">
        <v>347</v>
      </c>
      <c r="W20" t="s">
        <v>348</v>
      </c>
      <c r="X20" t="s">
        <v>409</v>
      </c>
    </row>
    <row r="21" spans="2:24" x14ac:dyDescent="0.2">
      <c r="B21" t="s">
        <v>60</v>
      </c>
      <c r="C21" t="s">
        <v>400</v>
      </c>
      <c r="D21" t="s">
        <v>410</v>
      </c>
      <c r="L21" t="s">
        <v>411</v>
      </c>
      <c r="O21" t="s">
        <v>412</v>
      </c>
      <c r="P21" t="s">
        <v>413</v>
      </c>
      <c r="Q21">
        <v>0.1</v>
      </c>
      <c r="R21">
        <v>3</v>
      </c>
      <c r="T21" t="b">
        <v>1</v>
      </c>
      <c r="X21" t="b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EO21"/>
  <sheetViews>
    <sheetView topLeftCell="A4" workbookViewId="0">
      <selection activeCell="S26" sqref="S26"/>
    </sheetView>
  </sheetViews>
  <sheetFormatPr baseColWidth="10" defaultColWidth="8.83203125" defaultRowHeight="15" x14ac:dyDescent="0.2"/>
  <cols>
    <col min="2" max="2" width="27.1640625" bestFit="1" customWidth="1"/>
  </cols>
  <sheetData>
    <row r="1" spans="1:145" x14ac:dyDescent="0.2">
      <c r="A1" t="s">
        <v>74</v>
      </c>
      <c r="B1" t="s">
        <v>75</v>
      </c>
    </row>
    <row r="3" spans="1:145" x14ac:dyDescent="0.2">
      <c r="C3" t="s">
        <v>76</v>
      </c>
      <c r="F3" t="s">
        <v>77</v>
      </c>
      <c r="H3" t="s">
        <v>78</v>
      </c>
      <c r="J3" t="s">
        <v>79</v>
      </c>
      <c r="O3" t="s">
        <v>80</v>
      </c>
    </row>
    <row r="4" spans="1:145" x14ac:dyDescent="0.2">
      <c r="B4" t="s">
        <v>81</v>
      </c>
      <c r="C4" t="s">
        <v>82</v>
      </c>
      <c r="D4" t="s">
        <v>34</v>
      </c>
      <c r="E4" t="s">
        <v>83</v>
      </c>
      <c r="F4" t="s">
        <v>84</v>
      </c>
      <c r="G4" t="s">
        <v>85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337</v>
      </c>
      <c r="O4" t="s">
        <v>338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113</v>
      </c>
      <c r="AN4" t="s">
        <v>114</v>
      </c>
      <c r="AO4" t="s">
        <v>115</v>
      </c>
      <c r="AP4" t="s">
        <v>116</v>
      </c>
      <c r="AQ4" t="s">
        <v>117</v>
      </c>
      <c r="AR4" t="s">
        <v>118</v>
      </c>
      <c r="AS4" t="s">
        <v>119</v>
      </c>
      <c r="AT4" t="s">
        <v>120</v>
      </c>
      <c r="AU4" t="s">
        <v>121</v>
      </c>
      <c r="AV4" t="s">
        <v>122</v>
      </c>
      <c r="AW4" t="s">
        <v>123</v>
      </c>
      <c r="AX4" t="s">
        <v>124</v>
      </c>
      <c r="AY4" t="s">
        <v>125</v>
      </c>
      <c r="AZ4" t="s">
        <v>126</v>
      </c>
      <c r="BA4" t="s">
        <v>127</v>
      </c>
      <c r="BB4" t="s">
        <v>128</v>
      </c>
      <c r="BC4" t="s">
        <v>129</v>
      </c>
      <c r="BD4" t="s">
        <v>130</v>
      </c>
      <c r="BE4" t="s">
        <v>131</v>
      </c>
      <c r="BF4" t="s">
        <v>132</v>
      </c>
      <c r="BG4" t="s">
        <v>133</v>
      </c>
      <c r="BH4" t="s">
        <v>134</v>
      </c>
      <c r="BI4" t="s">
        <v>135</v>
      </c>
      <c r="BJ4" t="s">
        <v>136</v>
      </c>
      <c r="BK4" t="s">
        <v>137</v>
      </c>
      <c r="BL4" t="s">
        <v>138</v>
      </c>
      <c r="BM4" t="s">
        <v>139</v>
      </c>
      <c r="BN4" t="s">
        <v>140</v>
      </c>
      <c r="BO4" t="s">
        <v>141</v>
      </c>
      <c r="BP4" t="s">
        <v>142</v>
      </c>
      <c r="BQ4" t="s">
        <v>143</v>
      </c>
      <c r="BR4" t="s">
        <v>144</v>
      </c>
      <c r="BS4" t="s">
        <v>145</v>
      </c>
      <c r="BT4" t="s">
        <v>146</v>
      </c>
      <c r="BU4" t="s">
        <v>147</v>
      </c>
      <c r="BV4" t="s">
        <v>148</v>
      </c>
      <c r="BW4" t="s">
        <v>149</v>
      </c>
      <c r="BX4" t="s">
        <v>150</v>
      </c>
      <c r="BY4" t="s">
        <v>151</v>
      </c>
      <c r="BZ4" t="s">
        <v>152</v>
      </c>
      <c r="CA4" t="s">
        <v>153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159</v>
      </c>
      <c r="CH4" t="s">
        <v>160</v>
      </c>
      <c r="CI4" t="s">
        <v>161</v>
      </c>
      <c r="CJ4" t="s">
        <v>162</v>
      </c>
      <c r="CK4" t="s">
        <v>163</v>
      </c>
      <c r="CL4" t="s">
        <v>164</v>
      </c>
      <c r="CM4" t="s">
        <v>165</v>
      </c>
      <c r="CN4" t="s">
        <v>166</v>
      </c>
      <c r="CO4" t="s">
        <v>167</v>
      </c>
      <c r="CP4" t="s">
        <v>168</v>
      </c>
      <c r="CQ4" t="s">
        <v>169</v>
      </c>
      <c r="CR4" t="s">
        <v>170</v>
      </c>
      <c r="CS4" t="s">
        <v>171</v>
      </c>
      <c r="CT4" t="s">
        <v>172</v>
      </c>
      <c r="CU4" t="s">
        <v>173</v>
      </c>
      <c r="CV4" t="s">
        <v>174</v>
      </c>
      <c r="CW4" t="s">
        <v>175</v>
      </c>
      <c r="CX4" t="s">
        <v>176</v>
      </c>
      <c r="CY4" t="s">
        <v>177</v>
      </c>
      <c r="CZ4" t="s">
        <v>178</v>
      </c>
      <c r="DA4" t="s">
        <v>179</v>
      </c>
      <c r="DB4" t="s">
        <v>180</v>
      </c>
      <c r="DC4" t="s">
        <v>181</v>
      </c>
      <c r="DD4" t="s">
        <v>182</v>
      </c>
      <c r="DE4" t="s">
        <v>183</v>
      </c>
      <c r="DF4" t="s">
        <v>184</v>
      </c>
      <c r="DG4" t="s">
        <v>185</v>
      </c>
      <c r="DH4" t="s">
        <v>186</v>
      </c>
      <c r="DI4" t="s">
        <v>187</v>
      </c>
      <c r="DJ4" t="s">
        <v>188</v>
      </c>
      <c r="DK4" t="s">
        <v>189</v>
      </c>
      <c r="DL4" t="s">
        <v>190</v>
      </c>
      <c r="DM4" t="s">
        <v>191</v>
      </c>
      <c r="DN4" t="s">
        <v>192</v>
      </c>
      <c r="DO4" t="s">
        <v>193</v>
      </c>
      <c r="DP4" t="s">
        <v>194</v>
      </c>
      <c r="DQ4" t="s">
        <v>195</v>
      </c>
      <c r="DR4" t="s">
        <v>196</v>
      </c>
      <c r="DS4" t="s">
        <v>197</v>
      </c>
      <c r="DT4" t="s">
        <v>198</v>
      </c>
      <c r="DU4" t="s">
        <v>199</v>
      </c>
      <c r="DV4" t="s">
        <v>200</v>
      </c>
      <c r="DW4" t="s">
        <v>201</v>
      </c>
      <c r="DX4" t="s">
        <v>202</v>
      </c>
      <c r="DY4" t="s">
        <v>203</v>
      </c>
      <c r="DZ4" t="s">
        <v>204</v>
      </c>
      <c r="EA4" t="s">
        <v>205</v>
      </c>
      <c r="EB4" t="s">
        <v>206</v>
      </c>
      <c r="EC4" t="s">
        <v>207</v>
      </c>
      <c r="ED4" t="s">
        <v>208</v>
      </c>
      <c r="EE4" t="s">
        <v>209</v>
      </c>
      <c r="EF4" t="s">
        <v>210</v>
      </c>
      <c r="EG4" t="s">
        <v>211</v>
      </c>
      <c r="EH4" t="s">
        <v>212</v>
      </c>
      <c r="EI4" t="s">
        <v>213</v>
      </c>
      <c r="EJ4" t="s">
        <v>214</v>
      </c>
      <c r="EK4" t="s">
        <v>215</v>
      </c>
      <c r="EL4" t="s">
        <v>216</v>
      </c>
      <c r="EM4" t="s">
        <v>217</v>
      </c>
      <c r="EN4" t="s">
        <v>218</v>
      </c>
      <c r="EO4" t="s">
        <v>42</v>
      </c>
    </row>
    <row r="5" spans="1:145" x14ac:dyDescent="0.2">
      <c r="B5" t="s">
        <v>58</v>
      </c>
      <c r="C5" t="s">
        <v>219</v>
      </c>
      <c r="D5" t="s">
        <v>58</v>
      </c>
      <c r="O5" t="s">
        <v>227</v>
      </c>
      <c r="P5" t="s">
        <v>339</v>
      </c>
    </row>
    <row r="6" spans="1:145" x14ac:dyDescent="0.2">
      <c r="B6" t="s">
        <v>60</v>
      </c>
      <c r="C6" t="s">
        <v>219</v>
      </c>
      <c r="D6" t="s">
        <v>228</v>
      </c>
      <c r="O6" t="s">
        <v>229</v>
      </c>
      <c r="P6" t="s">
        <v>340</v>
      </c>
      <c r="Q6">
        <v>0.1</v>
      </c>
    </row>
    <row r="7" spans="1:145" x14ac:dyDescent="0.2">
      <c r="B7" t="s">
        <v>341</v>
      </c>
      <c r="C7" t="s">
        <v>219</v>
      </c>
      <c r="D7" t="s">
        <v>342</v>
      </c>
      <c r="O7" t="s">
        <v>343</v>
      </c>
      <c r="P7" t="s">
        <v>339</v>
      </c>
      <c r="R7">
        <v>3.0000000000000001E-3</v>
      </c>
    </row>
    <row r="8" spans="1:145" x14ac:dyDescent="0.2">
      <c r="B8" t="s">
        <v>290</v>
      </c>
      <c r="C8" t="s">
        <v>219</v>
      </c>
      <c r="D8" t="s">
        <v>291</v>
      </c>
      <c r="F8" t="s">
        <v>344</v>
      </c>
      <c r="G8" t="s">
        <v>224</v>
      </c>
      <c r="H8" t="s">
        <v>223</v>
      </c>
      <c r="I8" t="s">
        <v>224</v>
      </c>
      <c r="J8" t="s">
        <v>225</v>
      </c>
      <c r="L8" t="s">
        <v>345</v>
      </c>
      <c r="O8" t="s">
        <v>346</v>
      </c>
      <c r="P8" t="s">
        <v>270</v>
      </c>
      <c r="Q8">
        <v>-2.0000000000000001E-4</v>
      </c>
      <c r="R8">
        <v>-1</v>
      </c>
      <c r="S8">
        <v>-0.2</v>
      </c>
      <c r="V8" t="s">
        <v>347</v>
      </c>
      <c r="W8" t="s">
        <v>348</v>
      </c>
      <c r="Y8">
        <v>1</v>
      </c>
      <c r="Z8">
        <v>-1</v>
      </c>
    </row>
    <row r="9" spans="1:145" x14ac:dyDescent="0.2">
      <c r="B9" t="s">
        <v>397</v>
      </c>
      <c r="C9" t="s">
        <v>219</v>
      </c>
      <c r="D9" t="s">
        <v>220</v>
      </c>
    </row>
    <row r="10" spans="1:145" x14ac:dyDescent="0.2">
      <c r="B10" t="s">
        <v>398</v>
      </c>
      <c r="C10" t="s">
        <v>219</v>
      </c>
      <c r="D10" t="s">
        <v>222</v>
      </c>
    </row>
    <row r="11" spans="1:145" x14ac:dyDescent="0.2">
      <c r="B11" t="s">
        <v>61</v>
      </c>
      <c r="C11" t="s">
        <v>219</v>
      </c>
      <c r="D11" t="s">
        <v>350</v>
      </c>
      <c r="F11" t="s">
        <v>223</v>
      </c>
      <c r="G11" t="s">
        <v>224</v>
      </c>
      <c r="H11" t="s">
        <v>223</v>
      </c>
      <c r="I11" t="s">
        <v>224</v>
      </c>
      <c r="J11" t="s">
        <v>225</v>
      </c>
      <c r="L11" t="s">
        <v>226</v>
      </c>
      <c r="O11" t="s">
        <v>351</v>
      </c>
      <c r="P11" t="s">
        <v>352</v>
      </c>
      <c r="Q11" t="s">
        <v>353</v>
      </c>
      <c r="R11" t="s">
        <v>339</v>
      </c>
    </row>
    <row r="12" spans="1:145" x14ac:dyDescent="0.2">
      <c r="B12" t="s">
        <v>354</v>
      </c>
      <c r="C12" t="s">
        <v>219</v>
      </c>
      <c r="D12" t="s">
        <v>355</v>
      </c>
      <c r="F12" t="s">
        <v>223</v>
      </c>
      <c r="G12" t="s">
        <v>224</v>
      </c>
      <c r="H12" t="s">
        <v>223</v>
      </c>
      <c r="I12" t="s">
        <v>224</v>
      </c>
      <c r="J12" t="s">
        <v>225</v>
      </c>
      <c r="L12" t="s">
        <v>226</v>
      </c>
      <c r="O12" t="s">
        <v>356</v>
      </c>
      <c r="P12" t="s">
        <v>357</v>
      </c>
      <c r="Q12" t="s">
        <v>358</v>
      </c>
      <c r="R12" t="s">
        <v>353</v>
      </c>
      <c r="S12" t="s">
        <v>339</v>
      </c>
      <c r="U12">
        <v>8</v>
      </c>
    </row>
    <row r="13" spans="1:145" x14ac:dyDescent="0.2">
      <c r="B13" t="s">
        <v>359</v>
      </c>
      <c r="C13" t="s">
        <v>219</v>
      </c>
      <c r="D13" t="s">
        <v>360</v>
      </c>
      <c r="F13" t="s">
        <v>223</v>
      </c>
      <c r="G13" t="s">
        <v>224</v>
      </c>
      <c r="H13" t="s">
        <v>223</v>
      </c>
      <c r="I13" t="s">
        <v>224</v>
      </c>
      <c r="J13" t="s">
        <v>225</v>
      </c>
      <c r="L13" t="s">
        <v>226</v>
      </c>
      <c r="O13" t="s">
        <v>361</v>
      </c>
      <c r="P13" t="s">
        <v>362</v>
      </c>
      <c r="Q13" t="s">
        <v>358</v>
      </c>
      <c r="R13" t="s">
        <v>339</v>
      </c>
      <c r="S13">
        <v>250</v>
      </c>
    </row>
    <row r="14" spans="1:145" x14ac:dyDescent="0.2">
      <c r="B14" t="s">
        <v>363</v>
      </c>
      <c r="C14" t="s">
        <v>219</v>
      </c>
      <c r="D14" t="s">
        <v>364</v>
      </c>
      <c r="F14" t="s">
        <v>223</v>
      </c>
      <c r="G14" t="s">
        <v>224</v>
      </c>
      <c r="H14" t="s">
        <v>223</v>
      </c>
      <c r="I14" t="s">
        <v>224</v>
      </c>
      <c r="J14" t="s">
        <v>225</v>
      </c>
      <c r="L14" t="s">
        <v>226</v>
      </c>
      <c r="O14" t="s">
        <v>365</v>
      </c>
      <c r="P14" t="s">
        <v>366</v>
      </c>
      <c r="Q14" t="s">
        <v>358</v>
      </c>
      <c r="R14" t="s">
        <v>339</v>
      </c>
    </row>
    <row r="15" spans="1:145" x14ac:dyDescent="0.2">
      <c r="B15" t="s">
        <v>367</v>
      </c>
      <c r="C15" t="s">
        <v>219</v>
      </c>
      <c r="D15" t="s">
        <v>368</v>
      </c>
      <c r="F15" t="s">
        <v>223</v>
      </c>
      <c r="G15" t="s">
        <v>224</v>
      </c>
      <c r="H15" t="s">
        <v>223</v>
      </c>
      <c r="I15" t="s">
        <v>224</v>
      </c>
      <c r="J15" t="s">
        <v>225</v>
      </c>
      <c r="L15" t="s">
        <v>226</v>
      </c>
      <c r="O15" t="s">
        <v>365</v>
      </c>
      <c r="P15" t="s">
        <v>369</v>
      </c>
      <c r="Q15" t="s">
        <v>358</v>
      </c>
      <c r="R15" t="s">
        <v>339</v>
      </c>
    </row>
    <row r="16" spans="1:145" x14ac:dyDescent="0.2">
      <c r="B16" t="s">
        <v>370</v>
      </c>
      <c r="C16" t="s">
        <v>219</v>
      </c>
      <c r="D16" t="s">
        <v>371</v>
      </c>
      <c r="F16" t="s">
        <v>223</v>
      </c>
      <c r="G16" t="s">
        <v>224</v>
      </c>
      <c r="H16" t="s">
        <v>223</v>
      </c>
      <c r="I16" t="s">
        <v>224</v>
      </c>
      <c r="J16" t="s">
        <v>225</v>
      </c>
      <c r="L16" t="s">
        <v>226</v>
      </c>
      <c r="O16" t="s">
        <v>356</v>
      </c>
      <c r="P16" t="s">
        <v>357</v>
      </c>
      <c r="Q16" t="s">
        <v>358</v>
      </c>
      <c r="R16" t="s">
        <v>353</v>
      </c>
      <c r="S16" t="s">
        <v>339</v>
      </c>
      <c r="U16">
        <v>8</v>
      </c>
    </row>
    <row r="17" spans="2:16" x14ac:dyDescent="0.2">
      <c r="B17" t="s">
        <v>399</v>
      </c>
      <c r="C17" t="s">
        <v>219</v>
      </c>
      <c r="D17" t="s">
        <v>399</v>
      </c>
    </row>
    <row r="18" spans="2:16" x14ac:dyDescent="0.2">
      <c r="B18" t="s">
        <v>292</v>
      </c>
      <c r="C18" t="s">
        <v>219</v>
      </c>
      <c r="D18" t="s">
        <v>220</v>
      </c>
      <c r="O18" t="s">
        <v>221</v>
      </c>
      <c r="P18" t="s">
        <v>349</v>
      </c>
    </row>
    <row r="19" spans="2:16" x14ac:dyDescent="0.2">
      <c r="B19" t="s">
        <v>293</v>
      </c>
      <c r="C19" t="s">
        <v>219</v>
      </c>
      <c r="D19" t="s">
        <v>222</v>
      </c>
      <c r="O19" t="s">
        <v>221</v>
      </c>
      <c r="P19" t="s">
        <v>349</v>
      </c>
    </row>
    <row r="20" spans="2:16" x14ac:dyDescent="0.2">
      <c r="B20" t="s">
        <v>294</v>
      </c>
      <c r="C20" t="s">
        <v>219</v>
      </c>
      <c r="D20" t="s">
        <v>220</v>
      </c>
      <c r="O20" t="s">
        <v>221</v>
      </c>
      <c r="P20" t="s">
        <v>54</v>
      </c>
    </row>
    <row r="21" spans="2:16" x14ac:dyDescent="0.2">
      <c r="B21" t="s">
        <v>295</v>
      </c>
      <c r="C21" t="s">
        <v>219</v>
      </c>
      <c r="D21" t="s">
        <v>222</v>
      </c>
      <c r="O21" t="s">
        <v>221</v>
      </c>
      <c r="P21" t="s">
        <v>54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L29"/>
  <sheetViews>
    <sheetView workbookViewId="0">
      <selection activeCell="F31" sqref="F31"/>
    </sheetView>
  </sheetViews>
  <sheetFormatPr baseColWidth="10" defaultColWidth="8.83203125" defaultRowHeight="15" x14ac:dyDescent="0.2"/>
  <cols>
    <col min="8" max="8" width="33" bestFit="1" customWidth="1"/>
  </cols>
  <sheetData>
    <row r="1" spans="1:38" x14ac:dyDescent="0.2">
      <c r="A1" t="s">
        <v>372</v>
      </c>
      <c r="B1" t="s">
        <v>0</v>
      </c>
    </row>
    <row r="2" spans="1:38" x14ac:dyDescent="0.2">
      <c r="G2" t="s">
        <v>1</v>
      </c>
    </row>
    <row r="3" spans="1:38" x14ac:dyDescent="0.2">
      <c r="D3" t="s">
        <v>2</v>
      </c>
      <c r="G3" t="s">
        <v>3</v>
      </c>
      <c r="K3" t="s">
        <v>4</v>
      </c>
      <c r="M3" t="s">
        <v>5</v>
      </c>
      <c r="P3" t="s">
        <v>6</v>
      </c>
      <c r="R3" t="s">
        <v>7</v>
      </c>
      <c r="U3" t="s">
        <v>8</v>
      </c>
      <c r="X3" t="s">
        <v>9</v>
      </c>
      <c r="AB3" t="s">
        <v>10</v>
      </c>
      <c r="AE3" t="s">
        <v>11</v>
      </c>
      <c r="AG3" t="s">
        <v>12</v>
      </c>
    </row>
    <row r="4" spans="1:38" x14ac:dyDescent="0.2"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27</v>
      </c>
      <c r="S4" t="s">
        <v>28</v>
      </c>
      <c r="T4" t="s">
        <v>29</v>
      </c>
      <c r="U4" t="s">
        <v>27</v>
      </c>
      <c r="V4" t="s">
        <v>28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</row>
    <row r="5" spans="1:38" x14ac:dyDescent="0.2">
      <c r="C5" t="s">
        <v>375</v>
      </c>
      <c r="G5" t="s">
        <v>51</v>
      </c>
    </row>
    <row r="6" spans="1:38" x14ac:dyDescent="0.2">
      <c r="G6" t="s">
        <v>44</v>
      </c>
      <c r="H6" t="s">
        <v>376</v>
      </c>
      <c r="J6">
        <v>10</v>
      </c>
    </row>
    <row r="7" spans="1:38" x14ac:dyDescent="0.2">
      <c r="G7" t="s">
        <v>51</v>
      </c>
    </row>
    <row r="8" spans="1:38" x14ac:dyDescent="0.2">
      <c r="G8" t="s">
        <v>43</v>
      </c>
      <c r="H8" t="s">
        <v>53</v>
      </c>
    </row>
    <row r="9" spans="1:38" x14ac:dyDescent="0.2">
      <c r="C9" t="s">
        <v>377</v>
      </c>
      <c r="G9" t="s">
        <v>45</v>
      </c>
      <c r="H9" t="s">
        <v>53</v>
      </c>
    </row>
    <row r="10" spans="1:38" x14ac:dyDescent="0.2">
      <c r="G10" t="s">
        <v>55</v>
      </c>
      <c r="H10" t="s">
        <v>53</v>
      </c>
    </row>
    <row r="11" spans="1:38" x14ac:dyDescent="0.2">
      <c r="G11" t="s">
        <v>44</v>
      </c>
      <c r="H11" t="s">
        <v>292</v>
      </c>
      <c r="J11">
        <v>15</v>
      </c>
    </row>
    <row r="12" spans="1:38" x14ac:dyDescent="0.2">
      <c r="G12" t="s">
        <v>378</v>
      </c>
      <c r="H12" t="s">
        <v>379</v>
      </c>
    </row>
    <row r="13" spans="1:38" x14ac:dyDescent="0.2">
      <c r="G13" t="s">
        <v>56</v>
      </c>
      <c r="H13" t="s">
        <v>50</v>
      </c>
    </row>
    <row r="14" spans="1:38" x14ac:dyDescent="0.2">
      <c r="G14" t="s">
        <v>56</v>
      </c>
      <c r="H14" t="s">
        <v>52</v>
      </c>
    </row>
    <row r="15" spans="1:38" x14ac:dyDescent="0.2">
      <c r="C15" t="s">
        <v>380</v>
      </c>
      <c r="G15" t="s">
        <v>57</v>
      </c>
      <c r="H15" t="s">
        <v>50</v>
      </c>
    </row>
    <row r="16" spans="1:38" x14ac:dyDescent="0.2">
      <c r="C16" t="s">
        <v>381</v>
      </c>
      <c r="G16" t="s">
        <v>57</v>
      </c>
      <c r="H16" t="s">
        <v>52</v>
      </c>
    </row>
    <row r="17" spans="7:27" x14ac:dyDescent="0.2">
      <c r="G17" t="s">
        <v>44</v>
      </c>
      <c r="H17" t="s">
        <v>296</v>
      </c>
      <c r="J17">
        <v>20</v>
      </c>
    </row>
    <row r="18" spans="7:27" x14ac:dyDescent="0.2">
      <c r="G18" t="s">
        <v>44</v>
      </c>
      <c r="H18" t="s">
        <v>290</v>
      </c>
      <c r="J18">
        <v>25</v>
      </c>
      <c r="V18" t="s">
        <v>382</v>
      </c>
    </row>
    <row r="19" spans="7:27" x14ac:dyDescent="0.2">
      <c r="G19" t="s">
        <v>47</v>
      </c>
      <c r="H19" t="s">
        <v>383</v>
      </c>
    </row>
    <row r="20" spans="7:27" x14ac:dyDescent="0.2">
      <c r="G20" t="s">
        <v>44</v>
      </c>
      <c r="H20" t="s">
        <v>60</v>
      </c>
      <c r="J20">
        <v>30</v>
      </c>
    </row>
    <row r="21" spans="7:27" x14ac:dyDescent="0.2">
      <c r="G21" t="s">
        <v>59</v>
      </c>
      <c r="H21" t="s">
        <v>60</v>
      </c>
      <c r="K21">
        <v>-0.01</v>
      </c>
      <c r="L21">
        <v>1.5E-5</v>
      </c>
      <c r="V21" t="s">
        <v>382</v>
      </c>
    </row>
    <row r="22" spans="7:27" x14ac:dyDescent="0.2">
      <c r="G22" t="s">
        <v>47</v>
      </c>
      <c r="H22" t="s">
        <v>383</v>
      </c>
    </row>
    <row r="23" spans="7:27" x14ac:dyDescent="0.2">
      <c r="G23" t="s">
        <v>44</v>
      </c>
      <c r="H23" t="s">
        <v>61</v>
      </c>
      <c r="J23">
        <v>35</v>
      </c>
      <c r="U23" t="s">
        <v>384</v>
      </c>
      <c r="V23" t="s">
        <v>385</v>
      </c>
    </row>
    <row r="24" spans="7:27" x14ac:dyDescent="0.2">
      <c r="G24" t="s">
        <v>47</v>
      </c>
      <c r="H24" t="s">
        <v>386</v>
      </c>
    </row>
    <row r="25" spans="7:27" x14ac:dyDescent="0.2">
      <c r="G25" t="s">
        <v>378</v>
      </c>
      <c r="H25" t="s">
        <v>387</v>
      </c>
    </row>
    <row r="26" spans="7:27" x14ac:dyDescent="0.2">
      <c r="G26" t="s">
        <v>62</v>
      </c>
      <c r="H26" t="s">
        <v>388</v>
      </c>
      <c r="J26">
        <v>40</v>
      </c>
      <c r="X26" t="s">
        <v>63</v>
      </c>
      <c r="Z26" t="s">
        <v>45</v>
      </c>
      <c r="AA26" t="s">
        <v>384</v>
      </c>
    </row>
    <row r="27" spans="7:27" x14ac:dyDescent="0.2">
      <c r="G27" t="s">
        <v>44</v>
      </c>
      <c r="H27" t="s">
        <v>293</v>
      </c>
      <c r="J27">
        <v>70</v>
      </c>
    </row>
    <row r="28" spans="7:27" x14ac:dyDescent="0.2">
      <c r="G28" t="s">
        <v>65</v>
      </c>
    </row>
    <row r="29" spans="7:27" x14ac:dyDescent="0.2">
      <c r="G29" t="s">
        <v>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AL15"/>
  <sheetViews>
    <sheetView workbookViewId="0">
      <selection activeCell="G19" sqref="G19"/>
    </sheetView>
  </sheetViews>
  <sheetFormatPr baseColWidth="10" defaultColWidth="8.83203125" defaultRowHeight="15" x14ac:dyDescent="0.2"/>
  <sheetData>
    <row r="1" spans="1:38" x14ac:dyDescent="0.2">
      <c r="A1" t="s">
        <v>372</v>
      </c>
      <c r="B1" t="s">
        <v>0</v>
      </c>
    </row>
    <row r="2" spans="1:38" x14ac:dyDescent="0.2">
      <c r="G2" t="s">
        <v>1</v>
      </c>
    </row>
    <row r="3" spans="1:38" x14ac:dyDescent="0.2">
      <c r="D3" t="s">
        <v>2</v>
      </c>
      <c r="G3" t="s">
        <v>3</v>
      </c>
      <c r="K3" t="s">
        <v>4</v>
      </c>
      <c r="M3" t="s">
        <v>5</v>
      </c>
      <c r="P3" t="s">
        <v>6</v>
      </c>
      <c r="R3" t="s">
        <v>7</v>
      </c>
      <c r="U3" t="s">
        <v>8</v>
      </c>
      <c r="X3" t="s">
        <v>9</v>
      </c>
      <c r="AB3" t="s">
        <v>10</v>
      </c>
      <c r="AE3" t="s">
        <v>11</v>
      </c>
      <c r="AG3" t="s">
        <v>12</v>
      </c>
    </row>
    <row r="4" spans="1:38" x14ac:dyDescent="0.2"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27</v>
      </c>
      <c r="S4" t="s">
        <v>28</v>
      </c>
      <c r="T4" t="s">
        <v>29</v>
      </c>
      <c r="U4" t="s">
        <v>27</v>
      </c>
      <c r="V4" t="s">
        <v>28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</row>
    <row r="5" spans="1:38" x14ac:dyDescent="0.2">
      <c r="G5" t="s">
        <v>43</v>
      </c>
      <c r="H5" t="s">
        <v>373</v>
      </c>
    </row>
    <row r="6" spans="1:38" x14ac:dyDescent="0.2">
      <c r="G6" t="s">
        <v>44</v>
      </c>
      <c r="H6" t="s">
        <v>294</v>
      </c>
    </row>
    <row r="7" spans="1:38" x14ac:dyDescent="0.2">
      <c r="G7" t="s">
        <v>44</v>
      </c>
      <c r="H7" t="s">
        <v>354</v>
      </c>
      <c r="J7">
        <v>45</v>
      </c>
      <c r="V7" t="s">
        <v>373</v>
      </c>
    </row>
    <row r="8" spans="1:38" x14ac:dyDescent="0.2">
      <c r="C8" t="s">
        <v>374</v>
      </c>
      <c r="G8" t="s">
        <v>56</v>
      </c>
      <c r="H8" t="s">
        <v>54</v>
      </c>
    </row>
    <row r="9" spans="1:38" x14ac:dyDescent="0.2">
      <c r="C9" t="s">
        <v>54</v>
      </c>
      <c r="G9" t="s">
        <v>44</v>
      </c>
      <c r="H9" t="s">
        <v>359</v>
      </c>
      <c r="J9">
        <v>50</v>
      </c>
      <c r="AC9" t="s">
        <v>45</v>
      </c>
      <c r="AD9" t="s">
        <v>373</v>
      </c>
    </row>
    <row r="10" spans="1:38" x14ac:dyDescent="0.2">
      <c r="C10" t="s">
        <v>374</v>
      </c>
      <c r="G10" t="s">
        <v>44</v>
      </c>
      <c r="H10" t="s">
        <v>363</v>
      </c>
      <c r="J10">
        <v>55</v>
      </c>
      <c r="AC10" t="s">
        <v>45</v>
      </c>
      <c r="AD10" t="s">
        <v>373</v>
      </c>
    </row>
    <row r="11" spans="1:38" x14ac:dyDescent="0.2">
      <c r="G11" t="s">
        <v>44</v>
      </c>
      <c r="H11" t="s">
        <v>367</v>
      </c>
      <c r="J11">
        <v>60</v>
      </c>
      <c r="AC11" t="s">
        <v>45</v>
      </c>
      <c r="AD11" t="s">
        <v>373</v>
      </c>
    </row>
    <row r="12" spans="1:38" x14ac:dyDescent="0.2">
      <c r="G12" t="s">
        <v>44</v>
      </c>
      <c r="H12" t="s">
        <v>370</v>
      </c>
      <c r="J12">
        <v>65</v>
      </c>
      <c r="V12" t="s">
        <v>46</v>
      </c>
      <c r="AC12" t="s">
        <v>45</v>
      </c>
      <c r="AD12" t="s">
        <v>373</v>
      </c>
    </row>
    <row r="13" spans="1:38" x14ac:dyDescent="0.2">
      <c r="G13" t="s">
        <v>47</v>
      </c>
      <c r="H13" t="s">
        <v>48</v>
      </c>
    </row>
    <row r="14" spans="1:38" x14ac:dyDescent="0.2">
      <c r="G14" t="s">
        <v>44</v>
      </c>
      <c r="H14" t="s">
        <v>295</v>
      </c>
    </row>
    <row r="15" spans="1:38" x14ac:dyDescent="0.2">
      <c r="G15" t="s">
        <v>49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I9"/>
  <sheetViews>
    <sheetView workbookViewId="0">
      <selection activeCell="L14" sqref="L14"/>
    </sheetView>
  </sheetViews>
  <sheetFormatPr baseColWidth="10" defaultColWidth="8.83203125" defaultRowHeight="15" x14ac:dyDescent="0.2"/>
  <sheetData>
    <row r="1" spans="1:9" x14ac:dyDescent="0.2">
      <c r="A1" t="s">
        <v>389</v>
      </c>
      <c r="B1" t="s">
        <v>73</v>
      </c>
    </row>
    <row r="3" spans="1:9" x14ac:dyDescent="0.2">
      <c r="B3" t="s">
        <v>72</v>
      </c>
      <c r="C3" t="s">
        <v>71</v>
      </c>
      <c r="D3" t="s">
        <v>14</v>
      </c>
      <c r="E3" t="s">
        <v>70</v>
      </c>
      <c r="F3" t="s">
        <v>69</v>
      </c>
      <c r="G3" t="s">
        <v>68</v>
      </c>
      <c r="H3" t="s">
        <v>67</v>
      </c>
      <c r="I3" t="s">
        <v>42</v>
      </c>
    </row>
    <row r="4" spans="1:9" x14ac:dyDescent="0.2">
      <c r="B4" t="s">
        <v>390</v>
      </c>
      <c r="E4" t="s">
        <v>391</v>
      </c>
      <c r="F4" t="s">
        <v>66</v>
      </c>
    </row>
    <row r="5" spans="1:9" x14ac:dyDescent="0.2">
      <c r="B5" t="s">
        <v>362</v>
      </c>
      <c r="E5" t="s">
        <v>392</v>
      </c>
      <c r="F5" t="s">
        <v>66</v>
      </c>
    </row>
    <row r="6" spans="1:9" x14ac:dyDescent="0.2">
      <c r="B6" t="s">
        <v>366</v>
      </c>
      <c r="E6" t="s">
        <v>393</v>
      </c>
      <c r="F6" t="s">
        <v>66</v>
      </c>
    </row>
    <row r="7" spans="1:9" x14ac:dyDescent="0.2">
      <c r="B7" t="s">
        <v>369</v>
      </c>
      <c r="E7" t="s">
        <v>394</v>
      </c>
      <c r="F7" t="s">
        <v>66</v>
      </c>
    </row>
    <row r="8" spans="1:9" x14ac:dyDescent="0.2">
      <c r="B8" t="s">
        <v>352</v>
      </c>
      <c r="E8" t="s">
        <v>395</v>
      </c>
      <c r="F8" t="s">
        <v>66</v>
      </c>
    </row>
    <row r="9" spans="1:9" x14ac:dyDescent="0.2">
      <c r="B9" t="s">
        <v>357</v>
      </c>
      <c r="E9" t="s">
        <v>396</v>
      </c>
      <c r="F9" t="s">
        <v>66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E22"/>
  <sheetViews>
    <sheetView workbookViewId="0">
      <selection activeCell="L34" sqref="L34"/>
    </sheetView>
  </sheetViews>
  <sheetFormatPr baseColWidth="10" defaultColWidth="8.83203125" defaultRowHeight="15" x14ac:dyDescent="0.2"/>
  <sheetData>
    <row r="1" spans="1:4" x14ac:dyDescent="0.2">
      <c r="A1" t="s">
        <v>297</v>
      </c>
      <c r="B1" t="s">
        <v>298</v>
      </c>
    </row>
    <row r="2" spans="1:4" x14ac:dyDescent="0.2">
      <c r="A2" t="s">
        <v>299</v>
      </c>
      <c r="B2" t="s">
        <v>300</v>
      </c>
    </row>
    <row r="7" spans="1:4" x14ac:dyDescent="0.2">
      <c r="D7" t="s">
        <v>301</v>
      </c>
    </row>
    <row r="8" spans="1:4" x14ac:dyDescent="0.2">
      <c r="D8" t="s">
        <v>302</v>
      </c>
    </row>
    <row r="9" spans="1:4" x14ac:dyDescent="0.2">
      <c r="D9" t="s">
        <v>303</v>
      </c>
    </row>
    <row r="14" spans="1:4" x14ac:dyDescent="0.2">
      <c r="D14" t="s">
        <v>304</v>
      </c>
    </row>
    <row r="20" spans="2:5" x14ac:dyDescent="0.2">
      <c r="D20" t="s">
        <v>297</v>
      </c>
      <c r="E20" t="s">
        <v>305</v>
      </c>
    </row>
    <row r="21" spans="2:5" x14ac:dyDescent="0.2">
      <c r="D21" t="s">
        <v>299</v>
      </c>
      <c r="E21" t="s">
        <v>300</v>
      </c>
    </row>
    <row r="22" spans="2:5" x14ac:dyDescent="0.2">
      <c r="B22" t="s">
        <v>306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T19"/>
  <sheetViews>
    <sheetView tabSelected="1" workbookViewId="0">
      <selection activeCell="Q8" sqref="Q8"/>
    </sheetView>
  </sheetViews>
  <sheetFormatPr baseColWidth="10" defaultColWidth="8.83203125" defaultRowHeight="15" x14ac:dyDescent="0.2"/>
  <cols>
    <col min="2" max="2" width="19.6640625" bestFit="1" customWidth="1"/>
    <col min="3" max="3" width="18.5" bestFit="1" customWidth="1"/>
  </cols>
  <sheetData>
    <row r="1" spans="1:20" x14ac:dyDescent="0.2">
      <c r="A1" s="4" t="s">
        <v>230</v>
      </c>
      <c r="B1" s="4" t="s">
        <v>231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">
      <c r="A3" s="4"/>
      <c r="B3" s="4" t="s">
        <v>232</v>
      </c>
      <c r="C3" s="4" t="s">
        <v>233</v>
      </c>
      <c r="D3" s="4"/>
      <c r="E3" s="4" t="s">
        <v>234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">
      <c r="A4" s="4"/>
      <c r="B4" s="4" t="s">
        <v>235</v>
      </c>
      <c r="C4" s="4"/>
      <c r="D4" s="4"/>
      <c r="E4" s="4" t="s">
        <v>236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">
      <c r="A6" s="4"/>
      <c r="B6" s="4"/>
      <c r="C6" s="4" t="s">
        <v>237</v>
      </c>
      <c r="D6" s="4" t="s">
        <v>238</v>
      </c>
      <c r="E6" s="4"/>
      <c r="F6" s="4"/>
      <c r="G6" s="4" t="s">
        <v>239</v>
      </c>
      <c r="H6" s="4"/>
      <c r="I6" s="4" t="s">
        <v>240</v>
      </c>
      <c r="J6" s="4"/>
      <c r="K6" s="4"/>
      <c r="L6" s="4"/>
      <c r="M6" s="4" t="s">
        <v>241</v>
      </c>
      <c r="N6" s="4"/>
      <c r="O6" s="4"/>
      <c r="P6" s="4"/>
      <c r="Q6" s="4" t="s">
        <v>242</v>
      </c>
      <c r="R6" s="4"/>
      <c r="S6" s="4"/>
      <c r="T6" s="4"/>
    </row>
    <row r="7" spans="1:20" x14ac:dyDescent="0.2">
      <c r="A7" s="4"/>
      <c r="B7" s="4" t="s">
        <v>243</v>
      </c>
      <c r="C7" s="4" t="s">
        <v>244</v>
      </c>
      <c r="D7" s="4" t="s">
        <v>34</v>
      </c>
      <c r="E7" s="4" t="s">
        <v>245</v>
      </c>
      <c r="F7" s="4" t="s">
        <v>246</v>
      </c>
      <c r="G7" s="4" t="s">
        <v>247</v>
      </c>
      <c r="H7" s="4" t="s">
        <v>248</v>
      </c>
      <c r="I7" s="4" t="s">
        <v>249</v>
      </c>
      <c r="J7" s="4" t="s">
        <v>239</v>
      </c>
      <c r="K7" s="4" t="s">
        <v>250</v>
      </c>
      <c r="L7" s="4" t="s">
        <v>251</v>
      </c>
      <c r="M7" s="4" t="s">
        <v>252</v>
      </c>
      <c r="N7" s="4" t="s">
        <v>253</v>
      </c>
      <c r="O7" s="4" t="s">
        <v>254</v>
      </c>
      <c r="P7" s="4" t="s">
        <v>255</v>
      </c>
      <c r="Q7" s="4" t="s">
        <v>252</v>
      </c>
      <c r="R7" s="4" t="s">
        <v>42</v>
      </c>
      <c r="S7" s="4"/>
      <c r="T7" s="4"/>
    </row>
    <row r="8" spans="1:20" x14ac:dyDescent="0.2">
      <c r="A8" s="4"/>
      <c r="B8" s="5" t="s">
        <v>256</v>
      </c>
      <c r="C8" s="4" t="s">
        <v>414</v>
      </c>
      <c r="D8" s="5" t="s">
        <v>415</v>
      </c>
      <c r="E8" s="4"/>
      <c r="F8" s="4" t="s">
        <v>257</v>
      </c>
      <c r="G8" s="4" t="s">
        <v>258</v>
      </c>
      <c r="H8" s="4" t="s">
        <v>259</v>
      </c>
      <c r="I8" s="4"/>
      <c r="J8" s="4" t="s">
        <v>416</v>
      </c>
      <c r="K8" s="4"/>
      <c r="L8" s="4">
        <v>0</v>
      </c>
      <c r="M8" s="4" t="s">
        <v>251</v>
      </c>
      <c r="N8" s="4"/>
      <c r="O8" s="4"/>
      <c r="P8" s="4"/>
      <c r="Q8" s="4" t="s">
        <v>417</v>
      </c>
      <c r="R8" s="4"/>
      <c r="S8" s="4"/>
      <c r="T8" s="4"/>
    </row>
    <row r="9" spans="1:20" x14ac:dyDescent="0.2">
      <c r="A9" s="4"/>
      <c r="B9" s="5" t="s">
        <v>256</v>
      </c>
      <c r="C9" s="4" t="s">
        <v>414</v>
      </c>
      <c r="D9" s="5" t="s">
        <v>418</v>
      </c>
      <c r="E9" s="4"/>
      <c r="F9" s="4" t="s">
        <v>257</v>
      </c>
      <c r="G9" s="4" t="s">
        <v>258</v>
      </c>
      <c r="H9" s="4" t="s">
        <v>260</v>
      </c>
      <c r="I9" s="4"/>
      <c r="J9" s="4" t="s">
        <v>419</v>
      </c>
      <c r="K9" s="4" t="s">
        <v>414</v>
      </c>
      <c r="L9" s="4">
        <v>0</v>
      </c>
      <c r="M9" s="4" t="s">
        <v>251</v>
      </c>
      <c r="N9" s="4"/>
      <c r="O9" s="4"/>
      <c r="P9" s="4"/>
      <c r="Q9" s="4" t="s">
        <v>417</v>
      </c>
      <c r="R9" s="4"/>
      <c r="S9" s="4"/>
      <c r="T9" s="4"/>
    </row>
    <row r="10" spans="1:20" x14ac:dyDescent="0.2">
      <c r="A10" s="4"/>
      <c r="B10" s="5" t="s">
        <v>256</v>
      </c>
      <c r="C10" s="4" t="s">
        <v>414</v>
      </c>
      <c r="D10" s="5" t="s">
        <v>420</v>
      </c>
      <c r="E10" s="4"/>
      <c r="F10" s="4" t="s">
        <v>257</v>
      </c>
      <c r="G10" s="4" t="s">
        <v>258</v>
      </c>
      <c r="H10" s="4" t="s">
        <v>259</v>
      </c>
      <c r="I10" s="4"/>
      <c r="J10" s="4" t="s">
        <v>416</v>
      </c>
      <c r="K10" s="4"/>
      <c r="L10" s="4">
        <v>0</v>
      </c>
      <c r="M10" s="4" t="s">
        <v>251</v>
      </c>
      <c r="N10" s="4"/>
      <c r="O10" s="4"/>
      <c r="P10" s="4"/>
      <c r="Q10" s="4" t="s">
        <v>417</v>
      </c>
      <c r="R10" s="4"/>
      <c r="S10" s="4"/>
      <c r="T10" s="4"/>
    </row>
    <row r="11" spans="1:20" x14ac:dyDescent="0.2">
      <c r="A11" s="4"/>
      <c r="B11" s="5" t="s">
        <v>256</v>
      </c>
      <c r="C11" s="4" t="s">
        <v>414</v>
      </c>
      <c r="D11" s="5" t="s">
        <v>421</v>
      </c>
      <c r="E11" s="4"/>
      <c r="F11" s="4" t="s">
        <v>257</v>
      </c>
      <c r="G11" s="4" t="s">
        <v>258</v>
      </c>
      <c r="H11" s="4" t="s">
        <v>259</v>
      </c>
      <c r="I11" s="4"/>
      <c r="J11" s="4">
        <v>0</v>
      </c>
      <c r="K11" s="4"/>
      <c r="L11" s="4">
        <v>0</v>
      </c>
      <c r="M11" s="4" t="s">
        <v>261</v>
      </c>
      <c r="N11" s="4" t="s">
        <v>419</v>
      </c>
      <c r="O11" s="4"/>
      <c r="P11" s="4"/>
      <c r="Q11" s="4" t="s">
        <v>417</v>
      </c>
      <c r="R11" s="4"/>
      <c r="S11" s="4"/>
      <c r="T11" s="4"/>
    </row>
    <row r="12" spans="1:20" x14ac:dyDescent="0.2">
      <c r="A12" s="4"/>
      <c r="B12" s="5" t="s">
        <v>256</v>
      </c>
      <c r="C12" s="4" t="s">
        <v>422</v>
      </c>
      <c r="D12" s="5" t="s">
        <v>423</v>
      </c>
      <c r="E12" s="4"/>
      <c r="F12" s="4" t="s">
        <v>257</v>
      </c>
      <c r="G12" s="4" t="s">
        <v>424</v>
      </c>
      <c r="H12" s="4" t="s">
        <v>259</v>
      </c>
      <c r="I12" s="4"/>
      <c r="J12" s="4">
        <v>0</v>
      </c>
      <c r="K12" s="4"/>
      <c r="L12" s="4">
        <v>0</v>
      </c>
      <c r="M12" s="4" t="s">
        <v>251</v>
      </c>
      <c r="N12" s="4"/>
      <c r="O12" s="4"/>
      <c r="P12" s="4"/>
      <c r="Q12" s="4" t="s">
        <v>417</v>
      </c>
      <c r="R12" s="4"/>
      <c r="S12" s="4"/>
      <c r="T12" s="4"/>
    </row>
    <row r="13" spans="1:20" x14ac:dyDescent="0.2">
      <c r="A13" s="4"/>
      <c r="B13" s="5" t="s">
        <v>256</v>
      </c>
      <c r="C13" s="4" t="s">
        <v>422</v>
      </c>
      <c r="D13" s="5" t="s">
        <v>425</v>
      </c>
      <c r="E13" s="4"/>
      <c r="F13" s="4" t="s">
        <v>257</v>
      </c>
      <c r="G13" s="4" t="s">
        <v>424</v>
      </c>
      <c r="H13" s="4" t="s">
        <v>259</v>
      </c>
      <c r="I13" s="4"/>
      <c r="J13" s="4">
        <v>0</v>
      </c>
      <c r="K13" s="4"/>
      <c r="L13" s="4">
        <v>0</v>
      </c>
      <c r="M13" s="4" t="s">
        <v>251</v>
      </c>
      <c r="N13" s="4"/>
      <c r="O13" s="4"/>
      <c r="P13" s="4"/>
      <c r="Q13" s="4" t="s">
        <v>417</v>
      </c>
      <c r="R13" s="4"/>
      <c r="S13" s="4"/>
      <c r="T13" s="4"/>
    </row>
    <row r="14" spans="1:20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8"/>
  <sheetViews>
    <sheetView workbookViewId="0">
      <selection activeCell="A3" sqref="A3"/>
    </sheetView>
  </sheetViews>
  <sheetFormatPr baseColWidth="10" defaultColWidth="9.1640625" defaultRowHeight="16" x14ac:dyDescent="0.2"/>
  <cols>
    <col min="1" max="1" width="35.6640625" style="2" bestFit="1" customWidth="1"/>
    <col min="2" max="16384" width="9.1640625" style="2"/>
  </cols>
  <sheetData>
    <row r="1" spans="1:1" x14ac:dyDescent="0.2">
      <c r="A1" s="1" t="s">
        <v>285</v>
      </c>
    </row>
    <row r="2" spans="1:1" x14ac:dyDescent="0.2">
      <c r="A2" s="3" t="s">
        <v>286</v>
      </c>
    </row>
    <row r="3" spans="1:1" x14ac:dyDescent="0.2">
      <c r="A3" s="3" t="s">
        <v>287</v>
      </c>
    </row>
    <row r="4" spans="1:1" x14ac:dyDescent="0.2">
      <c r="A4" s="3" t="s">
        <v>64</v>
      </c>
    </row>
    <row r="5" spans="1:1" x14ac:dyDescent="0.2">
      <c r="A5" s="3" t="s">
        <v>288</v>
      </c>
    </row>
    <row r="6" spans="1:1" x14ac:dyDescent="0.2">
      <c r="A6" s="3" t="s">
        <v>289</v>
      </c>
    </row>
    <row r="7" spans="1:1" x14ac:dyDescent="0.2">
      <c r="A7" s="3" t="s">
        <v>225</v>
      </c>
    </row>
    <row r="8" spans="1:1" x14ac:dyDescent="0.2">
      <c r="A8" s="3" t="s">
        <v>226</v>
      </c>
    </row>
  </sheetData>
  <phoneticPr fontId="18" type="noConversion"/>
  <hyperlinks>
    <hyperlink ref="A2" location="'TestInst_SPIROM_32M'!A1" display="TestInst_SPIROM_32M" xr:uid="{00000000-0004-0000-0700-000000000000}"/>
    <hyperlink ref="A3" location="'Flow_Table_Write_SPIROM_main'!A1" display="Flow_Table_Write_SPIROM_main" xr:uid="{00000000-0004-0000-0700-000001000000}"/>
    <hyperlink ref="A4" location="'Flow_Table_Write_SPIROM_32M'!A1" display="Flow_Table_Write_SPIROM_32M" xr:uid="{00000000-0004-0000-0700-000002000000}"/>
    <hyperlink ref="A5" location="'PatSets_SPIROM'!A1" display="PatSets_SPIROM" xr:uid="{00000000-0004-0000-0700-000003000000}"/>
    <hyperlink ref="A6" location="'SpiromCodeFile'!A1" display="SpiromCodeFile" xr:uid="{00000000-0004-0000-0700-000004000000}"/>
    <hyperlink ref="A7" location="'TSB_Write_SPIROM'!A1" display="TSB_Write_SPIROM" xr:uid="{00000000-0004-0000-0700-000005000000}"/>
    <hyperlink ref="A8" location="'Levels_Write_SPIROM'!A1" display="Levels_Write_SPIROM" xr:uid="{00000000-0004-0000-0700-000006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52"/>
  <sheetViews>
    <sheetView workbookViewId="0">
      <selection activeCell="I27" sqref="I27"/>
    </sheetView>
  </sheetViews>
  <sheetFormatPr baseColWidth="10" defaultColWidth="8.83203125" defaultRowHeight="15" x14ac:dyDescent="0.2"/>
  <sheetData>
    <row r="1" spans="1:6" x14ac:dyDescent="0.2">
      <c r="A1" t="s">
        <v>262</v>
      </c>
      <c r="B1" t="s">
        <v>88</v>
      </c>
    </row>
    <row r="3" spans="1:6" x14ac:dyDescent="0.2">
      <c r="B3" t="s">
        <v>238</v>
      </c>
      <c r="C3" t="s">
        <v>263</v>
      </c>
      <c r="D3" t="s">
        <v>19</v>
      </c>
      <c r="E3" t="s">
        <v>264</v>
      </c>
      <c r="F3" t="s">
        <v>42</v>
      </c>
    </row>
    <row r="4" spans="1:6" x14ac:dyDescent="0.2">
      <c r="B4" t="s">
        <v>265</v>
      </c>
      <c r="D4" t="s">
        <v>266</v>
      </c>
      <c r="E4" t="e">
        <f>_SPIROM_POWER</f>
        <v>#NAME?</v>
      </c>
      <c r="F4" t="e">
        <f>_VDD30</f>
        <v>#NAME?</v>
      </c>
    </row>
    <row r="5" spans="1:6" x14ac:dyDescent="0.2">
      <c r="B5" t="s">
        <v>265</v>
      </c>
      <c r="D5" t="s">
        <v>267</v>
      </c>
      <c r="E5">
        <f>0</f>
        <v>0</v>
      </c>
      <c r="F5">
        <v>0</v>
      </c>
    </row>
    <row r="6" spans="1:6" x14ac:dyDescent="0.2">
      <c r="B6" t="s">
        <v>265</v>
      </c>
      <c r="D6" t="s">
        <v>268</v>
      </c>
      <c r="E6">
        <f>0.1</f>
        <v>0.1</v>
      </c>
      <c r="F6">
        <v>0.1</v>
      </c>
    </row>
    <row r="7" spans="1:6" x14ac:dyDescent="0.2">
      <c r="B7" t="s">
        <v>265</v>
      </c>
      <c r="D7" t="s">
        <v>269</v>
      </c>
      <c r="E7">
        <f>0</f>
        <v>0</v>
      </c>
      <c r="F7">
        <v>5.0000000000000001E-3</v>
      </c>
    </row>
    <row r="8" spans="1:6" x14ac:dyDescent="0.2">
      <c r="B8" t="s">
        <v>270</v>
      </c>
      <c r="D8" t="s">
        <v>271</v>
      </c>
      <c r="E8" t="e">
        <f>_SPIROM_POWER*0</f>
        <v>#NAME?</v>
      </c>
      <c r="F8" t="e">
        <f>_VDD30*0</f>
        <v>#NAME?</v>
      </c>
    </row>
    <row r="9" spans="1:6" x14ac:dyDescent="0.2">
      <c r="B9" t="s">
        <v>270</v>
      </c>
      <c r="D9" t="s">
        <v>272</v>
      </c>
      <c r="E9" t="e">
        <f>_SPIROM_POWER*1</f>
        <v>#NAME?</v>
      </c>
      <c r="F9" t="e">
        <f>_VDD30*1</f>
        <v>#NAME?</v>
      </c>
    </row>
    <row r="10" spans="1:6" x14ac:dyDescent="0.2">
      <c r="B10" t="s">
        <v>270</v>
      </c>
      <c r="D10" t="s">
        <v>273</v>
      </c>
      <c r="E10" t="e">
        <f>_SPIROM_POWER*0.5-0.1</f>
        <v>#NAME?</v>
      </c>
      <c r="F10" t="e">
        <f>_VDD30*0.5-0.1</f>
        <v>#NAME?</v>
      </c>
    </row>
    <row r="11" spans="1:6" x14ac:dyDescent="0.2">
      <c r="B11" t="s">
        <v>270</v>
      </c>
      <c r="D11" t="s">
        <v>274</v>
      </c>
      <c r="E11" t="e">
        <f>_SPIROM_POWER*0.5+0.1</f>
        <v>#NAME?</v>
      </c>
      <c r="F11" t="e">
        <f>_VDD30*0.5+0.1</f>
        <v>#NAME?</v>
      </c>
    </row>
    <row r="12" spans="1:6" x14ac:dyDescent="0.2">
      <c r="B12" t="s">
        <v>270</v>
      </c>
      <c r="D12" t="s">
        <v>275</v>
      </c>
      <c r="E12">
        <f>0.001</f>
        <v>1E-3</v>
      </c>
      <c r="F12">
        <v>1E-3</v>
      </c>
    </row>
    <row r="13" spans="1:6" x14ac:dyDescent="0.2">
      <c r="B13" t="s">
        <v>270</v>
      </c>
      <c r="D13" t="s">
        <v>276</v>
      </c>
      <c r="E13">
        <f>-0.001</f>
        <v>-1E-3</v>
      </c>
      <c r="F13">
        <v>-1E-3</v>
      </c>
    </row>
    <row r="14" spans="1:6" x14ac:dyDescent="0.2">
      <c r="B14" t="s">
        <v>270</v>
      </c>
      <c r="D14" t="s">
        <v>277</v>
      </c>
      <c r="E14" t="e">
        <f>_SPIROM_POWER*0.5</f>
        <v>#NAME?</v>
      </c>
      <c r="F14" t="e">
        <f>_VDD30*0.5</f>
        <v>#NAME?</v>
      </c>
    </row>
    <row r="15" spans="1:6" x14ac:dyDescent="0.2">
      <c r="B15" t="s">
        <v>270</v>
      </c>
      <c r="D15" t="s">
        <v>278</v>
      </c>
      <c r="E15" t="e">
        <f>_Vcl_default</f>
        <v>#NAME?</v>
      </c>
      <c r="F15" t="e">
        <f>_Vcl_default</f>
        <v>#NAME?</v>
      </c>
    </row>
    <row r="16" spans="1:6" x14ac:dyDescent="0.2">
      <c r="B16" t="s">
        <v>270</v>
      </c>
      <c r="D16" t="s">
        <v>279</v>
      </c>
      <c r="E16">
        <f>1.98</f>
        <v>1.98</v>
      </c>
      <c r="F16" t="e">
        <f>_SPIROM_PINS_Vch</f>
        <v>#NAME?</v>
      </c>
    </row>
    <row r="17" spans="2:6" x14ac:dyDescent="0.2">
      <c r="B17" t="s">
        <v>270</v>
      </c>
      <c r="D17" t="s">
        <v>280</v>
      </c>
      <c r="E17">
        <f>0</f>
        <v>0</v>
      </c>
      <c r="F17">
        <v>0</v>
      </c>
    </row>
    <row r="18" spans="2:6" x14ac:dyDescent="0.2">
      <c r="B18" t="s">
        <v>270</v>
      </c>
      <c r="D18" t="s">
        <v>281</v>
      </c>
      <c r="E18">
        <f>0</f>
        <v>0</v>
      </c>
      <c r="F18">
        <v>0</v>
      </c>
    </row>
    <row r="19" spans="2:6" x14ac:dyDescent="0.2">
      <c r="B19" t="s">
        <v>270</v>
      </c>
      <c r="D19" t="s">
        <v>282</v>
      </c>
      <c r="E19" t="s">
        <v>283</v>
      </c>
    </row>
    <row r="20" spans="2:6" x14ac:dyDescent="0.2">
      <c r="B20" t="s">
        <v>308</v>
      </c>
      <c r="D20" t="s">
        <v>309</v>
      </c>
      <c r="E20" t="e">
        <f>_Pins_XI0_Diff_GLB*0.5</f>
        <v>#NAME?</v>
      </c>
    </row>
    <row r="21" spans="2:6" x14ac:dyDescent="0.2">
      <c r="B21" t="s">
        <v>308</v>
      </c>
      <c r="D21" t="s">
        <v>310</v>
      </c>
      <c r="E21" t="e">
        <f>_Pins_XI0_Diff_GLB</f>
        <v>#NAME?</v>
      </c>
    </row>
    <row r="22" spans="2:6" x14ac:dyDescent="0.2">
      <c r="B22" t="s">
        <v>308</v>
      </c>
      <c r="D22" t="s">
        <v>311</v>
      </c>
      <c r="E22">
        <f>0</f>
        <v>0</v>
      </c>
    </row>
    <row r="23" spans="2:6" x14ac:dyDescent="0.2">
      <c r="B23" t="s">
        <v>308</v>
      </c>
      <c r="D23" t="s">
        <v>312</v>
      </c>
      <c r="E23">
        <f>0</f>
        <v>0</v>
      </c>
    </row>
    <row r="24" spans="2:6" x14ac:dyDescent="0.2">
      <c r="B24" t="s">
        <v>308</v>
      </c>
      <c r="D24" t="s">
        <v>313</v>
      </c>
      <c r="E24">
        <f>0</f>
        <v>0</v>
      </c>
    </row>
    <row r="25" spans="2:6" x14ac:dyDescent="0.2">
      <c r="B25" t="s">
        <v>308</v>
      </c>
      <c r="D25" t="s">
        <v>314</v>
      </c>
      <c r="E25">
        <f>0</f>
        <v>0</v>
      </c>
    </row>
    <row r="26" spans="2:6" x14ac:dyDescent="0.2">
      <c r="B26" t="s">
        <v>308</v>
      </c>
      <c r="D26" t="s">
        <v>315</v>
      </c>
      <c r="E26">
        <f>0</f>
        <v>0</v>
      </c>
    </row>
    <row r="27" spans="2:6" x14ac:dyDescent="0.2">
      <c r="B27" t="s">
        <v>308</v>
      </c>
      <c r="D27" t="s">
        <v>316</v>
      </c>
      <c r="E27">
        <f>0</f>
        <v>0</v>
      </c>
    </row>
    <row r="28" spans="2:6" x14ac:dyDescent="0.2">
      <c r="B28" t="s">
        <v>308</v>
      </c>
      <c r="D28" t="s">
        <v>317</v>
      </c>
      <c r="E28">
        <f>0</f>
        <v>0</v>
      </c>
    </row>
    <row r="29" spans="2:6" x14ac:dyDescent="0.2">
      <c r="B29" t="s">
        <v>308</v>
      </c>
      <c r="D29" t="s">
        <v>318</v>
      </c>
      <c r="E29">
        <f>0</f>
        <v>0</v>
      </c>
    </row>
    <row r="30" spans="2:6" x14ac:dyDescent="0.2">
      <c r="B30" t="s">
        <v>308</v>
      </c>
      <c r="D30" t="s">
        <v>319</v>
      </c>
      <c r="E30">
        <f>0</f>
        <v>0</v>
      </c>
    </row>
    <row r="31" spans="2:6" x14ac:dyDescent="0.2">
      <c r="B31" t="s">
        <v>308</v>
      </c>
      <c r="D31" t="s">
        <v>275</v>
      </c>
      <c r="E31">
        <f>0</f>
        <v>0</v>
      </c>
    </row>
    <row r="32" spans="2:6" x14ac:dyDescent="0.2">
      <c r="B32" t="s">
        <v>308</v>
      </c>
      <c r="D32" t="s">
        <v>276</v>
      </c>
      <c r="E32">
        <f>0</f>
        <v>0</v>
      </c>
    </row>
    <row r="33" spans="2:5" x14ac:dyDescent="0.2">
      <c r="B33" t="s">
        <v>308</v>
      </c>
      <c r="D33" t="s">
        <v>320</v>
      </c>
      <c r="E33">
        <f>0</f>
        <v>0</v>
      </c>
    </row>
    <row r="34" spans="2:5" x14ac:dyDescent="0.2">
      <c r="B34" t="s">
        <v>308</v>
      </c>
      <c r="D34" t="s">
        <v>321</v>
      </c>
      <c r="E34">
        <f>0</f>
        <v>0</v>
      </c>
    </row>
    <row r="35" spans="2:5" x14ac:dyDescent="0.2">
      <c r="B35" t="s">
        <v>308</v>
      </c>
      <c r="D35" t="s">
        <v>277</v>
      </c>
      <c r="E35">
        <f>0</f>
        <v>0</v>
      </c>
    </row>
    <row r="36" spans="2:5" x14ac:dyDescent="0.2">
      <c r="B36" t="s">
        <v>308</v>
      </c>
      <c r="D36" t="s">
        <v>278</v>
      </c>
      <c r="E36" t="e">
        <f>_Vcl_default</f>
        <v>#NAME?</v>
      </c>
    </row>
    <row r="37" spans="2:5" x14ac:dyDescent="0.2">
      <c r="B37" t="s">
        <v>308</v>
      </c>
      <c r="D37" t="s">
        <v>279</v>
      </c>
      <c r="E37" t="e">
        <f>_Pins_XI0_Diff_GLB*1.1</f>
        <v>#NAME?</v>
      </c>
    </row>
    <row r="38" spans="2:5" x14ac:dyDescent="0.2">
      <c r="B38" t="s">
        <v>308</v>
      </c>
      <c r="D38" t="s">
        <v>282</v>
      </c>
      <c r="E38" t="s">
        <v>284</v>
      </c>
    </row>
    <row r="39" spans="2:5" x14ac:dyDescent="0.2">
      <c r="B39" t="s">
        <v>307</v>
      </c>
      <c r="D39" t="s">
        <v>322</v>
      </c>
      <c r="E39">
        <f>0</f>
        <v>0</v>
      </c>
    </row>
    <row r="40" spans="2:5" x14ac:dyDescent="0.2">
      <c r="B40" t="s">
        <v>307</v>
      </c>
      <c r="D40" t="s">
        <v>323</v>
      </c>
      <c r="E40" t="e">
        <f>_Pins_RT_CLK32768_GLB</f>
        <v>#NAME?</v>
      </c>
    </row>
    <row r="41" spans="2:5" x14ac:dyDescent="0.2">
      <c r="B41" t="s">
        <v>307</v>
      </c>
      <c r="D41" t="s">
        <v>324</v>
      </c>
      <c r="E41" t="e">
        <f>_Pins_RT_CLK32768_GLB*0.5</f>
        <v>#NAME?</v>
      </c>
    </row>
    <row r="42" spans="2:5" x14ac:dyDescent="0.2">
      <c r="B42" t="s">
        <v>307</v>
      </c>
      <c r="D42" t="s">
        <v>325</v>
      </c>
      <c r="E42" t="e">
        <f>_Pins_RT_CLK32768_GLB*0.5</f>
        <v>#NAME?</v>
      </c>
    </row>
    <row r="43" spans="2:5" x14ac:dyDescent="0.2">
      <c r="B43" t="s">
        <v>307</v>
      </c>
      <c r="D43" t="s">
        <v>326</v>
      </c>
      <c r="E43">
        <f>0</f>
        <v>0</v>
      </c>
    </row>
    <row r="44" spans="2:5" x14ac:dyDescent="0.2">
      <c r="B44" t="s">
        <v>307</v>
      </c>
      <c r="D44" t="s">
        <v>327</v>
      </c>
      <c r="E44">
        <f>0</f>
        <v>0</v>
      </c>
    </row>
    <row r="45" spans="2:5" x14ac:dyDescent="0.2">
      <c r="B45" t="s">
        <v>307</v>
      </c>
      <c r="D45" t="s">
        <v>328</v>
      </c>
      <c r="E45">
        <f>0</f>
        <v>0</v>
      </c>
    </row>
    <row r="46" spans="2:5" x14ac:dyDescent="0.2">
      <c r="B46" t="s">
        <v>307</v>
      </c>
      <c r="D46" t="s">
        <v>329</v>
      </c>
      <c r="E46">
        <f>0</f>
        <v>0</v>
      </c>
    </row>
    <row r="47" spans="2:5" x14ac:dyDescent="0.2">
      <c r="B47" t="s">
        <v>307</v>
      </c>
      <c r="D47" t="s">
        <v>330</v>
      </c>
      <c r="E47" t="e">
        <f>_Pins_RT_CLK32768_GLB*0.5</f>
        <v>#NAME?</v>
      </c>
    </row>
    <row r="48" spans="2:5" x14ac:dyDescent="0.2">
      <c r="B48" t="s">
        <v>307</v>
      </c>
      <c r="D48" t="s">
        <v>331</v>
      </c>
      <c r="E48" t="e">
        <f>_Vcl_default</f>
        <v>#NAME?</v>
      </c>
    </row>
    <row r="49" spans="2:5" x14ac:dyDescent="0.2">
      <c r="B49" t="s">
        <v>307</v>
      </c>
      <c r="D49" t="s">
        <v>332</v>
      </c>
      <c r="E49" t="e">
        <f>_Pins_RT_CLK32768_GLB*1.1</f>
        <v>#NAME?</v>
      </c>
    </row>
    <row r="50" spans="2:5" x14ac:dyDescent="0.2">
      <c r="B50" t="s">
        <v>307</v>
      </c>
      <c r="D50" t="s">
        <v>333</v>
      </c>
      <c r="E50">
        <f>0</f>
        <v>0</v>
      </c>
    </row>
    <row r="51" spans="2:5" x14ac:dyDescent="0.2">
      <c r="B51" t="s">
        <v>307</v>
      </c>
      <c r="D51" t="s">
        <v>334</v>
      </c>
      <c r="E51">
        <f>0</f>
        <v>0</v>
      </c>
    </row>
    <row r="52" spans="2:5" x14ac:dyDescent="0.2">
      <c r="B52" t="s">
        <v>307</v>
      </c>
      <c r="D52" t="s">
        <v>335</v>
      </c>
      <c r="E52" t="s">
        <v>336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TestInst_SPIROM_CS</vt:lpstr>
      <vt:lpstr>TestInst_SPIROM</vt:lpstr>
      <vt:lpstr>Flow_Table_Write_SPIROM_main</vt:lpstr>
      <vt:lpstr>Flow_Table_Write_SPIROM</vt:lpstr>
      <vt:lpstr>PatSets_SPIROM</vt:lpstr>
      <vt:lpstr>SpiromCodeFile</vt:lpstr>
      <vt:lpstr>TSB_Write_SPIROM</vt:lpstr>
      <vt:lpstr>LinkSheet</vt:lpstr>
      <vt:lpstr>Levels_Write_SPIROM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詹清龍</dc:creator>
  <cp:lastModifiedBy>Toby McPheeters</cp:lastModifiedBy>
  <dcterms:created xsi:type="dcterms:W3CDTF">2015-12-31T08:11:10Z</dcterms:created>
  <dcterms:modified xsi:type="dcterms:W3CDTF">2025-08-11T05:50:33Z</dcterms:modified>
</cp:coreProperties>
</file>