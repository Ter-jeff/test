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drawings/drawing1.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defaultThemeVersion="166925"/>
  <mc:AlternateContent xmlns:mc="http://schemas.openxmlformats.org/markup-compatibility/2006">
    <mc:Choice Requires="x15">
      <x15ac:absPath xmlns:x15ac="http://schemas.microsoft.com/office/spreadsheetml/2010/11/ac" url="/Users/toby/Desktop/HIDRA/V05A_ENG/"/>
    </mc:Choice>
  </mc:AlternateContent>
  <xr:revisionPtr revIDLastSave="0" documentId="8_{EDE32ED7-2810-DF4C-97B0-0518510330A7}" xr6:coauthVersionLast="47" xr6:coauthVersionMax="47" xr10:uidLastSave="{00000000-0000-0000-0000-000000000000}"/>
  <bookViews>
    <workbookView xWindow="0" yWindow="500" windowWidth="38400" windowHeight="19900" xr2:uid="{78B410F3-246B-B647-87F3-7E3F5A402DDA}"/>
  </bookViews>
  <sheets>
    <sheet name="Revision" sheetId="2" r:id="rId1"/>
    <sheet name="preflow" sheetId="13" r:id="rId2"/>
    <sheet name="BV" sheetId="7" r:id="rId3"/>
    <sheet name="HBV" sheetId="11" r:id="rId4"/>
    <sheet name="PBC" sheetId="12" r:id="rId5"/>
    <sheet name="BinCut Mode Sequence_old_format" sheetId="9" r:id="rId6"/>
  </sheets>
  <definedNames>
    <definedName name="_xlnm._FilterDatabase" localSheetId="5" hidden="1">'BinCut Mode Sequence_old_format'!$A$1:$O$194</definedName>
    <definedName name="_xlnm._FilterDatabase" localSheetId="2" hidden="1">BV!$A$1:$O$160</definedName>
    <definedName name="_xlnm._FilterDatabase" localSheetId="3" hidden="1">HBV!$A$1:$O$13</definedName>
    <definedName name="_xlnm._FilterDatabase" localSheetId="4" hidden="1">PBC!$A$1:$O$21</definedName>
    <definedName name="_xlnm._FilterDatabase" localSheetId="1" hidden="1">preflow!$A$1:$O$2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1" i="12" l="1"/>
  <c r="O20" i="12"/>
  <c r="O19" i="12"/>
  <c r="O18" i="12"/>
  <c r="O17" i="12"/>
  <c r="O16" i="12"/>
  <c r="O15" i="12"/>
  <c r="O14" i="12"/>
  <c r="O13" i="12"/>
  <c r="O12" i="12"/>
  <c r="O11" i="12"/>
  <c r="O10" i="12"/>
  <c r="O9" i="12"/>
  <c r="O8" i="12"/>
  <c r="O7" i="12"/>
  <c r="O6" i="12"/>
  <c r="O5" i="12"/>
  <c r="O4" i="12"/>
  <c r="O3" i="12"/>
  <c r="O2" i="12"/>
  <c r="O13" i="11"/>
  <c r="O12" i="11"/>
  <c r="O11" i="11"/>
  <c r="O10" i="11"/>
  <c r="O9" i="11"/>
  <c r="O8" i="11"/>
  <c r="O7" i="11"/>
  <c r="O6" i="11"/>
  <c r="O5" i="11"/>
  <c r="O4" i="11"/>
  <c r="O3" i="11"/>
  <c r="O2" i="11"/>
  <c r="O194" i="9"/>
  <c r="H194" i="9" s="1"/>
  <c r="O193" i="9"/>
  <c r="G193" i="9" s="1"/>
  <c r="I193" i="9" s="1"/>
  <c r="H193" i="9"/>
  <c r="O192" i="9"/>
  <c r="H192" i="9" s="1"/>
  <c r="G192" i="9"/>
  <c r="O191" i="9"/>
  <c r="H191" i="9"/>
  <c r="G191" i="9"/>
  <c r="I191" i="9" s="1"/>
  <c r="O190" i="9"/>
  <c r="H190" i="9" s="1"/>
  <c r="E190" i="9"/>
  <c r="O189" i="9"/>
  <c r="J189" i="9"/>
  <c r="L189" i="9" s="1"/>
  <c r="I189" i="9"/>
  <c r="K189" i="9" s="1"/>
  <c r="G189" i="9"/>
  <c r="F189" i="9"/>
  <c r="E189" i="9"/>
  <c r="O188" i="9"/>
  <c r="G188" i="9" s="1"/>
  <c r="I188" i="9" s="1"/>
  <c r="H188" i="9"/>
  <c r="O187" i="9"/>
  <c r="H187" i="9" s="1"/>
  <c r="O186" i="9"/>
  <c r="H186" i="9"/>
  <c r="G186" i="9"/>
  <c r="I186" i="9" s="1"/>
  <c r="E186" i="9"/>
  <c r="O185" i="9"/>
  <c r="H185" i="9" s="1"/>
  <c r="O184" i="9"/>
  <c r="H184" i="9"/>
  <c r="J184" i="9" s="1"/>
  <c r="G184" i="9"/>
  <c r="I184" i="9" s="1"/>
  <c r="O183" i="9"/>
  <c r="J183" i="9"/>
  <c r="I183" i="9"/>
  <c r="K183" i="9" s="1"/>
  <c r="O182" i="9"/>
  <c r="H182" i="9"/>
  <c r="G182" i="9"/>
  <c r="I182" i="9" s="1"/>
  <c r="O181" i="9"/>
  <c r="G181" i="9"/>
  <c r="I181" i="9" s="1"/>
  <c r="O180" i="9"/>
  <c r="I180" i="9"/>
  <c r="H180" i="9"/>
  <c r="J180" i="9" s="1"/>
  <c r="G180" i="9"/>
  <c r="O179" i="9"/>
  <c r="G179" i="9" s="1"/>
  <c r="I179" i="9" s="1"/>
  <c r="O178" i="9"/>
  <c r="H178" i="9" s="1"/>
  <c r="O177" i="9"/>
  <c r="H177" i="9"/>
  <c r="G177" i="9"/>
  <c r="I177" i="9" s="1"/>
  <c r="O176" i="9"/>
  <c r="K176" i="9"/>
  <c r="I176" i="9"/>
  <c r="J176" i="9" s="1"/>
  <c r="L176" i="9" s="1"/>
  <c r="O175" i="9"/>
  <c r="G175" i="9"/>
  <c r="I175" i="9" s="1"/>
  <c r="O173" i="9"/>
  <c r="G173" i="9"/>
  <c r="I173" i="9" s="1"/>
  <c r="F173" i="9"/>
  <c r="O172" i="9"/>
  <c r="G172" i="9" s="1"/>
  <c r="I172" i="9" s="1"/>
  <c r="O171" i="9"/>
  <c r="H171" i="9" s="1"/>
  <c r="O170" i="9"/>
  <c r="J170" i="9"/>
  <c r="L170" i="9" s="1"/>
  <c r="H170" i="9"/>
  <c r="G170" i="9"/>
  <c r="I170" i="9" s="1"/>
  <c r="K170" i="9" s="1"/>
  <c r="O169" i="9"/>
  <c r="H169" i="9" s="1"/>
  <c r="J169" i="9" s="1"/>
  <c r="L169" i="9" s="1"/>
  <c r="O168" i="9"/>
  <c r="G168" i="9" s="1"/>
  <c r="I168" i="9" s="1"/>
  <c r="K168" i="9" s="1"/>
  <c r="H168" i="9"/>
  <c r="J168" i="9" s="1"/>
  <c r="L168" i="9" s="1"/>
  <c r="O167" i="9"/>
  <c r="H167" i="9" s="1"/>
  <c r="J167" i="9" s="1"/>
  <c r="L167" i="9" s="1"/>
  <c r="G167" i="9"/>
  <c r="O166" i="9"/>
  <c r="J166" i="9"/>
  <c r="L166" i="9" s="1"/>
  <c r="G166" i="9"/>
  <c r="I166" i="9" s="1"/>
  <c r="K166" i="9" s="1"/>
  <c r="F166" i="9"/>
  <c r="O165" i="9"/>
  <c r="H165" i="9" s="1"/>
  <c r="J165" i="9" s="1"/>
  <c r="L165" i="9" s="1"/>
  <c r="O164" i="9"/>
  <c r="G164" i="9" s="1"/>
  <c r="I164" i="9" s="1"/>
  <c r="K164" i="9" s="1"/>
  <c r="O163" i="9"/>
  <c r="E163" i="9" s="1"/>
  <c r="H163" i="9"/>
  <c r="J163" i="9" s="1"/>
  <c r="L163" i="9" s="1"/>
  <c r="G163" i="9"/>
  <c r="I163" i="9" s="1"/>
  <c r="K163" i="9" s="1"/>
  <c r="O162" i="9"/>
  <c r="H162" i="9" s="1"/>
  <c r="J162" i="9" s="1"/>
  <c r="L162" i="9" s="1"/>
  <c r="G162" i="9"/>
  <c r="I162" i="9" s="1"/>
  <c r="K162" i="9" s="1"/>
  <c r="O160" i="9"/>
  <c r="K160" i="9"/>
  <c r="J160" i="9"/>
  <c r="L160" i="9" s="1"/>
  <c r="I160" i="9"/>
  <c r="O159" i="9"/>
  <c r="L159" i="9"/>
  <c r="K159" i="9"/>
  <c r="J159" i="9"/>
  <c r="I159" i="9"/>
  <c r="O158" i="9"/>
  <c r="L158" i="9"/>
  <c r="J158" i="9"/>
  <c r="I158" i="9"/>
  <c r="K158" i="9" s="1"/>
  <c r="E158" i="9"/>
  <c r="O157" i="9"/>
  <c r="K157" i="9"/>
  <c r="J157" i="9"/>
  <c r="L157" i="9" s="1"/>
  <c r="I157" i="9"/>
  <c r="O156" i="9"/>
  <c r="L156" i="9"/>
  <c r="K156" i="9"/>
  <c r="J156" i="9"/>
  <c r="I156" i="9"/>
  <c r="O155" i="9"/>
  <c r="L155" i="9"/>
  <c r="J155" i="9"/>
  <c r="I155" i="9"/>
  <c r="K155" i="9" s="1"/>
  <c r="O154" i="9"/>
  <c r="E154" i="9" s="1"/>
  <c r="J154" i="9"/>
  <c r="L154" i="9" s="1"/>
  <c r="I154" i="9"/>
  <c r="K154" i="9" s="1"/>
  <c r="O153" i="9"/>
  <c r="L153" i="9"/>
  <c r="K153" i="9"/>
  <c r="J153" i="9"/>
  <c r="I153" i="9"/>
  <c r="O152" i="9"/>
  <c r="L152" i="9"/>
  <c r="J152" i="9"/>
  <c r="I152" i="9"/>
  <c r="K152" i="9" s="1"/>
  <c r="O151" i="9"/>
  <c r="J151" i="9"/>
  <c r="L151" i="9" s="1"/>
  <c r="I151" i="9"/>
  <c r="K151" i="9" s="1"/>
  <c r="O150" i="9"/>
  <c r="K150" i="9"/>
  <c r="J150" i="9"/>
  <c r="L150" i="9" s="1"/>
  <c r="I150" i="9"/>
  <c r="E150" i="9"/>
  <c r="O149" i="9"/>
  <c r="L149" i="9"/>
  <c r="J149" i="9"/>
  <c r="I149" i="9"/>
  <c r="K149" i="9" s="1"/>
  <c r="O148" i="9"/>
  <c r="J148" i="9"/>
  <c r="L148" i="9" s="1"/>
  <c r="I148" i="9"/>
  <c r="K148" i="9" s="1"/>
  <c r="O147" i="9"/>
  <c r="K147" i="9"/>
  <c r="J147" i="9"/>
  <c r="L147" i="9" s="1"/>
  <c r="I147" i="9"/>
  <c r="O146" i="9"/>
  <c r="L146" i="9"/>
  <c r="K146" i="9"/>
  <c r="J146" i="9"/>
  <c r="I146" i="9"/>
  <c r="E146" i="9"/>
  <c r="O145" i="9"/>
  <c r="J145" i="9"/>
  <c r="L145" i="9" s="1"/>
  <c r="I145" i="9"/>
  <c r="K145" i="9" s="1"/>
  <c r="O144" i="9"/>
  <c r="K144" i="9"/>
  <c r="J144" i="9"/>
  <c r="L144" i="9" s="1"/>
  <c r="I144" i="9"/>
  <c r="O143" i="9"/>
  <c r="L143" i="9"/>
  <c r="K143" i="9"/>
  <c r="J143" i="9"/>
  <c r="I143" i="9"/>
  <c r="O142" i="9"/>
  <c r="L142" i="9"/>
  <c r="J142" i="9"/>
  <c r="I142" i="9"/>
  <c r="K142" i="9" s="1"/>
  <c r="E142" i="9"/>
  <c r="O141" i="9"/>
  <c r="K141" i="9"/>
  <c r="J141" i="9"/>
  <c r="L141" i="9" s="1"/>
  <c r="I141" i="9"/>
  <c r="O140" i="9"/>
  <c r="L140" i="9"/>
  <c r="K140" i="9"/>
  <c r="J140" i="9"/>
  <c r="I140" i="9"/>
  <c r="O139" i="9"/>
  <c r="L139" i="9"/>
  <c r="J139" i="9"/>
  <c r="I139" i="9"/>
  <c r="K139" i="9" s="1"/>
  <c r="O138" i="9"/>
  <c r="E138" i="9" s="1"/>
  <c r="J138" i="9"/>
  <c r="L138" i="9" s="1"/>
  <c r="I138" i="9"/>
  <c r="K138" i="9" s="1"/>
  <c r="O137" i="9"/>
  <c r="L137" i="9"/>
  <c r="K137" i="9"/>
  <c r="J137" i="9"/>
  <c r="I137" i="9"/>
  <c r="O136" i="9"/>
  <c r="L136" i="9"/>
  <c r="J136" i="9"/>
  <c r="I136" i="9"/>
  <c r="K136" i="9" s="1"/>
  <c r="O135" i="9"/>
  <c r="J135" i="9"/>
  <c r="L135" i="9" s="1"/>
  <c r="I135" i="9"/>
  <c r="K135" i="9" s="1"/>
  <c r="O134" i="9"/>
  <c r="K134" i="9"/>
  <c r="J134" i="9"/>
  <c r="L134" i="9" s="1"/>
  <c r="I134" i="9"/>
  <c r="E134" i="9"/>
  <c r="O133" i="9"/>
  <c r="L133" i="9"/>
  <c r="J133" i="9"/>
  <c r="I133" i="9"/>
  <c r="K133" i="9" s="1"/>
  <c r="O132" i="9"/>
  <c r="J132" i="9"/>
  <c r="L132" i="9" s="1"/>
  <c r="I132" i="9"/>
  <c r="K132" i="9" s="1"/>
  <c r="O131" i="9"/>
  <c r="K131" i="9"/>
  <c r="J131" i="9"/>
  <c r="L131" i="9" s="1"/>
  <c r="I131" i="9"/>
  <c r="O130" i="9"/>
  <c r="L130" i="9"/>
  <c r="K130" i="9"/>
  <c r="J130" i="9"/>
  <c r="I130" i="9"/>
  <c r="E130" i="9"/>
  <c r="O129" i="9"/>
  <c r="J129" i="9"/>
  <c r="L129" i="9" s="1"/>
  <c r="I129" i="9"/>
  <c r="K129" i="9" s="1"/>
  <c r="O128" i="9"/>
  <c r="K128" i="9"/>
  <c r="J128" i="9"/>
  <c r="L128" i="9" s="1"/>
  <c r="I128" i="9"/>
  <c r="O127" i="9"/>
  <c r="L127" i="9"/>
  <c r="K127" i="9"/>
  <c r="J127" i="9"/>
  <c r="I127" i="9"/>
  <c r="O126" i="9"/>
  <c r="E126" i="9" s="1"/>
  <c r="L126" i="9"/>
  <c r="J126" i="9"/>
  <c r="I126" i="9"/>
  <c r="K126" i="9" s="1"/>
  <c r="O125" i="9"/>
  <c r="K125" i="9"/>
  <c r="J125" i="9"/>
  <c r="L125" i="9" s="1"/>
  <c r="I125" i="9"/>
  <c r="O124" i="9"/>
  <c r="L124" i="9"/>
  <c r="K124" i="9"/>
  <c r="J124" i="9"/>
  <c r="I124" i="9"/>
  <c r="O123" i="9"/>
  <c r="L123" i="9"/>
  <c r="J123" i="9"/>
  <c r="I123" i="9"/>
  <c r="K123" i="9" s="1"/>
  <c r="O122" i="9"/>
  <c r="E122" i="9" s="1"/>
  <c r="J122" i="9"/>
  <c r="L122" i="9" s="1"/>
  <c r="I122" i="9"/>
  <c r="K122" i="9" s="1"/>
  <c r="O121" i="9"/>
  <c r="L121" i="9"/>
  <c r="K121" i="9"/>
  <c r="J121" i="9"/>
  <c r="I121" i="9"/>
  <c r="O120" i="9"/>
  <c r="L120" i="9"/>
  <c r="J120" i="9"/>
  <c r="I120" i="9"/>
  <c r="K120" i="9" s="1"/>
  <c r="E120" i="9"/>
  <c r="O119" i="9"/>
  <c r="K119" i="9"/>
  <c r="J119" i="9"/>
  <c r="L119" i="9" s="1"/>
  <c r="I119" i="9"/>
  <c r="O118" i="9"/>
  <c r="L118" i="9"/>
  <c r="K118" i="9"/>
  <c r="J118" i="9"/>
  <c r="I118" i="9"/>
  <c r="E118" i="9"/>
  <c r="O117" i="9"/>
  <c r="E117" i="9" s="1"/>
  <c r="J117" i="9"/>
  <c r="L117" i="9" s="1"/>
  <c r="I117" i="9"/>
  <c r="K117" i="9" s="1"/>
  <c r="O116" i="9"/>
  <c r="E116" i="9"/>
  <c r="O115" i="9"/>
  <c r="H115" i="9" s="1"/>
  <c r="O114" i="9"/>
  <c r="G114" i="9" s="1"/>
  <c r="I114" i="9" s="1"/>
  <c r="K114" i="9" s="1"/>
  <c r="H114" i="9"/>
  <c r="J114" i="9" s="1"/>
  <c r="L114" i="9" s="1"/>
  <c r="O113" i="9"/>
  <c r="E113" i="9" s="1"/>
  <c r="L113" i="9"/>
  <c r="K113" i="9"/>
  <c r="I113" i="9"/>
  <c r="O112" i="9"/>
  <c r="E112" i="9" s="1"/>
  <c r="H112" i="9"/>
  <c r="J112" i="9" s="1"/>
  <c r="L112" i="9" s="1"/>
  <c r="O111" i="9"/>
  <c r="H111" i="9"/>
  <c r="J111" i="9" s="1"/>
  <c r="L111" i="9" s="1"/>
  <c r="E111" i="9"/>
  <c r="O110" i="9"/>
  <c r="J110" i="9"/>
  <c r="L110" i="9" s="1"/>
  <c r="H110" i="9"/>
  <c r="I110" i="9" s="1"/>
  <c r="K110" i="9" s="1"/>
  <c r="E110" i="9"/>
  <c r="O109" i="9"/>
  <c r="H109" i="9" s="1"/>
  <c r="O108" i="9"/>
  <c r="E108" i="9" s="1"/>
  <c r="H108" i="9"/>
  <c r="J108" i="9" s="1"/>
  <c r="L108" i="9" s="1"/>
  <c r="O107" i="9"/>
  <c r="E107" i="9" s="1"/>
  <c r="G107" i="9"/>
  <c r="I107" i="9" s="1"/>
  <c r="K107" i="9" s="1"/>
  <c r="F107" i="9"/>
  <c r="J107" i="9" s="1"/>
  <c r="L107" i="9" s="1"/>
  <c r="O106" i="9"/>
  <c r="E106" i="9" s="1"/>
  <c r="G106" i="9"/>
  <c r="I106" i="9" s="1"/>
  <c r="K106" i="9" s="1"/>
  <c r="F106" i="9"/>
  <c r="J106" i="9" s="1"/>
  <c r="L106" i="9" s="1"/>
  <c r="O105" i="9"/>
  <c r="L105" i="9"/>
  <c r="J105" i="9"/>
  <c r="G105" i="9"/>
  <c r="I105" i="9" s="1"/>
  <c r="K105" i="9" s="1"/>
  <c r="E105" i="9"/>
  <c r="O104" i="9"/>
  <c r="J104" i="9"/>
  <c r="L104" i="9" s="1"/>
  <c r="G104" i="9"/>
  <c r="I104" i="9" s="1"/>
  <c r="K104" i="9" s="1"/>
  <c r="E104" i="9"/>
  <c r="O103" i="9"/>
  <c r="J103" i="9"/>
  <c r="L103" i="9" s="1"/>
  <c r="I103" i="9"/>
  <c r="K103" i="9" s="1"/>
  <c r="O102" i="9"/>
  <c r="K102" i="9"/>
  <c r="J102" i="9"/>
  <c r="L102" i="9" s="1"/>
  <c r="I102" i="9"/>
  <c r="E102" i="9"/>
  <c r="O101" i="9"/>
  <c r="L101" i="9"/>
  <c r="J101" i="9"/>
  <c r="I101" i="9"/>
  <c r="K101" i="9" s="1"/>
  <c r="O100" i="9"/>
  <c r="E100" i="9" s="1"/>
  <c r="J100" i="9"/>
  <c r="L100" i="9" s="1"/>
  <c r="I100" i="9"/>
  <c r="K100" i="9" s="1"/>
  <c r="O99" i="9"/>
  <c r="L99" i="9"/>
  <c r="K99" i="9"/>
  <c r="J99" i="9"/>
  <c r="I99" i="9"/>
  <c r="O98" i="9"/>
  <c r="L98" i="9"/>
  <c r="J98" i="9"/>
  <c r="I98" i="9"/>
  <c r="K98" i="9" s="1"/>
  <c r="E98" i="9"/>
  <c r="O97" i="9"/>
  <c r="K97" i="9"/>
  <c r="J97" i="9"/>
  <c r="L97" i="9" s="1"/>
  <c r="I97" i="9"/>
  <c r="O96" i="9"/>
  <c r="L96" i="9"/>
  <c r="K96" i="9"/>
  <c r="J96" i="9"/>
  <c r="I96" i="9"/>
  <c r="E96" i="9"/>
  <c r="O95" i="9"/>
  <c r="J95" i="9"/>
  <c r="L95" i="9" s="1"/>
  <c r="I95" i="9"/>
  <c r="K95" i="9" s="1"/>
  <c r="O94" i="9"/>
  <c r="K94" i="9"/>
  <c r="J94" i="9"/>
  <c r="L94" i="9" s="1"/>
  <c r="I94" i="9"/>
  <c r="E94" i="9"/>
  <c r="O93" i="9"/>
  <c r="O92" i="9"/>
  <c r="E92" i="9" s="1"/>
  <c r="O91" i="9"/>
  <c r="E91" i="9" s="1"/>
  <c r="H91" i="9"/>
  <c r="I91" i="9" s="1"/>
  <c r="K91" i="9" s="1"/>
  <c r="O90" i="9"/>
  <c r="E90" i="9" s="1"/>
  <c r="G90" i="9"/>
  <c r="I90" i="9" s="1"/>
  <c r="K90" i="9" s="1"/>
  <c r="F90" i="9"/>
  <c r="J90" i="9" s="1"/>
  <c r="L90" i="9" s="1"/>
  <c r="O89" i="9"/>
  <c r="L89" i="9"/>
  <c r="J89" i="9"/>
  <c r="G89" i="9"/>
  <c r="I89" i="9" s="1"/>
  <c r="K89" i="9" s="1"/>
  <c r="E89" i="9"/>
  <c r="O88" i="9"/>
  <c r="E88" i="9"/>
  <c r="O87" i="9"/>
  <c r="L87" i="9"/>
  <c r="J87" i="9"/>
  <c r="I87" i="9"/>
  <c r="K87" i="9" s="1"/>
  <c r="E87" i="9"/>
  <c r="O86" i="9"/>
  <c r="K86" i="9"/>
  <c r="J86" i="9"/>
  <c r="L86" i="9" s="1"/>
  <c r="I86" i="9"/>
  <c r="E86" i="9"/>
  <c r="O85" i="9"/>
  <c r="E85" i="9"/>
  <c r="O84" i="9"/>
  <c r="K84" i="9"/>
  <c r="J84" i="9"/>
  <c r="L84" i="9" s="1"/>
  <c r="I84" i="9"/>
  <c r="E84" i="9"/>
  <c r="O83" i="9"/>
  <c r="L83" i="9"/>
  <c r="J83" i="9"/>
  <c r="I83" i="9"/>
  <c r="K83" i="9" s="1"/>
  <c r="E83" i="9"/>
  <c r="O82" i="9"/>
  <c r="E82" i="9" s="1"/>
  <c r="O81" i="9"/>
  <c r="L81" i="9"/>
  <c r="J81" i="9"/>
  <c r="I81" i="9"/>
  <c r="K81" i="9" s="1"/>
  <c r="E81" i="9"/>
  <c r="O80" i="9"/>
  <c r="K80" i="9"/>
  <c r="J80" i="9"/>
  <c r="L80" i="9" s="1"/>
  <c r="I80" i="9"/>
  <c r="E80" i="9"/>
  <c r="O79" i="9"/>
  <c r="E79" i="9"/>
  <c r="O78" i="9"/>
  <c r="K78" i="9"/>
  <c r="J78" i="9"/>
  <c r="L78" i="9" s="1"/>
  <c r="I78" i="9"/>
  <c r="E78" i="9"/>
  <c r="O77" i="9"/>
  <c r="L77" i="9"/>
  <c r="J77" i="9"/>
  <c r="I77" i="9"/>
  <c r="K77" i="9" s="1"/>
  <c r="E77" i="9"/>
  <c r="O76" i="9"/>
  <c r="E76" i="9"/>
  <c r="O75" i="9"/>
  <c r="L75" i="9"/>
  <c r="J75" i="9"/>
  <c r="I75" i="9"/>
  <c r="K75" i="9" s="1"/>
  <c r="E75" i="9"/>
  <c r="O74" i="9"/>
  <c r="K74" i="9"/>
  <c r="J74" i="9"/>
  <c r="L74" i="9" s="1"/>
  <c r="I74" i="9"/>
  <c r="E74" i="9"/>
  <c r="O73" i="9"/>
  <c r="E73" i="9"/>
  <c r="O72" i="9"/>
  <c r="K72" i="9"/>
  <c r="J72" i="9"/>
  <c r="L72" i="9" s="1"/>
  <c r="I72" i="9"/>
  <c r="E72" i="9"/>
  <c r="O71" i="9"/>
  <c r="L71" i="9"/>
  <c r="J71" i="9"/>
  <c r="I71" i="9"/>
  <c r="K71" i="9" s="1"/>
  <c r="E71" i="9"/>
  <c r="O70" i="9"/>
  <c r="E70" i="9"/>
  <c r="O69" i="9"/>
  <c r="L69" i="9"/>
  <c r="J69" i="9"/>
  <c r="I69" i="9"/>
  <c r="K69" i="9" s="1"/>
  <c r="E69" i="9"/>
  <c r="O68" i="9"/>
  <c r="K68" i="9"/>
  <c r="J68" i="9"/>
  <c r="L68" i="9" s="1"/>
  <c r="I68" i="9"/>
  <c r="E68" i="9"/>
  <c r="O67" i="9"/>
  <c r="E67" i="9"/>
  <c r="O66" i="9"/>
  <c r="K66" i="9"/>
  <c r="J66" i="9"/>
  <c r="L66" i="9" s="1"/>
  <c r="I66" i="9"/>
  <c r="E66" i="9"/>
  <c r="O65" i="9"/>
  <c r="L65" i="9"/>
  <c r="J65" i="9"/>
  <c r="I65" i="9"/>
  <c r="K65" i="9" s="1"/>
  <c r="E65" i="9"/>
  <c r="O64" i="9"/>
  <c r="E64" i="9" s="1"/>
  <c r="O63" i="9"/>
  <c r="L63" i="9"/>
  <c r="J63" i="9"/>
  <c r="I63" i="9"/>
  <c r="K63" i="9" s="1"/>
  <c r="E63" i="9"/>
  <c r="O62" i="9"/>
  <c r="K62" i="9"/>
  <c r="J62" i="9"/>
  <c r="L62" i="9" s="1"/>
  <c r="I62" i="9"/>
  <c r="E62" i="9"/>
  <c r="O61" i="9"/>
  <c r="E61" i="9"/>
  <c r="O60" i="9"/>
  <c r="K60" i="9"/>
  <c r="J60" i="9"/>
  <c r="L60" i="9" s="1"/>
  <c r="I60" i="9"/>
  <c r="E60" i="9"/>
  <c r="O59" i="9"/>
  <c r="L59" i="9"/>
  <c r="J59" i="9"/>
  <c r="I59" i="9"/>
  <c r="K59" i="9" s="1"/>
  <c r="E59" i="9"/>
  <c r="O58" i="9"/>
  <c r="E58" i="9"/>
  <c r="O57" i="9"/>
  <c r="E57" i="9" s="1"/>
  <c r="H57" i="9"/>
  <c r="O56" i="9"/>
  <c r="H56" i="9"/>
  <c r="E56" i="9"/>
  <c r="O55" i="9"/>
  <c r="E55" i="9"/>
  <c r="O54" i="9"/>
  <c r="E54" i="9" s="1"/>
  <c r="H54" i="9"/>
  <c r="I54" i="9" s="1"/>
  <c r="O53" i="9"/>
  <c r="H53" i="9"/>
  <c r="I53" i="9" s="1"/>
  <c r="E53" i="9"/>
  <c r="O52" i="9"/>
  <c r="E52" i="9" s="1"/>
  <c r="O51" i="9"/>
  <c r="E51" i="9" s="1"/>
  <c r="K51" i="9"/>
  <c r="H51" i="9"/>
  <c r="J51" i="9" s="1"/>
  <c r="L51" i="9" s="1"/>
  <c r="F51" i="9"/>
  <c r="O50" i="9"/>
  <c r="H50" i="9" s="1"/>
  <c r="J50" i="9" s="1"/>
  <c r="L50" i="9" s="1"/>
  <c r="K50" i="9"/>
  <c r="E50" i="9"/>
  <c r="O49" i="9"/>
  <c r="H49" i="9" s="1"/>
  <c r="O48" i="9"/>
  <c r="H48" i="9"/>
  <c r="J48" i="9" s="1"/>
  <c r="L48" i="9" s="1"/>
  <c r="O47" i="9"/>
  <c r="E47" i="9" s="1"/>
  <c r="J47" i="9"/>
  <c r="L47" i="9" s="1"/>
  <c r="I47" i="9"/>
  <c r="K47" i="9" s="1"/>
  <c r="O46" i="9"/>
  <c r="L46" i="9"/>
  <c r="K46" i="9"/>
  <c r="J46" i="9"/>
  <c r="I46" i="9"/>
  <c r="E46" i="9"/>
  <c r="O45" i="9"/>
  <c r="F45" i="9" s="1"/>
  <c r="J45" i="9" s="1"/>
  <c r="L45" i="9" s="1"/>
  <c r="O44" i="9"/>
  <c r="G44" i="9" s="1"/>
  <c r="I44" i="9" s="1"/>
  <c r="K44" i="9" s="1"/>
  <c r="O43" i="9"/>
  <c r="E43" i="9" s="1"/>
  <c r="J43" i="9"/>
  <c r="L43" i="9" s="1"/>
  <c r="I43" i="9"/>
  <c r="K43" i="9" s="1"/>
  <c r="O42" i="9"/>
  <c r="L42" i="9"/>
  <c r="K42" i="9"/>
  <c r="J42" i="9"/>
  <c r="I42" i="9"/>
  <c r="E42" i="9"/>
  <c r="O41" i="9"/>
  <c r="E41" i="9" s="1"/>
  <c r="J41" i="9"/>
  <c r="L41" i="9" s="1"/>
  <c r="I41" i="9"/>
  <c r="K41" i="9" s="1"/>
  <c r="O40" i="9"/>
  <c r="L40" i="9"/>
  <c r="K40" i="9"/>
  <c r="J40" i="9"/>
  <c r="I40" i="9"/>
  <c r="E40" i="9"/>
  <c r="O39" i="9"/>
  <c r="E39" i="9" s="1"/>
  <c r="J39" i="9"/>
  <c r="L39" i="9" s="1"/>
  <c r="I39" i="9"/>
  <c r="K39" i="9" s="1"/>
  <c r="O38" i="9"/>
  <c r="L38" i="9"/>
  <c r="K38" i="9"/>
  <c r="J38" i="9"/>
  <c r="I38" i="9"/>
  <c r="E38" i="9"/>
  <c r="O37" i="9"/>
  <c r="E37" i="9" s="1"/>
  <c r="J37" i="9"/>
  <c r="L37" i="9" s="1"/>
  <c r="I37" i="9"/>
  <c r="K37" i="9" s="1"/>
  <c r="O36" i="9"/>
  <c r="L36" i="9"/>
  <c r="K36" i="9"/>
  <c r="J36" i="9"/>
  <c r="I36" i="9"/>
  <c r="E36" i="9"/>
  <c r="O35" i="9"/>
  <c r="E35" i="9" s="1"/>
  <c r="J35" i="9"/>
  <c r="L35" i="9" s="1"/>
  <c r="I35" i="9"/>
  <c r="K35" i="9" s="1"/>
  <c r="O34" i="9"/>
  <c r="L34" i="9"/>
  <c r="K34" i="9"/>
  <c r="J34" i="9"/>
  <c r="I34" i="9"/>
  <c r="E34" i="9"/>
  <c r="O33" i="9"/>
  <c r="E33" i="9" s="1"/>
  <c r="J33" i="9"/>
  <c r="L33" i="9" s="1"/>
  <c r="I33" i="9"/>
  <c r="K33" i="9" s="1"/>
  <c r="O32" i="9"/>
  <c r="L32" i="9"/>
  <c r="K32" i="9"/>
  <c r="J32" i="9"/>
  <c r="I32" i="9"/>
  <c r="E32" i="9"/>
  <c r="O31" i="9"/>
  <c r="E31" i="9" s="1"/>
  <c r="J31" i="9"/>
  <c r="L31" i="9" s="1"/>
  <c r="I31" i="9"/>
  <c r="K31" i="9" s="1"/>
  <c r="O30" i="9"/>
  <c r="L30" i="9"/>
  <c r="K30" i="9"/>
  <c r="J30" i="9"/>
  <c r="I30" i="9"/>
  <c r="E30" i="9"/>
  <c r="O29" i="9"/>
  <c r="E29" i="9" s="1"/>
  <c r="J29" i="9"/>
  <c r="L29" i="9" s="1"/>
  <c r="I29" i="9"/>
  <c r="K29" i="9" s="1"/>
  <c r="O28" i="9"/>
  <c r="L28" i="9"/>
  <c r="K28" i="9"/>
  <c r="J28" i="9"/>
  <c r="I28" i="9"/>
  <c r="E28" i="9"/>
  <c r="O27" i="9"/>
  <c r="E27" i="9" s="1"/>
  <c r="J27" i="9"/>
  <c r="L27" i="9" s="1"/>
  <c r="I27" i="9"/>
  <c r="K27" i="9" s="1"/>
  <c r="O26" i="9"/>
  <c r="L26" i="9"/>
  <c r="K26" i="9"/>
  <c r="J26" i="9"/>
  <c r="I26" i="9"/>
  <c r="E26" i="9"/>
  <c r="O25" i="9"/>
  <c r="H25" i="9" s="1"/>
  <c r="O24" i="9"/>
  <c r="E24" i="9" s="1"/>
  <c r="H24" i="9"/>
  <c r="I24" i="9" s="1"/>
  <c r="K24" i="9" s="1"/>
  <c r="O23" i="9"/>
  <c r="H23" i="9"/>
  <c r="J23" i="9" s="1"/>
  <c r="L23" i="9" s="1"/>
  <c r="E23" i="9"/>
  <c r="O22" i="9"/>
  <c r="G22" i="9" s="1"/>
  <c r="I22" i="9" s="1"/>
  <c r="K22" i="9" s="1"/>
  <c r="J22" i="9"/>
  <c r="L22" i="9" s="1"/>
  <c r="F22" i="9"/>
  <c r="E22" i="9"/>
  <c r="O21" i="9"/>
  <c r="G21" i="9" s="1"/>
  <c r="I21" i="9" s="1"/>
  <c r="K21" i="9" s="1"/>
  <c r="J21" i="9"/>
  <c r="L21" i="9" s="1"/>
  <c r="F21" i="9"/>
  <c r="E21" i="9"/>
  <c r="O20" i="9"/>
  <c r="K20" i="9"/>
  <c r="J20" i="9"/>
  <c r="L20" i="9" s="1"/>
  <c r="I20" i="9"/>
  <c r="G20" i="9"/>
  <c r="F20" i="9"/>
  <c r="E20" i="9"/>
  <c r="O19" i="9"/>
  <c r="E19" i="9" s="1"/>
  <c r="K19" i="9"/>
  <c r="J19" i="9"/>
  <c r="L19" i="9" s="1"/>
  <c r="I19" i="9"/>
  <c r="O18" i="9"/>
  <c r="L18" i="9"/>
  <c r="J18" i="9"/>
  <c r="I18" i="9"/>
  <c r="K18" i="9" s="1"/>
  <c r="E18" i="9"/>
  <c r="O17" i="9"/>
  <c r="E17" i="9" s="1"/>
  <c r="K17" i="9"/>
  <c r="J17" i="9"/>
  <c r="L17" i="9" s="1"/>
  <c r="I17" i="9"/>
  <c r="O16" i="9"/>
  <c r="L16" i="9"/>
  <c r="J16" i="9"/>
  <c r="I16" i="9"/>
  <c r="K16" i="9" s="1"/>
  <c r="E16" i="9"/>
  <c r="O15" i="9"/>
  <c r="E15" i="9" s="1"/>
  <c r="K15" i="9"/>
  <c r="J15" i="9"/>
  <c r="L15" i="9" s="1"/>
  <c r="I15" i="9"/>
  <c r="O14" i="9"/>
  <c r="L14" i="9"/>
  <c r="J14" i="9"/>
  <c r="I14" i="9"/>
  <c r="K14" i="9" s="1"/>
  <c r="E14" i="9"/>
  <c r="O13" i="9"/>
  <c r="E13" i="9" s="1"/>
  <c r="K13" i="9"/>
  <c r="J13" i="9"/>
  <c r="L13" i="9" s="1"/>
  <c r="I13" i="9"/>
  <c r="O12" i="9"/>
  <c r="L12" i="9"/>
  <c r="J12" i="9"/>
  <c r="I12" i="9"/>
  <c r="K12" i="9" s="1"/>
  <c r="E12" i="9"/>
  <c r="O11" i="9"/>
  <c r="E11" i="9" s="1"/>
  <c r="K11" i="9"/>
  <c r="J11" i="9"/>
  <c r="L11" i="9" s="1"/>
  <c r="I11" i="9"/>
  <c r="O10" i="9"/>
  <c r="L10" i="9"/>
  <c r="J10" i="9"/>
  <c r="I10" i="9"/>
  <c r="K10" i="9" s="1"/>
  <c r="O9" i="9"/>
  <c r="E9" i="9" s="1"/>
  <c r="O8" i="9"/>
  <c r="E8" i="9" s="1"/>
  <c r="H8" i="9"/>
  <c r="I8" i="9" s="1"/>
  <c r="K8" i="9" s="1"/>
  <c r="O7" i="9"/>
  <c r="H7" i="9"/>
  <c r="I7" i="9" s="1"/>
  <c r="K7" i="9" s="1"/>
  <c r="E7" i="9"/>
  <c r="O6" i="9"/>
  <c r="H6" i="9" s="1"/>
  <c r="E6" i="9"/>
  <c r="O5" i="9"/>
  <c r="G5" i="9" s="1"/>
  <c r="I5" i="9" s="1"/>
  <c r="K5" i="9" s="1"/>
  <c r="O4" i="9"/>
  <c r="F4" i="9" s="1"/>
  <c r="J4" i="9" s="1"/>
  <c r="L4" i="9" s="1"/>
  <c r="O3" i="9"/>
  <c r="G3" i="9" s="1"/>
  <c r="I3" i="9" s="1"/>
  <c r="K3" i="9" s="1"/>
  <c r="O2" i="9"/>
  <c r="G2" i="9" s="1"/>
  <c r="I2" i="9" s="1"/>
  <c r="K2" i="9" s="1"/>
  <c r="O160" i="7"/>
  <c r="O159" i="7"/>
  <c r="O158" i="7"/>
  <c r="O157" i="7"/>
  <c r="O156" i="7"/>
  <c r="O155" i="7"/>
  <c r="O154" i="7"/>
  <c r="O153" i="7"/>
  <c r="O152" i="7"/>
  <c r="O151" i="7"/>
  <c r="O150" i="7"/>
  <c r="O149" i="7"/>
  <c r="O148" i="7"/>
  <c r="O147" i="7"/>
  <c r="O146" i="7"/>
  <c r="O145" i="7"/>
  <c r="O144" i="7"/>
  <c r="O143" i="7"/>
  <c r="O142" i="7"/>
  <c r="O141" i="7"/>
  <c r="O140" i="7"/>
  <c r="O139" i="7"/>
  <c r="O138" i="7"/>
  <c r="O137" i="7"/>
  <c r="O136" i="7"/>
  <c r="O135" i="7"/>
  <c r="O134" i="7"/>
  <c r="O133" i="7"/>
  <c r="O132" i="7"/>
  <c r="O131" i="7"/>
  <c r="O130" i="7"/>
  <c r="O129" i="7"/>
  <c r="O128" i="7"/>
  <c r="O127" i="7"/>
  <c r="O126" i="7"/>
  <c r="O125" i="7"/>
  <c r="O124" i="7"/>
  <c r="O123" i="7"/>
  <c r="O122" i="7"/>
  <c r="O121" i="7"/>
  <c r="O120" i="7"/>
  <c r="O119" i="7"/>
  <c r="O118" i="7"/>
  <c r="O117" i="7"/>
  <c r="O116" i="7"/>
  <c r="O115" i="7"/>
  <c r="O114" i="7"/>
  <c r="O113" i="7"/>
  <c r="O112" i="7"/>
  <c r="O111" i="7"/>
  <c r="O110" i="7"/>
  <c r="O109" i="7"/>
  <c r="O108" i="7"/>
  <c r="O107" i="7"/>
  <c r="O106" i="7"/>
  <c r="O105" i="7"/>
  <c r="O104" i="7"/>
  <c r="O103" i="7"/>
  <c r="O102" i="7"/>
  <c r="O101" i="7"/>
  <c r="O100" i="7"/>
  <c r="O99" i="7"/>
  <c r="O98" i="7"/>
  <c r="O97" i="7"/>
  <c r="O96" i="7"/>
  <c r="O95" i="7"/>
  <c r="O94" i="7"/>
  <c r="O93" i="7"/>
  <c r="O92" i="7"/>
  <c r="O91" i="7"/>
  <c r="O90" i="7"/>
  <c r="O89" i="7"/>
  <c r="O88" i="7"/>
  <c r="O87" i="7"/>
  <c r="O86" i="7"/>
  <c r="O85" i="7"/>
  <c r="O84" i="7"/>
  <c r="O83" i="7"/>
  <c r="O82" i="7"/>
  <c r="O81" i="7"/>
  <c r="O80" i="7"/>
  <c r="O79" i="7"/>
  <c r="O78" i="7"/>
  <c r="O77" i="7"/>
  <c r="O76" i="7"/>
  <c r="O75" i="7"/>
  <c r="O74" i="7"/>
  <c r="O73" i="7"/>
  <c r="O72" i="7"/>
  <c r="O71" i="7"/>
  <c r="O70" i="7"/>
  <c r="O69" i="7"/>
  <c r="O68" i="7"/>
  <c r="O67" i="7"/>
  <c r="O66" i="7"/>
  <c r="O65" i="7"/>
  <c r="O64" i="7"/>
  <c r="O63" i="7"/>
  <c r="O62" i="7"/>
  <c r="O61" i="7"/>
  <c r="O60" i="7"/>
  <c r="O59" i="7"/>
  <c r="O58" i="7"/>
  <c r="O57" i="7"/>
  <c r="O56" i="7"/>
  <c r="O55" i="7"/>
  <c r="O54" i="7"/>
  <c r="O53" i="7"/>
  <c r="O52" i="7"/>
  <c r="O51" i="7"/>
  <c r="O50" i="7"/>
  <c r="O49" i="7"/>
  <c r="O48" i="7"/>
  <c r="O47" i="7"/>
  <c r="O46" i="7"/>
  <c r="O45" i="7"/>
  <c r="O44" i="7"/>
  <c r="O43" i="7"/>
  <c r="O42" i="7"/>
  <c r="O41" i="7"/>
  <c r="O40" i="7"/>
  <c r="O39" i="7"/>
  <c r="O38" i="7"/>
  <c r="O37" i="7"/>
  <c r="O36" i="7"/>
  <c r="O35" i="7"/>
  <c r="O34" i="7"/>
  <c r="O33" i="7"/>
  <c r="O32" i="7"/>
  <c r="O31" i="7"/>
  <c r="O30" i="7"/>
  <c r="O29" i="7"/>
  <c r="O28" i="7"/>
  <c r="O27" i="7"/>
  <c r="O26" i="7"/>
  <c r="O25" i="7"/>
  <c r="O24" i="7"/>
  <c r="O23" i="7"/>
  <c r="O22" i="7"/>
  <c r="O21" i="7"/>
  <c r="O20" i="7"/>
  <c r="O19" i="7"/>
  <c r="O18" i="7"/>
  <c r="O17" i="7"/>
  <c r="O16" i="7"/>
  <c r="O15" i="7"/>
  <c r="O14" i="7"/>
  <c r="O13" i="7"/>
  <c r="O12" i="7"/>
  <c r="O11" i="7"/>
  <c r="O10" i="7"/>
  <c r="O9" i="7"/>
  <c r="O8" i="7"/>
  <c r="O7" i="7"/>
  <c r="O6" i="7"/>
  <c r="O5" i="7"/>
  <c r="O4" i="7"/>
  <c r="O3" i="7"/>
  <c r="O2" i="7"/>
  <c r="J186" i="9" l="1"/>
  <c r="I49" i="9"/>
  <c r="K49" i="9" s="1"/>
  <c r="J49" i="9"/>
  <c r="L49" i="9" s="1"/>
  <c r="J177" i="9"/>
  <c r="K177" i="9" s="1"/>
  <c r="J187" i="9"/>
  <c r="J25" i="9"/>
  <c r="L25" i="9" s="1"/>
  <c r="I25" i="9"/>
  <c r="K25" i="9" s="1"/>
  <c r="K182" i="9"/>
  <c r="K191" i="9"/>
  <c r="J191" i="9"/>
  <c r="J171" i="9"/>
  <c r="L171" i="9" s="1"/>
  <c r="I171" i="9"/>
  <c r="K171" i="9" s="1"/>
  <c r="I115" i="9"/>
  <c r="K115" i="9" s="1"/>
  <c r="J115" i="9"/>
  <c r="L115" i="9" s="1"/>
  <c r="J6" i="9"/>
  <c r="L6" i="9" s="1"/>
  <c r="I6" i="9"/>
  <c r="K6" i="9" s="1"/>
  <c r="J182" i="9"/>
  <c r="J57" i="9"/>
  <c r="J172" i="9"/>
  <c r="K172" i="9"/>
  <c r="J178" i="9"/>
  <c r="L183" i="9"/>
  <c r="J188" i="9"/>
  <c r="J181" i="9"/>
  <c r="J179" i="9"/>
  <c r="I192" i="9"/>
  <c r="J192" i="9" s="1"/>
  <c r="I190" i="9"/>
  <c r="J109" i="9"/>
  <c r="L109" i="9" s="1"/>
  <c r="I109" i="9"/>
  <c r="K109" i="9" s="1"/>
  <c r="I167" i="9"/>
  <c r="K167" i="9" s="1"/>
  <c r="J173" i="9"/>
  <c r="K184" i="9"/>
  <c r="K53" i="9"/>
  <c r="L180" i="9"/>
  <c r="L184" i="9"/>
  <c r="J193" i="9"/>
  <c r="K193" i="9" s="1"/>
  <c r="K186" i="9"/>
  <c r="J175" i="9"/>
  <c r="K175" i="9" s="1"/>
  <c r="K180" i="9"/>
  <c r="E4" i="9"/>
  <c r="E45" i="9"/>
  <c r="I57" i="9"/>
  <c r="I108" i="9"/>
  <c r="K108" i="9" s="1"/>
  <c r="G169" i="9"/>
  <c r="I169" i="9" s="1"/>
  <c r="K169" i="9" s="1"/>
  <c r="G4" i="9"/>
  <c r="I4" i="9" s="1"/>
  <c r="K4" i="9" s="1"/>
  <c r="J7" i="9"/>
  <c r="L7" i="9" s="1"/>
  <c r="H9" i="9"/>
  <c r="G45" i="9"/>
  <c r="I45" i="9" s="1"/>
  <c r="K45" i="9" s="1"/>
  <c r="J53" i="9"/>
  <c r="H92" i="9"/>
  <c r="F164" i="9"/>
  <c r="J164" i="9" s="1"/>
  <c r="L164" i="9" s="1"/>
  <c r="G185" i="9"/>
  <c r="I185" i="9" s="1"/>
  <c r="E44" i="9"/>
  <c r="I112" i="9"/>
  <c r="K112" i="9" s="1"/>
  <c r="E3" i="9"/>
  <c r="F3" i="9"/>
  <c r="J3" i="9" s="1"/>
  <c r="L3" i="9" s="1"/>
  <c r="J24" i="9"/>
  <c r="L24" i="9" s="1"/>
  <c r="F44" i="9"/>
  <c r="J44" i="9" s="1"/>
  <c r="L44" i="9" s="1"/>
  <c r="I56" i="9"/>
  <c r="J56" i="9" s="1"/>
  <c r="E109" i="9"/>
  <c r="G178" i="9"/>
  <c r="I178" i="9" s="1"/>
  <c r="G187" i="9"/>
  <c r="I187" i="9" s="1"/>
  <c r="G194" i="9"/>
  <c r="I194" i="9" s="1"/>
  <c r="F2" i="9"/>
  <c r="J2" i="9" s="1"/>
  <c r="L2" i="9" s="1"/>
  <c r="F5" i="9"/>
  <c r="J5" i="9" s="1"/>
  <c r="L5" i="9" s="1"/>
  <c r="J8" i="9"/>
  <c r="L8" i="9" s="1"/>
  <c r="I23" i="9"/>
  <c r="K23" i="9" s="1"/>
  <c r="E25" i="9"/>
  <c r="I48" i="9"/>
  <c r="K48" i="9" s="1"/>
  <c r="J54" i="9"/>
  <c r="J91" i="9"/>
  <c r="L91" i="9" s="1"/>
  <c r="I111" i="9"/>
  <c r="K111" i="9" s="1"/>
  <c r="E115" i="9"/>
  <c r="G165" i="9"/>
  <c r="I165" i="9" s="1"/>
  <c r="K165" i="9" s="1"/>
  <c r="F172" i="9"/>
  <c r="E2" i="9"/>
  <c r="E5" i="9"/>
  <c r="J190" i="9" l="1"/>
  <c r="L182" i="9"/>
  <c r="K57" i="9"/>
  <c r="K185" i="9"/>
  <c r="L173" i="9"/>
  <c r="L181" i="9"/>
  <c r="J185" i="9"/>
  <c r="I9" i="9"/>
  <c r="K9" i="9" s="1"/>
  <c r="J9" i="9"/>
  <c r="L9" i="9" s="1"/>
  <c r="L177" i="9"/>
  <c r="J194" i="9"/>
  <c r="K173" i="9"/>
  <c r="K181" i="9"/>
  <c r="K54" i="9"/>
  <c r="L54" i="9" s="1"/>
  <c r="K187" i="9"/>
  <c r="L187" i="9" s="1"/>
  <c r="J92" i="9"/>
  <c r="L92" i="9" s="1"/>
  <c r="I92" i="9"/>
  <c r="K92" i="9" s="1"/>
  <c r="K56" i="9"/>
  <c r="L56" i="9" s="1"/>
  <c r="L172" i="9"/>
  <c r="K178" i="9"/>
  <c r="L178" i="9" s="1"/>
  <c r="L53" i="9"/>
  <c r="K188" i="9"/>
  <c r="L188" i="9" s="1"/>
  <c r="L193" i="9"/>
  <c r="K192" i="9"/>
  <c r="L192" i="9" s="1"/>
  <c r="L57" i="9"/>
  <c r="K179" i="9"/>
  <c r="L179" i="9" s="1"/>
  <c r="L175" i="9"/>
  <c r="L191" i="9"/>
  <c r="L186" i="9"/>
  <c r="K194" i="9" l="1"/>
  <c r="L194" i="9" s="1"/>
  <c r="L190" i="9"/>
  <c r="K190" i="9"/>
  <c r="L185"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tc={791D783D-4BDF-2347-8CEE-4B391EA5A4E0}</author>
    <author>tc={6C7E95ED-B06E-3340-B311-61639660D375}</author>
    <author>tc={2F68822E-AAD0-4042-876F-018495437664}</author>
    <author>tc={7E1AEF66-AB79-9D4A-BDA3-129A3C848443}</author>
    <author>tc={8BF2ACF9-546F-7940-860B-E002B234140D}</author>
  </authors>
  <commentList>
    <comment ref="A1" authorId="0" shapeId="0" xr:uid="{791D783D-4BDF-2347-8CEE-4B391EA5A4E0}">
      <text>
        <t>[Threaded comment]
Your version of Excel allows you to read this threaded comment; however, any edits to it will get removed if the file is opened in a newer version of Excel. Learn more: https://go.microsoft.com/fwlink/?linkid=870924
Comment:
    Type must match: BV, HBV, or PBV.</t>
      </text>
    </comment>
    <comment ref="B1" authorId="1" shapeId="0" xr:uid="{6C7E95ED-B06E-3340-B311-61639660D375}">
      <text>
        <t>[Threaded comment]
Your version of Excel allows you to read this threaded comment; however, any edits to it will get removed if the file is opened in a newer version of Excel. Learn more: https://go.microsoft.com/fwlink/?linkid=870924
Comment:
    Must match one of:
1) Bincut Performance Mode
2) PBC Performance Mode</t>
      </text>
    </comment>
    <comment ref="C1" authorId="2" shapeId="0" xr:uid="{2F68822E-AAD0-4042-876F-018495437664}">
      <text>
        <t>[Threaded comment]
Your version of Excel allows you to read this threaded comment; however, any edits to it will get removed if the file is opened in a newer version of Excel. Learn more: https://go.microsoft.com/fwlink/?linkid=870924
Comment:
    Must match TestPlan / Instance_sheet / Sub Flow.
Blank cells mean no content to run.</t>
      </text>
    </comment>
    <comment ref="E1" authorId="3" shapeId="0" xr:uid="{7E1AEF66-AB79-9D4A-BDA3-129A3C848443}">
      <text>
        <t>[Threaded comment]
Your version of Excel allows you to read this threaded comment; however, any edits to it will get removed if the file is opened in a newer version of Excel. Learn more: https://go.microsoft.com/fwlink/?linkid=870924
Comment:
    For each insertion, include a column.  “TRUE” means to run this row at this insertion.  Blank means not tested.  Use “Interpolate” if performance mode is interpolated.</t>
      </text>
    </comment>
    <comment ref="O1" authorId="4" shapeId="0" xr:uid="{8BF2ACF9-546F-7940-860B-E002B234140D}">
      <text>
        <t>[Threaded comment]
Your version of Excel allows you to read this threaded comment; however, any edits to it will get removed if the file is opened in a newer version of Excel. Learn more: https://go.microsoft.com/fwlink/?linkid=870924
Comment:
    This is a number used for sorting and organizing rows.  It is NOT used to control flow sequence.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tc={CA1C6AC1-B6D5-4D48-AEAB-5674673060A6}</author>
    <author>tc={87ADF591-9FC7-FD4E-B2C5-11ECA6E2B45B}</author>
    <author>tc={DD44A62E-9BDB-CA49-B45F-2B4DE74695F3}</author>
    <author>tc={7C9A7B21-1E9B-0749-B0FC-870DA47B30C2}</author>
    <author>tc={2840B0EA-702B-6C41-BD86-C313580C92D0}</author>
  </authors>
  <commentList>
    <comment ref="A1" authorId="0" shapeId="0" xr:uid="{CA1C6AC1-B6D5-4D48-AEAB-5674673060A6}">
      <text>
        <t>[Threaded comment]
Your version of Excel allows you to read this threaded comment; however, any edits to it will get removed if the file is opened in a newer version of Excel. Learn more: https://go.microsoft.com/fwlink/?linkid=870924
Comment:
    Type must match: BV, HBV, or PBV.</t>
      </text>
    </comment>
    <comment ref="B1" authorId="1" shapeId="0" xr:uid="{87ADF591-9FC7-FD4E-B2C5-11ECA6E2B45B}">
      <text>
        <t>[Threaded comment]
Your version of Excel allows you to read this threaded comment; however, any edits to it will get removed if the file is opened in a newer version of Excel. Learn more: https://go.microsoft.com/fwlink/?linkid=870924
Comment:
    Must match one of:
1) Bincut Performance Mode
2) PBC Performance Mode</t>
      </text>
    </comment>
    <comment ref="C1" authorId="2" shapeId="0" xr:uid="{DD44A62E-9BDB-CA49-B45F-2B4DE74695F3}">
      <text>
        <t>[Threaded comment]
Your version of Excel allows you to read this threaded comment; however, any edits to it will get removed if the file is opened in a newer version of Excel. Learn more: https://go.microsoft.com/fwlink/?linkid=870924
Comment:
    Must match TestPlan / Instance_sheet / Sub Flow.
Blank cells mean no content to run.</t>
      </text>
    </comment>
    <comment ref="E1" authorId="3" shapeId="0" xr:uid="{7C9A7B21-1E9B-0749-B0FC-870DA47B30C2}">
      <text>
        <t>[Threaded comment]
Your version of Excel allows you to read this threaded comment; however, any edits to it will get removed if the file is opened in a newer version of Excel. Learn more: https://go.microsoft.com/fwlink/?linkid=870924
Comment:
    For each insertion, include a column.  “TRUE” means to run this row at this insertion.  Blank means not tested.  Use “Interpolate” if performance mode is interpolated.</t>
      </text>
    </comment>
    <comment ref="O1" authorId="4" shapeId="0" xr:uid="{2840B0EA-702B-6C41-BD86-C313580C92D0}">
      <text>
        <t>[Threaded comment]
Your version of Excel allows you to read this threaded comment; however, any edits to it will get removed if the file is opened in a newer version of Excel. Learn more: https://go.microsoft.com/fwlink/?linkid=870924
Comment:
    This is a number used for sorting and organizing rows.  It is NOT used to control flow sequence.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tc={EFB5306B-F9E9-CF44-AAF0-FBE2D697161C}</author>
    <author>tc={33B722BA-9025-7A48-963A-755DAE82C1F7}</author>
    <author>tc={D9DF3235-31FD-8046-A57B-9016D2D388D6}</author>
    <author>tc={3F609DAD-D97C-EF4E-993C-939A53F34BBB}</author>
    <author>tc={38744B11-E8E0-754E-B60B-A8367BCAB71B}</author>
  </authors>
  <commentList>
    <comment ref="A1" authorId="0" shapeId="0" xr:uid="{EFB5306B-F9E9-CF44-AAF0-FBE2D697161C}">
      <text>
        <t>[Threaded comment]
Your version of Excel allows you to read this threaded comment; however, any edits to it will get removed if the file is opened in a newer version of Excel. Learn more: https://go.microsoft.com/fwlink/?linkid=870924
Comment:
    Type must match: BV, HBV, or PBV.</t>
      </text>
    </comment>
    <comment ref="B1" authorId="1" shapeId="0" xr:uid="{33B722BA-9025-7A48-963A-755DAE82C1F7}">
      <text>
        <t>[Threaded comment]
Your version of Excel allows you to read this threaded comment; however, any edits to it will get removed if the file is opened in a newer version of Excel. Learn more: https://go.microsoft.com/fwlink/?linkid=870924
Comment:
    Must match one of:
1) Bincut Performance Mode
2) PBC Performance Mode</t>
      </text>
    </comment>
    <comment ref="C1" authorId="2" shapeId="0" xr:uid="{D9DF3235-31FD-8046-A57B-9016D2D388D6}">
      <text>
        <t>[Threaded comment]
Your version of Excel allows you to read this threaded comment; however, any edits to it will get removed if the file is opened in a newer version of Excel. Learn more: https://go.microsoft.com/fwlink/?linkid=870924
Comment:
    Must match TestPlan / Instance_sheet / Sub Flow.
Blank cells mean no content to run.</t>
      </text>
    </comment>
    <comment ref="E1" authorId="3" shapeId="0" xr:uid="{3F609DAD-D97C-EF4E-993C-939A53F34BBB}">
      <text>
        <t>[Threaded comment]
Your version of Excel allows you to read this threaded comment; however, any edits to it will get removed if the file is opened in a newer version of Excel. Learn more: https://go.microsoft.com/fwlink/?linkid=870924
Comment:
    For each insertion, include a column.  “TRUE” means to run this row at this insertion.  Blank means not tested.  Use “Interpolate” if performance mode is interpolated.</t>
      </text>
    </comment>
    <comment ref="O1" authorId="4" shapeId="0" xr:uid="{38744B11-E8E0-754E-B60B-A8367BCAB71B}">
      <text>
        <t>[Threaded comment]
Your version of Excel allows you to read this threaded comment; however, any edits to it will get removed if the file is opened in a newer version of Excel. Learn more: https://go.microsoft.com/fwlink/?linkid=870924
Comment:
    This is a number used for sorting and organizing rows.  It is NOT used to control flow sequence.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tc={A3D49017-5991-A94B-BA97-115034751D76}</author>
    <author>tc={4B9F0448-AADE-EC40-81C5-B24ECC776E42}</author>
    <author>tc={050FE8B8-129E-1C4A-B08C-EDDEAF28715A}</author>
    <author>tc={C1DD1B37-47C0-D84C-B573-BEE1753451A6}</author>
    <author>tc={4157022E-40D6-1945-B9E3-C98A28F45914}</author>
  </authors>
  <commentList>
    <comment ref="A1" authorId="0" shapeId="0" xr:uid="{A3D49017-5991-A94B-BA97-115034751D76}">
      <text>
        <t>[Threaded comment]
Your version of Excel allows you to read this threaded comment; however, any edits to it will get removed if the file is opened in a newer version of Excel. Learn more: https://go.microsoft.com/fwlink/?linkid=870924
Comment:
    Type must match: BV, HBV, or PBV.</t>
      </text>
    </comment>
    <comment ref="B1" authorId="1" shapeId="0" xr:uid="{4B9F0448-AADE-EC40-81C5-B24ECC776E42}">
      <text>
        <t>[Threaded comment]
Your version of Excel allows you to read this threaded comment; however, any edits to it will get removed if the file is opened in a newer version of Excel. Learn more: https://go.microsoft.com/fwlink/?linkid=870924
Comment:
    Must match one of:
1) Bincut Performance Mode
2) PBC Performance Mode</t>
      </text>
    </comment>
    <comment ref="C1" authorId="2" shapeId="0" xr:uid="{050FE8B8-129E-1C4A-B08C-EDDEAF28715A}">
      <text>
        <t>[Threaded comment]
Your version of Excel allows you to read this threaded comment; however, any edits to it will get removed if the file is opened in a newer version of Excel. Learn more: https://go.microsoft.com/fwlink/?linkid=870924
Comment:
    Must match TestPlan / Instance_sheet / Sub Flow.
Blank cells mean no content to run.</t>
      </text>
    </comment>
    <comment ref="E1" authorId="3" shapeId="0" xr:uid="{C1DD1B37-47C0-D84C-B573-BEE1753451A6}">
      <text>
        <t>[Threaded comment]
Your version of Excel allows you to read this threaded comment; however, any edits to it will get removed if the file is opened in a newer version of Excel. Learn more: https://go.microsoft.com/fwlink/?linkid=870924
Comment:
    For each insertion, include a column.  “TRUE” means to run this row at this insertion.  Blank means not tested.  Use “Interpolate” if performance mode is interpolated.</t>
      </text>
    </comment>
    <comment ref="O1" authorId="4" shapeId="0" xr:uid="{4157022E-40D6-1945-B9E3-C98A28F45914}">
      <text>
        <t>[Threaded comment]
Your version of Excel allows you to read this threaded comment; however, any edits to it will get removed if the file is opened in a newer version of Excel. Learn more: https://go.microsoft.com/fwlink/?linkid=870924
Comment:
    This is a number used for sorting and organizing rows.  It is NOT used to control flow sequence.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tc={4F0538A9-6959-1E4F-8810-F39B34A024D6}</author>
    <author>tc={860603DE-EFBE-C848-B7D7-D702B54AE8DA}</author>
    <author>tc={AF371D1C-7BAA-DC4B-A445-FE1087C41C3C}</author>
    <author>tc={4813388D-F414-5843-BF1F-D3DCC95993BD}</author>
    <author>tc={7F35FC0D-4280-FE48-8885-9BFD9C26977A}</author>
  </authors>
  <commentList>
    <comment ref="A1" authorId="0" shapeId="0" xr:uid="{4F0538A9-6959-1E4F-8810-F39B34A024D6}">
      <text>
        <t>[Threaded comment]
Your version of Excel allows you to read this threaded comment; however, any edits to it will get removed if the file is opened in a newer version of Excel. Learn more: https://go.microsoft.com/fwlink/?linkid=870924
Comment:
    Must match: BV, HBV, or PBV.</t>
      </text>
    </comment>
    <comment ref="B1" authorId="1" shapeId="0" xr:uid="{860603DE-EFBE-C848-B7D7-D702B54AE8DA}">
      <text>
        <t>[Threaded comment]
Your version of Excel allows you to read this threaded comment; however, any edits to it will get removed if the file is opened in a newer version of Excel. Learn more: https://go.microsoft.com/fwlink/?linkid=870924
Comment:
    Must match one of:
1) Bincut Performance Mode
2) PBC Performance Mode</t>
      </text>
    </comment>
    <comment ref="C1" authorId="2" shapeId="0" xr:uid="{AF371D1C-7BAA-DC4B-A445-FE1087C41C3C}">
      <text>
        <t>[Threaded comment]
Your version of Excel allows you to read this threaded comment; however, any edits to it will get removed if the file is opened in a newer version of Excel. Learn more: https://go.microsoft.com/fwlink/?linkid=870924
Comment:
    Must match TestPlan / Instance_sheet / Sub Flow.
Blank cells mean no content to run.</t>
      </text>
    </comment>
    <comment ref="E1" authorId="3" shapeId="0" xr:uid="{4813388D-F414-5843-BF1F-D3DCC95993BD}">
      <text>
        <t>[Threaded comment]
Your version of Excel allows you to read this threaded comment; however, any edits to it will get removed if the file is opened in a newer version of Excel. Learn more: https://go.microsoft.com/fwlink/?linkid=870924
Comment:
    For each insertion, include a column.  The numbers in each column ARE used to determine the flow order from lowest to highest.  Recommend to use integers, but decimal are also supported.  Note that numbers in each column (insertion) can be different orders.  Blank means not tested.  Use “interpolate” if performance mode is interpolated.</t>
      </text>
    </comment>
    <comment ref="O1" authorId="4" shapeId="0" xr:uid="{7F35FC0D-4280-FE48-8885-9BFD9C26977A}">
      <text>
        <t>[Threaded comment]
Your version of Excel allows you to read this threaded comment; however, any edits to it will get removed if the file is opened in a newer version of Excel. Learn more: https://go.microsoft.com/fwlink/?linkid=870924
Comment:
    This is a number used for sorting and organizing rows.  It is NOT used to control flow sequence.</t>
      </text>
    </comment>
  </commentList>
</comments>
</file>

<file path=xl/sharedStrings.xml><?xml version="1.0" encoding="utf-8"?>
<sst xmlns="http://schemas.openxmlformats.org/spreadsheetml/2006/main" count="3369" uniqueCount="569">
  <si>
    <t>Performance Mode</t>
  </si>
  <si>
    <t>MS001</t>
  </si>
  <si>
    <t>MS002</t>
  </si>
  <si>
    <t>MS003</t>
  </si>
  <si>
    <t>MD001</t>
  </si>
  <si>
    <t>MD002</t>
  </si>
  <si>
    <t>MD003</t>
  </si>
  <si>
    <t>MD004</t>
  </si>
  <si>
    <t>MD005</t>
  </si>
  <si>
    <t>MI001</t>
  </si>
  <si>
    <t>MI002</t>
  </si>
  <si>
    <t>MI003</t>
  </si>
  <si>
    <t>MG001</t>
  </si>
  <si>
    <t>MG002</t>
  </si>
  <si>
    <t>MG003</t>
  </si>
  <si>
    <t>MG004</t>
  </si>
  <si>
    <t>MG005</t>
  </si>
  <si>
    <t>MG006</t>
  </si>
  <si>
    <t>MG007</t>
  </si>
  <si>
    <t>MG008</t>
  </si>
  <si>
    <t>ME001</t>
  </si>
  <si>
    <t>ME002</t>
  </si>
  <si>
    <t>ME003</t>
  </si>
  <si>
    <t>ME004</t>
  </si>
  <si>
    <t>ME005</t>
  </si>
  <si>
    <t>MP001</t>
  </si>
  <si>
    <t>MP002</t>
  </si>
  <si>
    <t>MP003</t>
  </si>
  <si>
    <t>MP004</t>
  </si>
  <si>
    <t>MP005</t>
  </si>
  <si>
    <t>MP006</t>
  </si>
  <si>
    <t>MP007</t>
  </si>
  <si>
    <t>MP008</t>
  </si>
  <si>
    <t>MP009</t>
  </si>
  <si>
    <t>MP00A</t>
  </si>
  <si>
    <t>MP00B</t>
  </si>
  <si>
    <t>MP00C</t>
  </si>
  <si>
    <t>MP00D</t>
  </si>
  <si>
    <t>PerForce Revision</t>
  </si>
  <si>
    <t>Author</t>
  </si>
  <si>
    <t>Date</t>
  </si>
  <si>
    <t>Change Description</t>
  </si>
  <si>
    <t>CP1</t>
  </si>
  <si>
    <t>CP2</t>
  </si>
  <si>
    <t>ME006</t>
  </si>
  <si>
    <t>ME007</t>
  </si>
  <si>
    <t>Program</t>
  </si>
  <si>
    <t>Silicon</t>
  </si>
  <si>
    <t>A0</t>
  </si>
  <si>
    <t>MD006</t>
  </si>
  <si>
    <t>MS004</t>
  </si>
  <si>
    <t>MG009</t>
  </si>
  <si>
    <t>FT1</t>
  </si>
  <si>
    <t>FT2</t>
  </si>
  <si>
    <t>comment</t>
  </si>
  <si>
    <t>T0TX_ROOM</t>
  </si>
  <si>
    <t>T0TX_HOT</t>
  </si>
  <si>
    <t>RMA_ROOM</t>
  </si>
  <si>
    <t>RMA_HOT</t>
  </si>
  <si>
    <t>MS001_SRT_PBC</t>
  </si>
  <si>
    <t>MP00H_WUS_PBC</t>
  </si>
  <si>
    <t>PBC</t>
  </si>
  <si>
    <t>Index</t>
  </si>
  <si>
    <t>MS005</t>
  </si>
  <si>
    <t>MD007</t>
  </si>
  <si>
    <t>MG00C</t>
  </si>
  <si>
    <t>MG00A</t>
  </si>
  <si>
    <t>MG00B</t>
  </si>
  <si>
    <t>blue</t>
  </si>
  <si>
    <t>orange</t>
  </si>
  <si>
    <t>yellow</t>
  </si>
  <si>
    <t>Color</t>
  </si>
  <si>
    <t>None</t>
  </si>
  <si>
    <t>Low Mode</t>
  </si>
  <si>
    <t>High Mode</t>
  </si>
  <si>
    <t>Mid Mode</t>
  </si>
  <si>
    <t>MP00H</t>
  </si>
  <si>
    <t>ME009_WUS_PBC</t>
  </si>
  <si>
    <t>MS005_SFT_PBC</t>
  </si>
  <si>
    <t>MS005_TD_PBC</t>
  </si>
  <si>
    <t>Low Mode - 59N SP1 SP3 SP5 LATR</t>
  </si>
  <si>
    <t>High Mode - 59N SP1 SP3 SP5 LATRNAMX</t>
  </si>
  <si>
    <t>High Mode - LATR</t>
  </si>
  <si>
    <t>Mid Mode - LATR</t>
  </si>
  <si>
    <t>Low Mode - 59N SP1 SP3 SP4 SP5 LATR</t>
  </si>
  <si>
    <t>High Mode - 59N SP1 SP3 SP4 SP5 LATRNAMX</t>
  </si>
  <si>
    <t>Alan</t>
  </si>
  <si>
    <t>Binning Domain</t>
  </si>
  <si>
    <t>SOC</t>
  </si>
  <si>
    <t>MS001:MSX001 SOC TD</t>
  </si>
  <si>
    <t>MS001:MSX001 SOC BIST</t>
  </si>
  <si>
    <t>MS001_GPU:MSX001 GPU TD</t>
  </si>
  <si>
    <t>MS001_GPU:MSX001 GPU BIST</t>
  </si>
  <si>
    <t>MS005:MSX005 SOC TD</t>
  </si>
  <si>
    <t>MS005:MSX005 SOC BIST MRCL</t>
  </si>
  <si>
    <t>MS005_GPU:MSX005 GPU TD</t>
  </si>
  <si>
    <t>MS005_GPU:MSX005 GPU BIST</t>
  </si>
  <si>
    <t>MS005:MSX005 SOC SBST</t>
  </si>
  <si>
    <t>MS002:MSX002 SOC TD</t>
  </si>
  <si>
    <t>MS002_GPU:MSX002 GPU TD</t>
  </si>
  <si>
    <t>MS002:MSX002 SOC BIST</t>
  </si>
  <si>
    <t>MS003:MSX003 SOC TD</t>
  </si>
  <si>
    <t>MS003_GPU:MSX003 GPU TD</t>
  </si>
  <si>
    <t>MS003:MSX003 SOC BIST</t>
  </si>
  <si>
    <t>MS004:MSX004 SOC TD</t>
  </si>
  <si>
    <t>MS004_GPU:MSX004 GPU TD</t>
  </si>
  <si>
    <t>MS004:MSX004 SOC BIST</t>
  </si>
  <si>
    <t>DCS_DDR</t>
  </si>
  <si>
    <t>MD001:MDX001 SOC TD</t>
  </si>
  <si>
    <t>MD001:MDX001 SOC BIST</t>
  </si>
  <si>
    <t>MD007:MDX007 SOC TD</t>
  </si>
  <si>
    <t>MD007:MDX007 SOC BIST</t>
  </si>
  <si>
    <t>MD002:MDX002 SOC TD</t>
  </si>
  <si>
    <t>MD002:MDX002 SOC BIST</t>
  </si>
  <si>
    <t>MD003:MDX003 SOC TD</t>
  </si>
  <si>
    <t>MD003:MDX003 SOC BIST</t>
  </si>
  <si>
    <t>MD004:MDX004 SOC TD</t>
  </si>
  <si>
    <t>MD004:MDX004 SOC BIST</t>
  </si>
  <si>
    <t>MD005:MDX005 SOC TD</t>
  </si>
  <si>
    <t>MD005:MDX005 SOC BIST</t>
  </si>
  <si>
    <t>MD006:MDX006 SOC TD</t>
  </si>
  <si>
    <t>MD006:MDX006 SOC BIST</t>
  </si>
  <si>
    <t>DISP</t>
  </si>
  <si>
    <t>MI001:MIX001 SOC TD</t>
  </si>
  <si>
    <t>MI001:MIX001 SOC BIST</t>
  </si>
  <si>
    <t>MI003:MIX003 SOC TD</t>
  </si>
  <si>
    <t>MI003:MIX003 SOC BIST</t>
  </si>
  <si>
    <t>MI002:MIX002 SOC TD</t>
  </si>
  <si>
    <t>MI002:MIX002 SOC BIST</t>
  </si>
  <si>
    <t>GPU</t>
  </si>
  <si>
    <t>MG001:MGX001 GPU TD</t>
  </si>
  <si>
    <t>MG001:MGX001 GPU BIST</t>
  </si>
  <si>
    <t>MG00C:MGX00C GPU TD</t>
  </si>
  <si>
    <t>MG00C:MGX00C GPU BIST</t>
  </si>
  <si>
    <t>MG002:MGX002 GPU TD</t>
  </si>
  <si>
    <t>MG002:MGX002 GPU BIST</t>
  </si>
  <si>
    <t>MG003:MGX003 GPU TD</t>
  </si>
  <si>
    <t>MG003:MGX003 GPU BIST</t>
  </si>
  <si>
    <t>MG004:MGX004 GPU TD</t>
  </si>
  <si>
    <t>MG004:MGX004 GPU BIST</t>
  </si>
  <si>
    <t>MG005:MGX005 GPU TD</t>
  </si>
  <si>
    <t>MG005:MGX005 GPU BIST</t>
  </si>
  <si>
    <t>MG006:MGX006 GPU TD</t>
  </si>
  <si>
    <t>MG006:MGX006 GPU BIST</t>
  </si>
  <si>
    <t>MG007:MGX007 GPU TD</t>
  </si>
  <si>
    <t>MG007:MGX007 GPU BIST</t>
  </si>
  <si>
    <t>MG008:MGX008 GPU TD</t>
  </si>
  <si>
    <t>MG008:MGX008 GPU BIST</t>
  </si>
  <si>
    <t>MG009:MGX009 GPU TD</t>
  </si>
  <si>
    <t>MG009:MGX009 GPU BIST</t>
  </si>
  <si>
    <t>MG00A:MGX00A GPU TD</t>
  </si>
  <si>
    <t>MG00A:MGX00A GPU BIST</t>
  </si>
  <si>
    <t>MG00B:MGX00B GPU TD</t>
  </si>
  <si>
    <t>MG00B:MGX00B GPU BIST</t>
  </si>
  <si>
    <t>ECPU</t>
  </si>
  <si>
    <t>ME001:MEX001 CPU TD</t>
  </si>
  <si>
    <t>ME001_CXD:MEX001 CPU BIST</t>
  </si>
  <si>
    <t>ME007:MEX008 CPU TD</t>
  </si>
  <si>
    <t>ME007:MEX009 CPU BIST</t>
  </si>
  <si>
    <t>ME007:MEX007 CPU BIST</t>
  </si>
  <si>
    <t>ME002:MEX002 CPU TD</t>
  </si>
  <si>
    <t>ME002:MEX002 CPU BIST</t>
  </si>
  <si>
    <t>ME003:MEX003 CPU TD</t>
  </si>
  <si>
    <t>ME003:MEX003 CPU BIST</t>
  </si>
  <si>
    <t>ME004:MEX004 CPU TD</t>
  </si>
  <si>
    <t>ME004:MEX004 CPU BIST</t>
  </si>
  <si>
    <t>ME005:MEX005 CPU TD</t>
  </si>
  <si>
    <t>ME005:MEX005 CPU BIST</t>
  </si>
  <si>
    <t>ME006:MEX006 CPU TD</t>
  </si>
  <si>
    <t>ME006:MEX006 CPU BIST</t>
  </si>
  <si>
    <t>PCPU</t>
  </si>
  <si>
    <t>MP001:MPX001 CPU TD</t>
  </si>
  <si>
    <t>MP001:MPX001 SOC TD</t>
  </si>
  <si>
    <t>MP001_CXD:MPX001 CPU BIST</t>
  </si>
  <si>
    <t>MP001:MPX001 SOC BIST</t>
  </si>
  <si>
    <t>MP00D:MPX00F CPU TD</t>
  </si>
  <si>
    <t>MP00D:MPX00D SOC TD</t>
  </si>
  <si>
    <t>MP00D:MPX00E CPU BIST</t>
  </si>
  <si>
    <t>MP00D:MPX00D SOC BIST</t>
  </si>
  <si>
    <t>MP002:MPX002 CPU TD</t>
  </si>
  <si>
    <t>MP002:MPX002 SOC TD</t>
  </si>
  <si>
    <t>MP002:MPX002 CPU BIST</t>
  </si>
  <si>
    <t>MP002:MPX002 SOC BIST</t>
  </si>
  <si>
    <t>MP003:MPX003 CPU TD</t>
  </si>
  <si>
    <t>MP003:MPX003 SOC TD</t>
  </si>
  <si>
    <t>MP003:MPX003 CPU BIST</t>
  </si>
  <si>
    <t>MP003:MPX003 SOC BIST</t>
  </si>
  <si>
    <t>MP004:MPX004 CPU TD</t>
  </si>
  <si>
    <t>MP004:MPX004 SOC TD</t>
  </si>
  <si>
    <t>MP004:MPX004 CPU BIST</t>
  </si>
  <si>
    <t>MP004:MPX004 SOC BIST</t>
  </si>
  <si>
    <t>MP005:MPX005 CPU TD</t>
  </si>
  <si>
    <t>MP005:MPX005 SOC TD</t>
  </si>
  <si>
    <t>MP005:MPX005 CPU BIST</t>
  </si>
  <si>
    <t>MP005:MPX005 SOC BIST</t>
  </si>
  <si>
    <t>MP006:MPX006 CPU TD</t>
  </si>
  <si>
    <t>MP006:MPX006 SOC TD</t>
  </si>
  <si>
    <t>MP006:MPX006 CPU BIST</t>
  </si>
  <si>
    <t>MP006:MPX006 SOC BIST</t>
  </si>
  <si>
    <t>MP007:MPX007 CPU TD</t>
  </si>
  <si>
    <t>MP007:MPX007 SOC TD</t>
  </si>
  <si>
    <t>MP007:MPX007 CPU BIST</t>
  </si>
  <si>
    <t>MP007:MPX007 SOC BIST</t>
  </si>
  <si>
    <t>MP008:MPX008 CPU TD</t>
  </si>
  <si>
    <t>MP008:MPX008 SOC TD</t>
  </si>
  <si>
    <t>MP008:MPX008 CPU BIST</t>
  </si>
  <si>
    <t>MP008:MPX008 SOC BIST</t>
  </si>
  <si>
    <t>MP009:MPX009 CPU TD</t>
  </si>
  <si>
    <t>MP009:MPX009 SOC TD</t>
  </si>
  <si>
    <t>MP009:MPX009 CPU BIST</t>
  </si>
  <si>
    <t>MP009:MPX009 SOC BIST</t>
  </si>
  <si>
    <t>MP00A:MPX00A CPU TD</t>
  </si>
  <si>
    <t>MP00A:MPX00A SOC TD</t>
  </si>
  <si>
    <t>MP00A:MPX00A CPU BIST</t>
  </si>
  <si>
    <t>MP00A:MPX00A SOC BIST</t>
  </si>
  <si>
    <t>MP00B:MPX00B CPU TD</t>
  </si>
  <si>
    <t>MP00B:MPX00B SOC TD</t>
  </si>
  <si>
    <t>MP00B:MPX00B CPU BIST</t>
  </si>
  <si>
    <t>MP00B:MPX00B SOC BIST</t>
  </si>
  <si>
    <t>MP00C:MPX00C CPU TD</t>
  </si>
  <si>
    <t>MP00C:MPX00C SOC TD</t>
  </si>
  <si>
    <t>MP00C:MPX00C CPU BIST</t>
  </si>
  <si>
    <t>MP00C:MPX00C SOC BIST</t>
  </si>
  <si>
    <t>HVCC</t>
  </si>
  <si>
    <t>MP00H:MPX00F CPU TD HBV</t>
  </si>
  <si>
    <t>MP00H:MPX00D SOC TD HBV</t>
  </si>
  <si>
    <t>MS005:MSX005 SOC TD HBV FT2</t>
  </si>
  <si>
    <t>ME009</t>
  </si>
  <si>
    <t>ME009:MEX008 CPU TD HBV</t>
  </si>
  <si>
    <t>SRT + NRT</t>
  </si>
  <si>
    <t>MP00H_24N_PBC</t>
  </si>
  <si>
    <t>ME009_24N_PBC</t>
  </si>
  <si>
    <t>SubFlow</t>
  </si>
  <si>
    <t>Copied from Hidra_BinCut_Mode_Sequence_A0_V01A#11.xlsx</t>
  </si>
  <si>
    <t>V02A</t>
  </si>
  <si>
    <t>Removed FT1 MSX005/MDX007 SOC TD and FT2 MSX001/MDX001 SOC TD</t>
  </si>
  <si>
    <t>Added back MGX00C GPU TD coverage on CP1/CP2/FT2</t>
  </si>
  <si>
    <t>Updated MGX00C HBV to run MGX00C Pmode</t>
  </si>
  <si>
    <t>V03A</t>
  </si>
  <si>
    <t>Fred</t>
  </si>
  <si>
    <t>MP00D:MPX00G CPU BIST</t>
  </si>
  <si>
    <t>MG00C:MGX00C GPU TD HBV</t>
  </si>
  <si>
    <t>MS001_SSBI_PBC</t>
  </si>
  <si>
    <t>Seeded from V02A
– MP00D move CPUBIST from MP00H to MP00G 
– Align with insertion coverage plan 
– Move EXTEST/Domain/SSBI LHM to PBC (FT1/2)
– CP2 EXTEST/Domain/SSBI HBV</t>
  </si>
  <si>
    <t>MS005:MSX005 CPU TD DOMAIN HBV</t>
  </si>
  <si>
    <t>MS001_Domain_PBC</t>
  </si>
  <si>
    <t>MS005_Domain_PBC</t>
  </si>
  <si>
    <t>changed DomainX to MS005 HBV in CP2. Removed from FT1/FT2 HBV
Moved CEXTEST and SSBBIST from FT1/FT2 HBV to PBC</t>
  </si>
  <si>
    <t>alignment with TE and clean up</t>
  </si>
  <si>
    <t>run all Domain# once</t>
  </si>
  <si>
    <t>MP002 / ME003</t>
  </si>
  <si>
    <t>MP001 / ME001</t>
  </si>
  <si>
    <t>MS001_Domain_PBC:MSX001 CPU TD DOMAIN PBC</t>
  </si>
  <si>
    <t>MS005_Domain_PBC:MSX005 CPU TD DOMAIN PBC</t>
  </si>
  <si>
    <t>ME009:MEX008 TD CEXTEST HBV</t>
  </si>
  <si>
    <t>MP00H:MPX00F TD CEXTEST HBV</t>
  </si>
  <si>
    <t>Corrected Pmode names in PBC</t>
  </si>
  <si>
    <t>MS001_SSBI_PBC:MDX001 SOC SBST PBC</t>
  </si>
  <si>
    <t>Changed SBST SubFlow name to be consistent with V02A names</t>
  </si>
  <si>
    <t>Changed SBST SubFlow name in HBV</t>
  </si>
  <si>
    <t>Add Force E1 votlage for NoGFX Harv Bin</t>
  </si>
  <si>
    <t>MG001:Set_E1_Voltage</t>
  </si>
  <si>
    <t>MG00C:Set_E1_Voltage</t>
  </si>
  <si>
    <t>MG002:Set_E1_Voltage</t>
  </si>
  <si>
    <t>MG003:Set_E1_Voltage</t>
  </si>
  <si>
    <t>MG004:Set_E1_Voltage</t>
  </si>
  <si>
    <t>MG005:Set_E1_Voltage</t>
  </si>
  <si>
    <t>MG006:Set_E1_Voltage</t>
  </si>
  <si>
    <t>MG007:Set_E1_Voltage</t>
  </si>
  <si>
    <t>MG008:Set_E1_Voltage</t>
  </si>
  <si>
    <t>MG009:Set_E1_Voltage</t>
  </si>
  <si>
    <t>MG00A:Set_E1_Voltage</t>
  </si>
  <si>
    <t>MG00B:Set_E1_Voltage</t>
  </si>
  <si>
    <t>Updated FT PBC back to EQN-based indexing</t>
  </si>
  <si>
    <t>Updated MDS057 SBST in PBC to use MD007 SSBI PBC voltage condition</t>
  </si>
  <si>
    <t>MP001_CEXTEST_PBC</t>
  </si>
  <si>
    <t>MP001_CEXTEST_PBC:MPX001 TD CEXTEST PBC</t>
  </si>
  <si>
    <t>MP00H_CEXTEST_PBC</t>
  </si>
  <si>
    <t>MP00H_CEXTEST_PBC:MPX00F TD CEXTEST PBC</t>
  </si>
  <si>
    <t>ME001_CEXTEST_PBC</t>
  </si>
  <si>
    <t>ME001_CEXTEST_PBC:MEX001 TD CEXTEST PBC</t>
  </si>
  <si>
    <t>ME009_CEXTEST_PBC</t>
  </si>
  <si>
    <t>ME009_CEXTEST_PBC:MEX008 TD CEXTEST PBC</t>
  </si>
  <si>
    <t>Updated CEXTEXT PBC Pmode names to match PBC Table. Removed ECPU WUS in PBC</t>
  </si>
  <si>
    <t>Added SOC DCS TD PBC SubFlows for FT2 data collection.</t>
  </si>
  <si>
    <t>Added MGX001 TD and BIST coverage in FT2</t>
  </si>
  <si>
    <t>Added a 2nd MGX001 after MGX00C for FT2 for autogen compatiblity</t>
  </si>
  <si>
    <t>Remove MG001 coverage from FT1</t>
  </si>
  <si>
    <t>B0</t>
  </si>
  <si>
    <t>V04A</t>
  </si>
  <si>
    <t>Updated for B0</t>
  </si>
  <si>
    <t>Low Mode - UNC TD Low/High Modes only</t>
  </si>
  <si>
    <t>High Mode - UNC TD Low/High Modes only</t>
  </si>
  <si>
    <t>MD008</t>
  </si>
  <si>
    <t>MD008:MDX008 SOC TD</t>
  </si>
  <si>
    <t>MD008:MDX008 SOC BIST</t>
  </si>
  <si>
    <t>MG00D</t>
  </si>
  <si>
    <t>MG00D:MGX00D GPU TD</t>
  </si>
  <si>
    <t>MG00D:MGX00D GPU BIST</t>
  </si>
  <si>
    <t>MG00D:Set_E1_Voltage</t>
  </si>
  <si>
    <t>MP00I</t>
  </si>
  <si>
    <t>MP00J_WUS_PBC</t>
  </si>
  <si>
    <t>MP00J_24N_PBC</t>
  </si>
  <si>
    <t>MD008_SSBI_PBC</t>
  </si>
  <si>
    <t>MD008_SSBI_PBC:MDX008 SOC SBST PBC</t>
  </si>
  <si>
    <t>MD008_SSBI_PBC:MDS058 SOC SBST PBC</t>
  </si>
  <si>
    <t>PCPU Turbo only</t>
  </si>
  <si>
    <t>Turbo</t>
  </si>
  <si>
    <t>Turbo - 59N SP1 SP3 SP4 SP5 LATRNAMX</t>
  </si>
  <si>
    <t>Added Enable Word to control Turbo vs Non-Turbo execution</t>
  </si>
  <si>
    <t>Removed Enable Word to control Turbo vs Non-Turbo execution (added control in Test Instance)</t>
  </si>
  <si>
    <t>Updated Turbo anticipated pattern alignment</t>
  </si>
  <si>
    <t>MP00I:MPX00L CPU TD</t>
  </si>
  <si>
    <t>Turbo - CPUTD 1P DIV133</t>
  </si>
  <si>
    <t>MS001_CXT_PBC</t>
  </si>
  <si>
    <t>MS005_CXT_PBC</t>
  </si>
  <si>
    <r>
      <t>MS005:</t>
    </r>
    <r>
      <rPr>
        <b/>
        <sz val="12"/>
        <color rgb="FFFF0000"/>
        <rFont val="Courier New"/>
        <family val="1"/>
      </rPr>
      <t>MDS058</t>
    </r>
    <r>
      <rPr>
        <sz val="12"/>
        <rFont val="Courier New"/>
        <family val="1"/>
      </rPr>
      <t xml:space="preserve"> SOC SBST HBV</t>
    </r>
  </si>
  <si>
    <t>Moved CP2 Turbo to PBC for No Binout data collection. Added SOC CXT PBC.</t>
  </si>
  <si>
    <t>Update PBC SubFlow Names</t>
  </si>
  <si>
    <t>added PCPU / GPU HBV for turbo</t>
  </si>
  <si>
    <t>MP00J</t>
  </si>
  <si>
    <t>MP00J:MPX00I CPU TD HBV</t>
  </si>
  <si>
    <t>Turbo Only, CPUTD 1P DIV133 only</t>
  </si>
  <si>
    <t>MG00D:MGX00D GPU TD HBV</t>
  </si>
  <si>
    <t>Turbo Only</t>
  </si>
  <si>
    <t>ME009:MEX007 CPU BIST LATR HBV</t>
  </si>
  <si>
    <t>MP00I:MPX00L CPU BIST</t>
  </si>
  <si>
    <t>remove LATR from BV above ME002, added LATR to HBV; updated PCPU Turbo BIST</t>
  </si>
  <si>
    <t>Added MSX001 SOC CUX PBC in CP1, FT1, FT2</t>
  </si>
  <si>
    <t>MS001_SRT_PBC:MSX001 BIST SRT PBC</t>
  </si>
  <si>
    <t>MS005_SFT_PBC:MSX005 BIST SFT PBC</t>
  </si>
  <si>
    <t>MP00H_WUS_PBC:MPX00H BIST WUS PBC</t>
  </si>
  <si>
    <t>MP00H_24N_PBC:MPX00H BIST 24N PBC</t>
  </si>
  <si>
    <t>MP00J_WUS_PBC:MPX00L BIST WUS PBC</t>
  </si>
  <si>
    <t>MP00J_24N_PBC:MPX00L BIST 24N PBC</t>
  </si>
  <si>
    <t>ME009_WUS_PBC:MEX009 BIST WUS PBC</t>
  </si>
  <si>
    <t>ME009_24N_PBC:MEX009 BIST 24N PBC</t>
  </si>
  <si>
    <t>MS005_TD_PBC:MSX001 SOC TD CUX PBC</t>
  </si>
  <si>
    <t>MS001_CXT_PBC:MSX001 SOC TD CXT PBC</t>
  </si>
  <si>
    <t>MS005_CXT_PBC:MSX005 SOC TD CXT PBC</t>
  </si>
  <si>
    <t>Added keywords "TD" and "BIST" to PBC SubFlow names</t>
  </si>
  <si>
    <t>Enable</t>
  </si>
  <si>
    <t>Move Enable to new column.</t>
  </si>
  <si>
    <t>Toby</t>
  </si>
  <si>
    <t>F_GFX0_X_GFXALL</t>
  </si>
  <si>
    <t>Update GFXALL flag name to match TestPlan</t>
  </si>
  <si>
    <t>Add MIX001 SOC TD to PBC for data collection</t>
  </si>
  <si>
    <t>MD001:MDX001 HIP</t>
  </si>
  <si>
    <t>MD008:MDX008 HIP</t>
  </si>
  <si>
    <t>MD002:MDX002 HIP</t>
  </si>
  <si>
    <t>MD003:MDX003 HIP</t>
  </si>
  <si>
    <t>MD004:MDX004 HIP</t>
  </si>
  <si>
    <t>MD005:MDX005 HIP</t>
  </si>
  <si>
    <t>MD006:MDX006 HIP</t>
  </si>
  <si>
    <t>MD007:MDX007 HIP</t>
  </si>
  <si>
    <t>Change "DCS ELB" to "HIP".  Use HIP TTR Table for content enablement.  T-autogen.</t>
  </si>
  <si>
    <t>V05A</t>
  </si>
  <si>
    <t>MP00I:MPX00I CPU TD</t>
  </si>
  <si>
    <t>PCPU MPX00I CP1 BV changed to 1P DIV133 (MPX00L), remove MDX001/8 CDD / MIX001 from PBC</t>
  </si>
  <si>
    <t>MP00I:Set_E1_Voltage</t>
  </si>
  <si>
    <t>Fuse E1 to MP00I if PCPU Turbo Down Binned (Outside TD)</t>
  </si>
  <si>
    <t>Add Flag to Fuse E1 Votlage for PCPU Turbo downbin dies.  Enable missing GPU E1 Fusing for NoGFX dies</t>
  </si>
  <si>
    <t>F_Cpu_Td_MPX00L_LV</t>
  </si>
  <si>
    <t>Interpolate</t>
  </si>
  <si>
    <t>none</t>
  </si>
  <si>
    <t>Moved interpolated modes to the end of each domain. Removed unused BV SubFlow Calls. Moved MG001 before MG00D in FT2. Removed CP2 MG00D TD</t>
  </si>
  <si>
    <t>Extrapolate</t>
  </si>
  <si>
    <t>Moved extrapolated MI003 mode to the end of DISP domain.</t>
  </si>
  <si>
    <t>Corrected ME006 as a tested mode</t>
  </si>
  <si>
    <t>remove SOCBIST from MP003~C and LATR from MP002~C</t>
  </si>
  <si>
    <t>Remove MI003 calls from CP1 to suport Exrapolation autogen syntax</t>
  </si>
  <si>
    <t>Remove MP001/ME001/MG001 TD SubFlow calls in CP2</t>
  </si>
  <si>
    <t>seeded from V05A, removed CPUTD from MP003 til MP00C, added interpolation for PCPU</t>
  </si>
  <si>
    <t>TTR on FT1/2 SRT / SFT / WUS</t>
  </si>
  <si>
    <t>added MP00C back to not interpolate</t>
  </si>
  <si>
    <t>Moved interpolated PCPU modes to end of PCPU flow</t>
  </si>
  <si>
    <t>MSX001 SOC TD</t>
  </si>
  <si>
    <t>MSX001 SOC BIST</t>
  </si>
  <si>
    <t>MS001_GPU</t>
  </si>
  <si>
    <t>MSX001 GPU TD</t>
  </si>
  <si>
    <t>MSX001 GPU BIST</t>
  </si>
  <si>
    <t>MSX005 SOC TD</t>
  </si>
  <si>
    <t>MSX005 SOC BIST MRCL</t>
  </si>
  <si>
    <t>MS005_GPU</t>
  </si>
  <si>
    <t>MSX005 GPU TD</t>
  </si>
  <si>
    <t>MSX005 GPU BIST</t>
  </si>
  <si>
    <t>MSX005 SOC SBST</t>
  </si>
  <si>
    <t>MSX003 SOC TD</t>
  </si>
  <si>
    <t>MS003_GPU</t>
  </si>
  <si>
    <t>MSX003 GPU TD</t>
  </si>
  <si>
    <t>MSX003 SOC BIST</t>
  </si>
  <si>
    <t>MSX002 SOC TD</t>
  </si>
  <si>
    <t>MS002_GPU</t>
  </si>
  <si>
    <t>MSX002 GPU TD</t>
  </si>
  <si>
    <t>MSX002 SOC BIST</t>
  </si>
  <si>
    <t>MSX004 SOC TD</t>
  </si>
  <si>
    <t>MS004_GPU</t>
  </si>
  <si>
    <t>MSX004 GPU TD</t>
  </si>
  <si>
    <t>MSX004 SOC BIST</t>
  </si>
  <si>
    <t>MDX001 SOC TD</t>
  </si>
  <si>
    <t>MDX001 SOC BIST</t>
  </si>
  <si>
    <t>MDX001 HIP</t>
  </si>
  <si>
    <t>MDX008 SOC TD</t>
  </si>
  <si>
    <t>MDX008 SOC BIST</t>
  </si>
  <si>
    <t>MDX008 HIP</t>
  </si>
  <si>
    <t>MDX002 SOC TD</t>
  </si>
  <si>
    <t>MDX002 SOC BIST</t>
  </si>
  <si>
    <t>MDX002 HIP</t>
  </si>
  <si>
    <t>MDX005 SOC TD</t>
  </si>
  <si>
    <t>MDX005 SOC BIST</t>
  </si>
  <si>
    <t>MDX005 HIP</t>
  </si>
  <si>
    <t>MDX003 SOC TD</t>
  </si>
  <si>
    <t>MDX003 SOC BIST</t>
  </si>
  <si>
    <t>MDX003 HIP</t>
  </si>
  <si>
    <t>MDX004 SOC TD</t>
  </si>
  <si>
    <t>MDX004 SOC BIST</t>
  </si>
  <si>
    <t>MDX004 HIP</t>
  </si>
  <si>
    <t>MDX006 SOC TD</t>
  </si>
  <si>
    <t>MDX006 SOC BIST</t>
  </si>
  <si>
    <t>MDX006 HIP</t>
  </si>
  <si>
    <t>MDX007 SOC TD</t>
  </si>
  <si>
    <t>MDX007 SOC BIST</t>
  </si>
  <si>
    <t>MDX007 HIP</t>
  </si>
  <si>
    <t>MIX001 SOC TD</t>
  </si>
  <si>
    <t>MIX001 SOC BIST</t>
  </si>
  <si>
    <t>MIX002 SOC TD</t>
  </si>
  <si>
    <t>MIX002 SOC BIST</t>
  </si>
  <si>
    <t>MIX003 SOC TD</t>
  </si>
  <si>
    <t>MIX003 SOC BIST</t>
  </si>
  <si>
    <t>MGX001 GPU TD</t>
  </si>
  <si>
    <t>MGX001 GPU BIST</t>
  </si>
  <si>
    <t>Set_E1_Voltage</t>
  </si>
  <si>
    <t>MGX00C GPU TD</t>
  </si>
  <si>
    <t>MGX00C GPU BIST</t>
  </si>
  <si>
    <t>MGX00D GPU TD</t>
  </si>
  <si>
    <t>MGX00D GPU BIST</t>
  </si>
  <si>
    <t>MGX003 GPU TD</t>
  </si>
  <si>
    <t>MGX003 GPU BIST</t>
  </si>
  <si>
    <t>MGX007 GPU TD</t>
  </si>
  <si>
    <t>MGX007 GPU BIST</t>
  </si>
  <si>
    <t>MGX002 GPU TD</t>
  </si>
  <si>
    <t>MGX002 GPU BIST</t>
  </si>
  <si>
    <t>MGX004 GPU TD</t>
  </si>
  <si>
    <t>MGX004 GPU BIST</t>
  </si>
  <si>
    <t>MGX005 GPU TD</t>
  </si>
  <si>
    <t>MGX005 GPU BIST</t>
  </si>
  <si>
    <t>MGX006 GPU TD</t>
  </si>
  <si>
    <t>MGX006 GPU BIST</t>
  </si>
  <si>
    <t>MGX008 GPU TD</t>
  </si>
  <si>
    <t>MGX008 GPU BIST</t>
  </si>
  <si>
    <t>MGX009 GPU TD</t>
  </si>
  <si>
    <t>MGX009 GPU BIST</t>
  </si>
  <si>
    <t>MGX00A GPU TD</t>
  </si>
  <si>
    <t>MGX00A GPU BIST</t>
  </si>
  <si>
    <t>MGX00B GPU TD</t>
  </si>
  <si>
    <t>MGX00B GPU BIST</t>
  </si>
  <si>
    <t>MEX001 CPU TD</t>
  </si>
  <si>
    <t>ME001_CXD</t>
  </si>
  <si>
    <t>MEX001 CPU BIST</t>
  </si>
  <si>
    <t>MEX008 CPU TD</t>
  </si>
  <si>
    <t>MEX009 CPU BIST</t>
  </si>
  <si>
    <t>MEX007 CPU BIST</t>
  </si>
  <si>
    <t>MEX003 CPU TD</t>
  </si>
  <si>
    <t>MEX003 CPU BIST</t>
  </si>
  <si>
    <t>MEX006 CPU TD</t>
  </si>
  <si>
    <t>MEX006 CPU BIST</t>
  </si>
  <si>
    <t>MEX002 CPU TD</t>
  </si>
  <si>
    <t>MEX002 CPU BIST</t>
  </si>
  <si>
    <t>MEX004 CPU TD</t>
  </si>
  <si>
    <t>MEX004 CPU BIST</t>
  </si>
  <si>
    <t>MEX005 CPU TD</t>
  </si>
  <si>
    <t>MEX005 CPU BIST</t>
  </si>
  <si>
    <t>MPX001 CPU TD</t>
  </si>
  <si>
    <t>MPX001 SOC TD</t>
  </si>
  <si>
    <t>MP001_CXD</t>
  </si>
  <si>
    <t>MPX001 CPU BIST</t>
  </si>
  <si>
    <t>MPX001 SOC BIST</t>
  </si>
  <si>
    <t>MPX00F CPU TD</t>
  </si>
  <si>
    <t>MPX00D SOC TD</t>
  </si>
  <si>
    <t>MPX00E CPU BIST</t>
  </si>
  <si>
    <t>MPX00D SOC BIST</t>
  </si>
  <si>
    <t>MPX00G CPU BIST</t>
  </si>
  <si>
    <t>MPX00L CPU TD</t>
  </si>
  <si>
    <t>MPX00I CPU TD</t>
  </si>
  <si>
    <t>MPX00L CPU BIST</t>
  </si>
  <si>
    <t>MPX002 CPU TD</t>
  </si>
  <si>
    <t>MPX002 SOC TD</t>
  </si>
  <si>
    <t>MPX002 CPU BIST</t>
  </si>
  <si>
    <t>MPX002 SOC BIST</t>
  </si>
  <si>
    <t>MPX005 CPU TD</t>
  </si>
  <si>
    <t>MPX005 SOC TD</t>
  </si>
  <si>
    <t>MPX005 CPU BIST</t>
  </si>
  <si>
    <t>MPX005 SOC BIST</t>
  </si>
  <si>
    <t>MPX008 CPU TD</t>
  </si>
  <si>
    <t>MPX008 SOC TD</t>
  </si>
  <si>
    <t>MPX008 CPU BIST</t>
  </si>
  <si>
    <t>MPX008 SOC BIST</t>
  </si>
  <si>
    <t>MPX00B CPU TD</t>
  </si>
  <si>
    <t>MPX00B SOC TD</t>
  </si>
  <si>
    <t>MPX00B CPU BIST</t>
  </si>
  <si>
    <t>MPX00B SOC BIST</t>
  </si>
  <si>
    <t>MPX00C CPU TD</t>
  </si>
  <si>
    <t>MPX00C SOC TD</t>
  </si>
  <si>
    <t>MPX00C CPU BIST</t>
  </si>
  <si>
    <t>MPX00C SOC BIST</t>
  </si>
  <si>
    <t>MPX003 CPU TD</t>
  </si>
  <si>
    <t>MPX003 SOC TD</t>
  </si>
  <si>
    <t>MPX003 CPU BIST</t>
  </si>
  <si>
    <t>MPX003 SOC BIST</t>
  </si>
  <si>
    <t>MPX004 CPU TD</t>
  </si>
  <si>
    <t>MPX004 SOC TD</t>
  </si>
  <si>
    <t>MPX004 CPU BIST</t>
  </si>
  <si>
    <t>MPX004 SOC BIST</t>
  </si>
  <si>
    <t>MPX006 CPU TD</t>
  </si>
  <si>
    <t>MPX006 SOC TD</t>
  </si>
  <si>
    <t>MPX006 CPU BIST</t>
  </si>
  <si>
    <t>MPX006 SOC BIST</t>
  </si>
  <si>
    <t>MPX007 CPU TD</t>
  </si>
  <si>
    <t>MPX007 SOC TD</t>
  </si>
  <si>
    <t>MPX007 CPU BIST</t>
  </si>
  <si>
    <t>MPX007 SOC BIST</t>
  </si>
  <si>
    <t>MPX009 CPU TD</t>
  </si>
  <si>
    <t>MPX009 SOC TD</t>
  </si>
  <si>
    <t>MPX009 CPU BIST</t>
  </si>
  <si>
    <t>MPX009 SOC BIST</t>
  </si>
  <si>
    <t>MPX00A CPU TD</t>
  </si>
  <si>
    <t>MPX00A SOC TD</t>
  </si>
  <si>
    <t>MPX00A CPU BIST</t>
  </si>
  <si>
    <t>MPX00A SOC BIST</t>
  </si>
  <si>
    <t>MEX008 CPU TD HBV</t>
  </si>
  <si>
    <t>MEX007 CPU BIST LATR HBV</t>
  </si>
  <si>
    <t>MEX008 TD CEXTEST HBV</t>
  </si>
  <si>
    <t>MPX00F CPU TD HBV</t>
  </si>
  <si>
    <t>MPX00F TD CEXTEST HBV</t>
  </si>
  <si>
    <t>MPX00D SOC TD HBV</t>
  </si>
  <si>
    <t>MPX00I CPU TD HBV</t>
  </si>
  <si>
    <t>MGX00C GPU TD HBV</t>
  </si>
  <si>
    <t>MGX00D GPU TD HBV</t>
  </si>
  <si>
    <t>MSX005 SOC TD HBV FT2</t>
  </si>
  <si>
    <t>MDS058 SOC SBST HBV</t>
  </si>
  <si>
    <t>MSX005 CPU TD DOMAIN HBV</t>
  </si>
  <si>
    <t>MSX001 BIST SRT PBC</t>
  </si>
  <si>
    <t>MSX005 BIST SFT PBC</t>
  </si>
  <si>
    <t>MSX001 CPU TD DOMAIN PBC</t>
  </si>
  <si>
    <t>MSX005 CPU TD DOMAIN PBC</t>
  </si>
  <si>
    <t>MPX00H BIST WUS PBC</t>
  </si>
  <si>
    <t>MPX00H BIST 24N PBC</t>
  </si>
  <si>
    <t>MPX00L BIST WUS PBC</t>
  </si>
  <si>
    <t>MPX00L BIST 24N PBC</t>
  </si>
  <si>
    <t>MEX009 BIST WUS PBC</t>
  </si>
  <si>
    <t>MEX009 BIST 24N PBC</t>
  </si>
  <si>
    <t>MDX001 SOC SBST PBC</t>
  </si>
  <si>
    <t>MSX001 SOC TD CUX PBC</t>
  </si>
  <si>
    <t>MDS058 SOC SBST PBC</t>
  </si>
  <si>
    <t>MDX008 SOC SBST PBC</t>
  </si>
  <si>
    <t>MSX001 SOC TD CXT PBC</t>
  </si>
  <si>
    <t>MSX005 SOC TD CXT PBC</t>
  </si>
  <si>
    <t>MPX001 TD CEXTEST PBC</t>
  </si>
  <si>
    <t>MPX00F TD CEXTEST PBC</t>
  </si>
  <si>
    <t>MEX001 TD CEXTEST PBC</t>
  </si>
  <si>
    <t>MEX008 TD CEXTEST PBC</t>
  </si>
  <si>
    <t>Type</t>
  </si>
  <si>
    <t>BV</t>
  </si>
  <si>
    <t>HBV</t>
  </si>
  <si>
    <t>TRUE</t>
  </si>
  <si>
    <t/>
  </si>
  <si>
    <t>PRE</t>
  </si>
  <si>
    <t>V05A_ENG</t>
  </si>
  <si>
    <t>BinCut Mode Sequence_old_format: copied V05A flow to this sheet name.
preflow, BV, HBV, PBC: new format per https://vendor-gitlab.csg.apple.com/seg-soc/tools/autogen/autogen/-/issues/360 and https://apple.box.com/s/6wg4hcmim55kjhpxgj83ke6oyf3opnrf.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</si>
</sst>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6" x14ac:knownFonts="1">
    <font>
      <sz val="10"/>
      <name val="Arial"/>
      <charset val="204"/>
    </font>
    <font>
      <sz val="12"/>
      <color theme="1"/>
      <name val="Calibri"/>
      <family val="2"/>
      <scheme val="minor"/>
    </font>
    <font>
      <sz val="12"/>
      <color theme="1"/>
      <name val="Calibri"/>
      <family val="2"/>
      <scheme val="minor"/>
    </font>
    <font>
      <sz val="12"/>
      <color theme="1"/>
      <name val="Calibri"/>
      <family val="2"/>
      <scheme val="minor"/>
    </font>
    <font>
      <sz val="12"/>
      <name val="Courier New"/>
      <family val="1"/>
    </font>
    <font>
      <sz val="10"/>
      <name val="Courier New"/>
      <family val="1"/>
    </font>
    <font>
      <sz val="10"/>
      <name val="Arial"/>
      <family val="2"/>
    </font>
    <font>
      <sz val="12"/>
      <color theme="5" tint="-0.249977111117893"/>
      <name val="Courier New"/>
      <family val="1"/>
    </font>
    <font>
      <b/>
      <sz val="12"/>
      <color theme="5" tint="-0.249977111117893"/>
      <name val="Courier New"/>
      <family val="1"/>
    </font>
    <font>
      <b/>
      <sz val="12"/>
      <color rgb="FFFF0000"/>
      <name val="Courier New"/>
      <family val="1"/>
    </font>
    <font>
      <b/>
      <sz val="12"/>
      <name val="Courier New"/>
      <family val="1"/>
    </font>
    <font>
      <sz val="12"/>
      <color rgb="FFFF0000"/>
      <name val="Courier New"/>
      <family val="1"/>
    </font>
    <font>
      <b/>
      <sz val="12"/>
      <color rgb="FF0432FF"/>
      <name val="Courier New"/>
      <family val="1"/>
    </font>
    <font>
      <b/>
      <sz val="10"/>
      <color rgb="FF0432FF"/>
      <name val="Courier New"/>
      <family val="1"/>
    </font>
    <font>
      <b/>
      <sz val="12"/>
      <color theme="5"/>
      <name val="Courier New"/>
      <family val="1"/>
    </font>
    <font>
      <sz val="12"/>
      <color theme="1"/>
      <name val="Courier New"/>
      <family val="1"/>
    </font>
  </fonts>
  <fills count="3">
    <fill>
      <patternFill patternType="none"/>
    </fill>
    <fill>
      <patternFill patternType="gray125"/>
    </fill>
    <fill>
      <patternFill patternType="solid">
        <fgColor rgb="FFFFFC00"/>
        <bgColor indexed="64"/>
      </patternFill>
    </fill>
  </fills>
  <borders count="14">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thin">
        <color auto="1"/>
      </left>
      <right style="thin">
        <color auto="1"/>
      </right>
      <top style="medium">
        <color indexed="64"/>
      </top>
      <bottom/>
      <diagonal/>
    </border>
    <border>
      <left style="thin">
        <color auto="1"/>
      </left>
      <right style="thin">
        <color auto="1"/>
      </right>
      <top/>
      <bottom style="medium">
        <color indexed="64"/>
      </bottom>
      <diagonal/>
    </border>
    <border>
      <left/>
      <right/>
      <top/>
      <bottom style="medium">
        <color indexed="64"/>
      </bottom>
      <diagonal/>
    </border>
    <border>
      <left style="thin">
        <color auto="1"/>
      </left>
      <right style="thin">
        <color auto="1"/>
      </right>
      <top style="medium">
        <color indexed="64"/>
      </top>
      <bottom style="thin">
        <color auto="1"/>
      </bottom>
      <diagonal/>
    </border>
    <border>
      <left style="thin">
        <color auto="1"/>
      </left>
      <right style="thin">
        <color auto="1"/>
      </right>
      <top style="thin">
        <color auto="1"/>
      </top>
      <bottom style="medium">
        <color indexed="64"/>
      </bottom>
      <diagonal/>
    </border>
  </borders>
  <cellStyleXfs count="4">
    <xf numFmtId="0" fontId="0" fillId="0" borderId="0" applyNumberFormat="0" applyFill="0" applyBorder="0" applyAlignment="0" applyProtection="0"/>
    <xf numFmtId="0" fontId="3" fillId="0" borderId="0"/>
    <xf numFmtId="0" fontId="2" fillId="0" borderId="0"/>
    <xf numFmtId="0" fontId="1" fillId="0" borderId="0"/>
  </cellStyleXfs>
  <cellXfs count="87">
    <xf numFmtId="0" fontId="0" fillId="0" borderId="0" xfId="0"/>
    <xf numFmtId="0" fontId="4" fillId="0" borderId="0" xfId="0" applyFont="1" applyFill="1" applyAlignment="1">
      <alignment horizontal="left" vertical="top"/>
    </xf>
    <xf numFmtId="0" fontId="4" fillId="0" borderId="1" xfId="0" applyFont="1" applyFill="1" applyBorder="1" applyAlignment="1">
      <alignment horizontal="left" vertical="top"/>
    </xf>
    <xf numFmtId="0" fontId="4" fillId="0" borderId="0" xfId="0" applyFont="1" applyFill="1"/>
    <xf numFmtId="0" fontId="4" fillId="0" borderId="0" xfId="0" applyFont="1" applyFill="1" applyAlignment="1">
      <alignment horizontal="center"/>
    </xf>
    <xf numFmtId="0" fontId="4" fillId="0" borderId="1" xfId="0" applyFont="1" applyFill="1" applyBorder="1" applyAlignment="1">
      <alignment horizontal="center"/>
    </xf>
    <xf numFmtId="0" fontId="5" fillId="0" borderId="0" xfId="0" applyFont="1" applyFill="1" applyAlignment="1">
      <alignment horizontal="center" vertical="top"/>
    </xf>
    <xf numFmtId="164" fontId="5" fillId="0" borderId="0" xfId="0" applyNumberFormat="1" applyFont="1" applyFill="1" applyAlignment="1">
      <alignment horizontal="center" vertical="top"/>
    </xf>
    <xf numFmtId="164" fontId="5" fillId="0" borderId="0" xfId="0" applyNumberFormat="1" applyFont="1" applyFill="1" applyAlignment="1">
      <alignment horizontal="right" vertical="top"/>
    </xf>
    <xf numFmtId="0" fontId="5" fillId="0" borderId="0" xfId="0" applyFont="1" applyFill="1" applyAlignment="1">
      <alignment horizontal="left" vertical="top"/>
    </xf>
    <xf numFmtId="0" fontId="5" fillId="0" borderId="0" xfId="0" applyFont="1" applyFill="1" applyAlignment="1">
      <alignment horizontal="left" vertical="top" wrapText="1"/>
    </xf>
    <xf numFmtId="0" fontId="4" fillId="0" borderId="1" xfId="0" applyFont="1" applyFill="1" applyBorder="1" applyAlignment="1">
      <alignment horizontal="left"/>
    </xf>
    <xf numFmtId="0" fontId="4" fillId="0" borderId="0" xfId="0" applyFont="1" applyFill="1" applyAlignment="1">
      <alignment horizontal="left"/>
    </xf>
    <xf numFmtId="0" fontId="4" fillId="0" borderId="1" xfId="0" applyFont="1" applyFill="1" applyBorder="1" applyAlignment="1">
      <alignment horizontal="center" vertical="top"/>
    </xf>
    <xf numFmtId="0" fontId="4" fillId="0" borderId="0" xfId="0" applyFont="1" applyFill="1" applyAlignment="1">
      <alignment horizontal="center" vertical="top"/>
    </xf>
    <xf numFmtId="0" fontId="4" fillId="0" borderId="2" xfId="0" applyFont="1" applyFill="1" applyBorder="1" applyAlignment="1">
      <alignment horizontal="center" vertical="top"/>
    </xf>
    <xf numFmtId="0" fontId="4" fillId="0" borderId="2" xfId="0" applyFont="1" applyFill="1" applyBorder="1" applyAlignment="1">
      <alignment horizontal="left"/>
    </xf>
    <xf numFmtId="0" fontId="4" fillId="0" borderId="4" xfId="0" applyFont="1" applyFill="1" applyBorder="1" applyAlignment="1">
      <alignment horizontal="center" vertical="top"/>
    </xf>
    <xf numFmtId="0" fontId="4" fillId="0" borderId="4" xfId="0" applyFont="1" applyFill="1" applyBorder="1" applyAlignment="1">
      <alignment horizontal="left"/>
    </xf>
    <xf numFmtId="0" fontId="4" fillId="0" borderId="3" xfId="0" applyFont="1" applyFill="1" applyBorder="1" applyAlignment="1">
      <alignment horizontal="left"/>
    </xf>
    <xf numFmtId="0" fontId="4" fillId="0" borderId="12" xfId="0" applyFont="1" applyFill="1" applyBorder="1" applyAlignment="1">
      <alignment horizontal="center" vertical="top"/>
    </xf>
    <xf numFmtId="0" fontId="4" fillId="0" borderId="10" xfId="0" applyFont="1" applyFill="1" applyBorder="1" applyAlignment="1">
      <alignment horizontal="center" vertical="top"/>
    </xf>
    <xf numFmtId="0" fontId="4" fillId="0" borderId="13" xfId="0" applyFont="1" applyFill="1" applyBorder="1" applyAlignment="1">
      <alignment horizontal="center" vertical="top"/>
    </xf>
    <xf numFmtId="0" fontId="4" fillId="0" borderId="12" xfId="0" applyFont="1" applyFill="1" applyBorder="1" applyAlignment="1">
      <alignment horizontal="left" vertical="top"/>
    </xf>
    <xf numFmtId="0" fontId="5" fillId="0" borderId="0" xfId="0" quotePrefix="1" applyFont="1" applyFill="1" applyAlignment="1">
      <alignment horizontal="left" vertical="top" wrapText="1"/>
    </xf>
    <xf numFmtId="0" fontId="4" fillId="0" borderId="1" xfId="2" applyFont="1" applyBorder="1" applyAlignment="1">
      <alignment horizontal="left" vertical="top" wrapText="1"/>
    </xf>
    <xf numFmtId="0" fontId="4" fillId="0" borderId="1" xfId="2" applyFont="1" applyBorder="1" applyAlignment="1">
      <alignment horizontal="left" vertical="top"/>
    </xf>
    <xf numFmtId="0" fontId="4" fillId="0" borderId="5" xfId="0" applyFont="1" applyFill="1" applyBorder="1" applyAlignment="1">
      <alignment horizontal="center" vertical="top"/>
    </xf>
    <xf numFmtId="0" fontId="4" fillId="0" borderId="5" xfId="2" applyFont="1" applyBorder="1" applyAlignment="1">
      <alignment horizontal="left" vertical="top"/>
    </xf>
    <xf numFmtId="0" fontId="4" fillId="0" borderId="5" xfId="0" applyFont="1" applyFill="1" applyBorder="1"/>
    <xf numFmtId="0" fontId="4" fillId="0" borderId="5" xfId="0" applyFont="1" applyFill="1" applyBorder="1" applyAlignment="1">
      <alignment horizontal="center"/>
    </xf>
    <xf numFmtId="0" fontId="4" fillId="0" borderId="5" xfId="0" applyFont="1" applyFill="1" applyBorder="1" applyAlignment="1">
      <alignment horizontal="left"/>
    </xf>
    <xf numFmtId="0" fontId="4" fillId="0" borderId="6" xfId="0" applyFont="1" applyFill="1" applyBorder="1" applyAlignment="1">
      <alignment horizontal="center" vertical="top"/>
    </xf>
    <xf numFmtId="0" fontId="4" fillId="0" borderId="1" xfId="2" applyFont="1" applyBorder="1" applyAlignment="1">
      <alignment vertical="center"/>
    </xf>
    <xf numFmtId="0" fontId="4" fillId="0" borderId="10" xfId="2" applyFont="1" applyBorder="1" applyAlignment="1">
      <alignment horizontal="left" vertical="top"/>
    </xf>
    <xf numFmtId="0" fontId="4" fillId="0" borderId="11" xfId="0" applyFont="1" applyFill="1" applyBorder="1"/>
    <xf numFmtId="0" fontId="4" fillId="0" borderId="7" xfId="0" applyFont="1" applyFill="1" applyBorder="1" applyAlignment="1">
      <alignment horizontal="left"/>
    </xf>
    <xf numFmtId="0" fontId="4" fillId="0" borderId="8" xfId="0" applyFont="1" applyFill="1" applyBorder="1" applyAlignment="1">
      <alignment horizontal="center" vertical="top"/>
    </xf>
    <xf numFmtId="0" fontId="4" fillId="0" borderId="1" xfId="2" applyFont="1" applyBorder="1" applyAlignment="1">
      <alignment horizontal="left" vertical="center"/>
    </xf>
    <xf numFmtId="0" fontId="4" fillId="0" borderId="13" xfId="2" applyFont="1" applyBorder="1" applyAlignment="1">
      <alignment horizontal="left" vertical="top"/>
    </xf>
    <xf numFmtId="0" fontId="7" fillId="0" borderId="1" xfId="2" applyFont="1" applyBorder="1" applyAlignment="1">
      <alignment horizontal="left" vertical="top"/>
    </xf>
    <xf numFmtId="0" fontId="8" fillId="0" borderId="1" xfId="2" applyFont="1" applyBorder="1" applyAlignment="1">
      <alignment horizontal="left" vertical="top"/>
    </xf>
    <xf numFmtId="0" fontId="8" fillId="0" borderId="1" xfId="2" applyFont="1" applyBorder="1" applyAlignment="1">
      <alignment horizontal="left" vertical="center"/>
    </xf>
    <xf numFmtId="0" fontId="8" fillId="0" borderId="1" xfId="0" applyFont="1" applyFill="1" applyBorder="1" applyAlignment="1">
      <alignment horizontal="left"/>
    </xf>
    <xf numFmtId="0" fontId="10" fillId="0" borderId="1" xfId="0" applyFont="1" applyFill="1" applyBorder="1" applyAlignment="1">
      <alignment horizontal="center" vertical="top"/>
    </xf>
    <xf numFmtId="0" fontId="4" fillId="0" borderId="4" xfId="0" applyFont="1" applyFill="1" applyBorder="1" applyAlignment="1">
      <alignment horizontal="left" vertical="top"/>
    </xf>
    <xf numFmtId="0" fontId="4" fillId="0" borderId="2" xfId="2" applyFont="1" applyBorder="1" applyAlignment="1">
      <alignment horizontal="left" vertical="top"/>
    </xf>
    <xf numFmtId="0" fontId="4" fillId="0" borderId="4" xfId="2" applyFont="1" applyBorder="1" applyAlignment="1">
      <alignment horizontal="left" vertical="top"/>
    </xf>
    <xf numFmtId="0" fontId="11" fillId="0" borderId="1" xfId="0" applyFont="1" applyFill="1" applyBorder="1" applyAlignment="1">
      <alignment horizontal="left" vertical="top"/>
    </xf>
    <xf numFmtId="0" fontId="12" fillId="2" borderId="1" xfId="2" applyFont="1" applyFill="1" applyBorder="1" applyAlignment="1">
      <alignment horizontal="left" vertical="top"/>
    </xf>
    <xf numFmtId="0" fontId="13" fillId="0" borderId="0" xfId="0" applyFont="1" applyFill="1" applyAlignment="1">
      <alignment horizontal="left" vertical="top"/>
    </xf>
    <xf numFmtId="0" fontId="14" fillId="0" borderId="1" xfId="0" applyFont="1" applyFill="1" applyBorder="1" applyAlignment="1">
      <alignment horizontal="left"/>
    </xf>
    <xf numFmtId="0" fontId="15" fillId="0" borderId="1" xfId="2" applyFont="1" applyBorder="1" applyAlignment="1">
      <alignment horizontal="left" vertical="top"/>
    </xf>
    <xf numFmtId="0" fontId="4" fillId="0" borderId="4" xfId="0" applyFont="1" applyFill="1" applyBorder="1" applyAlignment="1">
      <alignment vertical="center"/>
    </xf>
    <xf numFmtId="0" fontId="4" fillId="0" borderId="1" xfId="0" applyFont="1" applyFill="1" applyBorder="1" applyAlignment="1">
      <alignment vertical="center"/>
    </xf>
    <xf numFmtId="0" fontId="4" fillId="0" borderId="13" xfId="2" applyFont="1" applyBorder="1" applyAlignment="1">
      <alignment horizontal="left" vertical="top" wrapText="1"/>
    </xf>
    <xf numFmtId="0" fontId="4" fillId="0" borderId="13" xfId="0" applyFont="1" applyFill="1" applyBorder="1" applyAlignment="1">
      <alignment horizontal="left" vertical="top"/>
    </xf>
    <xf numFmtId="0" fontId="11" fillId="0" borderId="13" xfId="0" applyFont="1" applyFill="1" applyBorder="1" applyAlignment="1">
      <alignment horizontal="left" vertical="top"/>
    </xf>
    <xf numFmtId="0" fontId="4" fillId="0" borderId="13" xfId="0" applyFont="1" applyFill="1" applyBorder="1" applyAlignment="1">
      <alignment horizontal="center"/>
    </xf>
    <xf numFmtId="0" fontId="4" fillId="0" borderId="13" xfId="0" applyFont="1" applyFill="1" applyBorder="1" applyAlignment="1">
      <alignment horizontal="left"/>
    </xf>
    <xf numFmtId="0" fontId="4" fillId="0" borderId="2" xfId="0" applyFont="1" applyFill="1" applyBorder="1" applyAlignment="1">
      <alignment horizontal="left" vertical="center"/>
    </xf>
    <xf numFmtId="0" fontId="4" fillId="0" borderId="3" xfId="0" applyFont="1" applyFill="1" applyBorder="1" applyAlignment="1">
      <alignment horizontal="left" vertical="center"/>
    </xf>
    <xf numFmtId="0" fontId="4" fillId="0" borderId="4" xfId="0" applyFont="1" applyFill="1" applyBorder="1" applyAlignment="1">
      <alignment horizontal="left" vertical="center"/>
    </xf>
    <xf numFmtId="0" fontId="8" fillId="0" borderId="2" xfId="2" applyFont="1" applyBorder="1" applyAlignment="1">
      <alignment horizontal="left" vertical="center"/>
    </xf>
    <xf numFmtId="0" fontId="8" fillId="0" borderId="3" xfId="2" applyFont="1" applyBorder="1" applyAlignment="1">
      <alignment horizontal="lef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4" xfId="2" applyFont="1" applyBorder="1" applyAlignment="1">
      <alignment vertical="center"/>
    </xf>
    <xf numFmtId="0" fontId="6" fillId="0" borderId="10" xfId="0" applyFont="1" applyFill="1" applyBorder="1" applyAlignment="1">
      <alignment horizontal="left" vertical="center"/>
    </xf>
    <xf numFmtId="0" fontId="4" fillId="0" borderId="2" xfId="2" applyFont="1" applyBorder="1" applyAlignment="1">
      <alignment horizontal="left" vertical="center"/>
    </xf>
    <xf numFmtId="0" fontId="4" fillId="0" borderId="3" xfId="2" applyFont="1" applyBorder="1" applyAlignment="1">
      <alignment horizontal="left" vertical="center"/>
    </xf>
    <xf numFmtId="0" fontId="4" fillId="0" borderId="10" xfId="2" applyFont="1" applyBorder="1" applyAlignment="1">
      <alignment horizontal="left" vertical="center"/>
    </xf>
    <xf numFmtId="0" fontId="4" fillId="0" borderId="9" xfId="0" applyFont="1" applyFill="1" applyBorder="1" applyAlignment="1">
      <alignment horizontal="left" vertical="center"/>
    </xf>
    <xf numFmtId="0" fontId="6" fillId="0" borderId="3" xfId="0" applyFont="1" applyFill="1" applyBorder="1" applyAlignment="1">
      <alignment horizontal="left" vertical="center"/>
    </xf>
    <xf numFmtId="0" fontId="6" fillId="0" borderId="4" xfId="0" applyFont="1" applyFill="1" applyBorder="1" applyAlignment="1">
      <alignment horizontal="left" vertical="center"/>
    </xf>
    <xf numFmtId="0" fontId="4" fillId="0" borderId="4" xfId="2" applyFont="1" applyBorder="1" applyAlignment="1">
      <alignment horizontal="left" vertical="center"/>
    </xf>
    <xf numFmtId="0" fontId="4" fillId="0" borderId="9" xfId="2" applyFont="1" applyBorder="1" applyAlignment="1">
      <alignment horizontal="left" vertical="center"/>
    </xf>
    <xf numFmtId="0" fontId="4" fillId="0" borderId="10" xfId="0" applyFont="1" applyFill="1" applyBorder="1" applyAlignment="1">
      <alignment horizontal="left" vertical="center"/>
    </xf>
    <xf numFmtId="0" fontId="8" fillId="0" borderId="4" xfId="2" applyFont="1" applyBorder="1" applyAlignment="1">
      <alignment horizontal="left" vertical="center"/>
    </xf>
    <xf numFmtId="0" fontId="8" fillId="0" borderId="2" xfId="2" applyFont="1" applyBorder="1" applyAlignment="1">
      <alignment vertical="center"/>
    </xf>
    <xf numFmtId="0" fontId="8" fillId="0" borderId="3" xfId="2" applyFont="1" applyBorder="1" applyAlignment="1">
      <alignment vertical="center"/>
    </xf>
    <xf numFmtId="0" fontId="8" fillId="0" borderId="4" xfId="2" applyFont="1" applyBorder="1" applyAlignment="1">
      <alignment vertical="center"/>
    </xf>
    <xf numFmtId="0" fontId="7" fillId="0" borderId="2" xfId="2" applyFont="1" applyBorder="1" applyAlignment="1">
      <alignment horizontal="left" vertical="center"/>
    </xf>
    <xf numFmtId="0" fontId="7" fillId="0" borderId="3" xfId="2" applyFont="1" applyBorder="1" applyAlignment="1">
      <alignment horizontal="left" vertical="center"/>
    </xf>
    <xf numFmtId="0" fontId="15" fillId="0" borderId="2" xfId="2" applyFont="1" applyBorder="1" applyAlignment="1">
      <alignment horizontal="left" vertical="center"/>
    </xf>
    <xf numFmtId="0" fontId="15" fillId="0" borderId="3" xfId="2" applyFont="1" applyBorder="1" applyAlignment="1">
      <alignment horizontal="left" vertical="center"/>
    </xf>
    <xf numFmtId="0" fontId="15" fillId="0" borderId="4" xfId="2" applyFont="1" applyBorder="1" applyAlignment="1">
      <alignment horizontal="left" vertical="center"/>
    </xf>
  </cellXfs>
  <cellStyles count="4">
    <cellStyle name="Normal" xfId="0" builtinId="0"/>
    <cellStyle name="Normal 2" xfId="3" xr:uid="{91896625-3023-5444-B7D4-DAC4A9919D98}"/>
    <cellStyle name="Normal 2 2" xfId="1" xr:uid="{7D6948FE-6011-0446-B058-8C0AAFB4AC66}"/>
    <cellStyle name="Normal 2 2 2" xfId="2" xr:uid="{41583FE5-57CF-974F-BBA6-EB19A0D29862}"/>
  </cellStyles>
  <dxfs count="190">
    <dxf>
      <fill>
        <patternFill>
          <bgColor theme="5"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5" tint="0.79998168889431442"/>
        </patternFill>
      </fill>
    </dxf>
    <dxf>
      <fill>
        <patternFill patternType="none">
          <bgColor auto="1"/>
        </patternFill>
      </fill>
    </dxf>
    <dxf>
      <fill>
        <patternFill>
          <bgColor theme="4" tint="0.79998168889431442"/>
        </patternFill>
      </fill>
    </dxf>
    <dxf>
      <fill>
        <patternFill>
          <bgColor theme="5" tint="0.79998168889431442"/>
        </patternFill>
      </fill>
    </dxf>
    <dxf>
      <fill>
        <patternFill>
          <bgColor theme="4"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5" tint="0.79998168889431442"/>
        </patternFill>
      </fill>
    </dxf>
    <dxf>
      <fill>
        <patternFill>
          <bgColor theme="4" tint="0.79998168889431442"/>
        </patternFill>
      </fill>
    </dxf>
    <dxf>
      <fill>
        <patternFill>
          <bgColor theme="4" tint="0.79998168889431442"/>
        </patternFill>
      </fill>
    </dxf>
    <dxf>
      <fill>
        <patternFill patternType="none">
          <bgColor auto="1"/>
        </patternFill>
      </fill>
    </dxf>
    <dxf>
      <fill>
        <patternFill>
          <bgColor theme="5" tint="0.79998168889431442"/>
        </patternFill>
      </fill>
    </dxf>
    <dxf>
      <fill>
        <patternFill>
          <bgColor theme="7" tint="0.79998168889431442"/>
        </patternFill>
      </fill>
    </dxf>
    <dxf>
      <fill>
        <patternFill>
          <bgColor theme="7" tint="0.79998168889431442"/>
        </patternFill>
      </fill>
    </dxf>
    <dxf>
      <fill>
        <patternFill>
          <bgColor theme="5" tint="0.79998168889431442"/>
        </patternFill>
      </fill>
    </dxf>
    <dxf>
      <fill>
        <patternFill patternType="none">
          <bgColor auto="1"/>
        </patternFill>
      </fill>
    </dxf>
    <dxf>
      <fill>
        <patternFill>
          <bgColor theme="4" tint="0.79998168889431442"/>
        </patternFill>
      </fill>
    </dxf>
    <dxf>
      <fill>
        <patternFill patternType="none">
          <bgColor auto="1"/>
        </patternFill>
      </fill>
    </dxf>
    <dxf>
      <fill>
        <patternFill>
          <bgColor theme="5" tint="0.79998168889431442"/>
        </patternFill>
      </fill>
    </dxf>
    <dxf>
      <fill>
        <patternFill>
          <bgColor theme="7" tint="0.79998168889431442"/>
        </patternFill>
      </fill>
    </dxf>
    <dxf>
      <fill>
        <patternFill>
          <bgColor theme="4"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patternType="none">
          <bgColor auto="1"/>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4" tint="0.79998168889431442"/>
        </patternFill>
      </fill>
    </dxf>
    <dxf>
      <fill>
        <patternFill>
          <bgColor theme="7" tint="0.79998168889431442"/>
        </patternFill>
      </fill>
    </dxf>
    <dxf>
      <fill>
        <patternFill>
          <bgColor theme="5" tint="0.79998168889431442"/>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4" tint="0.79998168889431442"/>
        </patternFill>
      </fill>
    </dxf>
    <dxf>
      <fill>
        <patternFill patternType="none">
          <bgColor auto="1"/>
        </patternFill>
      </fill>
    </dxf>
    <dxf>
      <fill>
        <patternFill>
          <bgColor theme="5" tint="0.79998168889431442"/>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patternType="none">
          <bgColor auto="1"/>
        </patternFill>
      </fill>
    </dxf>
    <dxf>
      <fill>
        <patternFill>
          <bgColor theme="5"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patternType="none">
          <bgColor auto="1"/>
        </patternFill>
      </fill>
    </dxf>
    <dxf>
      <fill>
        <patternFill>
          <bgColor theme="5" tint="0.79998168889431442"/>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7" tint="0.79998168889431442"/>
        </patternFill>
      </fill>
    </dxf>
    <dxf>
      <fill>
        <patternFill>
          <bgColor theme="4" tint="0.79998168889431442"/>
        </patternFill>
      </fill>
    </dxf>
    <dxf>
      <fill>
        <patternFill patternType="none">
          <bgColor auto="1"/>
        </patternFill>
      </fill>
    </dxf>
    <dxf>
      <fill>
        <patternFill>
          <bgColor theme="5" tint="0.79998168889431442"/>
        </patternFill>
      </fill>
    </dxf>
    <dxf>
      <fill>
        <patternFill patternType="none">
          <bgColor auto="1"/>
        </patternFill>
      </fill>
    </dxf>
    <dxf>
      <fill>
        <patternFill>
          <bgColor theme="5" tint="0.79998168889431442"/>
        </patternFill>
      </fill>
    </dxf>
    <dxf>
      <fill>
        <patternFill>
          <bgColor theme="4" tint="0.79998168889431442"/>
        </patternFill>
      </fill>
    </dxf>
    <dxf>
      <fill>
        <patternFill>
          <bgColor theme="7" tint="0.79998168889431442"/>
        </patternFill>
      </fill>
    </dxf>
    <dxf>
      <fill>
        <patternFill patternType="none">
          <bgColor auto="1"/>
        </patternFill>
      </fill>
    </dxf>
    <dxf>
      <fill>
        <patternFill>
          <bgColor theme="5" tint="0.79998168889431442"/>
        </patternFill>
      </fill>
    </dxf>
    <dxf>
      <fill>
        <patternFill>
          <bgColor theme="4" tint="0.79998168889431442"/>
        </patternFill>
      </fill>
    </dxf>
    <dxf>
      <fill>
        <patternFill>
          <bgColor theme="7" tint="0.79998168889431442"/>
        </patternFill>
      </fill>
    </dxf>
    <dxf>
      <fill>
        <patternFill patternType="none">
          <bgColor auto="1"/>
        </patternFill>
      </fill>
    </dxf>
    <dxf>
      <fill>
        <patternFill>
          <bgColor theme="5"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patternType="none">
          <bgColor auto="1"/>
        </patternFill>
      </fill>
    </dxf>
    <dxf>
      <fill>
        <patternFill>
          <bgColor theme="5" tint="0.79998168889431442"/>
        </patternFill>
      </fill>
    </dxf>
    <dxf>
      <fill>
        <patternFill>
          <bgColor theme="4" tint="0.79998168889431442"/>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4"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patternType="none">
          <bgColor auto="1"/>
        </patternFill>
      </fill>
    </dxf>
    <dxf>
      <fill>
        <patternFill>
          <bgColor theme="4" tint="0.79998168889431442"/>
        </patternFill>
      </fill>
    </dxf>
    <dxf>
      <fill>
        <patternFill>
          <bgColor theme="7" tint="0.79998168889431442"/>
        </patternFill>
      </fill>
    </dxf>
    <dxf>
      <fill>
        <patternFill patternType="none">
          <bgColor auto="1"/>
        </patternFill>
      </fill>
    </dxf>
    <dxf>
      <fill>
        <patternFill>
          <bgColor theme="5"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5" tint="0.79998168889431442"/>
        </patternFill>
      </fill>
    </dxf>
    <dxf>
      <fill>
        <patternFill>
          <bgColor theme="4" tint="0.79998168889431442"/>
        </patternFill>
      </fill>
    </dxf>
    <dxf>
      <fill>
        <patternFill>
          <bgColor theme="7" tint="0.79998168889431442"/>
        </patternFill>
      </fill>
    </dxf>
    <dxf>
      <fill>
        <patternFill patternType="none">
          <bgColor auto="1"/>
        </patternFill>
      </fill>
    </dxf>
    <dxf>
      <fill>
        <patternFill patternType="none">
          <bgColor auto="1"/>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bgColor theme="4" tint="0.79998168889431442"/>
        </patternFill>
      </fill>
    </dxf>
    <dxf>
      <fill>
        <patternFill>
          <bgColor theme="7" tint="0.79998168889431442"/>
        </patternFill>
      </fill>
    </dxf>
    <dxf>
      <fill>
        <patternFill>
          <bgColor theme="5" tint="0.79998168889431442"/>
        </patternFill>
      </fill>
    </dxf>
    <dxf>
      <fill>
        <patternFill>
          <bgColor theme="5" tint="0.79998168889431442"/>
        </patternFill>
      </fill>
    </dxf>
    <dxf>
      <fill>
        <patternFill>
          <bgColor theme="4" tint="0.79998168889431442"/>
        </patternFill>
      </fill>
    </dxf>
    <dxf>
      <fill>
        <patternFill>
          <bgColor theme="7" tint="0.79998168889431442"/>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ill>
        <patternFill patternType="none">
          <bgColor auto="1"/>
        </patternFill>
      </fill>
    </dxf>
    <dxf>
      <fill>
        <patternFill>
          <bgColor theme="5" tint="0.79998168889431442"/>
        </patternFill>
      </fill>
    </dxf>
    <dxf>
      <fill>
        <patternFill>
          <bgColor theme="4" tint="0.79998168889431442"/>
        </patternFill>
      </fill>
    </dxf>
    <dxf>
      <fill>
        <patternFill>
          <bgColor theme="7" tint="0.79998168889431442"/>
        </patternFill>
      </fill>
    </dxf>
    <dxf>
      <fill>
        <patternFill patternType="none">
          <bgColor auto="1"/>
        </patternFill>
      </fill>
    </dxf>
    <dxf>
      <fill>
        <patternFill>
          <bgColor theme="7" tint="0.79998168889431442"/>
        </patternFill>
      </fill>
    </dxf>
    <dxf>
      <fill>
        <patternFill>
          <bgColor theme="4" tint="0.79998168889431442"/>
        </patternFill>
      </fill>
    </dxf>
    <dxf>
      <fill>
        <patternFill>
          <bgColor theme="5" tint="0.79998168889431442"/>
        </patternFill>
      </fill>
    </dxf>
    <dxf>
      <fill>
        <patternFill patternType="none">
          <bgColor auto="1"/>
        </patternFill>
      </fill>
    </dxf>
    <dxf>
      <font>
        <strike val="0"/>
        <outline val="0"/>
        <shadow val="0"/>
        <u val="none"/>
        <vertAlign val="baseline"/>
        <sz val="10"/>
        <color auto="1"/>
        <name val="Courier New"/>
        <family val="1"/>
        <scheme val="none"/>
      </font>
      <fill>
        <patternFill patternType="none">
          <fgColor indexed="64"/>
          <bgColor auto="1"/>
        </patternFill>
      </fill>
      <alignment horizontal="left" vertical="top" textRotation="0" indent="0" justifyLastLine="0" shrinkToFit="0" readingOrder="0"/>
    </dxf>
    <dxf>
      <font>
        <b val="0"/>
        <i val="0"/>
        <strike val="0"/>
        <condense val="0"/>
        <extend val="0"/>
        <outline val="0"/>
        <shadow val="0"/>
        <u val="none"/>
        <vertAlign val="baseline"/>
        <sz val="10"/>
        <color auto="1"/>
        <name val="Courier New"/>
        <family val="1"/>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ourier New"/>
        <family val="1"/>
        <scheme val="none"/>
      </font>
      <numFmt numFmtId="164" formatCode="[$-F800]dddd\,\ mmmm\ dd\,\ yyyy"/>
      <fill>
        <patternFill patternType="none">
          <fgColor indexed="64"/>
          <bgColor auto="1"/>
        </patternFill>
      </fill>
      <alignment horizontal="right" vertical="top" textRotation="0" wrapText="0" indent="0" justifyLastLine="0" shrinkToFit="0" readingOrder="0"/>
    </dxf>
    <dxf>
      <font>
        <b val="0"/>
        <i val="0"/>
        <strike val="0"/>
        <condense val="0"/>
        <extend val="0"/>
        <outline val="0"/>
        <shadow val="0"/>
        <u val="none"/>
        <vertAlign val="baseline"/>
        <sz val="10"/>
        <color auto="1"/>
        <name val="Courier New"/>
        <family val="1"/>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ourier New"/>
        <family val="1"/>
        <scheme val="none"/>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ourier New"/>
        <family val="1"/>
        <scheme val="none"/>
      </font>
      <fill>
        <patternFill patternType="none">
          <fgColor indexed="64"/>
          <bgColor indexed="65"/>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ourier New"/>
        <family val="1"/>
        <scheme val="none"/>
      </font>
      <fill>
        <patternFill patternType="none">
          <fgColor indexed="64"/>
          <bgColor auto="1"/>
        </patternFill>
      </fill>
      <alignment horizontal="center" vertical="top" textRotation="0" wrapText="0" indent="0" justifyLastLine="0" shrinkToFit="0" readingOrder="0"/>
    </dxf>
    <dxf>
      <font>
        <b val="0"/>
        <i val="0"/>
        <strike val="0"/>
        <condense val="0"/>
        <extend val="0"/>
        <outline val="0"/>
        <shadow val="0"/>
        <u val="none"/>
        <vertAlign val="baseline"/>
        <sz val="10"/>
        <color auto="1"/>
        <name val="Courier New"/>
        <family val="1"/>
        <scheme val="none"/>
      </font>
      <fill>
        <patternFill patternType="none">
          <fgColor indexed="64"/>
          <bgColor auto="1"/>
        </patternFill>
      </fill>
      <alignment horizontal="center" vertical="top" textRotation="0" wrapText="0" indent="0" justifyLastLine="0" shrinkToFit="0" readingOrder="0"/>
    </dxf>
  </dxfs>
  <tableStyles count="0" defaultTableStyle="TableStyleMedium2" defaultPivotStyle="PivotStyleLight16"/>
  <colors>
    <mruColors>
      <color rgb="FF0432FF"/>
      <color rgb="FFFFFC00"/>
      <color rgb="FF00FA00"/>
      <color rgb="FFFF40FF"/>
      <color rgb="FF00FD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152400</xdr:colOff>
      <xdr:row>5</xdr:row>
      <xdr:rowOff>215898</xdr:rowOff>
    </xdr:from>
    <xdr:ext cx="4692054" cy="468013"/>
    <xdr:sp macro="" textlink="">
      <xdr:nvSpPr>
        <xdr:cNvPr id="2" name="TextBox 1">
          <a:extLst>
            <a:ext uri="{FF2B5EF4-FFF2-40B4-BE49-F238E27FC236}">
              <a16:creationId xmlns:a16="http://schemas.microsoft.com/office/drawing/2014/main" id="{4262DAFB-A28F-CC49-BA69-E16139B17850}"/>
            </a:ext>
          </a:extLst>
        </xdr:cNvPr>
        <xdr:cNvSpPr txBox="1"/>
      </xdr:nvSpPr>
      <xdr:spPr>
        <a:xfrm rot="20735156">
          <a:off x="152400" y="1295398"/>
          <a:ext cx="4692054" cy="468013"/>
        </a:xfrm>
        <a:prstGeom prst="rect">
          <a:avLst/>
        </a:prstGeom>
        <a:solidFill>
          <a:srgbClr val="FF000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kern="1200">
              <a:solidFill>
                <a:schemeClr val="tx1"/>
              </a:solidFill>
            </a:rPr>
            <a:t>DO</a:t>
          </a:r>
          <a:r>
            <a:rPr lang="en-US" sz="2400" kern="1200" baseline="0">
              <a:solidFill>
                <a:schemeClr val="tx1"/>
              </a:solidFill>
            </a:rPr>
            <a:t> NOT USE THIS SHEET ANYMORE.</a:t>
          </a:r>
          <a:endParaRPr lang="en-US" sz="2400" kern="1200">
            <a:solidFill>
              <a:schemeClr val="tx1"/>
            </a:solidFill>
          </a:endParaRPr>
        </a:p>
      </xdr:txBody>
    </xdr:sp>
    <xdr:clientData/>
  </xdr:oneCellAnchor>
</xdr:wsDr>
</file>

<file path=xl/persons/person.xml><?xml version="1.0" encoding="utf-8"?>
<personList xmlns="http://schemas.microsoft.com/office/spreadsheetml/2018/threadedcomments" xmlns:x="http://schemas.openxmlformats.org/spreadsheetml/2006/main">
  <person displayName="Toby McPheeters" id="{AC306AA3-F91D-7A40-BA54-D20D4112BE48}" userId="S::tmcpheeters@apple.com::ea164c1c-a960-4a66-bbdc-2aa32855cb89"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9B436DD-4D26-AA4F-B8AC-78D10018D750}" name="Table13" displayName="Table13" ref="A1:F47" totalsRowShown="0" headerRowDxfId="189" dataDxfId="188">
  <tableColumns count="6">
    <tableColumn id="6" xr3:uid="{6B803A9C-6EC5-3642-8DCF-C173A5A35A34}" name="Silicon" dataDxfId="187"/>
    <tableColumn id="7" xr3:uid="{B73389A5-2331-7840-83AD-E651059BB251}" name="Program" dataDxfId="186"/>
    <tableColumn id="2" xr3:uid="{5189E919-7301-E84D-A5F6-CE6836318C1E}" name="PerForce Revision" dataDxfId="185"/>
    <tableColumn id="3" xr3:uid="{3EA8E8FF-222F-3547-AF35-4148D997F218}" name="Date" dataDxfId="184"/>
    <tableColumn id="4" xr3:uid="{6CC97D54-AD49-204B-80D4-CB6AE26B3D15}" name="Author" dataDxfId="183"/>
    <tableColumn id="5" xr3:uid="{56AE450A-EF4B-F34E-916D-F90C1A9564A2}" name="Change Description" dataDxfId="182"/>
  </tableColumns>
  <tableStyleInfo name="TableStyleMedium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4-01-29T23:48:01.85" personId="{AC306AA3-F91D-7A40-BA54-D20D4112BE48}" id="{791D783D-4BDF-2347-8CEE-4B391EA5A4E0}">
    <text>Type must match: BV, HBV, or PBV.</text>
  </threadedComment>
  <threadedComment ref="B1" dT="2024-01-29T23:45:55.10" personId="{AC306AA3-F91D-7A40-BA54-D20D4112BE48}" id="{6C7E95ED-B06E-3340-B311-61639660D375}">
    <text>Must match one of:
1) Bincut Performance Mode
2) PBC Performance Mode</text>
  </threadedComment>
  <threadedComment ref="C1" dT="2024-01-29T23:46:42.33" personId="{AC306AA3-F91D-7A40-BA54-D20D4112BE48}" id="{2F68822E-AAD0-4042-876F-018495437664}">
    <text>Must match TestPlan / Instance_sheet / Sub Flow.
Blank cells mean no content to run.</text>
  </threadedComment>
  <threadedComment ref="E1" dT="2024-01-29T23:52:40.13" personId="{AC306AA3-F91D-7A40-BA54-D20D4112BE48}" id="{7E1AEF66-AB79-9D4A-BDA3-129A3C848443}">
    <text>For each insertion, include a column.  “TRUE” means to run this row at this insertion.  Blank means not tested.  Use “Interpolate” if performance mode is interpolated.</text>
  </threadedComment>
  <threadedComment ref="O1" dT="2024-01-29T23:50:14.56" personId="{AC306AA3-F91D-7A40-BA54-D20D4112BE48}" id="{8BF2ACF9-546F-7940-860B-E002B234140D}">
    <text>This is a number used for sorting and organizing rows.  It is NOT used to control flow sequence.</text>
  </threadedComment>
</ThreadedComments>
</file>

<file path=xl/threadedComments/threadedComment2.xml><?xml version="1.0" encoding="utf-8"?>
<ThreadedComments xmlns="http://schemas.microsoft.com/office/spreadsheetml/2018/threadedcomments" xmlns:x="http://schemas.openxmlformats.org/spreadsheetml/2006/main">
  <threadedComment ref="A1" dT="2024-01-29T23:48:01.85" personId="{AC306AA3-F91D-7A40-BA54-D20D4112BE48}" id="{CA1C6AC1-B6D5-4D48-AEAB-5674673060A6}">
    <text>Type must match: BV, HBV, or PBV.</text>
  </threadedComment>
  <threadedComment ref="B1" dT="2024-01-29T23:45:55.10" personId="{AC306AA3-F91D-7A40-BA54-D20D4112BE48}" id="{87ADF591-9FC7-FD4E-B2C5-11ECA6E2B45B}">
    <text>Must match one of:
1) Bincut Performance Mode
2) PBC Performance Mode</text>
  </threadedComment>
  <threadedComment ref="C1" dT="2024-01-29T23:46:42.33" personId="{AC306AA3-F91D-7A40-BA54-D20D4112BE48}" id="{DD44A62E-9BDB-CA49-B45F-2B4DE74695F3}">
    <text>Must match TestPlan / Instance_sheet / Sub Flow.
Blank cells mean no content to run.</text>
  </threadedComment>
  <threadedComment ref="E1" dT="2024-01-29T23:52:40.13" personId="{AC306AA3-F91D-7A40-BA54-D20D4112BE48}" id="{7C9A7B21-1E9B-0749-B0FC-870DA47B30C2}">
    <text>For each insertion, include a column.  “TRUE” means to run this row at this insertion.  Blank means not tested.  Use “Interpolate” if performance mode is interpolated.</text>
  </threadedComment>
  <threadedComment ref="O1" dT="2024-01-29T23:50:14.56" personId="{AC306AA3-F91D-7A40-BA54-D20D4112BE48}" id="{2840B0EA-702B-6C41-BD86-C313580C92D0}">
    <text>This is a number used for sorting and organizing rows.  It is NOT used to control flow sequence.</text>
  </threadedComment>
</ThreadedComments>
</file>

<file path=xl/threadedComments/threadedComment3.xml><?xml version="1.0" encoding="utf-8"?>
<ThreadedComments xmlns="http://schemas.microsoft.com/office/spreadsheetml/2018/threadedcomments" xmlns:x="http://schemas.openxmlformats.org/spreadsheetml/2006/main">
  <threadedComment ref="A1" dT="2024-01-29T23:48:01.85" personId="{AC306AA3-F91D-7A40-BA54-D20D4112BE48}" id="{EFB5306B-F9E9-CF44-AAF0-FBE2D697161C}">
    <text>Type must match: BV, HBV, or PBV.</text>
  </threadedComment>
  <threadedComment ref="B1" dT="2024-01-29T23:45:55.10" personId="{AC306AA3-F91D-7A40-BA54-D20D4112BE48}" id="{33B722BA-9025-7A48-963A-755DAE82C1F7}">
    <text>Must match one of:
1) Bincut Performance Mode
2) PBC Performance Mode</text>
  </threadedComment>
  <threadedComment ref="C1" dT="2024-01-29T23:46:42.33" personId="{AC306AA3-F91D-7A40-BA54-D20D4112BE48}" id="{D9DF3235-31FD-8046-A57B-9016D2D388D6}">
    <text>Must match TestPlan / Instance_sheet / Sub Flow.
Blank cells mean no content to run.</text>
  </threadedComment>
  <threadedComment ref="E1" dT="2024-01-29T23:52:40.13" personId="{AC306AA3-F91D-7A40-BA54-D20D4112BE48}" id="{3F609DAD-D97C-EF4E-993C-939A53F34BBB}">
    <text>For each insertion, include a column.  “TRUE” means to run this row at this insertion.  Blank means not tested.  Use “Interpolate” if performance mode is interpolated.</text>
  </threadedComment>
  <threadedComment ref="O1" dT="2024-01-29T23:50:14.56" personId="{AC306AA3-F91D-7A40-BA54-D20D4112BE48}" id="{38744B11-E8E0-754E-B60B-A8367BCAB71B}">
    <text>This is a number used for sorting and organizing rows.  It is NOT used to control flow sequence.</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4-01-29T23:48:01.85" personId="{AC306AA3-F91D-7A40-BA54-D20D4112BE48}" id="{A3D49017-5991-A94B-BA97-115034751D76}">
    <text>Type must match: BV, HBV, or PBV.</text>
  </threadedComment>
  <threadedComment ref="B1" dT="2024-01-29T23:45:55.10" personId="{AC306AA3-F91D-7A40-BA54-D20D4112BE48}" id="{4B9F0448-AADE-EC40-81C5-B24ECC776E42}">
    <text>Must match one of:
1) Bincut Performance Mode
2) PBC Performance Mode</text>
  </threadedComment>
  <threadedComment ref="C1" dT="2024-01-29T23:46:42.33" personId="{AC306AA3-F91D-7A40-BA54-D20D4112BE48}" id="{050FE8B8-129E-1C4A-B08C-EDDEAF28715A}">
    <text>Must match TestPlan / Instance_sheet / Sub Flow.
Blank cells mean no content to run.</text>
  </threadedComment>
  <threadedComment ref="E1" dT="2024-01-29T23:52:40.13" personId="{AC306AA3-F91D-7A40-BA54-D20D4112BE48}" id="{C1DD1B37-47C0-D84C-B573-BEE1753451A6}">
    <text>For each insertion, include a column.  “TRUE” means to run this row at this insertion.  Blank means not tested.  Use “Interpolate” if performance mode is interpolated.</text>
  </threadedComment>
  <threadedComment ref="O1" dT="2024-01-29T23:50:14.56" personId="{AC306AA3-F91D-7A40-BA54-D20D4112BE48}" id="{4157022E-40D6-1945-B9E3-C98A28F45914}">
    <text>This is a number used for sorting and organizing rows.  It is NOT used to control flow sequence.</text>
  </threadedComment>
</ThreadedComments>
</file>

<file path=xl/threadedComments/threadedComment5.xml><?xml version="1.0" encoding="utf-8"?>
<ThreadedComments xmlns="http://schemas.microsoft.com/office/spreadsheetml/2018/threadedcomments" xmlns:x="http://schemas.openxmlformats.org/spreadsheetml/2006/main">
  <threadedComment ref="A1" dT="2024-01-29T23:48:01.85" personId="{AC306AA3-F91D-7A40-BA54-D20D4112BE48}" id="{4F0538A9-6959-1E4F-8810-F39B34A024D6}">
    <text>Must match: BV, HBV, or PBV.</text>
  </threadedComment>
  <threadedComment ref="B1" dT="2024-01-29T23:45:55.10" personId="{AC306AA3-F91D-7A40-BA54-D20D4112BE48}" id="{860603DE-EFBE-C848-B7D7-D702B54AE8DA}">
    <text>Must match one of:
1) Bincut Performance Mode
2) PBC Performance Mode</text>
  </threadedComment>
  <threadedComment ref="C1" dT="2024-01-29T23:46:42.33" personId="{AC306AA3-F91D-7A40-BA54-D20D4112BE48}" id="{AF371D1C-7BAA-DC4B-A445-FE1087C41C3C}">
    <text>Must match TestPlan / Instance_sheet / Sub Flow.
Blank cells mean no content to run.</text>
  </threadedComment>
  <threadedComment ref="E1" dT="2024-01-29T23:52:40.13" personId="{AC306AA3-F91D-7A40-BA54-D20D4112BE48}" id="{4813388D-F414-5843-BF1F-D3DCC95993BD}">
    <text>For each insertion, include a column.  The numbers in each column ARE used to determine the flow order from lowest to highest.  Recommend to use integers, but decimal are also supported.  Note that numbers in each column (insertion) can be different orders.  Blank means not tested.  Use “interpolate” if performance mode is interpolated.</text>
  </threadedComment>
  <threadedComment ref="O1" dT="2024-01-29T23:50:14.56" personId="{AC306AA3-F91D-7A40-BA54-D20D4112BE48}" id="{7F35FC0D-4280-FE48-8885-9BFD9C26977A}">
    <text>This is a number used for sorting and organizing rows.  It is NOT used to control flow sequence.</text>
  </threadedComment>
</ThreadedComment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1.xml"/><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01F03-2158-C044-9847-3D61853EE7D8}">
  <dimension ref="A1:F47"/>
  <sheetViews>
    <sheetView tabSelected="1" topLeftCell="A22" zoomScale="140" zoomScaleNormal="140" workbookViewId="0">
      <selection activeCell="F49" sqref="F49"/>
    </sheetView>
  </sheetViews>
  <sheetFormatPr baseColWidth="10" defaultRowHeight="14" x14ac:dyDescent="0.15"/>
  <cols>
    <col min="1" max="1" width="8.5" style="6" customWidth="1"/>
    <col min="2" max="2" width="9.5" style="6" bestFit="1" customWidth="1"/>
    <col min="3" max="3" width="19.33203125" style="6" bestFit="1" customWidth="1"/>
    <col min="4" max="4" width="30.6640625" style="8" bestFit="1" customWidth="1"/>
    <col min="5" max="5" width="7.5" style="6" bestFit="1" customWidth="1"/>
    <col min="6" max="6" width="143.33203125" style="9" bestFit="1" customWidth="1"/>
    <col min="7" max="16384" width="10.83203125" style="6"/>
  </cols>
  <sheetData>
    <row r="1" spans="1:6" x14ac:dyDescent="0.15">
      <c r="A1" s="6" t="s">
        <v>47</v>
      </c>
      <c r="B1" s="6" t="s">
        <v>46</v>
      </c>
      <c r="C1" s="6" t="s">
        <v>38</v>
      </c>
      <c r="D1" s="7" t="s">
        <v>40</v>
      </c>
      <c r="E1" s="6" t="s">
        <v>39</v>
      </c>
      <c r="F1" s="6" t="s">
        <v>41</v>
      </c>
    </row>
    <row r="2" spans="1:6" ht="15" x14ac:dyDescent="0.15">
      <c r="A2" s="6" t="s">
        <v>48</v>
      </c>
      <c r="D2" s="8">
        <v>45381</v>
      </c>
      <c r="E2" s="6" t="s">
        <v>86</v>
      </c>
      <c r="F2" s="10" t="s">
        <v>233</v>
      </c>
    </row>
    <row r="3" spans="1:6" x14ac:dyDescent="0.15">
      <c r="A3" s="6" t="s">
        <v>48</v>
      </c>
      <c r="D3" s="8">
        <v>45381</v>
      </c>
      <c r="E3" s="6" t="s">
        <v>86</v>
      </c>
      <c r="F3" s="9" t="s">
        <v>235</v>
      </c>
    </row>
    <row r="4" spans="1:6" x14ac:dyDescent="0.15">
      <c r="A4" s="6" t="s">
        <v>48</v>
      </c>
      <c r="D4" s="8">
        <v>45381</v>
      </c>
      <c r="E4" s="6" t="s">
        <v>86</v>
      </c>
      <c r="F4" s="9" t="s">
        <v>236</v>
      </c>
    </row>
    <row r="5" spans="1:6" x14ac:dyDescent="0.15">
      <c r="A5" s="6" t="s">
        <v>48</v>
      </c>
      <c r="B5" s="6" t="s">
        <v>234</v>
      </c>
      <c r="C5" s="6">
        <v>1</v>
      </c>
      <c r="D5" s="8">
        <v>45381</v>
      </c>
      <c r="E5" s="6" t="s">
        <v>86</v>
      </c>
      <c r="F5" s="9" t="s">
        <v>237</v>
      </c>
    </row>
    <row r="6" spans="1:6" ht="75" x14ac:dyDescent="0.15">
      <c r="A6" s="6" t="s">
        <v>48</v>
      </c>
      <c r="B6" s="6" t="s">
        <v>238</v>
      </c>
      <c r="C6" s="6">
        <v>1</v>
      </c>
      <c r="D6" s="8">
        <v>45429</v>
      </c>
      <c r="E6" s="6" t="s">
        <v>239</v>
      </c>
      <c r="F6" s="10" t="s">
        <v>243</v>
      </c>
    </row>
    <row r="7" spans="1:6" ht="30" x14ac:dyDescent="0.15">
      <c r="A7" s="6" t="s">
        <v>48</v>
      </c>
      <c r="B7" s="6" t="s">
        <v>238</v>
      </c>
      <c r="C7" s="6">
        <v>2</v>
      </c>
      <c r="D7" s="8">
        <v>45432</v>
      </c>
      <c r="E7" s="6" t="s">
        <v>86</v>
      </c>
      <c r="F7" s="24" t="s">
        <v>247</v>
      </c>
    </row>
    <row r="8" spans="1:6" x14ac:dyDescent="0.15">
      <c r="A8" s="6" t="s">
        <v>48</v>
      </c>
      <c r="B8" s="6" t="s">
        <v>238</v>
      </c>
      <c r="C8" s="6">
        <v>3</v>
      </c>
      <c r="D8" s="8">
        <v>45432</v>
      </c>
      <c r="E8" s="6" t="s">
        <v>239</v>
      </c>
      <c r="F8" s="9" t="s">
        <v>248</v>
      </c>
    </row>
    <row r="9" spans="1:6" x14ac:dyDescent="0.15">
      <c r="A9" s="6" t="s">
        <v>48</v>
      </c>
      <c r="B9" s="6" t="s">
        <v>238</v>
      </c>
      <c r="C9" s="6">
        <v>4</v>
      </c>
      <c r="D9" s="8">
        <v>45432</v>
      </c>
      <c r="E9" s="6" t="s">
        <v>86</v>
      </c>
      <c r="F9" s="9" t="s">
        <v>256</v>
      </c>
    </row>
    <row r="10" spans="1:6" x14ac:dyDescent="0.15">
      <c r="A10" s="6" t="s">
        <v>48</v>
      </c>
      <c r="B10" s="6" t="s">
        <v>238</v>
      </c>
      <c r="C10" s="6">
        <v>5</v>
      </c>
      <c r="D10" s="8">
        <v>45433</v>
      </c>
      <c r="E10" s="6" t="s">
        <v>86</v>
      </c>
      <c r="F10" s="9" t="s">
        <v>258</v>
      </c>
    </row>
    <row r="11" spans="1:6" x14ac:dyDescent="0.15">
      <c r="A11" s="6" t="s">
        <v>48</v>
      </c>
      <c r="B11" s="6" t="s">
        <v>238</v>
      </c>
      <c r="C11" s="6">
        <v>6</v>
      </c>
      <c r="D11" s="8">
        <v>45433</v>
      </c>
      <c r="E11" s="6" t="s">
        <v>86</v>
      </c>
      <c r="F11" s="9" t="s">
        <v>259</v>
      </c>
    </row>
    <row r="12" spans="1:6" x14ac:dyDescent="0.15">
      <c r="A12" s="6" t="s">
        <v>48</v>
      </c>
      <c r="B12" s="6" t="s">
        <v>238</v>
      </c>
      <c r="C12" s="6">
        <v>7</v>
      </c>
      <c r="D12" s="8">
        <v>45433</v>
      </c>
      <c r="E12" s="6" t="s">
        <v>86</v>
      </c>
      <c r="F12" s="9" t="s">
        <v>260</v>
      </c>
    </row>
    <row r="13" spans="1:6" x14ac:dyDescent="0.15">
      <c r="A13" s="6" t="s">
        <v>48</v>
      </c>
      <c r="B13" s="6" t="s">
        <v>238</v>
      </c>
      <c r="C13" s="6">
        <v>8</v>
      </c>
      <c r="D13" s="8">
        <v>45438</v>
      </c>
      <c r="E13" s="6" t="s">
        <v>86</v>
      </c>
      <c r="F13" s="9" t="s">
        <v>273</v>
      </c>
    </row>
    <row r="14" spans="1:6" x14ac:dyDescent="0.15">
      <c r="A14" s="6" t="s">
        <v>48</v>
      </c>
      <c r="B14" s="6" t="s">
        <v>238</v>
      </c>
      <c r="C14" s="6">
        <v>9</v>
      </c>
      <c r="D14" s="8">
        <v>45454</v>
      </c>
      <c r="E14" s="6" t="s">
        <v>86</v>
      </c>
      <c r="F14" s="9" t="s">
        <v>274</v>
      </c>
    </row>
    <row r="15" spans="1:6" x14ac:dyDescent="0.15">
      <c r="A15" s="6" t="s">
        <v>48</v>
      </c>
      <c r="B15" s="6" t="s">
        <v>238</v>
      </c>
      <c r="C15" s="6">
        <v>10</v>
      </c>
      <c r="D15" s="8">
        <v>45461</v>
      </c>
      <c r="E15" s="6" t="s">
        <v>86</v>
      </c>
      <c r="F15" s="9" t="s">
        <v>283</v>
      </c>
    </row>
    <row r="16" spans="1:6" x14ac:dyDescent="0.15">
      <c r="A16" s="6" t="s">
        <v>48</v>
      </c>
      <c r="B16" s="6" t="s">
        <v>238</v>
      </c>
      <c r="C16" s="6">
        <v>11</v>
      </c>
      <c r="D16" s="8">
        <v>45467</v>
      </c>
      <c r="E16" s="6" t="s">
        <v>86</v>
      </c>
      <c r="F16" s="9" t="s">
        <v>284</v>
      </c>
    </row>
    <row r="17" spans="1:6" x14ac:dyDescent="0.15">
      <c r="A17" s="6" t="s">
        <v>48</v>
      </c>
      <c r="B17" s="6" t="s">
        <v>238</v>
      </c>
      <c r="C17" s="6">
        <v>12</v>
      </c>
      <c r="D17" s="8">
        <v>45468</v>
      </c>
      <c r="E17" s="6" t="s">
        <v>86</v>
      </c>
      <c r="F17" s="9" t="s">
        <v>285</v>
      </c>
    </row>
    <row r="18" spans="1:6" x14ac:dyDescent="0.15">
      <c r="A18" s="6" t="s">
        <v>48</v>
      </c>
      <c r="B18" s="6" t="s">
        <v>238</v>
      </c>
      <c r="C18" s="6">
        <v>13</v>
      </c>
      <c r="D18" s="8">
        <v>45469</v>
      </c>
      <c r="E18" s="6" t="s">
        <v>86</v>
      </c>
      <c r="F18" s="9" t="s">
        <v>286</v>
      </c>
    </row>
    <row r="19" spans="1:6" x14ac:dyDescent="0.15">
      <c r="A19" s="6" t="s">
        <v>48</v>
      </c>
      <c r="B19" s="6" t="s">
        <v>238</v>
      </c>
      <c r="C19" s="6">
        <v>14</v>
      </c>
      <c r="D19" s="8">
        <v>45483</v>
      </c>
      <c r="E19" s="6" t="s">
        <v>86</v>
      </c>
      <c r="F19" s="9" t="s">
        <v>287</v>
      </c>
    </row>
    <row r="20" spans="1:6" x14ac:dyDescent="0.15">
      <c r="A20" s="6" t="s">
        <v>288</v>
      </c>
      <c r="B20" s="6" t="s">
        <v>289</v>
      </c>
      <c r="C20" s="6">
        <v>1</v>
      </c>
      <c r="D20" s="8">
        <v>45488</v>
      </c>
      <c r="E20" s="6" t="s">
        <v>239</v>
      </c>
      <c r="F20" s="9" t="s">
        <v>290</v>
      </c>
    </row>
    <row r="21" spans="1:6" x14ac:dyDescent="0.15">
      <c r="A21" s="6" t="s">
        <v>288</v>
      </c>
      <c r="B21" s="6" t="s">
        <v>289</v>
      </c>
      <c r="C21" s="6">
        <v>1</v>
      </c>
      <c r="D21" s="8">
        <v>45489</v>
      </c>
      <c r="E21" s="6" t="s">
        <v>86</v>
      </c>
      <c r="F21" s="9" t="s">
        <v>309</v>
      </c>
    </row>
    <row r="22" spans="1:6" x14ac:dyDescent="0.15">
      <c r="A22" s="6" t="s">
        <v>288</v>
      </c>
      <c r="B22" s="6" t="s">
        <v>289</v>
      </c>
      <c r="C22" s="6">
        <v>1</v>
      </c>
      <c r="D22" s="8">
        <v>45490</v>
      </c>
      <c r="E22" s="6" t="s">
        <v>86</v>
      </c>
      <c r="F22" s="9" t="s">
        <v>310</v>
      </c>
    </row>
    <row r="23" spans="1:6" x14ac:dyDescent="0.15">
      <c r="A23" s="6" t="s">
        <v>288</v>
      </c>
      <c r="B23" s="6" t="s">
        <v>289</v>
      </c>
      <c r="C23" s="6">
        <v>1</v>
      </c>
      <c r="D23" s="8">
        <v>45503</v>
      </c>
      <c r="E23" s="6" t="s">
        <v>239</v>
      </c>
      <c r="F23" s="9" t="s">
        <v>311</v>
      </c>
    </row>
    <row r="24" spans="1:6" x14ac:dyDescent="0.15">
      <c r="A24" s="6" t="s">
        <v>288</v>
      </c>
      <c r="B24" s="6" t="s">
        <v>289</v>
      </c>
      <c r="C24" s="6">
        <v>1</v>
      </c>
      <c r="D24" s="8">
        <v>45503</v>
      </c>
      <c r="E24" s="6" t="s">
        <v>86</v>
      </c>
      <c r="F24" s="9" t="s">
        <v>317</v>
      </c>
    </row>
    <row r="25" spans="1:6" x14ac:dyDescent="0.15">
      <c r="A25" s="6" t="s">
        <v>288</v>
      </c>
      <c r="B25" s="6" t="s">
        <v>289</v>
      </c>
      <c r="C25" s="6">
        <v>1</v>
      </c>
      <c r="D25" s="8">
        <v>45503</v>
      </c>
      <c r="E25" s="6" t="s">
        <v>86</v>
      </c>
      <c r="F25" s="9" t="s">
        <v>318</v>
      </c>
    </row>
    <row r="26" spans="1:6" x14ac:dyDescent="0.15">
      <c r="A26" s="6" t="s">
        <v>288</v>
      </c>
      <c r="B26" s="6" t="s">
        <v>289</v>
      </c>
      <c r="C26" s="6">
        <v>2</v>
      </c>
      <c r="D26" s="8">
        <v>45509</v>
      </c>
      <c r="E26" s="6" t="s">
        <v>239</v>
      </c>
      <c r="F26" s="9" t="s">
        <v>319</v>
      </c>
    </row>
    <row r="27" spans="1:6" x14ac:dyDescent="0.15">
      <c r="A27" s="6" t="s">
        <v>288</v>
      </c>
      <c r="B27" s="6" t="s">
        <v>289</v>
      </c>
      <c r="C27" s="6">
        <v>3</v>
      </c>
      <c r="D27" s="8">
        <v>45511</v>
      </c>
      <c r="E27" s="6" t="s">
        <v>239</v>
      </c>
      <c r="F27" s="9" t="s">
        <v>327</v>
      </c>
    </row>
    <row r="28" spans="1:6" x14ac:dyDescent="0.15">
      <c r="A28" s="6" t="s">
        <v>288</v>
      </c>
      <c r="B28" s="6" t="s">
        <v>289</v>
      </c>
      <c r="C28" s="6">
        <v>4</v>
      </c>
      <c r="D28" s="8">
        <v>45512</v>
      </c>
      <c r="E28" s="6" t="s">
        <v>86</v>
      </c>
      <c r="F28" s="9" t="s">
        <v>328</v>
      </c>
    </row>
    <row r="29" spans="1:6" x14ac:dyDescent="0.15">
      <c r="A29" s="6" t="s">
        <v>288</v>
      </c>
      <c r="B29" s="6" t="s">
        <v>289</v>
      </c>
      <c r="C29" s="6">
        <v>5</v>
      </c>
      <c r="D29" s="8">
        <v>45519</v>
      </c>
      <c r="E29" s="6" t="s">
        <v>86</v>
      </c>
      <c r="F29" s="9" t="s">
        <v>340</v>
      </c>
    </row>
    <row r="30" spans="1:6" x14ac:dyDescent="0.15">
      <c r="A30" s="6" t="s">
        <v>288</v>
      </c>
      <c r="B30" s="6" t="s">
        <v>289</v>
      </c>
      <c r="C30" s="6">
        <v>6</v>
      </c>
      <c r="D30" s="8">
        <v>45522</v>
      </c>
      <c r="E30" s="6" t="s">
        <v>343</v>
      </c>
      <c r="F30" s="9" t="s">
        <v>342</v>
      </c>
    </row>
    <row r="31" spans="1:6" x14ac:dyDescent="0.15">
      <c r="A31" s="6" t="s">
        <v>288</v>
      </c>
      <c r="B31" s="6" t="s">
        <v>289</v>
      </c>
      <c r="C31" s="6">
        <v>7</v>
      </c>
      <c r="D31" s="8">
        <v>45528</v>
      </c>
      <c r="E31" s="6" t="s">
        <v>86</v>
      </c>
      <c r="F31" s="9" t="s">
        <v>345</v>
      </c>
    </row>
    <row r="32" spans="1:6" x14ac:dyDescent="0.15">
      <c r="A32" s="6" t="s">
        <v>288</v>
      </c>
      <c r="B32" s="6" t="s">
        <v>289</v>
      </c>
      <c r="C32" s="6">
        <v>8</v>
      </c>
      <c r="D32" s="8">
        <v>45529</v>
      </c>
      <c r="E32" s="6" t="s">
        <v>86</v>
      </c>
      <c r="F32" s="9" t="s">
        <v>346</v>
      </c>
    </row>
    <row r="33" spans="1:6" x14ac:dyDescent="0.15">
      <c r="A33" s="6" t="s">
        <v>288</v>
      </c>
      <c r="B33" s="6" t="s">
        <v>289</v>
      </c>
      <c r="C33" s="6">
        <v>9</v>
      </c>
      <c r="D33" s="8">
        <v>45566</v>
      </c>
      <c r="E33" s="6" t="s">
        <v>343</v>
      </c>
      <c r="F33" s="50" t="s">
        <v>355</v>
      </c>
    </row>
    <row r="34" spans="1:6" x14ac:dyDescent="0.15">
      <c r="A34" s="6" t="s">
        <v>288</v>
      </c>
      <c r="B34" s="6" t="s">
        <v>356</v>
      </c>
      <c r="C34" s="6">
        <v>1</v>
      </c>
      <c r="D34" s="8">
        <v>45567</v>
      </c>
      <c r="E34" s="6" t="s">
        <v>239</v>
      </c>
      <c r="F34" s="9" t="s">
        <v>358</v>
      </c>
    </row>
    <row r="35" spans="1:6" x14ac:dyDescent="0.15">
      <c r="A35" s="6" t="s">
        <v>288</v>
      </c>
      <c r="B35" s="6" t="s">
        <v>356</v>
      </c>
      <c r="C35" s="6">
        <v>2</v>
      </c>
      <c r="D35" s="8">
        <v>45567</v>
      </c>
      <c r="E35" s="6" t="s">
        <v>86</v>
      </c>
      <c r="F35" s="9" t="s">
        <v>360</v>
      </c>
    </row>
    <row r="36" spans="1:6" x14ac:dyDescent="0.15">
      <c r="A36" s="6" t="s">
        <v>288</v>
      </c>
      <c r="B36" s="6" t="s">
        <v>356</v>
      </c>
      <c r="C36" s="6">
        <v>3</v>
      </c>
      <c r="D36" s="8">
        <v>45569</v>
      </c>
      <c r="E36" s="6" t="s">
        <v>86</v>
      </c>
      <c r="F36" s="9" t="s">
        <v>361</v>
      </c>
    </row>
    <row r="37" spans="1:6" x14ac:dyDescent="0.15">
      <c r="A37" s="6" t="s">
        <v>288</v>
      </c>
      <c r="B37" s="6" t="s">
        <v>356</v>
      </c>
      <c r="C37" s="6">
        <v>4</v>
      </c>
      <c r="D37" s="8">
        <v>45571</v>
      </c>
      <c r="E37" s="6" t="s">
        <v>86</v>
      </c>
      <c r="F37" s="9" t="s">
        <v>365</v>
      </c>
    </row>
    <row r="38" spans="1:6" x14ac:dyDescent="0.15">
      <c r="A38" s="6" t="s">
        <v>288</v>
      </c>
      <c r="B38" s="6" t="s">
        <v>356</v>
      </c>
      <c r="C38" s="6">
        <v>5</v>
      </c>
      <c r="D38" s="8">
        <v>45572</v>
      </c>
      <c r="E38" s="6" t="s">
        <v>86</v>
      </c>
      <c r="F38" s="9" t="s">
        <v>367</v>
      </c>
    </row>
    <row r="39" spans="1:6" x14ac:dyDescent="0.15">
      <c r="A39" s="6" t="s">
        <v>288</v>
      </c>
      <c r="B39" s="6" t="s">
        <v>356</v>
      </c>
      <c r="C39" s="6">
        <v>6</v>
      </c>
      <c r="D39" s="8">
        <v>45572</v>
      </c>
      <c r="E39" s="6" t="s">
        <v>86</v>
      </c>
      <c r="F39" s="9" t="s">
        <v>368</v>
      </c>
    </row>
    <row r="40" spans="1:6" x14ac:dyDescent="0.15">
      <c r="C40" s="6">
        <v>7</v>
      </c>
      <c r="D40" s="8">
        <v>45574</v>
      </c>
      <c r="E40" s="6" t="s">
        <v>239</v>
      </c>
      <c r="F40" s="9" t="s">
        <v>369</v>
      </c>
    </row>
    <row r="41" spans="1:6" x14ac:dyDescent="0.15">
      <c r="C41" s="6">
        <v>8</v>
      </c>
      <c r="D41" s="8">
        <v>45573</v>
      </c>
      <c r="E41" s="6" t="s">
        <v>86</v>
      </c>
      <c r="F41" s="9" t="s">
        <v>370</v>
      </c>
    </row>
    <row r="42" spans="1:6" x14ac:dyDescent="0.15">
      <c r="C42" s="6">
        <v>9</v>
      </c>
      <c r="D42" s="8">
        <v>45578</v>
      </c>
      <c r="E42" s="6" t="s">
        <v>86</v>
      </c>
      <c r="F42" s="9" t="s">
        <v>371</v>
      </c>
    </row>
    <row r="43" spans="1:6" x14ac:dyDescent="0.15">
      <c r="C43" s="6">
        <v>1</v>
      </c>
      <c r="D43" s="8">
        <v>45614</v>
      </c>
      <c r="E43" s="6" t="s">
        <v>239</v>
      </c>
      <c r="F43" s="9" t="s">
        <v>372</v>
      </c>
    </row>
    <row r="44" spans="1:6" x14ac:dyDescent="0.15">
      <c r="C44" s="6">
        <v>2</v>
      </c>
      <c r="D44" s="8">
        <v>45614</v>
      </c>
      <c r="E44" s="6" t="s">
        <v>239</v>
      </c>
      <c r="F44" s="9" t="s">
        <v>373</v>
      </c>
    </row>
    <row r="45" spans="1:6" x14ac:dyDescent="0.15">
      <c r="C45" s="6">
        <v>3</v>
      </c>
      <c r="D45" s="8">
        <v>45614</v>
      </c>
      <c r="E45" s="6" t="s">
        <v>239</v>
      </c>
      <c r="F45" s="9" t="s">
        <v>374</v>
      </c>
    </row>
    <row r="46" spans="1:6" x14ac:dyDescent="0.15">
      <c r="C46" s="6">
        <v>4</v>
      </c>
      <c r="D46" s="8">
        <v>45615</v>
      </c>
      <c r="E46" s="6" t="s">
        <v>86</v>
      </c>
      <c r="F46" s="9" t="s">
        <v>375</v>
      </c>
    </row>
    <row r="47" spans="1:6" ht="45" x14ac:dyDescent="0.15">
      <c r="B47" s="6" t="s">
        <v>567</v>
      </c>
      <c r="D47" s="8">
        <v>45616</v>
      </c>
      <c r="E47" s="6" t="s">
        <v>343</v>
      </c>
      <c r="F47" s="10" t="s">
        <v>568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2C7A3C-58EE-0B40-AE7F-E42D92A4F524}">
  <dimension ref="A1:O2"/>
  <sheetViews>
    <sheetView zoomScaleNormal="100" workbookViewId="0">
      <pane xSplit="3" ySplit="1" topLeftCell="D2" activePane="bottomRight" state="frozen"/>
      <selection pane="topRight" activeCell="D1" sqref="D1"/>
      <selection pane="bottomLeft" activeCell="A2" sqref="A2"/>
      <selection pane="bottomRight" activeCell="C22" sqref="C22"/>
    </sheetView>
  </sheetViews>
  <sheetFormatPr baseColWidth="10" defaultColWidth="10.83203125" defaultRowHeight="17" x14ac:dyDescent="0.25"/>
  <cols>
    <col min="1" max="1" width="5.83203125" style="14" bestFit="1" customWidth="1"/>
    <col min="2" max="2" width="21.1640625" style="1" bestFit="1" customWidth="1"/>
    <col min="3" max="3" width="29.6640625" style="1" bestFit="1" customWidth="1"/>
    <col min="4" max="4" width="22.5" style="1" bestFit="1" customWidth="1"/>
    <col min="5" max="5" width="14" style="4" bestFit="1" customWidth="1"/>
    <col min="6" max="8" width="5.83203125" style="4" bestFit="1" customWidth="1"/>
    <col min="9" max="9" width="11.6640625" style="4" bestFit="1" customWidth="1"/>
    <col min="10" max="11" width="10.5" style="4" bestFit="1" customWidth="1"/>
    <col min="12" max="12" width="9.33203125" style="4" bestFit="1" customWidth="1"/>
    <col min="13" max="13" width="49" style="3" customWidth="1"/>
    <col min="14" max="14" width="8.1640625" style="3" bestFit="1" customWidth="1"/>
    <col min="15" max="15" width="7" style="14" bestFit="1" customWidth="1"/>
    <col min="16" max="16384" width="10.83203125" style="3"/>
  </cols>
  <sheetData>
    <row r="1" spans="1:15" s="12" customFormat="1" ht="17" customHeight="1" thickBot="1" x14ac:dyDescent="0.3">
      <c r="A1" s="22" t="s">
        <v>561</v>
      </c>
      <c r="B1" s="55" t="s">
        <v>0</v>
      </c>
      <c r="C1" s="56" t="s">
        <v>232</v>
      </c>
      <c r="D1" s="57" t="s">
        <v>341</v>
      </c>
      <c r="E1" s="58" t="s">
        <v>42</v>
      </c>
      <c r="F1" s="58" t="s">
        <v>43</v>
      </c>
      <c r="G1" s="58" t="s">
        <v>52</v>
      </c>
      <c r="H1" s="58" t="s">
        <v>53</v>
      </c>
      <c r="I1" s="58" t="s">
        <v>55</v>
      </c>
      <c r="J1" s="58" t="s">
        <v>56</v>
      </c>
      <c r="K1" s="58" t="s">
        <v>57</v>
      </c>
      <c r="L1" s="58" t="s">
        <v>58</v>
      </c>
      <c r="M1" s="59" t="s">
        <v>54</v>
      </c>
      <c r="N1" s="59" t="s">
        <v>71</v>
      </c>
      <c r="O1" s="22" t="s">
        <v>62</v>
      </c>
    </row>
    <row r="2" spans="1:15" x14ac:dyDescent="0.25">
      <c r="A2" s="53" t="s">
        <v>566</v>
      </c>
      <c r="B2" s="47"/>
      <c r="C2" s="47"/>
      <c r="D2" s="47"/>
      <c r="E2" s="17"/>
      <c r="F2" s="17"/>
      <c r="G2" s="17"/>
      <c r="H2" s="17"/>
      <c r="I2" s="17"/>
      <c r="J2" s="17"/>
      <c r="K2" s="17"/>
      <c r="L2" s="17"/>
      <c r="M2" s="18"/>
      <c r="N2" s="18"/>
      <c r="O2" s="17"/>
    </row>
  </sheetData>
  <conditionalFormatting sqref="A2:O2">
    <cfRule type="expression" dxfId="181" priority="20" stopIfTrue="1">
      <formula>$N2="None"</formula>
    </cfRule>
    <cfRule type="expression" dxfId="180" priority="21" stopIfTrue="1">
      <formula>$N2="orange"</formula>
    </cfRule>
    <cfRule type="expression" dxfId="179" priority="22" stopIfTrue="1">
      <formula>$N2="blue"</formula>
    </cfRule>
    <cfRule type="expression" dxfId="178" priority="23" stopIfTrue="1">
      <formula>$N2="yellow"</formula>
    </cfRule>
  </conditionalFormatting>
  <pageMargins left="0.7" right="0.7" top="0.75" bottom="0.75" header="0.3" footer="0.3"/>
  <pageSetup orientation="portrait" horizontalDpi="0" verticalDpi="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BDA12-38C8-BC47-9718-A62B95BA6314}">
  <dimension ref="A1:O160"/>
  <sheetViews>
    <sheetView zoomScaleNormal="100" workbookViewId="0">
      <pane xSplit="3" ySplit="1" topLeftCell="D154" activePane="bottomRight" state="frozen"/>
      <selection pane="topRight" activeCell="D1" sqref="D1"/>
      <selection pane="bottomLeft" activeCell="A2" sqref="A2"/>
      <selection pane="bottomRight" activeCell="C176" sqref="C176"/>
    </sheetView>
  </sheetViews>
  <sheetFormatPr baseColWidth="10" defaultColWidth="10.83203125" defaultRowHeight="17" x14ac:dyDescent="0.25"/>
  <cols>
    <col min="1" max="1" width="5.83203125" style="14" bestFit="1" customWidth="1"/>
    <col min="2" max="2" width="21.1640625" style="1" bestFit="1" customWidth="1"/>
    <col min="3" max="3" width="29.6640625" style="1" bestFit="1" customWidth="1"/>
    <col min="4" max="4" width="22.5" style="1" bestFit="1" customWidth="1"/>
    <col min="5" max="5" width="14" style="4" bestFit="1" customWidth="1"/>
    <col min="6" max="8" width="5.83203125" style="4" bestFit="1" customWidth="1"/>
    <col min="9" max="9" width="11.6640625" style="4" bestFit="1" customWidth="1"/>
    <col min="10" max="11" width="10.5" style="4" bestFit="1" customWidth="1"/>
    <col min="12" max="12" width="9.33203125" style="4" bestFit="1" customWidth="1"/>
    <col min="13" max="13" width="49" style="3" customWidth="1"/>
    <col min="14" max="14" width="8.1640625" style="3" bestFit="1" customWidth="1"/>
    <col min="15" max="15" width="7" style="14" bestFit="1" customWidth="1"/>
    <col min="16" max="16384" width="10.83203125" style="3"/>
  </cols>
  <sheetData>
    <row r="1" spans="1:15" s="12" customFormat="1" ht="17" customHeight="1" thickBot="1" x14ac:dyDescent="0.3">
      <c r="A1" s="22" t="s">
        <v>561</v>
      </c>
      <c r="B1" s="55" t="s">
        <v>0</v>
      </c>
      <c r="C1" s="56" t="s">
        <v>232</v>
      </c>
      <c r="D1" s="57" t="s">
        <v>341</v>
      </c>
      <c r="E1" s="58" t="s">
        <v>42</v>
      </c>
      <c r="F1" s="58" t="s">
        <v>43</v>
      </c>
      <c r="G1" s="58" t="s">
        <v>52</v>
      </c>
      <c r="H1" s="58" t="s">
        <v>53</v>
      </c>
      <c r="I1" s="58" t="s">
        <v>55</v>
      </c>
      <c r="J1" s="58" t="s">
        <v>56</v>
      </c>
      <c r="K1" s="58" t="s">
        <v>57</v>
      </c>
      <c r="L1" s="58" t="s">
        <v>58</v>
      </c>
      <c r="M1" s="59" t="s">
        <v>54</v>
      </c>
      <c r="N1" s="59" t="s">
        <v>71</v>
      </c>
      <c r="O1" s="22" t="s">
        <v>62</v>
      </c>
    </row>
    <row r="2" spans="1:15" x14ac:dyDescent="0.25">
      <c r="A2" s="53" t="s">
        <v>562</v>
      </c>
      <c r="B2" s="47" t="s">
        <v>1</v>
      </c>
      <c r="C2" s="47" t="s">
        <v>376</v>
      </c>
      <c r="D2" s="47"/>
      <c r="E2" s="17" t="s">
        <v>564</v>
      </c>
      <c r="F2" s="17" t="s">
        <v>564</v>
      </c>
      <c r="G2" s="17" t="s">
        <v>564</v>
      </c>
      <c r="H2" s="17" t="s">
        <v>565</v>
      </c>
      <c r="I2" s="17" t="s">
        <v>564</v>
      </c>
      <c r="J2" s="17" t="s">
        <v>564</v>
      </c>
      <c r="K2" s="17" t="s">
        <v>564</v>
      </c>
      <c r="L2" s="17" t="s">
        <v>564</v>
      </c>
      <c r="M2" s="18" t="s">
        <v>291</v>
      </c>
      <c r="N2" s="18" t="s">
        <v>72</v>
      </c>
      <c r="O2" s="17">
        <f>ROW()-1</f>
        <v>1</v>
      </c>
    </row>
    <row r="3" spans="1:15" x14ac:dyDescent="0.25">
      <c r="A3" s="54" t="s">
        <v>562</v>
      </c>
      <c r="B3" s="26" t="s">
        <v>1</v>
      </c>
      <c r="C3" s="26" t="s">
        <v>377</v>
      </c>
      <c r="D3" s="26"/>
      <c r="E3" s="13" t="s">
        <v>564</v>
      </c>
      <c r="F3" s="13" t="s">
        <v>564</v>
      </c>
      <c r="G3" s="13" t="s">
        <v>564</v>
      </c>
      <c r="H3" s="5" t="s">
        <v>565</v>
      </c>
      <c r="I3" s="13" t="s">
        <v>564</v>
      </c>
      <c r="J3" s="13" t="s">
        <v>564</v>
      </c>
      <c r="K3" s="13" t="s">
        <v>564</v>
      </c>
      <c r="L3" s="13" t="s">
        <v>564</v>
      </c>
      <c r="M3" s="11" t="s">
        <v>73</v>
      </c>
      <c r="N3" s="11" t="s">
        <v>72</v>
      </c>
      <c r="O3" s="13">
        <f t="shared" ref="O3:O72" si="0">ROW()-1</f>
        <v>2</v>
      </c>
    </row>
    <row r="4" spans="1:15" x14ac:dyDescent="0.25">
      <c r="A4" s="54" t="s">
        <v>562</v>
      </c>
      <c r="B4" s="26" t="s">
        <v>378</v>
      </c>
      <c r="C4" s="26" t="s">
        <v>379</v>
      </c>
      <c r="D4" s="26"/>
      <c r="E4" s="13" t="s">
        <v>564</v>
      </c>
      <c r="F4" s="13" t="s">
        <v>564</v>
      </c>
      <c r="G4" s="13" t="s">
        <v>564</v>
      </c>
      <c r="H4" s="5" t="s">
        <v>565</v>
      </c>
      <c r="I4" s="13" t="s">
        <v>564</v>
      </c>
      <c r="J4" s="13" t="s">
        <v>564</v>
      </c>
      <c r="K4" s="13" t="s">
        <v>564</v>
      </c>
      <c r="L4" s="13" t="s">
        <v>564</v>
      </c>
      <c r="M4" s="11" t="s">
        <v>73</v>
      </c>
      <c r="N4" s="11" t="s">
        <v>72</v>
      </c>
      <c r="O4" s="13">
        <f t="shared" si="0"/>
        <v>3</v>
      </c>
    </row>
    <row r="5" spans="1:15" x14ac:dyDescent="0.25">
      <c r="A5" s="54" t="s">
        <v>562</v>
      </c>
      <c r="B5" s="26" t="s">
        <v>378</v>
      </c>
      <c r="C5" s="26" t="s">
        <v>380</v>
      </c>
      <c r="D5" s="26"/>
      <c r="E5" s="13" t="s">
        <v>564</v>
      </c>
      <c r="F5" s="13" t="s">
        <v>564</v>
      </c>
      <c r="G5" s="13" t="s">
        <v>564</v>
      </c>
      <c r="H5" s="5" t="s">
        <v>565</v>
      </c>
      <c r="I5" s="13" t="s">
        <v>564</v>
      </c>
      <c r="J5" s="13" t="s">
        <v>564</v>
      </c>
      <c r="K5" s="13" t="s">
        <v>564</v>
      </c>
      <c r="L5" s="13" t="s">
        <v>564</v>
      </c>
      <c r="M5" s="11" t="s">
        <v>73</v>
      </c>
      <c r="N5" s="11" t="s">
        <v>72</v>
      </c>
      <c r="O5" s="13">
        <f t="shared" si="0"/>
        <v>4</v>
      </c>
    </row>
    <row r="6" spans="1:15" x14ac:dyDescent="0.25">
      <c r="A6" s="54" t="s">
        <v>562</v>
      </c>
      <c r="B6" s="26" t="s">
        <v>63</v>
      </c>
      <c r="C6" s="26" t="s">
        <v>381</v>
      </c>
      <c r="D6" s="26"/>
      <c r="E6" s="13" t="s">
        <v>564</v>
      </c>
      <c r="F6" s="13" t="s">
        <v>565</v>
      </c>
      <c r="G6" s="13" t="s">
        <v>565</v>
      </c>
      <c r="H6" s="13" t="s">
        <v>564</v>
      </c>
      <c r="I6" s="13" t="s">
        <v>564</v>
      </c>
      <c r="J6" s="13" t="s">
        <v>564</v>
      </c>
      <c r="K6" s="13" t="s">
        <v>564</v>
      </c>
      <c r="L6" s="13" t="s">
        <v>564</v>
      </c>
      <c r="M6" s="11" t="s">
        <v>292</v>
      </c>
      <c r="N6" s="11" t="s">
        <v>68</v>
      </c>
      <c r="O6" s="13">
        <f t="shared" si="0"/>
        <v>5</v>
      </c>
    </row>
    <row r="7" spans="1:15" x14ac:dyDescent="0.25">
      <c r="A7" s="54" t="s">
        <v>562</v>
      </c>
      <c r="B7" s="26" t="s">
        <v>63</v>
      </c>
      <c r="C7" s="26" t="s">
        <v>382</v>
      </c>
      <c r="D7" s="26"/>
      <c r="E7" s="13" t="s">
        <v>564</v>
      </c>
      <c r="F7" s="13" t="s">
        <v>565</v>
      </c>
      <c r="G7" s="5" t="s">
        <v>565</v>
      </c>
      <c r="H7" s="13" t="s">
        <v>564</v>
      </c>
      <c r="I7" s="13" t="s">
        <v>564</v>
      </c>
      <c r="J7" s="13" t="s">
        <v>564</v>
      </c>
      <c r="K7" s="13" t="s">
        <v>564</v>
      </c>
      <c r="L7" s="13" t="s">
        <v>564</v>
      </c>
      <c r="M7" s="11" t="s">
        <v>74</v>
      </c>
      <c r="N7" s="11" t="s">
        <v>68</v>
      </c>
      <c r="O7" s="13">
        <f t="shared" si="0"/>
        <v>6</v>
      </c>
    </row>
    <row r="8" spans="1:15" x14ac:dyDescent="0.25">
      <c r="A8" s="54" t="s">
        <v>562</v>
      </c>
      <c r="B8" s="26" t="s">
        <v>383</v>
      </c>
      <c r="C8" s="26" t="s">
        <v>384</v>
      </c>
      <c r="D8" s="26"/>
      <c r="E8" s="13" t="s">
        <v>564</v>
      </c>
      <c r="F8" s="13" t="s">
        <v>565</v>
      </c>
      <c r="G8" s="5" t="s">
        <v>565</v>
      </c>
      <c r="H8" s="13" t="s">
        <v>564</v>
      </c>
      <c r="I8" s="13" t="s">
        <v>564</v>
      </c>
      <c r="J8" s="13" t="s">
        <v>564</v>
      </c>
      <c r="K8" s="13" t="s">
        <v>564</v>
      </c>
      <c r="L8" s="13" t="s">
        <v>564</v>
      </c>
      <c r="M8" s="11" t="s">
        <v>74</v>
      </c>
      <c r="N8" s="11" t="s">
        <v>68</v>
      </c>
      <c r="O8" s="13">
        <f t="shared" si="0"/>
        <v>7</v>
      </c>
    </row>
    <row r="9" spans="1:15" x14ac:dyDescent="0.25">
      <c r="A9" s="54" t="s">
        <v>562</v>
      </c>
      <c r="B9" s="26" t="s">
        <v>383</v>
      </c>
      <c r="C9" s="26" t="s">
        <v>385</v>
      </c>
      <c r="D9" s="26"/>
      <c r="E9" s="13" t="s">
        <v>564</v>
      </c>
      <c r="F9" s="13" t="s">
        <v>565</v>
      </c>
      <c r="G9" s="5" t="s">
        <v>565</v>
      </c>
      <c r="H9" s="13" t="s">
        <v>564</v>
      </c>
      <c r="I9" s="13" t="s">
        <v>564</v>
      </c>
      <c r="J9" s="13" t="s">
        <v>564</v>
      </c>
      <c r="K9" s="13" t="s">
        <v>564</v>
      </c>
      <c r="L9" s="13" t="s">
        <v>564</v>
      </c>
      <c r="M9" s="11" t="s">
        <v>74</v>
      </c>
      <c r="N9" s="11" t="s">
        <v>68</v>
      </c>
      <c r="O9" s="13">
        <f t="shared" si="0"/>
        <v>8</v>
      </c>
    </row>
    <row r="10" spans="1:15" x14ac:dyDescent="0.25">
      <c r="A10" s="54" t="s">
        <v>562</v>
      </c>
      <c r="B10" s="26" t="s">
        <v>63</v>
      </c>
      <c r="C10" s="26" t="s">
        <v>386</v>
      </c>
      <c r="D10" s="26"/>
      <c r="E10" s="13" t="s">
        <v>565</v>
      </c>
      <c r="F10" s="13" t="s">
        <v>565</v>
      </c>
      <c r="G10" s="5" t="s">
        <v>565</v>
      </c>
      <c r="H10" s="13" t="s">
        <v>565</v>
      </c>
      <c r="I10" s="13" t="s">
        <v>564</v>
      </c>
      <c r="J10" s="13" t="s">
        <v>564</v>
      </c>
      <c r="K10" s="13" t="s">
        <v>564</v>
      </c>
      <c r="L10" s="13" t="s">
        <v>564</v>
      </c>
      <c r="M10" s="11" t="s">
        <v>74</v>
      </c>
      <c r="N10" s="11" t="s">
        <v>68</v>
      </c>
      <c r="O10" s="13">
        <f t="shared" si="0"/>
        <v>9</v>
      </c>
    </row>
    <row r="11" spans="1:15" x14ac:dyDescent="0.25">
      <c r="A11" s="54" t="s">
        <v>562</v>
      </c>
      <c r="B11" s="26" t="s">
        <v>3</v>
      </c>
      <c r="C11" s="26" t="s">
        <v>387</v>
      </c>
      <c r="D11" s="26"/>
      <c r="E11" s="13" t="s">
        <v>564</v>
      </c>
      <c r="F11" s="13" t="s">
        <v>565</v>
      </c>
      <c r="G11" s="5" t="s">
        <v>565</v>
      </c>
      <c r="H11" s="5" t="s">
        <v>565</v>
      </c>
      <c r="I11" s="13" t="s">
        <v>564</v>
      </c>
      <c r="J11" s="13" t="s">
        <v>564</v>
      </c>
      <c r="K11" s="13" t="s">
        <v>564</v>
      </c>
      <c r="L11" s="13" t="s">
        <v>564</v>
      </c>
      <c r="M11" s="11" t="s">
        <v>75</v>
      </c>
      <c r="N11" s="11" t="s">
        <v>364</v>
      </c>
      <c r="O11" s="13">
        <f t="shared" si="0"/>
        <v>10</v>
      </c>
    </row>
    <row r="12" spans="1:15" x14ac:dyDescent="0.25">
      <c r="A12" s="54" t="s">
        <v>562</v>
      </c>
      <c r="B12" s="26" t="s">
        <v>388</v>
      </c>
      <c r="C12" s="26" t="s">
        <v>389</v>
      </c>
      <c r="D12" s="26"/>
      <c r="E12" s="13" t="s">
        <v>564</v>
      </c>
      <c r="F12" s="13" t="s">
        <v>565</v>
      </c>
      <c r="G12" s="5" t="s">
        <v>565</v>
      </c>
      <c r="H12" s="5" t="s">
        <v>565</v>
      </c>
      <c r="I12" s="13" t="s">
        <v>564</v>
      </c>
      <c r="J12" s="13" t="s">
        <v>564</v>
      </c>
      <c r="K12" s="13" t="s">
        <v>564</v>
      </c>
      <c r="L12" s="13" t="s">
        <v>564</v>
      </c>
      <c r="M12" s="11" t="s">
        <v>75</v>
      </c>
      <c r="N12" s="11" t="s">
        <v>364</v>
      </c>
      <c r="O12" s="13">
        <f t="shared" si="0"/>
        <v>11</v>
      </c>
    </row>
    <row r="13" spans="1:15" x14ac:dyDescent="0.25">
      <c r="A13" s="54" t="s">
        <v>562</v>
      </c>
      <c r="B13" s="26" t="s">
        <v>3</v>
      </c>
      <c r="C13" s="26" t="s">
        <v>390</v>
      </c>
      <c r="D13" s="26"/>
      <c r="E13" s="13" t="s">
        <v>564</v>
      </c>
      <c r="F13" s="13" t="s">
        <v>565</v>
      </c>
      <c r="G13" s="5" t="s">
        <v>565</v>
      </c>
      <c r="H13" s="5" t="s">
        <v>565</v>
      </c>
      <c r="I13" s="13" t="s">
        <v>564</v>
      </c>
      <c r="J13" s="13" t="s">
        <v>564</v>
      </c>
      <c r="K13" s="13" t="s">
        <v>564</v>
      </c>
      <c r="L13" s="13" t="s">
        <v>564</v>
      </c>
      <c r="M13" s="11" t="s">
        <v>75</v>
      </c>
      <c r="N13" s="11" t="s">
        <v>364</v>
      </c>
      <c r="O13" s="13">
        <f t="shared" si="0"/>
        <v>12</v>
      </c>
    </row>
    <row r="14" spans="1:15" x14ac:dyDescent="0.25">
      <c r="A14" s="54" t="s">
        <v>562</v>
      </c>
      <c r="B14" s="26" t="s">
        <v>2</v>
      </c>
      <c r="C14" s="26" t="s">
        <v>391</v>
      </c>
      <c r="D14" s="26"/>
      <c r="E14" s="51" t="s">
        <v>363</v>
      </c>
      <c r="F14" s="13" t="s">
        <v>565</v>
      </c>
      <c r="G14" s="5" t="s">
        <v>565</v>
      </c>
      <c r="H14" s="5" t="s">
        <v>565</v>
      </c>
      <c r="I14" s="13" t="s">
        <v>564</v>
      </c>
      <c r="J14" s="13" t="s">
        <v>564</v>
      </c>
      <c r="K14" s="13" t="s">
        <v>564</v>
      </c>
      <c r="L14" s="13" t="s">
        <v>564</v>
      </c>
      <c r="M14" s="51" t="s">
        <v>363</v>
      </c>
      <c r="N14" s="11" t="s">
        <v>70</v>
      </c>
      <c r="O14" s="13">
        <f t="shared" si="0"/>
        <v>13</v>
      </c>
    </row>
    <row r="15" spans="1:15" x14ac:dyDescent="0.25">
      <c r="A15" s="54" t="s">
        <v>562</v>
      </c>
      <c r="B15" s="26" t="s">
        <v>392</v>
      </c>
      <c r="C15" s="26" t="s">
        <v>393</v>
      </c>
      <c r="D15" s="26"/>
      <c r="E15" s="51" t="s">
        <v>363</v>
      </c>
      <c r="F15" s="13" t="s">
        <v>565</v>
      </c>
      <c r="G15" s="5" t="s">
        <v>565</v>
      </c>
      <c r="H15" s="5" t="s">
        <v>565</v>
      </c>
      <c r="I15" s="13" t="s">
        <v>564</v>
      </c>
      <c r="J15" s="13" t="s">
        <v>564</v>
      </c>
      <c r="K15" s="13" t="s">
        <v>564</v>
      </c>
      <c r="L15" s="13" t="s">
        <v>564</v>
      </c>
      <c r="M15" s="51" t="s">
        <v>363</v>
      </c>
      <c r="N15" s="11" t="s">
        <v>70</v>
      </c>
      <c r="O15" s="13">
        <f t="shared" si="0"/>
        <v>14</v>
      </c>
    </row>
    <row r="16" spans="1:15" x14ac:dyDescent="0.25">
      <c r="A16" s="54" t="s">
        <v>562</v>
      </c>
      <c r="B16" s="26" t="s">
        <v>2</v>
      </c>
      <c r="C16" s="26" t="s">
        <v>394</v>
      </c>
      <c r="D16" s="26"/>
      <c r="E16" s="51" t="s">
        <v>363</v>
      </c>
      <c r="F16" s="13" t="s">
        <v>565</v>
      </c>
      <c r="G16" s="5" t="s">
        <v>565</v>
      </c>
      <c r="H16" s="5" t="s">
        <v>565</v>
      </c>
      <c r="I16" s="13" t="s">
        <v>564</v>
      </c>
      <c r="J16" s="13" t="s">
        <v>564</v>
      </c>
      <c r="K16" s="13" t="s">
        <v>564</v>
      </c>
      <c r="L16" s="13" t="s">
        <v>564</v>
      </c>
      <c r="M16" s="51" t="s">
        <v>363</v>
      </c>
      <c r="N16" s="11" t="s">
        <v>70</v>
      </c>
      <c r="O16" s="13">
        <f t="shared" si="0"/>
        <v>15</v>
      </c>
    </row>
    <row r="17" spans="1:15" x14ac:dyDescent="0.25">
      <c r="A17" s="54" t="s">
        <v>562</v>
      </c>
      <c r="B17" s="26" t="s">
        <v>50</v>
      </c>
      <c r="C17" s="26" t="s">
        <v>395</v>
      </c>
      <c r="D17" s="26"/>
      <c r="E17" s="51" t="s">
        <v>363</v>
      </c>
      <c r="F17" s="13" t="s">
        <v>565</v>
      </c>
      <c r="G17" s="5" t="s">
        <v>565</v>
      </c>
      <c r="H17" s="5" t="s">
        <v>565</v>
      </c>
      <c r="I17" s="13" t="s">
        <v>564</v>
      </c>
      <c r="J17" s="13" t="s">
        <v>564</v>
      </c>
      <c r="K17" s="13" t="s">
        <v>564</v>
      </c>
      <c r="L17" s="13" t="s">
        <v>564</v>
      </c>
      <c r="M17" s="51" t="s">
        <v>363</v>
      </c>
      <c r="N17" s="11" t="s">
        <v>70</v>
      </c>
      <c r="O17" s="13">
        <f t="shared" si="0"/>
        <v>16</v>
      </c>
    </row>
    <row r="18" spans="1:15" x14ac:dyDescent="0.25">
      <c r="A18" s="54" t="s">
        <v>562</v>
      </c>
      <c r="B18" s="26" t="s">
        <v>396</v>
      </c>
      <c r="C18" s="26" t="s">
        <v>397</v>
      </c>
      <c r="D18" s="26"/>
      <c r="E18" s="51" t="s">
        <v>363</v>
      </c>
      <c r="F18" s="13" t="s">
        <v>565</v>
      </c>
      <c r="G18" s="5" t="s">
        <v>565</v>
      </c>
      <c r="H18" s="5" t="s">
        <v>565</v>
      </c>
      <c r="I18" s="13" t="s">
        <v>564</v>
      </c>
      <c r="J18" s="13" t="s">
        <v>564</v>
      </c>
      <c r="K18" s="13" t="s">
        <v>564</v>
      </c>
      <c r="L18" s="13" t="s">
        <v>564</v>
      </c>
      <c r="M18" s="51" t="s">
        <v>363</v>
      </c>
      <c r="N18" s="11" t="s">
        <v>70</v>
      </c>
      <c r="O18" s="13">
        <f t="shared" si="0"/>
        <v>17</v>
      </c>
    </row>
    <row r="19" spans="1:15" x14ac:dyDescent="0.25">
      <c r="A19" s="54" t="s">
        <v>562</v>
      </c>
      <c r="B19" s="26" t="s">
        <v>50</v>
      </c>
      <c r="C19" s="26" t="s">
        <v>398</v>
      </c>
      <c r="D19" s="26"/>
      <c r="E19" s="51" t="s">
        <v>363</v>
      </c>
      <c r="F19" s="13" t="s">
        <v>565</v>
      </c>
      <c r="G19" s="5" t="s">
        <v>565</v>
      </c>
      <c r="H19" s="5" t="s">
        <v>565</v>
      </c>
      <c r="I19" s="13" t="s">
        <v>564</v>
      </c>
      <c r="J19" s="13" t="s">
        <v>564</v>
      </c>
      <c r="K19" s="13" t="s">
        <v>564</v>
      </c>
      <c r="L19" s="13" t="s">
        <v>564</v>
      </c>
      <c r="M19" s="51" t="s">
        <v>363</v>
      </c>
      <c r="N19" s="11" t="s">
        <v>70</v>
      </c>
      <c r="O19" s="13">
        <f t="shared" si="0"/>
        <v>18</v>
      </c>
    </row>
    <row r="20" spans="1:15" x14ac:dyDescent="0.25">
      <c r="A20" s="54" t="s">
        <v>562</v>
      </c>
      <c r="B20" s="26" t="s">
        <v>4</v>
      </c>
      <c r="C20" s="26" t="s">
        <v>399</v>
      </c>
      <c r="D20" s="26"/>
      <c r="E20" s="13" t="s">
        <v>564</v>
      </c>
      <c r="F20" s="13" t="s">
        <v>564</v>
      </c>
      <c r="G20" s="13" t="s">
        <v>564</v>
      </c>
      <c r="H20" s="5" t="s">
        <v>565</v>
      </c>
      <c r="I20" s="13" t="s">
        <v>564</v>
      </c>
      <c r="J20" s="13" t="s">
        <v>564</v>
      </c>
      <c r="K20" s="13" t="s">
        <v>564</v>
      </c>
      <c r="L20" s="13" t="s">
        <v>564</v>
      </c>
      <c r="M20" s="11" t="s">
        <v>73</v>
      </c>
      <c r="N20" s="11" t="s">
        <v>68</v>
      </c>
      <c r="O20" s="13">
        <f t="shared" si="0"/>
        <v>19</v>
      </c>
    </row>
    <row r="21" spans="1:15" x14ac:dyDescent="0.25">
      <c r="A21" s="54" t="s">
        <v>562</v>
      </c>
      <c r="B21" s="26" t="s">
        <v>4</v>
      </c>
      <c r="C21" s="26" t="s">
        <v>400</v>
      </c>
      <c r="D21" s="26"/>
      <c r="E21" s="13" t="s">
        <v>564</v>
      </c>
      <c r="F21" s="13" t="s">
        <v>564</v>
      </c>
      <c r="G21" s="13" t="s">
        <v>564</v>
      </c>
      <c r="H21" s="5" t="s">
        <v>565</v>
      </c>
      <c r="I21" s="13" t="s">
        <v>564</v>
      </c>
      <c r="J21" s="13" t="s">
        <v>564</v>
      </c>
      <c r="K21" s="13" t="s">
        <v>564</v>
      </c>
      <c r="L21" s="13" t="s">
        <v>564</v>
      </c>
      <c r="M21" s="11" t="s">
        <v>73</v>
      </c>
      <c r="N21" s="11" t="s">
        <v>68</v>
      </c>
      <c r="O21" s="13">
        <f t="shared" si="0"/>
        <v>20</v>
      </c>
    </row>
    <row r="22" spans="1:15" x14ac:dyDescent="0.25">
      <c r="A22" s="54" t="s">
        <v>562</v>
      </c>
      <c r="B22" s="49" t="s">
        <v>4</v>
      </c>
      <c r="C22" s="49" t="s">
        <v>401</v>
      </c>
      <c r="D22" s="26"/>
      <c r="E22" s="13" t="s">
        <v>564</v>
      </c>
      <c r="F22" s="13" t="s">
        <v>564</v>
      </c>
      <c r="G22" s="13" t="s">
        <v>564</v>
      </c>
      <c r="H22" s="5" t="s">
        <v>565</v>
      </c>
      <c r="I22" s="13" t="s">
        <v>564</v>
      </c>
      <c r="J22" s="13" t="s">
        <v>564</v>
      </c>
      <c r="K22" s="13" t="s">
        <v>564</v>
      </c>
      <c r="L22" s="13" t="s">
        <v>564</v>
      </c>
      <c r="M22" s="11" t="s">
        <v>73</v>
      </c>
      <c r="N22" s="11" t="s">
        <v>68</v>
      </c>
      <c r="O22" s="13">
        <f t="shared" si="0"/>
        <v>21</v>
      </c>
    </row>
    <row r="23" spans="1:15" x14ac:dyDescent="0.25">
      <c r="A23" s="54" t="s">
        <v>562</v>
      </c>
      <c r="B23" s="40" t="s">
        <v>293</v>
      </c>
      <c r="C23" s="40" t="s">
        <v>402</v>
      </c>
      <c r="D23" s="40"/>
      <c r="E23" s="13" t="s">
        <v>564</v>
      </c>
      <c r="F23" s="13" t="s">
        <v>565</v>
      </c>
      <c r="G23" s="5" t="s">
        <v>565</v>
      </c>
      <c r="H23" s="13" t="s">
        <v>564</v>
      </c>
      <c r="I23" s="13" t="s">
        <v>564</v>
      </c>
      <c r="J23" s="13" t="s">
        <v>564</v>
      </c>
      <c r="K23" s="13" t="s">
        <v>564</v>
      </c>
      <c r="L23" s="13" t="s">
        <v>564</v>
      </c>
      <c r="M23" s="11" t="s">
        <v>74</v>
      </c>
      <c r="N23" s="11" t="s">
        <v>72</v>
      </c>
      <c r="O23" s="13">
        <f t="shared" si="0"/>
        <v>22</v>
      </c>
    </row>
    <row r="24" spans="1:15" x14ac:dyDescent="0.25">
      <c r="A24" s="54" t="s">
        <v>562</v>
      </c>
      <c r="B24" s="40" t="s">
        <v>293</v>
      </c>
      <c r="C24" s="40" t="s">
        <v>403</v>
      </c>
      <c r="D24" s="40"/>
      <c r="E24" s="13" t="s">
        <v>564</v>
      </c>
      <c r="F24" s="13" t="s">
        <v>565</v>
      </c>
      <c r="G24" s="5" t="s">
        <v>565</v>
      </c>
      <c r="H24" s="13" t="s">
        <v>564</v>
      </c>
      <c r="I24" s="13" t="s">
        <v>564</v>
      </c>
      <c r="J24" s="13" t="s">
        <v>564</v>
      </c>
      <c r="K24" s="13" t="s">
        <v>564</v>
      </c>
      <c r="L24" s="13" t="s">
        <v>564</v>
      </c>
      <c r="M24" s="11" t="s">
        <v>74</v>
      </c>
      <c r="N24" s="11" t="s">
        <v>72</v>
      </c>
      <c r="O24" s="13">
        <f t="shared" si="0"/>
        <v>23</v>
      </c>
    </row>
    <row r="25" spans="1:15" x14ac:dyDescent="0.25">
      <c r="A25" s="54" t="s">
        <v>562</v>
      </c>
      <c r="B25" s="49" t="s">
        <v>293</v>
      </c>
      <c r="C25" s="49" t="s">
        <v>404</v>
      </c>
      <c r="D25" s="40"/>
      <c r="E25" s="13" t="s">
        <v>564</v>
      </c>
      <c r="F25" s="13" t="s">
        <v>565</v>
      </c>
      <c r="G25" s="5" t="s">
        <v>565</v>
      </c>
      <c r="H25" s="13" t="s">
        <v>564</v>
      </c>
      <c r="I25" s="13" t="s">
        <v>564</v>
      </c>
      <c r="J25" s="13" t="s">
        <v>564</v>
      </c>
      <c r="K25" s="13" t="s">
        <v>564</v>
      </c>
      <c r="L25" s="13" t="s">
        <v>564</v>
      </c>
      <c r="M25" s="11" t="s">
        <v>74</v>
      </c>
      <c r="N25" s="11" t="s">
        <v>72</v>
      </c>
      <c r="O25" s="13">
        <f t="shared" si="0"/>
        <v>24</v>
      </c>
    </row>
    <row r="26" spans="1:15" x14ac:dyDescent="0.25">
      <c r="A26" s="54" t="s">
        <v>562</v>
      </c>
      <c r="B26" s="26" t="s">
        <v>5</v>
      </c>
      <c r="C26" s="26" t="s">
        <v>405</v>
      </c>
      <c r="D26" s="26"/>
      <c r="E26" s="13" t="s">
        <v>564</v>
      </c>
      <c r="F26" s="13" t="s">
        <v>565</v>
      </c>
      <c r="G26" s="5" t="s">
        <v>565</v>
      </c>
      <c r="H26" s="5" t="s">
        <v>565</v>
      </c>
      <c r="I26" s="13" t="s">
        <v>564</v>
      </c>
      <c r="J26" s="13" t="s">
        <v>564</v>
      </c>
      <c r="K26" s="13" t="s">
        <v>564</v>
      </c>
      <c r="L26" s="13" t="s">
        <v>564</v>
      </c>
      <c r="M26" s="11" t="s">
        <v>75</v>
      </c>
      <c r="N26" s="11" t="s">
        <v>68</v>
      </c>
      <c r="O26" s="13">
        <f t="shared" si="0"/>
        <v>25</v>
      </c>
    </row>
    <row r="27" spans="1:15" x14ac:dyDescent="0.25">
      <c r="A27" s="54" t="s">
        <v>562</v>
      </c>
      <c r="B27" s="26" t="s">
        <v>5</v>
      </c>
      <c r="C27" s="26" t="s">
        <v>406</v>
      </c>
      <c r="D27" s="26"/>
      <c r="E27" s="13" t="s">
        <v>564</v>
      </c>
      <c r="F27" s="13" t="s">
        <v>565</v>
      </c>
      <c r="G27" s="5" t="s">
        <v>565</v>
      </c>
      <c r="H27" s="5" t="s">
        <v>565</v>
      </c>
      <c r="I27" s="13" t="s">
        <v>564</v>
      </c>
      <c r="J27" s="13" t="s">
        <v>564</v>
      </c>
      <c r="K27" s="13" t="s">
        <v>564</v>
      </c>
      <c r="L27" s="13" t="s">
        <v>564</v>
      </c>
      <c r="M27" s="11" t="s">
        <v>75</v>
      </c>
      <c r="N27" s="11" t="s">
        <v>68</v>
      </c>
      <c r="O27" s="13">
        <f t="shared" si="0"/>
        <v>26</v>
      </c>
    </row>
    <row r="28" spans="1:15" x14ac:dyDescent="0.25">
      <c r="A28" s="54" t="s">
        <v>562</v>
      </c>
      <c r="B28" s="49" t="s">
        <v>5</v>
      </c>
      <c r="C28" s="49" t="s">
        <v>407</v>
      </c>
      <c r="D28" s="26"/>
      <c r="E28" s="13" t="s">
        <v>564</v>
      </c>
      <c r="F28" s="13" t="s">
        <v>565</v>
      </c>
      <c r="G28" s="5" t="s">
        <v>565</v>
      </c>
      <c r="H28" s="5" t="s">
        <v>565</v>
      </c>
      <c r="I28" s="13" t="s">
        <v>564</v>
      </c>
      <c r="J28" s="13" t="s">
        <v>564</v>
      </c>
      <c r="K28" s="13" t="s">
        <v>564</v>
      </c>
      <c r="L28" s="13" t="s">
        <v>564</v>
      </c>
      <c r="M28" s="11" t="s">
        <v>75</v>
      </c>
      <c r="N28" s="11" t="s">
        <v>68</v>
      </c>
      <c r="O28" s="13">
        <f t="shared" si="0"/>
        <v>27</v>
      </c>
    </row>
    <row r="29" spans="1:15" x14ac:dyDescent="0.25">
      <c r="A29" s="54" t="s">
        <v>562</v>
      </c>
      <c r="B29" s="26" t="s">
        <v>8</v>
      </c>
      <c r="C29" s="26" t="s">
        <v>408</v>
      </c>
      <c r="D29" s="26"/>
      <c r="E29" s="13" t="s">
        <v>564</v>
      </c>
      <c r="F29" s="13" t="s">
        <v>565</v>
      </c>
      <c r="G29" s="5" t="s">
        <v>565</v>
      </c>
      <c r="H29" s="5" t="s">
        <v>565</v>
      </c>
      <c r="I29" s="13" t="s">
        <v>564</v>
      </c>
      <c r="J29" s="13" t="s">
        <v>564</v>
      </c>
      <c r="K29" s="13" t="s">
        <v>564</v>
      </c>
      <c r="L29" s="13" t="s">
        <v>564</v>
      </c>
      <c r="M29" s="11" t="s">
        <v>75</v>
      </c>
      <c r="N29" s="11" t="s">
        <v>72</v>
      </c>
      <c r="O29" s="13">
        <f t="shared" si="0"/>
        <v>28</v>
      </c>
    </row>
    <row r="30" spans="1:15" x14ac:dyDescent="0.25">
      <c r="A30" s="54" t="s">
        <v>562</v>
      </c>
      <c r="B30" s="26" t="s">
        <v>8</v>
      </c>
      <c r="C30" s="26" t="s">
        <v>409</v>
      </c>
      <c r="D30" s="26"/>
      <c r="E30" s="13" t="s">
        <v>564</v>
      </c>
      <c r="F30" s="13" t="s">
        <v>565</v>
      </c>
      <c r="G30" s="5" t="s">
        <v>565</v>
      </c>
      <c r="H30" s="5" t="s">
        <v>565</v>
      </c>
      <c r="I30" s="13" t="s">
        <v>564</v>
      </c>
      <c r="J30" s="13" t="s">
        <v>564</v>
      </c>
      <c r="K30" s="13" t="s">
        <v>564</v>
      </c>
      <c r="L30" s="13" t="s">
        <v>564</v>
      </c>
      <c r="M30" s="11" t="s">
        <v>75</v>
      </c>
      <c r="N30" s="11" t="s">
        <v>72</v>
      </c>
      <c r="O30" s="13">
        <f t="shared" si="0"/>
        <v>29</v>
      </c>
    </row>
    <row r="31" spans="1:15" x14ac:dyDescent="0.25">
      <c r="A31" s="54" t="s">
        <v>562</v>
      </c>
      <c r="B31" s="49" t="s">
        <v>8</v>
      </c>
      <c r="C31" s="49" t="s">
        <v>410</v>
      </c>
      <c r="D31" s="26"/>
      <c r="E31" s="13" t="s">
        <v>564</v>
      </c>
      <c r="F31" s="13" t="s">
        <v>565</v>
      </c>
      <c r="G31" s="5" t="s">
        <v>565</v>
      </c>
      <c r="H31" s="5" t="s">
        <v>565</v>
      </c>
      <c r="I31" s="13" t="s">
        <v>564</v>
      </c>
      <c r="J31" s="13" t="s">
        <v>564</v>
      </c>
      <c r="K31" s="13" t="s">
        <v>564</v>
      </c>
      <c r="L31" s="13" t="s">
        <v>564</v>
      </c>
      <c r="M31" s="11" t="s">
        <v>75</v>
      </c>
      <c r="N31" s="11" t="s">
        <v>72</v>
      </c>
      <c r="O31" s="13">
        <f t="shared" si="0"/>
        <v>30</v>
      </c>
    </row>
    <row r="32" spans="1:15" x14ac:dyDescent="0.25">
      <c r="A32" s="54" t="s">
        <v>562</v>
      </c>
      <c r="B32" s="26" t="s">
        <v>6</v>
      </c>
      <c r="C32" s="26" t="s">
        <v>411</v>
      </c>
      <c r="D32" s="26"/>
      <c r="E32" s="51" t="s">
        <v>363</v>
      </c>
      <c r="F32" s="13" t="s">
        <v>565</v>
      </c>
      <c r="G32" s="5" t="s">
        <v>565</v>
      </c>
      <c r="H32" s="5" t="s">
        <v>565</v>
      </c>
      <c r="I32" s="13" t="s">
        <v>564</v>
      </c>
      <c r="J32" s="13" t="s">
        <v>564</v>
      </c>
      <c r="K32" s="13" t="s">
        <v>564</v>
      </c>
      <c r="L32" s="13" t="s">
        <v>564</v>
      </c>
      <c r="M32" s="51" t="s">
        <v>363</v>
      </c>
      <c r="N32" s="11" t="s">
        <v>70</v>
      </c>
      <c r="O32" s="13">
        <f t="shared" si="0"/>
        <v>31</v>
      </c>
    </row>
    <row r="33" spans="1:15" x14ac:dyDescent="0.25">
      <c r="A33" s="54" t="s">
        <v>562</v>
      </c>
      <c r="B33" s="26" t="s">
        <v>6</v>
      </c>
      <c r="C33" s="26" t="s">
        <v>412</v>
      </c>
      <c r="D33" s="26"/>
      <c r="E33" s="51" t="s">
        <v>363</v>
      </c>
      <c r="F33" s="13" t="s">
        <v>565</v>
      </c>
      <c r="G33" s="5" t="s">
        <v>565</v>
      </c>
      <c r="H33" s="5" t="s">
        <v>565</v>
      </c>
      <c r="I33" s="13" t="s">
        <v>564</v>
      </c>
      <c r="J33" s="13" t="s">
        <v>564</v>
      </c>
      <c r="K33" s="13" t="s">
        <v>564</v>
      </c>
      <c r="L33" s="13" t="s">
        <v>564</v>
      </c>
      <c r="M33" s="51" t="s">
        <v>363</v>
      </c>
      <c r="N33" s="11" t="s">
        <v>70</v>
      </c>
      <c r="O33" s="13">
        <f t="shared" si="0"/>
        <v>32</v>
      </c>
    </row>
    <row r="34" spans="1:15" x14ac:dyDescent="0.25">
      <c r="A34" s="54" t="s">
        <v>562</v>
      </c>
      <c r="B34" s="49" t="s">
        <v>6</v>
      </c>
      <c r="C34" s="49" t="s">
        <v>413</v>
      </c>
      <c r="D34" s="26"/>
      <c r="E34" s="51" t="s">
        <v>363</v>
      </c>
      <c r="F34" s="13" t="s">
        <v>565</v>
      </c>
      <c r="G34" s="5" t="s">
        <v>565</v>
      </c>
      <c r="H34" s="5" t="s">
        <v>565</v>
      </c>
      <c r="I34" s="13" t="s">
        <v>564</v>
      </c>
      <c r="J34" s="13" t="s">
        <v>564</v>
      </c>
      <c r="K34" s="13" t="s">
        <v>564</v>
      </c>
      <c r="L34" s="13" t="s">
        <v>564</v>
      </c>
      <c r="M34" s="51" t="s">
        <v>363</v>
      </c>
      <c r="N34" s="11" t="s">
        <v>70</v>
      </c>
      <c r="O34" s="13">
        <f t="shared" si="0"/>
        <v>33</v>
      </c>
    </row>
    <row r="35" spans="1:15" x14ac:dyDescent="0.25">
      <c r="A35" s="54" t="s">
        <v>562</v>
      </c>
      <c r="B35" s="26" t="s">
        <v>7</v>
      </c>
      <c r="C35" s="26" t="s">
        <v>414</v>
      </c>
      <c r="D35" s="26"/>
      <c r="E35" s="51" t="s">
        <v>363</v>
      </c>
      <c r="F35" s="13" t="s">
        <v>565</v>
      </c>
      <c r="G35" s="5" t="s">
        <v>565</v>
      </c>
      <c r="H35" s="5" t="s">
        <v>565</v>
      </c>
      <c r="I35" s="13" t="s">
        <v>564</v>
      </c>
      <c r="J35" s="13" t="s">
        <v>564</v>
      </c>
      <c r="K35" s="13" t="s">
        <v>564</v>
      </c>
      <c r="L35" s="13" t="s">
        <v>564</v>
      </c>
      <c r="M35" s="51" t="s">
        <v>363</v>
      </c>
      <c r="N35" s="11" t="s">
        <v>70</v>
      </c>
      <c r="O35" s="13">
        <f t="shared" si="0"/>
        <v>34</v>
      </c>
    </row>
    <row r="36" spans="1:15" x14ac:dyDescent="0.25">
      <c r="A36" s="54" t="s">
        <v>562</v>
      </c>
      <c r="B36" s="26" t="s">
        <v>7</v>
      </c>
      <c r="C36" s="26" t="s">
        <v>415</v>
      </c>
      <c r="D36" s="26"/>
      <c r="E36" s="51" t="s">
        <v>363</v>
      </c>
      <c r="F36" s="13" t="s">
        <v>565</v>
      </c>
      <c r="G36" s="5" t="s">
        <v>565</v>
      </c>
      <c r="H36" s="5" t="s">
        <v>565</v>
      </c>
      <c r="I36" s="13" t="s">
        <v>564</v>
      </c>
      <c r="J36" s="13" t="s">
        <v>564</v>
      </c>
      <c r="K36" s="13" t="s">
        <v>564</v>
      </c>
      <c r="L36" s="13" t="s">
        <v>564</v>
      </c>
      <c r="M36" s="51" t="s">
        <v>363</v>
      </c>
      <c r="N36" s="11" t="s">
        <v>70</v>
      </c>
      <c r="O36" s="13">
        <f t="shared" si="0"/>
        <v>35</v>
      </c>
    </row>
    <row r="37" spans="1:15" x14ac:dyDescent="0.25">
      <c r="A37" s="54" t="s">
        <v>562</v>
      </c>
      <c r="B37" s="49" t="s">
        <v>7</v>
      </c>
      <c r="C37" s="49" t="s">
        <v>416</v>
      </c>
      <c r="D37" s="26"/>
      <c r="E37" s="51" t="s">
        <v>363</v>
      </c>
      <c r="F37" s="13" t="s">
        <v>565</v>
      </c>
      <c r="G37" s="5" t="s">
        <v>565</v>
      </c>
      <c r="H37" s="5" t="s">
        <v>565</v>
      </c>
      <c r="I37" s="13" t="s">
        <v>564</v>
      </c>
      <c r="J37" s="13" t="s">
        <v>564</v>
      </c>
      <c r="K37" s="13" t="s">
        <v>564</v>
      </c>
      <c r="L37" s="13" t="s">
        <v>564</v>
      </c>
      <c r="M37" s="51" t="s">
        <v>363</v>
      </c>
      <c r="N37" s="11" t="s">
        <v>70</v>
      </c>
      <c r="O37" s="13">
        <f t="shared" si="0"/>
        <v>36</v>
      </c>
    </row>
    <row r="38" spans="1:15" x14ac:dyDescent="0.25">
      <c r="A38" s="54" t="s">
        <v>562</v>
      </c>
      <c r="B38" s="26" t="s">
        <v>49</v>
      </c>
      <c r="C38" s="26" t="s">
        <v>417</v>
      </c>
      <c r="D38" s="26"/>
      <c r="E38" s="51" t="s">
        <v>363</v>
      </c>
      <c r="F38" s="13" t="s">
        <v>565</v>
      </c>
      <c r="G38" s="5" t="s">
        <v>565</v>
      </c>
      <c r="H38" s="5" t="s">
        <v>565</v>
      </c>
      <c r="I38" s="13" t="s">
        <v>564</v>
      </c>
      <c r="J38" s="13" t="s">
        <v>564</v>
      </c>
      <c r="K38" s="13" t="s">
        <v>564</v>
      </c>
      <c r="L38" s="13" t="s">
        <v>564</v>
      </c>
      <c r="M38" s="51" t="s">
        <v>363</v>
      </c>
      <c r="N38" s="11" t="s">
        <v>70</v>
      </c>
      <c r="O38" s="13">
        <f t="shared" si="0"/>
        <v>37</v>
      </c>
    </row>
    <row r="39" spans="1:15" x14ac:dyDescent="0.25">
      <c r="A39" s="54" t="s">
        <v>562</v>
      </c>
      <c r="B39" s="26" t="s">
        <v>49</v>
      </c>
      <c r="C39" s="26" t="s">
        <v>418</v>
      </c>
      <c r="D39" s="26"/>
      <c r="E39" s="51" t="s">
        <v>363</v>
      </c>
      <c r="F39" s="13" t="s">
        <v>565</v>
      </c>
      <c r="G39" s="5" t="s">
        <v>565</v>
      </c>
      <c r="H39" s="5" t="s">
        <v>565</v>
      </c>
      <c r="I39" s="13" t="s">
        <v>564</v>
      </c>
      <c r="J39" s="13" t="s">
        <v>564</v>
      </c>
      <c r="K39" s="13" t="s">
        <v>564</v>
      </c>
      <c r="L39" s="13" t="s">
        <v>564</v>
      </c>
      <c r="M39" s="51" t="s">
        <v>363</v>
      </c>
      <c r="N39" s="11" t="s">
        <v>70</v>
      </c>
      <c r="O39" s="13">
        <f t="shared" si="0"/>
        <v>38</v>
      </c>
    </row>
    <row r="40" spans="1:15" x14ac:dyDescent="0.25">
      <c r="A40" s="54" t="s">
        <v>562</v>
      </c>
      <c r="B40" s="49" t="s">
        <v>49</v>
      </c>
      <c r="C40" s="49" t="s">
        <v>419</v>
      </c>
      <c r="D40" s="26"/>
      <c r="E40" s="51" t="s">
        <v>363</v>
      </c>
      <c r="F40" s="13" t="s">
        <v>565</v>
      </c>
      <c r="G40" s="5" t="s">
        <v>565</v>
      </c>
      <c r="H40" s="5" t="s">
        <v>565</v>
      </c>
      <c r="I40" s="13" t="s">
        <v>564</v>
      </c>
      <c r="J40" s="13" t="s">
        <v>564</v>
      </c>
      <c r="K40" s="13" t="s">
        <v>564</v>
      </c>
      <c r="L40" s="13" t="s">
        <v>564</v>
      </c>
      <c r="M40" s="51" t="s">
        <v>363</v>
      </c>
      <c r="N40" s="11" t="s">
        <v>70</v>
      </c>
      <c r="O40" s="13">
        <f t="shared" si="0"/>
        <v>39</v>
      </c>
    </row>
    <row r="41" spans="1:15" x14ac:dyDescent="0.25">
      <c r="A41" s="54" t="s">
        <v>562</v>
      </c>
      <c r="B41" s="52" t="s">
        <v>64</v>
      </c>
      <c r="C41" s="52" t="s">
        <v>420</v>
      </c>
      <c r="D41" s="41"/>
      <c r="E41" s="51" t="s">
        <v>363</v>
      </c>
      <c r="F41" s="13" t="s">
        <v>565</v>
      </c>
      <c r="G41" s="5" t="s">
        <v>565</v>
      </c>
      <c r="H41" s="5" t="s">
        <v>565</v>
      </c>
      <c r="I41" s="13" t="s">
        <v>564</v>
      </c>
      <c r="J41" s="13" t="s">
        <v>564</v>
      </c>
      <c r="K41" s="13" t="s">
        <v>564</v>
      </c>
      <c r="L41" s="13" t="s">
        <v>564</v>
      </c>
      <c r="M41" s="51" t="s">
        <v>363</v>
      </c>
      <c r="N41" s="11" t="s">
        <v>70</v>
      </c>
      <c r="O41" s="13">
        <f t="shared" si="0"/>
        <v>40</v>
      </c>
    </row>
    <row r="42" spans="1:15" x14ac:dyDescent="0.25">
      <c r="A42" s="54" t="s">
        <v>562</v>
      </c>
      <c r="B42" s="52" t="s">
        <v>64</v>
      </c>
      <c r="C42" s="52" t="s">
        <v>421</v>
      </c>
      <c r="D42" s="41"/>
      <c r="E42" s="51" t="s">
        <v>363</v>
      </c>
      <c r="F42" s="13" t="s">
        <v>565</v>
      </c>
      <c r="G42" s="5" t="s">
        <v>565</v>
      </c>
      <c r="H42" s="5" t="s">
        <v>565</v>
      </c>
      <c r="I42" s="13" t="s">
        <v>564</v>
      </c>
      <c r="J42" s="13" t="s">
        <v>564</v>
      </c>
      <c r="K42" s="13" t="s">
        <v>564</v>
      </c>
      <c r="L42" s="13" t="s">
        <v>564</v>
      </c>
      <c r="M42" s="51" t="s">
        <v>363</v>
      </c>
      <c r="N42" s="11" t="s">
        <v>70</v>
      </c>
      <c r="O42" s="13">
        <f t="shared" si="0"/>
        <v>41</v>
      </c>
    </row>
    <row r="43" spans="1:15" x14ac:dyDescent="0.25">
      <c r="A43" s="54" t="s">
        <v>562</v>
      </c>
      <c r="B43" s="49" t="s">
        <v>64</v>
      </c>
      <c r="C43" s="49" t="s">
        <v>422</v>
      </c>
      <c r="D43" s="41"/>
      <c r="E43" s="51" t="s">
        <v>363</v>
      </c>
      <c r="F43" s="13" t="s">
        <v>565</v>
      </c>
      <c r="G43" s="5" t="s">
        <v>565</v>
      </c>
      <c r="H43" s="5" t="s">
        <v>565</v>
      </c>
      <c r="I43" s="13" t="s">
        <v>564</v>
      </c>
      <c r="J43" s="13" t="s">
        <v>564</v>
      </c>
      <c r="K43" s="13" t="s">
        <v>564</v>
      </c>
      <c r="L43" s="13" t="s">
        <v>564</v>
      </c>
      <c r="M43" s="51" t="s">
        <v>363</v>
      </c>
      <c r="N43" s="11" t="s">
        <v>70</v>
      </c>
      <c r="O43" s="13">
        <f t="shared" si="0"/>
        <v>42</v>
      </c>
    </row>
    <row r="44" spans="1:15" x14ac:dyDescent="0.25">
      <c r="A44" s="54" t="s">
        <v>562</v>
      </c>
      <c r="B44" s="26" t="s">
        <v>9</v>
      </c>
      <c r="C44" s="26" t="s">
        <v>423</v>
      </c>
      <c r="D44" s="26"/>
      <c r="E44" s="13" t="s">
        <v>564</v>
      </c>
      <c r="F44" s="13" t="s">
        <v>564</v>
      </c>
      <c r="G44" s="13" t="s">
        <v>564</v>
      </c>
      <c r="H44" s="5" t="s">
        <v>565</v>
      </c>
      <c r="I44" s="13" t="s">
        <v>564</v>
      </c>
      <c r="J44" s="13" t="s">
        <v>564</v>
      </c>
      <c r="K44" s="13" t="s">
        <v>564</v>
      </c>
      <c r="L44" s="13" t="s">
        <v>564</v>
      </c>
      <c r="M44" s="11" t="s">
        <v>73</v>
      </c>
      <c r="N44" s="11" t="s">
        <v>72</v>
      </c>
      <c r="O44" s="13">
        <f t="shared" si="0"/>
        <v>43</v>
      </c>
    </row>
    <row r="45" spans="1:15" x14ac:dyDescent="0.25">
      <c r="A45" s="54" t="s">
        <v>562</v>
      </c>
      <c r="B45" s="26" t="s">
        <v>9</v>
      </c>
      <c r="C45" s="26" t="s">
        <v>424</v>
      </c>
      <c r="D45" s="26"/>
      <c r="E45" s="13" t="s">
        <v>564</v>
      </c>
      <c r="F45" s="13" t="s">
        <v>564</v>
      </c>
      <c r="G45" s="13" t="s">
        <v>564</v>
      </c>
      <c r="H45" s="5" t="s">
        <v>565</v>
      </c>
      <c r="I45" s="13" t="s">
        <v>564</v>
      </c>
      <c r="J45" s="13" t="s">
        <v>564</v>
      </c>
      <c r="K45" s="13" t="s">
        <v>564</v>
      </c>
      <c r="L45" s="13" t="s">
        <v>564</v>
      </c>
      <c r="M45" s="11" t="s">
        <v>73</v>
      </c>
      <c r="N45" s="11" t="s">
        <v>72</v>
      </c>
      <c r="O45" s="13">
        <f t="shared" si="0"/>
        <v>44</v>
      </c>
    </row>
    <row r="46" spans="1:15" x14ac:dyDescent="0.25">
      <c r="A46" s="54" t="s">
        <v>562</v>
      </c>
      <c r="B46" s="26" t="s">
        <v>10</v>
      </c>
      <c r="C46" s="26" t="s">
        <v>425</v>
      </c>
      <c r="D46" s="26"/>
      <c r="E46" s="13" t="s">
        <v>564</v>
      </c>
      <c r="F46" s="13" t="s">
        <v>565</v>
      </c>
      <c r="G46" s="5" t="s">
        <v>565</v>
      </c>
      <c r="H46" s="5" t="s">
        <v>565</v>
      </c>
      <c r="I46" s="13" t="s">
        <v>564</v>
      </c>
      <c r="J46" s="13" t="s">
        <v>564</v>
      </c>
      <c r="K46" s="13" t="s">
        <v>564</v>
      </c>
      <c r="L46" s="13" t="s">
        <v>564</v>
      </c>
      <c r="M46" s="11" t="s">
        <v>75</v>
      </c>
      <c r="N46" s="11" t="s">
        <v>68</v>
      </c>
      <c r="O46" s="13">
        <f t="shared" si="0"/>
        <v>45</v>
      </c>
    </row>
    <row r="47" spans="1:15" x14ac:dyDescent="0.25">
      <c r="A47" s="54" t="s">
        <v>562</v>
      </c>
      <c r="B47" s="26" t="s">
        <v>10</v>
      </c>
      <c r="C47" s="26" t="s">
        <v>426</v>
      </c>
      <c r="D47" s="26"/>
      <c r="E47" s="13" t="s">
        <v>564</v>
      </c>
      <c r="F47" s="13" t="s">
        <v>565</v>
      </c>
      <c r="G47" s="5" t="s">
        <v>565</v>
      </c>
      <c r="H47" s="5" t="s">
        <v>565</v>
      </c>
      <c r="I47" s="13" t="s">
        <v>564</v>
      </c>
      <c r="J47" s="13" t="s">
        <v>564</v>
      </c>
      <c r="K47" s="13" t="s">
        <v>564</v>
      </c>
      <c r="L47" s="13" t="s">
        <v>564</v>
      </c>
      <c r="M47" s="11" t="s">
        <v>75</v>
      </c>
      <c r="N47" s="11" t="s">
        <v>68</v>
      </c>
      <c r="O47" s="13">
        <f t="shared" si="0"/>
        <v>46</v>
      </c>
    </row>
    <row r="48" spans="1:15" x14ac:dyDescent="0.25">
      <c r="A48" s="54" t="s">
        <v>562</v>
      </c>
      <c r="B48" s="26" t="s">
        <v>11</v>
      </c>
      <c r="C48" s="26" t="s">
        <v>427</v>
      </c>
      <c r="D48" s="26"/>
      <c r="E48" s="51" t="s">
        <v>366</v>
      </c>
      <c r="F48" s="13" t="s">
        <v>565</v>
      </c>
      <c r="G48" s="5" t="s">
        <v>565</v>
      </c>
      <c r="H48" s="13" t="s">
        <v>564</v>
      </c>
      <c r="I48" s="13" t="s">
        <v>564</v>
      </c>
      <c r="J48" s="13" t="s">
        <v>564</v>
      </c>
      <c r="K48" s="13" t="s">
        <v>564</v>
      </c>
      <c r="L48" s="13" t="s">
        <v>564</v>
      </c>
      <c r="M48" s="51" t="s">
        <v>366</v>
      </c>
      <c r="N48" s="11" t="s">
        <v>70</v>
      </c>
      <c r="O48" s="13">
        <f t="shared" si="0"/>
        <v>47</v>
      </c>
    </row>
    <row r="49" spans="1:15" x14ac:dyDescent="0.25">
      <c r="A49" s="54" t="s">
        <v>562</v>
      </c>
      <c r="B49" s="26" t="s">
        <v>11</v>
      </c>
      <c r="C49" s="26" t="s">
        <v>428</v>
      </c>
      <c r="D49" s="26"/>
      <c r="E49" s="51" t="s">
        <v>366</v>
      </c>
      <c r="F49" s="13" t="s">
        <v>565</v>
      </c>
      <c r="G49" s="5" t="s">
        <v>565</v>
      </c>
      <c r="H49" s="13" t="s">
        <v>564</v>
      </c>
      <c r="I49" s="13" t="s">
        <v>564</v>
      </c>
      <c r="J49" s="13" t="s">
        <v>564</v>
      </c>
      <c r="K49" s="13" t="s">
        <v>564</v>
      </c>
      <c r="L49" s="13" t="s">
        <v>564</v>
      </c>
      <c r="M49" s="51" t="s">
        <v>366</v>
      </c>
      <c r="N49" s="11" t="s">
        <v>70</v>
      </c>
      <c r="O49" s="13">
        <f t="shared" si="0"/>
        <v>48</v>
      </c>
    </row>
    <row r="50" spans="1:15" x14ac:dyDescent="0.25">
      <c r="A50" s="54" t="s">
        <v>562</v>
      </c>
      <c r="B50" s="26" t="s">
        <v>12</v>
      </c>
      <c r="C50" s="26" t="s">
        <v>429</v>
      </c>
      <c r="D50" s="26"/>
      <c r="E50" s="13" t="s">
        <v>564</v>
      </c>
      <c r="F50" s="13" t="s">
        <v>565</v>
      </c>
      <c r="G50" s="13" t="s">
        <v>565</v>
      </c>
      <c r="H50" s="13" t="s">
        <v>564</v>
      </c>
      <c r="I50" s="13" t="s">
        <v>564</v>
      </c>
      <c r="J50" s="13" t="s">
        <v>564</v>
      </c>
      <c r="K50" s="13" t="s">
        <v>564</v>
      </c>
      <c r="L50" s="13" t="s">
        <v>564</v>
      </c>
      <c r="M50" s="11" t="s">
        <v>73</v>
      </c>
      <c r="N50" s="11" t="s">
        <v>72</v>
      </c>
      <c r="O50" s="13">
        <f t="shared" si="0"/>
        <v>49</v>
      </c>
    </row>
    <row r="51" spans="1:15" x14ac:dyDescent="0.25">
      <c r="A51" s="54" t="s">
        <v>562</v>
      </c>
      <c r="B51" s="26" t="s">
        <v>12</v>
      </c>
      <c r="C51" s="26" t="s">
        <v>430</v>
      </c>
      <c r="D51" s="26"/>
      <c r="E51" s="13" t="s">
        <v>564</v>
      </c>
      <c r="F51" s="13" t="s">
        <v>564</v>
      </c>
      <c r="G51" s="13" t="s">
        <v>565</v>
      </c>
      <c r="H51" s="13" t="s">
        <v>564</v>
      </c>
      <c r="I51" s="13" t="s">
        <v>564</v>
      </c>
      <c r="J51" s="13" t="s">
        <v>564</v>
      </c>
      <c r="K51" s="13" t="s">
        <v>564</v>
      </c>
      <c r="L51" s="13" t="s">
        <v>564</v>
      </c>
      <c r="M51" s="11" t="s">
        <v>73</v>
      </c>
      <c r="N51" s="11" t="s">
        <v>72</v>
      </c>
      <c r="O51" s="13">
        <f t="shared" si="0"/>
        <v>50</v>
      </c>
    </row>
    <row r="52" spans="1:15" x14ac:dyDescent="0.25">
      <c r="A52" s="54" t="s">
        <v>562</v>
      </c>
      <c r="B52" s="26" t="s">
        <v>12</v>
      </c>
      <c r="C52" s="26" t="s">
        <v>431</v>
      </c>
      <c r="D52" s="13" t="s">
        <v>344</v>
      </c>
      <c r="E52" s="13" t="s">
        <v>564</v>
      </c>
      <c r="F52" s="13" t="s">
        <v>565</v>
      </c>
      <c r="G52" s="13" t="s">
        <v>565</v>
      </c>
      <c r="H52" s="5" t="s">
        <v>565</v>
      </c>
      <c r="I52" s="13" t="s">
        <v>565</v>
      </c>
      <c r="J52" s="13" t="s">
        <v>565</v>
      </c>
      <c r="K52" s="13" t="s">
        <v>565</v>
      </c>
      <c r="L52" s="13" t="s">
        <v>565</v>
      </c>
      <c r="M52" s="11"/>
      <c r="N52" s="11" t="s">
        <v>72</v>
      </c>
      <c r="O52" s="13">
        <f t="shared" si="0"/>
        <v>51</v>
      </c>
    </row>
    <row r="53" spans="1:15" x14ac:dyDescent="0.25">
      <c r="A53" s="54" t="s">
        <v>562</v>
      </c>
      <c r="B53" s="26" t="s">
        <v>65</v>
      </c>
      <c r="C53" s="26" t="s">
        <v>432</v>
      </c>
      <c r="D53" s="13"/>
      <c r="E53" s="13" t="s">
        <v>564</v>
      </c>
      <c r="F53" s="13" t="s">
        <v>565</v>
      </c>
      <c r="G53" s="13" t="s">
        <v>565</v>
      </c>
      <c r="H53" s="13" t="s">
        <v>564</v>
      </c>
      <c r="I53" s="13" t="s">
        <v>564</v>
      </c>
      <c r="J53" s="13" t="s">
        <v>564</v>
      </c>
      <c r="K53" s="13" t="s">
        <v>564</v>
      </c>
      <c r="L53" s="13" t="s">
        <v>564</v>
      </c>
      <c r="M53" s="11" t="s">
        <v>74</v>
      </c>
      <c r="N53" s="11" t="s">
        <v>68</v>
      </c>
      <c r="O53" s="13">
        <f t="shared" si="0"/>
        <v>52</v>
      </c>
    </row>
    <row r="54" spans="1:15" x14ac:dyDescent="0.25">
      <c r="A54" s="54" t="s">
        <v>562</v>
      </c>
      <c r="B54" s="26" t="s">
        <v>65</v>
      </c>
      <c r="C54" s="26" t="s">
        <v>433</v>
      </c>
      <c r="D54" s="13"/>
      <c r="E54" s="13" t="s">
        <v>564</v>
      </c>
      <c r="F54" s="13" t="s">
        <v>565</v>
      </c>
      <c r="G54" s="5" t="s">
        <v>565</v>
      </c>
      <c r="H54" s="13" t="s">
        <v>564</v>
      </c>
      <c r="I54" s="13" t="s">
        <v>564</v>
      </c>
      <c r="J54" s="13" t="s">
        <v>564</v>
      </c>
      <c r="K54" s="13" t="s">
        <v>564</v>
      </c>
      <c r="L54" s="13" t="s">
        <v>564</v>
      </c>
      <c r="M54" s="11" t="s">
        <v>74</v>
      </c>
      <c r="N54" s="11" t="s">
        <v>68</v>
      </c>
      <c r="O54" s="13">
        <f t="shared" si="0"/>
        <v>53</v>
      </c>
    </row>
    <row r="55" spans="1:15" x14ac:dyDescent="0.25">
      <c r="A55" s="54" t="s">
        <v>562</v>
      </c>
      <c r="B55" s="26" t="s">
        <v>65</v>
      </c>
      <c r="C55" s="26" t="s">
        <v>431</v>
      </c>
      <c r="D55" s="13" t="s">
        <v>344</v>
      </c>
      <c r="E55" s="13" t="s">
        <v>564</v>
      </c>
      <c r="F55" s="13" t="s">
        <v>565</v>
      </c>
      <c r="G55" s="5" t="s">
        <v>565</v>
      </c>
      <c r="H55" s="13" t="s">
        <v>565</v>
      </c>
      <c r="I55" s="13" t="s">
        <v>565</v>
      </c>
      <c r="J55" s="13" t="s">
        <v>565</v>
      </c>
      <c r="K55" s="13" t="s">
        <v>565</v>
      </c>
      <c r="L55" s="13" t="s">
        <v>565</v>
      </c>
      <c r="M55" s="11"/>
      <c r="N55" s="11" t="s">
        <v>72</v>
      </c>
      <c r="O55" s="13">
        <f t="shared" si="0"/>
        <v>54</v>
      </c>
    </row>
    <row r="56" spans="1:15" x14ac:dyDescent="0.25">
      <c r="A56" s="54" t="s">
        <v>562</v>
      </c>
      <c r="B56" s="41" t="s">
        <v>296</v>
      </c>
      <c r="C56" s="41" t="s">
        <v>434</v>
      </c>
      <c r="D56" s="13"/>
      <c r="E56" s="13" t="s">
        <v>564</v>
      </c>
      <c r="F56" s="13" t="s">
        <v>565</v>
      </c>
      <c r="G56" s="13" t="s">
        <v>565</v>
      </c>
      <c r="H56" s="13" t="s">
        <v>564</v>
      </c>
      <c r="I56" s="13" t="s">
        <v>564</v>
      </c>
      <c r="J56" s="13" t="s">
        <v>564</v>
      </c>
      <c r="K56" s="13" t="s">
        <v>564</v>
      </c>
      <c r="L56" s="13" t="s">
        <v>564</v>
      </c>
      <c r="M56" s="43" t="s">
        <v>307</v>
      </c>
      <c r="N56" s="11" t="s">
        <v>364</v>
      </c>
      <c r="O56" s="13">
        <f t="shared" si="0"/>
        <v>55</v>
      </c>
    </row>
    <row r="57" spans="1:15" x14ac:dyDescent="0.25">
      <c r="A57" s="54" t="s">
        <v>562</v>
      </c>
      <c r="B57" s="41" t="s">
        <v>296</v>
      </c>
      <c r="C57" s="41" t="s">
        <v>435</v>
      </c>
      <c r="D57" s="13"/>
      <c r="E57" s="13" t="s">
        <v>564</v>
      </c>
      <c r="F57" s="13" t="s">
        <v>565</v>
      </c>
      <c r="G57" s="5" t="s">
        <v>565</v>
      </c>
      <c r="H57" s="13" t="s">
        <v>564</v>
      </c>
      <c r="I57" s="13" t="s">
        <v>564</v>
      </c>
      <c r="J57" s="13" t="s">
        <v>564</v>
      </c>
      <c r="K57" s="13" t="s">
        <v>564</v>
      </c>
      <c r="L57" s="13" t="s">
        <v>564</v>
      </c>
      <c r="M57" s="43" t="s">
        <v>307</v>
      </c>
      <c r="N57" s="11" t="s">
        <v>364</v>
      </c>
      <c r="O57" s="13">
        <f t="shared" si="0"/>
        <v>56</v>
      </c>
    </row>
    <row r="58" spans="1:15" x14ac:dyDescent="0.25">
      <c r="A58" s="54" t="s">
        <v>562</v>
      </c>
      <c r="B58" s="52" t="s">
        <v>296</v>
      </c>
      <c r="C58" s="52" t="s">
        <v>431</v>
      </c>
      <c r="D58" s="13" t="s">
        <v>344</v>
      </c>
      <c r="E58" s="13" t="s">
        <v>564</v>
      </c>
      <c r="F58" s="13" t="s">
        <v>565</v>
      </c>
      <c r="G58" s="5" t="s">
        <v>565</v>
      </c>
      <c r="H58" s="13" t="s">
        <v>565</v>
      </c>
      <c r="I58" s="13" t="s">
        <v>565</v>
      </c>
      <c r="J58" s="13" t="s">
        <v>565</v>
      </c>
      <c r="K58" s="13" t="s">
        <v>565</v>
      </c>
      <c r="L58" s="13" t="s">
        <v>565</v>
      </c>
      <c r="M58" s="11"/>
      <c r="N58" s="11" t="s">
        <v>72</v>
      </c>
      <c r="O58" s="13">
        <f t="shared" si="0"/>
        <v>57</v>
      </c>
    </row>
    <row r="59" spans="1:15" x14ac:dyDescent="0.25">
      <c r="A59" s="54" t="s">
        <v>562</v>
      </c>
      <c r="B59" s="26" t="s">
        <v>14</v>
      </c>
      <c r="C59" s="26" t="s">
        <v>436</v>
      </c>
      <c r="D59" s="13"/>
      <c r="E59" s="13" t="s">
        <v>564</v>
      </c>
      <c r="F59" s="13" t="s">
        <v>565</v>
      </c>
      <c r="G59" s="5" t="s">
        <v>565</v>
      </c>
      <c r="H59" s="5" t="s">
        <v>565</v>
      </c>
      <c r="I59" s="13" t="s">
        <v>564</v>
      </c>
      <c r="J59" s="13" t="s">
        <v>564</v>
      </c>
      <c r="K59" s="13" t="s">
        <v>564</v>
      </c>
      <c r="L59" s="13" t="s">
        <v>564</v>
      </c>
      <c r="M59" s="11" t="s">
        <v>75</v>
      </c>
      <c r="N59" s="11" t="s">
        <v>68</v>
      </c>
      <c r="O59" s="13">
        <f t="shared" si="0"/>
        <v>58</v>
      </c>
    </row>
    <row r="60" spans="1:15" x14ac:dyDescent="0.25">
      <c r="A60" s="54" t="s">
        <v>562</v>
      </c>
      <c r="B60" s="26" t="s">
        <v>14</v>
      </c>
      <c r="C60" s="26" t="s">
        <v>437</v>
      </c>
      <c r="D60" s="13"/>
      <c r="E60" s="13" t="s">
        <v>564</v>
      </c>
      <c r="F60" s="13" t="s">
        <v>565</v>
      </c>
      <c r="G60" s="5" t="s">
        <v>565</v>
      </c>
      <c r="H60" s="5" t="s">
        <v>565</v>
      </c>
      <c r="I60" s="13" t="s">
        <v>564</v>
      </c>
      <c r="J60" s="13" t="s">
        <v>564</v>
      </c>
      <c r="K60" s="13" t="s">
        <v>564</v>
      </c>
      <c r="L60" s="13" t="s">
        <v>564</v>
      </c>
      <c r="M60" s="11" t="s">
        <v>75</v>
      </c>
      <c r="N60" s="11" t="s">
        <v>68</v>
      </c>
      <c r="O60" s="13">
        <f t="shared" si="0"/>
        <v>59</v>
      </c>
    </row>
    <row r="61" spans="1:15" x14ac:dyDescent="0.25">
      <c r="A61" s="54" t="s">
        <v>562</v>
      </c>
      <c r="B61" s="26" t="s">
        <v>14</v>
      </c>
      <c r="C61" s="26" t="s">
        <v>431</v>
      </c>
      <c r="D61" s="13" t="s">
        <v>344</v>
      </c>
      <c r="E61" s="13" t="s">
        <v>564</v>
      </c>
      <c r="F61" s="13" t="s">
        <v>565</v>
      </c>
      <c r="G61" s="5" t="s">
        <v>565</v>
      </c>
      <c r="H61" s="5" t="s">
        <v>565</v>
      </c>
      <c r="I61" s="13" t="s">
        <v>565</v>
      </c>
      <c r="J61" s="13" t="s">
        <v>565</v>
      </c>
      <c r="K61" s="13" t="s">
        <v>565</v>
      </c>
      <c r="L61" s="13" t="s">
        <v>565</v>
      </c>
      <c r="M61" s="11"/>
      <c r="N61" s="11" t="s">
        <v>72</v>
      </c>
      <c r="O61" s="13">
        <f t="shared" si="0"/>
        <v>60</v>
      </c>
    </row>
    <row r="62" spans="1:15" x14ac:dyDescent="0.25">
      <c r="A62" s="54" t="s">
        <v>562</v>
      </c>
      <c r="B62" s="26" t="s">
        <v>18</v>
      </c>
      <c r="C62" s="26" t="s">
        <v>438</v>
      </c>
      <c r="D62" s="13"/>
      <c r="E62" s="13" t="s">
        <v>564</v>
      </c>
      <c r="F62" s="13" t="s">
        <v>565</v>
      </c>
      <c r="G62" s="5" t="s">
        <v>565</v>
      </c>
      <c r="H62" s="5" t="s">
        <v>565</v>
      </c>
      <c r="I62" s="13" t="s">
        <v>564</v>
      </c>
      <c r="J62" s="13" t="s">
        <v>564</v>
      </c>
      <c r="K62" s="13" t="s">
        <v>564</v>
      </c>
      <c r="L62" s="13" t="s">
        <v>564</v>
      </c>
      <c r="M62" s="11" t="s">
        <v>75</v>
      </c>
      <c r="N62" s="11" t="s">
        <v>364</v>
      </c>
      <c r="O62" s="13">
        <f t="shared" si="0"/>
        <v>61</v>
      </c>
    </row>
    <row r="63" spans="1:15" x14ac:dyDescent="0.25">
      <c r="A63" s="54" t="s">
        <v>562</v>
      </c>
      <c r="B63" s="26" t="s">
        <v>18</v>
      </c>
      <c r="C63" s="26" t="s">
        <v>439</v>
      </c>
      <c r="D63" s="13"/>
      <c r="E63" s="13" t="s">
        <v>564</v>
      </c>
      <c r="F63" s="13" t="s">
        <v>565</v>
      </c>
      <c r="G63" s="5" t="s">
        <v>565</v>
      </c>
      <c r="H63" s="5" t="s">
        <v>565</v>
      </c>
      <c r="I63" s="13" t="s">
        <v>564</v>
      </c>
      <c r="J63" s="13" t="s">
        <v>564</v>
      </c>
      <c r="K63" s="13" t="s">
        <v>564</v>
      </c>
      <c r="L63" s="13" t="s">
        <v>564</v>
      </c>
      <c r="M63" s="11" t="s">
        <v>75</v>
      </c>
      <c r="N63" s="11" t="s">
        <v>364</v>
      </c>
      <c r="O63" s="13">
        <f t="shared" si="0"/>
        <v>62</v>
      </c>
    </row>
    <row r="64" spans="1:15" x14ac:dyDescent="0.25">
      <c r="A64" s="54" t="s">
        <v>562</v>
      </c>
      <c r="B64" s="26" t="s">
        <v>18</v>
      </c>
      <c r="C64" s="26" t="s">
        <v>431</v>
      </c>
      <c r="D64" s="13" t="s">
        <v>344</v>
      </c>
      <c r="E64" s="13" t="s">
        <v>564</v>
      </c>
      <c r="F64" s="13" t="s">
        <v>565</v>
      </c>
      <c r="G64" s="5" t="s">
        <v>565</v>
      </c>
      <c r="H64" s="5" t="s">
        <v>565</v>
      </c>
      <c r="I64" s="13" t="s">
        <v>565</v>
      </c>
      <c r="J64" s="13" t="s">
        <v>565</v>
      </c>
      <c r="K64" s="13" t="s">
        <v>565</v>
      </c>
      <c r="L64" s="13" t="s">
        <v>565</v>
      </c>
      <c r="M64" s="11"/>
      <c r="N64" s="11" t="s">
        <v>364</v>
      </c>
      <c r="O64" s="13">
        <f t="shared" si="0"/>
        <v>63</v>
      </c>
    </row>
    <row r="65" spans="1:15" x14ac:dyDescent="0.25">
      <c r="A65" s="54" t="s">
        <v>562</v>
      </c>
      <c r="B65" s="26" t="s">
        <v>13</v>
      </c>
      <c r="C65" s="26" t="s">
        <v>440</v>
      </c>
      <c r="D65" s="13"/>
      <c r="E65" s="51" t="s">
        <v>363</v>
      </c>
      <c r="F65" s="13" t="s">
        <v>565</v>
      </c>
      <c r="G65" s="5" t="s">
        <v>565</v>
      </c>
      <c r="H65" s="5" t="s">
        <v>565</v>
      </c>
      <c r="I65" s="13" t="s">
        <v>564</v>
      </c>
      <c r="J65" s="13" t="s">
        <v>564</v>
      </c>
      <c r="K65" s="13" t="s">
        <v>564</v>
      </c>
      <c r="L65" s="13" t="s">
        <v>564</v>
      </c>
      <c r="M65" s="51" t="s">
        <v>363</v>
      </c>
      <c r="N65" s="11" t="s">
        <v>70</v>
      </c>
      <c r="O65" s="13">
        <f t="shared" si="0"/>
        <v>64</v>
      </c>
    </row>
    <row r="66" spans="1:15" x14ac:dyDescent="0.25">
      <c r="A66" s="54" t="s">
        <v>562</v>
      </c>
      <c r="B66" s="26" t="s">
        <v>13</v>
      </c>
      <c r="C66" s="26" t="s">
        <v>441</v>
      </c>
      <c r="D66" s="13"/>
      <c r="E66" s="51" t="s">
        <v>363</v>
      </c>
      <c r="F66" s="13" t="s">
        <v>565</v>
      </c>
      <c r="G66" s="5" t="s">
        <v>565</v>
      </c>
      <c r="H66" s="5" t="s">
        <v>565</v>
      </c>
      <c r="I66" s="13" t="s">
        <v>564</v>
      </c>
      <c r="J66" s="13" t="s">
        <v>564</v>
      </c>
      <c r="K66" s="13" t="s">
        <v>564</v>
      </c>
      <c r="L66" s="13" t="s">
        <v>564</v>
      </c>
      <c r="M66" s="51" t="s">
        <v>363</v>
      </c>
      <c r="N66" s="11" t="s">
        <v>70</v>
      </c>
      <c r="O66" s="13">
        <f t="shared" si="0"/>
        <v>65</v>
      </c>
    </row>
    <row r="67" spans="1:15" x14ac:dyDescent="0.25">
      <c r="A67" s="54" t="s">
        <v>562</v>
      </c>
      <c r="B67" s="26" t="s">
        <v>13</v>
      </c>
      <c r="C67" s="26" t="s">
        <v>431</v>
      </c>
      <c r="D67" s="13" t="s">
        <v>344</v>
      </c>
      <c r="E67" s="51" t="s">
        <v>363</v>
      </c>
      <c r="F67" s="13" t="s">
        <v>565</v>
      </c>
      <c r="G67" s="5" t="s">
        <v>565</v>
      </c>
      <c r="H67" s="5" t="s">
        <v>565</v>
      </c>
      <c r="I67" s="13" t="s">
        <v>565</v>
      </c>
      <c r="J67" s="13" t="s">
        <v>565</v>
      </c>
      <c r="K67" s="13" t="s">
        <v>565</v>
      </c>
      <c r="L67" s="13" t="s">
        <v>565</v>
      </c>
      <c r="M67" s="51" t="s">
        <v>363</v>
      </c>
      <c r="N67" s="11" t="s">
        <v>364</v>
      </c>
      <c r="O67" s="13">
        <f t="shared" si="0"/>
        <v>66</v>
      </c>
    </row>
    <row r="68" spans="1:15" x14ac:dyDescent="0.25">
      <c r="A68" s="54" t="s">
        <v>562</v>
      </c>
      <c r="B68" s="26" t="s">
        <v>15</v>
      </c>
      <c r="C68" s="26" t="s">
        <v>442</v>
      </c>
      <c r="D68" s="13"/>
      <c r="E68" s="51" t="s">
        <v>363</v>
      </c>
      <c r="F68" s="13" t="s">
        <v>565</v>
      </c>
      <c r="G68" s="5" t="s">
        <v>565</v>
      </c>
      <c r="H68" s="5" t="s">
        <v>565</v>
      </c>
      <c r="I68" s="13" t="s">
        <v>564</v>
      </c>
      <c r="J68" s="13" t="s">
        <v>564</v>
      </c>
      <c r="K68" s="13" t="s">
        <v>564</v>
      </c>
      <c r="L68" s="13" t="s">
        <v>564</v>
      </c>
      <c r="M68" s="51" t="s">
        <v>363</v>
      </c>
      <c r="N68" s="11" t="s">
        <v>70</v>
      </c>
      <c r="O68" s="13">
        <f t="shared" si="0"/>
        <v>67</v>
      </c>
    </row>
    <row r="69" spans="1:15" x14ac:dyDescent="0.25">
      <c r="A69" s="54" t="s">
        <v>562</v>
      </c>
      <c r="B69" s="26" t="s">
        <v>15</v>
      </c>
      <c r="C69" s="26" t="s">
        <v>443</v>
      </c>
      <c r="D69" s="13"/>
      <c r="E69" s="51" t="s">
        <v>363</v>
      </c>
      <c r="F69" s="13" t="s">
        <v>565</v>
      </c>
      <c r="G69" s="5" t="s">
        <v>565</v>
      </c>
      <c r="H69" s="5" t="s">
        <v>565</v>
      </c>
      <c r="I69" s="13" t="s">
        <v>564</v>
      </c>
      <c r="J69" s="13" t="s">
        <v>564</v>
      </c>
      <c r="K69" s="13" t="s">
        <v>564</v>
      </c>
      <c r="L69" s="13" t="s">
        <v>564</v>
      </c>
      <c r="M69" s="51" t="s">
        <v>363</v>
      </c>
      <c r="N69" s="11" t="s">
        <v>70</v>
      </c>
      <c r="O69" s="13">
        <f t="shared" si="0"/>
        <v>68</v>
      </c>
    </row>
    <row r="70" spans="1:15" x14ac:dyDescent="0.25">
      <c r="A70" s="54" t="s">
        <v>562</v>
      </c>
      <c r="B70" s="26" t="s">
        <v>15</v>
      </c>
      <c r="C70" s="26" t="s">
        <v>431</v>
      </c>
      <c r="D70" s="13" t="s">
        <v>344</v>
      </c>
      <c r="E70" s="51" t="s">
        <v>363</v>
      </c>
      <c r="F70" s="13" t="s">
        <v>565</v>
      </c>
      <c r="G70" s="5" t="s">
        <v>565</v>
      </c>
      <c r="H70" s="5" t="s">
        <v>565</v>
      </c>
      <c r="I70" s="13" t="s">
        <v>565</v>
      </c>
      <c r="J70" s="13" t="s">
        <v>565</v>
      </c>
      <c r="K70" s="13" t="s">
        <v>565</v>
      </c>
      <c r="L70" s="13" t="s">
        <v>565</v>
      </c>
      <c r="M70" s="51" t="s">
        <v>363</v>
      </c>
      <c r="N70" s="11" t="s">
        <v>364</v>
      </c>
      <c r="O70" s="13">
        <f t="shared" si="0"/>
        <v>69</v>
      </c>
    </row>
    <row r="71" spans="1:15" x14ac:dyDescent="0.25">
      <c r="A71" s="54" t="s">
        <v>562</v>
      </c>
      <c r="B71" s="26" t="s">
        <v>16</v>
      </c>
      <c r="C71" s="26" t="s">
        <v>444</v>
      </c>
      <c r="D71" s="13"/>
      <c r="E71" s="51" t="s">
        <v>363</v>
      </c>
      <c r="F71" s="13" t="s">
        <v>565</v>
      </c>
      <c r="G71" s="5" t="s">
        <v>565</v>
      </c>
      <c r="H71" s="5" t="s">
        <v>565</v>
      </c>
      <c r="I71" s="13" t="s">
        <v>564</v>
      </c>
      <c r="J71" s="13" t="s">
        <v>564</v>
      </c>
      <c r="K71" s="13" t="s">
        <v>564</v>
      </c>
      <c r="L71" s="13" t="s">
        <v>564</v>
      </c>
      <c r="M71" s="51" t="s">
        <v>363</v>
      </c>
      <c r="N71" s="11" t="s">
        <v>70</v>
      </c>
      <c r="O71" s="13">
        <f t="shared" si="0"/>
        <v>70</v>
      </c>
    </row>
    <row r="72" spans="1:15" x14ac:dyDescent="0.25">
      <c r="A72" s="54" t="s">
        <v>562</v>
      </c>
      <c r="B72" s="26" t="s">
        <v>16</v>
      </c>
      <c r="C72" s="26" t="s">
        <v>445</v>
      </c>
      <c r="D72" s="13"/>
      <c r="E72" s="51" t="s">
        <v>363</v>
      </c>
      <c r="F72" s="13" t="s">
        <v>565</v>
      </c>
      <c r="G72" s="5" t="s">
        <v>565</v>
      </c>
      <c r="H72" s="5" t="s">
        <v>565</v>
      </c>
      <c r="I72" s="13" t="s">
        <v>564</v>
      </c>
      <c r="J72" s="13" t="s">
        <v>564</v>
      </c>
      <c r="K72" s="13" t="s">
        <v>564</v>
      </c>
      <c r="L72" s="13" t="s">
        <v>564</v>
      </c>
      <c r="M72" s="51" t="s">
        <v>363</v>
      </c>
      <c r="N72" s="11" t="s">
        <v>70</v>
      </c>
      <c r="O72" s="13">
        <f t="shared" si="0"/>
        <v>71</v>
      </c>
    </row>
    <row r="73" spans="1:15" x14ac:dyDescent="0.25">
      <c r="A73" s="54" t="s">
        <v>562</v>
      </c>
      <c r="B73" s="26" t="s">
        <v>16</v>
      </c>
      <c r="C73" s="26" t="s">
        <v>431</v>
      </c>
      <c r="D73" s="13" t="s">
        <v>344</v>
      </c>
      <c r="E73" s="51" t="s">
        <v>363</v>
      </c>
      <c r="F73" s="13" t="s">
        <v>565</v>
      </c>
      <c r="G73" s="5" t="s">
        <v>565</v>
      </c>
      <c r="H73" s="5" t="s">
        <v>565</v>
      </c>
      <c r="I73" s="13" t="s">
        <v>565</v>
      </c>
      <c r="J73" s="13" t="s">
        <v>565</v>
      </c>
      <c r="K73" s="13" t="s">
        <v>565</v>
      </c>
      <c r="L73" s="13" t="s">
        <v>565</v>
      </c>
      <c r="M73" s="51" t="s">
        <v>363</v>
      </c>
      <c r="N73" s="11" t="s">
        <v>364</v>
      </c>
      <c r="O73" s="13">
        <f t="shared" ref="O73:O156" si="1">ROW()-1</f>
        <v>72</v>
      </c>
    </row>
    <row r="74" spans="1:15" x14ac:dyDescent="0.25">
      <c r="A74" s="54" t="s">
        <v>562</v>
      </c>
      <c r="B74" s="26" t="s">
        <v>17</v>
      </c>
      <c r="C74" s="26" t="s">
        <v>446</v>
      </c>
      <c r="D74" s="13"/>
      <c r="E74" s="51" t="s">
        <v>363</v>
      </c>
      <c r="F74" s="13" t="s">
        <v>565</v>
      </c>
      <c r="G74" s="5" t="s">
        <v>565</v>
      </c>
      <c r="H74" s="5" t="s">
        <v>565</v>
      </c>
      <c r="I74" s="13" t="s">
        <v>564</v>
      </c>
      <c r="J74" s="13" t="s">
        <v>564</v>
      </c>
      <c r="K74" s="13" t="s">
        <v>564</v>
      </c>
      <c r="L74" s="13" t="s">
        <v>564</v>
      </c>
      <c r="M74" s="51" t="s">
        <v>363</v>
      </c>
      <c r="N74" s="11" t="s">
        <v>70</v>
      </c>
      <c r="O74" s="13">
        <f t="shared" si="1"/>
        <v>73</v>
      </c>
    </row>
    <row r="75" spans="1:15" x14ac:dyDescent="0.25">
      <c r="A75" s="54" t="s">
        <v>562</v>
      </c>
      <c r="B75" s="26" t="s">
        <v>17</v>
      </c>
      <c r="C75" s="26" t="s">
        <v>447</v>
      </c>
      <c r="D75" s="13"/>
      <c r="E75" s="51" t="s">
        <v>363</v>
      </c>
      <c r="F75" s="13" t="s">
        <v>565</v>
      </c>
      <c r="G75" s="5" t="s">
        <v>565</v>
      </c>
      <c r="H75" s="5" t="s">
        <v>565</v>
      </c>
      <c r="I75" s="13" t="s">
        <v>564</v>
      </c>
      <c r="J75" s="13" t="s">
        <v>564</v>
      </c>
      <c r="K75" s="13" t="s">
        <v>564</v>
      </c>
      <c r="L75" s="13" t="s">
        <v>564</v>
      </c>
      <c r="M75" s="51" t="s">
        <v>363</v>
      </c>
      <c r="N75" s="11" t="s">
        <v>70</v>
      </c>
      <c r="O75" s="13">
        <f t="shared" si="1"/>
        <v>74</v>
      </c>
    </row>
    <row r="76" spans="1:15" x14ac:dyDescent="0.25">
      <c r="A76" s="54" t="s">
        <v>562</v>
      </c>
      <c r="B76" s="26" t="s">
        <v>17</v>
      </c>
      <c r="C76" s="26" t="s">
        <v>431</v>
      </c>
      <c r="D76" s="13" t="s">
        <v>344</v>
      </c>
      <c r="E76" s="51" t="s">
        <v>363</v>
      </c>
      <c r="F76" s="13" t="s">
        <v>565</v>
      </c>
      <c r="G76" s="5" t="s">
        <v>565</v>
      </c>
      <c r="H76" s="5" t="s">
        <v>565</v>
      </c>
      <c r="I76" s="13" t="s">
        <v>565</v>
      </c>
      <c r="J76" s="13" t="s">
        <v>565</v>
      </c>
      <c r="K76" s="13" t="s">
        <v>565</v>
      </c>
      <c r="L76" s="13" t="s">
        <v>565</v>
      </c>
      <c r="M76" s="51" t="s">
        <v>363</v>
      </c>
      <c r="N76" s="11" t="s">
        <v>364</v>
      </c>
      <c r="O76" s="13">
        <f t="shared" si="1"/>
        <v>75</v>
      </c>
    </row>
    <row r="77" spans="1:15" x14ac:dyDescent="0.25">
      <c r="A77" s="54" t="s">
        <v>562</v>
      </c>
      <c r="B77" s="26" t="s">
        <v>19</v>
      </c>
      <c r="C77" s="26" t="s">
        <v>448</v>
      </c>
      <c r="D77" s="13"/>
      <c r="E77" s="51" t="s">
        <v>363</v>
      </c>
      <c r="F77" s="13" t="s">
        <v>565</v>
      </c>
      <c r="G77" s="5" t="s">
        <v>565</v>
      </c>
      <c r="H77" s="5" t="s">
        <v>565</v>
      </c>
      <c r="I77" s="13" t="s">
        <v>564</v>
      </c>
      <c r="J77" s="13" t="s">
        <v>564</v>
      </c>
      <c r="K77" s="13" t="s">
        <v>564</v>
      </c>
      <c r="L77" s="13" t="s">
        <v>564</v>
      </c>
      <c r="M77" s="51" t="s">
        <v>363</v>
      </c>
      <c r="N77" s="11" t="s">
        <v>70</v>
      </c>
      <c r="O77" s="13">
        <f t="shared" si="1"/>
        <v>76</v>
      </c>
    </row>
    <row r="78" spans="1:15" x14ac:dyDescent="0.25">
      <c r="A78" s="54" t="s">
        <v>562</v>
      </c>
      <c r="B78" s="26" t="s">
        <v>19</v>
      </c>
      <c r="C78" s="26" t="s">
        <v>449</v>
      </c>
      <c r="D78" s="13"/>
      <c r="E78" s="51" t="s">
        <v>363</v>
      </c>
      <c r="F78" s="13" t="s">
        <v>565</v>
      </c>
      <c r="G78" s="5" t="s">
        <v>565</v>
      </c>
      <c r="H78" s="5" t="s">
        <v>565</v>
      </c>
      <c r="I78" s="13" t="s">
        <v>564</v>
      </c>
      <c r="J78" s="13" t="s">
        <v>564</v>
      </c>
      <c r="K78" s="13" t="s">
        <v>564</v>
      </c>
      <c r="L78" s="13" t="s">
        <v>564</v>
      </c>
      <c r="M78" s="51" t="s">
        <v>363</v>
      </c>
      <c r="N78" s="11" t="s">
        <v>70</v>
      </c>
      <c r="O78" s="13">
        <f t="shared" si="1"/>
        <v>77</v>
      </c>
    </row>
    <row r="79" spans="1:15" x14ac:dyDescent="0.25">
      <c r="A79" s="54" t="s">
        <v>562</v>
      </c>
      <c r="B79" s="26" t="s">
        <v>19</v>
      </c>
      <c r="C79" s="26" t="s">
        <v>431</v>
      </c>
      <c r="D79" s="13" t="s">
        <v>344</v>
      </c>
      <c r="E79" s="51" t="s">
        <v>363</v>
      </c>
      <c r="F79" s="13" t="s">
        <v>565</v>
      </c>
      <c r="G79" s="5" t="s">
        <v>565</v>
      </c>
      <c r="H79" s="5" t="s">
        <v>565</v>
      </c>
      <c r="I79" s="13" t="s">
        <v>565</v>
      </c>
      <c r="J79" s="13" t="s">
        <v>565</v>
      </c>
      <c r="K79" s="13" t="s">
        <v>565</v>
      </c>
      <c r="L79" s="13" t="s">
        <v>565</v>
      </c>
      <c r="M79" s="51" t="s">
        <v>363</v>
      </c>
      <c r="N79" s="11" t="s">
        <v>364</v>
      </c>
      <c r="O79" s="13">
        <f t="shared" si="1"/>
        <v>78</v>
      </c>
    </row>
    <row r="80" spans="1:15" x14ac:dyDescent="0.25">
      <c r="A80" s="54" t="s">
        <v>562</v>
      </c>
      <c r="B80" s="26" t="s">
        <v>51</v>
      </c>
      <c r="C80" s="26" t="s">
        <v>450</v>
      </c>
      <c r="D80" s="13"/>
      <c r="E80" s="51" t="s">
        <v>363</v>
      </c>
      <c r="F80" s="13" t="s">
        <v>565</v>
      </c>
      <c r="G80" s="5" t="s">
        <v>565</v>
      </c>
      <c r="H80" s="5" t="s">
        <v>565</v>
      </c>
      <c r="I80" s="13" t="s">
        <v>564</v>
      </c>
      <c r="J80" s="13" t="s">
        <v>564</v>
      </c>
      <c r="K80" s="13" t="s">
        <v>564</v>
      </c>
      <c r="L80" s="13" t="s">
        <v>564</v>
      </c>
      <c r="M80" s="51" t="s">
        <v>363</v>
      </c>
      <c r="N80" s="11" t="s">
        <v>70</v>
      </c>
      <c r="O80" s="13">
        <f t="shared" si="1"/>
        <v>79</v>
      </c>
    </row>
    <row r="81" spans="1:15" x14ac:dyDescent="0.25">
      <c r="A81" s="54" t="s">
        <v>562</v>
      </c>
      <c r="B81" s="26" t="s">
        <v>51</v>
      </c>
      <c r="C81" s="26" t="s">
        <v>451</v>
      </c>
      <c r="D81" s="13"/>
      <c r="E81" s="51" t="s">
        <v>363</v>
      </c>
      <c r="F81" s="13" t="s">
        <v>565</v>
      </c>
      <c r="G81" s="5" t="s">
        <v>565</v>
      </c>
      <c r="H81" s="5" t="s">
        <v>565</v>
      </c>
      <c r="I81" s="13" t="s">
        <v>564</v>
      </c>
      <c r="J81" s="13" t="s">
        <v>564</v>
      </c>
      <c r="K81" s="13" t="s">
        <v>564</v>
      </c>
      <c r="L81" s="13" t="s">
        <v>564</v>
      </c>
      <c r="M81" s="51" t="s">
        <v>363</v>
      </c>
      <c r="N81" s="11" t="s">
        <v>70</v>
      </c>
      <c r="O81" s="13">
        <f t="shared" si="1"/>
        <v>80</v>
      </c>
    </row>
    <row r="82" spans="1:15" x14ac:dyDescent="0.25">
      <c r="A82" s="54" t="s">
        <v>562</v>
      </c>
      <c r="B82" s="26" t="s">
        <v>51</v>
      </c>
      <c r="C82" s="26" t="s">
        <v>431</v>
      </c>
      <c r="D82" s="13" t="s">
        <v>344</v>
      </c>
      <c r="E82" s="51" t="s">
        <v>363</v>
      </c>
      <c r="F82" s="13" t="s">
        <v>565</v>
      </c>
      <c r="G82" s="5" t="s">
        <v>565</v>
      </c>
      <c r="H82" s="5" t="s">
        <v>565</v>
      </c>
      <c r="I82" s="13" t="s">
        <v>565</v>
      </c>
      <c r="J82" s="13" t="s">
        <v>565</v>
      </c>
      <c r="K82" s="13" t="s">
        <v>565</v>
      </c>
      <c r="L82" s="13" t="s">
        <v>565</v>
      </c>
      <c r="M82" s="51" t="s">
        <v>363</v>
      </c>
      <c r="N82" s="11" t="s">
        <v>364</v>
      </c>
      <c r="O82" s="13">
        <f t="shared" si="1"/>
        <v>81</v>
      </c>
    </row>
    <row r="83" spans="1:15" x14ac:dyDescent="0.25">
      <c r="A83" s="54" t="s">
        <v>562</v>
      </c>
      <c r="B83" s="26" t="s">
        <v>66</v>
      </c>
      <c r="C83" s="26" t="s">
        <v>452</v>
      </c>
      <c r="D83" s="13"/>
      <c r="E83" s="51" t="s">
        <v>363</v>
      </c>
      <c r="F83" s="13" t="s">
        <v>565</v>
      </c>
      <c r="G83" s="5" t="s">
        <v>565</v>
      </c>
      <c r="H83" s="5" t="s">
        <v>565</v>
      </c>
      <c r="I83" s="13" t="s">
        <v>564</v>
      </c>
      <c r="J83" s="13" t="s">
        <v>564</v>
      </c>
      <c r="K83" s="13" t="s">
        <v>564</v>
      </c>
      <c r="L83" s="13" t="s">
        <v>564</v>
      </c>
      <c r="M83" s="51" t="s">
        <v>363</v>
      </c>
      <c r="N83" s="11" t="s">
        <v>70</v>
      </c>
      <c r="O83" s="13">
        <f t="shared" si="1"/>
        <v>82</v>
      </c>
    </row>
    <row r="84" spans="1:15" x14ac:dyDescent="0.25">
      <c r="A84" s="54" t="s">
        <v>562</v>
      </c>
      <c r="B84" s="26" t="s">
        <v>66</v>
      </c>
      <c r="C84" s="26" t="s">
        <v>453</v>
      </c>
      <c r="D84" s="13"/>
      <c r="E84" s="51" t="s">
        <v>363</v>
      </c>
      <c r="F84" s="13" t="s">
        <v>565</v>
      </c>
      <c r="G84" s="5" t="s">
        <v>565</v>
      </c>
      <c r="H84" s="5" t="s">
        <v>565</v>
      </c>
      <c r="I84" s="13" t="s">
        <v>564</v>
      </c>
      <c r="J84" s="13" t="s">
        <v>564</v>
      </c>
      <c r="K84" s="13" t="s">
        <v>564</v>
      </c>
      <c r="L84" s="13" t="s">
        <v>564</v>
      </c>
      <c r="M84" s="51" t="s">
        <v>363</v>
      </c>
      <c r="N84" s="11" t="s">
        <v>70</v>
      </c>
      <c r="O84" s="13">
        <f t="shared" si="1"/>
        <v>83</v>
      </c>
    </row>
    <row r="85" spans="1:15" x14ac:dyDescent="0.25">
      <c r="A85" s="54" t="s">
        <v>562</v>
      </c>
      <c r="B85" s="26" t="s">
        <v>66</v>
      </c>
      <c r="C85" s="26" t="s">
        <v>431</v>
      </c>
      <c r="D85" s="13" t="s">
        <v>344</v>
      </c>
      <c r="E85" s="51" t="s">
        <v>363</v>
      </c>
      <c r="F85" s="13" t="s">
        <v>565</v>
      </c>
      <c r="G85" s="5" t="s">
        <v>565</v>
      </c>
      <c r="H85" s="5" t="s">
        <v>565</v>
      </c>
      <c r="I85" s="13" t="s">
        <v>565</v>
      </c>
      <c r="J85" s="13" t="s">
        <v>565</v>
      </c>
      <c r="K85" s="13" t="s">
        <v>565</v>
      </c>
      <c r="L85" s="13" t="s">
        <v>565</v>
      </c>
      <c r="M85" s="51" t="s">
        <v>363</v>
      </c>
      <c r="N85" s="11" t="s">
        <v>364</v>
      </c>
      <c r="O85" s="13">
        <f t="shared" si="1"/>
        <v>84</v>
      </c>
    </row>
    <row r="86" spans="1:15" x14ac:dyDescent="0.25">
      <c r="A86" s="54" t="s">
        <v>562</v>
      </c>
      <c r="B86" s="26" t="s">
        <v>67</v>
      </c>
      <c r="C86" s="26" t="s">
        <v>454</v>
      </c>
      <c r="D86" s="13"/>
      <c r="E86" s="51" t="s">
        <v>363</v>
      </c>
      <c r="F86" s="13" t="s">
        <v>565</v>
      </c>
      <c r="G86" s="5" t="s">
        <v>565</v>
      </c>
      <c r="H86" s="5" t="s">
        <v>565</v>
      </c>
      <c r="I86" s="13" t="s">
        <v>564</v>
      </c>
      <c r="J86" s="13" t="s">
        <v>564</v>
      </c>
      <c r="K86" s="13" t="s">
        <v>564</v>
      </c>
      <c r="L86" s="13" t="s">
        <v>564</v>
      </c>
      <c r="M86" s="51" t="s">
        <v>363</v>
      </c>
      <c r="N86" s="11" t="s">
        <v>70</v>
      </c>
      <c r="O86" s="13">
        <f t="shared" si="1"/>
        <v>85</v>
      </c>
    </row>
    <row r="87" spans="1:15" x14ac:dyDescent="0.25">
      <c r="A87" s="54" t="s">
        <v>562</v>
      </c>
      <c r="B87" s="26" t="s">
        <v>67</v>
      </c>
      <c r="C87" s="26" t="s">
        <v>455</v>
      </c>
      <c r="D87" s="13"/>
      <c r="E87" s="51" t="s">
        <v>363</v>
      </c>
      <c r="F87" s="13" t="s">
        <v>565</v>
      </c>
      <c r="G87" s="5" t="s">
        <v>565</v>
      </c>
      <c r="H87" s="5" t="s">
        <v>565</v>
      </c>
      <c r="I87" s="13" t="s">
        <v>564</v>
      </c>
      <c r="J87" s="13" t="s">
        <v>564</v>
      </c>
      <c r="K87" s="13" t="s">
        <v>564</v>
      </c>
      <c r="L87" s="13" t="s">
        <v>564</v>
      </c>
      <c r="M87" s="51" t="s">
        <v>363</v>
      </c>
      <c r="N87" s="11" t="s">
        <v>70</v>
      </c>
      <c r="O87" s="13">
        <f t="shared" si="1"/>
        <v>86</v>
      </c>
    </row>
    <row r="88" spans="1:15" ht="18" customHeight="1" x14ac:dyDescent="0.25">
      <c r="A88" s="54" t="s">
        <v>562</v>
      </c>
      <c r="B88" s="26" t="s">
        <v>67</v>
      </c>
      <c r="C88" s="26" t="s">
        <v>431</v>
      </c>
      <c r="D88" s="13" t="s">
        <v>344</v>
      </c>
      <c r="E88" s="51" t="s">
        <v>363</v>
      </c>
      <c r="F88" s="13" t="s">
        <v>565</v>
      </c>
      <c r="G88" s="5" t="s">
        <v>565</v>
      </c>
      <c r="H88" s="5" t="s">
        <v>565</v>
      </c>
      <c r="I88" s="13" t="s">
        <v>565</v>
      </c>
      <c r="J88" s="13" t="s">
        <v>565</v>
      </c>
      <c r="K88" s="13" t="s">
        <v>565</v>
      </c>
      <c r="L88" s="13" t="s">
        <v>565</v>
      </c>
      <c r="M88" s="51" t="s">
        <v>363</v>
      </c>
      <c r="N88" s="11" t="s">
        <v>364</v>
      </c>
      <c r="O88" s="13">
        <f t="shared" si="1"/>
        <v>87</v>
      </c>
    </row>
    <row r="89" spans="1:15" x14ac:dyDescent="0.25">
      <c r="A89" s="54" t="s">
        <v>562</v>
      </c>
      <c r="B89" s="26" t="s">
        <v>20</v>
      </c>
      <c r="C89" s="26" t="s">
        <v>456</v>
      </c>
      <c r="D89" s="26"/>
      <c r="E89" s="13" t="s">
        <v>564</v>
      </c>
      <c r="F89" s="13" t="s">
        <v>565</v>
      </c>
      <c r="G89" s="13" t="s">
        <v>564</v>
      </c>
      <c r="H89" s="5" t="s">
        <v>565</v>
      </c>
      <c r="I89" s="13" t="s">
        <v>564</v>
      </c>
      <c r="J89" s="13" t="s">
        <v>564</v>
      </c>
      <c r="K89" s="13" t="s">
        <v>564</v>
      </c>
      <c r="L89" s="13" t="s">
        <v>564</v>
      </c>
      <c r="M89" s="11" t="s">
        <v>73</v>
      </c>
      <c r="N89" s="11" t="s">
        <v>72</v>
      </c>
      <c r="O89" s="13">
        <f t="shared" si="1"/>
        <v>88</v>
      </c>
    </row>
    <row r="90" spans="1:15" x14ac:dyDescent="0.25">
      <c r="A90" s="54" t="s">
        <v>562</v>
      </c>
      <c r="B90" s="26" t="s">
        <v>457</v>
      </c>
      <c r="C90" s="26" t="s">
        <v>458</v>
      </c>
      <c r="D90" s="26"/>
      <c r="E90" s="13" t="s">
        <v>564</v>
      </c>
      <c r="F90" s="13" t="s">
        <v>564</v>
      </c>
      <c r="G90" s="13" t="s">
        <v>564</v>
      </c>
      <c r="H90" s="5" t="s">
        <v>565</v>
      </c>
      <c r="I90" s="13" t="s">
        <v>564</v>
      </c>
      <c r="J90" s="13" t="s">
        <v>564</v>
      </c>
      <c r="K90" s="13" t="s">
        <v>564</v>
      </c>
      <c r="L90" s="13" t="s">
        <v>564</v>
      </c>
      <c r="M90" s="11" t="s">
        <v>80</v>
      </c>
      <c r="N90" s="11" t="s">
        <v>72</v>
      </c>
      <c r="O90" s="13">
        <f t="shared" si="1"/>
        <v>89</v>
      </c>
    </row>
    <row r="91" spans="1:15" x14ac:dyDescent="0.25">
      <c r="A91" s="54" t="s">
        <v>562</v>
      </c>
      <c r="B91" s="26" t="s">
        <v>45</v>
      </c>
      <c r="C91" s="26" t="s">
        <v>459</v>
      </c>
      <c r="D91" s="26"/>
      <c r="E91" s="13" t="s">
        <v>564</v>
      </c>
      <c r="F91" s="13" t="s">
        <v>565</v>
      </c>
      <c r="G91" s="5" t="s">
        <v>565</v>
      </c>
      <c r="H91" s="13" t="s">
        <v>564</v>
      </c>
      <c r="I91" s="13" t="s">
        <v>564</v>
      </c>
      <c r="J91" s="13" t="s">
        <v>564</v>
      </c>
      <c r="K91" s="13" t="s">
        <v>564</v>
      </c>
      <c r="L91" s="13" t="s">
        <v>564</v>
      </c>
      <c r="M91" s="11" t="s">
        <v>74</v>
      </c>
      <c r="N91" s="11" t="s">
        <v>68</v>
      </c>
      <c r="O91" s="13">
        <f t="shared" si="1"/>
        <v>90</v>
      </c>
    </row>
    <row r="92" spans="1:15" x14ac:dyDescent="0.25">
      <c r="A92" s="54" t="s">
        <v>562</v>
      </c>
      <c r="B92" s="26" t="s">
        <v>45</v>
      </c>
      <c r="C92" s="26" t="s">
        <v>460</v>
      </c>
      <c r="D92" s="26"/>
      <c r="E92" s="13" t="s">
        <v>564</v>
      </c>
      <c r="F92" s="13" t="s">
        <v>565</v>
      </c>
      <c r="G92" s="5" t="s">
        <v>565</v>
      </c>
      <c r="H92" s="13" t="s">
        <v>564</v>
      </c>
      <c r="I92" s="13" t="s">
        <v>564</v>
      </c>
      <c r="J92" s="13" t="s">
        <v>564</v>
      </c>
      <c r="K92" s="13" t="s">
        <v>564</v>
      </c>
      <c r="L92" s="13" t="s">
        <v>564</v>
      </c>
      <c r="M92" s="11" t="s">
        <v>81</v>
      </c>
      <c r="N92" s="11" t="s">
        <v>68</v>
      </c>
      <c r="O92" s="13">
        <f t="shared" si="1"/>
        <v>91</v>
      </c>
    </row>
    <row r="93" spans="1:15" x14ac:dyDescent="0.25">
      <c r="A93" s="54" t="s">
        <v>562</v>
      </c>
      <c r="B93" s="26" t="s">
        <v>45</v>
      </c>
      <c r="C93" s="26" t="s">
        <v>461</v>
      </c>
      <c r="D93" s="26"/>
      <c r="E93" s="13" t="s">
        <v>565</v>
      </c>
      <c r="F93" s="13" t="s">
        <v>565</v>
      </c>
      <c r="G93" s="5" t="s">
        <v>565</v>
      </c>
      <c r="H93" s="13" t="s">
        <v>565</v>
      </c>
      <c r="I93" s="13" t="s">
        <v>565</v>
      </c>
      <c r="J93" s="13" t="s">
        <v>565</v>
      </c>
      <c r="K93" s="13" t="s">
        <v>565</v>
      </c>
      <c r="L93" s="13" t="s">
        <v>565</v>
      </c>
      <c r="M93" s="11" t="s">
        <v>82</v>
      </c>
      <c r="N93" s="11" t="s">
        <v>68</v>
      </c>
      <c r="O93" s="13">
        <f t="shared" si="1"/>
        <v>92</v>
      </c>
    </row>
    <row r="94" spans="1:15" x14ac:dyDescent="0.25">
      <c r="A94" s="54" t="s">
        <v>562</v>
      </c>
      <c r="B94" s="26" t="s">
        <v>22</v>
      </c>
      <c r="C94" s="26" t="s">
        <v>462</v>
      </c>
      <c r="D94" s="26"/>
      <c r="E94" s="13" t="s">
        <v>564</v>
      </c>
      <c r="F94" s="13" t="s">
        <v>565</v>
      </c>
      <c r="G94" s="5" t="s">
        <v>565</v>
      </c>
      <c r="H94" s="5" t="s">
        <v>565</v>
      </c>
      <c r="I94" s="13" t="s">
        <v>564</v>
      </c>
      <c r="J94" s="13" t="s">
        <v>564</v>
      </c>
      <c r="K94" s="13" t="s">
        <v>564</v>
      </c>
      <c r="L94" s="13" t="s">
        <v>564</v>
      </c>
      <c r="M94" s="11" t="s">
        <v>75</v>
      </c>
      <c r="N94" s="11" t="s">
        <v>364</v>
      </c>
      <c r="O94" s="13">
        <f t="shared" si="1"/>
        <v>93</v>
      </c>
    </row>
    <row r="95" spans="1:15" x14ac:dyDescent="0.25">
      <c r="A95" s="54" t="s">
        <v>562</v>
      </c>
      <c r="B95" s="26" t="s">
        <v>22</v>
      </c>
      <c r="C95" s="26" t="s">
        <v>463</v>
      </c>
      <c r="D95" s="26"/>
      <c r="E95" s="13" t="s">
        <v>565</v>
      </c>
      <c r="F95" s="13" t="s">
        <v>565</v>
      </c>
      <c r="G95" s="5" t="s">
        <v>565</v>
      </c>
      <c r="H95" s="5" t="s">
        <v>565</v>
      </c>
      <c r="I95" s="13" t="s">
        <v>564</v>
      </c>
      <c r="J95" s="13" t="s">
        <v>564</v>
      </c>
      <c r="K95" s="13" t="s">
        <v>564</v>
      </c>
      <c r="L95" s="13" t="s">
        <v>564</v>
      </c>
      <c r="M95" s="11" t="s">
        <v>83</v>
      </c>
      <c r="N95" s="11" t="s">
        <v>364</v>
      </c>
      <c r="O95" s="13">
        <f t="shared" si="1"/>
        <v>94</v>
      </c>
    </row>
    <row r="96" spans="1:15" x14ac:dyDescent="0.25">
      <c r="A96" s="54" t="s">
        <v>562</v>
      </c>
      <c r="B96" s="26" t="s">
        <v>44</v>
      </c>
      <c r="C96" s="26" t="s">
        <v>464</v>
      </c>
      <c r="D96" s="26"/>
      <c r="E96" s="13" t="s">
        <v>564</v>
      </c>
      <c r="F96" s="13" t="s">
        <v>565</v>
      </c>
      <c r="G96" s="5" t="s">
        <v>565</v>
      </c>
      <c r="H96" s="5" t="s">
        <v>565</v>
      </c>
      <c r="I96" s="13" t="s">
        <v>564</v>
      </c>
      <c r="J96" s="13" t="s">
        <v>564</v>
      </c>
      <c r="K96" s="13" t="s">
        <v>564</v>
      </c>
      <c r="L96" s="13" t="s">
        <v>564</v>
      </c>
      <c r="M96" s="11" t="s">
        <v>75</v>
      </c>
      <c r="N96" s="11" t="s">
        <v>68</v>
      </c>
      <c r="O96" s="13">
        <f t="shared" si="1"/>
        <v>95</v>
      </c>
    </row>
    <row r="97" spans="1:15" x14ac:dyDescent="0.25">
      <c r="A97" s="54" t="s">
        <v>562</v>
      </c>
      <c r="B97" s="26" t="s">
        <v>44</v>
      </c>
      <c r="C97" s="26" t="s">
        <v>465</v>
      </c>
      <c r="D97" s="26"/>
      <c r="E97" s="13" t="s">
        <v>565</v>
      </c>
      <c r="F97" s="13" t="s">
        <v>565</v>
      </c>
      <c r="G97" s="5" t="s">
        <v>565</v>
      </c>
      <c r="H97" s="5" t="s">
        <v>565</v>
      </c>
      <c r="I97" s="13" t="s">
        <v>564</v>
      </c>
      <c r="J97" s="13" t="s">
        <v>564</v>
      </c>
      <c r="K97" s="13" t="s">
        <v>564</v>
      </c>
      <c r="L97" s="13" t="s">
        <v>564</v>
      </c>
      <c r="M97" s="11" t="s">
        <v>83</v>
      </c>
      <c r="N97" s="11" t="s">
        <v>68</v>
      </c>
      <c r="O97" s="13">
        <f t="shared" si="1"/>
        <v>96</v>
      </c>
    </row>
    <row r="98" spans="1:15" x14ac:dyDescent="0.25">
      <c r="A98" s="54" t="s">
        <v>562</v>
      </c>
      <c r="B98" s="26" t="s">
        <v>21</v>
      </c>
      <c r="C98" s="26" t="s">
        <v>466</v>
      </c>
      <c r="D98" s="26"/>
      <c r="E98" s="51" t="s">
        <v>363</v>
      </c>
      <c r="F98" s="13" t="s">
        <v>565</v>
      </c>
      <c r="G98" s="5" t="s">
        <v>565</v>
      </c>
      <c r="H98" s="5" t="s">
        <v>565</v>
      </c>
      <c r="I98" s="13" t="s">
        <v>564</v>
      </c>
      <c r="J98" s="13" t="s">
        <v>564</v>
      </c>
      <c r="K98" s="13" t="s">
        <v>564</v>
      </c>
      <c r="L98" s="13" t="s">
        <v>564</v>
      </c>
      <c r="M98" s="51" t="s">
        <v>363</v>
      </c>
      <c r="N98" s="11" t="s">
        <v>70</v>
      </c>
      <c r="O98" s="13">
        <f t="shared" si="1"/>
        <v>97</v>
      </c>
    </row>
    <row r="99" spans="1:15" x14ac:dyDescent="0.25">
      <c r="A99" s="54" t="s">
        <v>562</v>
      </c>
      <c r="B99" s="26" t="s">
        <v>21</v>
      </c>
      <c r="C99" s="26" t="s">
        <v>467</v>
      </c>
      <c r="D99" s="26"/>
      <c r="E99" s="51" t="s">
        <v>363</v>
      </c>
      <c r="F99" s="13" t="s">
        <v>565</v>
      </c>
      <c r="G99" s="5" t="s">
        <v>565</v>
      </c>
      <c r="H99" s="5" t="s">
        <v>565</v>
      </c>
      <c r="I99" s="13" t="s">
        <v>564</v>
      </c>
      <c r="J99" s="13" t="s">
        <v>564</v>
      </c>
      <c r="K99" s="13" t="s">
        <v>564</v>
      </c>
      <c r="L99" s="13" t="s">
        <v>564</v>
      </c>
      <c r="M99" s="51" t="s">
        <v>363</v>
      </c>
      <c r="N99" s="11" t="s">
        <v>70</v>
      </c>
      <c r="O99" s="13">
        <f t="shared" si="1"/>
        <v>98</v>
      </c>
    </row>
    <row r="100" spans="1:15" x14ac:dyDescent="0.25">
      <c r="A100" s="54" t="s">
        <v>562</v>
      </c>
      <c r="B100" s="26" t="s">
        <v>23</v>
      </c>
      <c r="C100" s="26" t="s">
        <v>468</v>
      </c>
      <c r="D100" s="26"/>
      <c r="E100" s="51" t="s">
        <v>363</v>
      </c>
      <c r="F100" s="13" t="s">
        <v>565</v>
      </c>
      <c r="G100" s="5" t="s">
        <v>565</v>
      </c>
      <c r="H100" s="5" t="s">
        <v>565</v>
      </c>
      <c r="I100" s="13" t="s">
        <v>564</v>
      </c>
      <c r="J100" s="13" t="s">
        <v>564</v>
      </c>
      <c r="K100" s="13" t="s">
        <v>564</v>
      </c>
      <c r="L100" s="13" t="s">
        <v>564</v>
      </c>
      <c r="M100" s="51" t="s">
        <v>363</v>
      </c>
      <c r="N100" s="11" t="s">
        <v>70</v>
      </c>
      <c r="O100" s="13">
        <f t="shared" si="1"/>
        <v>99</v>
      </c>
    </row>
    <row r="101" spans="1:15" x14ac:dyDescent="0.25">
      <c r="A101" s="54" t="s">
        <v>562</v>
      </c>
      <c r="B101" s="26" t="s">
        <v>23</v>
      </c>
      <c r="C101" s="26" t="s">
        <v>469</v>
      </c>
      <c r="D101" s="26"/>
      <c r="E101" s="51" t="s">
        <v>363</v>
      </c>
      <c r="F101" s="13" t="s">
        <v>565</v>
      </c>
      <c r="G101" s="5" t="s">
        <v>565</v>
      </c>
      <c r="H101" s="5" t="s">
        <v>565</v>
      </c>
      <c r="I101" s="13" t="s">
        <v>564</v>
      </c>
      <c r="J101" s="13" t="s">
        <v>564</v>
      </c>
      <c r="K101" s="13" t="s">
        <v>564</v>
      </c>
      <c r="L101" s="13" t="s">
        <v>564</v>
      </c>
      <c r="M101" s="51" t="s">
        <v>363</v>
      </c>
      <c r="N101" s="11" t="s">
        <v>70</v>
      </c>
      <c r="O101" s="13">
        <f t="shared" si="1"/>
        <v>100</v>
      </c>
    </row>
    <row r="102" spans="1:15" x14ac:dyDescent="0.25">
      <c r="A102" s="54" t="s">
        <v>562</v>
      </c>
      <c r="B102" s="26" t="s">
        <v>24</v>
      </c>
      <c r="C102" s="26" t="s">
        <v>470</v>
      </c>
      <c r="D102" s="26"/>
      <c r="E102" s="51" t="s">
        <v>363</v>
      </c>
      <c r="F102" s="13" t="s">
        <v>565</v>
      </c>
      <c r="G102" s="5" t="s">
        <v>565</v>
      </c>
      <c r="H102" s="5" t="s">
        <v>565</v>
      </c>
      <c r="I102" s="13" t="s">
        <v>564</v>
      </c>
      <c r="J102" s="13" t="s">
        <v>564</v>
      </c>
      <c r="K102" s="13" t="s">
        <v>564</v>
      </c>
      <c r="L102" s="13" t="s">
        <v>564</v>
      </c>
      <c r="M102" s="51" t="s">
        <v>363</v>
      </c>
      <c r="N102" s="11" t="s">
        <v>70</v>
      </c>
      <c r="O102" s="13">
        <f t="shared" si="1"/>
        <v>101</v>
      </c>
    </row>
    <row r="103" spans="1:15" x14ac:dyDescent="0.25">
      <c r="A103" s="54" t="s">
        <v>562</v>
      </c>
      <c r="B103" s="26" t="s">
        <v>24</v>
      </c>
      <c r="C103" s="26" t="s">
        <v>471</v>
      </c>
      <c r="D103" s="26"/>
      <c r="E103" s="51" t="s">
        <v>363</v>
      </c>
      <c r="F103" s="13" t="s">
        <v>565</v>
      </c>
      <c r="G103" s="5" t="s">
        <v>565</v>
      </c>
      <c r="H103" s="5" t="s">
        <v>565</v>
      </c>
      <c r="I103" s="13" t="s">
        <v>564</v>
      </c>
      <c r="J103" s="13" t="s">
        <v>564</v>
      </c>
      <c r="K103" s="13" t="s">
        <v>564</v>
      </c>
      <c r="L103" s="13" t="s">
        <v>564</v>
      </c>
      <c r="M103" s="51" t="s">
        <v>363</v>
      </c>
      <c r="N103" s="11" t="s">
        <v>70</v>
      </c>
      <c r="O103" s="13">
        <f t="shared" si="1"/>
        <v>102</v>
      </c>
    </row>
    <row r="104" spans="1:15" x14ac:dyDescent="0.25">
      <c r="A104" s="54" t="s">
        <v>562</v>
      </c>
      <c r="B104" s="26" t="s">
        <v>25</v>
      </c>
      <c r="C104" s="26" t="s">
        <v>472</v>
      </c>
      <c r="D104" s="26"/>
      <c r="E104" s="13" t="s">
        <v>564</v>
      </c>
      <c r="F104" s="13" t="s">
        <v>565</v>
      </c>
      <c r="G104" s="13" t="s">
        <v>564</v>
      </c>
      <c r="H104" s="5" t="s">
        <v>565</v>
      </c>
      <c r="I104" s="13" t="s">
        <v>564</v>
      </c>
      <c r="J104" s="13" t="s">
        <v>564</v>
      </c>
      <c r="K104" s="13" t="s">
        <v>564</v>
      </c>
      <c r="L104" s="13" t="s">
        <v>564</v>
      </c>
      <c r="M104" s="11" t="s">
        <v>73</v>
      </c>
      <c r="N104" s="11" t="s">
        <v>68</v>
      </c>
      <c r="O104" s="13">
        <f t="shared" si="1"/>
        <v>103</v>
      </c>
    </row>
    <row r="105" spans="1:15" x14ac:dyDescent="0.25">
      <c r="A105" s="54" t="s">
        <v>562</v>
      </c>
      <c r="B105" s="26" t="s">
        <v>25</v>
      </c>
      <c r="C105" s="26" t="s">
        <v>473</v>
      </c>
      <c r="D105" s="26"/>
      <c r="E105" s="13" t="s">
        <v>564</v>
      </c>
      <c r="F105" s="13" t="s">
        <v>565</v>
      </c>
      <c r="G105" s="13" t="s">
        <v>564</v>
      </c>
      <c r="H105" s="5" t="s">
        <v>565</v>
      </c>
      <c r="I105" s="13" t="s">
        <v>564</v>
      </c>
      <c r="J105" s="13" t="s">
        <v>564</v>
      </c>
      <c r="K105" s="13" t="s">
        <v>564</v>
      </c>
      <c r="L105" s="13" t="s">
        <v>564</v>
      </c>
      <c r="M105" s="11" t="s">
        <v>73</v>
      </c>
      <c r="N105" s="11" t="s">
        <v>68</v>
      </c>
      <c r="O105" s="13">
        <f t="shared" si="1"/>
        <v>104</v>
      </c>
    </row>
    <row r="106" spans="1:15" x14ac:dyDescent="0.25">
      <c r="A106" s="54" t="s">
        <v>562</v>
      </c>
      <c r="B106" s="26" t="s">
        <v>474</v>
      </c>
      <c r="C106" s="26" t="s">
        <v>475</v>
      </c>
      <c r="D106" s="26"/>
      <c r="E106" s="13" t="s">
        <v>564</v>
      </c>
      <c r="F106" s="13" t="s">
        <v>564</v>
      </c>
      <c r="G106" s="13" t="s">
        <v>564</v>
      </c>
      <c r="H106" s="5" t="s">
        <v>565</v>
      </c>
      <c r="I106" s="13" t="s">
        <v>564</v>
      </c>
      <c r="J106" s="13" t="s">
        <v>564</v>
      </c>
      <c r="K106" s="13" t="s">
        <v>564</v>
      </c>
      <c r="L106" s="13" t="s">
        <v>564</v>
      </c>
      <c r="M106" s="11" t="s">
        <v>84</v>
      </c>
      <c r="N106" s="11" t="s">
        <v>68</v>
      </c>
      <c r="O106" s="13">
        <f t="shared" si="1"/>
        <v>105</v>
      </c>
    </row>
    <row r="107" spans="1:15" x14ac:dyDescent="0.25">
      <c r="A107" s="54" t="s">
        <v>562</v>
      </c>
      <c r="B107" s="26" t="s">
        <v>25</v>
      </c>
      <c r="C107" s="26" t="s">
        <v>476</v>
      </c>
      <c r="D107" s="26"/>
      <c r="E107" s="13" t="s">
        <v>564</v>
      </c>
      <c r="F107" s="13" t="s">
        <v>564</v>
      </c>
      <c r="G107" s="13" t="s">
        <v>564</v>
      </c>
      <c r="H107" s="5" t="s">
        <v>565</v>
      </c>
      <c r="I107" s="13" t="s">
        <v>564</v>
      </c>
      <c r="J107" s="13" t="s">
        <v>564</v>
      </c>
      <c r="K107" s="13" t="s">
        <v>564</v>
      </c>
      <c r="L107" s="13" t="s">
        <v>564</v>
      </c>
      <c r="M107" s="11" t="s">
        <v>73</v>
      </c>
      <c r="N107" s="11" t="s">
        <v>68</v>
      </c>
      <c r="O107" s="13">
        <f t="shared" si="1"/>
        <v>106</v>
      </c>
    </row>
    <row r="108" spans="1:15" x14ac:dyDescent="0.25">
      <c r="A108" s="54" t="s">
        <v>562</v>
      </c>
      <c r="B108" s="26" t="s">
        <v>37</v>
      </c>
      <c r="C108" s="26" t="s">
        <v>477</v>
      </c>
      <c r="D108" s="26"/>
      <c r="E108" s="13" t="s">
        <v>564</v>
      </c>
      <c r="F108" s="13" t="s">
        <v>565</v>
      </c>
      <c r="G108" s="5" t="s">
        <v>565</v>
      </c>
      <c r="H108" s="13" t="s">
        <v>564</v>
      </c>
      <c r="I108" s="13" t="s">
        <v>564</v>
      </c>
      <c r="J108" s="13" t="s">
        <v>564</v>
      </c>
      <c r="K108" s="13" t="s">
        <v>564</v>
      </c>
      <c r="L108" s="13" t="s">
        <v>564</v>
      </c>
      <c r="M108" s="11" t="s">
        <v>74</v>
      </c>
      <c r="N108" s="11" t="s">
        <v>72</v>
      </c>
      <c r="O108" s="13">
        <f t="shared" si="1"/>
        <v>107</v>
      </c>
    </row>
    <row r="109" spans="1:15" x14ac:dyDescent="0.25">
      <c r="A109" s="54" t="s">
        <v>562</v>
      </c>
      <c r="B109" s="26" t="s">
        <v>37</v>
      </c>
      <c r="C109" s="26" t="s">
        <v>478</v>
      </c>
      <c r="D109" s="26"/>
      <c r="E109" s="13" t="s">
        <v>564</v>
      </c>
      <c r="F109" s="13" t="s">
        <v>565</v>
      </c>
      <c r="G109" s="5" t="s">
        <v>565</v>
      </c>
      <c r="H109" s="13" t="s">
        <v>564</v>
      </c>
      <c r="I109" s="13" t="s">
        <v>564</v>
      </c>
      <c r="J109" s="13" t="s">
        <v>564</v>
      </c>
      <c r="K109" s="13" t="s">
        <v>564</v>
      </c>
      <c r="L109" s="13" t="s">
        <v>564</v>
      </c>
      <c r="M109" s="11" t="s">
        <v>74</v>
      </c>
      <c r="N109" s="11" t="s">
        <v>72</v>
      </c>
      <c r="O109" s="13">
        <f t="shared" si="1"/>
        <v>108</v>
      </c>
    </row>
    <row r="110" spans="1:15" x14ac:dyDescent="0.25">
      <c r="A110" s="54" t="s">
        <v>562</v>
      </c>
      <c r="B110" s="26" t="s">
        <v>37</v>
      </c>
      <c r="C110" s="26" t="s">
        <v>479</v>
      </c>
      <c r="D110" s="26"/>
      <c r="E110" s="13" t="s">
        <v>564</v>
      </c>
      <c r="F110" s="13" t="s">
        <v>565</v>
      </c>
      <c r="G110" s="5" t="s">
        <v>565</v>
      </c>
      <c r="H110" s="13" t="s">
        <v>564</v>
      </c>
      <c r="I110" s="13" t="s">
        <v>564</v>
      </c>
      <c r="J110" s="13" t="s">
        <v>564</v>
      </c>
      <c r="K110" s="13" t="s">
        <v>564</v>
      </c>
      <c r="L110" s="13" t="s">
        <v>564</v>
      </c>
      <c r="M110" s="11" t="s">
        <v>82</v>
      </c>
      <c r="N110" s="11" t="s">
        <v>72</v>
      </c>
      <c r="O110" s="13">
        <f t="shared" si="1"/>
        <v>109</v>
      </c>
    </row>
    <row r="111" spans="1:15" x14ac:dyDescent="0.25">
      <c r="A111" s="54" t="s">
        <v>562</v>
      </c>
      <c r="B111" s="26" t="s">
        <v>37</v>
      </c>
      <c r="C111" s="26" t="s">
        <v>480</v>
      </c>
      <c r="D111" s="26"/>
      <c r="E111" s="13" t="s">
        <v>564</v>
      </c>
      <c r="F111" s="13" t="s">
        <v>565</v>
      </c>
      <c r="G111" s="5" t="s">
        <v>565</v>
      </c>
      <c r="H111" s="13" t="s">
        <v>564</v>
      </c>
      <c r="I111" s="13" t="s">
        <v>564</v>
      </c>
      <c r="J111" s="13" t="s">
        <v>564</v>
      </c>
      <c r="K111" s="13" t="s">
        <v>564</v>
      </c>
      <c r="L111" s="13" t="s">
        <v>564</v>
      </c>
      <c r="M111" s="11" t="s">
        <v>74</v>
      </c>
      <c r="N111" s="11" t="s">
        <v>72</v>
      </c>
      <c r="O111" s="13">
        <f t="shared" si="1"/>
        <v>110</v>
      </c>
    </row>
    <row r="112" spans="1:15" x14ac:dyDescent="0.25">
      <c r="A112" s="54" t="s">
        <v>562</v>
      </c>
      <c r="B112" s="26" t="s">
        <v>37</v>
      </c>
      <c r="C112" s="26" t="s">
        <v>481</v>
      </c>
      <c r="D112" s="26"/>
      <c r="E112" s="13" t="s">
        <v>564</v>
      </c>
      <c r="F112" s="13" t="s">
        <v>565</v>
      </c>
      <c r="G112" s="5" t="s">
        <v>565</v>
      </c>
      <c r="H112" s="13" t="s">
        <v>564</v>
      </c>
      <c r="I112" s="13" t="s">
        <v>564</v>
      </c>
      <c r="J112" s="13" t="s">
        <v>564</v>
      </c>
      <c r="K112" s="13" t="s">
        <v>564</v>
      </c>
      <c r="L112" s="13" t="s">
        <v>564</v>
      </c>
      <c r="M112" s="11" t="s">
        <v>85</v>
      </c>
      <c r="N112" s="11" t="s">
        <v>72</v>
      </c>
      <c r="O112" s="13">
        <f t="shared" si="1"/>
        <v>111</v>
      </c>
    </row>
    <row r="113" spans="1:15" x14ac:dyDescent="0.25">
      <c r="A113" s="54" t="s">
        <v>562</v>
      </c>
      <c r="B113" s="41" t="s">
        <v>300</v>
      </c>
      <c r="C113" s="41" t="s">
        <v>482</v>
      </c>
      <c r="D113" s="41"/>
      <c r="E113" s="44" t="s">
        <v>564</v>
      </c>
      <c r="F113" s="13" t="s">
        <v>565</v>
      </c>
      <c r="G113" s="5" t="s">
        <v>565</v>
      </c>
      <c r="H113" s="13" t="s">
        <v>565</v>
      </c>
      <c r="I113" s="13" t="s">
        <v>564</v>
      </c>
      <c r="J113" s="13" t="s">
        <v>565</v>
      </c>
      <c r="K113" s="13" t="s">
        <v>564</v>
      </c>
      <c r="L113" s="13" t="s">
        <v>564</v>
      </c>
      <c r="M113" s="43" t="s">
        <v>313</v>
      </c>
      <c r="N113" s="11" t="s">
        <v>68</v>
      </c>
      <c r="O113" s="13">
        <f t="shared" si="1"/>
        <v>112</v>
      </c>
    </row>
    <row r="114" spans="1:15" x14ac:dyDescent="0.25">
      <c r="A114" s="54" t="s">
        <v>562</v>
      </c>
      <c r="B114" s="41" t="s">
        <v>300</v>
      </c>
      <c r="C114" s="41" t="s">
        <v>483</v>
      </c>
      <c r="D114" s="41"/>
      <c r="E114" s="13" t="s">
        <v>565</v>
      </c>
      <c r="F114" s="13" t="s">
        <v>565</v>
      </c>
      <c r="G114" s="13" t="s">
        <v>564</v>
      </c>
      <c r="H114" s="13" t="s">
        <v>564</v>
      </c>
      <c r="I114" s="13" t="s">
        <v>564</v>
      </c>
      <c r="J114" s="13" t="s">
        <v>564</v>
      </c>
      <c r="K114" s="13" t="s">
        <v>564</v>
      </c>
      <c r="L114" s="13" t="s">
        <v>564</v>
      </c>
      <c r="M114" s="43" t="s">
        <v>313</v>
      </c>
      <c r="N114" s="11" t="s">
        <v>68</v>
      </c>
      <c r="O114" s="13">
        <f t="shared" si="1"/>
        <v>113</v>
      </c>
    </row>
    <row r="115" spans="1:15" x14ac:dyDescent="0.25">
      <c r="A115" s="54" t="s">
        <v>562</v>
      </c>
      <c r="B115" s="41" t="s">
        <v>300</v>
      </c>
      <c r="C115" s="41" t="s">
        <v>484</v>
      </c>
      <c r="D115" s="41"/>
      <c r="E115" s="44" t="s">
        <v>564</v>
      </c>
      <c r="F115" s="13" t="s">
        <v>565</v>
      </c>
      <c r="G115" s="5" t="s">
        <v>565</v>
      </c>
      <c r="H115" s="13" t="s">
        <v>564</v>
      </c>
      <c r="I115" s="13" t="s">
        <v>564</v>
      </c>
      <c r="J115" s="13" t="s">
        <v>564</v>
      </c>
      <c r="K115" s="13" t="s">
        <v>564</v>
      </c>
      <c r="L115" s="13" t="s">
        <v>564</v>
      </c>
      <c r="M115" s="43" t="s">
        <v>308</v>
      </c>
      <c r="N115" s="11" t="s">
        <v>68</v>
      </c>
      <c r="O115" s="13">
        <f t="shared" si="1"/>
        <v>114</v>
      </c>
    </row>
    <row r="116" spans="1:15" x14ac:dyDescent="0.25">
      <c r="A116" s="54" t="s">
        <v>562</v>
      </c>
      <c r="B116" s="41" t="s">
        <v>300</v>
      </c>
      <c r="C116" s="41" t="s">
        <v>431</v>
      </c>
      <c r="D116" s="41" t="s">
        <v>362</v>
      </c>
      <c r="E116" s="44" t="s">
        <v>564</v>
      </c>
      <c r="F116" s="13" t="s">
        <v>565</v>
      </c>
      <c r="G116" s="5" t="s">
        <v>565</v>
      </c>
      <c r="H116" s="13" t="s">
        <v>565</v>
      </c>
      <c r="I116" s="13" t="s">
        <v>565</v>
      </c>
      <c r="J116" s="13" t="s">
        <v>565</v>
      </c>
      <c r="K116" s="13" t="s">
        <v>565</v>
      </c>
      <c r="L116" s="13" t="s">
        <v>565</v>
      </c>
      <c r="M116" s="43"/>
      <c r="N116" s="11" t="s">
        <v>68</v>
      </c>
      <c r="O116" s="13">
        <f t="shared" si="1"/>
        <v>115</v>
      </c>
    </row>
    <row r="117" spans="1:15" x14ac:dyDescent="0.25">
      <c r="A117" s="54" t="s">
        <v>562</v>
      </c>
      <c r="B117" s="26" t="s">
        <v>26</v>
      </c>
      <c r="C117" s="26" t="s">
        <v>485</v>
      </c>
      <c r="D117" s="26"/>
      <c r="E117" s="13" t="s">
        <v>564</v>
      </c>
      <c r="F117" s="13" t="s">
        <v>565</v>
      </c>
      <c r="G117" s="5" t="s">
        <v>565</v>
      </c>
      <c r="H117" s="5" t="s">
        <v>565</v>
      </c>
      <c r="I117" s="13" t="s">
        <v>564</v>
      </c>
      <c r="J117" s="13" t="s">
        <v>564</v>
      </c>
      <c r="K117" s="13" t="s">
        <v>564</v>
      </c>
      <c r="L117" s="13" t="s">
        <v>564</v>
      </c>
      <c r="M117" s="11" t="s">
        <v>75</v>
      </c>
      <c r="N117" s="11" t="s">
        <v>364</v>
      </c>
      <c r="O117" s="13">
        <f t="shared" si="1"/>
        <v>116</v>
      </c>
    </row>
    <row r="118" spans="1:15" x14ac:dyDescent="0.25">
      <c r="A118" s="54" t="s">
        <v>562</v>
      </c>
      <c r="B118" s="26" t="s">
        <v>26</v>
      </c>
      <c r="C118" s="26" t="s">
        <v>486</v>
      </c>
      <c r="D118" s="26"/>
      <c r="E118" s="13" t="s">
        <v>564</v>
      </c>
      <c r="F118" s="13" t="s">
        <v>565</v>
      </c>
      <c r="G118" s="5" t="s">
        <v>565</v>
      </c>
      <c r="H118" s="5" t="s">
        <v>565</v>
      </c>
      <c r="I118" s="13" t="s">
        <v>564</v>
      </c>
      <c r="J118" s="13" t="s">
        <v>564</v>
      </c>
      <c r="K118" s="13" t="s">
        <v>564</v>
      </c>
      <c r="L118" s="13" t="s">
        <v>564</v>
      </c>
      <c r="M118" s="11" t="s">
        <v>75</v>
      </c>
      <c r="N118" s="11" t="s">
        <v>364</v>
      </c>
      <c r="O118" s="13">
        <f t="shared" si="1"/>
        <v>117</v>
      </c>
    </row>
    <row r="119" spans="1:15" x14ac:dyDescent="0.25">
      <c r="A119" s="54" t="s">
        <v>562</v>
      </c>
      <c r="B119" s="26" t="s">
        <v>26</v>
      </c>
      <c r="C119" s="26" t="s">
        <v>487</v>
      </c>
      <c r="D119" s="26"/>
      <c r="E119" s="13" t="s">
        <v>565</v>
      </c>
      <c r="F119" s="13" t="s">
        <v>565</v>
      </c>
      <c r="G119" s="5" t="s">
        <v>565</v>
      </c>
      <c r="H119" s="5" t="s">
        <v>565</v>
      </c>
      <c r="I119" s="13" t="s">
        <v>564</v>
      </c>
      <c r="J119" s="13" t="s">
        <v>564</v>
      </c>
      <c r="K119" s="13" t="s">
        <v>564</v>
      </c>
      <c r="L119" s="13" t="s">
        <v>564</v>
      </c>
      <c r="M119" s="11" t="s">
        <v>83</v>
      </c>
      <c r="N119" s="11" t="s">
        <v>364</v>
      </c>
      <c r="O119" s="13">
        <f t="shared" si="1"/>
        <v>118</v>
      </c>
    </row>
    <row r="120" spans="1:15" x14ac:dyDescent="0.25">
      <c r="A120" s="54" t="s">
        <v>562</v>
      </c>
      <c r="B120" s="26" t="s">
        <v>26</v>
      </c>
      <c r="C120" s="26" t="s">
        <v>488</v>
      </c>
      <c r="D120" s="26"/>
      <c r="E120" s="13" t="s">
        <v>564</v>
      </c>
      <c r="F120" s="13" t="s">
        <v>565</v>
      </c>
      <c r="G120" s="5" t="s">
        <v>565</v>
      </c>
      <c r="H120" s="5" t="s">
        <v>565</v>
      </c>
      <c r="I120" s="13" t="s">
        <v>564</v>
      </c>
      <c r="J120" s="13" t="s">
        <v>564</v>
      </c>
      <c r="K120" s="13" t="s">
        <v>564</v>
      </c>
      <c r="L120" s="13" t="s">
        <v>564</v>
      </c>
      <c r="M120" s="11" t="s">
        <v>75</v>
      </c>
      <c r="N120" s="11" t="s">
        <v>364</v>
      </c>
      <c r="O120" s="13">
        <f t="shared" si="1"/>
        <v>119</v>
      </c>
    </row>
    <row r="121" spans="1:15" x14ac:dyDescent="0.25">
      <c r="A121" s="54" t="s">
        <v>562</v>
      </c>
      <c r="B121" s="26" t="s">
        <v>29</v>
      </c>
      <c r="C121" s="26" t="s">
        <v>489</v>
      </c>
      <c r="D121" s="26"/>
      <c r="E121" s="13" t="s">
        <v>565</v>
      </c>
      <c r="F121" s="13" t="s">
        <v>565</v>
      </c>
      <c r="G121" s="5" t="s">
        <v>565</v>
      </c>
      <c r="H121" s="5" t="s">
        <v>565</v>
      </c>
      <c r="I121" s="13" t="s">
        <v>564</v>
      </c>
      <c r="J121" s="13" t="s">
        <v>564</v>
      </c>
      <c r="K121" s="13" t="s">
        <v>564</v>
      </c>
      <c r="L121" s="13" t="s">
        <v>564</v>
      </c>
      <c r="M121" s="11" t="s">
        <v>75</v>
      </c>
      <c r="N121" s="11" t="s">
        <v>68</v>
      </c>
      <c r="O121" s="13">
        <f t="shared" si="1"/>
        <v>120</v>
      </c>
    </row>
    <row r="122" spans="1:15" x14ac:dyDescent="0.25">
      <c r="A122" s="54" t="s">
        <v>562</v>
      </c>
      <c r="B122" s="26" t="s">
        <v>29</v>
      </c>
      <c r="C122" s="26" t="s">
        <v>490</v>
      </c>
      <c r="D122" s="26"/>
      <c r="E122" s="13" t="s">
        <v>564</v>
      </c>
      <c r="F122" s="13" t="s">
        <v>565</v>
      </c>
      <c r="G122" s="5" t="s">
        <v>565</v>
      </c>
      <c r="H122" s="5" t="s">
        <v>565</v>
      </c>
      <c r="I122" s="13" t="s">
        <v>564</v>
      </c>
      <c r="J122" s="13" t="s">
        <v>564</v>
      </c>
      <c r="K122" s="13" t="s">
        <v>564</v>
      </c>
      <c r="L122" s="13" t="s">
        <v>564</v>
      </c>
      <c r="M122" s="11" t="s">
        <v>75</v>
      </c>
      <c r="N122" s="11" t="s">
        <v>68</v>
      </c>
      <c r="O122" s="13">
        <f t="shared" si="1"/>
        <v>121</v>
      </c>
    </row>
    <row r="123" spans="1:15" x14ac:dyDescent="0.25">
      <c r="A123" s="54" t="s">
        <v>562</v>
      </c>
      <c r="B123" s="26" t="s">
        <v>29</v>
      </c>
      <c r="C123" s="26" t="s">
        <v>491</v>
      </c>
      <c r="D123" s="26"/>
      <c r="E123" s="13" t="s">
        <v>565</v>
      </c>
      <c r="F123" s="13" t="s">
        <v>565</v>
      </c>
      <c r="G123" s="5" t="s">
        <v>565</v>
      </c>
      <c r="H123" s="5" t="s">
        <v>565</v>
      </c>
      <c r="I123" s="13" t="s">
        <v>564</v>
      </c>
      <c r="J123" s="13" t="s">
        <v>564</v>
      </c>
      <c r="K123" s="13" t="s">
        <v>564</v>
      </c>
      <c r="L123" s="13" t="s">
        <v>564</v>
      </c>
      <c r="M123" s="11" t="s">
        <v>83</v>
      </c>
      <c r="N123" s="11" t="s">
        <v>68</v>
      </c>
      <c r="O123" s="13">
        <f t="shared" si="1"/>
        <v>122</v>
      </c>
    </row>
    <row r="124" spans="1:15" x14ac:dyDescent="0.25">
      <c r="A124" s="54" t="s">
        <v>562</v>
      </c>
      <c r="B124" s="26" t="s">
        <v>29</v>
      </c>
      <c r="C124" s="26" t="s">
        <v>492</v>
      </c>
      <c r="D124" s="26"/>
      <c r="E124" s="13" t="s">
        <v>565</v>
      </c>
      <c r="F124" s="13" t="s">
        <v>565</v>
      </c>
      <c r="G124" s="5" t="s">
        <v>565</v>
      </c>
      <c r="H124" s="5" t="s">
        <v>565</v>
      </c>
      <c r="I124" s="13" t="s">
        <v>564</v>
      </c>
      <c r="J124" s="13" t="s">
        <v>564</v>
      </c>
      <c r="K124" s="13" t="s">
        <v>564</v>
      </c>
      <c r="L124" s="13" t="s">
        <v>564</v>
      </c>
      <c r="M124" s="11" t="s">
        <v>75</v>
      </c>
      <c r="N124" s="11" t="s">
        <v>68</v>
      </c>
      <c r="O124" s="13">
        <f t="shared" si="1"/>
        <v>123</v>
      </c>
    </row>
    <row r="125" spans="1:15" x14ac:dyDescent="0.25">
      <c r="A125" s="54" t="s">
        <v>562</v>
      </c>
      <c r="B125" s="26" t="s">
        <v>32</v>
      </c>
      <c r="C125" s="26" t="s">
        <v>493</v>
      </c>
      <c r="D125" s="26"/>
      <c r="E125" s="13" t="s">
        <v>565</v>
      </c>
      <c r="F125" s="13" t="s">
        <v>565</v>
      </c>
      <c r="G125" s="5" t="s">
        <v>565</v>
      </c>
      <c r="H125" s="5" t="s">
        <v>565</v>
      </c>
      <c r="I125" s="13" t="s">
        <v>564</v>
      </c>
      <c r="J125" s="13" t="s">
        <v>564</v>
      </c>
      <c r="K125" s="13" t="s">
        <v>564</v>
      </c>
      <c r="L125" s="13" t="s">
        <v>564</v>
      </c>
      <c r="M125" s="11" t="s">
        <v>75</v>
      </c>
      <c r="N125" s="11" t="s">
        <v>364</v>
      </c>
      <c r="O125" s="13">
        <f t="shared" si="1"/>
        <v>124</v>
      </c>
    </row>
    <row r="126" spans="1:15" x14ac:dyDescent="0.25">
      <c r="A126" s="54" t="s">
        <v>562</v>
      </c>
      <c r="B126" s="26" t="s">
        <v>32</v>
      </c>
      <c r="C126" s="26" t="s">
        <v>494</v>
      </c>
      <c r="D126" s="26"/>
      <c r="E126" s="13" t="s">
        <v>564</v>
      </c>
      <c r="F126" s="13" t="s">
        <v>565</v>
      </c>
      <c r="G126" s="5" t="s">
        <v>565</v>
      </c>
      <c r="H126" s="5" t="s">
        <v>565</v>
      </c>
      <c r="I126" s="13" t="s">
        <v>564</v>
      </c>
      <c r="J126" s="13" t="s">
        <v>564</v>
      </c>
      <c r="K126" s="13" t="s">
        <v>564</v>
      </c>
      <c r="L126" s="13" t="s">
        <v>564</v>
      </c>
      <c r="M126" s="11" t="s">
        <v>75</v>
      </c>
      <c r="N126" s="11" t="s">
        <v>364</v>
      </c>
      <c r="O126" s="13">
        <f t="shared" si="1"/>
        <v>125</v>
      </c>
    </row>
    <row r="127" spans="1:15" x14ac:dyDescent="0.25">
      <c r="A127" s="54" t="s">
        <v>562</v>
      </c>
      <c r="B127" s="26" t="s">
        <v>32</v>
      </c>
      <c r="C127" s="26" t="s">
        <v>495</v>
      </c>
      <c r="D127" s="26"/>
      <c r="E127" s="13" t="s">
        <v>565</v>
      </c>
      <c r="F127" s="13" t="s">
        <v>565</v>
      </c>
      <c r="G127" s="5" t="s">
        <v>565</v>
      </c>
      <c r="H127" s="5" t="s">
        <v>565</v>
      </c>
      <c r="I127" s="13" t="s">
        <v>564</v>
      </c>
      <c r="J127" s="13" t="s">
        <v>564</v>
      </c>
      <c r="K127" s="13" t="s">
        <v>564</v>
      </c>
      <c r="L127" s="13" t="s">
        <v>564</v>
      </c>
      <c r="M127" s="11" t="s">
        <v>83</v>
      </c>
      <c r="N127" s="11" t="s">
        <v>364</v>
      </c>
      <c r="O127" s="13">
        <f t="shared" si="1"/>
        <v>126</v>
      </c>
    </row>
    <row r="128" spans="1:15" x14ac:dyDescent="0.25">
      <c r="A128" s="54" t="s">
        <v>562</v>
      </c>
      <c r="B128" s="26" t="s">
        <v>32</v>
      </c>
      <c r="C128" s="26" t="s">
        <v>496</v>
      </c>
      <c r="D128" s="26"/>
      <c r="E128" s="13" t="s">
        <v>565</v>
      </c>
      <c r="F128" s="13" t="s">
        <v>565</v>
      </c>
      <c r="G128" s="5" t="s">
        <v>565</v>
      </c>
      <c r="H128" s="5" t="s">
        <v>565</v>
      </c>
      <c r="I128" s="13" t="s">
        <v>564</v>
      </c>
      <c r="J128" s="13" t="s">
        <v>564</v>
      </c>
      <c r="K128" s="13" t="s">
        <v>564</v>
      </c>
      <c r="L128" s="13" t="s">
        <v>564</v>
      </c>
      <c r="M128" s="11" t="s">
        <v>75</v>
      </c>
      <c r="N128" s="11" t="s">
        <v>364</v>
      </c>
      <c r="O128" s="13">
        <f t="shared" si="1"/>
        <v>127</v>
      </c>
    </row>
    <row r="129" spans="1:15" x14ac:dyDescent="0.25">
      <c r="A129" s="54" t="s">
        <v>562</v>
      </c>
      <c r="B129" s="26" t="s">
        <v>35</v>
      </c>
      <c r="C129" s="26" t="s">
        <v>497</v>
      </c>
      <c r="D129" s="26"/>
      <c r="E129" s="13" t="s">
        <v>565</v>
      </c>
      <c r="F129" s="13" t="s">
        <v>565</v>
      </c>
      <c r="G129" s="5" t="s">
        <v>565</v>
      </c>
      <c r="H129" s="5" t="s">
        <v>565</v>
      </c>
      <c r="I129" s="13" t="s">
        <v>564</v>
      </c>
      <c r="J129" s="13" t="s">
        <v>564</v>
      </c>
      <c r="K129" s="13" t="s">
        <v>564</v>
      </c>
      <c r="L129" s="13" t="s">
        <v>564</v>
      </c>
      <c r="M129" s="11" t="s">
        <v>75</v>
      </c>
      <c r="N129" s="11" t="s">
        <v>68</v>
      </c>
      <c r="O129" s="13">
        <f t="shared" si="1"/>
        <v>128</v>
      </c>
    </row>
    <row r="130" spans="1:15" x14ac:dyDescent="0.25">
      <c r="A130" s="54" t="s">
        <v>562</v>
      </c>
      <c r="B130" s="26" t="s">
        <v>35</v>
      </c>
      <c r="C130" s="26" t="s">
        <v>498</v>
      </c>
      <c r="D130" s="26"/>
      <c r="E130" s="13" t="s">
        <v>564</v>
      </c>
      <c r="F130" s="13" t="s">
        <v>565</v>
      </c>
      <c r="G130" s="5" t="s">
        <v>565</v>
      </c>
      <c r="H130" s="5" t="s">
        <v>565</v>
      </c>
      <c r="I130" s="13" t="s">
        <v>564</v>
      </c>
      <c r="J130" s="13" t="s">
        <v>564</v>
      </c>
      <c r="K130" s="13" t="s">
        <v>564</v>
      </c>
      <c r="L130" s="13" t="s">
        <v>564</v>
      </c>
      <c r="M130" s="11" t="s">
        <v>75</v>
      </c>
      <c r="N130" s="11" t="s">
        <v>68</v>
      </c>
      <c r="O130" s="13">
        <f t="shared" si="1"/>
        <v>129</v>
      </c>
    </row>
    <row r="131" spans="1:15" x14ac:dyDescent="0.25">
      <c r="A131" s="54" t="s">
        <v>562</v>
      </c>
      <c r="B131" s="26" t="s">
        <v>35</v>
      </c>
      <c r="C131" s="26" t="s">
        <v>499</v>
      </c>
      <c r="D131" s="26"/>
      <c r="E131" s="13" t="s">
        <v>565</v>
      </c>
      <c r="F131" s="13" t="s">
        <v>565</v>
      </c>
      <c r="G131" s="5" t="s">
        <v>565</v>
      </c>
      <c r="H131" s="5" t="s">
        <v>565</v>
      </c>
      <c r="I131" s="13" t="s">
        <v>564</v>
      </c>
      <c r="J131" s="13" t="s">
        <v>564</v>
      </c>
      <c r="K131" s="13" t="s">
        <v>564</v>
      </c>
      <c r="L131" s="13" t="s">
        <v>564</v>
      </c>
      <c r="M131" s="11" t="s">
        <v>83</v>
      </c>
      <c r="N131" s="11" t="s">
        <v>68</v>
      </c>
      <c r="O131" s="13">
        <f t="shared" si="1"/>
        <v>130</v>
      </c>
    </row>
    <row r="132" spans="1:15" x14ac:dyDescent="0.25">
      <c r="A132" s="54" t="s">
        <v>562</v>
      </c>
      <c r="B132" s="26" t="s">
        <v>35</v>
      </c>
      <c r="C132" s="26" t="s">
        <v>500</v>
      </c>
      <c r="D132" s="26"/>
      <c r="E132" s="13" t="s">
        <v>565</v>
      </c>
      <c r="F132" s="13" t="s">
        <v>565</v>
      </c>
      <c r="G132" s="5" t="s">
        <v>565</v>
      </c>
      <c r="H132" s="5" t="s">
        <v>565</v>
      </c>
      <c r="I132" s="13" t="s">
        <v>564</v>
      </c>
      <c r="J132" s="13" t="s">
        <v>564</v>
      </c>
      <c r="K132" s="13" t="s">
        <v>564</v>
      </c>
      <c r="L132" s="13" t="s">
        <v>564</v>
      </c>
      <c r="M132" s="11" t="s">
        <v>75</v>
      </c>
      <c r="N132" s="11" t="s">
        <v>68</v>
      </c>
      <c r="O132" s="13">
        <f t="shared" si="1"/>
        <v>131</v>
      </c>
    </row>
    <row r="133" spans="1:15" x14ac:dyDescent="0.25">
      <c r="A133" s="54" t="s">
        <v>562</v>
      </c>
      <c r="B133" s="26" t="s">
        <v>36</v>
      </c>
      <c r="C133" s="26" t="s">
        <v>501</v>
      </c>
      <c r="D133" s="26"/>
      <c r="E133" s="13" t="s">
        <v>565</v>
      </c>
      <c r="F133" s="13" t="s">
        <v>565</v>
      </c>
      <c r="G133" s="5" t="s">
        <v>565</v>
      </c>
      <c r="H133" s="5" t="s">
        <v>565</v>
      </c>
      <c r="I133" s="13" t="s">
        <v>564</v>
      </c>
      <c r="J133" s="13" t="s">
        <v>564</v>
      </c>
      <c r="K133" s="13" t="s">
        <v>564</v>
      </c>
      <c r="L133" s="13" t="s">
        <v>564</v>
      </c>
      <c r="M133" s="11" t="s">
        <v>75</v>
      </c>
      <c r="N133" s="11" t="s">
        <v>364</v>
      </c>
      <c r="O133" s="13">
        <f t="shared" si="1"/>
        <v>132</v>
      </c>
    </row>
    <row r="134" spans="1:15" x14ac:dyDescent="0.25">
      <c r="A134" s="54" t="s">
        <v>562</v>
      </c>
      <c r="B134" s="26" t="s">
        <v>36</v>
      </c>
      <c r="C134" s="26" t="s">
        <v>502</v>
      </c>
      <c r="D134" s="26"/>
      <c r="E134" s="13" t="s">
        <v>564</v>
      </c>
      <c r="F134" s="13" t="s">
        <v>565</v>
      </c>
      <c r="G134" s="5" t="s">
        <v>565</v>
      </c>
      <c r="H134" s="5" t="s">
        <v>565</v>
      </c>
      <c r="I134" s="13" t="s">
        <v>564</v>
      </c>
      <c r="J134" s="13" t="s">
        <v>564</v>
      </c>
      <c r="K134" s="13" t="s">
        <v>564</v>
      </c>
      <c r="L134" s="13" t="s">
        <v>564</v>
      </c>
      <c r="M134" s="11" t="s">
        <v>75</v>
      </c>
      <c r="N134" s="11" t="s">
        <v>364</v>
      </c>
      <c r="O134" s="13">
        <f t="shared" si="1"/>
        <v>133</v>
      </c>
    </row>
    <row r="135" spans="1:15" x14ac:dyDescent="0.25">
      <c r="A135" s="54" t="s">
        <v>562</v>
      </c>
      <c r="B135" s="26" t="s">
        <v>36</v>
      </c>
      <c r="C135" s="26" t="s">
        <v>503</v>
      </c>
      <c r="D135" s="26"/>
      <c r="E135" s="13" t="s">
        <v>565</v>
      </c>
      <c r="F135" s="13" t="s">
        <v>565</v>
      </c>
      <c r="G135" s="5" t="s">
        <v>565</v>
      </c>
      <c r="H135" s="5" t="s">
        <v>565</v>
      </c>
      <c r="I135" s="13" t="s">
        <v>564</v>
      </c>
      <c r="J135" s="13" t="s">
        <v>564</v>
      </c>
      <c r="K135" s="13" t="s">
        <v>564</v>
      </c>
      <c r="L135" s="13" t="s">
        <v>564</v>
      </c>
      <c r="M135" s="11" t="s">
        <v>83</v>
      </c>
      <c r="N135" s="11" t="s">
        <v>364</v>
      </c>
      <c r="O135" s="13">
        <f t="shared" si="1"/>
        <v>134</v>
      </c>
    </row>
    <row r="136" spans="1:15" x14ac:dyDescent="0.25">
      <c r="A136" s="54" t="s">
        <v>562</v>
      </c>
      <c r="B136" s="26" t="s">
        <v>36</v>
      </c>
      <c r="C136" s="26" t="s">
        <v>504</v>
      </c>
      <c r="D136" s="26"/>
      <c r="E136" s="13" t="s">
        <v>565</v>
      </c>
      <c r="F136" s="13" t="s">
        <v>565</v>
      </c>
      <c r="G136" s="5" t="s">
        <v>565</v>
      </c>
      <c r="H136" s="5" t="s">
        <v>565</v>
      </c>
      <c r="I136" s="13" t="s">
        <v>564</v>
      </c>
      <c r="J136" s="13" t="s">
        <v>564</v>
      </c>
      <c r="K136" s="13" t="s">
        <v>564</v>
      </c>
      <c r="L136" s="13" t="s">
        <v>564</v>
      </c>
      <c r="M136" s="11" t="s">
        <v>75</v>
      </c>
      <c r="N136" s="11" t="s">
        <v>364</v>
      </c>
      <c r="O136" s="13">
        <f t="shared" si="1"/>
        <v>135</v>
      </c>
    </row>
    <row r="137" spans="1:15" x14ac:dyDescent="0.25">
      <c r="A137" s="54" t="s">
        <v>562</v>
      </c>
      <c r="B137" s="26" t="s">
        <v>27</v>
      </c>
      <c r="C137" s="26" t="s">
        <v>505</v>
      </c>
      <c r="D137" s="26"/>
      <c r="E137" s="51" t="s">
        <v>363</v>
      </c>
      <c r="F137" s="13" t="s">
        <v>565</v>
      </c>
      <c r="G137" s="5" t="s">
        <v>565</v>
      </c>
      <c r="H137" s="5" t="s">
        <v>565</v>
      </c>
      <c r="I137" s="13" t="s">
        <v>564</v>
      </c>
      <c r="J137" s="13" t="s">
        <v>564</v>
      </c>
      <c r="K137" s="13" t="s">
        <v>564</v>
      </c>
      <c r="L137" s="13" t="s">
        <v>564</v>
      </c>
      <c r="M137" s="51" t="s">
        <v>363</v>
      </c>
      <c r="N137" s="11" t="s">
        <v>70</v>
      </c>
      <c r="O137" s="13">
        <f t="shared" si="1"/>
        <v>136</v>
      </c>
    </row>
    <row r="138" spans="1:15" x14ac:dyDescent="0.25">
      <c r="A138" s="54" t="s">
        <v>562</v>
      </c>
      <c r="B138" s="26" t="s">
        <v>27</v>
      </c>
      <c r="C138" s="26" t="s">
        <v>506</v>
      </c>
      <c r="D138" s="26"/>
      <c r="E138" s="51" t="s">
        <v>363</v>
      </c>
      <c r="F138" s="13" t="s">
        <v>565</v>
      </c>
      <c r="G138" s="5" t="s">
        <v>565</v>
      </c>
      <c r="H138" s="5" t="s">
        <v>565</v>
      </c>
      <c r="I138" s="13" t="s">
        <v>564</v>
      </c>
      <c r="J138" s="13" t="s">
        <v>564</v>
      </c>
      <c r="K138" s="13" t="s">
        <v>564</v>
      </c>
      <c r="L138" s="13" t="s">
        <v>564</v>
      </c>
      <c r="M138" s="51" t="s">
        <v>363</v>
      </c>
      <c r="N138" s="11" t="s">
        <v>70</v>
      </c>
      <c r="O138" s="13">
        <f t="shared" si="1"/>
        <v>137</v>
      </c>
    </row>
    <row r="139" spans="1:15" x14ac:dyDescent="0.25">
      <c r="A139" s="54" t="s">
        <v>562</v>
      </c>
      <c r="B139" s="26" t="s">
        <v>27</v>
      </c>
      <c r="C139" s="26" t="s">
        <v>507</v>
      </c>
      <c r="D139" s="26"/>
      <c r="E139" s="51" t="s">
        <v>363</v>
      </c>
      <c r="F139" s="13" t="s">
        <v>565</v>
      </c>
      <c r="G139" s="5" t="s">
        <v>565</v>
      </c>
      <c r="H139" s="5" t="s">
        <v>565</v>
      </c>
      <c r="I139" s="13" t="s">
        <v>564</v>
      </c>
      <c r="J139" s="13" t="s">
        <v>564</v>
      </c>
      <c r="K139" s="13" t="s">
        <v>564</v>
      </c>
      <c r="L139" s="13" t="s">
        <v>564</v>
      </c>
      <c r="M139" s="51" t="s">
        <v>363</v>
      </c>
      <c r="N139" s="11" t="s">
        <v>70</v>
      </c>
      <c r="O139" s="13">
        <f t="shared" si="1"/>
        <v>138</v>
      </c>
    </row>
    <row r="140" spans="1:15" x14ac:dyDescent="0.25">
      <c r="A140" s="54" t="s">
        <v>562</v>
      </c>
      <c r="B140" s="26" t="s">
        <v>27</v>
      </c>
      <c r="C140" s="26" t="s">
        <v>508</v>
      </c>
      <c r="D140" s="26"/>
      <c r="E140" s="51" t="s">
        <v>363</v>
      </c>
      <c r="F140" s="13" t="s">
        <v>565</v>
      </c>
      <c r="G140" s="5" t="s">
        <v>565</v>
      </c>
      <c r="H140" s="5" t="s">
        <v>565</v>
      </c>
      <c r="I140" s="13" t="s">
        <v>564</v>
      </c>
      <c r="J140" s="13" t="s">
        <v>564</v>
      </c>
      <c r="K140" s="13" t="s">
        <v>564</v>
      </c>
      <c r="L140" s="13" t="s">
        <v>564</v>
      </c>
      <c r="M140" s="51" t="s">
        <v>363</v>
      </c>
      <c r="N140" s="11" t="s">
        <v>70</v>
      </c>
      <c r="O140" s="13">
        <f t="shared" si="1"/>
        <v>139</v>
      </c>
    </row>
    <row r="141" spans="1:15" x14ac:dyDescent="0.25">
      <c r="A141" s="54" t="s">
        <v>562</v>
      </c>
      <c r="B141" s="26" t="s">
        <v>28</v>
      </c>
      <c r="C141" s="26" t="s">
        <v>509</v>
      </c>
      <c r="D141" s="26"/>
      <c r="E141" s="51" t="s">
        <v>363</v>
      </c>
      <c r="F141" s="13" t="s">
        <v>565</v>
      </c>
      <c r="G141" s="5" t="s">
        <v>565</v>
      </c>
      <c r="H141" s="5" t="s">
        <v>565</v>
      </c>
      <c r="I141" s="13" t="s">
        <v>564</v>
      </c>
      <c r="J141" s="13" t="s">
        <v>564</v>
      </c>
      <c r="K141" s="13" t="s">
        <v>564</v>
      </c>
      <c r="L141" s="13" t="s">
        <v>564</v>
      </c>
      <c r="M141" s="51" t="s">
        <v>363</v>
      </c>
      <c r="N141" s="11" t="s">
        <v>70</v>
      </c>
      <c r="O141" s="13">
        <f t="shared" si="1"/>
        <v>140</v>
      </c>
    </row>
    <row r="142" spans="1:15" x14ac:dyDescent="0.25">
      <c r="A142" s="54" t="s">
        <v>562</v>
      </c>
      <c r="B142" s="26" t="s">
        <v>28</v>
      </c>
      <c r="C142" s="26" t="s">
        <v>510</v>
      </c>
      <c r="D142" s="26"/>
      <c r="E142" s="51" t="s">
        <v>363</v>
      </c>
      <c r="F142" s="13" t="s">
        <v>565</v>
      </c>
      <c r="G142" s="5" t="s">
        <v>565</v>
      </c>
      <c r="H142" s="5" t="s">
        <v>565</v>
      </c>
      <c r="I142" s="13" t="s">
        <v>564</v>
      </c>
      <c r="J142" s="13" t="s">
        <v>564</v>
      </c>
      <c r="K142" s="13" t="s">
        <v>564</v>
      </c>
      <c r="L142" s="13" t="s">
        <v>564</v>
      </c>
      <c r="M142" s="51" t="s">
        <v>363</v>
      </c>
      <c r="N142" s="11" t="s">
        <v>70</v>
      </c>
      <c r="O142" s="13">
        <f t="shared" si="1"/>
        <v>141</v>
      </c>
    </row>
    <row r="143" spans="1:15" x14ac:dyDescent="0.25">
      <c r="A143" s="54" t="s">
        <v>562</v>
      </c>
      <c r="B143" s="26" t="s">
        <v>28</v>
      </c>
      <c r="C143" s="26" t="s">
        <v>511</v>
      </c>
      <c r="D143" s="26"/>
      <c r="E143" s="51" t="s">
        <v>363</v>
      </c>
      <c r="F143" s="13" t="s">
        <v>565</v>
      </c>
      <c r="G143" s="5" t="s">
        <v>565</v>
      </c>
      <c r="H143" s="5" t="s">
        <v>565</v>
      </c>
      <c r="I143" s="13" t="s">
        <v>564</v>
      </c>
      <c r="J143" s="13" t="s">
        <v>564</v>
      </c>
      <c r="K143" s="13" t="s">
        <v>564</v>
      </c>
      <c r="L143" s="13" t="s">
        <v>564</v>
      </c>
      <c r="M143" s="51" t="s">
        <v>363</v>
      </c>
      <c r="N143" s="11" t="s">
        <v>70</v>
      </c>
      <c r="O143" s="13">
        <f t="shared" si="1"/>
        <v>142</v>
      </c>
    </row>
    <row r="144" spans="1:15" x14ac:dyDescent="0.25">
      <c r="A144" s="54" t="s">
        <v>562</v>
      </c>
      <c r="B144" s="26" t="s">
        <v>28</v>
      </c>
      <c r="C144" s="26" t="s">
        <v>512</v>
      </c>
      <c r="D144" s="26"/>
      <c r="E144" s="51" t="s">
        <v>363</v>
      </c>
      <c r="F144" s="13" t="s">
        <v>565</v>
      </c>
      <c r="G144" s="5" t="s">
        <v>565</v>
      </c>
      <c r="H144" s="5" t="s">
        <v>565</v>
      </c>
      <c r="I144" s="13" t="s">
        <v>564</v>
      </c>
      <c r="J144" s="13" t="s">
        <v>564</v>
      </c>
      <c r="K144" s="13" t="s">
        <v>564</v>
      </c>
      <c r="L144" s="13" t="s">
        <v>564</v>
      </c>
      <c r="M144" s="51" t="s">
        <v>363</v>
      </c>
      <c r="N144" s="11" t="s">
        <v>70</v>
      </c>
      <c r="O144" s="13">
        <f t="shared" si="1"/>
        <v>143</v>
      </c>
    </row>
    <row r="145" spans="1:15" x14ac:dyDescent="0.25">
      <c r="A145" s="54" t="s">
        <v>562</v>
      </c>
      <c r="B145" s="26" t="s">
        <v>30</v>
      </c>
      <c r="C145" s="26" t="s">
        <v>513</v>
      </c>
      <c r="D145" s="26"/>
      <c r="E145" s="51" t="s">
        <v>363</v>
      </c>
      <c r="F145" s="13" t="s">
        <v>565</v>
      </c>
      <c r="G145" s="5" t="s">
        <v>565</v>
      </c>
      <c r="H145" s="5" t="s">
        <v>565</v>
      </c>
      <c r="I145" s="13" t="s">
        <v>564</v>
      </c>
      <c r="J145" s="13" t="s">
        <v>564</v>
      </c>
      <c r="K145" s="13" t="s">
        <v>564</v>
      </c>
      <c r="L145" s="13" t="s">
        <v>564</v>
      </c>
      <c r="M145" s="51" t="s">
        <v>363</v>
      </c>
      <c r="N145" s="11" t="s">
        <v>70</v>
      </c>
      <c r="O145" s="13">
        <f t="shared" si="1"/>
        <v>144</v>
      </c>
    </row>
    <row r="146" spans="1:15" x14ac:dyDescent="0.25">
      <c r="A146" s="54" t="s">
        <v>562</v>
      </c>
      <c r="B146" s="26" t="s">
        <v>30</v>
      </c>
      <c r="C146" s="26" t="s">
        <v>514</v>
      </c>
      <c r="D146" s="26"/>
      <c r="E146" s="51" t="s">
        <v>363</v>
      </c>
      <c r="F146" s="13" t="s">
        <v>565</v>
      </c>
      <c r="G146" s="5" t="s">
        <v>565</v>
      </c>
      <c r="H146" s="5" t="s">
        <v>565</v>
      </c>
      <c r="I146" s="13" t="s">
        <v>564</v>
      </c>
      <c r="J146" s="13" t="s">
        <v>564</v>
      </c>
      <c r="K146" s="13" t="s">
        <v>564</v>
      </c>
      <c r="L146" s="13" t="s">
        <v>564</v>
      </c>
      <c r="M146" s="51" t="s">
        <v>363</v>
      </c>
      <c r="N146" s="11" t="s">
        <v>70</v>
      </c>
      <c r="O146" s="13">
        <f t="shared" si="1"/>
        <v>145</v>
      </c>
    </row>
    <row r="147" spans="1:15" x14ac:dyDescent="0.25">
      <c r="A147" s="54" t="s">
        <v>562</v>
      </c>
      <c r="B147" s="26" t="s">
        <v>30</v>
      </c>
      <c r="C147" s="26" t="s">
        <v>515</v>
      </c>
      <c r="D147" s="26"/>
      <c r="E147" s="51" t="s">
        <v>363</v>
      </c>
      <c r="F147" s="13" t="s">
        <v>565</v>
      </c>
      <c r="G147" s="5" t="s">
        <v>565</v>
      </c>
      <c r="H147" s="5" t="s">
        <v>565</v>
      </c>
      <c r="I147" s="13" t="s">
        <v>564</v>
      </c>
      <c r="J147" s="13" t="s">
        <v>564</v>
      </c>
      <c r="K147" s="13" t="s">
        <v>564</v>
      </c>
      <c r="L147" s="13" t="s">
        <v>564</v>
      </c>
      <c r="M147" s="51" t="s">
        <v>363</v>
      </c>
      <c r="N147" s="11" t="s">
        <v>70</v>
      </c>
      <c r="O147" s="13">
        <f t="shared" si="1"/>
        <v>146</v>
      </c>
    </row>
    <row r="148" spans="1:15" x14ac:dyDescent="0.25">
      <c r="A148" s="54" t="s">
        <v>562</v>
      </c>
      <c r="B148" s="26" t="s">
        <v>30</v>
      </c>
      <c r="C148" s="26" t="s">
        <v>516</v>
      </c>
      <c r="D148" s="26"/>
      <c r="E148" s="51" t="s">
        <v>363</v>
      </c>
      <c r="F148" s="13" t="s">
        <v>565</v>
      </c>
      <c r="G148" s="5" t="s">
        <v>565</v>
      </c>
      <c r="H148" s="5" t="s">
        <v>565</v>
      </c>
      <c r="I148" s="13" t="s">
        <v>564</v>
      </c>
      <c r="J148" s="13" t="s">
        <v>564</v>
      </c>
      <c r="K148" s="13" t="s">
        <v>564</v>
      </c>
      <c r="L148" s="13" t="s">
        <v>564</v>
      </c>
      <c r="M148" s="51" t="s">
        <v>363</v>
      </c>
      <c r="N148" s="11" t="s">
        <v>70</v>
      </c>
      <c r="O148" s="13">
        <f t="shared" si="1"/>
        <v>147</v>
      </c>
    </row>
    <row r="149" spans="1:15" x14ac:dyDescent="0.25">
      <c r="A149" s="54" t="s">
        <v>562</v>
      </c>
      <c r="B149" s="26" t="s">
        <v>31</v>
      </c>
      <c r="C149" s="26" t="s">
        <v>517</v>
      </c>
      <c r="D149" s="26"/>
      <c r="E149" s="51" t="s">
        <v>363</v>
      </c>
      <c r="F149" s="13" t="s">
        <v>565</v>
      </c>
      <c r="G149" s="5" t="s">
        <v>565</v>
      </c>
      <c r="H149" s="5" t="s">
        <v>565</v>
      </c>
      <c r="I149" s="13" t="s">
        <v>564</v>
      </c>
      <c r="J149" s="13" t="s">
        <v>564</v>
      </c>
      <c r="K149" s="13" t="s">
        <v>564</v>
      </c>
      <c r="L149" s="13" t="s">
        <v>564</v>
      </c>
      <c r="M149" s="51" t="s">
        <v>363</v>
      </c>
      <c r="N149" s="11" t="s">
        <v>70</v>
      </c>
      <c r="O149" s="13">
        <f t="shared" si="1"/>
        <v>148</v>
      </c>
    </row>
    <row r="150" spans="1:15" x14ac:dyDescent="0.25">
      <c r="A150" s="54" t="s">
        <v>562</v>
      </c>
      <c r="B150" s="26" t="s">
        <v>31</v>
      </c>
      <c r="C150" s="26" t="s">
        <v>518</v>
      </c>
      <c r="D150" s="26"/>
      <c r="E150" s="51" t="s">
        <v>363</v>
      </c>
      <c r="F150" s="13" t="s">
        <v>565</v>
      </c>
      <c r="G150" s="5" t="s">
        <v>565</v>
      </c>
      <c r="H150" s="5" t="s">
        <v>565</v>
      </c>
      <c r="I150" s="13" t="s">
        <v>564</v>
      </c>
      <c r="J150" s="13" t="s">
        <v>564</v>
      </c>
      <c r="K150" s="13" t="s">
        <v>564</v>
      </c>
      <c r="L150" s="13" t="s">
        <v>564</v>
      </c>
      <c r="M150" s="51" t="s">
        <v>363</v>
      </c>
      <c r="N150" s="11" t="s">
        <v>70</v>
      </c>
      <c r="O150" s="13">
        <f t="shared" si="1"/>
        <v>149</v>
      </c>
    </row>
    <row r="151" spans="1:15" x14ac:dyDescent="0.25">
      <c r="A151" s="54" t="s">
        <v>562</v>
      </c>
      <c r="B151" s="26" t="s">
        <v>31</v>
      </c>
      <c r="C151" s="26" t="s">
        <v>519</v>
      </c>
      <c r="D151" s="26"/>
      <c r="E151" s="51" t="s">
        <v>363</v>
      </c>
      <c r="F151" s="13" t="s">
        <v>565</v>
      </c>
      <c r="G151" s="5" t="s">
        <v>565</v>
      </c>
      <c r="H151" s="5" t="s">
        <v>565</v>
      </c>
      <c r="I151" s="13" t="s">
        <v>564</v>
      </c>
      <c r="J151" s="13" t="s">
        <v>564</v>
      </c>
      <c r="K151" s="13" t="s">
        <v>564</v>
      </c>
      <c r="L151" s="13" t="s">
        <v>564</v>
      </c>
      <c r="M151" s="51" t="s">
        <v>363</v>
      </c>
      <c r="N151" s="11" t="s">
        <v>70</v>
      </c>
      <c r="O151" s="13">
        <f t="shared" si="1"/>
        <v>150</v>
      </c>
    </row>
    <row r="152" spans="1:15" x14ac:dyDescent="0.25">
      <c r="A152" s="54" t="s">
        <v>562</v>
      </c>
      <c r="B152" s="26" t="s">
        <v>31</v>
      </c>
      <c r="C152" s="26" t="s">
        <v>520</v>
      </c>
      <c r="D152" s="26"/>
      <c r="E152" s="51" t="s">
        <v>363</v>
      </c>
      <c r="F152" s="13" t="s">
        <v>565</v>
      </c>
      <c r="G152" s="5" t="s">
        <v>565</v>
      </c>
      <c r="H152" s="5" t="s">
        <v>565</v>
      </c>
      <c r="I152" s="13" t="s">
        <v>564</v>
      </c>
      <c r="J152" s="13" t="s">
        <v>564</v>
      </c>
      <c r="K152" s="13" t="s">
        <v>564</v>
      </c>
      <c r="L152" s="13" t="s">
        <v>564</v>
      </c>
      <c r="M152" s="51" t="s">
        <v>363</v>
      </c>
      <c r="N152" s="11" t="s">
        <v>70</v>
      </c>
      <c r="O152" s="13">
        <f t="shared" si="1"/>
        <v>151</v>
      </c>
    </row>
    <row r="153" spans="1:15" x14ac:dyDescent="0.25">
      <c r="A153" s="54" t="s">
        <v>562</v>
      </c>
      <c r="B153" s="26" t="s">
        <v>33</v>
      </c>
      <c r="C153" s="26" t="s">
        <v>521</v>
      </c>
      <c r="D153" s="26"/>
      <c r="E153" s="51" t="s">
        <v>363</v>
      </c>
      <c r="F153" s="13" t="s">
        <v>565</v>
      </c>
      <c r="G153" s="5" t="s">
        <v>565</v>
      </c>
      <c r="H153" s="5" t="s">
        <v>565</v>
      </c>
      <c r="I153" s="13" t="s">
        <v>564</v>
      </c>
      <c r="J153" s="13" t="s">
        <v>564</v>
      </c>
      <c r="K153" s="13" t="s">
        <v>564</v>
      </c>
      <c r="L153" s="13" t="s">
        <v>564</v>
      </c>
      <c r="M153" s="51" t="s">
        <v>363</v>
      </c>
      <c r="N153" s="11" t="s">
        <v>70</v>
      </c>
      <c r="O153" s="13">
        <f t="shared" si="1"/>
        <v>152</v>
      </c>
    </row>
    <row r="154" spans="1:15" x14ac:dyDescent="0.25">
      <c r="A154" s="54" t="s">
        <v>562</v>
      </c>
      <c r="B154" s="26" t="s">
        <v>33</v>
      </c>
      <c r="C154" s="26" t="s">
        <v>522</v>
      </c>
      <c r="D154" s="26"/>
      <c r="E154" s="51" t="s">
        <v>363</v>
      </c>
      <c r="F154" s="13" t="s">
        <v>565</v>
      </c>
      <c r="G154" s="5" t="s">
        <v>565</v>
      </c>
      <c r="H154" s="5" t="s">
        <v>565</v>
      </c>
      <c r="I154" s="13" t="s">
        <v>564</v>
      </c>
      <c r="J154" s="13" t="s">
        <v>564</v>
      </c>
      <c r="K154" s="13" t="s">
        <v>564</v>
      </c>
      <c r="L154" s="13" t="s">
        <v>564</v>
      </c>
      <c r="M154" s="51" t="s">
        <v>363</v>
      </c>
      <c r="N154" s="11" t="s">
        <v>70</v>
      </c>
      <c r="O154" s="13">
        <f t="shared" si="1"/>
        <v>153</v>
      </c>
    </row>
    <row r="155" spans="1:15" x14ac:dyDescent="0.25">
      <c r="A155" s="54" t="s">
        <v>562</v>
      </c>
      <c r="B155" s="26" t="s">
        <v>33</v>
      </c>
      <c r="C155" s="26" t="s">
        <v>523</v>
      </c>
      <c r="D155" s="26"/>
      <c r="E155" s="51" t="s">
        <v>363</v>
      </c>
      <c r="F155" s="13" t="s">
        <v>565</v>
      </c>
      <c r="G155" s="5" t="s">
        <v>565</v>
      </c>
      <c r="H155" s="5" t="s">
        <v>565</v>
      </c>
      <c r="I155" s="13" t="s">
        <v>564</v>
      </c>
      <c r="J155" s="13" t="s">
        <v>564</v>
      </c>
      <c r="K155" s="13" t="s">
        <v>564</v>
      </c>
      <c r="L155" s="13" t="s">
        <v>564</v>
      </c>
      <c r="M155" s="51" t="s">
        <v>363</v>
      </c>
      <c r="N155" s="11" t="s">
        <v>70</v>
      </c>
      <c r="O155" s="13">
        <f t="shared" si="1"/>
        <v>154</v>
      </c>
    </row>
    <row r="156" spans="1:15" x14ac:dyDescent="0.25">
      <c r="A156" s="54" t="s">
        <v>562</v>
      </c>
      <c r="B156" s="26" t="s">
        <v>33</v>
      </c>
      <c r="C156" s="26" t="s">
        <v>524</v>
      </c>
      <c r="D156" s="26"/>
      <c r="E156" s="51" t="s">
        <v>363</v>
      </c>
      <c r="F156" s="13" t="s">
        <v>565</v>
      </c>
      <c r="G156" s="5" t="s">
        <v>565</v>
      </c>
      <c r="H156" s="5" t="s">
        <v>565</v>
      </c>
      <c r="I156" s="13" t="s">
        <v>564</v>
      </c>
      <c r="J156" s="13" t="s">
        <v>564</v>
      </c>
      <c r="K156" s="13" t="s">
        <v>564</v>
      </c>
      <c r="L156" s="13" t="s">
        <v>564</v>
      </c>
      <c r="M156" s="51" t="s">
        <v>363</v>
      </c>
      <c r="N156" s="11" t="s">
        <v>70</v>
      </c>
      <c r="O156" s="13">
        <f t="shared" si="1"/>
        <v>155</v>
      </c>
    </row>
    <row r="157" spans="1:15" x14ac:dyDescent="0.25">
      <c r="A157" s="54" t="s">
        <v>562</v>
      </c>
      <c r="B157" s="26" t="s">
        <v>34</v>
      </c>
      <c r="C157" s="26" t="s">
        <v>525</v>
      </c>
      <c r="D157" s="26"/>
      <c r="E157" s="51" t="s">
        <v>363</v>
      </c>
      <c r="F157" s="13" t="s">
        <v>565</v>
      </c>
      <c r="G157" s="5" t="s">
        <v>565</v>
      </c>
      <c r="H157" s="5" t="s">
        <v>565</v>
      </c>
      <c r="I157" s="13" t="s">
        <v>564</v>
      </c>
      <c r="J157" s="13" t="s">
        <v>564</v>
      </c>
      <c r="K157" s="13" t="s">
        <v>564</v>
      </c>
      <c r="L157" s="13" t="s">
        <v>564</v>
      </c>
      <c r="M157" s="51" t="s">
        <v>363</v>
      </c>
      <c r="N157" s="11" t="s">
        <v>70</v>
      </c>
      <c r="O157" s="13">
        <f t="shared" ref="O157:O160" si="2">ROW()-1</f>
        <v>156</v>
      </c>
    </row>
    <row r="158" spans="1:15" x14ac:dyDescent="0.25">
      <c r="A158" s="54" t="s">
        <v>562</v>
      </c>
      <c r="B158" s="26" t="s">
        <v>34</v>
      </c>
      <c r="C158" s="26" t="s">
        <v>526</v>
      </c>
      <c r="D158" s="26"/>
      <c r="E158" s="51" t="s">
        <v>363</v>
      </c>
      <c r="F158" s="13" t="s">
        <v>565</v>
      </c>
      <c r="G158" s="5" t="s">
        <v>565</v>
      </c>
      <c r="H158" s="5" t="s">
        <v>565</v>
      </c>
      <c r="I158" s="13" t="s">
        <v>564</v>
      </c>
      <c r="J158" s="13" t="s">
        <v>564</v>
      </c>
      <c r="K158" s="13" t="s">
        <v>564</v>
      </c>
      <c r="L158" s="13" t="s">
        <v>564</v>
      </c>
      <c r="M158" s="51" t="s">
        <v>363</v>
      </c>
      <c r="N158" s="11" t="s">
        <v>70</v>
      </c>
      <c r="O158" s="13">
        <f t="shared" si="2"/>
        <v>157</v>
      </c>
    </row>
    <row r="159" spans="1:15" x14ac:dyDescent="0.25">
      <c r="A159" s="54" t="s">
        <v>562</v>
      </c>
      <c r="B159" s="26" t="s">
        <v>34</v>
      </c>
      <c r="C159" s="26" t="s">
        <v>527</v>
      </c>
      <c r="D159" s="26"/>
      <c r="E159" s="51" t="s">
        <v>363</v>
      </c>
      <c r="F159" s="13" t="s">
        <v>565</v>
      </c>
      <c r="G159" s="5" t="s">
        <v>565</v>
      </c>
      <c r="H159" s="5" t="s">
        <v>565</v>
      </c>
      <c r="I159" s="13" t="s">
        <v>564</v>
      </c>
      <c r="J159" s="13" t="s">
        <v>564</v>
      </c>
      <c r="K159" s="13" t="s">
        <v>564</v>
      </c>
      <c r="L159" s="13" t="s">
        <v>564</v>
      </c>
      <c r="M159" s="51" t="s">
        <v>363</v>
      </c>
      <c r="N159" s="11" t="s">
        <v>70</v>
      </c>
      <c r="O159" s="13">
        <f t="shared" si="2"/>
        <v>158</v>
      </c>
    </row>
    <row r="160" spans="1:15" x14ac:dyDescent="0.25">
      <c r="A160" s="54" t="s">
        <v>562</v>
      </c>
      <c r="B160" s="26" t="s">
        <v>34</v>
      </c>
      <c r="C160" s="26" t="s">
        <v>528</v>
      </c>
      <c r="D160" s="26"/>
      <c r="E160" s="51" t="s">
        <v>363</v>
      </c>
      <c r="F160" s="13" t="s">
        <v>565</v>
      </c>
      <c r="G160" s="5" t="s">
        <v>565</v>
      </c>
      <c r="H160" s="5" t="s">
        <v>565</v>
      </c>
      <c r="I160" s="13" t="s">
        <v>564</v>
      </c>
      <c r="J160" s="13" t="s">
        <v>564</v>
      </c>
      <c r="K160" s="13" t="s">
        <v>564</v>
      </c>
      <c r="L160" s="13" t="s">
        <v>564</v>
      </c>
      <c r="M160" s="51" t="s">
        <v>363</v>
      </c>
      <c r="N160" s="11" t="s">
        <v>70</v>
      </c>
      <c r="O160" s="13">
        <f t="shared" si="2"/>
        <v>159</v>
      </c>
    </row>
  </sheetData>
  <conditionalFormatting sqref="A2:A160 B90:O160 B2:O49 A89:O89">
    <cfRule type="expression" dxfId="177" priority="96" stopIfTrue="1">
      <formula>$N2="None"</formula>
    </cfRule>
  </conditionalFormatting>
  <conditionalFormatting sqref="A104">
    <cfRule type="expression" dxfId="176" priority="107" stopIfTrue="1">
      <formula>#REF!="yellow"</formula>
    </cfRule>
    <cfRule type="expression" dxfId="175" priority="106" stopIfTrue="1">
      <formula>#REF!="blue"</formula>
    </cfRule>
    <cfRule type="expression" dxfId="174" priority="105" stopIfTrue="1">
      <formula>#REF!="orange"</formula>
    </cfRule>
    <cfRule type="expression" dxfId="173" priority="104" stopIfTrue="1">
      <formula>#REF!="None"</formula>
    </cfRule>
  </conditionalFormatting>
  <conditionalFormatting sqref="A50:O50 B51:O88">
    <cfRule type="expression" dxfId="172" priority="12" stopIfTrue="1">
      <formula>$N50="None"</formula>
    </cfRule>
    <cfRule type="expression" dxfId="171" priority="13" stopIfTrue="1">
      <formula>$N50="orange"</formula>
    </cfRule>
    <cfRule type="expression" dxfId="170" priority="14" stopIfTrue="1">
      <formula>$N50="blue"</formula>
    </cfRule>
    <cfRule type="expression" dxfId="169" priority="15" stopIfTrue="1">
      <formula>$N50="yellow"</formula>
    </cfRule>
  </conditionalFormatting>
  <conditionalFormatting sqref="B2:O49 A2:A160 B89:O160">
    <cfRule type="expression" dxfId="168" priority="99" stopIfTrue="1">
      <formula>$N2="yellow"</formula>
    </cfRule>
    <cfRule type="expression" dxfId="167" priority="98" stopIfTrue="1">
      <formula>$N2="blue"</formula>
    </cfRule>
    <cfRule type="expression" dxfId="166" priority="97" stopIfTrue="1">
      <formula>$N2="orange"</formula>
    </cfRule>
  </conditionalFormatting>
  <conditionalFormatting sqref="M96:M97">
    <cfRule type="expression" dxfId="165" priority="1" stopIfTrue="1">
      <formula>$N96="orange"</formula>
    </cfRule>
    <cfRule type="expression" dxfId="164" priority="3" stopIfTrue="1">
      <formula>$N96="yellow"</formula>
    </cfRule>
    <cfRule type="expression" dxfId="163" priority="2" stopIfTrue="1">
      <formula>$N96="blue"</formula>
    </cfRule>
  </conditionalFormatting>
  <pageMargins left="0.7" right="0.7" top="0.75" bottom="0.75" header="0.3" footer="0.3"/>
  <pageSetup orientation="portrait" horizontalDpi="0" verticalDpi="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3B683-0DC8-C94F-A77F-7489F4DB58C1}">
  <dimension ref="A1:O13"/>
  <sheetViews>
    <sheetView zoomScaleNormal="100" workbookViewId="0">
      <pane xSplit="3" ySplit="1" topLeftCell="D2" activePane="bottomRight" state="frozen"/>
      <selection pane="topRight" activeCell="D1" sqref="D1"/>
      <selection pane="bottomLeft" activeCell="A2" sqref="A2"/>
      <selection pane="bottomRight" activeCell="D19" sqref="D19"/>
    </sheetView>
  </sheetViews>
  <sheetFormatPr baseColWidth="10" defaultColWidth="10.83203125" defaultRowHeight="17" x14ac:dyDescent="0.25"/>
  <cols>
    <col min="1" max="1" width="5.83203125" style="14" bestFit="1" customWidth="1"/>
    <col min="2" max="2" width="21.1640625" style="1" bestFit="1" customWidth="1"/>
    <col min="3" max="3" width="29.6640625" style="1" bestFit="1" customWidth="1"/>
    <col min="4" max="4" width="22.5" style="1" bestFit="1" customWidth="1"/>
    <col min="5" max="5" width="14" style="4" bestFit="1" customWidth="1"/>
    <col min="6" max="8" width="5.83203125" style="4" bestFit="1" customWidth="1"/>
    <col min="9" max="9" width="11.6640625" style="4" bestFit="1" customWidth="1"/>
    <col min="10" max="11" width="10.5" style="4" bestFit="1" customWidth="1"/>
    <col min="12" max="12" width="9.33203125" style="4" bestFit="1" customWidth="1"/>
    <col min="13" max="13" width="49" style="3" customWidth="1"/>
    <col min="14" max="14" width="8.1640625" style="3" bestFit="1" customWidth="1"/>
    <col min="15" max="15" width="7" style="14" bestFit="1" customWidth="1"/>
    <col min="16" max="16384" width="10.83203125" style="3"/>
  </cols>
  <sheetData>
    <row r="1" spans="1:15" s="12" customFormat="1" ht="17" customHeight="1" thickBot="1" x14ac:dyDescent="0.3">
      <c r="A1" s="22" t="s">
        <v>561</v>
      </c>
      <c r="B1" s="55" t="s">
        <v>0</v>
      </c>
      <c r="C1" s="56" t="s">
        <v>232</v>
      </c>
      <c r="D1" s="57" t="s">
        <v>341</v>
      </c>
      <c r="E1" s="58" t="s">
        <v>42</v>
      </c>
      <c r="F1" s="58" t="s">
        <v>43</v>
      </c>
      <c r="G1" s="58" t="s">
        <v>52</v>
      </c>
      <c r="H1" s="58" t="s">
        <v>53</v>
      </c>
      <c r="I1" s="58" t="s">
        <v>55</v>
      </c>
      <c r="J1" s="58" t="s">
        <v>56</v>
      </c>
      <c r="K1" s="58" t="s">
        <v>57</v>
      </c>
      <c r="L1" s="58" t="s">
        <v>58</v>
      </c>
      <c r="M1" s="59" t="s">
        <v>54</v>
      </c>
      <c r="N1" s="59" t="s">
        <v>71</v>
      </c>
      <c r="O1" s="22" t="s">
        <v>62</v>
      </c>
    </row>
    <row r="2" spans="1:15" x14ac:dyDescent="0.25">
      <c r="A2" s="53" t="s">
        <v>563</v>
      </c>
      <c r="B2" s="45" t="s">
        <v>227</v>
      </c>
      <c r="C2" s="45" t="s">
        <v>529</v>
      </c>
      <c r="D2" s="45"/>
      <c r="E2" s="17" t="s">
        <v>565</v>
      </c>
      <c r="F2" s="17" t="s">
        <v>565</v>
      </c>
      <c r="G2" s="17" t="s">
        <v>564</v>
      </c>
      <c r="H2" s="17" t="s">
        <v>564</v>
      </c>
      <c r="I2" s="17" t="s">
        <v>564</v>
      </c>
      <c r="J2" s="17" t="s">
        <v>564</v>
      </c>
      <c r="K2" s="17" t="s">
        <v>564</v>
      </c>
      <c r="L2" s="17" t="s">
        <v>564</v>
      </c>
      <c r="M2" s="18"/>
      <c r="N2" s="18" t="s">
        <v>69</v>
      </c>
      <c r="O2" s="17">
        <f t="shared" ref="O2:O13" si="0">ROW()-1</f>
        <v>1</v>
      </c>
    </row>
    <row r="3" spans="1:15" x14ac:dyDescent="0.25">
      <c r="A3" s="54" t="s">
        <v>563</v>
      </c>
      <c r="B3" s="2" t="s">
        <v>227</v>
      </c>
      <c r="C3" s="2" t="s">
        <v>530</v>
      </c>
      <c r="D3" s="2"/>
      <c r="E3" s="13" t="s">
        <v>564</v>
      </c>
      <c r="F3" s="13" t="s">
        <v>565</v>
      </c>
      <c r="G3" s="13" t="s">
        <v>564</v>
      </c>
      <c r="H3" s="13" t="s">
        <v>564</v>
      </c>
      <c r="I3" s="13" t="s">
        <v>564</v>
      </c>
      <c r="J3" s="13" t="s">
        <v>564</v>
      </c>
      <c r="K3" s="13" t="s">
        <v>564</v>
      </c>
      <c r="L3" s="13" t="s">
        <v>564</v>
      </c>
      <c r="M3" s="11" t="s">
        <v>82</v>
      </c>
      <c r="N3" s="11" t="s">
        <v>69</v>
      </c>
      <c r="O3" s="13">
        <f t="shared" si="0"/>
        <v>2</v>
      </c>
    </row>
    <row r="4" spans="1:15" x14ac:dyDescent="0.25">
      <c r="A4" s="54" t="s">
        <v>563</v>
      </c>
      <c r="B4" s="26" t="s">
        <v>227</v>
      </c>
      <c r="C4" s="26" t="s">
        <v>531</v>
      </c>
      <c r="D4" s="26"/>
      <c r="E4" s="13" t="s">
        <v>565</v>
      </c>
      <c r="F4" s="13" t="s">
        <v>564</v>
      </c>
      <c r="G4" s="13" t="s">
        <v>564</v>
      </c>
      <c r="H4" s="13" t="s">
        <v>565</v>
      </c>
      <c r="I4" s="13" t="s">
        <v>564</v>
      </c>
      <c r="J4" s="13" t="s">
        <v>564</v>
      </c>
      <c r="K4" s="13" t="s">
        <v>564</v>
      </c>
      <c r="L4" s="13" t="s">
        <v>564</v>
      </c>
      <c r="M4" s="11"/>
      <c r="N4" s="11" t="s">
        <v>69</v>
      </c>
      <c r="O4" s="13">
        <f t="shared" si="0"/>
        <v>3</v>
      </c>
    </row>
    <row r="5" spans="1:15" x14ac:dyDescent="0.25">
      <c r="A5" s="54" t="s">
        <v>563</v>
      </c>
      <c r="B5" s="26" t="s">
        <v>76</v>
      </c>
      <c r="C5" s="26" t="s">
        <v>532</v>
      </c>
      <c r="D5" s="26"/>
      <c r="E5" s="13" t="s">
        <v>565</v>
      </c>
      <c r="F5" s="13" t="s">
        <v>565</v>
      </c>
      <c r="G5" s="13" t="s">
        <v>564</v>
      </c>
      <c r="H5" s="13" t="s">
        <v>564</v>
      </c>
      <c r="I5" s="13" t="s">
        <v>564</v>
      </c>
      <c r="J5" s="13" t="s">
        <v>564</v>
      </c>
      <c r="K5" s="13" t="s">
        <v>564</v>
      </c>
      <c r="L5" s="13" t="s">
        <v>564</v>
      </c>
      <c r="M5" s="11"/>
      <c r="N5" s="11" t="s">
        <v>69</v>
      </c>
      <c r="O5" s="13">
        <f t="shared" si="0"/>
        <v>4</v>
      </c>
    </row>
    <row r="6" spans="1:15" x14ac:dyDescent="0.25">
      <c r="A6" s="54" t="s">
        <v>563</v>
      </c>
      <c r="B6" s="26" t="s">
        <v>76</v>
      </c>
      <c r="C6" s="26" t="s">
        <v>533</v>
      </c>
      <c r="D6" s="26"/>
      <c r="E6" s="13" t="s">
        <v>565</v>
      </c>
      <c r="F6" s="13" t="s">
        <v>564</v>
      </c>
      <c r="G6" s="13" t="s">
        <v>564</v>
      </c>
      <c r="H6" s="13" t="s">
        <v>565</v>
      </c>
      <c r="I6" s="13" t="s">
        <v>564</v>
      </c>
      <c r="J6" s="13" t="s">
        <v>564</v>
      </c>
      <c r="K6" s="13" t="s">
        <v>564</v>
      </c>
      <c r="L6" s="13" t="s">
        <v>564</v>
      </c>
      <c r="M6" s="11"/>
      <c r="N6" s="11" t="s">
        <v>69</v>
      </c>
      <c r="O6" s="13">
        <f t="shared" si="0"/>
        <v>5</v>
      </c>
    </row>
    <row r="7" spans="1:15" x14ac:dyDescent="0.25">
      <c r="A7" s="54" t="s">
        <v>563</v>
      </c>
      <c r="B7" s="26" t="s">
        <v>76</v>
      </c>
      <c r="C7" s="26" t="s">
        <v>534</v>
      </c>
      <c r="D7" s="26"/>
      <c r="E7" s="13" t="s">
        <v>565</v>
      </c>
      <c r="F7" s="13" t="s">
        <v>565</v>
      </c>
      <c r="G7" s="13" t="s">
        <v>564</v>
      </c>
      <c r="H7" s="13" t="s">
        <v>564</v>
      </c>
      <c r="I7" s="13" t="s">
        <v>564</v>
      </c>
      <c r="J7" s="13" t="s">
        <v>564</v>
      </c>
      <c r="K7" s="13" t="s">
        <v>564</v>
      </c>
      <c r="L7" s="13" t="s">
        <v>564</v>
      </c>
      <c r="M7" s="11"/>
      <c r="N7" s="11" t="s">
        <v>69</v>
      </c>
      <c r="O7" s="13">
        <f t="shared" si="0"/>
        <v>6</v>
      </c>
    </row>
    <row r="8" spans="1:15" x14ac:dyDescent="0.25">
      <c r="A8" s="54" t="s">
        <v>563</v>
      </c>
      <c r="B8" s="26" t="s">
        <v>320</v>
      </c>
      <c r="C8" s="26" t="s">
        <v>535</v>
      </c>
      <c r="D8" s="26"/>
      <c r="E8" s="13" t="s">
        <v>565</v>
      </c>
      <c r="F8" s="13" t="s">
        <v>565</v>
      </c>
      <c r="G8" s="13" t="s">
        <v>564</v>
      </c>
      <c r="H8" s="13" t="s">
        <v>564</v>
      </c>
      <c r="I8" s="13" t="s">
        <v>564</v>
      </c>
      <c r="J8" s="13" t="s">
        <v>564</v>
      </c>
      <c r="K8" s="13" t="s">
        <v>564</v>
      </c>
      <c r="L8" s="13" t="s">
        <v>564</v>
      </c>
      <c r="M8" s="11" t="s">
        <v>322</v>
      </c>
      <c r="N8" s="11" t="s">
        <v>69</v>
      </c>
      <c r="O8" s="13">
        <f t="shared" si="0"/>
        <v>7</v>
      </c>
    </row>
    <row r="9" spans="1:15" x14ac:dyDescent="0.25">
      <c r="A9" s="54" t="s">
        <v>563</v>
      </c>
      <c r="B9" s="26" t="s">
        <v>65</v>
      </c>
      <c r="C9" s="26" t="s">
        <v>536</v>
      </c>
      <c r="D9" s="26"/>
      <c r="E9" s="13" t="s">
        <v>565</v>
      </c>
      <c r="F9" s="13" t="s">
        <v>565</v>
      </c>
      <c r="G9" s="13" t="s">
        <v>564</v>
      </c>
      <c r="H9" s="13" t="s">
        <v>564</v>
      </c>
      <c r="I9" s="13" t="s">
        <v>564</v>
      </c>
      <c r="J9" s="13" t="s">
        <v>564</v>
      </c>
      <c r="K9" s="13" t="s">
        <v>564</v>
      </c>
      <c r="L9" s="13" t="s">
        <v>564</v>
      </c>
      <c r="M9" s="11"/>
      <c r="N9" s="11" t="s">
        <v>69</v>
      </c>
      <c r="O9" s="13">
        <f t="shared" si="0"/>
        <v>8</v>
      </c>
    </row>
    <row r="10" spans="1:15" x14ac:dyDescent="0.25">
      <c r="A10" s="54" t="s">
        <v>563</v>
      </c>
      <c r="B10" s="26" t="s">
        <v>296</v>
      </c>
      <c r="C10" s="26" t="s">
        <v>537</v>
      </c>
      <c r="D10" s="26"/>
      <c r="E10" s="13" t="s">
        <v>565</v>
      </c>
      <c r="F10" s="13" t="s">
        <v>565</v>
      </c>
      <c r="G10" s="13" t="s">
        <v>564</v>
      </c>
      <c r="H10" s="13" t="s">
        <v>564</v>
      </c>
      <c r="I10" s="13" t="s">
        <v>564</v>
      </c>
      <c r="J10" s="13" t="s">
        <v>564</v>
      </c>
      <c r="K10" s="13" t="s">
        <v>564</v>
      </c>
      <c r="L10" s="13" t="s">
        <v>564</v>
      </c>
      <c r="M10" s="11" t="s">
        <v>324</v>
      </c>
      <c r="N10" s="11" t="s">
        <v>69</v>
      </c>
      <c r="O10" s="13">
        <f t="shared" si="0"/>
        <v>9</v>
      </c>
    </row>
    <row r="11" spans="1:15" x14ac:dyDescent="0.25">
      <c r="A11" s="54" t="s">
        <v>563</v>
      </c>
      <c r="B11" s="26" t="s">
        <v>63</v>
      </c>
      <c r="C11" s="26" t="s">
        <v>538</v>
      </c>
      <c r="D11" s="26"/>
      <c r="E11" s="13" t="s">
        <v>565</v>
      </c>
      <c r="F11" s="13" t="s">
        <v>565</v>
      </c>
      <c r="G11" s="13" t="s">
        <v>565</v>
      </c>
      <c r="H11" s="13" t="s">
        <v>564</v>
      </c>
      <c r="I11" s="13" t="s">
        <v>564</v>
      </c>
      <c r="J11" s="13" t="s">
        <v>564</v>
      </c>
      <c r="K11" s="13" t="s">
        <v>564</v>
      </c>
      <c r="L11" s="13" t="s">
        <v>564</v>
      </c>
      <c r="M11" s="11"/>
      <c r="N11" s="11" t="s">
        <v>69</v>
      </c>
      <c r="O11" s="13">
        <f t="shared" si="0"/>
        <v>10</v>
      </c>
    </row>
    <row r="12" spans="1:15" x14ac:dyDescent="0.25">
      <c r="A12" s="54" t="s">
        <v>563</v>
      </c>
      <c r="B12" s="26" t="s">
        <v>63</v>
      </c>
      <c r="C12" s="26" t="s">
        <v>539</v>
      </c>
      <c r="D12" s="26"/>
      <c r="E12" s="13" t="s">
        <v>565</v>
      </c>
      <c r="F12" s="13" t="s">
        <v>564</v>
      </c>
      <c r="G12" s="13" t="s">
        <v>564</v>
      </c>
      <c r="H12" s="13" t="s">
        <v>565</v>
      </c>
      <c r="I12" s="13" t="s">
        <v>564</v>
      </c>
      <c r="J12" s="13" t="s">
        <v>564</v>
      </c>
      <c r="K12" s="13" t="s">
        <v>564</v>
      </c>
      <c r="L12" s="13" t="s">
        <v>564</v>
      </c>
      <c r="M12" s="11"/>
      <c r="N12" s="11" t="s">
        <v>69</v>
      </c>
      <c r="O12" s="13">
        <f t="shared" si="0"/>
        <v>11</v>
      </c>
    </row>
    <row r="13" spans="1:15" x14ac:dyDescent="0.25">
      <c r="A13" s="54" t="s">
        <v>563</v>
      </c>
      <c r="B13" s="26" t="s">
        <v>63</v>
      </c>
      <c r="C13" s="26" t="s">
        <v>540</v>
      </c>
      <c r="D13" s="26"/>
      <c r="E13" s="13" t="s">
        <v>565</v>
      </c>
      <c r="F13" s="13" t="s">
        <v>564</v>
      </c>
      <c r="G13" s="13" t="s">
        <v>564</v>
      </c>
      <c r="H13" s="13" t="s">
        <v>565</v>
      </c>
      <c r="I13" s="13" t="s">
        <v>564</v>
      </c>
      <c r="J13" s="13" t="s">
        <v>564</v>
      </c>
      <c r="K13" s="13" t="s">
        <v>564</v>
      </c>
      <c r="L13" s="13" t="s">
        <v>564</v>
      </c>
      <c r="M13" s="11" t="s">
        <v>249</v>
      </c>
      <c r="N13" s="11" t="s">
        <v>69</v>
      </c>
      <c r="O13" s="13">
        <f t="shared" si="0"/>
        <v>12</v>
      </c>
    </row>
  </sheetData>
  <conditionalFormatting sqref="A2:A13">
    <cfRule type="expression" dxfId="162" priority="20" stopIfTrue="1">
      <formula>$N2="None"</formula>
    </cfRule>
    <cfRule type="expression" dxfId="161" priority="21" stopIfTrue="1">
      <formula>$N2="orange"</formula>
    </cfRule>
    <cfRule type="expression" dxfId="160" priority="22" stopIfTrue="1">
      <formula>$N2="blue"</formula>
    </cfRule>
    <cfRule type="expression" dxfId="159" priority="23" stopIfTrue="1">
      <formula>$N2="yellow"</formula>
    </cfRule>
  </conditionalFormatting>
  <conditionalFormatting sqref="B2:D3 E2:O13">
    <cfRule type="expression" dxfId="158" priority="4" stopIfTrue="1">
      <formula>$N2="None"</formula>
    </cfRule>
    <cfRule type="expression" dxfId="157" priority="5" stopIfTrue="1">
      <formula>$N2="orange"</formula>
    </cfRule>
    <cfRule type="expression" dxfId="156" priority="6" stopIfTrue="1">
      <formula>$N2="blue"</formula>
    </cfRule>
    <cfRule type="expression" dxfId="155" priority="7" stopIfTrue="1">
      <formula>$N2="yellow"</formula>
    </cfRule>
  </conditionalFormatting>
  <conditionalFormatting sqref="B4:D4 B7:D7 B9:D11">
    <cfRule type="expression" dxfId="154" priority="28" stopIfTrue="1">
      <formula>$N2="None"</formula>
    </cfRule>
    <cfRule type="expression" dxfId="153" priority="29" stopIfTrue="1">
      <formula>$N2="orange"</formula>
    </cfRule>
    <cfRule type="expression" dxfId="152" priority="30" stopIfTrue="1">
      <formula>$N2="blue"</formula>
    </cfRule>
    <cfRule type="expression" dxfId="151" priority="31" stopIfTrue="1">
      <formula>$N2="yellow"</formula>
    </cfRule>
  </conditionalFormatting>
  <conditionalFormatting sqref="B5:D6 B8:D8 B12:D13">
    <cfRule type="expression" dxfId="150" priority="32" stopIfTrue="1">
      <formula>$N4="None"</formula>
    </cfRule>
    <cfRule type="expression" dxfId="149" priority="33" stopIfTrue="1">
      <formula>$N4="orange"</formula>
    </cfRule>
    <cfRule type="expression" dxfId="148" priority="34" stopIfTrue="1">
      <formula>$N4="blue"</formula>
    </cfRule>
    <cfRule type="expression" dxfId="147" priority="35" stopIfTrue="1">
      <formula>$N4="yellow"</formula>
    </cfRule>
  </conditionalFormatting>
  <pageMargins left="0.7" right="0.7" top="0.75" bottom="0.75" header="0.3" footer="0.3"/>
  <pageSetup orientation="portrait" horizontalDpi="0" verticalDpi="0"/>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86747-7E0E-B647-8B6E-53ED5CB62B1D}">
  <dimension ref="A1:O21"/>
  <sheetViews>
    <sheetView zoomScaleNormal="100" workbookViewId="0">
      <pane xSplit="3" ySplit="1" topLeftCell="D2" activePane="bottomRight" state="frozen"/>
      <selection pane="topRight" activeCell="D1" sqref="D1"/>
      <selection pane="bottomLeft" activeCell="A2" sqref="A2"/>
      <selection pane="bottomRight" activeCell="H32" sqref="H32"/>
    </sheetView>
  </sheetViews>
  <sheetFormatPr baseColWidth="10" defaultColWidth="10.83203125" defaultRowHeight="17" x14ac:dyDescent="0.25"/>
  <cols>
    <col min="1" max="1" width="5.83203125" style="14" bestFit="1" customWidth="1"/>
    <col min="2" max="2" width="21.1640625" style="1" bestFit="1" customWidth="1"/>
    <col min="3" max="3" width="29.6640625" style="1" bestFit="1" customWidth="1"/>
    <col min="4" max="4" width="22.5" style="1" bestFit="1" customWidth="1"/>
    <col min="5" max="5" width="14" style="4" bestFit="1" customWidth="1"/>
    <col min="6" max="8" width="5.83203125" style="4" bestFit="1" customWidth="1"/>
    <col min="9" max="9" width="11.6640625" style="4" bestFit="1" customWidth="1"/>
    <col min="10" max="11" width="10.5" style="4" bestFit="1" customWidth="1"/>
    <col min="12" max="12" width="9.33203125" style="4" bestFit="1" customWidth="1"/>
    <col min="13" max="13" width="49" style="3" customWidth="1"/>
    <col min="14" max="14" width="8.1640625" style="3" bestFit="1" customWidth="1"/>
    <col min="15" max="15" width="7" style="14" bestFit="1" customWidth="1"/>
    <col min="16" max="16384" width="10.83203125" style="3"/>
  </cols>
  <sheetData>
    <row r="1" spans="1:15" s="12" customFormat="1" ht="17" customHeight="1" thickBot="1" x14ac:dyDescent="0.3">
      <c r="A1" s="22" t="s">
        <v>561</v>
      </c>
      <c r="B1" s="55" t="s">
        <v>0</v>
      </c>
      <c r="C1" s="56" t="s">
        <v>232</v>
      </c>
      <c r="D1" s="57" t="s">
        <v>341</v>
      </c>
      <c r="E1" s="58" t="s">
        <v>42</v>
      </c>
      <c r="F1" s="58" t="s">
        <v>43</v>
      </c>
      <c r="G1" s="58" t="s">
        <v>52</v>
      </c>
      <c r="H1" s="58" t="s">
        <v>53</v>
      </c>
      <c r="I1" s="58" t="s">
        <v>55</v>
      </c>
      <c r="J1" s="58" t="s">
        <v>56</v>
      </c>
      <c r="K1" s="58" t="s">
        <v>57</v>
      </c>
      <c r="L1" s="58" t="s">
        <v>58</v>
      </c>
      <c r="M1" s="59" t="s">
        <v>54</v>
      </c>
      <c r="N1" s="59" t="s">
        <v>71</v>
      </c>
      <c r="O1" s="22" t="s">
        <v>62</v>
      </c>
    </row>
    <row r="2" spans="1:15" x14ac:dyDescent="0.25">
      <c r="A2" s="53" t="s">
        <v>61</v>
      </c>
      <c r="B2" s="47" t="s">
        <v>59</v>
      </c>
      <c r="C2" s="47" t="s">
        <v>541</v>
      </c>
      <c r="D2" s="47"/>
      <c r="E2" s="17" t="s">
        <v>565</v>
      </c>
      <c r="F2" s="17" t="s">
        <v>565</v>
      </c>
      <c r="G2" s="17" t="s">
        <v>564</v>
      </c>
      <c r="H2" s="17" t="s">
        <v>565</v>
      </c>
      <c r="I2" s="17" t="s">
        <v>564</v>
      </c>
      <c r="J2" s="17" t="s">
        <v>564</v>
      </c>
      <c r="K2" s="17" t="s">
        <v>564</v>
      </c>
      <c r="L2" s="17" t="s">
        <v>564</v>
      </c>
      <c r="M2" s="18" t="s">
        <v>229</v>
      </c>
      <c r="N2" s="18" t="s">
        <v>70</v>
      </c>
      <c r="O2" s="17">
        <f t="shared" ref="O2:O21" si="0">ROW()-1</f>
        <v>1</v>
      </c>
    </row>
    <row r="3" spans="1:15" x14ac:dyDescent="0.25">
      <c r="A3" s="54" t="s">
        <v>61</v>
      </c>
      <c r="B3" s="26" t="s">
        <v>78</v>
      </c>
      <c r="C3" s="26" t="s">
        <v>542</v>
      </c>
      <c r="D3" s="26"/>
      <c r="E3" s="13" t="s">
        <v>565</v>
      </c>
      <c r="F3" s="13" t="s">
        <v>565</v>
      </c>
      <c r="G3" s="13" t="s">
        <v>565</v>
      </c>
      <c r="H3" s="13" t="s">
        <v>565</v>
      </c>
      <c r="I3" s="13" t="s">
        <v>564</v>
      </c>
      <c r="J3" s="13" t="s">
        <v>564</v>
      </c>
      <c r="K3" s="13" t="s">
        <v>564</v>
      </c>
      <c r="L3" s="13" t="s">
        <v>564</v>
      </c>
      <c r="M3" s="11"/>
      <c r="N3" s="11" t="s">
        <v>70</v>
      </c>
      <c r="O3" s="13">
        <f t="shared" si="0"/>
        <v>2</v>
      </c>
    </row>
    <row r="4" spans="1:15" x14ac:dyDescent="0.25">
      <c r="A4" s="54" t="s">
        <v>61</v>
      </c>
      <c r="B4" s="26" t="s">
        <v>245</v>
      </c>
      <c r="C4" s="26" t="s">
        <v>543</v>
      </c>
      <c r="D4" s="26"/>
      <c r="E4" s="13" t="s">
        <v>565</v>
      </c>
      <c r="F4" s="13" t="s">
        <v>565</v>
      </c>
      <c r="G4" s="13" t="s">
        <v>564</v>
      </c>
      <c r="H4" s="13" t="s">
        <v>564</v>
      </c>
      <c r="I4" s="13" t="s">
        <v>564</v>
      </c>
      <c r="J4" s="13" t="s">
        <v>564</v>
      </c>
      <c r="K4" s="13" t="s">
        <v>564</v>
      </c>
      <c r="L4" s="13" t="s">
        <v>564</v>
      </c>
      <c r="M4" s="11" t="s">
        <v>251</v>
      </c>
      <c r="N4" s="11" t="s">
        <v>70</v>
      </c>
      <c r="O4" s="13">
        <f t="shared" si="0"/>
        <v>3</v>
      </c>
    </row>
    <row r="5" spans="1:15" x14ac:dyDescent="0.25">
      <c r="A5" s="54" t="s">
        <v>61</v>
      </c>
      <c r="B5" s="26" t="s">
        <v>246</v>
      </c>
      <c r="C5" s="26" t="s">
        <v>544</v>
      </c>
      <c r="D5" s="26"/>
      <c r="E5" s="13" t="s">
        <v>565</v>
      </c>
      <c r="F5" s="13" t="s">
        <v>565</v>
      </c>
      <c r="G5" s="13" t="s">
        <v>564</v>
      </c>
      <c r="H5" s="13" t="s">
        <v>564</v>
      </c>
      <c r="I5" s="13" t="s">
        <v>564</v>
      </c>
      <c r="J5" s="13" t="s">
        <v>564</v>
      </c>
      <c r="K5" s="13" t="s">
        <v>564</v>
      </c>
      <c r="L5" s="13" t="s">
        <v>564</v>
      </c>
      <c r="M5" s="11" t="s">
        <v>250</v>
      </c>
      <c r="N5" s="11" t="s">
        <v>70</v>
      </c>
      <c r="O5" s="13">
        <f t="shared" si="0"/>
        <v>4</v>
      </c>
    </row>
    <row r="6" spans="1:15" x14ac:dyDescent="0.25">
      <c r="A6" s="54" t="s">
        <v>61</v>
      </c>
      <c r="B6" s="26" t="s">
        <v>60</v>
      </c>
      <c r="C6" s="26" t="s">
        <v>545</v>
      </c>
      <c r="D6" s="26"/>
      <c r="E6" s="13" t="s">
        <v>565</v>
      </c>
      <c r="F6" s="13" t="s">
        <v>565</v>
      </c>
      <c r="G6" s="13" t="s">
        <v>564</v>
      </c>
      <c r="H6" s="13" t="s">
        <v>565</v>
      </c>
      <c r="I6" s="13" t="s">
        <v>564</v>
      </c>
      <c r="J6" s="13" t="s">
        <v>564</v>
      </c>
      <c r="K6" s="13" t="s">
        <v>564</v>
      </c>
      <c r="L6" s="13" t="s">
        <v>564</v>
      </c>
      <c r="M6" s="11"/>
      <c r="N6" s="11" t="s">
        <v>70</v>
      </c>
      <c r="O6" s="13">
        <f t="shared" si="0"/>
        <v>5</v>
      </c>
    </row>
    <row r="7" spans="1:15" x14ac:dyDescent="0.25">
      <c r="A7" s="54" t="s">
        <v>61</v>
      </c>
      <c r="B7" s="38" t="s">
        <v>230</v>
      </c>
      <c r="C7" s="38" t="s">
        <v>546</v>
      </c>
      <c r="D7" s="38"/>
      <c r="E7" s="13" t="s">
        <v>565</v>
      </c>
      <c r="F7" s="13" t="s">
        <v>565</v>
      </c>
      <c r="G7" s="13" t="s">
        <v>564</v>
      </c>
      <c r="H7" s="13" t="s">
        <v>564</v>
      </c>
      <c r="I7" s="13" t="s">
        <v>564</v>
      </c>
      <c r="J7" s="13" t="s">
        <v>564</v>
      </c>
      <c r="K7" s="13" t="s">
        <v>564</v>
      </c>
      <c r="L7" s="13" t="s">
        <v>564</v>
      </c>
      <c r="M7" s="11"/>
      <c r="N7" s="11" t="s">
        <v>70</v>
      </c>
      <c r="O7" s="13">
        <f t="shared" si="0"/>
        <v>6</v>
      </c>
    </row>
    <row r="8" spans="1:15" x14ac:dyDescent="0.25">
      <c r="A8" s="54" t="s">
        <v>61</v>
      </c>
      <c r="B8" s="41" t="s">
        <v>301</v>
      </c>
      <c r="C8" s="41" t="s">
        <v>547</v>
      </c>
      <c r="D8" s="41"/>
      <c r="E8" s="13" t="s">
        <v>565</v>
      </c>
      <c r="F8" s="13" t="s">
        <v>565</v>
      </c>
      <c r="G8" s="13" t="s">
        <v>564</v>
      </c>
      <c r="H8" s="13" t="s">
        <v>565</v>
      </c>
      <c r="I8" s="13" t="s">
        <v>564</v>
      </c>
      <c r="J8" s="13" t="s">
        <v>564</v>
      </c>
      <c r="K8" s="13" t="s">
        <v>564</v>
      </c>
      <c r="L8" s="13" t="s">
        <v>564</v>
      </c>
      <c r="M8" s="43" t="s">
        <v>306</v>
      </c>
      <c r="N8" s="11" t="s">
        <v>70</v>
      </c>
      <c r="O8" s="13">
        <f t="shared" si="0"/>
        <v>7</v>
      </c>
    </row>
    <row r="9" spans="1:15" x14ac:dyDescent="0.25">
      <c r="A9" s="54" t="s">
        <v>61</v>
      </c>
      <c r="B9" s="42" t="s">
        <v>302</v>
      </c>
      <c r="C9" s="42" t="s">
        <v>548</v>
      </c>
      <c r="D9" s="42"/>
      <c r="E9" s="13" t="s">
        <v>565</v>
      </c>
      <c r="F9" s="13" t="s">
        <v>565</v>
      </c>
      <c r="G9" s="13" t="s">
        <v>564</v>
      </c>
      <c r="H9" s="13" t="s">
        <v>564</v>
      </c>
      <c r="I9" s="13" t="s">
        <v>564</v>
      </c>
      <c r="J9" s="13" t="s">
        <v>564</v>
      </c>
      <c r="K9" s="13" t="s">
        <v>564</v>
      </c>
      <c r="L9" s="13" t="s">
        <v>564</v>
      </c>
      <c r="M9" s="43" t="s">
        <v>306</v>
      </c>
      <c r="N9" s="11" t="s">
        <v>70</v>
      </c>
      <c r="O9" s="13">
        <f t="shared" si="0"/>
        <v>8</v>
      </c>
    </row>
    <row r="10" spans="1:15" x14ac:dyDescent="0.25">
      <c r="A10" s="54" t="s">
        <v>61</v>
      </c>
      <c r="B10" s="26" t="s">
        <v>77</v>
      </c>
      <c r="C10" s="26" t="s">
        <v>549</v>
      </c>
      <c r="D10" s="26"/>
      <c r="E10" s="13" t="s">
        <v>565</v>
      </c>
      <c r="F10" s="13" t="s">
        <v>565</v>
      </c>
      <c r="G10" s="13" t="s">
        <v>565</v>
      </c>
      <c r="H10" s="13" t="s">
        <v>565</v>
      </c>
      <c r="I10" s="13" t="s">
        <v>564</v>
      </c>
      <c r="J10" s="13" t="s">
        <v>564</v>
      </c>
      <c r="K10" s="13" t="s">
        <v>564</v>
      </c>
      <c r="L10" s="13" t="s">
        <v>564</v>
      </c>
      <c r="M10" s="11"/>
      <c r="N10" s="11" t="s">
        <v>70</v>
      </c>
      <c r="O10" s="13">
        <f t="shared" si="0"/>
        <v>9</v>
      </c>
    </row>
    <row r="11" spans="1:15" x14ac:dyDescent="0.25">
      <c r="A11" s="54" t="s">
        <v>61</v>
      </c>
      <c r="B11" s="38" t="s">
        <v>231</v>
      </c>
      <c r="C11" s="38" t="s">
        <v>550</v>
      </c>
      <c r="D11" s="38"/>
      <c r="E11" s="13" t="s">
        <v>565</v>
      </c>
      <c r="F11" s="13" t="s">
        <v>565</v>
      </c>
      <c r="G11" s="13" t="s">
        <v>564</v>
      </c>
      <c r="H11" s="13" t="s">
        <v>564</v>
      </c>
      <c r="I11" s="13" t="s">
        <v>564</v>
      </c>
      <c r="J11" s="13" t="s">
        <v>564</v>
      </c>
      <c r="K11" s="13" t="s">
        <v>564</v>
      </c>
      <c r="L11" s="13" t="s">
        <v>564</v>
      </c>
      <c r="M11" s="11"/>
      <c r="N11" s="11" t="s">
        <v>70</v>
      </c>
      <c r="O11" s="13">
        <f t="shared" si="0"/>
        <v>10</v>
      </c>
    </row>
    <row r="12" spans="1:15" x14ac:dyDescent="0.25">
      <c r="A12" s="54" t="s">
        <v>61</v>
      </c>
      <c r="B12" s="26" t="s">
        <v>242</v>
      </c>
      <c r="C12" s="26" t="s">
        <v>551</v>
      </c>
      <c r="D12" s="26"/>
      <c r="E12" s="13" t="s">
        <v>565</v>
      </c>
      <c r="F12" s="13" t="s">
        <v>565</v>
      </c>
      <c r="G12" s="13" t="s">
        <v>564</v>
      </c>
      <c r="H12" s="13" t="s">
        <v>564</v>
      </c>
      <c r="I12" s="13" t="s">
        <v>564</v>
      </c>
      <c r="J12" s="13" t="s">
        <v>564</v>
      </c>
      <c r="K12" s="13" t="s">
        <v>564</v>
      </c>
      <c r="L12" s="13" t="s">
        <v>564</v>
      </c>
      <c r="M12" s="11"/>
      <c r="N12" s="11" t="s">
        <v>70</v>
      </c>
      <c r="O12" s="13">
        <f t="shared" si="0"/>
        <v>11</v>
      </c>
    </row>
    <row r="13" spans="1:15" x14ac:dyDescent="0.25">
      <c r="A13" s="54" t="s">
        <v>61</v>
      </c>
      <c r="B13" s="26" t="s">
        <v>79</v>
      </c>
      <c r="C13" s="26" t="s">
        <v>552</v>
      </c>
      <c r="D13" s="26"/>
      <c r="E13" s="13" t="s">
        <v>564</v>
      </c>
      <c r="F13" s="13" t="s">
        <v>565</v>
      </c>
      <c r="G13" s="13" t="s">
        <v>564</v>
      </c>
      <c r="H13" s="13" t="s">
        <v>564</v>
      </c>
      <c r="I13" s="13" t="s">
        <v>564</v>
      </c>
      <c r="J13" s="13" t="s">
        <v>564</v>
      </c>
      <c r="K13" s="13" t="s">
        <v>564</v>
      </c>
      <c r="L13" s="13" t="s">
        <v>564</v>
      </c>
      <c r="M13" s="11"/>
      <c r="N13" s="11" t="s">
        <v>70</v>
      </c>
      <c r="O13" s="13">
        <f t="shared" si="0"/>
        <v>12</v>
      </c>
    </row>
    <row r="14" spans="1:15" x14ac:dyDescent="0.25">
      <c r="A14" s="54" t="s">
        <v>61</v>
      </c>
      <c r="B14" s="41" t="s">
        <v>303</v>
      </c>
      <c r="C14" s="41" t="s">
        <v>553</v>
      </c>
      <c r="D14" s="41"/>
      <c r="E14" s="13" t="s">
        <v>565</v>
      </c>
      <c r="F14" s="13" t="s">
        <v>565</v>
      </c>
      <c r="G14" s="13" t="s">
        <v>564</v>
      </c>
      <c r="H14" s="13" t="s">
        <v>564</v>
      </c>
      <c r="I14" s="13" t="s">
        <v>564</v>
      </c>
      <c r="J14" s="13" t="s">
        <v>564</v>
      </c>
      <c r="K14" s="13" t="s">
        <v>564</v>
      </c>
      <c r="L14" s="13" t="s">
        <v>564</v>
      </c>
      <c r="M14" s="11"/>
      <c r="N14" s="11" t="s">
        <v>70</v>
      </c>
      <c r="O14" s="13">
        <f t="shared" si="0"/>
        <v>13</v>
      </c>
    </row>
    <row r="15" spans="1:15" x14ac:dyDescent="0.25">
      <c r="A15" s="54" t="s">
        <v>61</v>
      </c>
      <c r="B15" s="41" t="s">
        <v>303</v>
      </c>
      <c r="C15" s="41" t="s">
        <v>554</v>
      </c>
      <c r="D15" s="41"/>
      <c r="E15" s="13" t="s">
        <v>565</v>
      </c>
      <c r="F15" s="13" t="s">
        <v>565</v>
      </c>
      <c r="G15" s="13" t="s">
        <v>564</v>
      </c>
      <c r="H15" s="13" t="s">
        <v>564</v>
      </c>
      <c r="I15" s="13" t="s">
        <v>564</v>
      </c>
      <c r="J15" s="13" t="s">
        <v>564</v>
      </c>
      <c r="K15" s="13" t="s">
        <v>564</v>
      </c>
      <c r="L15" s="13" t="s">
        <v>564</v>
      </c>
      <c r="M15" s="11"/>
      <c r="N15" s="11" t="s">
        <v>70</v>
      </c>
      <c r="O15" s="13">
        <f t="shared" si="0"/>
        <v>14</v>
      </c>
    </row>
    <row r="16" spans="1:15" x14ac:dyDescent="0.25">
      <c r="A16" s="54" t="s">
        <v>61</v>
      </c>
      <c r="B16" s="26" t="s">
        <v>314</v>
      </c>
      <c r="C16" s="26" t="s">
        <v>555</v>
      </c>
      <c r="D16" s="26"/>
      <c r="E16" s="13" t="s">
        <v>564</v>
      </c>
      <c r="F16" s="13" t="s">
        <v>564</v>
      </c>
      <c r="G16" s="13" t="s">
        <v>564</v>
      </c>
      <c r="H16" s="13" t="s">
        <v>565</v>
      </c>
      <c r="I16" s="13" t="s">
        <v>564</v>
      </c>
      <c r="J16" s="13" t="s">
        <v>564</v>
      </c>
      <c r="K16" s="13" t="s">
        <v>564</v>
      </c>
      <c r="L16" s="13" t="s">
        <v>564</v>
      </c>
      <c r="M16" s="11"/>
      <c r="N16" s="11" t="s">
        <v>70</v>
      </c>
      <c r="O16" s="13">
        <f t="shared" si="0"/>
        <v>15</v>
      </c>
    </row>
    <row r="17" spans="1:15" x14ac:dyDescent="0.25">
      <c r="A17" s="54" t="s">
        <v>61</v>
      </c>
      <c r="B17" s="26" t="s">
        <v>315</v>
      </c>
      <c r="C17" s="26" t="s">
        <v>556</v>
      </c>
      <c r="D17" s="26"/>
      <c r="E17" s="13" t="s">
        <v>564</v>
      </c>
      <c r="F17" s="13" t="s">
        <v>565</v>
      </c>
      <c r="G17" s="13" t="s">
        <v>565</v>
      </c>
      <c r="H17" s="13" t="s">
        <v>564</v>
      </c>
      <c r="I17" s="13" t="s">
        <v>564</v>
      </c>
      <c r="J17" s="13" t="s">
        <v>564</v>
      </c>
      <c r="K17" s="13" t="s">
        <v>564</v>
      </c>
      <c r="L17" s="13" t="s">
        <v>564</v>
      </c>
      <c r="M17" s="11"/>
      <c r="N17" s="11" t="s">
        <v>70</v>
      </c>
      <c r="O17" s="13">
        <f t="shared" si="0"/>
        <v>16</v>
      </c>
    </row>
    <row r="18" spans="1:15" x14ac:dyDescent="0.25">
      <c r="A18" s="54" t="s">
        <v>61</v>
      </c>
      <c r="B18" s="26" t="s">
        <v>275</v>
      </c>
      <c r="C18" s="26" t="s">
        <v>557</v>
      </c>
      <c r="D18" s="26"/>
      <c r="E18" s="13" t="s">
        <v>565</v>
      </c>
      <c r="F18" s="13" t="s">
        <v>565</v>
      </c>
      <c r="G18" s="13" t="s">
        <v>564</v>
      </c>
      <c r="H18" s="13" t="s">
        <v>564</v>
      </c>
      <c r="I18" s="13" t="s">
        <v>564</v>
      </c>
      <c r="J18" s="13" t="s">
        <v>564</v>
      </c>
      <c r="K18" s="13" t="s">
        <v>564</v>
      </c>
      <c r="L18" s="13" t="s">
        <v>564</v>
      </c>
      <c r="M18" s="11"/>
      <c r="N18" s="11" t="s">
        <v>70</v>
      </c>
      <c r="O18" s="13">
        <f t="shared" si="0"/>
        <v>17</v>
      </c>
    </row>
    <row r="19" spans="1:15" x14ac:dyDescent="0.25">
      <c r="A19" s="54" t="s">
        <v>61</v>
      </c>
      <c r="B19" s="26" t="s">
        <v>277</v>
      </c>
      <c r="C19" s="26" t="s">
        <v>558</v>
      </c>
      <c r="D19" s="26"/>
      <c r="E19" s="13" t="s">
        <v>565</v>
      </c>
      <c r="F19" s="13" t="s">
        <v>565</v>
      </c>
      <c r="G19" s="13" t="s">
        <v>564</v>
      </c>
      <c r="H19" s="13" t="s">
        <v>564</v>
      </c>
      <c r="I19" s="13" t="s">
        <v>564</v>
      </c>
      <c r="J19" s="13" t="s">
        <v>564</v>
      </c>
      <c r="K19" s="13" t="s">
        <v>564</v>
      </c>
      <c r="L19" s="13" t="s">
        <v>564</v>
      </c>
      <c r="M19" s="11"/>
      <c r="N19" s="11" t="s">
        <v>70</v>
      </c>
      <c r="O19" s="13">
        <f t="shared" si="0"/>
        <v>18</v>
      </c>
    </row>
    <row r="20" spans="1:15" x14ac:dyDescent="0.25">
      <c r="A20" s="54" t="s">
        <v>61</v>
      </c>
      <c r="B20" s="26" t="s">
        <v>279</v>
      </c>
      <c r="C20" s="26" t="s">
        <v>559</v>
      </c>
      <c r="D20" s="26"/>
      <c r="E20" s="13" t="s">
        <v>565</v>
      </c>
      <c r="F20" s="13" t="s">
        <v>565</v>
      </c>
      <c r="G20" s="13" t="s">
        <v>564</v>
      </c>
      <c r="H20" s="13" t="s">
        <v>564</v>
      </c>
      <c r="I20" s="13" t="s">
        <v>564</v>
      </c>
      <c r="J20" s="13" t="s">
        <v>564</v>
      </c>
      <c r="K20" s="13" t="s">
        <v>564</v>
      </c>
      <c r="L20" s="13" t="s">
        <v>564</v>
      </c>
      <c r="M20" s="11"/>
      <c r="N20" s="11" t="s">
        <v>70</v>
      </c>
      <c r="O20" s="13">
        <f t="shared" si="0"/>
        <v>19</v>
      </c>
    </row>
    <row r="21" spans="1:15" x14ac:dyDescent="0.25">
      <c r="A21" s="54" t="s">
        <v>61</v>
      </c>
      <c r="B21" s="26" t="s">
        <v>281</v>
      </c>
      <c r="C21" s="26" t="s">
        <v>560</v>
      </c>
      <c r="D21" s="26"/>
      <c r="E21" s="13" t="s">
        <v>565</v>
      </c>
      <c r="F21" s="13" t="s">
        <v>565</v>
      </c>
      <c r="G21" s="13" t="s">
        <v>564</v>
      </c>
      <c r="H21" s="13" t="s">
        <v>564</v>
      </c>
      <c r="I21" s="13" t="s">
        <v>564</v>
      </c>
      <c r="J21" s="13" t="s">
        <v>564</v>
      </c>
      <c r="K21" s="13" t="s">
        <v>564</v>
      </c>
      <c r="L21" s="13" t="s">
        <v>564</v>
      </c>
      <c r="M21" s="11"/>
      <c r="N21" s="11" t="s">
        <v>70</v>
      </c>
      <c r="O21" s="13">
        <f t="shared" si="0"/>
        <v>20</v>
      </c>
    </row>
  </sheetData>
  <conditionalFormatting sqref="A2:A21">
    <cfRule type="expression" dxfId="146" priority="20" stopIfTrue="1">
      <formula>$N2="None"</formula>
    </cfRule>
    <cfRule type="expression" dxfId="145" priority="21" stopIfTrue="1">
      <formula>$N2="orange"</formula>
    </cfRule>
    <cfRule type="expression" dxfId="144" priority="22" stopIfTrue="1">
      <formula>$N2="blue"</formula>
    </cfRule>
    <cfRule type="expression" dxfId="143" priority="23" stopIfTrue="1">
      <formula>$N2="yellow"</formula>
    </cfRule>
  </conditionalFormatting>
  <conditionalFormatting sqref="B2:D11 E2:O21 A18">
    <cfRule type="expression" dxfId="142" priority="5" stopIfTrue="1">
      <formula>$N2="orange"</formula>
    </cfRule>
    <cfRule type="expression" dxfId="141" priority="6" stopIfTrue="1">
      <formula>$N2="blue"</formula>
    </cfRule>
    <cfRule type="expression" dxfId="140" priority="7" stopIfTrue="1">
      <formula>$N2="yellow"</formula>
    </cfRule>
    <cfRule type="expression" dxfId="139" priority="4" stopIfTrue="1">
      <formula>$N2="None"</formula>
    </cfRule>
  </conditionalFormatting>
  <conditionalFormatting sqref="B12:D12 B16:D17">
    <cfRule type="expression" dxfId="138" priority="32" stopIfTrue="1">
      <formula>$N11="None"</formula>
    </cfRule>
    <cfRule type="expression" dxfId="137" priority="35" stopIfTrue="1">
      <formula>$N11="yellow"</formula>
    </cfRule>
    <cfRule type="expression" dxfId="136" priority="34" stopIfTrue="1">
      <formula>$N11="blue"</formula>
    </cfRule>
    <cfRule type="expression" dxfId="135" priority="33" stopIfTrue="1">
      <formula>$N11="orange"</formula>
    </cfRule>
  </conditionalFormatting>
  <conditionalFormatting sqref="B13:D14">
    <cfRule type="expression" dxfId="134" priority="36" stopIfTrue="1">
      <formula>$N10="None"</formula>
    </cfRule>
    <cfRule type="expression" dxfId="133" priority="37" stopIfTrue="1">
      <formula>$N10="orange"</formula>
    </cfRule>
    <cfRule type="expression" dxfId="132" priority="38" stopIfTrue="1">
      <formula>$N10="blue"</formula>
    </cfRule>
    <cfRule type="expression" dxfId="131" priority="39" stopIfTrue="1">
      <formula>$N10="yellow"</formula>
    </cfRule>
  </conditionalFormatting>
  <conditionalFormatting sqref="B15:D15">
    <cfRule type="expression" dxfId="130" priority="40" stopIfTrue="1">
      <formula>$N11="None"</formula>
    </cfRule>
    <cfRule type="expression" dxfId="129" priority="41" stopIfTrue="1">
      <formula>$N11="orange"</formula>
    </cfRule>
    <cfRule type="expression" dxfId="128" priority="42" stopIfTrue="1">
      <formula>$N11="blue"</formula>
    </cfRule>
    <cfRule type="expression" dxfId="127" priority="43" stopIfTrue="1">
      <formula>$N11="yellow"</formula>
    </cfRule>
  </conditionalFormatting>
  <conditionalFormatting sqref="B18:D18">
    <cfRule type="expression" dxfId="126" priority="44" stopIfTrue="1">
      <formula>$N11="None"</formula>
    </cfRule>
    <cfRule type="expression" dxfId="125" priority="45" stopIfTrue="1">
      <formula>$N11="orange"</formula>
    </cfRule>
    <cfRule type="expression" dxfId="124" priority="46" stopIfTrue="1">
      <formula>$N11="blue"</formula>
    </cfRule>
    <cfRule type="expression" dxfId="123" priority="47" stopIfTrue="1">
      <formula>$N11="yellow"</formula>
    </cfRule>
  </conditionalFormatting>
  <conditionalFormatting sqref="B19:D19">
    <cfRule type="expression" dxfId="122" priority="48" stopIfTrue="1">
      <formula>$N13="None"</formula>
    </cfRule>
    <cfRule type="expression" dxfId="121" priority="49" stopIfTrue="1">
      <formula>$N13="orange"</formula>
    </cfRule>
    <cfRule type="expression" dxfId="120" priority="50" stopIfTrue="1">
      <formula>$N13="blue"</formula>
    </cfRule>
    <cfRule type="expression" dxfId="119" priority="51" stopIfTrue="1">
      <formula>$N13="yellow"</formula>
    </cfRule>
  </conditionalFormatting>
  <conditionalFormatting sqref="B20:D21">
    <cfRule type="expression" dxfId="118" priority="31" stopIfTrue="1">
      <formula>$N18="yellow"</formula>
    </cfRule>
    <cfRule type="expression" dxfId="117" priority="30" stopIfTrue="1">
      <formula>$N18="blue"</formula>
    </cfRule>
    <cfRule type="expression" dxfId="116" priority="29" stopIfTrue="1">
      <formula>$N18="orange"</formula>
    </cfRule>
    <cfRule type="expression" dxfId="115" priority="28" stopIfTrue="1">
      <formula>$N18="None"</formula>
    </cfRule>
  </conditionalFormatting>
  <pageMargins left="0.7" right="0.7" top="0.75" bottom="0.75" header="0.3" footer="0.3"/>
  <pageSetup orientation="portrait" horizontalDpi="0" verticalDpi="0"/>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CD017-A280-4249-A94F-45E00BFBC68A}">
  <dimension ref="A1:O194"/>
  <sheetViews>
    <sheetView zoomScaleNormal="100" workbookViewId="0">
      <selection activeCell="C13" sqref="C13"/>
    </sheetView>
  </sheetViews>
  <sheetFormatPr baseColWidth="10" defaultColWidth="10.83203125" defaultRowHeight="17" x14ac:dyDescent="0.25"/>
  <cols>
    <col min="1" max="1" width="23.1640625" style="14" bestFit="1" customWidth="1"/>
    <col min="2" max="2" width="29" style="1" customWidth="1"/>
    <col min="3" max="3" width="54.83203125" style="1" bestFit="1" customWidth="1"/>
    <col min="4" max="4" width="24.33203125" style="1" customWidth="1"/>
    <col min="5" max="5" width="16.6640625" style="4" bestFit="1" customWidth="1"/>
    <col min="6" max="8" width="12.5" style="4" customWidth="1"/>
    <col min="9" max="12" width="15.1640625" style="4" customWidth="1"/>
    <col min="13" max="13" width="49" style="3" customWidth="1"/>
    <col min="14" max="14" width="10.83203125" style="3"/>
    <col min="15" max="15" width="12" style="14" bestFit="1" customWidth="1"/>
    <col min="16" max="16384" width="10.83203125" style="3"/>
  </cols>
  <sheetData>
    <row r="1" spans="1:15" s="12" customFormat="1" ht="17" customHeight="1" x14ac:dyDescent="0.25">
      <c r="A1" s="13" t="s">
        <v>87</v>
      </c>
      <c r="B1" s="25" t="s">
        <v>0</v>
      </c>
      <c r="C1" s="2" t="s">
        <v>232</v>
      </c>
      <c r="D1" s="48" t="s">
        <v>341</v>
      </c>
      <c r="E1" s="5" t="s">
        <v>42</v>
      </c>
      <c r="F1" s="5" t="s">
        <v>43</v>
      </c>
      <c r="G1" s="5" t="s">
        <v>52</v>
      </c>
      <c r="H1" s="5" t="s">
        <v>53</v>
      </c>
      <c r="I1" s="5" t="s">
        <v>55</v>
      </c>
      <c r="J1" s="5" t="s">
        <v>56</v>
      </c>
      <c r="K1" s="5" t="s">
        <v>57</v>
      </c>
      <c r="L1" s="5" t="s">
        <v>58</v>
      </c>
      <c r="M1" s="11" t="s">
        <v>54</v>
      </c>
      <c r="N1" s="12" t="s">
        <v>71</v>
      </c>
      <c r="O1" s="13" t="s">
        <v>62</v>
      </c>
    </row>
    <row r="2" spans="1:15" x14ac:dyDescent="0.25">
      <c r="A2" s="60" t="s">
        <v>88</v>
      </c>
      <c r="B2" s="69" t="s">
        <v>1</v>
      </c>
      <c r="C2" s="26" t="s">
        <v>89</v>
      </c>
      <c r="D2" s="26"/>
      <c r="E2" s="13">
        <f t="shared" ref="E2:G9" si="0">$O2</f>
        <v>1</v>
      </c>
      <c r="F2" s="13">
        <f t="shared" si="0"/>
        <v>1</v>
      </c>
      <c r="G2" s="13">
        <f t="shared" si="0"/>
        <v>1</v>
      </c>
      <c r="H2" s="13"/>
      <c r="I2" s="13">
        <f t="shared" ref="I2:I87" si="1">IF(COUNT(G2:H2)&gt;0,$O2,"")</f>
        <v>1</v>
      </c>
      <c r="J2" s="13">
        <f t="shared" ref="J2:J87" si="2">IF(COUNT(H2,F2)&gt;0,$O2,"")</f>
        <v>1</v>
      </c>
      <c r="K2" s="13">
        <f>IF(ISNUMBER(I2),I2,"")</f>
        <v>1</v>
      </c>
      <c r="L2" s="13">
        <f>IF(ISNUMBER(J2),J2,"")</f>
        <v>1</v>
      </c>
      <c r="M2" s="11" t="s">
        <v>291</v>
      </c>
      <c r="N2" s="11" t="s">
        <v>72</v>
      </c>
      <c r="O2" s="13">
        <f>ROW()-1</f>
        <v>1</v>
      </c>
    </row>
    <row r="3" spans="1:15" x14ac:dyDescent="0.25">
      <c r="A3" s="61"/>
      <c r="B3" s="70"/>
      <c r="C3" s="26" t="s">
        <v>90</v>
      </c>
      <c r="D3" s="26"/>
      <c r="E3" s="13">
        <f t="shared" si="0"/>
        <v>2</v>
      </c>
      <c r="F3" s="13">
        <f t="shared" si="0"/>
        <v>2</v>
      </c>
      <c r="G3" s="13">
        <f t="shared" si="0"/>
        <v>2</v>
      </c>
      <c r="H3" s="5"/>
      <c r="I3" s="13">
        <f t="shared" si="1"/>
        <v>2</v>
      </c>
      <c r="J3" s="13">
        <f t="shared" si="2"/>
        <v>2</v>
      </c>
      <c r="K3" s="13">
        <f t="shared" ref="K3:L60" si="3">IF(ISNUMBER(I3),I3,"")</f>
        <v>2</v>
      </c>
      <c r="L3" s="13">
        <f t="shared" si="3"/>
        <v>2</v>
      </c>
      <c r="M3" s="11" t="s">
        <v>73</v>
      </c>
      <c r="N3" s="11" t="s">
        <v>72</v>
      </c>
      <c r="O3" s="13">
        <f t="shared" ref="O3:O72" si="4">ROW()-1</f>
        <v>2</v>
      </c>
    </row>
    <row r="4" spans="1:15" x14ac:dyDescent="0.25">
      <c r="A4" s="61"/>
      <c r="B4" s="70"/>
      <c r="C4" s="26" t="s">
        <v>91</v>
      </c>
      <c r="D4" s="26"/>
      <c r="E4" s="13">
        <f t="shared" si="0"/>
        <v>3</v>
      </c>
      <c r="F4" s="13">
        <f t="shared" si="0"/>
        <v>3</v>
      </c>
      <c r="G4" s="13">
        <f t="shared" si="0"/>
        <v>3</v>
      </c>
      <c r="H4" s="5"/>
      <c r="I4" s="13">
        <f t="shared" si="1"/>
        <v>3</v>
      </c>
      <c r="J4" s="13">
        <f t="shared" si="2"/>
        <v>3</v>
      </c>
      <c r="K4" s="13">
        <f t="shared" si="3"/>
        <v>3</v>
      </c>
      <c r="L4" s="13">
        <f t="shared" si="3"/>
        <v>3</v>
      </c>
      <c r="M4" s="11" t="s">
        <v>73</v>
      </c>
      <c r="N4" s="11" t="s">
        <v>72</v>
      </c>
      <c r="O4" s="13">
        <f t="shared" si="4"/>
        <v>3</v>
      </c>
    </row>
    <row r="5" spans="1:15" x14ac:dyDescent="0.25">
      <c r="A5" s="61"/>
      <c r="B5" s="70"/>
      <c r="C5" s="26" t="s">
        <v>92</v>
      </c>
      <c r="D5" s="26"/>
      <c r="E5" s="13">
        <f t="shared" si="0"/>
        <v>4</v>
      </c>
      <c r="F5" s="13">
        <f t="shared" si="0"/>
        <v>4</v>
      </c>
      <c r="G5" s="13">
        <f t="shared" si="0"/>
        <v>4</v>
      </c>
      <c r="H5" s="5"/>
      <c r="I5" s="13">
        <f t="shared" si="1"/>
        <v>4</v>
      </c>
      <c r="J5" s="13">
        <f t="shared" si="2"/>
        <v>4</v>
      </c>
      <c r="K5" s="13">
        <f t="shared" si="3"/>
        <v>4</v>
      </c>
      <c r="L5" s="13">
        <f t="shared" si="3"/>
        <v>4</v>
      </c>
      <c r="M5" s="11" t="s">
        <v>73</v>
      </c>
      <c r="N5" s="11" t="s">
        <v>72</v>
      </c>
      <c r="O5" s="13">
        <f t="shared" si="4"/>
        <v>4</v>
      </c>
    </row>
    <row r="6" spans="1:15" x14ac:dyDescent="0.25">
      <c r="A6" s="61"/>
      <c r="B6" s="69" t="s">
        <v>63</v>
      </c>
      <c r="C6" s="26" t="s">
        <v>93</v>
      </c>
      <c r="D6" s="26"/>
      <c r="E6" s="13">
        <f t="shared" si="0"/>
        <v>5</v>
      </c>
      <c r="F6" s="13"/>
      <c r="G6" s="13"/>
      <c r="H6" s="13">
        <f t="shared" ref="H6:H9" si="5">$O6</f>
        <v>5</v>
      </c>
      <c r="I6" s="13">
        <f t="shared" si="1"/>
        <v>5</v>
      </c>
      <c r="J6" s="13">
        <f t="shared" si="2"/>
        <v>5</v>
      </c>
      <c r="K6" s="13">
        <f t="shared" si="3"/>
        <v>5</v>
      </c>
      <c r="L6" s="13">
        <f t="shared" si="3"/>
        <v>5</v>
      </c>
      <c r="M6" s="11" t="s">
        <v>292</v>
      </c>
      <c r="N6" s="11" t="s">
        <v>68</v>
      </c>
      <c r="O6" s="13">
        <f t="shared" si="4"/>
        <v>5</v>
      </c>
    </row>
    <row r="7" spans="1:15" x14ac:dyDescent="0.25">
      <c r="A7" s="61"/>
      <c r="B7" s="70"/>
      <c r="C7" s="26" t="s">
        <v>94</v>
      </c>
      <c r="D7" s="26"/>
      <c r="E7" s="13">
        <f t="shared" si="0"/>
        <v>6</v>
      </c>
      <c r="F7" s="13"/>
      <c r="G7" s="5"/>
      <c r="H7" s="13">
        <f t="shared" si="5"/>
        <v>6</v>
      </c>
      <c r="I7" s="13">
        <f t="shared" si="1"/>
        <v>6</v>
      </c>
      <c r="J7" s="13">
        <f t="shared" si="2"/>
        <v>6</v>
      </c>
      <c r="K7" s="13">
        <f t="shared" si="3"/>
        <v>6</v>
      </c>
      <c r="L7" s="13">
        <f t="shared" si="3"/>
        <v>6</v>
      </c>
      <c r="M7" s="11" t="s">
        <v>74</v>
      </c>
      <c r="N7" s="11" t="s">
        <v>68</v>
      </c>
      <c r="O7" s="13">
        <f t="shared" si="4"/>
        <v>6</v>
      </c>
    </row>
    <row r="8" spans="1:15" x14ac:dyDescent="0.25">
      <c r="A8" s="61"/>
      <c r="B8" s="70"/>
      <c r="C8" s="26" t="s">
        <v>95</v>
      </c>
      <c r="D8" s="26"/>
      <c r="E8" s="13">
        <f t="shared" si="0"/>
        <v>7</v>
      </c>
      <c r="F8" s="13"/>
      <c r="G8" s="5"/>
      <c r="H8" s="13">
        <f t="shared" si="5"/>
        <v>7</v>
      </c>
      <c r="I8" s="13">
        <f t="shared" si="1"/>
        <v>7</v>
      </c>
      <c r="J8" s="13">
        <f t="shared" si="2"/>
        <v>7</v>
      </c>
      <c r="K8" s="13">
        <f t="shared" si="3"/>
        <v>7</v>
      </c>
      <c r="L8" s="13">
        <f t="shared" si="3"/>
        <v>7</v>
      </c>
      <c r="M8" s="11" t="s">
        <v>74</v>
      </c>
      <c r="N8" s="11" t="s">
        <v>68</v>
      </c>
      <c r="O8" s="13">
        <f t="shared" si="4"/>
        <v>7</v>
      </c>
    </row>
    <row r="9" spans="1:15" x14ac:dyDescent="0.25">
      <c r="A9" s="61"/>
      <c r="B9" s="70"/>
      <c r="C9" s="26" t="s">
        <v>96</v>
      </c>
      <c r="D9" s="26"/>
      <c r="E9" s="13">
        <f t="shared" si="0"/>
        <v>8</v>
      </c>
      <c r="F9" s="13"/>
      <c r="G9" s="5"/>
      <c r="H9" s="13">
        <f t="shared" si="5"/>
        <v>8</v>
      </c>
      <c r="I9" s="13">
        <f t="shared" si="1"/>
        <v>8</v>
      </c>
      <c r="J9" s="13">
        <f t="shared" si="2"/>
        <v>8</v>
      </c>
      <c r="K9" s="13">
        <f t="shared" si="3"/>
        <v>8</v>
      </c>
      <c r="L9" s="13">
        <f t="shared" si="3"/>
        <v>8</v>
      </c>
      <c r="M9" s="11" t="s">
        <v>74</v>
      </c>
      <c r="N9" s="11" t="s">
        <v>68</v>
      </c>
      <c r="O9" s="13">
        <f t="shared" si="4"/>
        <v>8</v>
      </c>
    </row>
    <row r="10" spans="1:15" x14ac:dyDescent="0.25">
      <c r="A10" s="61"/>
      <c r="B10" s="75"/>
      <c r="C10" s="26" t="s">
        <v>97</v>
      </c>
      <c r="D10" s="26"/>
      <c r="E10" s="13"/>
      <c r="F10" s="13"/>
      <c r="G10" s="5"/>
      <c r="H10" s="13"/>
      <c r="I10" s="13" t="str">
        <f t="shared" si="1"/>
        <v/>
      </c>
      <c r="J10" s="13" t="str">
        <f t="shared" si="2"/>
        <v/>
      </c>
      <c r="K10" s="13" t="str">
        <f t="shared" si="3"/>
        <v/>
      </c>
      <c r="L10" s="13" t="str">
        <f t="shared" si="3"/>
        <v/>
      </c>
      <c r="M10" s="11" t="s">
        <v>74</v>
      </c>
      <c r="N10" s="11" t="s">
        <v>68</v>
      </c>
      <c r="O10" s="13">
        <f t="shared" si="4"/>
        <v>9</v>
      </c>
    </row>
    <row r="11" spans="1:15" x14ac:dyDescent="0.25">
      <c r="A11" s="61"/>
      <c r="B11" s="69" t="s">
        <v>3</v>
      </c>
      <c r="C11" s="26" t="s">
        <v>101</v>
      </c>
      <c r="D11" s="26"/>
      <c r="E11" s="13">
        <f t="shared" ref="E11:G44" si="6">$O11</f>
        <v>10</v>
      </c>
      <c r="F11" s="13"/>
      <c r="G11" s="5"/>
      <c r="H11" s="5"/>
      <c r="I11" s="13" t="str">
        <f t="shared" si="1"/>
        <v/>
      </c>
      <c r="J11" s="13" t="str">
        <f t="shared" si="2"/>
        <v/>
      </c>
      <c r="K11" s="13" t="str">
        <f t="shared" si="3"/>
        <v/>
      </c>
      <c r="L11" s="13" t="str">
        <f t="shared" si="3"/>
        <v/>
      </c>
      <c r="M11" s="11" t="s">
        <v>75</v>
      </c>
      <c r="N11" s="11" t="s">
        <v>364</v>
      </c>
      <c r="O11" s="13">
        <f t="shared" si="4"/>
        <v>10</v>
      </c>
    </row>
    <row r="12" spans="1:15" x14ac:dyDescent="0.25">
      <c r="A12" s="61"/>
      <c r="B12" s="70"/>
      <c r="C12" s="26" t="s">
        <v>102</v>
      </c>
      <c r="D12" s="26"/>
      <c r="E12" s="13">
        <f t="shared" si="6"/>
        <v>11</v>
      </c>
      <c r="F12" s="13"/>
      <c r="G12" s="5"/>
      <c r="H12" s="5"/>
      <c r="I12" s="13" t="str">
        <f t="shared" si="1"/>
        <v/>
      </c>
      <c r="J12" s="13" t="str">
        <f t="shared" si="2"/>
        <v/>
      </c>
      <c r="K12" s="13" t="str">
        <f t="shared" si="3"/>
        <v/>
      </c>
      <c r="L12" s="13" t="str">
        <f t="shared" si="3"/>
        <v/>
      </c>
      <c r="M12" s="11" t="s">
        <v>75</v>
      </c>
      <c r="N12" s="11" t="s">
        <v>364</v>
      </c>
      <c r="O12" s="13">
        <f t="shared" si="4"/>
        <v>11</v>
      </c>
    </row>
    <row r="13" spans="1:15" x14ac:dyDescent="0.25">
      <c r="A13" s="61"/>
      <c r="B13" s="70"/>
      <c r="C13" s="26" t="s">
        <v>103</v>
      </c>
      <c r="D13" s="26"/>
      <c r="E13" s="13">
        <f t="shared" si="6"/>
        <v>12</v>
      </c>
      <c r="F13" s="13"/>
      <c r="G13" s="5"/>
      <c r="H13" s="5"/>
      <c r="I13" s="13" t="str">
        <f t="shared" si="1"/>
        <v/>
      </c>
      <c r="J13" s="13" t="str">
        <f t="shared" si="2"/>
        <v/>
      </c>
      <c r="K13" s="13" t="str">
        <f t="shared" si="3"/>
        <v/>
      </c>
      <c r="L13" s="13" t="str">
        <f t="shared" si="3"/>
        <v/>
      </c>
      <c r="M13" s="11" t="s">
        <v>75</v>
      </c>
      <c r="N13" s="11" t="s">
        <v>364</v>
      </c>
      <c r="O13" s="13">
        <f t="shared" si="4"/>
        <v>12</v>
      </c>
    </row>
    <row r="14" spans="1:15" x14ac:dyDescent="0.25">
      <c r="A14" s="61"/>
      <c r="B14" s="69" t="s">
        <v>2</v>
      </c>
      <c r="C14" s="26" t="s">
        <v>98</v>
      </c>
      <c r="D14" s="26"/>
      <c r="E14" s="13">
        <f t="shared" si="6"/>
        <v>13</v>
      </c>
      <c r="F14" s="13"/>
      <c r="G14" s="5"/>
      <c r="H14" s="5"/>
      <c r="I14" s="13" t="str">
        <f t="shared" si="1"/>
        <v/>
      </c>
      <c r="J14" s="13" t="str">
        <f t="shared" si="2"/>
        <v/>
      </c>
      <c r="K14" s="13" t="str">
        <f t="shared" si="3"/>
        <v/>
      </c>
      <c r="L14" s="13" t="str">
        <f t="shared" si="3"/>
        <v/>
      </c>
      <c r="M14" s="51" t="s">
        <v>363</v>
      </c>
      <c r="N14" s="11" t="s">
        <v>70</v>
      </c>
      <c r="O14" s="13">
        <f t="shared" si="4"/>
        <v>13</v>
      </c>
    </row>
    <row r="15" spans="1:15" x14ac:dyDescent="0.25">
      <c r="A15" s="61"/>
      <c r="B15" s="70"/>
      <c r="C15" s="26" t="s">
        <v>99</v>
      </c>
      <c r="D15" s="26"/>
      <c r="E15" s="13">
        <f t="shared" si="6"/>
        <v>14</v>
      </c>
      <c r="F15" s="13"/>
      <c r="G15" s="5"/>
      <c r="H15" s="5"/>
      <c r="I15" s="13" t="str">
        <f t="shared" si="1"/>
        <v/>
      </c>
      <c r="J15" s="13" t="str">
        <f t="shared" si="2"/>
        <v/>
      </c>
      <c r="K15" s="13" t="str">
        <f t="shared" si="3"/>
        <v/>
      </c>
      <c r="L15" s="13" t="str">
        <f t="shared" si="3"/>
        <v/>
      </c>
      <c r="M15" s="51" t="s">
        <v>363</v>
      </c>
      <c r="N15" s="11" t="s">
        <v>70</v>
      </c>
      <c r="O15" s="13">
        <f t="shared" si="4"/>
        <v>14</v>
      </c>
    </row>
    <row r="16" spans="1:15" x14ac:dyDescent="0.25">
      <c r="A16" s="61"/>
      <c r="B16" s="70"/>
      <c r="C16" s="26" t="s">
        <v>100</v>
      </c>
      <c r="D16" s="26"/>
      <c r="E16" s="13">
        <f t="shared" si="6"/>
        <v>15</v>
      </c>
      <c r="F16" s="13"/>
      <c r="G16" s="5"/>
      <c r="H16" s="5"/>
      <c r="I16" s="13" t="str">
        <f t="shared" si="1"/>
        <v/>
      </c>
      <c r="J16" s="13" t="str">
        <f t="shared" si="2"/>
        <v/>
      </c>
      <c r="K16" s="13" t="str">
        <f t="shared" si="3"/>
        <v/>
      </c>
      <c r="L16" s="13" t="str">
        <f t="shared" si="3"/>
        <v/>
      </c>
      <c r="M16" s="51" t="s">
        <v>363</v>
      </c>
      <c r="N16" s="11" t="s">
        <v>70</v>
      </c>
      <c r="O16" s="13">
        <f t="shared" si="4"/>
        <v>15</v>
      </c>
    </row>
    <row r="17" spans="1:15" x14ac:dyDescent="0.25">
      <c r="A17" s="61"/>
      <c r="B17" s="69" t="s">
        <v>50</v>
      </c>
      <c r="C17" s="26" t="s">
        <v>104</v>
      </c>
      <c r="D17" s="26"/>
      <c r="E17" s="13">
        <f t="shared" si="6"/>
        <v>16</v>
      </c>
      <c r="F17" s="13"/>
      <c r="G17" s="5"/>
      <c r="H17" s="5"/>
      <c r="I17" s="13" t="str">
        <f t="shared" si="1"/>
        <v/>
      </c>
      <c r="J17" s="13" t="str">
        <f t="shared" si="2"/>
        <v/>
      </c>
      <c r="K17" s="13" t="str">
        <f t="shared" si="3"/>
        <v/>
      </c>
      <c r="L17" s="13" t="str">
        <f t="shared" si="3"/>
        <v/>
      </c>
      <c r="M17" s="51" t="s">
        <v>363</v>
      </c>
      <c r="N17" s="11" t="s">
        <v>70</v>
      </c>
      <c r="O17" s="13">
        <f t="shared" si="4"/>
        <v>16</v>
      </c>
    </row>
    <row r="18" spans="1:15" x14ac:dyDescent="0.25">
      <c r="A18" s="61"/>
      <c r="B18" s="70"/>
      <c r="C18" s="26" t="s">
        <v>105</v>
      </c>
      <c r="D18" s="26"/>
      <c r="E18" s="13">
        <f t="shared" si="6"/>
        <v>17</v>
      </c>
      <c r="F18" s="13"/>
      <c r="G18" s="5"/>
      <c r="H18" s="5"/>
      <c r="I18" s="13" t="str">
        <f t="shared" si="1"/>
        <v/>
      </c>
      <c r="J18" s="13" t="str">
        <f t="shared" si="2"/>
        <v/>
      </c>
      <c r="K18" s="13" t="str">
        <f t="shared" si="3"/>
        <v/>
      </c>
      <c r="L18" s="13" t="str">
        <f t="shared" si="3"/>
        <v/>
      </c>
      <c r="M18" s="51" t="s">
        <v>363</v>
      </c>
      <c r="N18" s="11" t="s">
        <v>70</v>
      </c>
      <c r="O18" s="13">
        <f t="shared" si="4"/>
        <v>17</v>
      </c>
    </row>
    <row r="19" spans="1:15" x14ac:dyDescent="0.25">
      <c r="A19" s="61"/>
      <c r="B19" s="70"/>
      <c r="C19" s="26" t="s">
        <v>106</v>
      </c>
      <c r="D19" s="26"/>
      <c r="E19" s="13">
        <f t="shared" si="6"/>
        <v>18</v>
      </c>
      <c r="F19" s="13"/>
      <c r="G19" s="5"/>
      <c r="H19" s="5"/>
      <c r="I19" s="13" t="str">
        <f t="shared" si="1"/>
        <v/>
      </c>
      <c r="J19" s="13" t="str">
        <f t="shared" si="2"/>
        <v/>
      </c>
      <c r="K19" s="13" t="str">
        <f t="shared" si="3"/>
        <v/>
      </c>
      <c r="L19" s="13" t="str">
        <f t="shared" si="3"/>
        <v/>
      </c>
      <c r="M19" s="51" t="s">
        <v>363</v>
      </c>
      <c r="N19" s="11" t="s">
        <v>70</v>
      </c>
      <c r="O19" s="13">
        <f t="shared" si="4"/>
        <v>18</v>
      </c>
    </row>
    <row r="20" spans="1:15" x14ac:dyDescent="0.25">
      <c r="A20" s="61" t="s">
        <v>107</v>
      </c>
      <c r="B20" s="69" t="s">
        <v>4</v>
      </c>
      <c r="C20" s="26" t="s">
        <v>108</v>
      </c>
      <c r="D20" s="26"/>
      <c r="E20" s="13">
        <f t="shared" si="6"/>
        <v>19</v>
      </c>
      <c r="F20" s="13">
        <f t="shared" si="6"/>
        <v>19</v>
      </c>
      <c r="G20" s="13">
        <f t="shared" si="6"/>
        <v>19</v>
      </c>
      <c r="H20" s="5"/>
      <c r="I20" s="13">
        <f t="shared" si="1"/>
        <v>19</v>
      </c>
      <c r="J20" s="13">
        <f t="shared" si="2"/>
        <v>19</v>
      </c>
      <c r="K20" s="13">
        <f t="shared" si="3"/>
        <v>19</v>
      </c>
      <c r="L20" s="13">
        <f t="shared" si="3"/>
        <v>19</v>
      </c>
      <c r="M20" s="11" t="s">
        <v>73</v>
      </c>
      <c r="N20" s="11" t="s">
        <v>68</v>
      </c>
      <c r="O20" s="13">
        <f t="shared" si="4"/>
        <v>19</v>
      </c>
    </row>
    <row r="21" spans="1:15" x14ac:dyDescent="0.25">
      <c r="A21" s="61"/>
      <c r="B21" s="70"/>
      <c r="C21" s="26" t="s">
        <v>109</v>
      </c>
      <c r="D21" s="26"/>
      <c r="E21" s="13">
        <f t="shared" si="6"/>
        <v>20</v>
      </c>
      <c r="F21" s="13">
        <f t="shared" si="6"/>
        <v>20</v>
      </c>
      <c r="G21" s="13">
        <f t="shared" si="6"/>
        <v>20</v>
      </c>
      <c r="H21" s="5"/>
      <c r="I21" s="13">
        <f t="shared" si="1"/>
        <v>20</v>
      </c>
      <c r="J21" s="13">
        <f t="shared" si="2"/>
        <v>20</v>
      </c>
      <c r="K21" s="13">
        <f t="shared" si="3"/>
        <v>20</v>
      </c>
      <c r="L21" s="13">
        <f t="shared" si="3"/>
        <v>20</v>
      </c>
      <c r="M21" s="11" t="s">
        <v>73</v>
      </c>
      <c r="N21" s="11" t="s">
        <v>68</v>
      </c>
      <c r="O21" s="13">
        <f t="shared" si="4"/>
        <v>20</v>
      </c>
    </row>
    <row r="22" spans="1:15" x14ac:dyDescent="0.25">
      <c r="A22" s="61"/>
      <c r="B22" s="70"/>
      <c r="C22" s="49" t="s">
        <v>347</v>
      </c>
      <c r="D22" s="26"/>
      <c r="E22" s="13">
        <f t="shared" si="6"/>
        <v>21</v>
      </c>
      <c r="F22" s="13">
        <f t="shared" si="6"/>
        <v>21</v>
      </c>
      <c r="G22" s="13">
        <f t="shared" si="6"/>
        <v>21</v>
      </c>
      <c r="H22" s="5"/>
      <c r="I22" s="13">
        <f t="shared" si="1"/>
        <v>21</v>
      </c>
      <c r="J22" s="13">
        <f t="shared" si="2"/>
        <v>21</v>
      </c>
      <c r="K22" s="13">
        <f t="shared" si="3"/>
        <v>21</v>
      </c>
      <c r="L22" s="13">
        <f t="shared" si="3"/>
        <v>21</v>
      </c>
      <c r="M22" s="11" t="s">
        <v>73</v>
      </c>
      <c r="N22" s="11" t="s">
        <v>68</v>
      </c>
      <c r="O22" s="13">
        <f t="shared" si="4"/>
        <v>21</v>
      </c>
    </row>
    <row r="23" spans="1:15" x14ac:dyDescent="0.25">
      <c r="A23" s="61"/>
      <c r="B23" s="82" t="s">
        <v>293</v>
      </c>
      <c r="C23" s="40" t="s">
        <v>294</v>
      </c>
      <c r="D23" s="40"/>
      <c r="E23" s="13">
        <f t="shared" si="6"/>
        <v>22</v>
      </c>
      <c r="F23" s="13"/>
      <c r="G23" s="5"/>
      <c r="H23" s="13">
        <f>$O23</f>
        <v>22</v>
      </c>
      <c r="I23" s="13">
        <f t="shared" si="1"/>
        <v>22</v>
      </c>
      <c r="J23" s="13">
        <f t="shared" si="2"/>
        <v>22</v>
      </c>
      <c r="K23" s="13">
        <f t="shared" si="3"/>
        <v>22</v>
      </c>
      <c r="L23" s="13">
        <f t="shared" si="3"/>
        <v>22</v>
      </c>
      <c r="M23" s="11" t="s">
        <v>74</v>
      </c>
      <c r="N23" s="11" t="s">
        <v>72</v>
      </c>
      <c r="O23" s="13">
        <f t="shared" si="4"/>
        <v>22</v>
      </c>
    </row>
    <row r="24" spans="1:15" x14ac:dyDescent="0.25">
      <c r="A24" s="61"/>
      <c r="B24" s="83"/>
      <c r="C24" s="40" t="s">
        <v>295</v>
      </c>
      <c r="D24" s="40"/>
      <c r="E24" s="13">
        <f t="shared" si="6"/>
        <v>23</v>
      </c>
      <c r="F24" s="13"/>
      <c r="G24" s="5"/>
      <c r="H24" s="13">
        <f>$O24</f>
        <v>23</v>
      </c>
      <c r="I24" s="13">
        <f t="shared" si="1"/>
        <v>23</v>
      </c>
      <c r="J24" s="13">
        <f t="shared" si="2"/>
        <v>23</v>
      </c>
      <c r="K24" s="13">
        <f t="shared" si="3"/>
        <v>23</v>
      </c>
      <c r="L24" s="13">
        <f t="shared" si="3"/>
        <v>23</v>
      </c>
      <c r="M24" s="11" t="s">
        <v>74</v>
      </c>
      <c r="N24" s="11" t="s">
        <v>72</v>
      </c>
      <c r="O24" s="13">
        <f t="shared" si="4"/>
        <v>23</v>
      </c>
    </row>
    <row r="25" spans="1:15" x14ac:dyDescent="0.25">
      <c r="A25" s="61"/>
      <c r="B25" s="83"/>
      <c r="C25" s="49" t="s">
        <v>348</v>
      </c>
      <c r="D25" s="40"/>
      <c r="E25" s="13">
        <f t="shared" si="6"/>
        <v>24</v>
      </c>
      <c r="F25" s="13"/>
      <c r="G25" s="5"/>
      <c r="H25" s="13">
        <f>$O25</f>
        <v>24</v>
      </c>
      <c r="I25" s="13">
        <f t="shared" si="1"/>
        <v>24</v>
      </c>
      <c r="J25" s="13">
        <f t="shared" si="2"/>
        <v>24</v>
      </c>
      <c r="K25" s="13">
        <f t="shared" si="3"/>
        <v>24</v>
      </c>
      <c r="L25" s="13">
        <f t="shared" si="3"/>
        <v>24</v>
      </c>
      <c r="M25" s="11" t="s">
        <v>74</v>
      </c>
      <c r="N25" s="11" t="s">
        <v>72</v>
      </c>
      <c r="O25" s="13">
        <f t="shared" si="4"/>
        <v>24</v>
      </c>
    </row>
    <row r="26" spans="1:15" x14ac:dyDescent="0.25">
      <c r="A26" s="61"/>
      <c r="B26" s="69" t="s">
        <v>5</v>
      </c>
      <c r="C26" s="26" t="s">
        <v>112</v>
      </c>
      <c r="D26" s="26"/>
      <c r="E26" s="13">
        <f t="shared" si="6"/>
        <v>25</v>
      </c>
      <c r="F26" s="13"/>
      <c r="G26" s="5"/>
      <c r="H26" s="5"/>
      <c r="I26" s="13" t="str">
        <f t="shared" si="1"/>
        <v/>
      </c>
      <c r="J26" s="13" t="str">
        <f t="shared" si="2"/>
        <v/>
      </c>
      <c r="K26" s="13" t="str">
        <f t="shared" si="3"/>
        <v/>
      </c>
      <c r="L26" s="13" t="str">
        <f t="shared" si="3"/>
        <v/>
      </c>
      <c r="M26" s="11" t="s">
        <v>75</v>
      </c>
      <c r="N26" s="11" t="s">
        <v>68</v>
      </c>
      <c r="O26" s="13">
        <f t="shared" si="4"/>
        <v>25</v>
      </c>
    </row>
    <row r="27" spans="1:15" x14ac:dyDescent="0.25">
      <c r="A27" s="61"/>
      <c r="B27" s="70"/>
      <c r="C27" s="26" t="s">
        <v>113</v>
      </c>
      <c r="D27" s="26"/>
      <c r="E27" s="13">
        <f t="shared" si="6"/>
        <v>26</v>
      </c>
      <c r="F27" s="13"/>
      <c r="G27" s="5"/>
      <c r="H27" s="5"/>
      <c r="I27" s="13" t="str">
        <f t="shared" si="1"/>
        <v/>
      </c>
      <c r="J27" s="13" t="str">
        <f t="shared" si="2"/>
        <v/>
      </c>
      <c r="K27" s="13" t="str">
        <f t="shared" si="3"/>
        <v/>
      </c>
      <c r="L27" s="13" t="str">
        <f t="shared" si="3"/>
        <v/>
      </c>
      <c r="M27" s="11" t="s">
        <v>75</v>
      </c>
      <c r="N27" s="11" t="s">
        <v>68</v>
      </c>
      <c r="O27" s="13">
        <f t="shared" si="4"/>
        <v>26</v>
      </c>
    </row>
    <row r="28" spans="1:15" x14ac:dyDescent="0.25">
      <c r="A28" s="61"/>
      <c r="B28" s="75"/>
      <c r="C28" s="49" t="s">
        <v>349</v>
      </c>
      <c r="D28" s="26"/>
      <c r="E28" s="13">
        <f t="shared" si="6"/>
        <v>27</v>
      </c>
      <c r="F28" s="13"/>
      <c r="G28" s="5"/>
      <c r="H28" s="5"/>
      <c r="I28" s="13" t="str">
        <f t="shared" si="1"/>
        <v/>
      </c>
      <c r="J28" s="13" t="str">
        <f t="shared" si="2"/>
        <v/>
      </c>
      <c r="K28" s="13" t="str">
        <f t="shared" si="3"/>
        <v/>
      </c>
      <c r="L28" s="13" t="str">
        <f t="shared" si="3"/>
        <v/>
      </c>
      <c r="M28" s="11" t="s">
        <v>75</v>
      </c>
      <c r="N28" s="11" t="s">
        <v>68</v>
      </c>
      <c r="O28" s="13">
        <f t="shared" si="4"/>
        <v>27</v>
      </c>
    </row>
    <row r="29" spans="1:15" x14ac:dyDescent="0.25">
      <c r="A29" s="61"/>
      <c r="B29" s="69" t="s">
        <v>8</v>
      </c>
      <c r="C29" s="26" t="s">
        <v>118</v>
      </c>
      <c r="D29" s="26"/>
      <c r="E29" s="13">
        <f t="shared" si="6"/>
        <v>28</v>
      </c>
      <c r="F29" s="13"/>
      <c r="G29" s="5"/>
      <c r="H29" s="5"/>
      <c r="I29" s="13" t="str">
        <f t="shared" si="1"/>
        <v/>
      </c>
      <c r="J29" s="13" t="str">
        <f t="shared" si="2"/>
        <v/>
      </c>
      <c r="K29" s="13" t="str">
        <f t="shared" si="3"/>
        <v/>
      </c>
      <c r="L29" s="13" t="str">
        <f t="shared" si="3"/>
        <v/>
      </c>
      <c r="M29" s="11" t="s">
        <v>75</v>
      </c>
      <c r="N29" s="11" t="s">
        <v>72</v>
      </c>
      <c r="O29" s="13">
        <f t="shared" si="4"/>
        <v>28</v>
      </c>
    </row>
    <row r="30" spans="1:15" x14ac:dyDescent="0.25">
      <c r="A30" s="61"/>
      <c r="B30" s="70"/>
      <c r="C30" s="26" t="s">
        <v>119</v>
      </c>
      <c r="D30" s="26"/>
      <c r="E30" s="13">
        <f t="shared" si="6"/>
        <v>29</v>
      </c>
      <c r="F30" s="13"/>
      <c r="G30" s="5"/>
      <c r="H30" s="5"/>
      <c r="I30" s="13" t="str">
        <f t="shared" si="1"/>
        <v/>
      </c>
      <c r="J30" s="13" t="str">
        <f t="shared" si="2"/>
        <v/>
      </c>
      <c r="K30" s="13" t="str">
        <f t="shared" si="3"/>
        <v/>
      </c>
      <c r="L30" s="13" t="str">
        <f t="shared" si="3"/>
        <v/>
      </c>
      <c r="M30" s="11" t="s">
        <v>75</v>
      </c>
      <c r="N30" s="11" t="s">
        <v>72</v>
      </c>
      <c r="O30" s="13">
        <f t="shared" si="4"/>
        <v>29</v>
      </c>
    </row>
    <row r="31" spans="1:15" x14ac:dyDescent="0.25">
      <c r="A31" s="61"/>
      <c r="B31" s="75"/>
      <c r="C31" s="49" t="s">
        <v>352</v>
      </c>
      <c r="D31" s="26"/>
      <c r="E31" s="13">
        <f t="shared" si="6"/>
        <v>30</v>
      </c>
      <c r="F31" s="13"/>
      <c r="G31" s="5"/>
      <c r="H31" s="5"/>
      <c r="I31" s="13" t="str">
        <f t="shared" si="1"/>
        <v/>
      </c>
      <c r="J31" s="13" t="str">
        <f t="shared" si="2"/>
        <v/>
      </c>
      <c r="K31" s="13" t="str">
        <f t="shared" si="3"/>
        <v/>
      </c>
      <c r="L31" s="13" t="str">
        <f t="shared" si="3"/>
        <v/>
      </c>
      <c r="M31" s="11" t="s">
        <v>75</v>
      </c>
      <c r="N31" s="11" t="s">
        <v>72</v>
      </c>
      <c r="O31" s="13">
        <f t="shared" si="4"/>
        <v>30</v>
      </c>
    </row>
    <row r="32" spans="1:15" x14ac:dyDescent="0.25">
      <c r="A32" s="61"/>
      <c r="B32" s="69" t="s">
        <v>6</v>
      </c>
      <c r="C32" s="26" t="s">
        <v>114</v>
      </c>
      <c r="D32" s="26"/>
      <c r="E32" s="13">
        <f t="shared" si="6"/>
        <v>31</v>
      </c>
      <c r="F32" s="13"/>
      <c r="G32" s="5"/>
      <c r="H32" s="5"/>
      <c r="I32" s="13" t="str">
        <f t="shared" si="1"/>
        <v/>
      </c>
      <c r="J32" s="13" t="str">
        <f t="shared" si="2"/>
        <v/>
      </c>
      <c r="K32" s="13" t="str">
        <f t="shared" si="3"/>
        <v/>
      </c>
      <c r="L32" s="13" t="str">
        <f t="shared" si="3"/>
        <v/>
      </c>
      <c r="M32" s="51" t="s">
        <v>363</v>
      </c>
      <c r="N32" s="11" t="s">
        <v>70</v>
      </c>
      <c r="O32" s="13">
        <f t="shared" si="4"/>
        <v>31</v>
      </c>
    </row>
    <row r="33" spans="1:15" x14ac:dyDescent="0.25">
      <c r="A33" s="61"/>
      <c r="B33" s="70"/>
      <c r="C33" s="26" t="s">
        <v>115</v>
      </c>
      <c r="D33" s="26"/>
      <c r="E33" s="13">
        <f t="shared" si="6"/>
        <v>32</v>
      </c>
      <c r="F33" s="13"/>
      <c r="G33" s="5"/>
      <c r="H33" s="5"/>
      <c r="I33" s="13" t="str">
        <f t="shared" si="1"/>
        <v/>
      </c>
      <c r="J33" s="13" t="str">
        <f t="shared" si="2"/>
        <v/>
      </c>
      <c r="K33" s="13" t="str">
        <f t="shared" si="3"/>
        <v/>
      </c>
      <c r="L33" s="13" t="str">
        <f t="shared" si="3"/>
        <v/>
      </c>
      <c r="M33" s="51" t="s">
        <v>363</v>
      </c>
      <c r="N33" s="11" t="s">
        <v>70</v>
      </c>
      <c r="O33" s="13">
        <f t="shared" si="4"/>
        <v>32</v>
      </c>
    </row>
    <row r="34" spans="1:15" x14ac:dyDescent="0.25">
      <c r="A34" s="61"/>
      <c r="B34" s="75"/>
      <c r="C34" s="49" t="s">
        <v>350</v>
      </c>
      <c r="D34" s="26"/>
      <c r="E34" s="13">
        <f t="shared" si="6"/>
        <v>33</v>
      </c>
      <c r="F34" s="13"/>
      <c r="G34" s="5"/>
      <c r="H34" s="5"/>
      <c r="I34" s="13" t="str">
        <f t="shared" si="1"/>
        <v/>
      </c>
      <c r="J34" s="13" t="str">
        <f t="shared" si="2"/>
        <v/>
      </c>
      <c r="K34" s="13" t="str">
        <f t="shared" si="3"/>
        <v/>
      </c>
      <c r="L34" s="13" t="str">
        <f t="shared" si="3"/>
        <v/>
      </c>
      <c r="M34" s="51" t="s">
        <v>363</v>
      </c>
      <c r="N34" s="11" t="s">
        <v>70</v>
      </c>
      <c r="O34" s="13">
        <f t="shared" si="4"/>
        <v>33</v>
      </c>
    </row>
    <row r="35" spans="1:15" x14ac:dyDescent="0.25">
      <c r="A35" s="61"/>
      <c r="B35" s="69" t="s">
        <v>7</v>
      </c>
      <c r="C35" s="26" t="s">
        <v>116</v>
      </c>
      <c r="D35" s="26"/>
      <c r="E35" s="13">
        <f t="shared" si="6"/>
        <v>34</v>
      </c>
      <c r="F35" s="13"/>
      <c r="G35" s="5"/>
      <c r="H35" s="5"/>
      <c r="I35" s="13" t="str">
        <f t="shared" si="1"/>
        <v/>
      </c>
      <c r="J35" s="13" t="str">
        <f t="shared" si="2"/>
        <v/>
      </c>
      <c r="K35" s="13" t="str">
        <f t="shared" si="3"/>
        <v/>
      </c>
      <c r="L35" s="13" t="str">
        <f t="shared" si="3"/>
        <v/>
      </c>
      <c r="M35" s="51" t="s">
        <v>363</v>
      </c>
      <c r="N35" s="11" t="s">
        <v>70</v>
      </c>
      <c r="O35" s="13">
        <f t="shared" si="4"/>
        <v>34</v>
      </c>
    </row>
    <row r="36" spans="1:15" x14ac:dyDescent="0.25">
      <c r="A36" s="61"/>
      <c r="B36" s="70"/>
      <c r="C36" s="26" t="s">
        <v>117</v>
      </c>
      <c r="D36" s="26"/>
      <c r="E36" s="13">
        <f t="shared" si="6"/>
        <v>35</v>
      </c>
      <c r="F36" s="13"/>
      <c r="G36" s="5"/>
      <c r="H36" s="5"/>
      <c r="I36" s="13" t="str">
        <f t="shared" si="1"/>
        <v/>
      </c>
      <c r="J36" s="13" t="str">
        <f t="shared" si="2"/>
        <v/>
      </c>
      <c r="K36" s="13" t="str">
        <f t="shared" si="3"/>
        <v/>
      </c>
      <c r="L36" s="13" t="str">
        <f t="shared" si="3"/>
        <v/>
      </c>
      <c r="M36" s="51" t="s">
        <v>363</v>
      </c>
      <c r="N36" s="11" t="s">
        <v>70</v>
      </c>
      <c r="O36" s="13">
        <f t="shared" si="4"/>
        <v>35</v>
      </c>
    </row>
    <row r="37" spans="1:15" x14ac:dyDescent="0.25">
      <c r="A37" s="61"/>
      <c r="B37" s="75"/>
      <c r="C37" s="49" t="s">
        <v>351</v>
      </c>
      <c r="D37" s="26"/>
      <c r="E37" s="13">
        <f t="shared" si="6"/>
        <v>36</v>
      </c>
      <c r="F37" s="13"/>
      <c r="G37" s="5"/>
      <c r="H37" s="5"/>
      <c r="I37" s="13" t="str">
        <f t="shared" si="1"/>
        <v/>
      </c>
      <c r="J37" s="13" t="str">
        <f t="shared" si="2"/>
        <v/>
      </c>
      <c r="K37" s="13" t="str">
        <f t="shared" si="3"/>
        <v/>
      </c>
      <c r="L37" s="13" t="str">
        <f t="shared" si="3"/>
        <v/>
      </c>
      <c r="M37" s="51" t="s">
        <v>363</v>
      </c>
      <c r="N37" s="11" t="s">
        <v>70</v>
      </c>
      <c r="O37" s="13">
        <f t="shared" si="4"/>
        <v>36</v>
      </c>
    </row>
    <row r="38" spans="1:15" x14ac:dyDescent="0.25">
      <c r="A38" s="61"/>
      <c r="B38" s="69" t="s">
        <v>49</v>
      </c>
      <c r="C38" s="26" t="s">
        <v>120</v>
      </c>
      <c r="D38" s="26"/>
      <c r="E38" s="13">
        <f t="shared" si="6"/>
        <v>37</v>
      </c>
      <c r="F38" s="13"/>
      <c r="G38" s="5"/>
      <c r="H38" s="5"/>
      <c r="I38" s="13" t="str">
        <f t="shared" si="1"/>
        <v/>
      </c>
      <c r="J38" s="13" t="str">
        <f t="shared" si="2"/>
        <v/>
      </c>
      <c r="K38" s="13" t="str">
        <f t="shared" si="3"/>
        <v/>
      </c>
      <c r="L38" s="13" t="str">
        <f t="shared" si="3"/>
        <v/>
      </c>
      <c r="M38" s="51" t="s">
        <v>363</v>
      </c>
      <c r="N38" s="11" t="s">
        <v>70</v>
      </c>
      <c r="O38" s="13">
        <f t="shared" si="4"/>
        <v>37</v>
      </c>
    </row>
    <row r="39" spans="1:15" x14ac:dyDescent="0.25">
      <c r="A39" s="61"/>
      <c r="B39" s="70"/>
      <c r="C39" s="26" t="s">
        <v>121</v>
      </c>
      <c r="D39" s="26"/>
      <c r="E39" s="13">
        <f t="shared" si="6"/>
        <v>38</v>
      </c>
      <c r="F39" s="13"/>
      <c r="G39" s="5"/>
      <c r="H39" s="5"/>
      <c r="I39" s="13" t="str">
        <f t="shared" si="1"/>
        <v/>
      </c>
      <c r="J39" s="13" t="str">
        <f t="shared" si="2"/>
        <v/>
      </c>
      <c r="K39" s="13" t="str">
        <f t="shared" si="3"/>
        <v/>
      </c>
      <c r="L39" s="13" t="str">
        <f t="shared" si="3"/>
        <v/>
      </c>
      <c r="M39" s="51" t="s">
        <v>363</v>
      </c>
      <c r="N39" s="11" t="s">
        <v>70</v>
      </c>
      <c r="O39" s="13">
        <f t="shared" si="4"/>
        <v>38</v>
      </c>
    </row>
    <row r="40" spans="1:15" x14ac:dyDescent="0.25">
      <c r="A40" s="61"/>
      <c r="B40" s="75"/>
      <c r="C40" s="49" t="s">
        <v>353</v>
      </c>
      <c r="D40" s="26"/>
      <c r="E40" s="13">
        <f t="shared" si="6"/>
        <v>39</v>
      </c>
      <c r="F40" s="13"/>
      <c r="G40" s="5"/>
      <c r="H40" s="5"/>
      <c r="I40" s="13" t="str">
        <f t="shared" si="1"/>
        <v/>
      </c>
      <c r="J40" s="13" t="str">
        <f t="shared" si="2"/>
        <v/>
      </c>
      <c r="K40" s="13" t="str">
        <f t="shared" si="3"/>
        <v/>
      </c>
      <c r="L40" s="13" t="str">
        <f t="shared" si="3"/>
        <v/>
      </c>
      <c r="M40" s="51" t="s">
        <v>363</v>
      </c>
      <c r="N40" s="11" t="s">
        <v>70</v>
      </c>
      <c r="O40" s="13">
        <f t="shared" si="4"/>
        <v>39</v>
      </c>
    </row>
    <row r="41" spans="1:15" x14ac:dyDescent="0.25">
      <c r="A41" s="61"/>
      <c r="B41" s="84" t="s">
        <v>64</v>
      </c>
      <c r="C41" s="52" t="s">
        <v>110</v>
      </c>
      <c r="D41" s="41"/>
      <c r="E41" s="13">
        <f t="shared" si="6"/>
        <v>40</v>
      </c>
      <c r="F41" s="13"/>
      <c r="G41" s="5"/>
      <c r="H41" s="5"/>
      <c r="I41" s="13" t="str">
        <f t="shared" si="1"/>
        <v/>
      </c>
      <c r="J41" s="13" t="str">
        <f t="shared" si="2"/>
        <v/>
      </c>
      <c r="K41" s="13" t="str">
        <f t="shared" si="3"/>
        <v/>
      </c>
      <c r="L41" s="13" t="str">
        <f t="shared" si="3"/>
        <v/>
      </c>
      <c r="M41" s="51" t="s">
        <v>363</v>
      </c>
      <c r="N41" s="11" t="s">
        <v>70</v>
      </c>
      <c r="O41" s="13">
        <f t="shared" si="4"/>
        <v>40</v>
      </c>
    </row>
    <row r="42" spans="1:15" x14ac:dyDescent="0.25">
      <c r="A42" s="61"/>
      <c r="B42" s="85"/>
      <c r="C42" s="52" t="s">
        <v>111</v>
      </c>
      <c r="D42" s="41"/>
      <c r="E42" s="13">
        <f t="shared" si="6"/>
        <v>41</v>
      </c>
      <c r="F42" s="13"/>
      <c r="G42" s="5"/>
      <c r="H42" s="5"/>
      <c r="I42" s="13" t="str">
        <f t="shared" si="1"/>
        <v/>
      </c>
      <c r="J42" s="13" t="str">
        <f t="shared" si="2"/>
        <v/>
      </c>
      <c r="K42" s="13" t="str">
        <f t="shared" si="3"/>
        <v/>
      </c>
      <c r="L42" s="13" t="str">
        <f t="shared" si="3"/>
        <v/>
      </c>
      <c r="M42" s="51" t="s">
        <v>363</v>
      </c>
      <c r="N42" s="11" t="s">
        <v>70</v>
      </c>
      <c r="O42" s="13">
        <f t="shared" si="4"/>
        <v>41</v>
      </c>
    </row>
    <row r="43" spans="1:15" x14ac:dyDescent="0.25">
      <c r="A43" s="62"/>
      <c r="B43" s="86"/>
      <c r="C43" s="49" t="s">
        <v>354</v>
      </c>
      <c r="D43" s="41"/>
      <c r="E43" s="13">
        <f t="shared" si="6"/>
        <v>42</v>
      </c>
      <c r="F43" s="13"/>
      <c r="G43" s="5"/>
      <c r="H43" s="5"/>
      <c r="I43" s="13" t="str">
        <f t="shared" si="1"/>
        <v/>
      </c>
      <c r="J43" s="13" t="str">
        <f t="shared" si="2"/>
        <v/>
      </c>
      <c r="K43" s="13" t="str">
        <f t="shared" si="3"/>
        <v/>
      </c>
      <c r="L43" s="13" t="str">
        <f t="shared" si="3"/>
        <v/>
      </c>
      <c r="M43" s="51" t="s">
        <v>363</v>
      </c>
      <c r="N43" s="11" t="s">
        <v>70</v>
      </c>
      <c r="O43" s="13">
        <f t="shared" si="4"/>
        <v>42</v>
      </c>
    </row>
    <row r="44" spans="1:15" x14ac:dyDescent="0.25">
      <c r="A44" s="60" t="s">
        <v>122</v>
      </c>
      <c r="B44" s="69" t="s">
        <v>9</v>
      </c>
      <c r="C44" s="26" t="s">
        <v>123</v>
      </c>
      <c r="D44" s="26"/>
      <c r="E44" s="13">
        <f t="shared" si="6"/>
        <v>43</v>
      </c>
      <c r="F44" s="13">
        <f>$O44</f>
        <v>43</v>
      </c>
      <c r="G44" s="13">
        <f>$O44</f>
        <v>43</v>
      </c>
      <c r="H44" s="5"/>
      <c r="I44" s="13">
        <f t="shared" si="1"/>
        <v>43</v>
      </c>
      <c r="J44" s="13">
        <f t="shared" si="2"/>
        <v>43</v>
      </c>
      <c r="K44" s="13">
        <f t="shared" si="3"/>
        <v>43</v>
      </c>
      <c r="L44" s="13">
        <f t="shared" si="3"/>
        <v>43</v>
      </c>
      <c r="M44" s="11" t="s">
        <v>73</v>
      </c>
      <c r="N44" s="11" t="s">
        <v>72</v>
      </c>
      <c r="O44" s="13">
        <f t="shared" si="4"/>
        <v>43</v>
      </c>
    </row>
    <row r="45" spans="1:15" x14ac:dyDescent="0.25">
      <c r="A45" s="61"/>
      <c r="B45" s="75"/>
      <c r="C45" s="26" t="s">
        <v>124</v>
      </c>
      <c r="D45" s="26"/>
      <c r="E45" s="13">
        <f t="shared" ref="E45:H90" si="7">$O45</f>
        <v>44</v>
      </c>
      <c r="F45" s="13">
        <f>$O45</f>
        <v>44</v>
      </c>
      <c r="G45" s="13">
        <f>$O45</f>
        <v>44</v>
      </c>
      <c r="H45" s="5"/>
      <c r="I45" s="13">
        <f t="shared" si="1"/>
        <v>44</v>
      </c>
      <c r="J45" s="13">
        <f t="shared" si="2"/>
        <v>44</v>
      </c>
      <c r="K45" s="13">
        <f t="shared" si="3"/>
        <v>44</v>
      </c>
      <c r="L45" s="13">
        <f t="shared" si="3"/>
        <v>44</v>
      </c>
      <c r="M45" s="11" t="s">
        <v>73</v>
      </c>
      <c r="N45" s="11" t="s">
        <v>72</v>
      </c>
      <c r="O45" s="13">
        <f t="shared" si="4"/>
        <v>44</v>
      </c>
    </row>
    <row r="46" spans="1:15" x14ac:dyDescent="0.25">
      <c r="A46" s="61"/>
      <c r="B46" s="69" t="s">
        <v>10</v>
      </c>
      <c r="C46" s="26" t="s">
        <v>127</v>
      </c>
      <c r="D46" s="26"/>
      <c r="E46" s="13">
        <f>$O46</f>
        <v>45</v>
      </c>
      <c r="F46" s="13"/>
      <c r="G46" s="5"/>
      <c r="H46" s="5"/>
      <c r="I46" s="13" t="str">
        <f>IF(COUNT(G46:H46)&gt;0,$O46,"")</f>
        <v/>
      </c>
      <c r="J46" s="13" t="str">
        <f>IF(COUNT(H46,F46)&gt;0,$O46,"")</f>
        <v/>
      </c>
      <c r="K46" s="13" t="str">
        <f>IF(ISNUMBER(I46),I46,"")</f>
        <v/>
      </c>
      <c r="L46" s="13" t="str">
        <f>IF(ISNUMBER(J46),J46,"")</f>
        <v/>
      </c>
      <c r="M46" s="11" t="s">
        <v>75</v>
      </c>
      <c r="N46" s="11" t="s">
        <v>68</v>
      </c>
      <c r="O46" s="13">
        <f t="shared" si="4"/>
        <v>45</v>
      </c>
    </row>
    <row r="47" spans="1:15" x14ac:dyDescent="0.25">
      <c r="A47" s="61"/>
      <c r="B47" s="75"/>
      <c r="C47" s="26" t="s">
        <v>128</v>
      </c>
      <c r="D47" s="26"/>
      <c r="E47" s="13">
        <f>$O47</f>
        <v>46</v>
      </c>
      <c r="F47" s="13"/>
      <c r="G47" s="5"/>
      <c r="H47" s="5"/>
      <c r="I47" s="13" t="str">
        <f>IF(COUNT(G47:H47)&gt;0,$O47,"")</f>
        <v/>
      </c>
      <c r="J47" s="13" t="str">
        <f>IF(COUNT(H47,F47)&gt;0,$O47,"")</f>
        <v/>
      </c>
      <c r="K47" s="13" t="str">
        <f>IF(ISNUMBER(I47),I47,"")</f>
        <v/>
      </c>
      <c r="L47" s="13" t="str">
        <f>IF(ISNUMBER(J47),J47,"")</f>
        <v/>
      </c>
      <c r="M47" s="11" t="s">
        <v>75</v>
      </c>
      <c r="N47" s="11" t="s">
        <v>68</v>
      </c>
      <c r="O47" s="13">
        <f t="shared" si="4"/>
        <v>46</v>
      </c>
    </row>
    <row r="48" spans="1:15" x14ac:dyDescent="0.25">
      <c r="A48" s="61"/>
      <c r="B48" s="69" t="s">
        <v>11</v>
      </c>
      <c r="C48" s="26" t="s">
        <v>125</v>
      </c>
      <c r="D48" s="26"/>
      <c r="E48" s="13"/>
      <c r="F48" s="13"/>
      <c r="G48" s="5"/>
      <c r="H48" s="13">
        <f>$O48</f>
        <v>47</v>
      </c>
      <c r="I48" s="13">
        <f t="shared" si="1"/>
        <v>47</v>
      </c>
      <c r="J48" s="13">
        <f t="shared" si="2"/>
        <v>47</v>
      </c>
      <c r="K48" s="13">
        <f t="shared" si="3"/>
        <v>47</v>
      </c>
      <c r="L48" s="13">
        <f t="shared" si="3"/>
        <v>47</v>
      </c>
      <c r="M48" s="51" t="s">
        <v>366</v>
      </c>
      <c r="N48" s="11" t="s">
        <v>70</v>
      </c>
      <c r="O48" s="13">
        <f t="shared" si="4"/>
        <v>47</v>
      </c>
    </row>
    <row r="49" spans="1:15" x14ac:dyDescent="0.25">
      <c r="A49" s="62"/>
      <c r="B49" s="75"/>
      <c r="C49" s="26" t="s">
        <v>126</v>
      </c>
      <c r="D49" s="26"/>
      <c r="E49" s="13"/>
      <c r="F49" s="13"/>
      <c r="G49" s="5"/>
      <c r="H49" s="13">
        <f>$O49</f>
        <v>48</v>
      </c>
      <c r="I49" s="13">
        <f t="shared" si="1"/>
        <v>48</v>
      </c>
      <c r="J49" s="13">
        <f t="shared" si="2"/>
        <v>48</v>
      </c>
      <c r="K49" s="13">
        <f t="shared" si="3"/>
        <v>48</v>
      </c>
      <c r="L49" s="13">
        <f t="shared" si="3"/>
        <v>48</v>
      </c>
      <c r="M49" s="51" t="s">
        <v>366</v>
      </c>
      <c r="N49" s="11" t="s">
        <v>70</v>
      </c>
      <c r="O49" s="13">
        <f t="shared" si="4"/>
        <v>48</v>
      </c>
    </row>
    <row r="50" spans="1:15" x14ac:dyDescent="0.25">
      <c r="A50" s="60" t="s">
        <v>129</v>
      </c>
      <c r="B50" s="65" t="s">
        <v>12</v>
      </c>
      <c r="C50" s="26" t="s">
        <v>130</v>
      </c>
      <c r="D50" s="26"/>
      <c r="E50" s="13">
        <f t="shared" si="7"/>
        <v>49</v>
      </c>
      <c r="F50" s="13"/>
      <c r="G50" s="13"/>
      <c r="H50" s="13">
        <f>$O50</f>
        <v>49</v>
      </c>
      <c r="I50" s="13">
        <v>54</v>
      </c>
      <c r="J50" s="13">
        <f t="shared" si="2"/>
        <v>49</v>
      </c>
      <c r="K50" s="13">
        <f t="shared" si="3"/>
        <v>54</v>
      </c>
      <c r="L50" s="13">
        <f t="shared" si="3"/>
        <v>49</v>
      </c>
      <c r="M50" s="11" t="s">
        <v>73</v>
      </c>
      <c r="N50" s="11" t="s">
        <v>72</v>
      </c>
      <c r="O50" s="13">
        <f t="shared" si="4"/>
        <v>49</v>
      </c>
    </row>
    <row r="51" spans="1:15" x14ac:dyDescent="0.25">
      <c r="A51" s="61"/>
      <c r="B51" s="66"/>
      <c r="C51" s="26" t="s">
        <v>131</v>
      </c>
      <c r="D51" s="26"/>
      <c r="E51" s="13">
        <f t="shared" si="7"/>
        <v>50</v>
      </c>
      <c r="F51" s="13">
        <f>$O51</f>
        <v>50</v>
      </c>
      <c r="G51" s="13"/>
      <c r="H51" s="13">
        <f>$O51</f>
        <v>50</v>
      </c>
      <c r="I51" s="13">
        <v>55</v>
      </c>
      <c r="J51" s="13">
        <f t="shared" si="2"/>
        <v>50</v>
      </c>
      <c r="K51" s="13">
        <f t="shared" si="3"/>
        <v>55</v>
      </c>
      <c r="L51" s="13">
        <f t="shared" si="3"/>
        <v>50</v>
      </c>
      <c r="M51" s="11" t="s">
        <v>73</v>
      </c>
      <c r="N51" s="11" t="s">
        <v>72</v>
      </c>
      <c r="O51" s="13">
        <f t="shared" si="4"/>
        <v>50</v>
      </c>
    </row>
    <row r="52" spans="1:15" x14ac:dyDescent="0.25">
      <c r="A52" s="61"/>
      <c r="B52" s="67"/>
      <c r="C52" s="26" t="s">
        <v>261</v>
      </c>
      <c r="D52" s="13" t="s">
        <v>344</v>
      </c>
      <c r="E52" s="13">
        <f t="shared" si="7"/>
        <v>51</v>
      </c>
      <c r="F52" s="13"/>
      <c r="G52" s="13"/>
      <c r="H52" s="5"/>
      <c r="I52" s="13"/>
      <c r="J52" s="13"/>
      <c r="K52" s="13"/>
      <c r="L52" s="13"/>
      <c r="M52" s="11"/>
      <c r="N52" s="11" t="s">
        <v>72</v>
      </c>
      <c r="O52" s="13">
        <f t="shared" si="4"/>
        <v>51</v>
      </c>
    </row>
    <row r="53" spans="1:15" x14ac:dyDescent="0.25">
      <c r="A53" s="61"/>
      <c r="B53" s="65" t="s">
        <v>65</v>
      </c>
      <c r="C53" s="26" t="s">
        <v>132</v>
      </c>
      <c r="D53" s="13"/>
      <c r="E53" s="13">
        <f t="shared" si="7"/>
        <v>52</v>
      </c>
      <c r="F53" s="13"/>
      <c r="G53" s="13"/>
      <c r="H53" s="13">
        <f t="shared" si="7"/>
        <v>52</v>
      </c>
      <c r="I53" s="13">
        <f t="shared" ref="I53:L54" si="8">IF(COUNT(G53:H53)&gt;0,$O53,"")</f>
        <v>52</v>
      </c>
      <c r="J53" s="13">
        <f t="shared" si="8"/>
        <v>52</v>
      </c>
      <c r="K53" s="13">
        <f t="shared" si="8"/>
        <v>52</v>
      </c>
      <c r="L53" s="13">
        <f t="shared" si="8"/>
        <v>52</v>
      </c>
      <c r="M53" s="11" t="s">
        <v>74</v>
      </c>
      <c r="N53" s="11" t="s">
        <v>68</v>
      </c>
      <c r="O53" s="13">
        <f t="shared" si="4"/>
        <v>52</v>
      </c>
    </row>
    <row r="54" spans="1:15" x14ac:dyDescent="0.25">
      <c r="A54" s="61"/>
      <c r="B54" s="66"/>
      <c r="C54" s="26" t="s">
        <v>133</v>
      </c>
      <c r="D54" s="13"/>
      <c r="E54" s="13">
        <f t="shared" si="7"/>
        <v>53</v>
      </c>
      <c r="F54" s="13"/>
      <c r="G54" s="5"/>
      <c r="H54" s="13">
        <f t="shared" si="7"/>
        <v>53</v>
      </c>
      <c r="I54" s="13">
        <f t="shared" si="8"/>
        <v>53</v>
      </c>
      <c r="J54" s="13">
        <f t="shared" si="8"/>
        <v>53</v>
      </c>
      <c r="K54" s="13">
        <f t="shared" si="8"/>
        <v>53</v>
      </c>
      <c r="L54" s="13">
        <f t="shared" si="8"/>
        <v>53</v>
      </c>
      <c r="M54" s="11" t="s">
        <v>74</v>
      </c>
      <c r="N54" s="11" t="s">
        <v>68</v>
      </c>
      <c r="O54" s="13">
        <f t="shared" si="4"/>
        <v>53</v>
      </c>
    </row>
    <row r="55" spans="1:15" x14ac:dyDescent="0.25">
      <c r="A55" s="61"/>
      <c r="B55" s="67"/>
      <c r="C55" s="26" t="s">
        <v>262</v>
      </c>
      <c r="D55" s="13" t="s">
        <v>344</v>
      </c>
      <c r="E55" s="13">
        <f t="shared" si="7"/>
        <v>54</v>
      </c>
      <c r="F55" s="13"/>
      <c r="G55" s="5"/>
      <c r="H55" s="13"/>
      <c r="I55" s="13"/>
      <c r="J55" s="13"/>
      <c r="K55" s="13"/>
      <c r="L55" s="13"/>
      <c r="M55" s="11"/>
      <c r="N55" s="11" t="s">
        <v>72</v>
      </c>
      <c r="O55" s="13">
        <f t="shared" si="4"/>
        <v>54</v>
      </c>
    </row>
    <row r="56" spans="1:15" x14ac:dyDescent="0.25">
      <c r="A56" s="61"/>
      <c r="B56" s="79" t="s">
        <v>296</v>
      </c>
      <c r="C56" s="41" t="s">
        <v>297</v>
      </c>
      <c r="D56" s="13"/>
      <c r="E56" s="13">
        <f t="shared" si="7"/>
        <v>55</v>
      </c>
      <c r="F56" s="13"/>
      <c r="G56" s="13"/>
      <c r="H56" s="13">
        <f t="shared" si="7"/>
        <v>55</v>
      </c>
      <c r="I56" s="13">
        <f t="shared" ref="I56:L57" si="9">IF(COUNT(G56:H56)&gt;0,$O56,"")</f>
        <v>55</v>
      </c>
      <c r="J56" s="13">
        <f t="shared" si="9"/>
        <v>55</v>
      </c>
      <c r="K56" s="13">
        <f t="shared" si="9"/>
        <v>55</v>
      </c>
      <c r="L56" s="13">
        <f t="shared" si="9"/>
        <v>55</v>
      </c>
      <c r="M56" s="43" t="s">
        <v>307</v>
      </c>
      <c r="N56" s="11" t="s">
        <v>364</v>
      </c>
      <c r="O56" s="13">
        <f t="shared" si="4"/>
        <v>55</v>
      </c>
    </row>
    <row r="57" spans="1:15" x14ac:dyDescent="0.25">
      <c r="A57" s="61"/>
      <c r="B57" s="80"/>
      <c r="C57" s="41" t="s">
        <v>298</v>
      </c>
      <c r="D57" s="13"/>
      <c r="E57" s="13">
        <f t="shared" si="7"/>
        <v>56</v>
      </c>
      <c r="F57" s="13"/>
      <c r="G57" s="5"/>
      <c r="H57" s="13">
        <f t="shared" si="7"/>
        <v>56</v>
      </c>
      <c r="I57" s="13">
        <f t="shared" si="9"/>
        <v>56</v>
      </c>
      <c r="J57" s="13">
        <f t="shared" si="9"/>
        <v>56</v>
      </c>
      <c r="K57" s="13">
        <f t="shared" si="9"/>
        <v>56</v>
      </c>
      <c r="L57" s="13">
        <f t="shared" si="9"/>
        <v>56</v>
      </c>
      <c r="M57" s="43" t="s">
        <v>307</v>
      </c>
      <c r="N57" s="11" t="s">
        <v>364</v>
      </c>
      <c r="O57" s="13">
        <f t="shared" si="4"/>
        <v>56</v>
      </c>
    </row>
    <row r="58" spans="1:15" x14ac:dyDescent="0.25">
      <c r="A58" s="61"/>
      <c r="B58" s="81"/>
      <c r="C58" s="52" t="s">
        <v>299</v>
      </c>
      <c r="D58" s="13" t="s">
        <v>344</v>
      </c>
      <c r="E58" s="13">
        <f t="shared" si="7"/>
        <v>57</v>
      </c>
      <c r="F58" s="13"/>
      <c r="G58" s="5"/>
      <c r="H58" s="13"/>
      <c r="I58" s="13"/>
      <c r="J58" s="13"/>
      <c r="K58" s="13"/>
      <c r="L58" s="13"/>
      <c r="M58" s="11"/>
      <c r="N58" s="11" t="s">
        <v>72</v>
      </c>
      <c r="O58" s="13">
        <f t="shared" si="4"/>
        <v>57</v>
      </c>
    </row>
    <row r="59" spans="1:15" x14ac:dyDescent="0.25">
      <c r="A59" s="61"/>
      <c r="B59" s="65" t="s">
        <v>14</v>
      </c>
      <c r="C59" s="26" t="s">
        <v>136</v>
      </c>
      <c r="D59" s="13"/>
      <c r="E59" s="13">
        <f t="shared" si="7"/>
        <v>58</v>
      </c>
      <c r="F59" s="13"/>
      <c r="G59" s="5"/>
      <c r="H59" s="5"/>
      <c r="I59" s="13" t="str">
        <f t="shared" si="1"/>
        <v/>
      </c>
      <c r="J59" s="13" t="str">
        <f t="shared" si="2"/>
        <v/>
      </c>
      <c r="K59" s="13" t="str">
        <f t="shared" si="3"/>
        <v/>
      </c>
      <c r="L59" s="13" t="str">
        <f t="shared" si="3"/>
        <v/>
      </c>
      <c r="M59" s="11" t="s">
        <v>75</v>
      </c>
      <c r="N59" s="11" t="s">
        <v>68</v>
      </c>
      <c r="O59" s="13">
        <f t="shared" si="4"/>
        <v>58</v>
      </c>
    </row>
    <row r="60" spans="1:15" x14ac:dyDescent="0.25">
      <c r="A60" s="61"/>
      <c r="B60" s="66"/>
      <c r="C60" s="26" t="s">
        <v>137</v>
      </c>
      <c r="D60" s="13"/>
      <c r="E60" s="13">
        <f t="shared" si="7"/>
        <v>59</v>
      </c>
      <c r="F60" s="13"/>
      <c r="G60" s="5"/>
      <c r="H60" s="5"/>
      <c r="I60" s="13" t="str">
        <f t="shared" si="1"/>
        <v/>
      </c>
      <c r="J60" s="13" t="str">
        <f t="shared" si="2"/>
        <v/>
      </c>
      <c r="K60" s="13" t="str">
        <f t="shared" si="3"/>
        <v/>
      </c>
      <c r="L60" s="13" t="str">
        <f t="shared" si="3"/>
        <v/>
      </c>
      <c r="M60" s="11" t="s">
        <v>75</v>
      </c>
      <c r="N60" s="11" t="s">
        <v>68</v>
      </c>
      <c r="O60" s="13">
        <f t="shared" si="4"/>
        <v>59</v>
      </c>
    </row>
    <row r="61" spans="1:15" x14ac:dyDescent="0.25">
      <c r="A61" s="61"/>
      <c r="B61" s="67"/>
      <c r="C61" s="26" t="s">
        <v>264</v>
      </c>
      <c r="D61" s="13" t="s">
        <v>344</v>
      </c>
      <c r="E61" s="13">
        <f t="shared" si="7"/>
        <v>60</v>
      </c>
      <c r="F61" s="13"/>
      <c r="G61" s="5"/>
      <c r="H61" s="5"/>
      <c r="I61" s="13"/>
      <c r="J61" s="13"/>
      <c r="K61" s="13"/>
      <c r="L61" s="13"/>
      <c r="M61" s="11"/>
      <c r="N61" s="11" t="s">
        <v>72</v>
      </c>
      <c r="O61" s="13">
        <f t="shared" si="4"/>
        <v>60</v>
      </c>
    </row>
    <row r="62" spans="1:15" x14ac:dyDescent="0.25">
      <c r="A62" s="61"/>
      <c r="B62" s="65" t="s">
        <v>18</v>
      </c>
      <c r="C62" s="26" t="s">
        <v>144</v>
      </c>
      <c r="D62" s="13"/>
      <c r="E62" s="13">
        <f t="shared" si="7"/>
        <v>61</v>
      </c>
      <c r="F62" s="13"/>
      <c r="G62" s="5"/>
      <c r="H62" s="5"/>
      <c r="I62" s="13" t="str">
        <f t="shared" si="1"/>
        <v/>
      </c>
      <c r="J62" s="13" t="str">
        <f t="shared" si="2"/>
        <v/>
      </c>
      <c r="K62" s="13" t="str">
        <f t="shared" ref="K62:L87" si="10">IF(ISNUMBER(I62),I62,"")</f>
        <v/>
      </c>
      <c r="L62" s="13" t="str">
        <f t="shared" si="10"/>
        <v/>
      </c>
      <c r="M62" s="11" t="s">
        <v>75</v>
      </c>
      <c r="N62" s="11" t="s">
        <v>364</v>
      </c>
      <c r="O62" s="13">
        <f t="shared" si="4"/>
        <v>61</v>
      </c>
    </row>
    <row r="63" spans="1:15" x14ac:dyDescent="0.25">
      <c r="A63" s="61"/>
      <c r="B63" s="66"/>
      <c r="C63" s="26" t="s">
        <v>145</v>
      </c>
      <c r="D63" s="13"/>
      <c r="E63" s="13">
        <f t="shared" si="7"/>
        <v>62</v>
      </c>
      <c r="F63" s="13"/>
      <c r="G63" s="5"/>
      <c r="H63" s="5"/>
      <c r="I63" s="13" t="str">
        <f t="shared" si="1"/>
        <v/>
      </c>
      <c r="J63" s="13" t="str">
        <f t="shared" si="2"/>
        <v/>
      </c>
      <c r="K63" s="13" t="str">
        <f t="shared" si="10"/>
        <v/>
      </c>
      <c r="L63" s="13" t="str">
        <f t="shared" si="10"/>
        <v/>
      </c>
      <c r="M63" s="11" t="s">
        <v>75</v>
      </c>
      <c r="N63" s="11" t="s">
        <v>364</v>
      </c>
      <c r="O63" s="13">
        <f t="shared" si="4"/>
        <v>62</v>
      </c>
    </row>
    <row r="64" spans="1:15" x14ac:dyDescent="0.25">
      <c r="A64" s="61"/>
      <c r="B64" s="67"/>
      <c r="C64" s="26" t="s">
        <v>268</v>
      </c>
      <c r="D64" s="13" t="s">
        <v>344</v>
      </c>
      <c r="E64" s="13">
        <f t="shared" si="7"/>
        <v>63</v>
      </c>
      <c r="F64" s="13"/>
      <c r="G64" s="5"/>
      <c r="H64" s="5"/>
      <c r="I64" s="13"/>
      <c r="J64" s="13"/>
      <c r="K64" s="13"/>
      <c r="L64" s="13"/>
      <c r="M64" s="11"/>
      <c r="N64" s="11" t="s">
        <v>364</v>
      </c>
      <c r="O64" s="13">
        <f t="shared" si="4"/>
        <v>63</v>
      </c>
    </row>
    <row r="65" spans="1:15" x14ac:dyDescent="0.25">
      <c r="A65" s="61"/>
      <c r="B65" s="65" t="s">
        <v>13</v>
      </c>
      <c r="C65" s="26" t="s">
        <v>134</v>
      </c>
      <c r="D65" s="13"/>
      <c r="E65" s="13">
        <f t="shared" si="7"/>
        <v>64</v>
      </c>
      <c r="F65" s="13"/>
      <c r="G65" s="5"/>
      <c r="H65" s="5"/>
      <c r="I65" s="13" t="str">
        <f>IF(COUNT(G65:H65)&gt;0,$O65,"")</f>
        <v/>
      </c>
      <c r="J65" s="13" t="str">
        <f>IF(COUNT(H65,F65)&gt;0,$O65,"")</f>
        <v/>
      </c>
      <c r="K65" s="13" t="str">
        <f>IF(ISNUMBER(I65),I65,"")</f>
        <v/>
      </c>
      <c r="L65" s="13" t="str">
        <f>IF(ISNUMBER(J65),J65,"")</f>
        <v/>
      </c>
      <c r="M65" s="51" t="s">
        <v>363</v>
      </c>
      <c r="N65" s="11" t="s">
        <v>70</v>
      </c>
      <c r="O65" s="13">
        <f t="shared" si="4"/>
        <v>64</v>
      </c>
    </row>
    <row r="66" spans="1:15" x14ac:dyDescent="0.25">
      <c r="A66" s="61"/>
      <c r="B66" s="66"/>
      <c r="C66" s="26" t="s">
        <v>135</v>
      </c>
      <c r="D66" s="13"/>
      <c r="E66" s="13">
        <f t="shared" si="7"/>
        <v>65</v>
      </c>
      <c r="F66" s="13"/>
      <c r="G66" s="5"/>
      <c r="H66" s="5"/>
      <c r="I66" s="13" t="str">
        <f>IF(COUNT(G66:H66)&gt;0,$O66,"")</f>
        <v/>
      </c>
      <c r="J66" s="13" t="str">
        <f>IF(COUNT(H66,F66)&gt;0,$O66,"")</f>
        <v/>
      </c>
      <c r="K66" s="13" t="str">
        <f>IF(ISNUMBER(I66),I66,"")</f>
        <v/>
      </c>
      <c r="L66" s="13" t="str">
        <f>IF(ISNUMBER(J66),J66,"")</f>
        <v/>
      </c>
      <c r="M66" s="51" t="s">
        <v>363</v>
      </c>
      <c r="N66" s="11" t="s">
        <v>70</v>
      </c>
      <c r="O66" s="13">
        <f t="shared" si="4"/>
        <v>65</v>
      </c>
    </row>
    <row r="67" spans="1:15" x14ac:dyDescent="0.25">
      <c r="A67" s="61"/>
      <c r="B67" s="67"/>
      <c r="C67" s="26" t="s">
        <v>263</v>
      </c>
      <c r="D67" s="13" t="s">
        <v>344</v>
      </c>
      <c r="E67" s="13">
        <f t="shared" si="7"/>
        <v>66</v>
      </c>
      <c r="F67" s="13"/>
      <c r="G67" s="5"/>
      <c r="H67" s="5"/>
      <c r="I67" s="13"/>
      <c r="J67" s="13"/>
      <c r="K67" s="13"/>
      <c r="L67" s="13"/>
      <c r="M67" s="51" t="s">
        <v>363</v>
      </c>
      <c r="N67" s="11" t="s">
        <v>364</v>
      </c>
      <c r="O67" s="13">
        <f t="shared" si="4"/>
        <v>66</v>
      </c>
    </row>
    <row r="68" spans="1:15" x14ac:dyDescent="0.25">
      <c r="A68" s="61"/>
      <c r="B68" s="65" t="s">
        <v>15</v>
      </c>
      <c r="C68" s="26" t="s">
        <v>138</v>
      </c>
      <c r="D68" s="13"/>
      <c r="E68" s="13">
        <f t="shared" si="7"/>
        <v>67</v>
      </c>
      <c r="F68" s="13"/>
      <c r="G68" s="5"/>
      <c r="H68" s="5"/>
      <c r="I68" s="13" t="str">
        <f>IF(COUNT(G68:H68)&gt;0,$O68,"")</f>
        <v/>
      </c>
      <c r="J68" s="13" t="str">
        <f>IF(COUNT(H68,F68)&gt;0,$O68,"")</f>
        <v/>
      </c>
      <c r="K68" s="13" t="str">
        <f>IF(ISNUMBER(I68),I68,"")</f>
        <v/>
      </c>
      <c r="L68" s="13" t="str">
        <f>IF(ISNUMBER(J68),J68,"")</f>
        <v/>
      </c>
      <c r="M68" s="51" t="s">
        <v>363</v>
      </c>
      <c r="N68" s="11" t="s">
        <v>70</v>
      </c>
      <c r="O68" s="13">
        <f t="shared" si="4"/>
        <v>67</v>
      </c>
    </row>
    <row r="69" spans="1:15" x14ac:dyDescent="0.25">
      <c r="A69" s="61"/>
      <c r="B69" s="66"/>
      <c r="C69" s="26" t="s">
        <v>139</v>
      </c>
      <c r="D69" s="13"/>
      <c r="E69" s="13">
        <f t="shared" si="7"/>
        <v>68</v>
      </c>
      <c r="F69" s="13"/>
      <c r="G69" s="5"/>
      <c r="H69" s="5"/>
      <c r="I69" s="13" t="str">
        <f>IF(COUNT(G69:H69)&gt;0,$O69,"")</f>
        <v/>
      </c>
      <c r="J69" s="13" t="str">
        <f>IF(COUNT(H69,F69)&gt;0,$O69,"")</f>
        <v/>
      </c>
      <c r="K69" s="13" t="str">
        <f>IF(ISNUMBER(I69),I69,"")</f>
        <v/>
      </c>
      <c r="L69" s="13" t="str">
        <f>IF(ISNUMBER(J69),J69,"")</f>
        <v/>
      </c>
      <c r="M69" s="51" t="s">
        <v>363</v>
      </c>
      <c r="N69" s="11" t="s">
        <v>70</v>
      </c>
      <c r="O69" s="13">
        <f t="shared" si="4"/>
        <v>68</v>
      </c>
    </row>
    <row r="70" spans="1:15" x14ac:dyDescent="0.25">
      <c r="A70" s="61"/>
      <c r="B70" s="67"/>
      <c r="C70" s="26" t="s">
        <v>265</v>
      </c>
      <c r="D70" s="13" t="s">
        <v>344</v>
      </c>
      <c r="E70" s="13">
        <f t="shared" si="7"/>
        <v>69</v>
      </c>
      <c r="F70" s="13"/>
      <c r="G70" s="5"/>
      <c r="H70" s="5"/>
      <c r="I70" s="13"/>
      <c r="J70" s="13"/>
      <c r="K70" s="13"/>
      <c r="L70" s="13"/>
      <c r="M70" s="51" t="s">
        <v>363</v>
      </c>
      <c r="N70" s="11" t="s">
        <v>364</v>
      </c>
      <c r="O70" s="13">
        <f t="shared" si="4"/>
        <v>69</v>
      </c>
    </row>
    <row r="71" spans="1:15" x14ac:dyDescent="0.25">
      <c r="A71" s="61"/>
      <c r="B71" s="65" t="s">
        <v>16</v>
      </c>
      <c r="C71" s="26" t="s">
        <v>140</v>
      </c>
      <c r="D71" s="13"/>
      <c r="E71" s="13">
        <f t="shared" si="7"/>
        <v>70</v>
      </c>
      <c r="F71" s="13"/>
      <c r="G71" s="5"/>
      <c r="H71" s="5"/>
      <c r="I71" s="13" t="str">
        <f>IF(COUNT(G71:H71)&gt;0,$O71,"")</f>
        <v/>
      </c>
      <c r="J71" s="13" t="str">
        <f>IF(COUNT(H71,F71)&gt;0,$O71,"")</f>
        <v/>
      </c>
      <c r="K71" s="13" t="str">
        <f>IF(ISNUMBER(I71),I71,"")</f>
        <v/>
      </c>
      <c r="L71" s="13" t="str">
        <f>IF(ISNUMBER(J71),J71,"")</f>
        <v/>
      </c>
      <c r="M71" s="51" t="s">
        <v>363</v>
      </c>
      <c r="N71" s="11" t="s">
        <v>70</v>
      </c>
      <c r="O71" s="13">
        <f t="shared" si="4"/>
        <v>70</v>
      </c>
    </row>
    <row r="72" spans="1:15" x14ac:dyDescent="0.25">
      <c r="A72" s="61"/>
      <c r="B72" s="66"/>
      <c r="C72" s="26" t="s">
        <v>141</v>
      </c>
      <c r="D72" s="13"/>
      <c r="E72" s="13">
        <f t="shared" si="7"/>
        <v>71</v>
      </c>
      <c r="F72" s="13"/>
      <c r="G72" s="5"/>
      <c r="H72" s="5"/>
      <c r="I72" s="13" t="str">
        <f>IF(COUNT(G72:H72)&gt;0,$O72,"")</f>
        <v/>
      </c>
      <c r="J72" s="13" t="str">
        <f>IF(COUNT(H72,F72)&gt;0,$O72,"")</f>
        <v/>
      </c>
      <c r="K72" s="13" t="str">
        <f>IF(ISNUMBER(I72),I72,"")</f>
        <v/>
      </c>
      <c r="L72" s="13" t="str">
        <f>IF(ISNUMBER(J72),J72,"")</f>
        <v/>
      </c>
      <c r="M72" s="51" t="s">
        <v>363</v>
      </c>
      <c r="N72" s="11" t="s">
        <v>70</v>
      </c>
      <c r="O72" s="13">
        <f t="shared" si="4"/>
        <v>71</v>
      </c>
    </row>
    <row r="73" spans="1:15" x14ac:dyDescent="0.25">
      <c r="A73" s="61"/>
      <c r="B73" s="67"/>
      <c r="C73" s="26" t="s">
        <v>266</v>
      </c>
      <c r="D73" s="13" t="s">
        <v>344</v>
      </c>
      <c r="E73" s="13">
        <f t="shared" si="7"/>
        <v>72</v>
      </c>
      <c r="F73" s="13"/>
      <c r="G73" s="5"/>
      <c r="H73" s="5"/>
      <c r="I73" s="13"/>
      <c r="J73" s="13"/>
      <c r="K73" s="13"/>
      <c r="L73" s="13"/>
      <c r="M73" s="51" t="s">
        <v>363</v>
      </c>
      <c r="N73" s="11" t="s">
        <v>364</v>
      </c>
      <c r="O73" s="13">
        <f t="shared" ref="O73:O156" si="11">ROW()-1</f>
        <v>72</v>
      </c>
    </row>
    <row r="74" spans="1:15" x14ac:dyDescent="0.25">
      <c r="A74" s="61"/>
      <c r="B74" s="65" t="s">
        <v>17</v>
      </c>
      <c r="C74" s="26" t="s">
        <v>142</v>
      </c>
      <c r="D74" s="13"/>
      <c r="E74" s="13">
        <f t="shared" si="7"/>
        <v>73</v>
      </c>
      <c r="F74" s="13"/>
      <c r="G74" s="5"/>
      <c r="H74" s="5"/>
      <c r="I74" s="13" t="str">
        <f>IF(COUNT(G74:H74)&gt;0,$O74,"")</f>
        <v/>
      </c>
      <c r="J74" s="13" t="str">
        <f>IF(COUNT(H74,F74)&gt;0,$O74,"")</f>
        <v/>
      </c>
      <c r="K74" s="13" t="str">
        <f>IF(ISNUMBER(I74),I74,"")</f>
        <v/>
      </c>
      <c r="L74" s="13" t="str">
        <f>IF(ISNUMBER(J74),J74,"")</f>
        <v/>
      </c>
      <c r="M74" s="51" t="s">
        <v>363</v>
      </c>
      <c r="N74" s="11" t="s">
        <v>70</v>
      </c>
      <c r="O74" s="13">
        <f t="shared" si="11"/>
        <v>73</v>
      </c>
    </row>
    <row r="75" spans="1:15" x14ac:dyDescent="0.25">
      <c r="A75" s="61"/>
      <c r="B75" s="66"/>
      <c r="C75" s="26" t="s">
        <v>143</v>
      </c>
      <c r="D75" s="13"/>
      <c r="E75" s="13">
        <f t="shared" si="7"/>
        <v>74</v>
      </c>
      <c r="F75" s="13"/>
      <c r="G75" s="5"/>
      <c r="H75" s="5"/>
      <c r="I75" s="13" t="str">
        <f>IF(COUNT(G75:H75)&gt;0,$O75,"")</f>
        <v/>
      </c>
      <c r="J75" s="13" t="str">
        <f>IF(COUNT(H75,F75)&gt;0,$O75,"")</f>
        <v/>
      </c>
      <c r="K75" s="13" t="str">
        <f>IF(ISNUMBER(I75),I75,"")</f>
        <v/>
      </c>
      <c r="L75" s="13" t="str">
        <f>IF(ISNUMBER(J75),J75,"")</f>
        <v/>
      </c>
      <c r="M75" s="51" t="s">
        <v>363</v>
      </c>
      <c r="N75" s="11" t="s">
        <v>70</v>
      </c>
      <c r="O75" s="13">
        <f t="shared" si="11"/>
        <v>74</v>
      </c>
    </row>
    <row r="76" spans="1:15" x14ac:dyDescent="0.25">
      <c r="A76" s="61"/>
      <c r="B76" s="67"/>
      <c r="C76" s="26" t="s">
        <v>267</v>
      </c>
      <c r="D76" s="13" t="s">
        <v>344</v>
      </c>
      <c r="E76" s="13">
        <f t="shared" si="7"/>
        <v>75</v>
      </c>
      <c r="F76" s="13"/>
      <c r="G76" s="5"/>
      <c r="H76" s="5"/>
      <c r="I76" s="13"/>
      <c r="J76" s="13"/>
      <c r="K76" s="13"/>
      <c r="L76" s="13"/>
      <c r="M76" s="51" t="s">
        <v>363</v>
      </c>
      <c r="N76" s="11" t="s">
        <v>364</v>
      </c>
      <c r="O76" s="13">
        <f t="shared" si="11"/>
        <v>75</v>
      </c>
    </row>
    <row r="77" spans="1:15" x14ac:dyDescent="0.25">
      <c r="A77" s="61"/>
      <c r="B77" s="65" t="s">
        <v>19</v>
      </c>
      <c r="C77" s="26" t="s">
        <v>146</v>
      </c>
      <c r="D77" s="13"/>
      <c r="E77" s="13">
        <f t="shared" si="7"/>
        <v>76</v>
      </c>
      <c r="F77" s="13"/>
      <c r="G77" s="5"/>
      <c r="H77" s="5"/>
      <c r="I77" s="13" t="str">
        <f>IF(COUNT(G77:H77)&gt;0,$O77,"")</f>
        <v/>
      </c>
      <c r="J77" s="13" t="str">
        <f>IF(COUNT(H77,F77)&gt;0,$O77,"")</f>
        <v/>
      </c>
      <c r="K77" s="13" t="str">
        <f>IF(ISNUMBER(I77),I77,"")</f>
        <v/>
      </c>
      <c r="L77" s="13" t="str">
        <f>IF(ISNUMBER(J77),J77,"")</f>
        <v/>
      </c>
      <c r="M77" s="51" t="s">
        <v>363</v>
      </c>
      <c r="N77" s="11" t="s">
        <v>70</v>
      </c>
      <c r="O77" s="13">
        <f t="shared" si="11"/>
        <v>76</v>
      </c>
    </row>
    <row r="78" spans="1:15" x14ac:dyDescent="0.25">
      <c r="A78" s="61"/>
      <c r="B78" s="66"/>
      <c r="C78" s="26" t="s">
        <v>147</v>
      </c>
      <c r="D78" s="13"/>
      <c r="E78" s="13">
        <f t="shared" si="7"/>
        <v>77</v>
      </c>
      <c r="F78" s="13"/>
      <c r="G78" s="5"/>
      <c r="H78" s="5"/>
      <c r="I78" s="13" t="str">
        <f>IF(COUNT(G78:H78)&gt;0,$O78,"")</f>
        <v/>
      </c>
      <c r="J78" s="13" t="str">
        <f>IF(COUNT(H78,F78)&gt;0,$O78,"")</f>
        <v/>
      </c>
      <c r="K78" s="13" t="str">
        <f>IF(ISNUMBER(I78),I78,"")</f>
        <v/>
      </c>
      <c r="L78" s="13" t="str">
        <f>IF(ISNUMBER(J78),J78,"")</f>
        <v/>
      </c>
      <c r="M78" s="51" t="s">
        <v>363</v>
      </c>
      <c r="N78" s="11" t="s">
        <v>70</v>
      </c>
      <c r="O78" s="13">
        <f t="shared" si="11"/>
        <v>77</v>
      </c>
    </row>
    <row r="79" spans="1:15" x14ac:dyDescent="0.25">
      <c r="A79" s="61"/>
      <c r="B79" s="67"/>
      <c r="C79" s="26" t="s">
        <v>269</v>
      </c>
      <c r="D79" s="13" t="s">
        <v>344</v>
      </c>
      <c r="E79" s="13">
        <f t="shared" si="7"/>
        <v>78</v>
      </c>
      <c r="F79" s="13"/>
      <c r="G79" s="5"/>
      <c r="H79" s="5"/>
      <c r="I79" s="13"/>
      <c r="J79" s="13"/>
      <c r="K79" s="13"/>
      <c r="L79" s="13"/>
      <c r="M79" s="51" t="s">
        <v>363</v>
      </c>
      <c r="N79" s="11" t="s">
        <v>364</v>
      </c>
      <c r="O79" s="13">
        <f t="shared" si="11"/>
        <v>78</v>
      </c>
    </row>
    <row r="80" spans="1:15" x14ac:dyDescent="0.25">
      <c r="A80" s="61"/>
      <c r="B80" s="65" t="s">
        <v>51</v>
      </c>
      <c r="C80" s="26" t="s">
        <v>148</v>
      </c>
      <c r="D80" s="13"/>
      <c r="E80" s="13">
        <f t="shared" si="7"/>
        <v>79</v>
      </c>
      <c r="F80" s="13"/>
      <c r="G80" s="5"/>
      <c r="H80" s="5"/>
      <c r="I80" s="13" t="str">
        <f>IF(COUNT(G80:H80)&gt;0,$O80,"")</f>
        <v/>
      </c>
      <c r="J80" s="13" t="str">
        <f>IF(COUNT(H80,F80)&gt;0,$O80,"")</f>
        <v/>
      </c>
      <c r="K80" s="13" t="str">
        <f>IF(ISNUMBER(I80),I80,"")</f>
        <v/>
      </c>
      <c r="L80" s="13" t="str">
        <f>IF(ISNUMBER(J80),J80,"")</f>
        <v/>
      </c>
      <c r="M80" s="51" t="s">
        <v>363</v>
      </c>
      <c r="N80" s="11" t="s">
        <v>70</v>
      </c>
      <c r="O80" s="13">
        <f t="shared" si="11"/>
        <v>79</v>
      </c>
    </row>
    <row r="81" spans="1:15" x14ac:dyDescent="0.25">
      <c r="A81" s="61"/>
      <c r="B81" s="66"/>
      <c r="C81" s="26" t="s">
        <v>149</v>
      </c>
      <c r="D81" s="13"/>
      <c r="E81" s="13">
        <f t="shared" si="7"/>
        <v>80</v>
      </c>
      <c r="F81" s="13"/>
      <c r="G81" s="5"/>
      <c r="H81" s="5"/>
      <c r="I81" s="13" t="str">
        <f>IF(COUNT(G81:H81)&gt;0,$O81,"")</f>
        <v/>
      </c>
      <c r="J81" s="13" t="str">
        <f>IF(COUNT(H81,F81)&gt;0,$O81,"")</f>
        <v/>
      </c>
      <c r="K81" s="13" t="str">
        <f>IF(ISNUMBER(I81),I81,"")</f>
        <v/>
      </c>
      <c r="L81" s="13" t="str">
        <f>IF(ISNUMBER(J81),J81,"")</f>
        <v/>
      </c>
      <c r="M81" s="51" t="s">
        <v>363</v>
      </c>
      <c r="N81" s="11" t="s">
        <v>70</v>
      </c>
      <c r="O81" s="13">
        <f t="shared" si="11"/>
        <v>80</v>
      </c>
    </row>
    <row r="82" spans="1:15" x14ac:dyDescent="0.25">
      <c r="A82" s="61"/>
      <c r="B82" s="67"/>
      <c r="C82" s="26" t="s">
        <v>270</v>
      </c>
      <c r="D82" s="13" t="s">
        <v>344</v>
      </c>
      <c r="E82" s="13">
        <f t="shared" si="7"/>
        <v>81</v>
      </c>
      <c r="F82" s="13"/>
      <c r="G82" s="5"/>
      <c r="H82" s="5"/>
      <c r="I82" s="13"/>
      <c r="J82" s="13"/>
      <c r="K82" s="13"/>
      <c r="L82" s="13"/>
      <c r="M82" s="51" t="s">
        <v>363</v>
      </c>
      <c r="N82" s="11" t="s">
        <v>364</v>
      </c>
      <c r="O82" s="13">
        <f t="shared" si="11"/>
        <v>81</v>
      </c>
    </row>
    <row r="83" spans="1:15" x14ac:dyDescent="0.25">
      <c r="A83" s="61"/>
      <c r="B83" s="65" t="s">
        <v>66</v>
      </c>
      <c r="C83" s="26" t="s">
        <v>150</v>
      </c>
      <c r="D83" s="13"/>
      <c r="E83" s="13">
        <f t="shared" si="7"/>
        <v>82</v>
      </c>
      <c r="F83" s="13"/>
      <c r="G83" s="5"/>
      <c r="H83" s="5"/>
      <c r="I83" s="13" t="str">
        <f>IF(COUNT(G83:H83)&gt;0,$O83,"")</f>
        <v/>
      </c>
      <c r="J83" s="13" t="str">
        <f>IF(COUNT(H83,F83)&gt;0,$O83,"")</f>
        <v/>
      </c>
      <c r="K83" s="13" t="str">
        <f>IF(ISNUMBER(I83),I83,"")</f>
        <v/>
      </c>
      <c r="L83" s="13" t="str">
        <f>IF(ISNUMBER(J83),J83,"")</f>
        <v/>
      </c>
      <c r="M83" s="51" t="s">
        <v>363</v>
      </c>
      <c r="N83" s="11" t="s">
        <v>70</v>
      </c>
      <c r="O83" s="13">
        <f t="shared" si="11"/>
        <v>82</v>
      </c>
    </row>
    <row r="84" spans="1:15" x14ac:dyDescent="0.25">
      <c r="A84" s="61"/>
      <c r="B84" s="66"/>
      <c r="C84" s="26" t="s">
        <v>151</v>
      </c>
      <c r="D84" s="13"/>
      <c r="E84" s="13">
        <f t="shared" si="7"/>
        <v>83</v>
      </c>
      <c r="F84" s="13"/>
      <c r="G84" s="5"/>
      <c r="H84" s="5"/>
      <c r="I84" s="13" t="str">
        <f>IF(COUNT(G84:H84)&gt;0,$O84,"")</f>
        <v/>
      </c>
      <c r="J84" s="13" t="str">
        <f>IF(COUNT(H84,F84)&gt;0,$O84,"")</f>
        <v/>
      </c>
      <c r="K84" s="13" t="str">
        <f>IF(ISNUMBER(I84),I84,"")</f>
        <v/>
      </c>
      <c r="L84" s="13" t="str">
        <f>IF(ISNUMBER(J84),J84,"")</f>
        <v/>
      </c>
      <c r="M84" s="51" t="s">
        <v>363</v>
      </c>
      <c r="N84" s="11" t="s">
        <v>70</v>
      </c>
      <c r="O84" s="13">
        <f t="shared" si="11"/>
        <v>83</v>
      </c>
    </row>
    <row r="85" spans="1:15" x14ac:dyDescent="0.25">
      <c r="A85" s="61"/>
      <c r="B85" s="67"/>
      <c r="C85" s="26" t="s">
        <v>271</v>
      </c>
      <c r="D85" s="13" t="s">
        <v>344</v>
      </c>
      <c r="E85" s="13">
        <f t="shared" si="7"/>
        <v>84</v>
      </c>
      <c r="F85" s="13"/>
      <c r="G85" s="5"/>
      <c r="H85" s="5"/>
      <c r="I85" s="13"/>
      <c r="J85" s="13"/>
      <c r="K85" s="13"/>
      <c r="L85" s="13"/>
      <c r="M85" s="51" t="s">
        <v>363</v>
      </c>
      <c r="N85" s="11" t="s">
        <v>364</v>
      </c>
      <c r="O85" s="13">
        <f t="shared" si="11"/>
        <v>84</v>
      </c>
    </row>
    <row r="86" spans="1:15" x14ac:dyDescent="0.25">
      <c r="A86" s="61"/>
      <c r="B86" s="65" t="s">
        <v>67</v>
      </c>
      <c r="C86" s="26" t="s">
        <v>152</v>
      </c>
      <c r="D86" s="13"/>
      <c r="E86" s="13">
        <f t="shared" si="7"/>
        <v>85</v>
      </c>
      <c r="F86" s="13"/>
      <c r="G86" s="5"/>
      <c r="H86" s="5"/>
      <c r="I86" s="13" t="str">
        <f t="shared" si="1"/>
        <v/>
      </c>
      <c r="J86" s="13" t="str">
        <f t="shared" si="2"/>
        <v/>
      </c>
      <c r="K86" s="13" t="str">
        <f t="shared" si="10"/>
        <v/>
      </c>
      <c r="L86" s="13" t="str">
        <f t="shared" si="10"/>
        <v/>
      </c>
      <c r="M86" s="51" t="s">
        <v>363</v>
      </c>
      <c r="N86" s="11" t="s">
        <v>70</v>
      </c>
      <c r="O86" s="13">
        <f t="shared" si="11"/>
        <v>85</v>
      </c>
    </row>
    <row r="87" spans="1:15" x14ac:dyDescent="0.25">
      <c r="A87" s="61"/>
      <c r="B87" s="66"/>
      <c r="C87" s="26" t="s">
        <v>153</v>
      </c>
      <c r="D87" s="13"/>
      <c r="E87" s="13">
        <f t="shared" si="7"/>
        <v>86</v>
      </c>
      <c r="F87" s="13"/>
      <c r="G87" s="5"/>
      <c r="H87" s="5"/>
      <c r="I87" s="13" t="str">
        <f t="shared" si="1"/>
        <v/>
      </c>
      <c r="J87" s="13" t="str">
        <f t="shared" si="2"/>
        <v/>
      </c>
      <c r="K87" s="13" t="str">
        <f t="shared" si="10"/>
        <v/>
      </c>
      <c r="L87" s="13" t="str">
        <f t="shared" si="10"/>
        <v/>
      </c>
      <c r="M87" s="51" t="s">
        <v>363</v>
      </c>
      <c r="N87" s="11" t="s">
        <v>70</v>
      </c>
      <c r="O87" s="13">
        <f t="shared" si="11"/>
        <v>86</v>
      </c>
    </row>
    <row r="88" spans="1:15" ht="18" customHeight="1" x14ac:dyDescent="0.25">
      <c r="A88" s="62"/>
      <c r="B88" s="67"/>
      <c r="C88" s="26" t="s">
        <v>272</v>
      </c>
      <c r="D88" s="13" t="s">
        <v>344</v>
      </c>
      <c r="E88" s="13">
        <f t="shared" si="7"/>
        <v>87</v>
      </c>
      <c r="F88" s="13"/>
      <c r="G88" s="5"/>
      <c r="H88" s="5"/>
      <c r="I88" s="13"/>
      <c r="J88" s="13"/>
      <c r="K88" s="13"/>
      <c r="L88" s="13"/>
      <c r="M88" s="51" t="s">
        <v>363</v>
      </c>
      <c r="N88" s="11" t="s">
        <v>364</v>
      </c>
      <c r="O88" s="13">
        <f t="shared" si="11"/>
        <v>87</v>
      </c>
    </row>
    <row r="89" spans="1:15" x14ac:dyDescent="0.25">
      <c r="A89" s="60" t="s">
        <v>154</v>
      </c>
      <c r="B89" s="69" t="s">
        <v>20</v>
      </c>
      <c r="C89" s="26" t="s">
        <v>155</v>
      </c>
      <c r="D89" s="26"/>
      <c r="E89" s="13">
        <f t="shared" si="7"/>
        <v>88</v>
      </c>
      <c r="F89" s="13"/>
      <c r="G89" s="13">
        <f t="shared" si="7"/>
        <v>88</v>
      </c>
      <c r="H89" s="5"/>
      <c r="I89" s="13">
        <f t="shared" ref="I89:I160" si="12">IF(COUNT(G89:H89)&gt;0,$O89,"")</f>
        <v>88</v>
      </c>
      <c r="J89" s="13" t="str">
        <f t="shared" ref="J89:J160" si="13">IF(COUNT(H89,F89)&gt;0,$O89,"")</f>
        <v/>
      </c>
      <c r="K89" s="13">
        <f t="shared" ref="K89:L152" si="14">IF(ISNUMBER(I89),I89,"")</f>
        <v>88</v>
      </c>
      <c r="L89" s="13" t="str">
        <f t="shared" si="14"/>
        <v/>
      </c>
      <c r="M89" s="11" t="s">
        <v>73</v>
      </c>
      <c r="N89" s="11" t="s">
        <v>72</v>
      </c>
      <c r="O89" s="13">
        <f t="shared" si="11"/>
        <v>88</v>
      </c>
    </row>
    <row r="90" spans="1:15" x14ac:dyDescent="0.25">
      <c r="A90" s="61"/>
      <c r="B90" s="70"/>
      <c r="C90" s="26" t="s">
        <v>156</v>
      </c>
      <c r="D90" s="26"/>
      <c r="E90" s="13">
        <f t="shared" si="7"/>
        <v>89</v>
      </c>
      <c r="F90" s="13">
        <f t="shared" si="7"/>
        <v>89</v>
      </c>
      <c r="G90" s="13">
        <f t="shared" si="7"/>
        <v>89</v>
      </c>
      <c r="H90" s="5"/>
      <c r="I90" s="13">
        <f t="shared" si="12"/>
        <v>89</v>
      </c>
      <c r="J90" s="13">
        <f t="shared" si="13"/>
        <v>89</v>
      </c>
      <c r="K90" s="13">
        <f t="shared" si="14"/>
        <v>89</v>
      </c>
      <c r="L90" s="13">
        <f t="shared" si="14"/>
        <v>89</v>
      </c>
      <c r="M90" s="11" t="s">
        <v>80</v>
      </c>
      <c r="N90" s="11" t="s">
        <v>72</v>
      </c>
      <c r="O90" s="13">
        <f t="shared" si="11"/>
        <v>89</v>
      </c>
    </row>
    <row r="91" spans="1:15" x14ac:dyDescent="0.25">
      <c r="A91" s="61"/>
      <c r="B91" s="69" t="s">
        <v>45</v>
      </c>
      <c r="C91" s="26" t="s">
        <v>157</v>
      </c>
      <c r="D91" s="26"/>
      <c r="E91" s="13">
        <f t="shared" ref="E91:G138" si="15">$O91</f>
        <v>90</v>
      </c>
      <c r="F91" s="13"/>
      <c r="G91" s="5"/>
      <c r="H91" s="13">
        <f>$O91</f>
        <v>90</v>
      </c>
      <c r="I91" s="13">
        <f t="shared" si="12"/>
        <v>90</v>
      </c>
      <c r="J91" s="13">
        <f t="shared" si="13"/>
        <v>90</v>
      </c>
      <c r="K91" s="13">
        <f t="shared" si="14"/>
        <v>90</v>
      </c>
      <c r="L91" s="13">
        <f t="shared" si="14"/>
        <v>90</v>
      </c>
      <c r="M91" s="11" t="s">
        <v>74</v>
      </c>
      <c r="N91" s="11" t="s">
        <v>68</v>
      </c>
      <c r="O91" s="13">
        <f t="shared" si="11"/>
        <v>90</v>
      </c>
    </row>
    <row r="92" spans="1:15" x14ac:dyDescent="0.25">
      <c r="A92" s="61"/>
      <c r="B92" s="70"/>
      <c r="C92" s="26" t="s">
        <v>158</v>
      </c>
      <c r="D92" s="26"/>
      <c r="E92" s="13">
        <f t="shared" si="15"/>
        <v>91</v>
      </c>
      <c r="F92" s="13"/>
      <c r="G92" s="5"/>
      <c r="H92" s="13">
        <f>$O92</f>
        <v>91</v>
      </c>
      <c r="I92" s="13">
        <f t="shared" si="12"/>
        <v>91</v>
      </c>
      <c r="J92" s="13">
        <f t="shared" si="13"/>
        <v>91</v>
      </c>
      <c r="K92" s="13">
        <f t="shared" si="14"/>
        <v>91</v>
      </c>
      <c r="L92" s="13">
        <f t="shared" si="14"/>
        <v>91</v>
      </c>
      <c r="M92" s="11" t="s">
        <v>81</v>
      </c>
      <c r="N92" s="11" t="s">
        <v>68</v>
      </c>
      <c r="O92" s="13">
        <f t="shared" si="11"/>
        <v>91</v>
      </c>
    </row>
    <row r="93" spans="1:15" x14ac:dyDescent="0.25">
      <c r="A93" s="61"/>
      <c r="B93" s="75"/>
      <c r="C93" s="26" t="s">
        <v>159</v>
      </c>
      <c r="D93" s="26"/>
      <c r="E93" s="13"/>
      <c r="F93" s="13"/>
      <c r="G93" s="5"/>
      <c r="H93" s="13"/>
      <c r="I93" s="13"/>
      <c r="J93" s="13"/>
      <c r="K93" s="13"/>
      <c r="L93" s="13"/>
      <c r="M93" s="11" t="s">
        <v>82</v>
      </c>
      <c r="N93" s="11" t="s">
        <v>68</v>
      </c>
      <c r="O93" s="13">
        <f t="shared" si="11"/>
        <v>92</v>
      </c>
    </row>
    <row r="94" spans="1:15" x14ac:dyDescent="0.25">
      <c r="A94" s="61"/>
      <c r="B94" s="69" t="s">
        <v>22</v>
      </c>
      <c r="C94" s="26" t="s">
        <v>162</v>
      </c>
      <c r="D94" s="26"/>
      <c r="E94" s="13">
        <f t="shared" si="15"/>
        <v>93</v>
      </c>
      <c r="F94" s="13"/>
      <c r="G94" s="5"/>
      <c r="H94" s="5"/>
      <c r="I94" s="13" t="str">
        <f t="shared" si="12"/>
        <v/>
      </c>
      <c r="J94" s="13" t="str">
        <f t="shared" si="13"/>
        <v/>
      </c>
      <c r="K94" s="13" t="str">
        <f t="shared" si="14"/>
        <v/>
      </c>
      <c r="L94" s="13" t="str">
        <f t="shared" si="14"/>
        <v/>
      </c>
      <c r="M94" s="11" t="s">
        <v>75</v>
      </c>
      <c r="N94" s="11" t="s">
        <v>364</v>
      </c>
      <c r="O94" s="13">
        <f t="shared" si="11"/>
        <v>93</v>
      </c>
    </row>
    <row r="95" spans="1:15" x14ac:dyDescent="0.25">
      <c r="A95" s="61"/>
      <c r="B95" s="75"/>
      <c r="C95" s="26" t="s">
        <v>163</v>
      </c>
      <c r="D95" s="26"/>
      <c r="E95" s="13"/>
      <c r="F95" s="13"/>
      <c r="G95" s="5"/>
      <c r="H95" s="5"/>
      <c r="I95" s="13" t="str">
        <f t="shared" si="12"/>
        <v/>
      </c>
      <c r="J95" s="13" t="str">
        <f t="shared" si="13"/>
        <v/>
      </c>
      <c r="K95" s="13" t="str">
        <f t="shared" si="14"/>
        <v/>
      </c>
      <c r="L95" s="13" t="str">
        <f t="shared" si="14"/>
        <v/>
      </c>
      <c r="M95" s="11" t="s">
        <v>83</v>
      </c>
      <c r="N95" s="11" t="s">
        <v>364</v>
      </c>
      <c r="O95" s="13">
        <f t="shared" si="11"/>
        <v>94</v>
      </c>
    </row>
    <row r="96" spans="1:15" x14ac:dyDescent="0.25">
      <c r="A96" s="61"/>
      <c r="B96" s="69" t="s">
        <v>44</v>
      </c>
      <c r="C96" s="26" t="s">
        <v>168</v>
      </c>
      <c r="D96" s="26"/>
      <c r="E96" s="13">
        <f>$O96</f>
        <v>95</v>
      </c>
      <c r="F96" s="13"/>
      <c r="G96" s="5"/>
      <c r="H96" s="5"/>
      <c r="I96" s="13" t="str">
        <f t="shared" si="12"/>
        <v/>
      </c>
      <c r="J96" s="13" t="str">
        <f t="shared" si="13"/>
        <v/>
      </c>
      <c r="K96" s="13" t="str">
        <f t="shared" si="14"/>
        <v/>
      </c>
      <c r="L96" s="13" t="str">
        <f t="shared" si="14"/>
        <v/>
      </c>
      <c r="M96" s="11" t="s">
        <v>75</v>
      </c>
      <c r="N96" s="11" t="s">
        <v>68</v>
      </c>
      <c r="O96" s="13">
        <f t="shared" si="11"/>
        <v>95</v>
      </c>
    </row>
    <row r="97" spans="1:15" x14ac:dyDescent="0.25">
      <c r="A97" s="61"/>
      <c r="B97" s="75"/>
      <c r="C97" s="26" t="s">
        <v>169</v>
      </c>
      <c r="D97" s="26"/>
      <c r="E97" s="13"/>
      <c r="F97" s="13"/>
      <c r="G97" s="5"/>
      <c r="H97" s="5"/>
      <c r="I97" s="13" t="str">
        <f t="shared" si="12"/>
        <v/>
      </c>
      <c r="J97" s="13" t="str">
        <f t="shared" si="13"/>
        <v/>
      </c>
      <c r="K97" s="13" t="str">
        <f t="shared" si="14"/>
        <v/>
      </c>
      <c r="L97" s="13" t="str">
        <f t="shared" si="14"/>
        <v/>
      </c>
      <c r="M97" s="11" t="s">
        <v>83</v>
      </c>
      <c r="N97" s="11" t="s">
        <v>68</v>
      </c>
      <c r="O97" s="13">
        <f t="shared" si="11"/>
        <v>96</v>
      </c>
    </row>
    <row r="98" spans="1:15" x14ac:dyDescent="0.25">
      <c r="A98" s="61"/>
      <c r="B98" s="69" t="s">
        <v>21</v>
      </c>
      <c r="C98" s="26" t="s">
        <v>160</v>
      </c>
      <c r="D98" s="26"/>
      <c r="E98" s="13">
        <f>$O98</f>
        <v>97</v>
      </c>
      <c r="F98" s="13"/>
      <c r="G98" s="5"/>
      <c r="H98" s="5"/>
      <c r="I98" s="13" t="str">
        <f t="shared" si="12"/>
        <v/>
      </c>
      <c r="J98" s="13" t="str">
        <f t="shared" si="13"/>
        <v/>
      </c>
      <c r="K98" s="13" t="str">
        <f t="shared" si="14"/>
        <v/>
      </c>
      <c r="L98" s="13" t="str">
        <f t="shared" si="14"/>
        <v/>
      </c>
      <c r="M98" s="51" t="s">
        <v>363</v>
      </c>
      <c r="N98" s="11" t="s">
        <v>70</v>
      </c>
      <c r="O98" s="13">
        <f t="shared" si="11"/>
        <v>97</v>
      </c>
    </row>
    <row r="99" spans="1:15" x14ac:dyDescent="0.25">
      <c r="A99" s="61"/>
      <c r="B99" s="75"/>
      <c r="C99" s="26" t="s">
        <v>161</v>
      </c>
      <c r="D99" s="26"/>
      <c r="E99" s="13"/>
      <c r="F99" s="13"/>
      <c r="G99" s="5"/>
      <c r="H99" s="5"/>
      <c r="I99" s="13" t="str">
        <f t="shared" si="12"/>
        <v/>
      </c>
      <c r="J99" s="13" t="str">
        <f t="shared" si="13"/>
        <v/>
      </c>
      <c r="K99" s="13" t="str">
        <f t="shared" si="14"/>
        <v/>
      </c>
      <c r="L99" s="13" t="str">
        <f t="shared" si="14"/>
        <v/>
      </c>
      <c r="M99" s="51" t="s">
        <v>363</v>
      </c>
      <c r="N99" s="11" t="s">
        <v>70</v>
      </c>
      <c r="O99" s="13">
        <f t="shared" si="11"/>
        <v>98</v>
      </c>
    </row>
    <row r="100" spans="1:15" x14ac:dyDescent="0.25">
      <c r="A100" s="61"/>
      <c r="B100" s="69" t="s">
        <v>23</v>
      </c>
      <c r="C100" s="26" t="s">
        <v>164</v>
      </c>
      <c r="D100" s="26"/>
      <c r="E100" s="13">
        <f>$O100</f>
        <v>99</v>
      </c>
      <c r="F100" s="13"/>
      <c r="G100" s="5"/>
      <c r="H100" s="5"/>
      <c r="I100" s="13" t="str">
        <f t="shared" si="12"/>
        <v/>
      </c>
      <c r="J100" s="13" t="str">
        <f t="shared" si="13"/>
        <v/>
      </c>
      <c r="K100" s="13" t="str">
        <f t="shared" si="14"/>
        <v/>
      </c>
      <c r="L100" s="13" t="str">
        <f t="shared" si="14"/>
        <v/>
      </c>
      <c r="M100" s="51" t="s">
        <v>363</v>
      </c>
      <c r="N100" s="11" t="s">
        <v>70</v>
      </c>
      <c r="O100" s="13">
        <f t="shared" si="11"/>
        <v>99</v>
      </c>
    </row>
    <row r="101" spans="1:15" x14ac:dyDescent="0.25">
      <c r="A101" s="61"/>
      <c r="B101" s="75"/>
      <c r="C101" s="26" t="s">
        <v>165</v>
      </c>
      <c r="D101" s="26"/>
      <c r="E101" s="13"/>
      <c r="F101" s="13"/>
      <c r="G101" s="5"/>
      <c r="H101" s="5"/>
      <c r="I101" s="13" t="str">
        <f t="shared" si="12"/>
        <v/>
      </c>
      <c r="J101" s="13" t="str">
        <f t="shared" si="13"/>
        <v/>
      </c>
      <c r="K101" s="13" t="str">
        <f t="shared" si="14"/>
        <v/>
      </c>
      <c r="L101" s="13" t="str">
        <f t="shared" si="14"/>
        <v/>
      </c>
      <c r="M101" s="51" t="s">
        <v>363</v>
      </c>
      <c r="N101" s="11" t="s">
        <v>70</v>
      </c>
      <c r="O101" s="13">
        <f t="shared" si="11"/>
        <v>100</v>
      </c>
    </row>
    <row r="102" spans="1:15" x14ac:dyDescent="0.25">
      <c r="A102" s="61"/>
      <c r="B102" s="69" t="s">
        <v>24</v>
      </c>
      <c r="C102" s="26" t="s">
        <v>166</v>
      </c>
      <c r="D102" s="26"/>
      <c r="E102" s="13">
        <f>$O102</f>
        <v>101</v>
      </c>
      <c r="F102" s="13"/>
      <c r="G102" s="5"/>
      <c r="H102" s="5"/>
      <c r="I102" s="13" t="str">
        <f t="shared" si="12"/>
        <v/>
      </c>
      <c r="J102" s="13" t="str">
        <f t="shared" si="13"/>
        <v/>
      </c>
      <c r="K102" s="13" t="str">
        <f t="shared" si="14"/>
        <v/>
      </c>
      <c r="L102" s="13" t="str">
        <f t="shared" si="14"/>
        <v/>
      </c>
      <c r="M102" s="51" t="s">
        <v>363</v>
      </c>
      <c r="N102" s="11" t="s">
        <v>70</v>
      </c>
      <c r="O102" s="13">
        <f t="shared" si="11"/>
        <v>101</v>
      </c>
    </row>
    <row r="103" spans="1:15" x14ac:dyDescent="0.25">
      <c r="A103" s="62"/>
      <c r="B103" s="75"/>
      <c r="C103" s="26" t="s">
        <v>167</v>
      </c>
      <c r="D103" s="26"/>
      <c r="E103" s="13"/>
      <c r="F103" s="13"/>
      <c r="G103" s="5"/>
      <c r="H103" s="5"/>
      <c r="I103" s="13" t="str">
        <f t="shared" si="12"/>
        <v/>
      </c>
      <c r="J103" s="13" t="str">
        <f t="shared" si="13"/>
        <v/>
      </c>
      <c r="K103" s="13" t="str">
        <f t="shared" si="14"/>
        <v/>
      </c>
      <c r="L103" s="13" t="str">
        <f t="shared" si="14"/>
        <v/>
      </c>
      <c r="M103" s="51" t="s">
        <v>363</v>
      </c>
      <c r="N103" s="11" t="s">
        <v>70</v>
      </c>
      <c r="O103" s="13">
        <f t="shared" si="11"/>
        <v>102</v>
      </c>
    </row>
    <row r="104" spans="1:15" x14ac:dyDescent="0.25">
      <c r="A104" s="60" t="s">
        <v>170</v>
      </c>
      <c r="B104" s="69" t="s">
        <v>25</v>
      </c>
      <c r="C104" s="26" t="s">
        <v>171</v>
      </c>
      <c r="D104" s="26"/>
      <c r="E104" s="13">
        <f t="shared" si="15"/>
        <v>103</v>
      </c>
      <c r="F104" s="13"/>
      <c r="G104" s="13">
        <f t="shared" si="15"/>
        <v>103</v>
      </c>
      <c r="H104" s="5"/>
      <c r="I104" s="13">
        <f t="shared" si="12"/>
        <v>103</v>
      </c>
      <c r="J104" s="13" t="str">
        <f t="shared" si="13"/>
        <v/>
      </c>
      <c r="K104" s="13">
        <f t="shared" si="14"/>
        <v>103</v>
      </c>
      <c r="L104" s="13" t="str">
        <f t="shared" si="14"/>
        <v/>
      </c>
      <c r="M104" s="11" t="s">
        <v>73</v>
      </c>
      <c r="N104" s="11" t="s">
        <v>68</v>
      </c>
      <c r="O104" s="13">
        <f t="shared" si="11"/>
        <v>103</v>
      </c>
    </row>
    <row r="105" spans="1:15" x14ac:dyDescent="0.25">
      <c r="A105" s="61"/>
      <c r="B105" s="70"/>
      <c r="C105" s="26" t="s">
        <v>172</v>
      </c>
      <c r="D105" s="26"/>
      <c r="E105" s="13">
        <f t="shared" si="15"/>
        <v>104</v>
      </c>
      <c r="F105" s="13"/>
      <c r="G105" s="13">
        <f t="shared" si="15"/>
        <v>104</v>
      </c>
      <c r="H105" s="5"/>
      <c r="I105" s="13">
        <f t="shared" si="12"/>
        <v>104</v>
      </c>
      <c r="J105" s="13" t="str">
        <f t="shared" si="13"/>
        <v/>
      </c>
      <c r="K105" s="13">
        <f t="shared" si="14"/>
        <v>104</v>
      </c>
      <c r="L105" s="13" t="str">
        <f t="shared" si="14"/>
        <v/>
      </c>
      <c r="M105" s="11" t="s">
        <v>73</v>
      </c>
      <c r="N105" s="11" t="s">
        <v>68</v>
      </c>
      <c r="O105" s="13">
        <f t="shared" si="11"/>
        <v>104</v>
      </c>
    </row>
    <row r="106" spans="1:15" x14ac:dyDescent="0.25">
      <c r="A106" s="61"/>
      <c r="B106" s="70"/>
      <c r="C106" s="26" t="s">
        <v>173</v>
      </c>
      <c r="D106" s="26"/>
      <c r="E106" s="13">
        <f t="shared" si="15"/>
        <v>105</v>
      </c>
      <c r="F106" s="13">
        <f t="shared" si="15"/>
        <v>105</v>
      </c>
      <c r="G106" s="13">
        <f t="shared" si="15"/>
        <v>105</v>
      </c>
      <c r="H106" s="5"/>
      <c r="I106" s="13">
        <f t="shared" si="12"/>
        <v>105</v>
      </c>
      <c r="J106" s="13">
        <f t="shared" si="13"/>
        <v>105</v>
      </c>
      <c r="K106" s="13">
        <f t="shared" si="14"/>
        <v>105</v>
      </c>
      <c r="L106" s="13">
        <f t="shared" si="14"/>
        <v>105</v>
      </c>
      <c r="M106" s="11" t="s">
        <v>84</v>
      </c>
      <c r="N106" s="11" t="s">
        <v>68</v>
      </c>
      <c r="O106" s="13">
        <f t="shared" si="11"/>
        <v>105</v>
      </c>
    </row>
    <row r="107" spans="1:15" x14ac:dyDescent="0.25">
      <c r="A107" s="61"/>
      <c r="B107" s="70"/>
      <c r="C107" s="26" t="s">
        <v>174</v>
      </c>
      <c r="D107" s="26"/>
      <c r="E107" s="13">
        <f t="shared" si="15"/>
        <v>106</v>
      </c>
      <c r="F107" s="13">
        <f t="shared" si="15"/>
        <v>106</v>
      </c>
      <c r="G107" s="13">
        <f t="shared" si="15"/>
        <v>106</v>
      </c>
      <c r="H107" s="5"/>
      <c r="I107" s="13">
        <f t="shared" si="12"/>
        <v>106</v>
      </c>
      <c r="J107" s="13">
        <f t="shared" si="13"/>
        <v>106</v>
      </c>
      <c r="K107" s="13">
        <f t="shared" si="14"/>
        <v>106</v>
      </c>
      <c r="L107" s="13">
        <f t="shared" si="14"/>
        <v>106</v>
      </c>
      <c r="M107" s="11" t="s">
        <v>73</v>
      </c>
      <c r="N107" s="11" t="s">
        <v>68</v>
      </c>
      <c r="O107" s="13">
        <f t="shared" si="11"/>
        <v>106</v>
      </c>
    </row>
    <row r="108" spans="1:15" x14ac:dyDescent="0.25">
      <c r="A108" s="61"/>
      <c r="B108" s="69" t="s">
        <v>37</v>
      </c>
      <c r="C108" s="26" t="s">
        <v>175</v>
      </c>
      <c r="D108" s="26"/>
      <c r="E108" s="13">
        <f t="shared" si="15"/>
        <v>107</v>
      </c>
      <c r="F108" s="13"/>
      <c r="G108" s="5"/>
      <c r="H108" s="13">
        <f t="shared" ref="G108:H115" si="16">$O108</f>
        <v>107</v>
      </c>
      <c r="I108" s="13">
        <f t="shared" si="12"/>
        <v>107</v>
      </c>
      <c r="J108" s="13">
        <f t="shared" si="13"/>
        <v>107</v>
      </c>
      <c r="K108" s="13">
        <f t="shared" si="14"/>
        <v>107</v>
      </c>
      <c r="L108" s="13">
        <f t="shared" si="14"/>
        <v>107</v>
      </c>
      <c r="M108" s="11" t="s">
        <v>74</v>
      </c>
      <c r="N108" s="11" t="s">
        <v>72</v>
      </c>
      <c r="O108" s="13">
        <f t="shared" si="11"/>
        <v>107</v>
      </c>
    </row>
    <row r="109" spans="1:15" x14ac:dyDescent="0.25">
      <c r="A109" s="61"/>
      <c r="B109" s="70"/>
      <c r="C109" s="26" t="s">
        <v>176</v>
      </c>
      <c r="D109" s="26"/>
      <c r="E109" s="13">
        <f t="shared" si="15"/>
        <v>108</v>
      </c>
      <c r="F109" s="13"/>
      <c r="G109" s="5"/>
      <c r="H109" s="13">
        <f t="shared" si="16"/>
        <v>108</v>
      </c>
      <c r="I109" s="13">
        <f t="shared" si="12"/>
        <v>108</v>
      </c>
      <c r="J109" s="13">
        <f t="shared" si="13"/>
        <v>108</v>
      </c>
      <c r="K109" s="13">
        <f t="shared" si="14"/>
        <v>108</v>
      </c>
      <c r="L109" s="13">
        <f t="shared" si="14"/>
        <v>108</v>
      </c>
      <c r="M109" s="11" t="s">
        <v>74</v>
      </c>
      <c r="N109" s="11" t="s">
        <v>72</v>
      </c>
      <c r="O109" s="13">
        <f t="shared" si="11"/>
        <v>108</v>
      </c>
    </row>
    <row r="110" spans="1:15" x14ac:dyDescent="0.25">
      <c r="A110" s="61"/>
      <c r="B110" s="70"/>
      <c r="C110" s="26" t="s">
        <v>177</v>
      </c>
      <c r="D110" s="26"/>
      <c r="E110" s="13">
        <f t="shared" si="15"/>
        <v>109</v>
      </c>
      <c r="F110" s="13"/>
      <c r="G110" s="5"/>
      <c r="H110" s="13">
        <f t="shared" si="16"/>
        <v>109</v>
      </c>
      <c r="I110" s="13">
        <f t="shared" si="12"/>
        <v>109</v>
      </c>
      <c r="J110" s="13">
        <f t="shared" si="13"/>
        <v>109</v>
      </c>
      <c r="K110" s="13">
        <f t="shared" si="14"/>
        <v>109</v>
      </c>
      <c r="L110" s="13">
        <f t="shared" si="14"/>
        <v>109</v>
      </c>
      <c r="M110" s="11" t="s">
        <v>82</v>
      </c>
      <c r="N110" s="11" t="s">
        <v>72</v>
      </c>
      <c r="O110" s="13">
        <f t="shared" si="11"/>
        <v>109</v>
      </c>
    </row>
    <row r="111" spans="1:15" x14ac:dyDescent="0.25">
      <c r="A111" s="61"/>
      <c r="B111" s="70"/>
      <c r="C111" s="26" t="s">
        <v>178</v>
      </c>
      <c r="D111" s="26"/>
      <c r="E111" s="13">
        <f t="shared" si="15"/>
        <v>110</v>
      </c>
      <c r="F111" s="13"/>
      <c r="G111" s="5"/>
      <c r="H111" s="13">
        <f t="shared" si="16"/>
        <v>110</v>
      </c>
      <c r="I111" s="13">
        <f t="shared" si="12"/>
        <v>110</v>
      </c>
      <c r="J111" s="13">
        <f t="shared" si="13"/>
        <v>110</v>
      </c>
      <c r="K111" s="13">
        <f t="shared" si="14"/>
        <v>110</v>
      </c>
      <c r="L111" s="13">
        <f t="shared" si="14"/>
        <v>110</v>
      </c>
      <c r="M111" s="11" t="s">
        <v>74</v>
      </c>
      <c r="N111" s="11" t="s">
        <v>72</v>
      </c>
      <c r="O111" s="13">
        <f t="shared" si="11"/>
        <v>110</v>
      </c>
    </row>
    <row r="112" spans="1:15" x14ac:dyDescent="0.25">
      <c r="A112" s="61"/>
      <c r="B112" s="75"/>
      <c r="C112" s="26" t="s">
        <v>240</v>
      </c>
      <c r="D112" s="26"/>
      <c r="E112" s="13">
        <f t="shared" si="15"/>
        <v>111</v>
      </c>
      <c r="F112" s="13"/>
      <c r="G112" s="5"/>
      <c r="H112" s="13">
        <f t="shared" si="16"/>
        <v>111</v>
      </c>
      <c r="I112" s="13">
        <f t="shared" si="12"/>
        <v>111</v>
      </c>
      <c r="J112" s="13">
        <f t="shared" si="13"/>
        <v>111</v>
      </c>
      <c r="K112" s="13">
        <f t="shared" si="14"/>
        <v>111</v>
      </c>
      <c r="L112" s="13">
        <f t="shared" si="14"/>
        <v>111</v>
      </c>
      <c r="M112" s="11" t="s">
        <v>85</v>
      </c>
      <c r="N112" s="11" t="s">
        <v>72</v>
      </c>
      <c r="O112" s="13">
        <f t="shared" si="11"/>
        <v>111</v>
      </c>
    </row>
    <row r="113" spans="1:15" x14ac:dyDescent="0.25">
      <c r="A113" s="61"/>
      <c r="B113" s="63" t="s">
        <v>300</v>
      </c>
      <c r="C113" s="41" t="s">
        <v>312</v>
      </c>
      <c r="D113" s="41"/>
      <c r="E113" s="44">
        <f t="shared" si="15"/>
        <v>112</v>
      </c>
      <c r="F113" s="13"/>
      <c r="G113" s="5"/>
      <c r="H113" s="13"/>
      <c r="I113" s="13" t="str">
        <f t="shared" si="12"/>
        <v/>
      </c>
      <c r="J113" s="13"/>
      <c r="K113" s="13" t="str">
        <f t="shared" si="14"/>
        <v/>
      </c>
      <c r="L113" s="13" t="str">
        <f t="shared" si="14"/>
        <v/>
      </c>
      <c r="M113" s="43" t="s">
        <v>313</v>
      </c>
      <c r="N113" s="11" t="s">
        <v>68</v>
      </c>
      <c r="O113" s="13">
        <f t="shared" si="11"/>
        <v>112</v>
      </c>
    </row>
    <row r="114" spans="1:15" x14ac:dyDescent="0.25">
      <c r="A114" s="61"/>
      <c r="B114" s="64"/>
      <c r="C114" s="41" t="s">
        <v>357</v>
      </c>
      <c r="D114" s="41"/>
      <c r="E114" s="13"/>
      <c r="F114" s="13"/>
      <c r="G114" s="13">
        <f t="shared" si="16"/>
        <v>113</v>
      </c>
      <c r="H114" s="13">
        <f t="shared" si="16"/>
        <v>113</v>
      </c>
      <c r="I114" s="13">
        <f t="shared" si="12"/>
        <v>113</v>
      </c>
      <c r="J114" s="13">
        <f t="shared" ref="J114:J115" si="17">IF(COUNT(H114,F114)&gt;0,$O114,"")</f>
        <v>113</v>
      </c>
      <c r="K114" s="13">
        <f t="shared" si="14"/>
        <v>113</v>
      </c>
      <c r="L114" s="13">
        <f t="shared" si="14"/>
        <v>113</v>
      </c>
      <c r="M114" s="43" t="s">
        <v>313</v>
      </c>
      <c r="N114" s="11" t="s">
        <v>68</v>
      </c>
      <c r="O114" s="13">
        <f t="shared" si="11"/>
        <v>113</v>
      </c>
    </row>
    <row r="115" spans="1:15" x14ac:dyDescent="0.25">
      <c r="A115" s="61"/>
      <c r="B115" s="64"/>
      <c r="C115" s="41" t="s">
        <v>326</v>
      </c>
      <c r="D115" s="41"/>
      <c r="E115" s="44">
        <f t="shared" si="15"/>
        <v>114</v>
      </c>
      <c r="F115" s="13"/>
      <c r="G115" s="5"/>
      <c r="H115" s="13">
        <f t="shared" si="16"/>
        <v>114</v>
      </c>
      <c r="I115" s="13">
        <f t="shared" si="12"/>
        <v>114</v>
      </c>
      <c r="J115" s="13">
        <f t="shared" si="17"/>
        <v>114</v>
      </c>
      <c r="K115" s="13">
        <f t="shared" si="14"/>
        <v>114</v>
      </c>
      <c r="L115" s="13">
        <f t="shared" si="14"/>
        <v>114</v>
      </c>
      <c r="M115" s="43" t="s">
        <v>308</v>
      </c>
      <c r="N115" s="11" t="s">
        <v>68</v>
      </c>
      <c r="O115" s="13">
        <f t="shared" si="11"/>
        <v>114</v>
      </c>
    </row>
    <row r="116" spans="1:15" x14ac:dyDescent="0.25">
      <c r="A116" s="61"/>
      <c r="B116" s="78"/>
      <c r="C116" s="41" t="s">
        <v>359</v>
      </c>
      <c r="D116" s="41" t="s">
        <v>362</v>
      </c>
      <c r="E116" s="44">
        <f t="shared" si="15"/>
        <v>115</v>
      </c>
      <c r="F116" s="13"/>
      <c r="G116" s="5"/>
      <c r="H116" s="13"/>
      <c r="I116" s="13"/>
      <c r="J116" s="13"/>
      <c r="K116" s="13"/>
      <c r="L116" s="13"/>
      <c r="M116" s="43"/>
      <c r="N116" s="11" t="s">
        <v>68</v>
      </c>
      <c r="O116" s="13">
        <f t="shared" si="11"/>
        <v>115</v>
      </c>
    </row>
    <row r="117" spans="1:15" x14ac:dyDescent="0.25">
      <c r="A117" s="61"/>
      <c r="B117" s="69" t="s">
        <v>26</v>
      </c>
      <c r="C117" s="26" t="s">
        <v>179</v>
      </c>
      <c r="D117" s="26"/>
      <c r="E117" s="13">
        <f t="shared" si="15"/>
        <v>116</v>
      </c>
      <c r="F117" s="13"/>
      <c r="G117" s="5"/>
      <c r="H117" s="5"/>
      <c r="I117" s="13" t="str">
        <f t="shared" si="12"/>
        <v/>
      </c>
      <c r="J117" s="13" t="str">
        <f t="shared" si="13"/>
        <v/>
      </c>
      <c r="K117" s="13" t="str">
        <f t="shared" si="14"/>
        <v/>
      </c>
      <c r="L117" s="13" t="str">
        <f t="shared" si="14"/>
        <v/>
      </c>
      <c r="M117" s="11" t="s">
        <v>75</v>
      </c>
      <c r="N117" s="11" t="s">
        <v>364</v>
      </c>
      <c r="O117" s="13">
        <f t="shared" si="11"/>
        <v>116</v>
      </c>
    </row>
    <row r="118" spans="1:15" x14ac:dyDescent="0.25">
      <c r="A118" s="61"/>
      <c r="B118" s="70"/>
      <c r="C118" s="26" t="s">
        <v>180</v>
      </c>
      <c r="D118" s="26"/>
      <c r="E118" s="13">
        <f t="shared" si="15"/>
        <v>117</v>
      </c>
      <c r="F118" s="13"/>
      <c r="G118" s="5"/>
      <c r="H118" s="5"/>
      <c r="I118" s="13" t="str">
        <f t="shared" si="12"/>
        <v/>
      </c>
      <c r="J118" s="13" t="str">
        <f t="shared" si="13"/>
        <v/>
      </c>
      <c r="K118" s="13" t="str">
        <f t="shared" si="14"/>
        <v/>
      </c>
      <c r="L118" s="13" t="str">
        <f t="shared" si="14"/>
        <v/>
      </c>
      <c r="M118" s="11" t="s">
        <v>75</v>
      </c>
      <c r="N118" s="11" t="s">
        <v>364</v>
      </c>
      <c r="O118" s="13">
        <f t="shared" si="11"/>
        <v>117</v>
      </c>
    </row>
    <row r="119" spans="1:15" x14ac:dyDescent="0.25">
      <c r="A119" s="61"/>
      <c r="B119" s="70"/>
      <c r="C119" s="26" t="s">
        <v>181</v>
      </c>
      <c r="D119" s="26"/>
      <c r="E119" s="13"/>
      <c r="F119" s="13"/>
      <c r="G119" s="5"/>
      <c r="H119" s="5"/>
      <c r="I119" s="13" t="str">
        <f t="shared" si="12"/>
        <v/>
      </c>
      <c r="J119" s="13" t="str">
        <f t="shared" si="13"/>
        <v/>
      </c>
      <c r="K119" s="13" t="str">
        <f t="shared" si="14"/>
        <v/>
      </c>
      <c r="L119" s="13" t="str">
        <f t="shared" si="14"/>
        <v/>
      </c>
      <c r="M119" s="11" t="s">
        <v>83</v>
      </c>
      <c r="N119" s="11" t="s">
        <v>364</v>
      </c>
      <c r="O119" s="13">
        <f t="shared" si="11"/>
        <v>118</v>
      </c>
    </row>
    <row r="120" spans="1:15" x14ac:dyDescent="0.25">
      <c r="A120" s="61"/>
      <c r="B120" s="75"/>
      <c r="C120" s="26" t="s">
        <v>182</v>
      </c>
      <c r="D120" s="26"/>
      <c r="E120" s="13">
        <f t="shared" si="15"/>
        <v>119</v>
      </c>
      <c r="F120" s="13"/>
      <c r="G120" s="5"/>
      <c r="H120" s="5"/>
      <c r="I120" s="13" t="str">
        <f t="shared" si="12"/>
        <v/>
      </c>
      <c r="J120" s="13" t="str">
        <f t="shared" si="13"/>
        <v/>
      </c>
      <c r="K120" s="13" t="str">
        <f t="shared" si="14"/>
        <v/>
      </c>
      <c r="L120" s="13" t="str">
        <f t="shared" si="14"/>
        <v/>
      </c>
      <c r="M120" s="11" t="s">
        <v>75</v>
      </c>
      <c r="N120" s="11" t="s">
        <v>364</v>
      </c>
      <c r="O120" s="13">
        <f t="shared" si="11"/>
        <v>119</v>
      </c>
    </row>
    <row r="121" spans="1:15" x14ac:dyDescent="0.25">
      <c r="A121" s="61"/>
      <c r="B121" s="69" t="s">
        <v>29</v>
      </c>
      <c r="C121" s="26" t="s">
        <v>191</v>
      </c>
      <c r="D121" s="26"/>
      <c r="E121" s="13"/>
      <c r="F121" s="13"/>
      <c r="G121" s="5"/>
      <c r="H121" s="5"/>
      <c r="I121" s="13" t="str">
        <f t="shared" si="12"/>
        <v/>
      </c>
      <c r="J121" s="13" t="str">
        <f t="shared" si="13"/>
        <v/>
      </c>
      <c r="K121" s="13" t="str">
        <f t="shared" si="14"/>
        <v/>
      </c>
      <c r="L121" s="13" t="str">
        <f t="shared" si="14"/>
        <v/>
      </c>
      <c r="M121" s="11" t="s">
        <v>75</v>
      </c>
      <c r="N121" s="11" t="s">
        <v>68</v>
      </c>
      <c r="O121" s="13">
        <f t="shared" si="11"/>
        <v>120</v>
      </c>
    </row>
    <row r="122" spans="1:15" x14ac:dyDescent="0.25">
      <c r="A122" s="61"/>
      <c r="B122" s="70"/>
      <c r="C122" s="26" t="s">
        <v>192</v>
      </c>
      <c r="D122" s="26"/>
      <c r="E122" s="13">
        <f>$O122</f>
        <v>121</v>
      </c>
      <c r="F122" s="13"/>
      <c r="G122" s="5"/>
      <c r="H122" s="5"/>
      <c r="I122" s="13" t="str">
        <f t="shared" si="12"/>
        <v/>
      </c>
      <c r="J122" s="13" t="str">
        <f t="shared" si="13"/>
        <v/>
      </c>
      <c r="K122" s="13" t="str">
        <f t="shared" si="14"/>
        <v/>
      </c>
      <c r="L122" s="13" t="str">
        <f t="shared" si="14"/>
        <v/>
      </c>
      <c r="M122" s="11" t="s">
        <v>75</v>
      </c>
      <c r="N122" s="11" t="s">
        <v>68</v>
      </c>
      <c r="O122" s="13">
        <f t="shared" si="11"/>
        <v>121</v>
      </c>
    </row>
    <row r="123" spans="1:15" x14ac:dyDescent="0.25">
      <c r="A123" s="61"/>
      <c r="B123" s="70"/>
      <c r="C123" s="26" t="s">
        <v>193</v>
      </c>
      <c r="D123" s="26"/>
      <c r="E123" s="13"/>
      <c r="F123" s="13"/>
      <c r="G123" s="5"/>
      <c r="H123" s="5"/>
      <c r="I123" s="13" t="str">
        <f t="shared" si="12"/>
        <v/>
      </c>
      <c r="J123" s="13" t="str">
        <f t="shared" si="13"/>
        <v/>
      </c>
      <c r="K123" s="13" t="str">
        <f t="shared" si="14"/>
        <v/>
      </c>
      <c r="L123" s="13" t="str">
        <f t="shared" si="14"/>
        <v/>
      </c>
      <c r="M123" s="11" t="s">
        <v>83</v>
      </c>
      <c r="N123" s="11" t="s">
        <v>68</v>
      </c>
      <c r="O123" s="13">
        <f t="shared" si="11"/>
        <v>122</v>
      </c>
    </row>
    <row r="124" spans="1:15" x14ac:dyDescent="0.25">
      <c r="A124" s="61"/>
      <c r="B124" s="75"/>
      <c r="C124" s="26" t="s">
        <v>194</v>
      </c>
      <c r="D124" s="26"/>
      <c r="E124" s="13"/>
      <c r="F124" s="13"/>
      <c r="G124" s="5"/>
      <c r="H124" s="5"/>
      <c r="I124" s="13" t="str">
        <f t="shared" si="12"/>
        <v/>
      </c>
      <c r="J124" s="13" t="str">
        <f t="shared" si="13"/>
        <v/>
      </c>
      <c r="K124" s="13" t="str">
        <f t="shared" si="14"/>
        <v/>
      </c>
      <c r="L124" s="13" t="str">
        <f t="shared" si="14"/>
        <v/>
      </c>
      <c r="M124" s="11" t="s">
        <v>75</v>
      </c>
      <c r="N124" s="11" t="s">
        <v>68</v>
      </c>
      <c r="O124" s="13">
        <f t="shared" si="11"/>
        <v>123</v>
      </c>
    </row>
    <row r="125" spans="1:15" x14ac:dyDescent="0.25">
      <c r="A125" s="61"/>
      <c r="B125" s="69" t="s">
        <v>32</v>
      </c>
      <c r="C125" s="26" t="s">
        <v>203</v>
      </c>
      <c r="D125" s="26"/>
      <c r="E125" s="13"/>
      <c r="F125" s="13"/>
      <c r="G125" s="5"/>
      <c r="H125" s="5"/>
      <c r="I125" s="13" t="str">
        <f t="shared" si="12"/>
        <v/>
      </c>
      <c r="J125" s="13" t="str">
        <f t="shared" si="13"/>
        <v/>
      </c>
      <c r="K125" s="13" t="str">
        <f t="shared" si="14"/>
        <v/>
      </c>
      <c r="L125" s="13" t="str">
        <f t="shared" si="14"/>
        <v/>
      </c>
      <c r="M125" s="11" t="s">
        <v>75</v>
      </c>
      <c r="N125" s="11" t="s">
        <v>364</v>
      </c>
      <c r="O125" s="13">
        <f t="shared" si="11"/>
        <v>124</v>
      </c>
    </row>
    <row r="126" spans="1:15" x14ac:dyDescent="0.25">
      <c r="A126" s="61"/>
      <c r="B126" s="70"/>
      <c r="C126" s="26" t="s">
        <v>204</v>
      </c>
      <c r="D126" s="26"/>
      <c r="E126" s="13">
        <f>$O126</f>
        <v>125</v>
      </c>
      <c r="F126" s="13"/>
      <c r="G126" s="5"/>
      <c r="H126" s="5"/>
      <c r="I126" s="13" t="str">
        <f t="shared" si="12"/>
        <v/>
      </c>
      <c r="J126" s="13" t="str">
        <f t="shared" si="13"/>
        <v/>
      </c>
      <c r="K126" s="13" t="str">
        <f t="shared" si="14"/>
        <v/>
      </c>
      <c r="L126" s="13" t="str">
        <f t="shared" si="14"/>
        <v/>
      </c>
      <c r="M126" s="11" t="s">
        <v>75</v>
      </c>
      <c r="N126" s="11" t="s">
        <v>364</v>
      </c>
      <c r="O126" s="13">
        <f t="shared" si="11"/>
        <v>125</v>
      </c>
    </row>
    <row r="127" spans="1:15" x14ac:dyDescent="0.25">
      <c r="A127" s="61"/>
      <c r="B127" s="70"/>
      <c r="C127" s="26" t="s">
        <v>205</v>
      </c>
      <c r="D127" s="26"/>
      <c r="E127" s="13"/>
      <c r="F127" s="13"/>
      <c r="G127" s="5"/>
      <c r="H127" s="5"/>
      <c r="I127" s="13" t="str">
        <f t="shared" si="12"/>
        <v/>
      </c>
      <c r="J127" s="13" t="str">
        <f t="shared" si="13"/>
        <v/>
      </c>
      <c r="K127" s="13" t="str">
        <f t="shared" si="14"/>
        <v/>
      </c>
      <c r="L127" s="13" t="str">
        <f t="shared" si="14"/>
        <v/>
      </c>
      <c r="M127" s="11" t="s">
        <v>83</v>
      </c>
      <c r="N127" s="11" t="s">
        <v>364</v>
      </c>
      <c r="O127" s="13">
        <f t="shared" si="11"/>
        <v>126</v>
      </c>
    </row>
    <row r="128" spans="1:15" x14ac:dyDescent="0.25">
      <c r="A128" s="61"/>
      <c r="B128" s="75"/>
      <c r="C128" s="26" t="s">
        <v>206</v>
      </c>
      <c r="D128" s="26"/>
      <c r="E128" s="13"/>
      <c r="F128" s="13"/>
      <c r="G128" s="5"/>
      <c r="H128" s="5"/>
      <c r="I128" s="13" t="str">
        <f t="shared" si="12"/>
        <v/>
      </c>
      <c r="J128" s="13" t="str">
        <f t="shared" si="13"/>
        <v/>
      </c>
      <c r="K128" s="13" t="str">
        <f t="shared" si="14"/>
        <v/>
      </c>
      <c r="L128" s="13" t="str">
        <f t="shared" si="14"/>
        <v/>
      </c>
      <c r="M128" s="11" t="s">
        <v>75</v>
      </c>
      <c r="N128" s="11" t="s">
        <v>364</v>
      </c>
      <c r="O128" s="13">
        <f t="shared" si="11"/>
        <v>127</v>
      </c>
    </row>
    <row r="129" spans="1:15" x14ac:dyDescent="0.25">
      <c r="A129" s="61"/>
      <c r="B129" s="69" t="s">
        <v>35</v>
      </c>
      <c r="C129" s="26" t="s">
        <v>215</v>
      </c>
      <c r="D129" s="26"/>
      <c r="E129" s="13"/>
      <c r="F129" s="13"/>
      <c r="G129" s="5"/>
      <c r="H129" s="5"/>
      <c r="I129" s="13" t="str">
        <f t="shared" si="12"/>
        <v/>
      </c>
      <c r="J129" s="13" t="str">
        <f t="shared" si="13"/>
        <v/>
      </c>
      <c r="K129" s="13" t="str">
        <f t="shared" si="14"/>
        <v/>
      </c>
      <c r="L129" s="13" t="str">
        <f t="shared" si="14"/>
        <v/>
      </c>
      <c r="M129" s="11" t="s">
        <v>75</v>
      </c>
      <c r="N129" s="11" t="s">
        <v>68</v>
      </c>
      <c r="O129" s="13">
        <f t="shared" si="11"/>
        <v>128</v>
      </c>
    </row>
    <row r="130" spans="1:15" x14ac:dyDescent="0.25">
      <c r="A130" s="61"/>
      <c r="B130" s="70"/>
      <c r="C130" s="26" t="s">
        <v>216</v>
      </c>
      <c r="D130" s="26"/>
      <c r="E130" s="13">
        <f>$O130</f>
        <v>129</v>
      </c>
      <c r="F130" s="13"/>
      <c r="G130" s="5"/>
      <c r="H130" s="5"/>
      <c r="I130" s="13" t="str">
        <f t="shared" si="12"/>
        <v/>
      </c>
      <c r="J130" s="13" t="str">
        <f t="shared" si="13"/>
        <v/>
      </c>
      <c r="K130" s="13" t="str">
        <f t="shared" si="14"/>
        <v/>
      </c>
      <c r="L130" s="13" t="str">
        <f t="shared" si="14"/>
        <v/>
      </c>
      <c r="M130" s="11" t="s">
        <v>75</v>
      </c>
      <c r="N130" s="11" t="s">
        <v>68</v>
      </c>
      <c r="O130" s="13">
        <f t="shared" si="11"/>
        <v>129</v>
      </c>
    </row>
    <row r="131" spans="1:15" x14ac:dyDescent="0.25">
      <c r="A131" s="61"/>
      <c r="B131" s="70"/>
      <c r="C131" s="26" t="s">
        <v>217</v>
      </c>
      <c r="D131" s="26"/>
      <c r="E131" s="13"/>
      <c r="F131" s="13"/>
      <c r="G131" s="5"/>
      <c r="H131" s="5"/>
      <c r="I131" s="13" t="str">
        <f t="shared" si="12"/>
        <v/>
      </c>
      <c r="J131" s="13" t="str">
        <f t="shared" si="13"/>
        <v/>
      </c>
      <c r="K131" s="13" t="str">
        <f t="shared" si="14"/>
        <v/>
      </c>
      <c r="L131" s="13" t="str">
        <f t="shared" si="14"/>
        <v/>
      </c>
      <c r="M131" s="11" t="s">
        <v>83</v>
      </c>
      <c r="N131" s="11" t="s">
        <v>68</v>
      </c>
      <c r="O131" s="13">
        <f t="shared" si="11"/>
        <v>130</v>
      </c>
    </row>
    <row r="132" spans="1:15" x14ac:dyDescent="0.25">
      <c r="A132" s="61"/>
      <c r="B132" s="75"/>
      <c r="C132" s="26" t="s">
        <v>218</v>
      </c>
      <c r="D132" s="26"/>
      <c r="E132" s="13"/>
      <c r="F132" s="13"/>
      <c r="G132" s="5"/>
      <c r="H132" s="5"/>
      <c r="I132" s="13" t="str">
        <f t="shared" si="12"/>
        <v/>
      </c>
      <c r="J132" s="13" t="str">
        <f t="shared" si="13"/>
        <v/>
      </c>
      <c r="K132" s="13" t="str">
        <f t="shared" si="14"/>
        <v/>
      </c>
      <c r="L132" s="13" t="str">
        <f t="shared" si="14"/>
        <v/>
      </c>
      <c r="M132" s="11" t="s">
        <v>75</v>
      </c>
      <c r="N132" s="11" t="s">
        <v>68</v>
      </c>
      <c r="O132" s="13">
        <f t="shared" si="11"/>
        <v>131</v>
      </c>
    </row>
    <row r="133" spans="1:15" x14ac:dyDescent="0.25">
      <c r="A133" s="61"/>
      <c r="B133" s="69" t="s">
        <v>36</v>
      </c>
      <c r="C133" s="26" t="s">
        <v>219</v>
      </c>
      <c r="D133" s="26"/>
      <c r="E133" s="13"/>
      <c r="F133" s="13"/>
      <c r="G133" s="5"/>
      <c r="H133" s="5"/>
      <c r="I133" s="13" t="str">
        <f t="shared" si="12"/>
        <v/>
      </c>
      <c r="J133" s="13" t="str">
        <f t="shared" si="13"/>
        <v/>
      </c>
      <c r="K133" s="13" t="str">
        <f t="shared" si="14"/>
        <v/>
      </c>
      <c r="L133" s="13" t="str">
        <f t="shared" si="14"/>
        <v/>
      </c>
      <c r="M133" s="11" t="s">
        <v>75</v>
      </c>
      <c r="N133" s="11" t="s">
        <v>364</v>
      </c>
      <c r="O133" s="13">
        <f t="shared" si="11"/>
        <v>132</v>
      </c>
    </row>
    <row r="134" spans="1:15" x14ac:dyDescent="0.25">
      <c r="A134" s="61"/>
      <c r="B134" s="70"/>
      <c r="C134" s="26" t="s">
        <v>220</v>
      </c>
      <c r="D134" s="26"/>
      <c r="E134" s="13">
        <f>$O134</f>
        <v>133</v>
      </c>
      <c r="F134" s="13"/>
      <c r="G134" s="5"/>
      <c r="H134" s="5"/>
      <c r="I134" s="13" t="str">
        <f t="shared" si="12"/>
        <v/>
      </c>
      <c r="J134" s="13" t="str">
        <f t="shared" si="13"/>
        <v/>
      </c>
      <c r="K134" s="13" t="str">
        <f t="shared" si="14"/>
        <v/>
      </c>
      <c r="L134" s="13" t="str">
        <f t="shared" si="14"/>
        <v/>
      </c>
      <c r="M134" s="11" t="s">
        <v>75</v>
      </c>
      <c r="N134" s="11" t="s">
        <v>364</v>
      </c>
      <c r="O134" s="13">
        <f t="shared" si="11"/>
        <v>133</v>
      </c>
    </row>
    <row r="135" spans="1:15" x14ac:dyDescent="0.25">
      <c r="A135" s="61"/>
      <c r="B135" s="70"/>
      <c r="C135" s="26" t="s">
        <v>221</v>
      </c>
      <c r="D135" s="26"/>
      <c r="E135" s="13"/>
      <c r="F135" s="13"/>
      <c r="G135" s="5"/>
      <c r="H135" s="5"/>
      <c r="I135" s="13" t="str">
        <f t="shared" si="12"/>
        <v/>
      </c>
      <c r="J135" s="13" t="str">
        <f t="shared" si="13"/>
        <v/>
      </c>
      <c r="K135" s="13" t="str">
        <f t="shared" si="14"/>
        <v/>
      </c>
      <c r="L135" s="13" t="str">
        <f t="shared" si="14"/>
        <v/>
      </c>
      <c r="M135" s="11" t="s">
        <v>83</v>
      </c>
      <c r="N135" s="11" t="s">
        <v>364</v>
      </c>
      <c r="O135" s="13">
        <f t="shared" si="11"/>
        <v>134</v>
      </c>
    </row>
    <row r="136" spans="1:15" x14ac:dyDescent="0.25">
      <c r="A136" s="61"/>
      <c r="B136" s="75"/>
      <c r="C136" s="26" t="s">
        <v>222</v>
      </c>
      <c r="D136" s="26"/>
      <c r="E136" s="13"/>
      <c r="F136" s="13"/>
      <c r="G136" s="5"/>
      <c r="H136" s="5"/>
      <c r="I136" s="13" t="str">
        <f t="shared" si="12"/>
        <v/>
      </c>
      <c r="J136" s="13" t="str">
        <f t="shared" si="13"/>
        <v/>
      </c>
      <c r="K136" s="13" t="str">
        <f t="shared" si="14"/>
        <v/>
      </c>
      <c r="L136" s="13" t="str">
        <f t="shared" si="14"/>
        <v/>
      </c>
      <c r="M136" s="11" t="s">
        <v>75</v>
      </c>
      <c r="N136" s="11" t="s">
        <v>364</v>
      </c>
      <c r="O136" s="13">
        <f t="shared" si="11"/>
        <v>135</v>
      </c>
    </row>
    <row r="137" spans="1:15" x14ac:dyDescent="0.25">
      <c r="A137" s="61"/>
      <c r="B137" s="69" t="s">
        <v>27</v>
      </c>
      <c r="C137" s="26" t="s">
        <v>183</v>
      </c>
      <c r="D137" s="26"/>
      <c r="E137" s="13"/>
      <c r="F137" s="13"/>
      <c r="G137" s="5"/>
      <c r="H137" s="5"/>
      <c r="I137" s="13" t="str">
        <f t="shared" si="12"/>
        <v/>
      </c>
      <c r="J137" s="13" t="str">
        <f t="shared" si="13"/>
        <v/>
      </c>
      <c r="K137" s="13" t="str">
        <f t="shared" si="14"/>
        <v/>
      </c>
      <c r="L137" s="13" t="str">
        <f t="shared" si="14"/>
        <v/>
      </c>
      <c r="M137" s="51" t="s">
        <v>363</v>
      </c>
      <c r="N137" s="11" t="s">
        <v>70</v>
      </c>
      <c r="O137" s="13">
        <f t="shared" si="11"/>
        <v>136</v>
      </c>
    </row>
    <row r="138" spans="1:15" x14ac:dyDescent="0.25">
      <c r="A138" s="61"/>
      <c r="B138" s="70"/>
      <c r="C138" s="26" t="s">
        <v>184</v>
      </c>
      <c r="D138" s="26"/>
      <c r="E138" s="13">
        <f t="shared" si="15"/>
        <v>137</v>
      </c>
      <c r="F138" s="13"/>
      <c r="G138" s="5"/>
      <c r="H138" s="5"/>
      <c r="I138" s="13" t="str">
        <f t="shared" si="12"/>
        <v/>
      </c>
      <c r="J138" s="13" t="str">
        <f t="shared" si="13"/>
        <v/>
      </c>
      <c r="K138" s="13" t="str">
        <f t="shared" si="14"/>
        <v/>
      </c>
      <c r="L138" s="13" t="str">
        <f t="shared" si="14"/>
        <v/>
      </c>
      <c r="M138" s="51" t="s">
        <v>363</v>
      </c>
      <c r="N138" s="11" t="s">
        <v>70</v>
      </c>
      <c r="O138" s="13">
        <f t="shared" si="11"/>
        <v>137</v>
      </c>
    </row>
    <row r="139" spans="1:15" x14ac:dyDescent="0.25">
      <c r="A139" s="61"/>
      <c r="B139" s="70"/>
      <c r="C139" s="26" t="s">
        <v>185</v>
      </c>
      <c r="D139" s="26"/>
      <c r="E139" s="13"/>
      <c r="F139" s="13"/>
      <c r="G139" s="5"/>
      <c r="H139" s="5"/>
      <c r="I139" s="13" t="str">
        <f t="shared" si="12"/>
        <v/>
      </c>
      <c r="J139" s="13" t="str">
        <f t="shared" si="13"/>
        <v/>
      </c>
      <c r="K139" s="13" t="str">
        <f t="shared" si="14"/>
        <v/>
      </c>
      <c r="L139" s="13" t="str">
        <f t="shared" si="14"/>
        <v/>
      </c>
      <c r="M139" s="51" t="s">
        <v>363</v>
      </c>
      <c r="N139" s="11" t="s">
        <v>70</v>
      </c>
      <c r="O139" s="13">
        <f t="shared" si="11"/>
        <v>138</v>
      </c>
    </row>
    <row r="140" spans="1:15" x14ac:dyDescent="0.25">
      <c r="A140" s="61"/>
      <c r="B140" s="75"/>
      <c r="C140" s="26" t="s">
        <v>186</v>
      </c>
      <c r="D140" s="26"/>
      <c r="E140" s="13"/>
      <c r="F140" s="13"/>
      <c r="G140" s="5"/>
      <c r="H140" s="5"/>
      <c r="I140" s="13" t="str">
        <f t="shared" si="12"/>
        <v/>
      </c>
      <c r="J140" s="13" t="str">
        <f t="shared" si="13"/>
        <v/>
      </c>
      <c r="K140" s="13" t="str">
        <f t="shared" si="14"/>
        <v/>
      </c>
      <c r="L140" s="13" t="str">
        <f t="shared" si="14"/>
        <v/>
      </c>
      <c r="M140" s="51" t="s">
        <v>363</v>
      </c>
      <c r="N140" s="11" t="s">
        <v>70</v>
      </c>
      <c r="O140" s="13">
        <f t="shared" si="11"/>
        <v>139</v>
      </c>
    </row>
    <row r="141" spans="1:15" x14ac:dyDescent="0.25">
      <c r="A141" s="61"/>
      <c r="B141" s="69" t="s">
        <v>28</v>
      </c>
      <c r="C141" s="26" t="s">
        <v>187</v>
      </c>
      <c r="D141" s="26"/>
      <c r="E141" s="13"/>
      <c r="F141" s="13"/>
      <c r="G141" s="5"/>
      <c r="H141" s="5"/>
      <c r="I141" s="13" t="str">
        <f t="shared" si="12"/>
        <v/>
      </c>
      <c r="J141" s="13" t="str">
        <f t="shared" si="13"/>
        <v/>
      </c>
      <c r="K141" s="13" t="str">
        <f t="shared" si="14"/>
        <v/>
      </c>
      <c r="L141" s="13" t="str">
        <f t="shared" si="14"/>
        <v/>
      </c>
      <c r="M141" s="51" t="s">
        <v>363</v>
      </c>
      <c r="N141" s="11" t="s">
        <v>70</v>
      </c>
      <c r="O141" s="13">
        <f t="shared" si="11"/>
        <v>140</v>
      </c>
    </row>
    <row r="142" spans="1:15" x14ac:dyDescent="0.25">
      <c r="A142" s="61"/>
      <c r="B142" s="70"/>
      <c r="C142" s="26" t="s">
        <v>188</v>
      </c>
      <c r="D142" s="26"/>
      <c r="E142" s="13">
        <f t="shared" ref="E142:E158" si="18">$O142</f>
        <v>141</v>
      </c>
      <c r="F142" s="13"/>
      <c r="G142" s="5"/>
      <c r="H142" s="5"/>
      <c r="I142" s="13" t="str">
        <f t="shared" si="12"/>
        <v/>
      </c>
      <c r="J142" s="13" t="str">
        <f t="shared" si="13"/>
        <v/>
      </c>
      <c r="K142" s="13" t="str">
        <f t="shared" si="14"/>
        <v/>
      </c>
      <c r="L142" s="13" t="str">
        <f t="shared" si="14"/>
        <v/>
      </c>
      <c r="M142" s="51" t="s">
        <v>363</v>
      </c>
      <c r="N142" s="11" t="s">
        <v>70</v>
      </c>
      <c r="O142" s="13">
        <f t="shared" si="11"/>
        <v>141</v>
      </c>
    </row>
    <row r="143" spans="1:15" x14ac:dyDescent="0.25">
      <c r="A143" s="61"/>
      <c r="B143" s="70"/>
      <c r="C143" s="26" t="s">
        <v>189</v>
      </c>
      <c r="D143" s="26"/>
      <c r="E143" s="13"/>
      <c r="F143" s="13"/>
      <c r="G143" s="5"/>
      <c r="H143" s="5"/>
      <c r="I143" s="13" t="str">
        <f t="shared" si="12"/>
        <v/>
      </c>
      <c r="J143" s="13" t="str">
        <f t="shared" si="13"/>
        <v/>
      </c>
      <c r="K143" s="13" t="str">
        <f t="shared" si="14"/>
        <v/>
      </c>
      <c r="L143" s="13" t="str">
        <f t="shared" si="14"/>
        <v/>
      </c>
      <c r="M143" s="51" t="s">
        <v>363</v>
      </c>
      <c r="N143" s="11" t="s">
        <v>70</v>
      </c>
      <c r="O143" s="13">
        <f t="shared" si="11"/>
        <v>142</v>
      </c>
    </row>
    <row r="144" spans="1:15" x14ac:dyDescent="0.25">
      <c r="A144" s="61"/>
      <c r="B144" s="75"/>
      <c r="C144" s="26" t="s">
        <v>190</v>
      </c>
      <c r="D144" s="26"/>
      <c r="E144" s="13"/>
      <c r="F144" s="13"/>
      <c r="G144" s="5"/>
      <c r="H144" s="5"/>
      <c r="I144" s="13" t="str">
        <f t="shared" si="12"/>
        <v/>
      </c>
      <c r="J144" s="13" t="str">
        <f t="shared" si="13"/>
        <v/>
      </c>
      <c r="K144" s="13" t="str">
        <f t="shared" si="14"/>
        <v/>
      </c>
      <c r="L144" s="13" t="str">
        <f t="shared" si="14"/>
        <v/>
      </c>
      <c r="M144" s="51" t="s">
        <v>363</v>
      </c>
      <c r="N144" s="11" t="s">
        <v>70</v>
      </c>
      <c r="O144" s="13">
        <f t="shared" si="11"/>
        <v>143</v>
      </c>
    </row>
    <row r="145" spans="1:15" x14ac:dyDescent="0.25">
      <c r="A145" s="61"/>
      <c r="B145" s="69" t="s">
        <v>30</v>
      </c>
      <c r="C145" s="26" t="s">
        <v>195</v>
      </c>
      <c r="D145" s="26"/>
      <c r="E145" s="13"/>
      <c r="F145" s="13"/>
      <c r="G145" s="5"/>
      <c r="H145" s="5"/>
      <c r="I145" s="13" t="str">
        <f t="shared" si="12"/>
        <v/>
      </c>
      <c r="J145" s="13" t="str">
        <f t="shared" si="13"/>
        <v/>
      </c>
      <c r="K145" s="13" t="str">
        <f t="shared" si="14"/>
        <v/>
      </c>
      <c r="L145" s="13" t="str">
        <f t="shared" si="14"/>
        <v/>
      </c>
      <c r="M145" s="51" t="s">
        <v>363</v>
      </c>
      <c r="N145" s="11" t="s">
        <v>70</v>
      </c>
      <c r="O145" s="13">
        <f t="shared" si="11"/>
        <v>144</v>
      </c>
    </row>
    <row r="146" spans="1:15" x14ac:dyDescent="0.25">
      <c r="A146" s="61"/>
      <c r="B146" s="70"/>
      <c r="C146" s="26" t="s">
        <v>196</v>
      </c>
      <c r="D146" s="26"/>
      <c r="E146" s="13">
        <f t="shared" si="18"/>
        <v>145</v>
      </c>
      <c r="F146" s="13"/>
      <c r="G146" s="5"/>
      <c r="H146" s="5"/>
      <c r="I146" s="13" t="str">
        <f t="shared" si="12"/>
        <v/>
      </c>
      <c r="J146" s="13" t="str">
        <f t="shared" si="13"/>
        <v/>
      </c>
      <c r="K146" s="13" t="str">
        <f t="shared" si="14"/>
        <v/>
      </c>
      <c r="L146" s="13" t="str">
        <f t="shared" si="14"/>
        <v/>
      </c>
      <c r="M146" s="51" t="s">
        <v>363</v>
      </c>
      <c r="N146" s="11" t="s">
        <v>70</v>
      </c>
      <c r="O146" s="13">
        <f t="shared" si="11"/>
        <v>145</v>
      </c>
    </row>
    <row r="147" spans="1:15" x14ac:dyDescent="0.25">
      <c r="A147" s="61"/>
      <c r="B147" s="70"/>
      <c r="C147" s="26" t="s">
        <v>197</v>
      </c>
      <c r="D147" s="26"/>
      <c r="E147" s="13"/>
      <c r="F147" s="13"/>
      <c r="G147" s="5"/>
      <c r="H147" s="5"/>
      <c r="I147" s="13" t="str">
        <f t="shared" si="12"/>
        <v/>
      </c>
      <c r="J147" s="13" t="str">
        <f t="shared" si="13"/>
        <v/>
      </c>
      <c r="K147" s="13" t="str">
        <f t="shared" si="14"/>
        <v/>
      </c>
      <c r="L147" s="13" t="str">
        <f t="shared" si="14"/>
        <v/>
      </c>
      <c r="M147" s="51" t="s">
        <v>363</v>
      </c>
      <c r="N147" s="11" t="s">
        <v>70</v>
      </c>
      <c r="O147" s="13">
        <f t="shared" si="11"/>
        <v>146</v>
      </c>
    </row>
    <row r="148" spans="1:15" x14ac:dyDescent="0.25">
      <c r="A148" s="61"/>
      <c r="B148" s="75"/>
      <c r="C148" s="26" t="s">
        <v>198</v>
      </c>
      <c r="D148" s="26"/>
      <c r="E148" s="13"/>
      <c r="F148" s="13"/>
      <c r="G148" s="5"/>
      <c r="H148" s="5"/>
      <c r="I148" s="13" t="str">
        <f t="shared" si="12"/>
        <v/>
      </c>
      <c r="J148" s="13" t="str">
        <f t="shared" si="13"/>
        <v/>
      </c>
      <c r="K148" s="13" t="str">
        <f t="shared" si="14"/>
        <v/>
      </c>
      <c r="L148" s="13" t="str">
        <f t="shared" si="14"/>
        <v/>
      </c>
      <c r="M148" s="51" t="s">
        <v>363</v>
      </c>
      <c r="N148" s="11" t="s">
        <v>70</v>
      </c>
      <c r="O148" s="13">
        <f t="shared" si="11"/>
        <v>147</v>
      </c>
    </row>
    <row r="149" spans="1:15" x14ac:dyDescent="0.25">
      <c r="A149" s="61"/>
      <c r="B149" s="69" t="s">
        <v>31</v>
      </c>
      <c r="C149" s="26" t="s">
        <v>199</v>
      </c>
      <c r="D149" s="26"/>
      <c r="E149" s="13"/>
      <c r="F149" s="13"/>
      <c r="G149" s="5"/>
      <c r="H149" s="5"/>
      <c r="I149" s="13" t="str">
        <f t="shared" si="12"/>
        <v/>
      </c>
      <c r="J149" s="13" t="str">
        <f t="shared" si="13"/>
        <v/>
      </c>
      <c r="K149" s="13" t="str">
        <f t="shared" si="14"/>
        <v/>
      </c>
      <c r="L149" s="13" t="str">
        <f t="shared" si="14"/>
        <v/>
      </c>
      <c r="M149" s="51" t="s">
        <v>363</v>
      </c>
      <c r="N149" s="11" t="s">
        <v>70</v>
      </c>
      <c r="O149" s="13">
        <f t="shared" si="11"/>
        <v>148</v>
      </c>
    </row>
    <row r="150" spans="1:15" x14ac:dyDescent="0.25">
      <c r="A150" s="61"/>
      <c r="B150" s="70"/>
      <c r="C150" s="26" t="s">
        <v>200</v>
      </c>
      <c r="D150" s="26"/>
      <c r="E150" s="13">
        <f t="shared" si="18"/>
        <v>149</v>
      </c>
      <c r="F150" s="13"/>
      <c r="G150" s="5"/>
      <c r="H150" s="5"/>
      <c r="I150" s="13" t="str">
        <f t="shared" si="12"/>
        <v/>
      </c>
      <c r="J150" s="13" t="str">
        <f t="shared" si="13"/>
        <v/>
      </c>
      <c r="K150" s="13" t="str">
        <f t="shared" si="14"/>
        <v/>
      </c>
      <c r="L150" s="13" t="str">
        <f t="shared" si="14"/>
        <v/>
      </c>
      <c r="M150" s="51" t="s">
        <v>363</v>
      </c>
      <c r="N150" s="11" t="s">
        <v>70</v>
      </c>
      <c r="O150" s="13">
        <f t="shared" si="11"/>
        <v>149</v>
      </c>
    </row>
    <row r="151" spans="1:15" x14ac:dyDescent="0.25">
      <c r="A151" s="61"/>
      <c r="B151" s="70"/>
      <c r="C151" s="26" t="s">
        <v>201</v>
      </c>
      <c r="D151" s="26"/>
      <c r="E151" s="13"/>
      <c r="F151" s="13"/>
      <c r="G151" s="5"/>
      <c r="H151" s="5"/>
      <c r="I151" s="13" t="str">
        <f t="shared" si="12"/>
        <v/>
      </c>
      <c r="J151" s="13" t="str">
        <f t="shared" si="13"/>
        <v/>
      </c>
      <c r="K151" s="13" t="str">
        <f t="shared" si="14"/>
        <v/>
      </c>
      <c r="L151" s="13" t="str">
        <f t="shared" si="14"/>
        <v/>
      </c>
      <c r="M151" s="51" t="s">
        <v>363</v>
      </c>
      <c r="N151" s="11" t="s">
        <v>70</v>
      </c>
      <c r="O151" s="13">
        <f t="shared" si="11"/>
        <v>150</v>
      </c>
    </row>
    <row r="152" spans="1:15" x14ac:dyDescent="0.25">
      <c r="A152" s="61"/>
      <c r="B152" s="75"/>
      <c r="C152" s="26" t="s">
        <v>202</v>
      </c>
      <c r="D152" s="26"/>
      <c r="E152" s="13"/>
      <c r="F152" s="13"/>
      <c r="G152" s="5"/>
      <c r="H152" s="5"/>
      <c r="I152" s="13" t="str">
        <f t="shared" si="12"/>
        <v/>
      </c>
      <c r="J152" s="13" t="str">
        <f t="shared" si="13"/>
        <v/>
      </c>
      <c r="K152" s="13" t="str">
        <f t="shared" si="14"/>
        <v/>
      </c>
      <c r="L152" s="13" t="str">
        <f t="shared" si="14"/>
        <v/>
      </c>
      <c r="M152" s="51" t="s">
        <v>363</v>
      </c>
      <c r="N152" s="11" t="s">
        <v>70</v>
      </c>
      <c r="O152" s="13">
        <f t="shared" si="11"/>
        <v>151</v>
      </c>
    </row>
    <row r="153" spans="1:15" x14ac:dyDescent="0.25">
      <c r="A153" s="61"/>
      <c r="B153" s="69" t="s">
        <v>33</v>
      </c>
      <c r="C153" s="26" t="s">
        <v>207</v>
      </c>
      <c r="D153" s="26"/>
      <c r="E153" s="13"/>
      <c r="F153" s="13"/>
      <c r="G153" s="5"/>
      <c r="H153" s="5"/>
      <c r="I153" s="13" t="str">
        <f t="shared" si="12"/>
        <v/>
      </c>
      <c r="J153" s="13" t="str">
        <f t="shared" si="13"/>
        <v/>
      </c>
      <c r="K153" s="13" t="str">
        <f t="shared" ref="K153:L171" si="19">IF(ISNUMBER(I153),I153,"")</f>
        <v/>
      </c>
      <c r="L153" s="13" t="str">
        <f t="shared" si="19"/>
        <v/>
      </c>
      <c r="M153" s="51" t="s">
        <v>363</v>
      </c>
      <c r="N153" s="11" t="s">
        <v>70</v>
      </c>
      <c r="O153" s="13">
        <f t="shared" si="11"/>
        <v>152</v>
      </c>
    </row>
    <row r="154" spans="1:15" x14ac:dyDescent="0.25">
      <c r="A154" s="61"/>
      <c r="B154" s="70"/>
      <c r="C154" s="26" t="s">
        <v>208</v>
      </c>
      <c r="D154" s="26"/>
      <c r="E154" s="13">
        <f t="shared" si="18"/>
        <v>153</v>
      </c>
      <c r="F154" s="13"/>
      <c r="G154" s="5"/>
      <c r="H154" s="5"/>
      <c r="I154" s="13" t="str">
        <f t="shared" si="12"/>
        <v/>
      </c>
      <c r="J154" s="13" t="str">
        <f t="shared" si="13"/>
        <v/>
      </c>
      <c r="K154" s="13" t="str">
        <f t="shared" si="19"/>
        <v/>
      </c>
      <c r="L154" s="13" t="str">
        <f t="shared" si="19"/>
        <v/>
      </c>
      <c r="M154" s="51" t="s">
        <v>363</v>
      </c>
      <c r="N154" s="11" t="s">
        <v>70</v>
      </c>
      <c r="O154" s="13">
        <f t="shared" si="11"/>
        <v>153</v>
      </c>
    </row>
    <row r="155" spans="1:15" x14ac:dyDescent="0.25">
      <c r="A155" s="61"/>
      <c r="B155" s="70"/>
      <c r="C155" s="26" t="s">
        <v>209</v>
      </c>
      <c r="D155" s="26"/>
      <c r="E155" s="13"/>
      <c r="F155" s="13"/>
      <c r="G155" s="5"/>
      <c r="H155" s="5"/>
      <c r="I155" s="13" t="str">
        <f t="shared" si="12"/>
        <v/>
      </c>
      <c r="J155" s="13" t="str">
        <f t="shared" si="13"/>
        <v/>
      </c>
      <c r="K155" s="13" t="str">
        <f t="shared" si="19"/>
        <v/>
      </c>
      <c r="L155" s="13" t="str">
        <f t="shared" si="19"/>
        <v/>
      </c>
      <c r="M155" s="51" t="s">
        <v>363</v>
      </c>
      <c r="N155" s="11" t="s">
        <v>70</v>
      </c>
      <c r="O155" s="13">
        <f t="shared" si="11"/>
        <v>154</v>
      </c>
    </row>
    <row r="156" spans="1:15" x14ac:dyDescent="0.25">
      <c r="A156" s="61"/>
      <c r="B156" s="75"/>
      <c r="C156" s="26" t="s">
        <v>210</v>
      </c>
      <c r="D156" s="26"/>
      <c r="E156" s="13"/>
      <c r="F156" s="13"/>
      <c r="G156" s="5"/>
      <c r="H156" s="5"/>
      <c r="I156" s="13" t="str">
        <f t="shared" si="12"/>
        <v/>
      </c>
      <c r="J156" s="13" t="str">
        <f t="shared" si="13"/>
        <v/>
      </c>
      <c r="K156" s="13" t="str">
        <f t="shared" si="19"/>
        <v/>
      </c>
      <c r="L156" s="13" t="str">
        <f t="shared" si="19"/>
        <v/>
      </c>
      <c r="M156" s="51" t="s">
        <v>363</v>
      </c>
      <c r="N156" s="11" t="s">
        <v>70</v>
      </c>
      <c r="O156" s="13">
        <f t="shared" si="11"/>
        <v>155</v>
      </c>
    </row>
    <row r="157" spans="1:15" x14ac:dyDescent="0.25">
      <c r="A157" s="61"/>
      <c r="B157" s="69" t="s">
        <v>34</v>
      </c>
      <c r="C157" s="26" t="s">
        <v>211</v>
      </c>
      <c r="D157" s="26"/>
      <c r="E157" s="13"/>
      <c r="F157" s="13"/>
      <c r="G157" s="5"/>
      <c r="H157" s="5"/>
      <c r="I157" s="13" t="str">
        <f t="shared" si="12"/>
        <v/>
      </c>
      <c r="J157" s="13" t="str">
        <f t="shared" si="13"/>
        <v/>
      </c>
      <c r="K157" s="13" t="str">
        <f t="shared" si="19"/>
        <v/>
      </c>
      <c r="L157" s="13" t="str">
        <f t="shared" si="19"/>
        <v/>
      </c>
      <c r="M157" s="51" t="s">
        <v>363</v>
      </c>
      <c r="N157" s="11" t="s">
        <v>70</v>
      </c>
      <c r="O157" s="13">
        <f t="shared" ref="O157:O173" si="20">ROW()-1</f>
        <v>156</v>
      </c>
    </row>
    <row r="158" spans="1:15" x14ac:dyDescent="0.25">
      <c r="A158" s="61"/>
      <c r="B158" s="70"/>
      <c r="C158" s="26" t="s">
        <v>212</v>
      </c>
      <c r="D158" s="26"/>
      <c r="E158" s="13">
        <f t="shared" si="18"/>
        <v>157</v>
      </c>
      <c r="F158" s="13"/>
      <c r="G158" s="5"/>
      <c r="H158" s="5"/>
      <c r="I158" s="13" t="str">
        <f t="shared" si="12"/>
        <v/>
      </c>
      <c r="J158" s="13" t="str">
        <f t="shared" si="13"/>
        <v/>
      </c>
      <c r="K158" s="13" t="str">
        <f t="shared" si="19"/>
        <v/>
      </c>
      <c r="L158" s="13" t="str">
        <f t="shared" si="19"/>
        <v/>
      </c>
      <c r="M158" s="51" t="s">
        <v>363</v>
      </c>
      <c r="N158" s="11" t="s">
        <v>70</v>
      </c>
      <c r="O158" s="13">
        <f t="shared" si="20"/>
        <v>157</v>
      </c>
    </row>
    <row r="159" spans="1:15" x14ac:dyDescent="0.25">
      <c r="A159" s="61"/>
      <c r="B159" s="70"/>
      <c r="C159" s="26" t="s">
        <v>213</v>
      </c>
      <c r="D159" s="26"/>
      <c r="E159" s="13"/>
      <c r="F159" s="13"/>
      <c r="G159" s="5"/>
      <c r="H159" s="5"/>
      <c r="I159" s="13" t="str">
        <f t="shared" si="12"/>
        <v/>
      </c>
      <c r="J159" s="13" t="str">
        <f t="shared" si="13"/>
        <v/>
      </c>
      <c r="K159" s="13" t="str">
        <f t="shared" si="19"/>
        <v/>
      </c>
      <c r="L159" s="13" t="str">
        <f t="shared" si="19"/>
        <v/>
      </c>
      <c r="M159" s="51" t="s">
        <v>363</v>
      </c>
      <c r="N159" s="11" t="s">
        <v>70</v>
      </c>
      <c r="O159" s="13">
        <f t="shared" si="20"/>
        <v>158</v>
      </c>
    </row>
    <row r="160" spans="1:15" ht="18" thickBot="1" x14ac:dyDescent="0.3">
      <c r="A160" s="77"/>
      <c r="B160" s="75"/>
      <c r="C160" s="26" t="s">
        <v>214</v>
      </c>
      <c r="D160" s="26"/>
      <c r="E160" s="13"/>
      <c r="F160" s="13"/>
      <c r="G160" s="5"/>
      <c r="H160" s="5"/>
      <c r="I160" s="13" t="str">
        <f t="shared" si="12"/>
        <v/>
      </c>
      <c r="J160" s="13" t="str">
        <f t="shared" si="13"/>
        <v/>
      </c>
      <c r="K160" s="13" t="str">
        <f t="shared" si="19"/>
        <v/>
      </c>
      <c r="L160" s="13" t="str">
        <f t="shared" si="19"/>
        <v/>
      </c>
      <c r="M160" s="51" t="s">
        <v>363</v>
      </c>
      <c r="N160" s="11" t="s">
        <v>70</v>
      </c>
      <c r="O160" s="13">
        <f t="shared" si="20"/>
        <v>159</v>
      </c>
    </row>
    <row r="161" spans="1:15" s="29" customFormat="1" ht="18" thickBot="1" x14ac:dyDescent="0.3">
      <c r="A161" s="27" t="s">
        <v>223</v>
      </c>
      <c r="B161" s="28"/>
      <c r="E161" s="27"/>
      <c r="F161" s="27"/>
      <c r="G161" s="30"/>
      <c r="H161" s="30"/>
      <c r="I161" s="27"/>
      <c r="J161" s="27"/>
      <c r="K161" s="27"/>
      <c r="L161" s="27"/>
      <c r="M161" s="31"/>
      <c r="N161" s="31"/>
      <c r="O161" s="32" t="s">
        <v>223</v>
      </c>
    </row>
    <row r="162" spans="1:15" ht="18" thickBot="1" x14ac:dyDescent="0.3">
      <c r="A162" s="72" t="s">
        <v>154</v>
      </c>
      <c r="B162" s="76" t="s">
        <v>227</v>
      </c>
      <c r="C162" s="23" t="s">
        <v>228</v>
      </c>
      <c r="D162" s="23"/>
      <c r="E162" s="20"/>
      <c r="F162" s="20"/>
      <c r="G162" s="20">
        <f t="shared" ref="E162:H173" si="21">$O162</f>
        <v>161</v>
      </c>
      <c r="H162" s="20">
        <f t="shared" si="21"/>
        <v>161</v>
      </c>
      <c r="I162" s="20">
        <f>IF(COUNT(G162:H162)&gt;0,$O162,"")</f>
        <v>161</v>
      </c>
      <c r="J162" s="20">
        <f>IF(COUNT(H162,F162)&gt;0,$O162,"")</f>
        <v>161</v>
      </c>
      <c r="K162" s="20">
        <f t="shared" si="19"/>
        <v>161</v>
      </c>
      <c r="L162" s="20">
        <f t="shared" si="19"/>
        <v>161</v>
      </c>
      <c r="M162" s="18"/>
      <c r="N162" s="18" t="s">
        <v>69</v>
      </c>
      <c r="O162" s="17">
        <f t="shared" si="20"/>
        <v>161</v>
      </c>
    </row>
    <row r="163" spans="1:15" x14ac:dyDescent="0.25">
      <c r="A163" s="61"/>
      <c r="B163" s="70"/>
      <c r="C163" s="23" t="s">
        <v>325</v>
      </c>
      <c r="D163" s="45"/>
      <c r="E163" s="17">
        <f t="shared" si="21"/>
        <v>162</v>
      </c>
      <c r="F163" s="17"/>
      <c r="G163" s="17">
        <f t="shared" si="21"/>
        <v>162</v>
      </c>
      <c r="H163" s="17">
        <f t="shared" si="21"/>
        <v>162</v>
      </c>
      <c r="I163" s="20">
        <f>IF(COUNT(G163:H163)&gt;0,$O163,"")</f>
        <v>162</v>
      </c>
      <c r="J163" s="20">
        <f>IF(COUNT(H163,F163)&gt;0,$O163,"")</f>
        <v>162</v>
      </c>
      <c r="K163" s="20">
        <f t="shared" si="19"/>
        <v>162</v>
      </c>
      <c r="L163" s="20">
        <f t="shared" si="19"/>
        <v>162</v>
      </c>
      <c r="M163" s="18" t="s">
        <v>82</v>
      </c>
      <c r="N163" s="18" t="s">
        <v>69</v>
      </c>
      <c r="O163" s="17">
        <f t="shared" si="20"/>
        <v>162</v>
      </c>
    </row>
    <row r="164" spans="1:15" x14ac:dyDescent="0.25">
      <c r="A164" s="62"/>
      <c r="B164" s="75"/>
      <c r="C164" s="26" t="s">
        <v>254</v>
      </c>
      <c r="D164" s="26"/>
      <c r="E164" s="13"/>
      <c r="F164" s="17">
        <f t="shared" si="21"/>
        <v>163</v>
      </c>
      <c r="G164" s="17">
        <f t="shared" si="21"/>
        <v>163</v>
      </c>
      <c r="H164" s="17"/>
      <c r="I164" s="17">
        <f t="shared" ref="I164" si="22">IF(COUNT(G164:H164)&gt;0,$O164,"")</f>
        <v>163</v>
      </c>
      <c r="J164" s="17">
        <f t="shared" ref="J164" si="23">IF(COUNT(H164,F164)&gt;0,$O164,"")</f>
        <v>163</v>
      </c>
      <c r="K164" s="17">
        <f t="shared" si="19"/>
        <v>163</v>
      </c>
      <c r="L164" s="17">
        <f t="shared" si="19"/>
        <v>163</v>
      </c>
      <c r="M164" s="11"/>
      <c r="N164" s="18" t="s">
        <v>69</v>
      </c>
      <c r="O164" s="13">
        <f t="shared" si="20"/>
        <v>163</v>
      </c>
    </row>
    <row r="165" spans="1:15" x14ac:dyDescent="0.25">
      <c r="A165" s="60" t="s">
        <v>170</v>
      </c>
      <c r="B165" s="65" t="s">
        <v>76</v>
      </c>
      <c r="C165" s="26" t="s">
        <v>224</v>
      </c>
      <c r="D165" s="26"/>
      <c r="E165" s="13"/>
      <c r="F165" s="13"/>
      <c r="G165" s="13">
        <f t="shared" si="21"/>
        <v>164</v>
      </c>
      <c r="H165" s="13">
        <f t="shared" si="21"/>
        <v>164</v>
      </c>
      <c r="I165" s="13">
        <f>IF(COUNT(G165:H165)&gt;0,$O165,"")</f>
        <v>164</v>
      </c>
      <c r="J165" s="13">
        <f>IF(COUNT(H165,F165)&gt;0,$O165,"")</f>
        <v>164</v>
      </c>
      <c r="K165" s="13">
        <f t="shared" si="19"/>
        <v>164</v>
      </c>
      <c r="L165" s="13">
        <f t="shared" si="19"/>
        <v>164</v>
      </c>
      <c r="M165" s="11"/>
      <c r="N165" s="11" t="s">
        <v>69</v>
      </c>
      <c r="O165" s="13">
        <f t="shared" si="20"/>
        <v>164</v>
      </c>
    </row>
    <row r="166" spans="1:15" x14ac:dyDescent="0.25">
      <c r="A166" s="61"/>
      <c r="B166" s="66"/>
      <c r="C166" s="26" t="s">
        <v>255</v>
      </c>
      <c r="D166" s="26"/>
      <c r="E166" s="13"/>
      <c r="F166" s="17">
        <f t="shared" si="21"/>
        <v>165</v>
      </c>
      <c r="G166" s="17">
        <f t="shared" si="21"/>
        <v>165</v>
      </c>
      <c r="H166" s="17"/>
      <c r="I166" s="17">
        <f t="shared" ref="I166:L173" si="24">IF(COUNT(G166:H166)&gt;0,$O166,"")</f>
        <v>165</v>
      </c>
      <c r="J166" s="17">
        <f t="shared" ref="J166" si="25">IF(COUNT(H166,F166)&gt;0,$O166,"")</f>
        <v>165</v>
      </c>
      <c r="K166" s="17">
        <f t="shared" si="19"/>
        <v>165</v>
      </c>
      <c r="L166" s="17">
        <f t="shared" si="19"/>
        <v>165</v>
      </c>
      <c r="M166" s="11"/>
      <c r="N166" s="11" t="s">
        <v>69</v>
      </c>
      <c r="O166" s="13">
        <f t="shared" si="20"/>
        <v>165</v>
      </c>
    </row>
    <row r="167" spans="1:15" x14ac:dyDescent="0.25">
      <c r="A167" s="61"/>
      <c r="B167" s="67"/>
      <c r="C167" s="26" t="s">
        <v>225</v>
      </c>
      <c r="D167" s="26"/>
      <c r="E167" s="13"/>
      <c r="F167" s="13"/>
      <c r="G167" s="13">
        <f t="shared" si="21"/>
        <v>166</v>
      </c>
      <c r="H167" s="13">
        <f t="shared" si="21"/>
        <v>166</v>
      </c>
      <c r="I167" s="13">
        <f t="shared" si="24"/>
        <v>166</v>
      </c>
      <c r="J167" s="13">
        <f>IF(COUNT(H167,F167)&gt;0,$O167,"")</f>
        <v>166</v>
      </c>
      <c r="K167" s="13">
        <f t="shared" si="19"/>
        <v>166</v>
      </c>
      <c r="L167" s="13">
        <f t="shared" si="19"/>
        <v>166</v>
      </c>
      <c r="M167" s="11"/>
      <c r="N167" s="11" t="s">
        <v>69</v>
      </c>
      <c r="O167" s="13">
        <f t="shared" si="20"/>
        <v>166</v>
      </c>
    </row>
    <row r="168" spans="1:15" x14ac:dyDescent="0.25">
      <c r="A168" s="62"/>
      <c r="B168" s="38" t="s">
        <v>320</v>
      </c>
      <c r="C168" s="26" t="s">
        <v>321</v>
      </c>
      <c r="D168" s="26"/>
      <c r="E168" s="13"/>
      <c r="F168" s="13"/>
      <c r="G168" s="13">
        <f t="shared" si="21"/>
        <v>167</v>
      </c>
      <c r="H168" s="13">
        <f t="shared" si="21"/>
        <v>167</v>
      </c>
      <c r="I168" s="13">
        <f t="shared" si="24"/>
        <v>167</v>
      </c>
      <c r="J168" s="13">
        <f>IF(COUNT(H168,F168)&gt;0,$O168,"")</f>
        <v>167</v>
      </c>
      <c r="K168" s="13">
        <f t="shared" si="19"/>
        <v>167</v>
      </c>
      <c r="L168" s="13">
        <f t="shared" si="19"/>
        <v>167</v>
      </c>
      <c r="M168" s="11" t="s">
        <v>322</v>
      </c>
      <c r="N168" s="11" t="s">
        <v>69</v>
      </c>
      <c r="O168" s="13">
        <f t="shared" si="20"/>
        <v>167</v>
      </c>
    </row>
    <row r="169" spans="1:15" x14ac:dyDescent="0.25">
      <c r="A169" s="60" t="s">
        <v>129</v>
      </c>
      <c r="B169" s="33" t="s">
        <v>65</v>
      </c>
      <c r="C169" s="26" t="s">
        <v>241</v>
      </c>
      <c r="D169" s="26"/>
      <c r="E169" s="13"/>
      <c r="F169" s="13"/>
      <c r="G169" s="13">
        <f t="shared" si="21"/>
        <v>168</v>
      </c>
      <c r="H169" s="13">
        <f t="shared" si="21"/>
        <v>168</v>
      </c>
      <c r="I169" s="13">
        <f t="shared" si="24"/>
        <v>168</v>
      </c>
      <c r="J169" s="13">
        <f>IF(COUNT(H169,F169)&gt;0,$O169,"")</f>
        <v>168</v>
      </c>
      <c r="K169" s="13">
        <f t="shared" si="19"/>
        <v>168</v>
      </c>
      <c r="L169" s="13">
        <f t="shared" si="19"/>
        <v>168</v>
      </c>
      <c r="M169" s="11"/>
      <c r="N169" s="11" t="s">
        <v>69</v>
      </c>
      <c r="O169" s="13">
        <f t="shared" si="20"/>
        <v>168</v>
      </c>
    </row>
    <row r="170" spans="1:15" x14ac:dyDescent="0.25">
      <c r="A170" s="62"/>
      <c r="B170" s="33" t="s">
        <v>296</v>
      </c>
      <c r="C170" s="26" t="s">
        <v>323</v>
      </c>
      <c r="D170" s="26"/>
      <c r="E170" s="13"/>
      <c r="F170" s="13"/>
      <c r="G170" s="13">
        <f t="shared" si="21"/>
        <v>169</v>
      </c>
      <c r="H170" s="13">
        <f t="shared" si="21"/>
        <v>169</v>
      </c>
      <c r="I170" s="13">
        <f t="shared" si="24"/>
        <v>169</v>
      </c>
      <c r="J170" s="13">
        <f>IF(COUNT(H170,F170)&gt;0,$O170,"")</f>
        <v>169</v>
      </c>
      <c r="K170" s="13">
        <f t="shared" si="19"/>
        <v>169</v>
      </c>
      <c r="L170" s="13">
        <f t="shared" si="19"/>
        <v>169</v>
      </c>
      <c r="M170" s="11" t="s">
        <v>324</v>
      </c>
      <c r="N170" s="11" t="s">
        <v>69</v>
      </c>
      <c r="O170" s="13">
        <f t="shared" si="20"/>
        <v>169</v>
      </c>
    </row>
    <row r="171" spans="1:15" x14ac:dyDescent="0.25">
      <c r="A171" s="60" t="s">
        <v>88</v>
      </c>
      <c r="B171" s="69" t="s">
        <v>63</v>
      </c>
      <c r="C171" s="26" t="s">
        <v>226</v>
      </c>
      <c r="D171" s="46"/>
      <c r="E171" s="15"/>
      <c r="F171" s="13"/>
      <c r="G171" s="13"/>
      <c r="H171" s="13">
        <f t="shared" si="21"/>
        <v>170</v>
      </c>
      <c r="I171" s="13">
        <f t="shared" si="24"/>
        <v>170</v>
      </c>
      <c r="J171" s="13">
        <f>IF(COUNT(H171,F171)&gt;0,$O171,"")</f>
        <v>170</v>
      </c>
      <c r="K171" s="13">
        <f t="shared" si="19"/>
        <v>170</v>
      </c>
      <c r="L171" s="13">
        <f t="shared" si="19"/>
        <v>170</v>
      </c>
      <c r="M171" s="16"/>
      <c r="N171" s="16" t="s">
        <v>69</v>
      </c>
      <c r="O171" s="15">
        <f t="shared" si="20"/>
        <v>170</v>
      </c>
    </row>
    <row r="172" spans="1:15" x14ac:dyDescent="0.25">
      <c r="A172" s="61"/>
      <c r="B172" s="70"/>
      <c r="C172" s="26" t="s">
        <v>316</v>
      </c>
      <c r="D172" s="26"/>
      <c r="E172" s="13"/>
      <c r="F172" s="13">
        <f t="shared" si="21"/>
        <v>171</v>
      </c>
      <c r="G172" s="17">
        <f t="shared" si="21"/>
        <v>171</v>
      </c>
      <c r="H172" s="13"/>
      <c r="I172" s="13">
        <f t="shared" si="24"/>
        <v>171</v>
      </c>
      <c r="J172" s="13">
        <f t="shared" si="24"/>
        <v>171</v>
      </c>
      <c r="K172" s="13">
        <f t="shared" si="24"/>
        <v>171</v>
      </c>
      <c r="L172" s="13">
        <f t="shared" si="24"/>
        <v>171</v>
      </c>
      <c r="M172" s="11"/>
      <c r="N172" s="16" t="s">
        <v>69</v>
      </c>
      <c r="O172" s="15">
        <f t="shared" si="20"/>
        <v>171</v>
      </c>
    </row>
    <row r="173" spans="1:15" ht="18" thickBot="1" x14ac:dyDescent="0.3">
      <c r="A173" s="68"/>
      <c r="B173" s="71"/>
      <c r="C173" s="39" t="s">
        <v>244</v>
      </c>
      <c r="D173" s="34"/>
      <c r="E173" s="21"/>
      <c r="F173" s="22">
        <f t="shared" si="21"/>
        <v>172</v>
      </c>
      <c r="G173" s="22">
        <f t="shared" si="21"/>
        <v>172</v>
      </c>
      <c r="H173" s="22"/>
      <c r="I173" s="22">
        <f t="shared" si="24"/>
        <v>172</v>
      </c>
      <c r="J173" s="22">
        <f t="shared" si="24"/>
        <v>172</v>
      </c>
      <c r="K173" s="22">
        <f t="shared" si="24"/>
        <v>172</v>
      </c>
      <c r="L173" s="22">
        <f t="shared" si="24"/>
        <v>172</v>
      </c>
      <c r="M173" s="19" t="s">
        <v>249</v>
      </c>
      <c r="N173" s="16" t="s">
        <v>69</v>
      </c>
      <c r="O173" s="15">
        <f t="shared" si="20"/>
        <v>172</v>
      </c>
    </row>
    <row r="174" spans="1:15" s="29" customFormat="1" ht="18" thickBot="1" x14ac:dyDescent="0.3">
      <c r="A174" s="21" t="s">
        <v>61</v>
      </c>
      <c r="B174" s="34"/>
      <c r="C174" s="35"/>
      <c r="D174" s="35"/>
      <c r="E174" s="21"/>
      <c r="F174" s="21"/>
      <c r="G174" s="21"/>
      <c r="H174" s="21"/>
      <c r="I174" s="21"/>
      <c r="J174" s="21"/>
      <c r="K174" s="21"/>
      <c r="L174" s="21"/>
      <c r="M174" s="36"/>
      <c r="N174" s="36"/>
      <c r="O174" s="37" t="s">
        <v>61</v>
      </c>
    </row>
    <row r="175" spans="1:15" x14ac:dyDescent="0.25">
      <c r="A175" s="72" t="s">
        <v>88</v>
      </c>
      <c r="B175" s="38" t="s">
        <v>59</v>
      </c>
      <c r="C175" s="26" t="s">
        <v>329</v>
      </c>
      <c r="D175" s="47"/>
      <c r="E175" s="17"/>
      <c r="F175" s="17"/>
      <c r="G175" s="17">
        <f t="shared" ref="E175:H194" si="26">$O175</f>
        <v>174</v>
      </c>
      <c r="H175" s="17"/>
      <c r="I175" s="17">
        <f t="shared" ref="I175:L190" si="27">IF(COUNT(G175:H175)&gt;0,$O175,"")</f>
        <v>174</v>
      </c>
      <c r="J175" s="17">
        <f t="shared" si="27"/>
        <v>174</v>
      </c>
      <c r="K175" s="17">
        <f t="shared" si="27"/>
        <v>174</v>
      </c>
      <c r="L175" s="17">
        <f t="shared" si="27"/>
        <v>174</v>
      </c>
      <c r="M175" s="18" t="s">
        <v>229</v>
      </c>
      <c r="N175" s="18" t="s">
        <v>70</v>
      </c>
      <c r="O175" s="17">
        <f t="shared" ref="O175:O194" si="28">ROW()-1</f>
        <v>174</v>
      </c>
    </row>
    <row r="176" spans="1:15" x14ac:dyDescent="0.25">
      <c r="A176" s="61"/>
      <c r="B176" s="38" t="s">
        <v>78</v>
      </c>
      <c r="C176" s="26" t="s">
        <v>330</v>
      </c>
      <c r="D176" s="26"/>
      <c r="E176" s="13"/>
      <c r="F176" s="13"/>
      <c r="G176" s="13"/>
      <c r="H176" s="13"/>
      <c r="I176" s="17" t="str">
        <f t="shared" si="27"/>
        <v/>
      </c>
      <c r="J176" s="17" t="str">
        <f t="shared" si="27"/>
        <v/>
      </c>
      <c r="K176" s="13">
        <f t="shared" ref="K176" si="29">$O176</f>
        <v>175</v>
      </c>
      <c r="L176" s="13">
        <f t="shared" si="27"/>
        <v>175</v>
      </c>
      <c r="M176" s="11"/>
      <c r="N176" s="11" t="s">
        <v>70</v>
      </c>
      <c r="O176" s="13">
        <f t="shared" si="28"/>
        <v>175</v>
      </c>
    </row>
    <row r="177" spans="1:15" x14ac:dyDescent="0.25">
      <c r="A177" s="73"/>
      <c r="B177" s="38" t="s">
        <v>245</v>
      </c>
      <c r="C177" s="26" t="s">
        <v>252</v>
      </c>
      <c r="D177" s="26"/>
      <c r="E177" s="13"/>
      <c r="F177" s="13"/>
      <c r="G177" s="13">
        <f t="shared" si="26"/>
        <v>176</v>
      </c>
      <c r="H177" s="13">
        <f t="shared" si="26"/>
        <v>176</v>
      </c>
      <c r="I177" s="13">
        <f t="shared" si="27"/>
        <v>176</v>
      </c>
      <c r="J177" s="13">
        <f t="shared" si="27"/>
        <v>176</v>
      </c>
      <c r="K177" s="13">
        <f t="shared" si="27"/>
        <v>176</v>
      </c>
      <c r="L177" s="13">
        <f t="shared" si="27"/>
        <v>176</v>
      </c>
      <c r="M177" s="11" t="s">
        <v>251</v>
      </c>
      <c r="N177" s="11" t="s">
        <v>70</v>
      </c>
      <c r="O177" s="13">
        <f t="shared" si="28"/>
        <v>176</v>
      </c>
    </row>
    <row r="178" spans="1:15" x14ac:dyDescent="0.25">
      <c r="A178" s="74"/>
      <c r="B178" s="38" t="s">
        <v>246</v>
      </c>
      <c r="C178" s="26" t="s">
        <v>253</v>
      </c>
      <c r="D178" s="26"/>
      <c r="E178" s="13"/>
      <c r="F178" s="13"/>
      <c r="G178" s="13">
        <f t="shared" si="26"/>
        <v>177</v>
      </c>
      <c r="H178" s="13">
        <f t="shared" si="26"/>
        <v>177</v>
      </c>
      <c r="I178" s="13">
        <f t="shared" si="27"/>
        <v>177</v>
      </c>
      <c r="J178" s="13">
        <f t="shared" si="27"/>
        <v>177</v>
      </c>
      <c r="K178" s="13">
        <f t="shared" si="27"/>
        <v>177</v>
      </c>
      <c r="L178" s="13">
        <f t="shared" si="27"/>
        <v>177</v>
      </c>
      <c r="M178" s="11" t="s">
        <v>250</v>
      </c>
      <c r="N178" s="11" t="s">
        <v>70</v>
      </c>
      <c r="O178" s="13">
        <f t="shared" si="28"/>
        <v>177</v>
      </c>
    </row>
    <row r="179" spans="1:15" x14ac:dyDescent="0.25">
      <c r="A179" s="60" t="s">
        <v>170</v>
      </c>
      <c r="B179" s="38" t="s">
        <v>60</v>
      </c>
      <c r="C179" s="26" t="s">
        <v>331</v>
      </c>
      <c r="D179" s="26"/>
      <c r="E179" s="13"/>
      <c r="F179" s="13"/>
      <c r="G179" s="13">
        <f t="shared" si="26"/>
        <v>178</v>
      </c>
      <c r="H179" s="13"/>
      <c r="I179" s="13">
        <f t="shared" si="27"/>
        <v>178</v>
      </c>
      <c r="J179" s="13">
        <f t="shared" si="27"/>
        <v>178</v>
      </c>
      <c r="K179" s="13">
        <f t="shared" si="27"/>
        <v>178</v>
      </c>
      <c r="L179" s="13">
        <f t="shared" si="27"/>
        <v>178</v>
      </c>
      <c r="M179" s="11"/>
      <c r="N179" s="11" t="s">
        <v>70</v>
      </c>
      <c r="O179" s="13">
        <f t="shared" si="28"/>
        <v>178</v>
      </c>
    </row>
    <row r="180" spans="1:15" x14ac:dyDescent="0.25">
      <c r="A180" s="61"/>
      <c r="B180" s="38" t="s">
        <v>230</v>
      </c>
      <c r="C180" s="38" t="s">
        <v>332</v>
      </c>
      <c r="D180" s="38"/>
      <c r="E180" s="13"/>
      <c r="F180" s="13"/>
      <c r="G180" s="13">
        <f t="shared" si="26"/>
        <v>179</v>
      </c>
      <c r="H180" s="13">
        <f t="shared" si="26"/>
        <v>179</v>
      </c>
      <c r="I180" s="13">
        <f t="shared" si="27"/>
        <v>179</v>
      </c>
      <c r="J180" s="13">
        <f t="shared" si="27"/>
        <v>179</v>
      </c>
      <c r="K180" s="13">
        <f t="shared" si="27"/>
        <v>179</v>
      </c>
      <c r="L180" s="13">
        <f t="shared" si="27"/>
        <v>179</v>
      </c>
      <c r="M180" s="11"/>
      <c r="N180" s="11" t="s">
        <v>70</v>
      </c>
      <c r="O180" s="17">
        <f t="shared" si="28"/>
        <v>179</v>
      </c>
    </row>
    <row r="181" spans="1:15" x14ac:dyDescent="0.25">
      <c r="A181" s="61"/>
      <c r="B181" s="42" t="s">
        <v>301</v>
      </c>
      <c r="C181" s="41" t="s">
        <v>333</v>
      </c>
      <c r="D181" s="41"/>
      <c r="E181" s="13"/>
      <c r="F181" s="13"/>
      <c r="G181" s="13">
        <f t="shared" si="26"/>
        <v>180</v>
      </c>
      <c r="H181" s="13"/>
      <c r="I181" s="13">
        <f t="shared" si="27"/>
        <v>180</v>
      </c>
      <c r="J181" s="13">
        <f t="shared" si="27"/>
        <v>180</v>
      </c>
      <c r="K181" s="13">
        <f t="shared" si="27"/>
        <v>180</v>
      </c>
      <c r="L181" s="13">
        <f t="shared" si="27"/>
        <v>180</v>
      </c>
      <c r="M181" s="43" t="s">
        <v>306</v>
      </c>
      <c r="N181" s="11" t="s">
        <v>70</v>
      </c>
      <c r="O181" s="13">
        <f t="shared" si="28"/>
        <v>180</v>
      </c>
    </row>
    <row r="182" spans="1:15" x14ac:dyDescent="0.25">
      <c r="A182" s="61"/>
      <c r="B182" s="42" t="s">
        <v>302</v>
      </c>
      <c r="C182" s="42" t="s">
        <v>334</v>
      </c>
      <c r="D182" s="42"/>
      <c r="E182" s="13"/>
      <c r="F182" s="13"/>
      <c r="G182" s="13">
        <f t="shared" si="26"/>
        <v>181</v>
      </c>
      <c r="H182" s="13">
        <f t="shared" si="26"/>
        <v>181</v>
      </c>
      <c r="I182" s="13">
        <f t="shared" si="27"/>
        <v>181</v>
      </c>
      <c r="J182" s="13">
        <f t="shared" si="27"/>
        <v>181</v>
      </c>
      <c r="K182" s="13">
        <f t="shared" si="27"/>
        <v>181</v>
      </c>
      <c r="L182" s="13">
        <f t="shared" si="27"/>
        <v>181</v>
      </c>
      <c r="M182" s="43" t="s">
        <v>306</v>
      </c>
      <c r="N182" s="11" t="s">
        <v>70</v>
      </c>
      <c r="O182" s="17">
        <f t="shared" si="28"/>
        <v>181</v>
      </c>
    </row>
    <row r="183" spans="1:15" x14ac:dyDescent="0.25">
      <c r="A183" s="60" t="s">
        <v>154</v>
      </c>
      <c r="B183" s="38" t="s">
        <v>77</v>
      </c>
      <c r="C183" s="26" t="s">
        <v>335</v>
      </c>
      <c r="D183" s="26"/>
      <c r="E183" s="13"/>
      <c r="F183" s="13"/>
      <c r="G183" s="13"/>
      <c r="H183" s="13"/>
      <c r="I183" s="13" t="str">
        <f t="shared" si="27"/>
        <v/>
      </c>
      <c r="J183" s="13" t="str">
        <f t="shared" si="27"/>
        <v/>
      </c>
      <c r="K183" s="13" t="str">
        <f t="shared" si="27"/>
        <v/>
      </c>
      <c r="L183" s="13" t="str">
        <f t="shared" si="27"/>
        <v/>
      </c>
      <c r="M183" s="11"/>
      <c r="N183" s="11" t="s">
        <v>70</v>
      </c>
      <c r="O183" s="13">
        <f t="shared" si="28"/>
        <v>182</v>
      </c>
    </row>
    <row r="184" spans="1:15" x14ac:dyDescent="0.25">
      <c r="A184" s="62"/>
      <c r="B184" s="38" t="s">
        <v>231</v>
      </c>
      <c r="C184" s="38" t="s">
        <v>336</v>
      </c>
      <c r="D184" s="38"/>
      <c r="E184" s="13"/>
      <c r="F184" s="13"/>
      <c r="G184" s="13">
        <f t="shared" si="26"/>
        <v>183</v>
      </c>
      <c r="H184" s="13">
        <f t="shared" si="26"/>
        <v>183</v>
      </c>
      <c r="I184" s="13">
        <f t="shared" si="27"/>
        <v>183</v>
      </c>
      <c r="J184" s="13">
        <f t="shared" si="27"/>
        <v>183</v>
      </c>
      <c r="K184" s="13">
        <f t="shared" si="27"/>
        <v>183</v>
      </c>
      <c r="L184" s="13">
        <f t="shared" si="27"/>
        <v>183</v>
      </c>
      <c r="M184" s="11"/>
      <c r="N184" s="11" t="s">
        <v>70</v>
      </c>
      <c r="O184" s="13">
        <f t="shared" si="28"/>
        <v>183</v>
      </c>
    </row>
    <row r="185" spans="1:15" x14ac:dyDescent="0.25">
      <c r="A185" s="60" t="s">
        <v>88</v>
      </c>
      <c r="B185" s="38" t="s">
        <v>242</v>
      </c>
      <c r="C185" s="26" t="s">
        <v>257</v>
      </c>
      <c r="D185" s="26"/>
      <c r="E185" s="13"/>
      <c r="F185" s="13"/>
      <c r="G185" s="13">
        <f t="shared" si="26"/>
        <v>184</v>
      </c>
      <c r="H185" s="13">
        <f t="shared" si="26"/>
        <v>184</v>
      </c>
      <c r="I185" s="13">
        <f t="shared" si="27"/>
        <v>184</v>
      </c>
      <c r="J185" s="13">
        <f t="shared" si="27"/>
        <v>184</v>
      </c>
      <c r="K185" s="13">
        <f t="shared" si="27"/>
        <v>184</v>
      </c>
      <c r="L185" s="13">
        <f t="shared" si="27"/>
        <v>184</v>
      </c>
      <c r="M185" s="11"/>
      <c r="N185" s="11" t="s">
        <v>70</v>
      </c>
      <c r="O185" s="17">
        <f t="shared" si="28"/>
        <v>184</v>
      </c>
    </row>
    <row r="186" spans="1:15" x14ac:dyDescent="0.25">
      <c r="A186" s="61"/>
      <c r="B186" s="38" t="s">
        <v>79</v>
      </c>
      <c r="C186" s="26" t="s">
        <v>337</v>
      </c>
      <c r="D186" s="26"/>
      <c r="E186" s="13">
        <f t="shared" si="26"/>
        <v>185</v>
      </c>
      <c r="F186" s="13"/>
      <c r="G186" s="13">
        <f t="shared" si="26"/>
        <v>185</v>
      </c>
      <c r="H186" s="13">
        <f t="shared" si="26"/>
        <v>185</v>
      </c>
      <c r="I186" s="13">
        <f t="shared" si="27"/>
        <v>185</v>
      </c>
      <c r="J186" s="13">
        <f t="shared" si="27"/>
        <v>185</v>
      </c>
      <c r="K186" s="13">
        <f t="shared" si="27"/>
        <v>185</v>
      </c>
      <c r="L186" s="13">
        <f t="shared" si="27"/>
        <v>185</v>
      </c>
      <c r="M186" s="11"/>
      <c r="N186" s="11" t="s">
        <v>70</v>
      </c>
      <c r="O186" s="13">
        <f t="shared" si="28"/>
        <v>185</v>
      </c>
    </row>
    <row r="187" spans="1:15" x14ac:dyDescent="0.25">
      <c r="A187" s="61"/>
      <c r="B187" s="63" t="s">
        <v>303</v>
      </c>
      <c r="C187" s="41" t="s">
        <v>305</v>
      </c>
      <c r="D187" s="41"/>
      <c r="E187" s="13"/>
      <c r="F187" s="13"/>
      <c r="G187" s="13">
        <f t="shared" si="26"/>
        <v>186</v>
      </c>
      <c r="H187" s="13">
        <f t="shared" si="26"/>
        <v>186</v>
      </c>
      <c r="I187" s="13">
        <f t="shared" si="27"/>
        <v>186</v>
      </c>
      <c r="J187" s="13">
        <f t="shared" si="27"/>
        <v>186</v>
      </c>
      <c r="K187" s="13">
        <f t="shared" si="27"/>
        <v>186</v>
      </c>
      <c r="L187" s="13">
        <f t="shared" si="27"/>
        <v>186</v>
      </c>
      <c r="M187" s="11"/>
      <c r="N187" s="11" t="s">
        <v>70</v>
      </c>
      <c r="O187" s="13">
        <f t="shared" si="28"/>
        <v>186</v>
      </c>
    </row>
    <row r="188" spans="1:15" x14ac:dyDescent="0.25">
      <c r="A188" s="61"/>
      <c r="B188" s="64"/>
      <c r="C188" s="41" t="s">
        <v>304</v>
      </c>
      <c r="D188" s="41"/>
      <c r="E188" s="13"/>
      <c r="F188" s="13"/>
      <c r="G188" s="13">
        <f t="shared" si="26"/>
        <v>187</v>
      </c>
      <c r="H188" s="13">
        <f t="shared" si="26"/>
        <v>187</v>
      </c>
      <c r="I188" s="13">
        <f t="shared" si="27"/>
        <v>187</v>
      </c>
      <c r="J188" s="13">
        <f t="shared" si="27"/>
        <v>187</v>
      </c>
      <c r="K188" s="13">
        <f t="shared" si="27"/>
        <v>187</v>
      </c>
      <c r="L188" s="13">
        <f t="shared" si="27"/>
        <v>187</v>
      </c>
      <c r="M188" s="11"/>
      <c r="N188" s="11" t="s">
        <v>70</v>
      </c>
      <c r="O188" s="13">
        <f t="shared" si="28"/>
        <v>187</v>
      </c>
    </row>
    <row r="189" spans="1:15" x14ac:dyDescent="0.25">
      <c r="A189" s="61"/>
      <c r="B189" s="38" t="s">
        <v>314</v>
      </c>
      <c r="C189" s="26" t="s">
        <v>338</v>
      </c>
      <c r="D189" s="26"/>
      <c r="E189" s="13">
        <f t="shared" ref="E189:E190" si="30">$O189</f>
        <v>188</v>
      </c>
      <c r="F189" s="13">
        <f>$O189</f>
        <v>188</v>
      </c>
      <c r="G189" s="13">
        <f>$O189</f>
        <v>188</v>
      </c>
      <c r="H189" s="13"/>
      <c r="I189" s="13">
        <f t="shared" si="27"/>
        <v>188</v>
      </c>
      <c r="J189" s="13">
        <f t="shared" si="27"/>
        <v>188</v>
      </c>
      <c r="K189" s="13">
        <f t="shared" si="27"/>
        <v>188</v>
      </c>
      <c r="L189" s="13">
        <f t="shared" si="27"/>
        <v>188</v>
      </c>
      <c r="M189" s="11"/>
      <c r="N189" s="11" t="s">
        <v>70</v>
      </c>
      <c r="O189" s="17">
        <f t="shared" si="28"/>
        <v>188</v>
      </c>
    </row>
    <row r="190" spans="1:15" x14ac:dyDescent="0.25">
      <c r="A190" s="62"/>
      <c r="B190" s="38" t="s">
        <v>315</v>
      </c>
      <c r="C190" s="26" t="s">
        <v>339</v>
      </c>
      <c r="D190" s="26"/>
      <c r="E190" s="13">
        <f t="shared" si="30"/>
        <v>189</v>
      </c>
      <c r="F190" s="13"/>
      <c r="G190" s="13"/>
      <c r="H190" s="13">
        <f>$O190</f>
        <v>189</v>
      </c>
      <c r="I190" s="13">
        <f t="shared" si="27"/>
        <v>189</v>
      </c>
      <c r="J190" s="13">
        <f t="shared" si="27"/>
        <v>189</v>
      </c>
      <c r="K190" s="13">
        <f t="shared" si="27"/>
        <v>189</v>
      </c>
      <c r="L190" s="13">
        <f t="shared" si="27"/>
        <v>189</v>
      </c>
      <c r="M190" s="11"/>
      <c r="N190" s="11" t="s">
        <v>70</v>
      </c>
      <c r="O190" s="17">
        <f t="shared" si="28"/>
        <v>189</v>
      </c>
    </row>
    <row r="191" spans="1:15" x14ac:dyDescent="0.25">
      <c r="A191" s="60" t="s">
        <v>170</v>
      </c>
      <c r="B191" s="38" t="s">
        <v>275</v>
      </c>
      <c r="C191" s="26" t="s">
        <v>276</v>
      </c>
      <c r="D191" s="26"/>
      <c r="E191" s="13"/>
      <c r="F191" s="13"/>
      <c r="G191" s="13">
        <f t="shared" si="26"/>
        <v>190</v>
      </c>
      <c r="H191" s="13">
        <f t="shared" si="26"/>
        <v>190</v>
      </c>
      <c r="I191" s="13">
        <f t="shared" ref="I191:L194" si="31">IF(COUNT(G191:H191)&gt;0,$O191,"")</f>
        <v>190</v>
      </c>
      <c r="J191" s="13">
        <f t="shared" si="31"/>
        <v>190</v>
      </c>
      <c r="K191" s="13">
        <f t="shared" si="31"/>
        <v>190</v>
      </c>
      <c r="L191" s="13">
        <f t="shared" si="31"/>
        <v>190</v>
      </c>
      <c r="M191" s="11"/>
      <c r="N191" s="11" t="s">
        <v>70</v>
      </c>
      <c r="O191" s="17">
        <f t="shared" si="28"/>
        <v>190</v>
      </c>
    </row>
    <row r="192" spans="1:15" x14ac:dyDescent="0.25">
      <c r="A192" s="62"/>
      <c r="B192" s="38" t="s">
        <v>277</v>
      </c>
      <c r="C192" s="26" t="s">
        <v>278</v>
      </c>
      <c r="D192" s="26"/>
      <c r="E192" s="13"/>
      <c r="F192" s="13"/>
      <c r="G192" s="13">
        <f t="shared" si="26"/>
        <v>191</v>
      </c>
      <c r="H192" s="13">
        <f t="shared" si="26"/>
        <v>191</v>
      </c>
      <c r="I192" s="13">
        <f t="shared" si="31"/>
        <v>191</v>
      </c>
      <c r="J192" s="13">
        <f t="shared" si="31"/>
        <v>191</v>
      </c>
      <c r="K192" s="13">
        <f t="shared" si="31"/>
        <v>191</v>
      </c>
      <c r="L192" s="13">
        <f t="shared" si="31"/>
        <v>191</v>
      </c>
      <c r="M192" s="11"/>
      <c r="N192" s="11" t="s">
        <v>70</v>
      </c>
      <c r="O192" s="17">
        <f t="shared" si="28"/>
        <v>191</v>
      </c>
    </row>
    <row r="193" spans="1:15" x14ac:dyDescent="0.25">
      <c r="A193" s="60" t="s">
        <v>154</v>
      </c>
      <c r="B193" s="38" t="s">
        <v>279</v>
      </c>
      <c r="C193" s="26" t="s">
        <v>280</v>
      </c>
      <c r="D193" s="26"/>
      <c r="E193" s="13"/>
      <c r="F193" s="13"/>
      <c r="G193" s="13">
        <f t="shared" si="26"/>
        <v>192</v>
      </c>
      <c r="H193" s="13">
        <f t="shared" si="26"/>
        <v>192</v>
      </c>
      <c r="I193" s="13">
        <f t="shared" si="31"/>
        <v>192</v>
      </c>
      <c r="J193" s="13">
        <f t="shared" si="31"/>
        <v>192</v>
      </c>
      <c r="K193" s="13">
        <f t="shared" si="31"/>
        <v>192</v>
      </c>
      <c r="L193" s="13">
        <f t="shared" si="31"/>
        <v>192</v>
      </c>
      <c r="M193" s="11"/>
      <c r="N193" s="11" t="s">
        <v>70</v>
      </c>
      <c r="O193" s="13">
        <f t="shared" si="28"/>
        <v>192</v>
      </c>
    </row>
    <row r="194" spans="1:15" x14ac:dyDescent="0.25">
      <c r="A194" s="62"/>
      <c r="B194" s="38" t="s">
        <v>281</v>
      </c>
      <c r="C194" s="26" t="s">
        <v>282</v>
      </c>
      <c r="D194" s="26"/>
      <c r="E194" s="13"/>
      <c r="F194" s="13"/>
      <c r="G194" s="13">
        <f t="shared" si="26"/>
        <v>193</v>
      </c>
      <c r="H194" s="13">
        <f t="shared" si="26"/>
        <v>193</v>
      </c>
      <c r="I194" s="13">
        <f t="shared" si="31"/>
        <v>193</v>
      </c>
      <c r="J194" s="13">
        <f t="shared" si="31"/>
        <v>193</v>
      </c>
      <c r="K194" s="13">
        <f t="shared" si="31"/>
        <v>193</v>
      </c>
      <c r="L194" s="13">
        <f t="shared" si="31"/>
        <v>193</v>
      </c>
      <c r="M194" s="11"/>
      <c r="N194" s="11" t="s">
        <v>70</v>
      </c>
      <c r="O194" s="13">
        <f t="shared" si="28"/>
        <v>193</v>
      </c>
    </row>
  </sheetData>
  <mergeCells count="70">
    <mergeCell ref="A2:A19"/>
    <mergeCell ref="B2:B5"/>
    <mergeCell ref="B6:B10"/>
    <mergeCell ref="B11:B13"/>
    <mergeCell ref="B14:B16"/>
    <mergeCell ref="B17:B19"/>
    <mergeCell ref="A20:A43"/>
    <mergeCell ref="B20:B22"/>
    <mergeCell ref="B23:B25"/>
    <mergeCell ref="B26:B28"/>
    <mergeCell ref="B29:B31"/>
    <mergeCell ref="B32:B34"/>
    <mergeCell ref="B35:B37"/>
    <mergeCell ref="B38:B40"/>
    <mergeCell ref="B41:B43"/>
    <mergeCell ref="B80:B82"/>
    <mergeCell ref="A44:A49"/>
    <mergeCell ref="B44:B45"/>
    <mergeCell ref="B46:B47"/>
    <mergeCell ref="B48:B49"/>
    <mergeCell ref="A50:A88"/>
    <mergeCell ref="B50:B52"/>
    <mergeCell ref="B53:B55"/>
    <mergeCell ref="B56:B58"/>
    <mergeCell ref="B59:B61"/>
    <mergeCell ref="B62:B64"/>
    <mergeCell ref="B65:B67"/>
    <mergeCell ref="B68:B70"/>
    <mergeCell ref="B71:B73"/>
    <mergeCell ref="B74:B76"/>
    <mergeCell ref="B77:B79"/>
    <mergeCell ref="B83:B85"/>
    <mergeCell ref="B86:B88"/>
    <mergeCell ref="A89:A103"/>
    <mergeCell ref="B89:B90"/>
    <mergeCell ref="B91:B93"/>
    <mergeCell ref="B94:B95"/>
    <mergeCell ref="B96:B97"/>
    <mergeCell ref="B98:B99"/>
    <mergeCell ref="B100:B101"/>
    <mergeCell ref="B102:B103"/>
    <mergeCell ref="A162:A164"/>
    <mergeCell ref="B162:B164"/>
    <mergeCell ref="A104:A160"/>
    <mergeCell ref="B104:B107"/>
    <mergeCell ref="B108:B112"/>
    <mergeCell ref="B113:B116"/>
    <mergeCell ref="B117:B120"/>
    <mergeCell ref="B121:B124"/>
    <mergeCell ref="B125:B128"/>
    <mergeCell ref="B129:B132"/>
    <mergeCell ref="B133:B136"/>
    <mergeCell ref="B137:B140"/>
    <mergeCell ref="B141:B144"/>
    <mergeCell ref="B145:B148"/>
    <mergeCell ref="B149:B152"/>
    <mergeCell ref="B153:B156"/>
    <mergeCell ref="B157:B160"/>
    <mergeCell ref="A193:A194"/>
    <mergeCell ref="A165:A168"/>
    <mergeCell ref="B165:B167"/>
    <mergeCell ref="A169:A170"/>
    <mergeCell ref="A171:A173"/>
    <mergeCell ref="B171:B173"/>
    <mergeCell ref="A175:A178"/>
    <mergeCell ref="A179:A182"/>
    <mergeCell ref="A183:A184"/>
    <mergeCell ref="A185:A190"/>
    <mergeCell ref="B187:B188"/>
    <mergeCell ref="A191:A192"/>
  </mergeCells>
  <conditionalFormatting sqref="A104">
    <cfRule type="expression" dxfId="114" priority="107" stopIfTrue="1">
      <formula>#REF!="yellow"</formula>
    </cfRule>
    <cfRule type="expression" dxfId="113" priority="106" stopIfTrue="1">
      <formula>#REF!="blue"</formula>
    </cfRule>
    <cfRule type="expression" dxfId="112" priority="104" stopIfTrue="1">
      <formula>#REF!="None"</formula>
    </cfRule>
    <cfRule type="expression" dxfId="111" priority="105" stopIfTrue="1">
      <formula>#REF!="orange"</formula>
    </cfRule>
  </conditionalFormatting>
  <conditionalFormatting sqref="A191">
    <cfRule type="expression" dxfId="110" priority="13" stopIfTrue="1">
      <formula>$N191="orange"</formula>
    </cfRule>
    <cfRule type="expression" dxfId="109" priority="15" stopIfTrue="1">
      <formula>$N191="yellow"</formula>
    </cfRule>
    <cfRule type="expression" dxfId="108" priority="14" stopIfTrue="1">
      <formula>$N191="blue"</formula>
    </cfRule>
    <cfRule type="expression" dxfId="107" priority="12" stopIfTrue="1">
      <formula>$N191="None"</formula>
    </cfRule>
  </conditionalFormatting>
  <conditionalFormatting sqref="A2:B2 C2:O49 B6 B11 B14 B20 B23 B26 B29 B32 B35 B38 B41 A44:B44 B46 B48 A89:B89 C89:O95 B91 B94 B96 B98 B100 B102 B104 B108 B113:B115 B117 B121 B125 B129 B133 B137 B141 B145 B149 B153 B157 A161:B163 A165:B165 B166 A169:B169 B170 A171:B171 A174:B175 A179 A183 A185 A193">
    <cfRule type="expression" dxfId="106" priority="97" stopIfTrue="1">
      <formula>$N2="orange"</formula>
    </cfRule>
    <cfRule type="expression" dxfId="105" priority="98" stopIfTrue="1">
      <formula>$N2="blue"</formula>
    </cfRule>
    <cfRule type="expression" dxfId="104" priority="99" stopIfTrue="1">
      <formula>$N2="yellow"</formula>
    </cfRule>
  </conditionalFormatting>
  <conditionalFormatting sqref="A2:B2 C2:O49 B6 B11 B14 B20 B23 B26 B29 B32 B35 B38 B41 A44:B44 B46 B48 A89:O89 B91 B94 B96 B98 B100 B102 B104 B108 B113:B115 B117 B121 B125 B129 B133 B137 B141 B145 B149 B153 B157 A161:B163 A165:B165 B166 A169:B169 B170 A171:B171 A174:B175 A179 A183 A185 A193">
    <cfRule type="expression" dxfId="103" priority="96" stopIfTrue="1">
      <formula>$N2="None"</formula>
    </cfRule>
  </conditionalFormatting>
  <conditionalFormatting sqref="A50:O50 C57:O64 N65:O88 B71:L71 C72:L88 B74 B77 B80 B83 E161:O194">
    <cfRule type="expression" dxfId="102" priority="79" stopIfTrue="1">
      <formula>$N50="yellow"</formula>
    </cfRule>
    <cfRule type="expression" dxfId="101" priority="76" stopIfTrue="1">
      <formula>$N50="None"</formula>
    </cfRule>
    <cfRule type="expression" dxfId="100" priority="77" stopIfTrue="1">
      <formula>$N50="orange"</formula>
    </cfRule>
    <cfRule type="expression" dxfId="99" priority="78" stopIfTrue="1">
      <formula>$N50="blue"</formula>
    </cfRule>
  </conditionalFormatting>
  <conditionalFormatting sqref="B17">
    <cfRule type="expression" dxfId="98" priority="51" stopIfTrue="1">
      <formula>$N17="yellow"</formula>
    </cfRule>
    <cfRule type="expression" dxfId="97" priority="50" stopIfTrue="1">
      <formula>$N17="blue"</formula>
    </cfRule>
    <cfRule type="expression" dxfId="96" priority="49" stopIfTrue="1">
      <formula>$N17="orange"</formula>
    </cfRule>
    <cfRule type="expression" dxfId="95" priority="48" stopIfTrue="1">
      <formula>$N17="None"</formula>
    </cfRule>
  </conditionalFormatting>
  <conditionalFormatting sqref="B168">
    <cfRule type="expression" dxfId="94" priority="56" stopIfTrue="1">
      <formula>$N168="None"</formula>
    </cfRule>
    <cfRule type="expression" dxfId="93" priority="57" stopIfTrue="1">
      <formula>$N168="orange"</formula>
    </cfRule>
    <cfRule type="expression" dxfId="92" priority="58" stopIfTrue="1">
      <formula>$N168="blue"</formula>
    </cfRule>
    <cfRule type="expression" dxfId="91" priority="59" stopIfTrue="1">
      <formula>$N168="yellow"</formula>
    </cfRule>
  </conditionalFormatting>
  <conditionalFormatting sqref="B176:B194">
    <cfRule type="expression" dxfId="90" priority="11" stopIfTrue="1">
      <formula>$N176="yellow"</formula>
    </cfRule>
    <cfRule type="expression" dxfId="89" priority="10" stopIfTrue="1">
      <formula>$N176="blue"</formula>
    </cfRule>
    <cfRule type="expression" dxfId="88" priority="9" stopIfTrue="1">
      <formula>$N176="orange"</formula>
    </cfRule>
    <cfRule type="expression" dxfId="87" priority="8" stopIfTrue="1">
      <formula>$N176="None"</formula>
    </cfRule>
  </conditionalFormatting>
  <conditionalFormatting sqref="B65:M65">
    <cfRule type="expression" dxfId="86" priority="47" stopIfTrue="1">
      <formula>$N65="yellow"</formula>
    </cfRule>
    <cfRule type="expression" dxfId="85" priority="46" stopIfTrue="1">
      <formula>$N65="blue"</formula>
    </cfRule>
    <cfRule type="expression" dxfId="84" priority="45" stopIfTrue="1">
      <formula>$N65="orange"</formula>
    </cfRule>
    <cfRule type="expression" dxfId="83" priority="44" stopIfTrue="1">
      <formula>$N65="None"</formula>
    </cfRule>
  </conditionalFormatting>
  <conditionalFormatting sqref="B68:M68">
    <cfRule type="expression" dxfId="82" priority="43" stopIfTrue="1">
      <formula>$N68="yellow"</formula>
    </cfRule>
    <cfRule type="expression" dxfId="81" priority="42" stopIfTrue="1">
      <formula>$N68="blue"</formula>
    </cfRule>
    <cfRule type="expression" dxfId="80" priority="41" stopIfTrue="1">
      <formula>$N68="orange"</formula>
    </cfRule>
    <cfRule type="expression" dxfId="79" priority="40" stopIfTrue="1">
      <formula>$N68="None"</formula>
    </cfRule>
  </conditionalFormatting>
  <conditionalFormatting sqref="B53:O53 O54:O55 B56:O56 B59 B62 B86">
    <cfRule type="expression" dxfId="78" priority="69" stopIfTrue="1">
      <formula>$N53="orange"</formula>
    </cfRule>
    <cfRule type="expression" dxfId="77" priority="68" stopIfTrue="1">
      <formula>$N53="None"</formula>
    </cfRule>
    <cfRule type="expression" dxfId="76" priority="70" stopIfTrue="1">
      <formula>$N53="blue"</formula>
    </cfRule>
    <cfRule type="expression" dxfId="75" priority="71" stopIfTrue="1">
      <formula>$N53="yellow"</formula>
    </cfRule>
  </conditionalFormatting>
  <conditionalFormatting sqref="C162:D163">
    <cfRule type="expression" dxfId="74" priority="84" stopIfTrue="1">
      <formula>$N162="None"</formula>
    </cfRule>
    <cfRule type="expression" dxfId="73" priority="85" stopIfTrue="1">
      <formula>$N162="orange"</formula>
    </cfRule>
    <cfRule type="expression" dxfId="72" priority="86" stopIfTrue="1">
      <formula>$N162="blue"</formula>
    </cfRule>
    <cfRule type="expression" dxfId="71" priority="87" stopIfTrue="1">
      <formula>$N162="yellow"</formula>
    </cfRule>
  </conditionalFormatting>
  <conditionalFormatting sqref="C164:D164 C167:D167 C169:D171">
    <cfRule type="expression" dxfId="70" priority="101" stopIfTrue="1">
      <formula>$N162="orange"</formula>
    </cfRule>
    <cfRule type="expression" dxfId="69" priority="100" stopIfTrue="1">
      <formula>$N162="None"</formula>
    </cfRule>
    <cfRule type="expression" dxfId="68" priority="102" stopIfTrue="1">
      <formula>$N162="blue"</formula>
    </cfRule>
    <cfRule type="expression" dxfId="67" priority="103" stopIfTrue="1">
      <formula>$N162="yellow"</formula>
    </cfRule>
  </conditionalFormatting>
  <conditionalFormatting sqref="C165:D166 C172:D173 C185:D185">
    <cfRule type="expression" dxfId="66" priority="91" stopIfTrue="1">
      <formula>$N164="yellow"</formula>
    </cfRule>
    <cfRule type="expression" dxfId="65" priority="90" stopIfTrue="1">
      <formula>$N164="blue"</formula>
    </cfRule>
    <cfRule type="expression" dxfId="64" priority="89" stopIfTrue="1">
      <formula>$N164="orange"</formula>
    </cfRule>
    <cfRule type="expression" dxfId="63" priority="88" stopIfTrue="1">
      <formula>$N164="None"</formula>
    </cfRule>
  </conditionalFormatting>
  <conditionalFormatting sqref="C168:D168">
    <cfRule type="expression" dxfId="62" priority="60" stopIfTrue="1">
      <formula>$N167="None"</formula>
    </cfRule>
    <cfRule type="expression" dxfId="61" priority="61" stopIfTrue="1">
      <formula>$N167="orange"</formula>
    </cfRule>
    <cfRule type="expression" dxfId="60" priority="62" stopIfTrue="1">
      <formula>$N167="blue"</formula>
    </cfRule>
    <cfRule type="expression" dxfId="59" priority="63" stopIfTrue="1">
      <formula>$N167="yellow"</formula>
    </cfRule>
  </conditionalFormatting>
  <conditionalFormatting sqref="C175:D184">
    <cfRule type="expression" dxfId="58" priority="92" stopIfTrue="1">
      <formula>$N175="None"</formula>
    </cfRule>
    <cfRule type="expression" dxfId="57" priority="93" stopIfTrue="1">
      <formula>$N175="orange"</formula>
    </cfRule>
    <cfRule type="expression" dxfId="56" priority="94" stopIfTrue="1">
      <formula>$N175="blue"</formula>
    </cfRule>
    <cfRule type="expression" dxfId="55" priority="95" stopIfTrue="1">
      <formula>$N175="yellow"</formula>
    </cfRule>
  </conditionalFormatting>
  <conditionalFormatting sqref="C186:D187">
    <cfRule type="expression" dxfId="54" priority="108" stopIfTrue="1">
      <formula>$N183="None"</formula>
    </cfRule>
    <cfRule type="expression" dxfId="53" priority="109" stopIfTrue="1">
      <formula>$N183="orange"</formula>
    </cfRule>
    <cfRule type="expression" dxfId="52" priority="110" stopIfTrue="1">
      <formula>$N183="blue"</formula>
    </cfRule>
    <cfRule type="expression" dxfId="51" priority="111" stopIfTrue="1">
      <formula>$N183="yellow"</formula>
    </cfRule>
  </conditionalFormatting>
  <conditionalFormatting sqref="C188:D188">
    <cfRule type="expression" dxfId="50" priority="115" stopIfTrue="1">
      <formula>$N184="yellow"</formula>
    </cfRule>
    <cfRule type="expression" dxfId="49" priority="112" stopIfTrue="1">
      <formula>$N184="None"</formula>
    </cfRule>
    <cfRule type="expression" dxfId="48" priority="113" stopIfTrue="1">
      <formula>$N184="orange"</formula>
    </cfRule>
    <cfRule type="expression" dxfId="47" priority="114" stopIfTrue="1">
      <formula>$N184="blue"</formula>
    </cfRule>
  </conditionalFormatting>
  <conditionalFormatting sqref="C189:D190">
    <cfRule type="expression" dxfId="46" priority="67" stopIfTrue="1">
      <formula>$N188="yellow"</formula>
    </cfRule>
    <cfRule type="expression" dxfId="45" priority="65" stopIfTrue="1">
      <formula>$N188="orange"</formula>
    </cfRule>
    <cfRule type="expression" dxfId="44" priority="64" stopIfTrue="1">
      <formula>$N188="None"</formula>
    </cfRule>
    <cfRule type="expression" dxfId="43" priority="66" stopIfTrue="1">
      <formula>$N188="blue"</formula>
    </cfRule>
  </conditionalFormatting>
  <conditionalFormatting sqref="C191:D191">
    <cfRule type="expression" dxfId="42" priority="16" stopIfTrue="1">
      <formula>$N184="None"</formula>
    </cfRule>
    <cfRule type="expression" dxfId="41" priority="17" stopIfTrue="1">
      <formula>$N184="orange"</formula>
    </cfRule>
    <cfRule type="expression" dxfId="40" priority="18" stopIfTrue="1">
      <formula>$N184="blue"</formula>
    </cfRule>
    <cfRule type="expression" dxfId="39" priority="19" stopIfTrue="1">
      <formula>$N184="yellow"</formula>
    </cfRule>
  </conditionalFormatting>
  <conditionalFormatting sqref="C192:D192">
    <cfRule type="expression" dxfId="38" priority="81" stopIfTrue="1">
      <formula>$N186="orange"</formula>
    </cfRule>
    <cfRule type="expression" dxfId="37" priority="83" stopIfTrue="1">
      <formula>$N186="yellow"</formula>
    </cfRule>
    <cfRule type="expression" dxfId="36" priority="82" stopIfTrue="1">
      <formula>$N186="blue"</formula>
    </cfRule>
    <cfRule type="expression" dxfId="35" priority="80" stopIfTrue="1">
      <formula>$N186="None"</formula>
    </cfRule>
  </conditionalFormatting>
  <conditionalFormatting sqref="C193:D194">
    <cfRule type="expression" dxfId="34" priority="5" stopIfTrue="1">
      <formula>$N191="orange"</formula>
    </cfRule>
    <cfRule type="expression" dxfId="33" priority="6" stopIfTrue="1">
      <formula>$N191="blue"</formula>
    </cfRule>
    <cfRule type="expression" dxfId="32" priority="4" stopIfTrue="1">
      <formula>$N191="None"</formula>
    </cfRule>
    <cfRule type="expression" dxfId="31" priority="7" stopIfTrue="1">
      <formula>$N191="yellow"</formula>
    </cfRule>
  </conditionalFormatting>
  <conditionalFormatting sqref="C55:E55">
    <cfRule type="expression" dxfId="30" priority="55" stopIfTrue="1">
      <formula>$N55="yellow"</formula>
    </cfRule>
    <cfRule type="expression" dxfId="29" priority="52" stopIfTrue="1">
      <formula>$N55="None"</formula>
    </cfRule>
    <cfRule type="expression" dxfId="28" priority="53" stopIfTrue="1">
      <formula>$N55="orange"</formula>
    </cfRule>
    <cfRule type="expression" dxfId="27" priority="54" stopIfTrue="1">
      <formula>$N55="blue"</formula>
    </cfRule>
  </conditionalFormatting>
  <conditionalFormatting sqref="C66:M67">
    <cfRule type="expression" dxfId="26" priority="38" stopIfTrue="1">
      <formula>$N66="blue"</formula>
    </cfRule>
    <cfRule type="expression" dxfId="25" priority="39" stopIfTrue="1">
      <formula>$N66="yellow"</formula>
    </cfRule>
    <cfRule type="expression" dxfId="24" priority="37" stopIfTrue="1">
      <formula>$N66="orange"</formula>
    </cfRule>
    <cfRule type="expression" dxfId="23" priority="36" stopIfTrue="1">
      <formula>$N66="None"</formula>
    </cfRule>
  </conditionalFormatting>
  <conditionalFormatting sqref="C69:M70">
    <cfRule type="expression" dxfId="22" priority="34" stopIfTrue="1">
      <formula>$N69="blue"</formula>
    </cfRule>
    <cfRule type="expression" dxfId="21" priority="32" stopIfTrue="1">
      <formula>$N69="None"</formula>
    </cfRule>
    <cfRule type="expression" dxfId="20" priority="33" stopIfTrue="1">
      <formula>$N69="orange"</formula>
    </cfRule>
    <cfRule type="expression" dxfId="19" priority="35" stopIfTrue="1">
      <formula>$N69="yellow"</formula>
    </cfRule>
  </conditionalFormatting>
  <conditionalFormatting sqref="C51:O52">
    <cfRule type="expression" dxfId="18" priority="27" stopIfTrue="1">
      <formula>$N51="yellow"</formula>
    </cfRule>
    <cfRule type="expression" dxfId="17" priority="25" stopIfTrue="1">
      <formula>$N51="orange"</formula>
    </cfRule>
    <cfRule type="expression" dxfId="16" priority="24" stopIfTrue="1">
      <formula>$N51="None"</formula>
    </cfRule>
    <cfRule type="expression" dxfId="15" priority="26" stopIfTrue="1">
      <formula>$N51="blue"</formula>
    </cfRule>
  </conditionalFormatting>
  <conditionalFormatting sqref="C54:O54 F55:O55">
    <cfRule type="expression" dxfId="14" priority="74" stopIfTrue="1">
      <formula>$N54="blue"</formula>
    </cfRule>
    <cfRule type="expression" dxfId="13" priority="73" stopIfTrue="1">
      <formula>$N54="orange"</formula>
    </cfRule>
    <cfRule type="expression" dxfId="12" priority="72" stopIfTrue="1">
      <formula>$N54="None"</formula>
    </cfRule>
    <cfRule type="expression" dxfId="11" priority="75" stopIfTrue="1">
      <formula>$N54="yellow"</formula>
    </cfRule>
  </conditionalFormatting>
  <conditionalFormatting sqref="C90:O160">
    <cfRule type="expression" dxfId="10" priority="20" stopIfTrue="1">
      <formula>$N90="None"</formula>
    </cfRule>
  </conditionalFormatting>
  <conditionalFormatting sqref="C96:O160">
    <cfRule type="expression" dxfId="9" priority="23" stopIfTrue="1">
      <formula>$N96="yellow"</formula>
    </cfRule>
    <cfRule type="expression" dxfId="8" priority="22" stopIfTrue="1">
      <formula>$N96="blue"</formula>
    </cfRule>
    <cfRule type="expression" dxfId="7" priority="21" stopIfTrue="1">
      <formula>$N96="orange"</formula>
    </cfRule>
  </conditionalFormatting>
  <conditionalFormatting sqref="M71:M88">
    <cfRule type="expression" dxfId="6" priority="30" stopIfTrue="1">
      <formula>$N71="blue"</formula>
    </cfRule>
    <cfRule type="expression" dxfId="5" priority="28" stopIfTrue="1">
      <formula>$N71="None"</formula>
    </cfRule>
    <cfRule type="expression" dxfId="4" priority="29" stopIfTrue="1">
      <formula>$N71="orange"</formula>
    </cfRule>
    <cfRule type="expression" dxfId="3" priority="31" stopIfTrue="1">
      <formula>$N71="yellow"</formula>
    </cfRule>
  </conditionalFormatting>
  <conditionalFormatting sqref="M96:M97">
    <cfRule type="expression" dxfId="2" priority="3" stopIfTrue="1">
      <formula>$N96="yellow"</formula>
    </cfRule>
    <cfRule type="expression" dxfId="1" priority="2" stopIfTrue="1">
      <formula>$N96="blue"</formula>
    </cfRule>
    <cfRule type="expression" dxfId="0" priority="1" stopIfTrue="1">
      <formula>$N96="orange"</formula>
    </cfRule>
  </conditionalFormatting>
  <pageMargins left="0.7" right="0.7" top="0.75" bottom="0.75" header="0.3" footer="0.3"/>
  <pageSetup orientation="portrait" horizontalDpi="0" verticalDpi="0"/>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Revision</vt:lpstr>
      <vt:lpstr>preflow</vt:lpstr>
      <vt:lpstr>BV</vt:lpstr>
      <vt:lpstr>HBV</vt:lpstr>
      <vt:lpstr>PBC</vt:lpstr>
      <vt:lpstr>BinCut Mode Sequence_old_format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Toby McPheeters</dc:creator>
  <cp:lastModifiedBy>Toby McPheeters</cp:lastModifiedBy>
  <dcterms:created xsi:type="dcterms:W3CDTF">2021-09-14T05:48:51Z</dcterms:created>
  <dcterms:modified xsi:type="dcterms:W3CDTF">2024-11-21T04:26:21Z</dcterms:modified>
</cp:coreProperties>
</file>