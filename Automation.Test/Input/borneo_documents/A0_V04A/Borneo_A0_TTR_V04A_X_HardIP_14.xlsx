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vsriperambhudur/Library/CloudStorage/Box-Box/SoC HardIP TE Repository/Borneo/TTR Table/"/>
    </mc:Choice>
  </mc:AlternateContent>
  <xr:revisionPtr revIDLastSave="0" documentId="13_ncr:1_{879EF3DF-A726-794C-8DA0-0EFEFC0C3AC3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Version History" sheetId="49" r:id="rId1"/>
    <sheet name="TTR Summary" sheetId="1" r:id="rId2"/>
    <sheet name="IO_JTAG" sheetId="2" r:id="rId3"/>
    <sheet name="ADCDFT" sheetId="3" r:id="rId4"/>
    <sheet name="MTRICTS" sheetId="4" r:id="rId5"/>
    <sheet name="NTSE" sheetId="5" r:id="rId6"/>
    <sheet name="NTSR" sheetId="6" r:id="rId7"/>
    <sheet name="MISC" sheetId="7" r:id="rId8"/>
    <sheet name="FRO" sheetId="8" r:id="rId9"/>
    <sheet name="CPLL" sheetId="9" r:id="rId10"/>
    <sheet name="ADCLK" sheetId="10" r:id="rId11"/>
    <sheet name="LAPLL" sheetId="11" r:id="rId12"/>
    <sheet name="PCIEREFGEN" sheetId="12" r:id="rId13"/>
    <sheet name="PCIE5CMN" sheetId="13" r:id="rId14"/>
    <sheet name="ACIPHYCMN" sheetId="14" r:id="rId15"/>
    <sheet name="ACIOPHYCMN" sheetId="15" r:id="rId16"/>
    <sheet name="LPDPTXCMN" sheetId="16" r:id="rId17"/>
    <sheet name="AMPCMN" sheetId="17" r:id="rId18"/>
    <sheet name="PCIEREFPLL" sheetId="18" r:id="rId19"/>
    <sheet name="PCIEPLL" sheetId="19" r:id="rId20"/>
    <sheet name="CIOCIOPLL" sheetId="20" r:id="rId21"/>
    <sheet name="CIODPPLL" sheetId="21" r:id="rId22"/>
    <sheet name="LPDPDPPLL" sheetId="22" r:id="rId23"/>
    <sheet name="LPDDRPLL" sheetId="23" r:id="rId24"/>
    <sheet name="HSCSAROSC" sheetId="24" r:id="rId25"/>
    <sheet name="ULPPLL" sheetId="25" r:id="rId26"/>
    <sheet name="FLPPLL" sheetId="26" r:id="rId27"/>
    <sheet name="SEPVMC" sheetId="27" r:id="rId28"/>
    <sheet name="SEPF2M" sheetId="28" r:id="rId29"/>
    <sheet name="MIDBIASLDO" sheetId="29" r:id="rId30"/>
    <sheet name="ADC" sheetId="30" r:id="rId31"/>
    <sheet name="ACIOPHY" sheetId="31" r:id="rId32"/>
    <sheet name="ACIPHY" sheetId="32" r:id="rId33"/>
    <sheet name="ACIPHY_LITE" sheetId="50" r:id="rId34"/>
    <sheet name="LPDPTX" sheetId="33" r:id="rId35"/>
    <sheet name="LPDPTX_LITE" sheetId="51" r:id="rId36"/>
    <sheet name="PCIE5" sheetId="34" r:id="rId37"/>
    <sheet name="NTSX" sheetId="35" r:id="rId38"/>
    <sheet name="PCIEREFBUF" sheetId="36" r:id="rId39"/>
    <sheet name="USB" sheetId="37" r:id="rId40"/>
    <sheet name="AMP" sheetId="48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51" l="1"/>
  <c r="F2" i="51" l="1"/>
  <c r="F2" i="50"/>
  <c r="F2" i="48"/>
  <c r="C49" i="1"/>
  <c r="C48" i="1"/>
  <c r="C47" i="1"/>
  <c r="C46" i="1"/>
  <c r="C43" i="1"/>
  <c r="C42" i="1"/>
  <c r="C41" i="1"/>
  <c r="F2" i="37"/>
  <c r="C39" i="1" s="1"/>
  <c r="I39" i="1" s="1"/>
  <c r="F2" i="36"/>
  <c r="C38" i="1" s="1"/>
  <c r="F2" i="35"/>
  <c r="F2" i="34"/>
  <c r="C36" i="1" s="1"/>
  <c r="F2" i="33"/>
  <c r="F2" i="32"/>
  <c r="C34" i="1" s="1"/>
  <c r="I34" i="1" s="1"/>
  <c r="F2" i="31"/>
  <c r="C33" i="1" s="1"/>
  <c r="F2" i="30"/>
  <c r="C32" i="1" s="1"/>
  <c r="D32" i="1" s="1"/>
  <c r="F2" i="29"/>
  <c r="C31" i="1" s="1"/>
  <c r="F2" i="28"/>
  <c r="C30" i="1" s="1"/>
  <c r="I30" i="1" s="1"/>
  <c r="F2" i="27"/>
  <c r="C29" i="1" s="1"/>
  <c r="I29" i="1" s="1"/>
  <c r="F2" i="26"/>
  <c r="C28" i="1" s="1"/>
  <c r="F2" i="25"/>
  <c r="C27" i="1" s="1"/>
  <c r="I27" i="1" s="1"/>
  <c r="F2" i="24"/>
  <c r="C26" i="1" s="1"/>
  <c r="F2" i="23"/>
  <c r="C25" i="1" s="1"/>
  <c r="D25" i="1" s="1"/>
  <c r="F2" i="22"/>
  <c r="C24" i="1" s="1"/>
  <c r="I24" i="1" s="1"/>
  <c r="F2" i="21"/>
  <c r="C23" i="1" s="1"/>
  <c r="F2" i="20"/>
  <c r="C22" i="1" s="1"/>
  <c r="F2" i="19"/>
  <c r="C21" i="1" s="1"/>
  <c r="C20" i="1"/>
  <c r="I20" i="1" s="1"/>
  <c r="F2" i="17"/>
  <c r="C19" i="1" s="1"/>
  <c r="I19" i="1" s="1"/>
  <c r="F2" i="16"/>
  <c r="C18" i="1" s="1"/>
  <c r="F2" i="15"/>
  <c r="F2" i="14"/>
  <c r="C16" i="1" s="1"/>
  <c r="F2" i="13"/>
  <c r="C15" i="1" s="1"/>
  <c r="I15" i="1" s="1"/>
  <c r="F2" i="12"/>
  <c r="C14" i="1" s="1"/>
  <c r="I14" i="1" s="1"/>
  <c r="F2" i="11"/>
  <c r="C13" i="1" s="1"/>
  <c r="F2" i="10"/>
  <c r="C12" i="1" s="1"/>
  <c r="D12" i="1" s="1"/>
  <c r="F2" i="9"/>
  <c r="C11" i="1" s="1"/>
  <c r="F2" i="8"/>
  <c r="C10" i="1" s="1"/>
  <c r="I10" i="1" s="1"/>
  <c r="F2" i="7"/>
  <c r="C9" i="1" s="1"/>
  <c r="I9" i="1" s="1"/>
  <c r="F2" i="6"/>
  <c r="C8" i="1" s="1"/>
  <c r="F2" i="5"/>
  <c r="F2" i="4"/>
  <c r="C6" i="1" s="1"/>
  <c r="F2" i="3"/>
  <c r="C5" i="1" s="1"/>
  <c r="D5" i="1" s="1"/>
  <c r="F2" i="2"/>
  <c r="C4" i="1" s="1"/>
  <c r="I4" i="1" s="1"/>
  <c r="G52" i="1"/>
  <c r="F52" i="1"/>
  <c r="C50" i="1"/>
  <c r="I50" i="1" s="1"/>
  <c r="C45" i="1"/>
  <c r="D45" i="1" s="1"/>
  <c r="C44" i="1"/>
  <c r="I44" i="1" s="1"/>
  <c r="C40" i="1"/>
  <c r="I40" i="1" s="1"/>
  <c r="C37" i="1"/>
  <c r="I37" i="1" s="1"/>
  <c r="C35" i="1"/>
  <c r="D35" i="1" s="1"/>
  <c r="C17" i="1"/>
  <c r="I17" i="1" s="1"/>
  <c r="C7" i="1"/>
  <c r="I7" i="1" s="1"/>
  <c r="D50" i="1" l="1"/>
  <c r="D40" i="1"/>
  <c r="D31" i="1"/>
  <c r="I31" i="1"/>
  <c r="D22" i="1"/>
  <c r="I22" i="1"/>
  <c r="I42" i="1"/>
  <c r="D42" i="1"/>
  <c r="I13" i="1"/>
  <c r="D13" i="1"/>
  <c r="I23" i="1"/>
  <c r="D23" i="1"/>
  <c r="I33" i="1"/>
  <c r="D33" i="1"/>
  <c r="I43" i="1"/>
  <c r="D43" i="1"/>
  <c r="D21" i="1"/>
  <c r="I21" i="1"/>
  <c r="D11" i="1"/>
  <c r="I11" i="1"/>
  <c r="D41" i="1"/>
  <c r="I41" i="1"/>
  <c r="I6" i="1"/>
  <c r="D6" i="1"/>
  <c r="I16" i="1"/>
  <c r="D16" i="1"/>
  <c r="I26" i="1"/>
  <c r="D26" i="1"/>
  <c r="I36" i="1"/>
  <c r="D36" i="1"/>
  <c r="I46" i="1"/>
  <c r="D46" i="1"/>
  <c r="I47" i="1"/>
  <c r="D47" i="1"/>
  <c r="D8" i="1"/>
  <c r="I8" i="1"/>
  <c r="I18" i="1"/>
  <c r="D18" i="1"/>
  <c r="I28" i="1"/>
  <c r="D28" i="1"/>
  <c r="I38" i="1"/>
  <c r="D38" i="1"/>
  <c r="I48" i="1"/>
  <c r="D48" i="1"/>
  <c r="I49" i="1"/>
  <c r="D49" i="1"/>
  <c r="D15" i="1"/>
  <c r="I5" i="1"/>
  <c r="I25" i="1"/>
  <c r="I45" i="1"/>
  <c r="D9" i="1"/>
  <c r="I12" i="1"/>
  <c r="D19" i="1"/>
  <c r="D29" i="1"/>
  <c r="I32" i="1"/>
  <c r="D39" i="1"/>
  <c r="I35" i="1"/>
  <c r="D10" i="1"/>
  <c r="D20" i="1"/>
  <c r="D30" i="1"/>
  <c r="D7" i="1"/>
  <c r="D17" i="1"/>
  <c r="D27" i="1"/>
  <c r="D37" i="1"/>
  <c r="D4" i="1"/>
  <c r="D14" i="1"/>
  <c r="D24" i="1"/>
  <c r="D34" i="1"/>
  <c r="D44" i="1"/>
  <c r="C52" i="1"/>
  <c r="I52" i="1" s="1"/>
  <c r="D52" i="1" l="1"/>
</calcChain>
</file>

<file path=xl/sharedStrings.xml><?xml version="1.0" encoding="utf-8"?>
<sst xmlns="http://schemas.openxmlformats.org/spreadsheetml/2006/main" count="6451" uniqueCount="2103">
  <si>
    <t>Single-Site</t>
  </si>
  <si>
    <t>Multi-Site</t>
  </si>
  <si>
    <t>PTE</t>
  </si>
  <si>
    <t>IP</t>
  </si>
  <si>
    <t>CP1 TT (s)</t>
  </si>
  <si>
    <t>Total (s)</t>
  </si>
  <si>
    <t>CP1</t>
  </si>
  <si>
    <t>IO_JTAG</t>
  </si>
  <si>
    <t>ADCDFT</t>
  </si>
  <si>
    <t>MTRICTS</t>
  </si>
  <si>
    <t>NTSE</t>
  </si>
  <si>
    <t>NTSR</t>
  </si>
  <si>
    <t>MISC</t>
  </si>
  <si>
    <t>FRO</t>
  </si>
  <si>
    <t>CPLL</t>
  </si>
  <si>
    <t>ADCLK</t>
  </si>
  <si>
    <t>LAPLL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</si>
  <si>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</si>
  <si>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</si>
  <si>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</si>
  <si>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</si>
  <si>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</si>
  <si>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</si>
  <si>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</si>
  <si>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</si>
  <si>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CIOCIOPLL_</t>
  </si>
  <si>
    <t>CIODPPLL</t>
  </si>
  <si>
    <t>LPDPDPPLL_</t>
  </si>
  <si>
    <t>LPDDRPLL</t>
  </si>
  <si>
    <t>HSCSAROSC</t>
  </si>
  <si>
    <t>ULPPLL</t>
  </si>
  <si>
    <t>FLPPLL</t>
  </si>
  <si>
    <t>SEPVMC</t>
  </si>
  <si>
    <t>SEPF2M</t>
  </si>
  <si>
    <t>MIDBIASLDO</t>
  </si>
  <si>
    <t>ADC</t>
  </si>
  <si>
    <t>ACIOPHY</t>
  </si>
  <si>
    <t>ACIPHY</t>
  </si>
  <si>
    <t>LPDPTX</t>
  </si>
  <si>
    <t>PCIE5</t>
  </si>
  <si>
    <t>NTSX</t>
  </si>
  <si>
    <t>PCIEREFBUF</t>
  </si>
  <si>
    <t>USB</t>
  </si>
  <si>
    <t>DSGRINGS</t>
  </si>
  <si>
    <t>NPMS</t>
  </si>
  <si>
    <t>DAPS</t>
  </si>
  <si>
    <t>NCKM</t>
  </si>
  <si>
    <t>LLPSMNPP</t>
  </si>
  <si>
    <t>ABSMIN</t>
  </si>
  <si>
    <t>IVDM</t>
  </si>
  <si>
    <t>DSGVTHSENSOR</t>
  </si>
  <si>
    <t>PWRDET</t>
  </si>
  <si>
    <t>CLKMON</t>
  </si>
  <si>
    <t>AMP</t>
  </si>
  <si>
    <t>Total:</t>
  </si>
  <si>
    <t>Proposal for TTR</t>
  </si>
  <si>
    <t>Total (ms)</t>
  </si>
  <si>
    <t>CP1 (ms)</t>
  </si>
  <si>
    <t>Category</t>
  </si>
  <si>
    <t>SubBlock</t>
  </si>
  <si>
    <t>Pattern</t>
  </si>
  <si>
    <t>HIP_FailRun</t>
  </si>
  <si>
    <t>LV</t>
  </si>
  <si>
    <t>NV</t>
  </si>
  <si>
    <t>HV</t>
  </si>
  <si>
    <t>Prod CP1</t>
  </si>
  <si>
    <t>Mon</t>
  </si>
  <si>
    <t>T0Tx</t>
  </si>
  <si>
    <t>RMA Room</t>
  </si>
  <si>
    <t>RMA Hot</t>
  </si>
  <si>
    <t>TAPBSD</t>
  </si>
  <si>
    <t>PP_BRNA0_S_FULP_IO_BSCN_BSD_JIO_UNS_ALLFRV_SI_TAP_BSD</t>
  </si>
  <si>
    <t>DAPIDBYP</t>
  </si>
  <si>
    <t>PP_BRNA0_S_FULP_FU_BSCN_PFF_JTG_JCC_ALLFRV_SI_DAP_IDBYP</t>
  </si>
  <si>
    <t>DCLP</t>
  </si>
  <si>
    <t>PP_BRNA0_S_FULP_IO_BSCN_DCT_DAA_DIO_ALLFRV_SI_DC_LP</t>
  </si>
  <si>
    <t>FUNCVILH</t>
  </si>
  <si>
    <t>PP_BRNA0_S_FULP_IO_POPX_NAN_DAA_DIO_ALLFRV_SI_FUNC_VILH</t>
  </si>
  <si>
    <t>IMPDPU</t>
  </si>
  <si>
    <t>PP_BRNA0_S_FULP_IO_POPU_NAN_DAA_DIO_ALLFRV_SI_IMPD_PU</t>
  </si>
  <si>
    <t>DCDS4D13</t>
  </si>
  <si>
    <t>PP_BRNA0_S_FULP_IO_BSCN_DCT_DAA_DIO_ALLFRV_SI_DC_DS4</t>
  </si>
  <si>
    <t>DCDS4D22</t>
  </si>
  <si>
    <t>DCDS8D13</t>
  </si>
  <si>
    <t>PP_BRNA0_S_FULP_IO_BSCN_DCT_DAA_DIO_ALLFRV_SI_DC_DS8</t>
  </si>
  <si>
    <t>DCDS8D22</t>
  </si>
  <si>
    <t>DCDS14D13</t>
  </si>
  <si>
    <t>PP_BRNA0_S_FULP_IO_BSCN_DCT_DAA_DIO_ALLFRV_SI_DC_DS14</t>
  </si>
  <si>
    <t>DCDS14D22</t>
  </si>
  <si>
    <t>IOLEAK</t>
  </si>
  <si>
    <t>PP_BRNA0_S_FULP_IO_BSCN_BSD_JIO_UNS_ALLFRV_SI_IO_LEAK</t>
  </si>
  <si>
    <t>FUNCVOLHD13</t>
  </si>
  <si>
    <t>PP_BRNA0_S_FULP_IO_BSCN_DCT_DAA_DIO_ALLFRV_SI_FUNC_VOLHD13</t>
  </si>
  <si>
    <t>FUNCVOLHD22</t>
  </si>
  <si>
    <t>PP_BRNA0_S_FULP_IO_BSCN_DCT_DAA_DIO_ALLFRV_SI_FUNC_VOLHD22</t>
  </si>
  <si>
    <t>UCSDMT1</t>
  </si>
  <si>
    <t>PP_BRNA0_S_FULP_AN_AA07_MEA_JTG_VIX_ALLFRV_SI_UCSDM_T1</t>
  </si>
  <si>
    <t>UCSDMT3A</t>
  </si>
  <si>
    <t>PP_BRNA0_S_FULP_AN_AA07_MEA_JTG_VIX_ALLFRV_SI_UCSDM_T3A</t>
  </si>
  <si>
    <t>UCSDMVER0P139</t>
  </si>
  <si>
    <t>PP_BRNA0_S_FULP_AN_AA07_MEA_JTG_VIX_ALLFRV_SI_UCSDM_T3B</t>
  </si>
  <si>
    <t>UCSDMVER0P558</t>
  </si>
  <si>
    <t>UCSDMVER0P837</t>
  </si>
  <si>
    <t>UCSDMVER0P976</t>
  </si>
  <si>
    <t>UCSDMT4A</t>
  </si>
  <si>
    <t>PP_BRNA0_S_FULP_AN_AA07_MEA_JTG_VIX_ALLFRV_SI_UCSDM_T4A</t>
  </si>
  <si>
    <t>OTHER</t>
  </si>
  <si>
    <t>ADCDFT_FUSE_PREWRITE_HSC_UCSDM0_DFT_NREFG</t>
  </si>
  <si>
    <t>ADCDFT_FUSE_READ_HSC_UCSDM0_DFT_NREFG</t>
  </si>
  <si>
    <t>ADCDFT_FUSE_PREWRITE_HSC_UCSDM1_DFT_NREFG</t>
  </si>
  <si>
    <t>ADCDFT_FUSE_READ_HSC_UCSDM1_DFT_NREFG</t>
  </si>
  <si>
    <t>UCSDMT4B</t>
  </si>
  <si>
    <t>PP_BRNA0_S_FULP_AN_AA07_MEA_JTG_VIX_ALLFRV_SI_UCSDM_T4B</t>
  </si>
  <si>
    <t>UCSDMT8</t>
  </si>
  <si>
    <t>PP_BRNA0_S_FULP_AN_AA07_MEA_JTG_VIX_ALLFRV_SI_UCSDM_T8</t>
  </si>
  <si>
    <t>UCSDMCALT5A</t>
  </si>
  <si>
    <t>MN_BRNA0_S_FULP_AN_AA07_MEA_JTG_VIX_ALLFRV_SI_UCSDM_T5A</t>
  </si>
  <si>
    <t>UCSDMMNVER0P139</t>
  </si>
  <si>
    <t>MN_BRNA0_S_FULP_AN_AA07_MEA_JTG_VIX_ALLFRV_SI_UCSDM_T5B</t>
  </si>
  <si>
    <t>UCSDMMNVER0P558</t>
  </si>
  <si>
    <t>UCSDMMNVER0P837</t>
  </si>
  <si>
    <t>MNUCSDMT6</t>
  </si>
  <si>
    <t>MN_BRNA0_S_FULP_AN_AA07_MEA_JTG_VIX_ALLFRV_SI_UCSDM_T6</t>
  </si>
  <si>
    <t>MNUCSDMT9A</t>
  </si>
  <si>
    <t>MN_BRNA0_S_FULP_AN_AA07_MEA_JTG_VIX_ALLFRV_SI_UCSDM_T9A</t>
  </si>
  <si>
    <t>MNUCSDMT9B</t>
  </si>
  <si>
    <t>MN_BRNA0_S_FULP_AN_AA07_MEA_JTG_VIX_ALLFRV_SI_UCSDM_T9B</t>
  </si>
  <si>
    <t>MNUCSDMT9C</t>
  </si>
  <si>
    <t>MN_BRNA0_S_FULP_AN_AA07_MEA_JTG_VIX_ALLFRV_SI_UCSDM_T9C</t>
  </si>
  <si>
    <t>MNUCSDMT9D</t>
  </si>
  <si>
    <t>MN_BRNA0_S_FULP_AN_AA07_MEA_JTG_VIX_ALLFRV_SI_UCSDM_T9D</t>
  </si>
  <si>
    <t>NBRIDGET2P1</t>
  </si>
  <si>
    <t>PP_BRNA0_S_FULP_AN_ICTS_DLL_JTG_COD_ALLFRV_SI_NBRIDGE_T2P1</t>
  </si>
  <si>
    <t>MTRICTS_NBRIDGET2P1_FUSE_PREWRITE_CAL</t>
  </si>
  <si>
    <t>MTRICTS_NBRIDGET2P1_FUSE_READ_CAL</t>
  </si>
  <si>
    <t>MTRICTS_NBRIDGET2P1P1_FUSE_PREWRITE_CAL</t>
  </si>
  <si>
    <t>MTRICTS_NBRIDGET2P1P1_FUSE_READ_CAL</t>
  </si>
  <si>
    <t>MTRICTS_RBRIDGET3P2_FUSE_PREWRITE_CAL</t>
  </si>
  <si>
    <t>MTRICTS_RBRIDGET3P2_FUSE_READ_CAL</t>
  </si>
  <si>
    <t>MTRICTS_READT4P1_FUSE_PREWRITE_CAL</t>
  </si>
  <si>
    <t>MTRICTS_READT4P1_FUSE_READ_CAL</t>
  </si>
  <si>
    <t>MTRICTS_ICTS_CPE_TEMPERATURE_FUSE_PREWRITE</t>
  </si>
  <si>
    <t>MTRICTS_ICTS_CPE_TEMPERATURE_FUSE_READ</t>
  </si>
  <si>
    <t>MTRICTS_T5P1P1_FUSE_PREWRITE_CAL</t>
  </si>
  <si>
    <t>MTRICTS_T5P1P1_FUSE_READ_CAL</t>
  </si>
  <si>
    <t>NBRIDGET2P1A</t>
  </si>
  <si>
    <t>PP_BRNA0_S_FULP_AN_ICTS_DLL_JTG_COD_ALLFRV_SI_NBRIDGE_T2P1A</t>
  </si>
  <si>
    <t>NBRIDGET2P1P1</t>
  </si>
  <si>
    <t>PP_BRNA0_S_FULP_AN_ICTS_DLL_JTG_COD_ALLFRV_SI_NBRIDGE_T2P1P1</t>
  </si>
  <si>
    <t>RBRIDGET3P1</t>
  </si>
  <si>
    <t>PP_BRNA0_S_FULP_AN_ICTS_DLL_JTG_COD_ALLFRV_SI_RBRIDGE_T3P1</t>
  </si>
  <si>
    <t>RBRIDGET3P2</t>
  </si>
  <si>
    <t>PP_BRNA0_S_FULP_AN_ICTS_DLL_JTG_COD_ALLFRV_SI_RBRIDGE_T3P2</t>
  </si>
  <si>
    <t>READT4P1</t>
  </si>
  <si>
    <t>PP_BRNA0_S_FULP_AN_ICTS_DLL_JTG_COD_ALLFRV_SI_READ_T4P1</t>
  </si>
  <si>
    <t>TEMPT5P1CP1</t>
  </si>
  <si>
    <t>PP_BRNA0_S_FULP_AN_ICTS_DLL_JTG_COD_ALLFRV_SI_TEMP_T5P1</t>
  </si>
  <si>
    <t>TEMPT5P1P1CP1</t>
  </si>
  <si>
    <t>PP_BRNA0_S_FULP_AN_ICTS_DLL_JTG_COD_ALLFRV_SI_TEMP_T5P1P1</t>
  </si>
  <si>
    <t>MNPWRT1P1</t>
  </si>
  <si>
    <t>MN_BRNA0_S_FULP_AN_ICTS_DLL_JTG_COD_ALLFRV_SI_PWR_T1P1</t>
  </si>
  <si>
    <t>MNIREFT1P2</t>
  </si>
  <si>
    <t>MN_BRNA0_S_FULP_AN_ICTS_DLL_JTG_COD_ALLFRV_SI_IREF_T1P2</t>
  </si>
  <si>
    <t>MNANATESTT1P3NV</t>
  </si>
  <si>
    <t>MN_BRNA0_S_FULP_AN_ICTS_DLL_JTG_COD_ALLFRV_SI_ANATEST_T1P3</t>
  </si>
  <si>
    <t>MNOSCT6P1</t>
  </si>
  <si>
    <t>MN_BRNA0_S_FULP_AN_ICTS_DLL_JTG_COD_ALLFRV_SI_OSC_T6P1</t>
  </si>
  <si>
    <t>NTSEREADT1P1CP1</t>
  </si>
  <si>
    <t>PP_BRNA0_S_FULP_AN_MT02_DLL_JTG_COD_ALLFRV_SI_NTSEREAD_T1P1</t>
  </si>
  <si>
    <t>NTSE_NTSEREADT1P1CP1_FUSE_PREWRITE_CAL_D_0_CP1</t>
  </si>
  <si>
    <t>NTSE_NTSEREADT1P1CP1_FUSE_PREWRITE_CAL_VREF_DIG_CP1</t>
  </si>
  <si>
    <t>NTSE_NTSEREADT1P1FT1_FUSE_PREWRITE_CAL_D_0_FT1</t>
  </si>
  <si>
    <t>NTSE_NTSEREADT1P1FT1_FUSE_READ_CAL_D_0_FT1</t>
  </si>
  <si>
    <t>NTSE_NTSEREADT1P1FT1_FUSE_PREWRITE_CAL_NTSE_TEMP_FT1</t>
  </si>
  <si>
    <t>NTSE_NTSEREADT1P1FT1_FUSE_READ_CAL_NTSE_TEMP_FT1</t>
  </si>
  <si>
    <t>NTSE_NTSEREADT1P1FT2_FUSE_PREWRITE_CAL_VREF_DIG_FT2</t>
  </si>
  <si>
    <t>NTSE_NTSEREADT1P1FT2_FUSE_PREWRITE_CAL_D_0_FT2</t>
  </si>
  <si>
    <t>NTSE_NTSEREADT1P1FT2_FUSE_READ_CAL_D_0_FT2</t>
  </si>
  <si>
    <t>NTSE_NTSEREADT1P1FT2_FUSE_PREWRITE_CAL_NTSE_TEMP_FT2</t>
  </si>
  <si>
    <t>NTSE_NTSEREADT1P1FT2_FUSE_READ_CAL_NTSE_TEMP_FT2</t>
  </si>
  <si>
    <t>NTSEREADT1P1FT1</t>
  </si>
  <si>
    <t>NTSEREADT1P1FT2</t>
  </si>
  <si>
    <t>NTSEREADT2</t>
  </si>
  <si>
    <t>PP_BRNA0_S_FULP_AN_MT02_DLL_JTG_COD_ALLFRV_SI_NTSEREAD_T2</t>
  </si>
  <si>
    <t>MNNTSEREADT1P0</t>
  </si>
  <si>
    <t>MN_BRNA0_S_FULP_AN_MT02_DLL_JTG_COD_ALLFRV_SI_NTSEREAD_T1P0</t>
  </si>
  <si>
    <t>NTSRREADT1P1CP1</t>
  </si>
  <si>
    <t>PP_BRNA0_S_FULP_AN_MT02_DLL_JTG_COD_ALLFRV_SI_NTSRREAD_T1P1</t>
  </si>
  <si>
    <t>NTSR_T1P1_CP1_FUSE_PREWRITE_CAL</t>
  </si>
  <si>
    <t>NTSR_T1P1_CP1_FUSE_READ_CAL</t>
  </si>
  <si>
    <t>NTSR_T1P1_FT1_FUSE_PREWRITE_CAL</t>
  </si>
  <si>
    <t>NTSR_T1P1_FT1_FUSE_READ_CAL</t>
  </si>
  <si>
    <t>NTSR_T1P1_CP2_FUSE_PREWRITE_CAL</t>
  </si>
  <si>
    <t>NTSR_T1P1_CP2_FUSE_READ_CAL</t>
  </si>
  <si>
    <t>NTSRREADT1P1FT1</t>
  </si>
  <si>
    <t>NTSRREADT1P1CP2</t>
  </si>
  <si>
    <t>NTSRREADT1P1FT2</t>
  </si>
  <si>
    <t>NTSRREADT2</t>
  </si>
  <si>
    <t>PP_BRNA0_S_FULP_AN_MT02_DLL_JTG_COD_ALLFRV_SI_NTSRREAD_T2</t>
  </si>
  <si>
    <t>MNNTSRREADT1P0</t>
  </si>
  <si>
    <t>MN_BRNA0_S_FULP_AN_MT02_DLL_JTG_COD_ALLFRV_SI_NTSRREAD_T1P0</t>
  </si>
  <si>
    <t>SIOAOP</t>
  </si>
  <si>
    <t>PP_BRNA0_S_FULP_IO_POPX_NAN_DAA_DIO_ALLFRV_SI_SIO_AOP</t>
  </si>
  <si>
    <t>SIOMTP</t>
  </si>
  <si>
    <t>PP_BRNA0_S_FULP_IO_POPX_NAN_DAA_DIO_ALLFRV_SI_SIO_MTP</t>
  </si>
  <si>
    <t>SIOSIO</t>
  </si>
  <si>
    <t>PP_BRNA0_S_FULP_IO_POPX_NAN_DAA_DIO_ALLFRV_SI_SIO_SIO</t>
  </si>
  <si>
    <t>SIOQSPIMC</t>
  </si>
  <si>
    <t>PP_BRNA0_S_FULP_IO_POPX_NAN_DAA_DIO_ALLFRV_SI_SIO_QSPIMC</t>
  </si>
  <si>
    <t>SIODISP</t>
  </si>
  <si>
    <t>PP_BRNA0_S_FULP_IO_POPX_NAN_DAA_DIO_ALLFRV_SI_SIO_DISP</t>
  </si>
  <si>
    <t>SIODISPSEC</t>
  </si>
  <si>
    <t>PP_BRNA0_S_FULP_IO_POPX_NAN_DAA_DIO_ALLFRV_SI_SIO_DISPSEC</t>
  </si>
  <si>
    <t>XX</t>
  </si>
  <si>
    <t>PP_BRNA0_S_FULP_PW_PTSX_PFF_DAA_PWR_ALLFRV_SI_X_X</t>
  </si>
  <si>
    <t>DELAYEN</t>
  </si>
  <si>
    <t>PP_BRNA0_S_FULP_PW_PTSX_PFF_DAA_PWR_ALLFRV_SI_DELAY_EN</t>
  </si>
  <si>
    <t>SELSRAMMEMON</t>
  </si>
  <si>
    <t>PP_BRNA0_S_FULP_PW_PTSX_PFF_DAA_PWR_ALLFRV_SI_SELSRAM_MEMON</t>
  </si>
  <si>
    <t>SELSRAMMEMOFF</t>
  </si>
  <si>
    <t>PP_BRNA0_S_FULP_PW_PTSX_PFF_DAA_PWR_ALLFRV_SI_SELSRAM_MEMOFF</t>
  </si>
  <si>
    <t>TBBACC</t>
  </si>
  <si>
    <t>PP_BRNA0_C_FULP_AN_TBBX_PFF_JTG_CAL_ALLFRV_SI_TBB_ACC</t>
  </si>
  <si>
    <t>TBBANE</t>
  </si>
  <si>
    <t>PP_BRNA0_S_FULP_AN_TBBX_PFF_JTG_CAL_ALLFRV_SI_TBB_ANE</t>
  </si>
  <si>
    <t>TBBGFX</t>
  </si>
  <si>
    <t>PP_BRNA0_S_FULP_AN_TBBX_PFF_JTG_CAL_ALLFRV_SI_TBB_GFX</t>
  </si>
  <si>
    <t>ATBOFMS</t>
  </si>
  <si>
    <t>PP_BRNA0_C_FULP_AN_AATB_MEA_JTG_IMX_ALLFRV_SI_ATB_OFMS</t>
  </si>
  <si>
    <t>PDDBGFREQMEAS</t>
  </si>
  <si>
    <t>PP_BRNA0_S_FULP_AN_AR00_FRQ_JTG_FRQ_ALLFRV_SI_PDDBG_FREQMEAS</t>
  </si>
  <si>
    <t>MNPDDEBUG</t>
  </si>
  <si>
    <t>MN_BRNA0_S_FULP_AN_AR00_FRQ_JTG_FRQ_ALLFRV_SI_PD_DEBUG</t>
  </si>
  <si>
    <t>MNPDSEPFRO</t>
  </si>
  <si>
    <t>MN_BRNA0_S_FULP_AN_AR00_FRQ_JTG_FRQ_ALLFRV_SI_PD_SEPFRO</t>
  </si>
  <si>
    <t>MNPDSEPFRO2</t>
  </si>
  <si>
    <t>MN_BRNA0_S_FULP_AN_AR00_FRQ_JTG_FRQ_ALLFRV_SI_PD_SEPFRO2</t>
  </si>
  <si>
    <t>CPLLDST0PD</t>
  </si>
  <si>
    <t>PP_BRNA0_C_FULP_AN_AA00_DLL_JTG_VIX_ALLFRV_SI_CPLLDS_T0PD</t>
  </si>
  <si>
    <t>CPLL_CPLL01_T0_FUSE_PREWRITE_CAL</t>
  </si>
  <si>
    <t>CPLL_CPLL01_T0_FUSE_READ_CAL</t>
  </si>
  <si>
    <t>CPLL_CPLL01_T1_FUSE_PREWRITE_CAL</t>
  </si>
  <si>
    <t>CPLL_CPLL01_T1_FUSE_READ_CAL</t>
  </si>
  <si>
    <t>CPLL_CPLL23_T0_FUSE_PREWRITE_CAL</t>
  </si>
  <si>
    <t>CPLL_CPLL23_T0_FUSE_READ_CAL</t>
  </si>
  <si>
    <t>CPLL_CPLL23_T1_FUSE_PREWRITE_CAL</t>
  </si>
  <si>
    <t>CPLL_CPLL23_T1_FUSE_READ_CAL</t>
  </si>
  <si>
    <t>CPLLDST1PD</t>
  </si>
  <si>
    <t>PP_BRNA0_C_FULP_AN_AA00_DLL_JTG_VIX_ALLFRV_SI_CPLLDS_T1PD</t>
  </si>
  <si>
    <t>CPLLDST2P103D</t>
  </si>
  <si>
    <t>PP_BRNA0_C_FULP_AN_AA00_DLL_JTG_VIX_ALLFRV_SI_CPLLDS_T2P103D</t>
  </si>
  <si>
    <t>CPLLDST2P107D</t>
  </si>
  <si>
    <t>PP_BRNA0_C_FULP_AN_AA00_DLL_JTG_VIX_ALLFRV_SI_CPLLDS_T2P107D</t>
  </si>
  <si>
    <t>CPLLDST2P108D</t>
  </si>
  <si>
    <t>PP_BRNA0_C_FULP_AN_AA00_DLL_JTG_VIX_ALLFRV_SI_CPLLDS_T2P108D</t>
  </si>
  <si>
    <t>CPLLDST2P109D</t>
  </si>
  <si>
    <t>PP_BRNA0_C_FULP_AN_AA00_DLL_JTG_VIX_ALLFRV_SI_CPLLDS_T2P109D</t>
  </si>
  <si>
    <t>CPLLDST2P110D</t>
  </si>
  <si>
    <t>PP_BRNA0_C_FULP_AN_AA00_DLL_JTG_VIX_ALLFRV_SI_CPLLDS_T2P110D</t>
  </si>
  <si>
    <t>CPLLDST2P112D</t>
  </si>
  <si>
    <t>PP_BRNA0_C_FULP_AN_AA00_DLL_JTG_VIX_ALLFRV_SI_CPLLDS_T2P112D</t>
  </si>
  <si>
    <t>CPLLDST3P108D</t>
  </si>
  <si>
    <t>PP_BRNA0_C_FULP_AN_AA00_DLL_JTG_VIX_ALLFRV_SI_CPLLDS_T3P108D</t>
  </si>
  <si>
    <t>CPLLDST13P107D</t>
  </si>
  <si>
    <t>PP_BRNA0_C_FULP_AN_AA00_DLL_JTG_VIX_ALLFRV_SI_CPLLDS_T13P107D</t>
  </si>
  <si>
    <t>CPLLDST13P110D</t>
  </si>
  <si>
    <t>PP_BRNA0_C_FULP_AN_AA00_DLL_JTG_VIX_ALLFRV_SI_CPLLDS_T13P110D</t>
  </si>
  <si>
    <t>CPLLSST0PS</t>
  </si>
  <si>
    <t>PP_BRNA0_C_FULP_AN_AA00_DLL_JTG_VIX_ALLFRV_SI_CPLLSS_T0PS</t>
  </si>
  <si>
    <t>CPLLSST1PS</t>
  </si>
  <si>
    <t>PP_BRNA0_C_FULP_AN_AA00_DLL_JTG_VIX_ALLFRV_SI_CPLLSS_T1PS</t>
  </si>
  <si>
    <t>CPLLSST2P101S</t>
  </si>
  <si>
    <t>PP_BRNA0_C_FULP_AN_AA00_DLL_JTG_VIX_ALLFRV_SI_CPLLSS_T2P101S</t>
  </si>
  <si>
    <t>CPLLSST2P102S</t>
  </si>
  <si>
    <t>PP_BRNA0_C_FULP_AN_AA00_DLL_JTG_VIX_ALLFRV_SI_CPLLSS_T2P102S</t>
  </si>
  <si>
    <t>CPLLSST2P104S</t>
  </si>
  <si>
    <t>PP_BRNA0_C_FULP_AN_AA00_DLL_JTG_VIX_ALLFRV_SI_CPLLSS_T2P104S</t>
  </si>
  <si>
    <t>CPLLSST2P105S</t>
  </si>
  <si>
    <t>PP_BRNA0_C_FULP_AN_AA00_DLL_JTG_VIX_ALLFRV_SI_CPLLSS_T2P105S</t>
  </si>
  <si>
    <t>CPLLSST2P106S</t>
  </si>
  <si>
    <t>PP_BRNA0_C_FULP_AN_AA00_DLL_JTG_VIX_ALLFRV_SI_CPLLSS_T2P106S</t>
  </si>
  <si>
    <t>CPLLSST2P111S</t>
  </si>
  <si>
    <t>PP_BRNA0_C_FULP_AN_AA00_DLL_JTG_VIX_ALLFRV_SI_CPLLSS_T2P111S</t>
  </si>
  <si>
    <t>CPLLSST2P113S</t>
  </si>
  <si>
    <t>PP_BRNA0_C_FULP_AN_AA00_DLL_JTG_VIX_ALLFRV_SI_CPLLSS_T2P113S</t>
  </si>
  <si>
    <t>CPLLSST3P108S</t>
  </si>
  <si>
    <t>PP_BRNA0_C_FULP_AN_AA00_DLL_JTG_VIX_ALLFRV_SI_CPLLSS_T3P108S</t>
  </si>
  <si>
    <t>CPLLSST7PS</t>
  </si>
  <si>
    <t>PP_BRNA0_C_FULP_AN_AA00_DLL_JTG_VIX_ALLFRV_SI_CPLLSS_T7PS</t>
  </si>
  <si>
    <t>CPLLSST13P104S</t>
  </si>
  <si>
    <t>PP_BRNA0_C_FULP_AN_AA00_DLL_JTG_VIX_ALLFRV_SI_CPLLSS_T13P104S</t>
  </si>
  <si>
    <t>CPLLSST13P111S</t>
  </si>
  <si>
    <t>PP_BRNA0_C_FULP_AN_AA00_DLL_JTG_VIX_ALLFRV_SI_CPLLSS_T13P111S</t>
  </si>
  <si>
    <t>MNCPLLDST0PD</t>
  </si>
  <si>
    <t>MN_BRNA0_C_FULP_AN_AA00_DLL_JTG_VIX_ALLFRV_SI_CPLLDS_T0PD</t>
  </si>
  <si>
    <t>MNCPLLDST1PD</t>
  </si>
  <si>
    <t>MN_BRNA0_C_FULP_AN_AA00_DLL_JTG_VIX_ALLFRV_SI_CPLLDS_T1PD</t>
  </si>
  <si>
    <t>MNCPLLDST2P101D</t>
  </si>
  <si>
    <t>MN_BRNA0_C_FULP_AN_AA00_DLL_JTG_VIX_ALLFRV_SI_CPLLDS_T2P101D</t>
  </si>
  <si>
    <t>MNCPLLDST2P102D</t>
  </si>
  <si>
    <t>MN_BRNA0_C_FULP_AN_AA00_DLL_JTG_VIX_ALLFRV_SI_CPLLDS_T2P102D</t>
  </si>
  <si>
    <t>MNCPLLDST2P103D</t>
  </si>
  <si>
    <t>MN_BRNA0_C_FULP_AN_AA00_DLL_JTG_VIX_ALLFRV_SI_CPLLDS_T2P103D</t>
  </si>
  <si>
    <t>MNCPLLDST2P104D</t>
  </si>
  <si>
    <t>MN_BRNA0_C_FULP_AN_AA00_DLL_JTG_VIX_ALLFRV_SI_CPLLDS_T2P104D</t>
  </si>
  <si>
    <t>MNCPLLDST2P105D</t>
  </si>
  <si>
    <t>MN_BRNA0_C_FULP_AN_AA00_DLL_JTG_VIX_ALLFRV_SI_CPLLDS_T2P105D</t>
  </si>
  <si>
    <t>MNCPLLDST2P106D</t>
  </si>
  <si>
    <t>MN_BRNA0_C_FULP_AN_AA00_DLL_JTG_VIX_ALLFRV_SI_CPLLDS_T2P106D</t>
  </si>
  <si>
    <t>MNCPLLDST2P107D</t>
  </si>
  <si>
    <t>MN_BRNA0_C_FULP_AN_AA00_DLL_JTG_VIX_ALLFRV_SI_CPLLDS_T2P107D</t>
  </si>
  <si>
    <t>MNCPLLDST2P108D</t>
  </si>
  <si>
    <t>MN_BRNA0_C_FULP_AN_AA00_DLL_JTG_VIX_ALLFRV_SI_CPLLDS_T2P108D</t>
  </si>
  <si>
    <t>MNCPLLDST2P109D</t>
  </si>
  <si>
    <t>MN_BRNA0_C_FULP_AN_AA00_DLL_JTG_VIX_ALLFRV_SI_CPLLDS_T2P109D</t>
  </si>
  <si>
    <t>MNCPLLDST2P110D</t>
  </si>
  <si>
    <t>MN_BRNA0_C_FULP_AN_AA00_DLL_JTG_VIX_ALLFRV_SI_CPLLDS_T2P110D</t>
  </si>
  <si>
    <t>MNCPLLDST2P111D</t>
  </si>
  <si>
    <t>MN_BRNA0_C_FULP_AN_AA00_DLL_JTG_VIX_ALLFRV_SI_CPLLDS_T2P111D</t>
  </si>
  <si>
    <t>MNCPLLDST2P112D</t>
  </si>
  <si>
    <t>MN_BRNA0_C_FULP_AN_AA00_DLL_JTG_VIX_ALLFRV_SI_CPLLDS_T2P112D</t>
  </si>
  <si>
    <t>MNCPLLDST2P113D</t>
  </si>
  <si>
    <t>MN_BRNA0_C_FULP_AN_AA00_DLL_JTG_VIX_ALLFRV_SI_CPLLDS_T2P113D</t>
  </si>
  <si>
    <t>MNCPLLDST8P110D</t>
  </si>
  <si>
    <t>MN_BRNA0_C_FULP_AN_AA00_DLL_JTG_VIX_ALLFRV_SI_CPLLDS_T8P110D</t>
  </si>
  <si>
    <t>MNCPLLDST10PD</t>
  </si>
  <si>
    <t>MN_BRNA0_C_FULP_AN_AA00_DLL_JTG_VIX_ALLFRV_SI_CPLLDS_T10PD</t>
  </si>
  <si>
    <t>MNCPLLDST11PD</t>
  </si>
  <si>
    <t>MN_BRNA0_C_FULP_AN_AA00_DLL_JTG_VIX_ALLFRV_SI_CPLLDS_T11PD</t>
  </si>
  <si>
    <t>MNCPLLDST13P101D</t>
  </si>
  <si>
    <t>MN_BRNA0_C_FULP_AN_AA00_DLL_JTG_VIX_ALLFRV_SI_CPLLDS_T13P101D</t>
  </si>
  <si>
    <t>MNCPLLDST13P102D</t>
  </si>
  <si>
    <t>MN_BRNA0_C_FULP_AN_AA00_DLL_JTG_VIX_ALLFRV_SI_CPLLDS_T13P102D</t>
  </si>
  <si>
    <t>MNCPLLDST13P103D</t>
  </si>
  <si>
    <t>MN_BRNA0_C_FULP_AN_AA00_DLL_JTG_VIX_ALLFRV_SI_CPLLDS_T13P103D</t>
  </si>
  <si>
    <t>MNCPLLDST13P104D</t>
  </si>
  <si>
    <t>MN_BRNA0_C_FULP_AN_AA00_DLL_JTG_VIX_ALLFRV_SI_CPLLDS_T13P104D</t>
  </si>
  <si>
    <t>MNCPLLDST13P105D</t>
  </si>
  <si>
    <t>MN_BRNA0_C_FULP_AN_AA00_DLL_JTG_VIX_ALLFRV_SI_CPLLDS_T13P105D</t>
  </si>
  <si>
    <t>MNCPLLDST13P106D</t>
  </si>
  <si>
    <t>MN_BRNA0_C_FULP_AN_AA00_DLL_JTG_VIX_ALLFRV_SI_CPLLDS_T13P106D</t>
  </si>
  <si>
    <t>MNCPLLDST13P107D</t>
  </si>
  <si>
    <t>MN_BRNA0_C_FULP_AN_AA00_DLL_JTG_VIX_ALLFRV_SI_CPLLDS_T13P107D</t>
  </si>
  <si>
    <t>MNCPLLDST13P108D</t>
  </si>
  <si>
    <t>MN_BRNA0_C_FULP_AN_AA00_DLL_JTG_VIX_ALLFRV_SI_CPLLDS_T13P108D</t>
  </si>
  <si>
    <t>MNCPLLDST13P109D</t>
  </si>
  <si>
    <t>MN_BRNA0_C_FULP_AN_AA00_DLL_JTG_VIX_ALLFRV_SI_CPLLDS_T13P109D</t>
  </si>
  <si>
    <t>MNCPLLDST13P110D</t>
  </si>
  <si>
    <t>MN_BRNA0_C_FULP_AN_AA00_DLL_JTG_VIX_ALLFRV_SI_CPLLDS_T13P110D</t>
  </si>
  <si>
    <t>MNCPLLDST13P111D</t>
  </si>
  <si>
    <t>MN_BRNA0_C_FULP_AN_AA00_DLL_JTG_VIX_ALLFRV_SI_CPLLDS_T13P111D</t>
  </si>
  <si>
    <t>MNCPLLDST13P112D</t>
  </si>
  <si>
    <t>MN_BRNA0_C_FULP_AN_AA00_DLL_JTG_VIX_ALLFRV_SI_CPLLDS_T13P112D</t>
  </si>
  <si>
    <t>MNCPLLDST13P113D</t>
  </si>
  <si>
    <t>MN_BRNA0_C_FULP_AN_AA00_DLL_JTG_VIX_ALLFRV_SI_CPLLDS_T13P113D</t>
  </si>
  <si>
    <t>MNCPLLSST0PS</t>
  </si>
  <si>
    <t>MN_BRNA0_C_FULP_AN_AA00_DLL_JTG_VIX_ALLFRV_SI_CPLLSS_T0PS</t>
  </si>
  <si>
    <t>MNCPLLSST1PS</t>
  </si>
  <si>
    <t>MN_BRNA0_C_FULP_AN_AA00_DLL_JTG_VIX_ALLFRV_SI_CPLLSS_T1PS</t>
  </si>
  <si>
    <t>MNCPLLSST2P100S</t>
  </si>
  <si>
    <t>MN_BRNA0_C_FULP_AN_AA00_DLL_JTG_VIX_ALLFRV_SI_CPLLSS_T2P100S</t>
  </si>
  <si>
    <t>MNCPLLSST2P101S</t>
  </si>
  <si>
    <t>MN_BRNA0_C_FULP_AN_AA00_DLL_JTG_VIX_ALLFRV_SI_CPLLSS_T2P101S</t>
  </si>
  <si>
    <t>MNCPLLSST2P102S</t>
  </si>
  <si>
    <t>MN_BRNA0_C_FULP_AN_AA00_DLL_JTG_VIX_ALLFRV_SI_CPLLSS_T2P102S</t>
  </si>
  <si>
    <t>MNCPLLSST2P103S</t>
  </si>
  <si>
    <t>MN_BRNA0_C_FULP_AN_AA00_DLL_JTG_VIX_ALLFRV_SI_CPLLSS_T2P103S</t>
  </si>
  <si>
    <t>MNCPLLSST2P104S</t>
  </si>
  <si>
    <t>MN_BRNA0_C_FULP_AN_AA00_DLL_JTG_VIX_ALLFRV_SI_CPLLSS_T2P104S</t>
  </si>
  <si>
    <t>MNCPLLSST2P105S</t>
  </si>
  <si>
    <t>MN_BRNA0_C_FULP_AN_AA00_DLL_JTG_VIX_ALLFRV_SI_CPLLSS_T2P105S</t>
  </si>
  <si>
    <t>MNCPLLSST2P106S</t>
  </si>
  <si>
    <t>MN_BRNA0_C_FULP_AN_AA00_DLL_JTG_VIX_ALLFRV_SI_CPLLSS_T2P106S</t>
  </si>
  <si>
    <t>MNCPLLSST2P107S</t>
  </si>
  <si>
    <t>MN_BRNA0_C_FULP_AN_AA00_DLL_JTG_VIX_ALLFRV_SI_CPLLSS_T2P107S</t>
  </si>
  <si>
    <t>MNCPLLSST2P108S</t>
  </si>
  <si>
    <t>MN_BRNA0_C_FULP_AN_AA00_DLL_JTG_VIX_ALLFRV_SI_CPLLSS_T2P108S</t>
  </si>
  <si>
    <t>MNCPLLSST2P109S</t>
  </si>
  <si>
    <t>MN_BRNA0_C_FULP_AN_AA00_DLL_JTG_VIX_ALLFRV_SI_CPLLSS_T2P109S</t>
  </si>
  <si>
    <t>MNCPLLSST2P110S</t>
  </si>
  <si>
    <t>MN_BRNA0_C_FULP_AN_AA00_DLL_JTG_VIX_ALLFRV_SI_CPLLSS_T2P110S</t>
  </si>
  <si>
    <t>MNCPLLSST2P111S</t>
  </si>
  <si>
    <t>MN_BRNA0_C_FULP_AN_AA00_DLL_JTG_VIX_ALLFRV_SI_CPLLSS_T2P111S</t>
  </si>
  <si>
    <t>MNCPLLSST2P112S</t>
  </si>
  <si>
    <t>MN_BRNA0_C_FULP_AN_AA00_DLL_JTG_VIX_ALLFRV_SI_CPLLSS_T2P112S</t>
  </si>
  <si>
    <t>MNCPLLSST2P113S</t>
  </si>
  <si>
    <t>MN_BRNA0_C_FULP_AN_AA00_DLL_JTG_VIX_ALLFRV_SI_CPLLSS_T2P113S</t>
  </si>
  <si>
    <t>MNCPLLSST2P200S</t>
  </si>
  <si>
    <t>MN_BRNA0_C_FULP_AN_AA00_DLL_JTG_VIX_ALLFRV_SI_CPLLSS_T2P200S</t>
  </si>
  <si>
    <t>MNCPLLSST2P201S</t>
  </si>
  <si>
    <t>MN_BRNA0_C_FULP_AN_AA00_DLL_JTG_VIX_ALLFRV_SI_CPLLSS_T2P201S</t>
  </si>
  <si>
    <t>MNCPLLSST2P205S</t>
  </si>
  <si>
    <t>MN_BRNA0_C_FULP_AN_AA00_DLL_JTG_VIX_ALLFRV_SI_CPLLSS_T2P205S</t>
  </si>
  <si>
    <t>MNCPLLSST2P209S</t>
  </si>
  <si>
    <t>MN_BRNA0_C_FULP_AN_AA00_DLL_JTG_VIX_ALLFRV_SI_CPLLSS_T2P209S</t>
  </si>
  <si>
    <t>MNCPLLSST2P210S</t>
  </si>
  <si>
    <t>MN_BRNA0_C_FULP_AN_AA00_DLL_JTG_VIX_ALLFRV_SI_CPLLSS_T2P210S</t>
  </si>
  <si>
    <t>MNCPLLSST2P400S</t>
  </si>
  <si>
    <t>MN_BRNA0_C_FULP_AN_AA00_DLL_JTG_VIX_ALLFRV_SI_CPLLSS_T2P400S</t>
  </si>
  <si>
    <t>MNCPLLSST2P401S</t>
  </si>
  <si>
    <t>MN_BRNA0_C_FULP_AN_AA00_DLL_JTG_VIX_ALLFRV_SI_CPLLSS_T2P401S</t>
  </si>
  <si>
    <t>MNCPLLSST2P405S</t>
  </si>
  <si>
    <t>MN_BRNA0_C_FULP_AN_AA00_DLL_JTG_VIX_ALLFRV_SI_CPLLSS_T2P405S</t>
  </si>
  <si>
    <t>MNCPLLSST2P409S</t>
  </si>
  <si>
    <t>MN_BRNA0_C_FULP_AN_AA00_DLL_JTG_VIX_ALLFRV_SI_CPLLSS_T2P409S</t>
  </si>
  <si>
    <t>MNCPLLSST2P410S</t>
  </si>
  <si>
    <t>MN_BRNA0_C_FULP_AN_AA00_DLL_JTG_VIX_ALLFRV_SI_CPLLSS_T2P410S</t>
  </si>
  <si>
    <t>MNCPLLSST2P800S</t>
  </si>
  <si>
    <t>MN_BRNA0_C_FULP_AN_AA00_DLL_JTG_VIX_ALLFRV_SI_CPLLSS_T2P800S</t>
  </si>
  <si>
    <t>MNCPLLSST2P801S</t>
  </si>
  <si>
    <t>MN_BRNA0_C_FULP_AN_AA00_DLL_JTG_VIX_ALLFRV_SI_CPLLSS_T2P801S</t>
  </si>
  <si>
    <t>MNCPLLSST2P805S</t>
  </si>
  <si>
    <t>MN_BRNA0_C_FULP_AN_AA00_DLL_JTG_VIX_ALLFRV_SI_CPLLSS_T2P805S</t>
  </si>
  <si>
    <t>MNCPLLSST2P809S</t>
  </si>
  <si>
    <t>MN_BRNA0_C_FULP_AN_AA00_DLL_JTG_VIX_ALLFRV_SI_CPLLSS_T2P809S</t>
  </si>
  <si>
    <t>MNCPLLSST2P810S</t>
  </si>
  <si>
    <t>MN_BRNA0_C_FULP_AN_AA00_DLL_JTG_VIX_ALLFRV_SI_CPLLSS_T2P810S</t>
  </si>
  <si>
    <t>MNCPLLSST7PS</t>
  </si>
  <si>
    <t>MN_BRNA0_C_FULP_AN_AA00_DLL_JTG_VIX_ALLFRV_SI_CPLLSS_T7PS</t>
  </si>
  <si>
    <t>MNCPLLSST8P110S</t>
  </si>
  <si>
    <t>MN_BRNA0_C_FULP_AN_AA00_DLL_JTG_VIX_ALLFRV_SI_CPLLSS_T8P110S</t>
  </si>
  <si>
    <t>MNCPLLSST10PS</t>
  </si>
  <si>
    <t>MN_BRNA0_C_FULP_AN_AA00_DLL_JTG_VIX_ALLFRV_SI_CPLLSS_T10PS</t>
  </si>
  <si>
    <t>MNCPLLSST11PS</t>
  </si>
  <si>
    <t>MN_BRNA0_C_FULP_AN_AA00_DLL_JTG_VIX_ALLFRV_SI_CPLLSS_T11PS</t>
  </si>
  <si>
    <t>MNCPLLSST13P100S</t>
  </si>
  <si>
    <t>MN_BRNA0_C_FULP_AN_AA00_DLL_JTG_VIX_ALLFRV_SI_CPLLSS_T13P100S</t>
  </si>
  <si>
    <t>MNCPLLSST13P101S</t>
  </si>
  <si>
    <t>MN_BRNA0_C_FULP_AN_AA00_DLL_JTG_VIX_ALLFRV_SI_CPLLSS_T13P101S</t>
  </si>
  <si>
    <t>MNCPLLSST13P102S</t>
  </si>
  <si>
    <t>MN_BRNA0_C_FULP_AN_AA00_DLL_JTG_VIX_ALLFRV_SI_CPLLSS_T13P102S</t>
  </si>
  <si>
    <t>MNCPLLSST13P103S</t>
  </si>
  <si>
    <t>MN_BRNA0_C_FULP_AN_AA00_DLL_JTG_VIX_ALLFRV_SI_CPLLSS_T13P103S</t>
  </si>
  <si>
    <t>MNCPLLSST13P104S</t>
  </si>
  <si>
    <t>MN_BRNA0_C_FULP_AN_AA00_DLL_JTG_VIX_ALLFRV_SI_CPLLSS_T13P104S</t>
  </si>
  <si>
    <t>MNCPLLSST13P105S</t>
  </si>
  <si>
    <t>MN_BRNA0_C_FULP_AN_AA00_DLL_JTG_VIX_ALLFRV_SI_CPLLSS_T13P105S</t>
  </si>
  <si>
    <t>MNCPLLSST13P106S</t>
  </si>
  <si>
    <t>MN_BRNA0_C_FULP_AN_AA00_DLL_JTG_VIX_ALLFRV_SI_CPLLSS_T13P106S</t>
  </si>
  <si>
    <t>MNCPLLSST13P107S</t>
  </si>
  <si>
    <t>MN_BRNA0_C_FULP_AN_AA00_DLL_JTG_VIX_ALLFRV_SI_CPLLSS_T13P107S</t>
  </si>
  <si>
    <t>MNCPLLSST13P108S</t>
  </si>
  <si>
    <t>MN_BRNA0_C_FULP_AN_AA00_DLL_JTG_VIX_ALLFRV_SI_CPLLSS_T13P108S</t>
  </si>
  <si>
    <t>MNCPLLSST13P109S</t>
  </si>
  <si>
    <t>MN_BRNA0_C_FULP_AN_AA00_DLL_JTG_VIX_ALLFRV_SI_CPLLSS_T13P109S</t>
  </si>
  <si>
    <t>MNCPLLSST13P110S</t>
  </si>
  <si>
    <t>MN_BRNA0_C_FULP_AN_AA00_DLL_JTG_VIX_ALLFRV_SI_CPLLSS_T13P110S</t>
  </si>
  <si>
    <t>MNCPLLSST13P111S</t>
  </si>
  <si>
    <t>MN_BRNA0_C_FULP_AN_AA00_DLL_JTG_VIX_ALLFRV_SI_CPLLSS_T13P111S</t>
  </si>
  <si>
    <t>MNCPLLSST13P112S</t>
  </si>
  <si>
    <t>MN_BRNA0_C_FULP_AN_AA00_DLL_JTG_VIX_ALLFRV_SI_CPLLSS_T13P112S</t>
  </si>
  <si>
    <t>MNCPLLSST13P113S</t>
  </si>
  <si>
    <t>MN_BRNA0_C_FULP_AN_AA00_DLL_JTG_VIX_ALLFRV_SI_CPLLSS_T13P113S</t>
  </si>
  <si>
    <t>MNCPLLSST13P200S</t>
  </si>
  <si>
    <t>MN_BRNA0_C_FULP_AN_AA00_DLL_JTG_VIX_ALLFRV_SI_CPLLSS_T13P200S</t>
  </si>
  <si>
    <t>MNCPLLSST13P201S</t>
  </si>
  <si>
    <t>MN_BRNA0_C_FULP_AN_AA00_DLL_JTG_VIX_ALLFRV_SI_CPLLSS_T13P201S</t>
  </si>
  <si>
    <t>MNCPLLSST13P205S</t>
  </si>
  <si>
    <t>MN_BRNA0_C_FULP_AN_AA00_DLL_JTG_VIX_ALLFRV_SI_CPLLSS_T13P205S</t>
  </si>
  <si>
    <t>MNCPLLSST13P209S</t>
  </si>
  <si>
    <t>MN_BRNA0_C_FULP_AN_AA00_DLL_JTG_VIX_ALLFRV_SI_CPLLSS_T13P209S</t>
  </si>
  <si>
    <t>MNCPLLSST13P210S</t>
  </si>
  <si>
    <t>MN_BRNA0_C_FULP_AN_AA00_DLL_JTG_VIX_ALLFRV_SI_CPLLSS_T13P210S</t>
  </si>
  <si>
    <t>MNCPLLSST13P400S</t>
  </si>
  <si>
    <t>MN_BRNA0_C_FULP_AN_AA00_DLL_JTG_VIX_ALLFRV_SI_CPLLSS_T13P400S</t>
  </si>
  <si>
    <t>MNCPLLSST13P401S</t>
  </si>
  <si>
    <t>MN_BRNA0_C_FULP_AN_AA00_DLL_JTG_VIX_ALLFRV_SI_CPLLSS_T13P401S</t>
  </si>
  <si>
    <t>MNCPLLSST13P405S</t>
  </si>
  <si>
    <t>MN_BRNA0_C_FULP_AN_AA00_DLL_JTG_VIX_ALLFRV_SI_CPLLSS_T13P405S</t>
  </si>
  <si>
    <t>MNCPLLSST13P409S</t>
  </si>
  <si>
    <t>MN_BRNA0_C_FULP_AN_AA00_DLL_JTG_VIX_ALLFRV_SI_CPLLSS_T13P409S</t>
  </si>
  <si>
    <t>MNCPLLSST13P410S</t>
  </si>
  <si>
    <t>MN_BRNA0_C_FULP_AN_AA00_DLL_JTG_VIX_ALLFRV_SI_CPLLSS_T13P410S</t>
  </si>
  <si>
    <t>MNCPLLSST13P800S</t>
  </si>
  <si>
    <t>MN_BRNA0_C_FULP_AN_AA00_DLL_JTG_VIX_ALLFRV_SI_CPLLSS_T13P800S</t>
  </si>
  <si>
    <t>MNCPLLSST13P801S</t>
  </si>
  <si>
    <t>MN_BRNA0_C_FULP_AN_AA00_DLL_JTG_VIX_ALLFRV_SI_CPLLSS_T13P801S</t>
  </si>
  <si>
    <t>MNCPLLSST13P805S</t>
  </si>
  <si>
    <t>MN_BRNA0_C_FULP_AN_AA00_DLL_JTG_VIX_ALLFRV_SI_CPLLSS_T13P805S</t>
  </si>
  <si>
    <t>MNCPLLSST13P809S</t>
  </si>
  <si>
    <t>MN_BRNA0_C_FULP_AN_AA00_DLL_JTG_VIX_ALLFRV_SI_CPLLSS_T13P809S</t>
  </si>
  <si>
    <t>MNCPLLSST13P810S</t>
  </si>
  <si>
    <t>MN_BRNA0_C_FULP_AN_AA00_DLL_JTG_VIX_ALLFRV_SI_CPLLSS_T13P810S</t>
  </si>
  <si>
    <t>ADCLKT1</t>
  </si>
  <si>
    <t>PP_BRNA0_C_FULP_AN_AA01_DLL_JTG_CAL_ALLFRV_SI_ADCLK_T1</t>
  </si>
  <si>
    <t>ADCLK_ADCLKT1_FUSE_PREWRITE_CAL1</t>
  </si>
  <si>
    <t>ADCLK_ADCLKT1_FUSE_PREWRITE_CAL2</t>
  </si>
  <si>
    <t>ADCLK_ADCLKT1_FUSE_PREWRITE_CAL3</t>
  </si>
  <si>
    <t>ADCLK_ADCLKT1_FUSE_READ_CAL1</t>
  </si>
  <si>
    <t>ADCLK_ADCLKT1_FUSE_READ_CAL2</t>
  </si>
  <si>
    <t>ADCLK_ADCLKT1_FUSE_READ_CAL3</t>
  </si>
  <si>
    <t>ADCLKT2P1P0B</t>
  </si>
  <si>
    <t>PP_BRNA0_C_FULP_AN_AA01_DLL_JTG_VIX_ALLFRV_SI_ADCLK_T2P1P0B</t>
  </si>
  <si>
    <t>ADCLKT2P2P</t>
  </si>
  <si>
    <t>PP_BRNA0_C_FULP_AN_AA01_DLL_JTG_VIX_ALLFRV_SI_ADCLK_T2P2P</t>
  </si>
  <si>
    <t>ADCLKT2P6P</t>
  </si>
  <si>
    <t>PP_BRNA0_C_FULP_AN_AA01_DLL_JTG_VIX_ALLFRV_SI_ADCLK_T2P6P</t>
  </si>
  <si>
    <t>ADCLKT2P7P</t>
  </si>
  <si>
    <t>PP_BRNA0_C_FULP_AN_AA01_DLL_JTG_VIX_ALLFRV_SI_ADCLK_T2P7P</t>
  </si>
  <si>
    <t>ADCLKT3</t>
  </si>
  <si>
    <t>PP_BRNA0_C_FULP_AN_AA01_MEA_JTG_VMX_ALLFRV_SI_ADCLK_T3</t>
  </si>
  <si>
    <t>ADCLKT4</t>
  </si>
  <si>
    <t>PP_BRNA0_C_FULP_AN_AA01_DLL_JTG_FRQ_ALLFRV_SI_ADCLK_T4</t>
  </si>
  <si>
    <t>ADCLKT7P1P</t>
  </si>
  <si>
    <t>PP_BRNA0_C_FULP_AN_AA01_MEA_JTG_LKK_ALLFRV_SI_ADCLK_T7P1P</t>
  </si>
  <si>
    <t>ADCLKT7P2P</t>
  </si>
  <si>
    <t>PP_BRNA0_C_FULP_AN_AA01_MEA_JTG_LKK_ALLFRV_SI_ADCLK_T7P2P</t>
  </si>
  <si>
    <t>ADCLKT7P3P</t>
  </si>
  <si>
    <t>PP_BRNA0_C_FULP_AN_AA01_MEA_JTG_LKK_ALLFRV_SI_ADCLK_T7P3P</t>
  </si>
  <si>
    <t>ADCLKT7P4P</t>
  </si>
  <si>
    <t>PP_BRNA0_C_FULP_AN_AA01_MEA_JTG_LKK_ALLFRV_SI_ADCLK_T7P4P</t>
  </si>
  <si>
    <t>ADCLKT7P5P</t>
  </si>
  <si>
    <t>PP_BRNA0_C_FULP_AN_AA01_MEA_JTG_LKK_ALLFRV_SI_ADCLK_T7P5P</t>
  </si>
  <si>
    <t>ADCLKT7P6P</t>
  </si>
  <si>
    <t>PP_BRNA0_C_FULP_AN_AA01_MEA_JTG_LKK_ALLFRV_SI_ADCLK_T7P6P</t>
  </si>
  <si>
    <t>ADCLKT11</t>
  </si>
  <si>
    <t>PP_BRNA0_C_FULP_AN_AA01_MEA_JTG_DYC_ALLFRV_SI_ADCLK_T11</t>
  </si>
  <si>
    <t>ADCLKT14</t>
  </si>
  <si>
    <t>PP_BRNA0_C_FULP_AN_AA01_MEA_JTG_DYC_ALLFRV_SI_ADCLK_T14</t>
  </si>
  <si>
    <t>ADCLKT15</t>
  </si>
  <si>
    <t>PP_BRNA0_C_FULP_AN_AA01_MEA_JTG_DYC_ALLFRV_SI_ADCLK_T15</t>
  </si>
  <si>
    <t>ADCLKT16</t>
  </si>
  <si>
    <t>PP_BRNA0_C_FULP_AN_AA01_MEA_JTG_DYC_ALLFRV_SI_ADCLK_T16</t>
  </si>
  <si>
    <t>MNADCLKT2P1P0B</t>
  </si>
  <si>
    <t>MN_BRNA0_C_FULP_AN_AA01_DLL_JTG_VIX_ALLFRV_SI_ADCLK_T2P1P0B</t>
  </si>
  <si>
    <t>MNADCLKT2P1PHB</t>
  </si>
  <si>
    <t>MN_BRNA0_C_FULP_AN_AA01_DLL_JTG_VIX_ALLFRV_SI_ADCLK_T2P1PHB</t>
  </si>
  <si>
    <t>MNADCLKT2P1PQB</t>
  </si>
  <si>
    <t>MN_BRNA0_C_FULP_AN_AA01_DLL_JTG_VIX_ALLFRV_SI_ADCLK_T2P1PQB</t>
  </si>
  <si>
    <t>MNADCLKT2P2PHB</t>
  </si>
  <si>
    <t>MN_BRNA0_C_FULP_AN_AA01_DLL_JTG_VIX_ALLFRV_SI_ADCLK_T2P2PHB</t>
  </si>
  <si>
    <t>MNADCLKT2P2PQB</t>
  </si>
  <si>
    <t>MN_BRNA0_C_FULP_AN_AA01_DLL_JTG_VIX_ALLFRV_SI_ADCLK_T2P2PQB</t>
  </si>
  <si>
    <t>MNADCLKT2P2P</t>
  </si>
  <si>
    <t>MN_BRNA0_C_FULP_AN_AA01_DLL_JTG_VIX_ALLFRV_SI_ADCLK_T2P2P</t>
  </si>
  <si>
    <t>MNADCLKT2P3PHB</t>
  </si>
  <si>
    <t>MN_BRNA0_C_FULP_AN_AA01_DLL_JTG_VIX_ALLFRV_SI_ADCLK_T2P3PHB</t>
  </si>
  <si>
    <t>MNADCLKT2P3PQB</t>
  </si>
  <si>
    <t>MN_BRNA0_C_FULP_AN_AA01_DLL_JTG_VIX_ALLFRV_SI_ADCLK_T2P3PQB</t>
  </si>
  <si>
    <t>MNADCLKT2P3P</t>
  </si>
  <si>
    <t>MN_BRNA0_C_FULP_AN_AA01_DLL_JTG_VIX_ALLFRV_SI_ADCLK_T2P3P</t>
  </si>
  <si>
    <t>MNADCLKT2P4PHB</t>
  </si>
  <si>
    <t>MN_BRNA0_C_FULP_AN_AA01_DLL_JTG_VIX_ALLFRV_SI_ADCLK_T2P4PHB</t>
  </si>
  <si>
    <t>MNADCLKT2P4P</t>
  </si>
  <si>
    <t>MN_BRNA0_C_FULP_AN_AA01_DLL_JTG_VIX_ALLFRV_SI_ADCLK_T2P4P</t>
  </si>
  <si>
    <t>MNADCLKT2P5P</t>
  </si>
  <si>
    <t>MN_BRNA0_C_FULP_AN_AA01_DLL_JTG_VIX_ALLFRV_SI_ADCLK_T2P5P</t>
  </si>
  <si>
    <t>MNADCLKT2P6P</t>
  </si>
  <si>
    <t>MN_BRNA0_C_FULP_AN_AA01_DLL_JTG_VIX_ALLFRV_SI_ADCLK_T2P6P</t>
  </si>
  <si>
    <t>MNADCLKT2P7P</t>
  </si>
  <si>
    <t>MN_BRNA0_C_FULP_AN_AA01_DLL_JTG_VIX_ALLFRV_SI_ADCLK_T2P7P</t>
  </si>
  <si>
    <t>MNADCLKT2P8P</t>
  </si>
  <si>
    <t>MN_BRNA0_C_FULP_AN_AA01_DLL_JTG_VIX_ALLFRV_SI_ADCLK_T2P8P</t>
  </si>
  <si>
    <t>MNADCLKT2P9P</t>
  </si>
  <si>
    <t>MN_BRNA0_C_FULP_AN_AA01_DLL_JTG_VIX_ALLFRV_SI_ADCLK_T2P9P</t>
  </si>
  <si>
    <t>MNADCLKT2P10P</t>
  </si>
  <si>
    <t>MN_BRNA0_C_FULP_AN_AA01_DLL_JTG_VIX_ALLFRV_SI_ADCLK_T2P10P</t>
  </si>
  <si>
    <t>MNADCLKT2P11P</t>
  </si>
  <si>
    <t>MN_BRNA0_C_FULP_AN_AA01_DLL_JTG_VIX_ALLFRV_SI_ADCLK_T2P11P</t>
  </si>
  <si>
    <t>MNADCLKT2P12P</t>
  </si>
  <si>
    <t>MN_BRNA0_C_FULP_AN_AA01_DLL_JTG_VIX_ALLFRV_SI_ADCLK_T2P12P</t>
  </si>
  <si>
    <t>MNADCLKT2P13P</t>
  </si>
  <si>
    <t>MN_BRNA0_C_FULP_AN_AA01_DLL_JTG_VIX_ALLFRV_SI_ADCLK_T2P13P</t>
  </si>
  <si>
    <t>MNADCLKT2P14P</t>
  </si>
  <si>
    <t>MN_BRNA0_C_FULP_AN_AA01_DLL_JTG_VIX_ALLFRV_SI_ADCLK_T2P14P</t>
  </si>
  <si>
    <t>MNADCLKT2P15P</t>
  </si>
  <si>
    <t>MN_BRNA0_C_FULP_AN_AA01_DLL_JTG_VIX_ALLFRV_SI_ADCLK_T2P15P</t>
  </si>
  <si>
    <t>MNADCLKT2P16P</t>
  </si>
  <si>
    <t>MN_BRNA0_C_FULP_AN_AA01_DLL_JTG_VIX_ALLFRV_SI_ADCLK_T2P16P</t>
  </si>
  <si>
    <t>MNADCLKT2P17P</t>
  </si>
  <si>
    <t>MN_BRNA0_C_FULP_AN_AA01_DLL_JTG_VIX_ALLFRV_SI_ADCLK_T2P17P</t>
  </si>
  <si>
    <t>MNADCLKT2P18P</t>
  </si>
  <si>
    <t>MN_BRNA0_C_FULP_AN_AA01_DLL_JTG_VIX_ALLFRV_SI_ADCLK_T2P18P</t>
  </si>
  <si>
    <t>MNADCLKT2P19P</t>
  </si>
  <si>
    <t>MN_BRNA0_C_FULP_AN_AA01_DLL_JTG_VIX_ALLFRV_SI_ADCLK_T2P19P</t>
  </si>
  <si>
    <t>MNADCLKT3</t>
  </si>
  <si>
    <t>MN_BRNA0_C_FULP_AN_AA01_MEA_JTG_VMX_ALLFRV_SI_ADCLK_T3</t>
  </si>
  <si>
    <t>MNADCLKT4</t>
  </si>
  <si>
    <t>MN_BRNA0_C_FULP_AN_AA01_DLL_JTG_FRQ_ALLFRV_SI_ADCLK_T4</t>
  </si>
  <si>
    <t>MNADCLKT7P1P</t>
  </si>
  <si>
    <t>MN_BRNA0_C_FULP_AN_AA01_MEA_JTG_LKK_ALLFRV_SI_ADCLK_T7P1P</t>
  </si>
  <si>
    <t>MNADCLKT7P2P</t>
  </si>
  <si>
    <t>MN_BRNA0_C_FULP_AN_AA01_MEA_JTG_LKK_ALLFRV_SI_ADCLK_T7P2P</t>
  </si>
  <si>
    <t>MNADCLKT7P3P</t>
  </si>
  <si>
    <t>MN_BRNA0_C_FULP_AN_AA01_MEA_JTG_LKK_ALLFRV_SI_ADCLK_T7P3P</t>
  </si>
  <si>
    <t>MNADCLKT7P4P</t>
  </si>
  <si>
    <t>MN_BRNA0_C_FULP_AN_AA01_MEA_JTG_LKK_ALLFRV_SI_ADCLK_T7P4P</t>
  </si>
  <si>
    <t>MNADCLKT7P5P</t>
  </si>
  <si>
    <t>MN_BRNA0_C_FULP_AN_AA01_MEA_JTG_LKK_ALLFRV_SI_ADCLK_T7P5P</t>
  </si>
  <si>
    <t>MNADCLKT7P6P</t>
  </si>
  <si>
    <t>MN_BRNA0_C_FULP_AN_AA01_MEA_JTG_LKK_ALLFRV_SI_ADCLK_T7P6P</t>
  </si>
  <si>
    <t>MNADCLKT8P1P</t>
  </si>
  <si>
    <t>MN_BRNA0_C_FULP_AN_AA01_MEA_JTG_LKK_ALLFRV_SI_ADCLK_T8P1P</t>
  </si>
  <si>
    <t>MNADCLKT8P2P</t>
  </si>
  <si>
    <t>MN_BRNA0_C_FULP_AN_AA01_MEA_JTG_LKK_ALLFRV_SI_ADCLK_T8P2P</t>
  </si>
  <si>
    <t>MNADCLKT8P3P</t>
  </si>
  <si>
    <t>MN_BRNA0_C_FULP_AN_AA01_MEA_JTG_LKK_ALLFRV_SI_ADCLK_T8P3P</t>
  </si>
  <si>
    <t>MNADCLKT8P4P</t>
  </si>
  <si>
    <t>MN_BRNA0_C_FULP_AN_AA01_MEA_JTG_LKK_ALLFRV_SI_ADCLK_T8P4P</t>
  </si>
  <si>
    <t>MNADCLKT11</t>
  </si>
  <si>
    <t>MN_BRNA0_C_FULP_AN_AA01_MEA_JTG_DYC_ALLFRV_SI_ADCLK_T11</t>
  </si>
  <si>
    <t>MNADCLKT14</t>
  </si>
  <si>
    <t>MN_BRNA0_C_FULP_AN_AA01_MEA_JTG_DYC_ALLFRV_SI_ADCLK_T14</t>
  </si>
  <si>
    <t>MNADCLKT15</t>
  </si>
  <si>
    <t>MN_BRNA0_C_FULP_AN_AA01_MEA_JTG_DYC_ALLFRV_SI_ADCLK_T15</t>
  </si>
  <si>
    <t>MNADCLKT16</t>
  </si>
  <si>
    <t>MN_BRNA0_C_FULP_AN_AA01_MEA_JTG_DYC_ALLFRV_SI_ADCLK_T16</t>
  </si>
  <si>
    <t>LAPLLT2P1S</t>
  </si>
  <si>
    <t>PP_BRNA0_C_FULP_AN_AA06_DLL_JTG_VIX_ALLFRV_SI_LAPLL_T2P1S</t>
  </si>
  <si>
    <t>LAPLLT2P2S</t>
  </si>
  <si>
    <t>PP_BRNA0_C_FULP_AN_AA06_DLL_JTG_VIX_ALLFRV_SI_LAPLL_T2P2S</t>
  </si>
  <si>
    <t>LAPLLT2P3S</t>
  </si>
  <si>
    <t>PP_BRNA0_C_FULP_AN_AA06_DLL_JTG_VIX_ALLFRV_SI_LAPLL_T2P3S</t>
  </si>
  <si>
    <t>LAPLLT2P4S</t>
  </si>
  <si>
    <t>PP_BRNA0_C_FULP_AN_AA06_DLL_JTG_VIX_ALLFRV_SI_LAPLL_T2P4S</t>
  </si>
  <si>
    <t>LAPLLT2P5S</t>
  </si>
  <si>
    <t>PP_BRNA0_C_FULP_AN_AA06_DLL_JTG_VIX_ALLFRV_SI_LAPLL_T2P5S</t>
  </si>
  <si>
    <t>LAPLLT2P6S</t>
  </si>
  <si>
    <t>PP_BRNA0_C_FULP_AN_AA06_DLL_JTG_VIX_ALLFRV_SI_LAPLL_T2P6S</t>
  </si>
  <si>
    <t>LAPLLT2P7S</t>
  </si>
  <si>
    <t>PP_BRNA0_C_FULP_AN_AA06_DLL_JTG_VIX_ALLFRV_SI_LAPLL_T2P7S</t>
  </si>
  <si>
    <t>LAPLLT2P8S</t>
  </si>
  <si>
    <t>PP_BRNA0_C_FULP_AN_AA06_DLL_JTG_VIX_ALLFRV_SI_LAPLL_T2P8S</t>
  </si>
  <si>
    <t>LAPLLT2P9S</t>
  </si>
  <si>
    <t>PP_BRNA0_C_FULP_AN_AA06_DLL_JTG_VIX_ALLFRV_SI_LAPLL_T2P9S</t>
  </si>
  <si>
    <t>LAPLLT2P10S</t>
  </si>
  <si>
    <t>PP_BRNA0_C_FULP_AN_AA06_DLL_JTG_VIX_ALLFRV_SI_LAPLL_T2P10S</t>
  </si>
  <si>
    <t>LAPLLT3</t>
  </si>
  <si>
    <t>PP_BRNA0_C_FULP_AN_AA06_MEA_JTG_IMX_ALLFRV_SI_LAPLL_T3</t>
  </si>
  <si>
    <t>LAPLLT4</t>
  </si>
  <si>
    <t>PP_BRNA0_C_FULP_AN_AA06_DLL_JTG_FRQ_ALLFRV_SI_LAPLL_T4</t>
  </si>
  <si>
    <t>LAPLLT12</t>
  </si>
  <si>
    <t>PP_BRNA0_C_FULP_AN_AA06_DLL_JTG_VIX_ALLFRV_SI_LAPLL_T12</t>
  </si>
  <si>
    <t>MNLAPLLT2P1S</t>
  </si>
  <si>
    <t>MN_BRNA0_C_FULP_AN_AA06_DLL_JTG_VIX_ALLFRV_SI_LAPLL_T2P1S</t>
  </si>
  <si>
    <t>MNLAPLLT2P2S</t>
  </si>
  <si>
    <t>MN_BRNA0_C_FULP_AN_AA06_DLL_JTG_VIX_ALLFRV_SI_LAPLL_T2P2S</t>
  </si>
  <si>
    <t>MNLAPLLT2P3S</t>
  </si>
  <si>
    <t>MN_BRNA0_C_FULP_AN_AA06_DLL_JTG_VIX_ALLFRV_SI_LAPLL_T2P3S</t>
  </si>
  <si>
    <t>MNLAPLLT2P4S</t>
  </si>
  <si>
    <t>MN_BRNA0_C_FULP_AN_AA06_DLL_JTG_VIX_ALLFRV_SI_LAPLL_T2P4S</t>
  </si>
  <si>
    <t>MNLAPLLT2P5S</t>
  </si>
  <si>
    <t>MN_BRNA0_C_FULP_AN_AA06_DLL_JTG_VIX_ALLFRV_SI_LAPLL_T2P5S</t>
  </si>
  <si>
    <t>MNLAPLLT2P6S</t>
  </si>
  <si>
    <t>MN_BRNA0_C_FULP_AN_AA06_DLL_JTG_VIX_ALLFRV_SI_LAPLL_T2P6S</t>
  </si>
  <si>
    <t>MNLAPLLT2P7S</t>
  </si>
  <si>
    <t>MN_BRNA0_C_FULP_AN_AA06_DLL_JTG_VIX_ALLFRV_SI_LAPLL_T2P7S</t>
  </si>
  <si>
    <t>MNLAPLLT2P8S</t>
  </si>
  <si>
    <t>MN_BRNA0_C_FULP_AN_AA06_DLL_JTG_VIX_ALLFRV_SI_LAPLL_T2P8S</t>
  </si>
  <si>
    <t>MNLAPLLT2P9S</t>
  </si>
  <si>
    <t>MN_BRNA0_C_FULP_AN_AA06_DLL_JTG_VIX_ALLFRV_SI_LAPLL_T2P9S</t>
  </si>
  <si>
    <t>MNLAPLLT2P10S</t>
  </si>
  <si>
    <t>MN_BRNA0_C_FULP_AN_AA06_DLL_JTG_VIX_ALLFRV_SI_LAPLL_T2P10S</t>
  </si>
  <si>
    <t>MNLAPLLT2P11S</t>
  </si>
  <si>
    <t>MN_BRNA0_C_FULP_AN_AA06_DLL_JTG_VIX_ALLFRV_SI_LAPLL_T2P11S</t>
  </si>
  <si>
    <t>MNLAPLLT2P12S</t>
  </si>
  <si>
    <t>MN_BRNA0_C_FULP_AN_AA06_DLL_JTG_VIX_ALLFRV_SI_LAPLL_T2P12S</t>
  </si>
  <si>
    <t>MNLAPLLT2P13S</t>
  </si>
  <si>
    <t>MN_BRNA0_C_FULP_AN_AA06_DLL_JTG_VIX_ALLFRV_SI_LAPLL_T2P13S</t>
  </si>
  <si>
    <t>MNLAPLLT2P14S</t>
  </si>
  <si>
    <t>MN_BRNA0_C_FULP_AN_AA06_DLL_JTG_VIX_ALLFRV_SI_LAPLL_T2P14S</t>
  </si>
  <si>
    <t>MNLAPLLT2P15S</t>
  </si>
  <si>
    <t>MN_BRNA0_C_FULP_AN_AA06_DLL_JTG_VIX_ALLFRV_SI_LAPLL_T2P15S</t>
  </si>
  <si>
    <t>MNLAPLLT2P16S</t>
  </si>
  <si>
    <t>MN_BRNA0_C_FULP_AN_AA06_DLL_JTG_VIX_ALLFRV_SI_LAPLL_T2P16S</t>
  </si>
  <si>
    <t>MNLAPLLT2P17S</t>
  </si>
  <si>
    <t>MN_BRNA0_C_FULP_AN_AA06_DLL_JTG_VIX_ALLFRV_SI_LAPLL_T2P17S</t>
  </si>
  <si>
    <t>MNLAPLLT2P18S</t>
  </si>
  <si>
    <t>MN_BRNA0_C_FULP_AN_AA06_DLL_JTG_VIX_ALLFRV_SI_LAPLL_T2P18S</t>
  </si>
  <si>
    <t>MNLAPLLT2P19S</t>
  </si>
  <si>
    <t>MN_BRNA0_C_FULP_AN_AA06_DLL_JTG_VIX_ALLFRV_SI_LAPLL_T2P19S</t>
  </si>
  <si>
    <t>MNLAPLLT2P20S</t>
  </si>
  <si>
    <t>MN_BRNA0_C_FULP_AN_AA06_DLL_JTG_VIX_ALLFRV_SI_LAPLL_T2P20S</t>
  </si>
  <si>
    <t>MNLAPLLT2P21S</t>
  </si>
  <si>
    <t>MN_BRNA0_C_FULP_AN_AA06_DLL_JTG_VIX_ALLFRV_SI_LAPLL_T2P21S</t>
  </si>
  <si>
    <t>MNLAPLLT2P22S</t>
  </si>
  <si>
    <t>MN_BRNA0_C_FULP_AN_AA06_DLL_JTG_VIX_ALLFRV_SI_LAPLL_T2P22S</t>
  </si>
  <si>
    <t>MNLAPLLT2P23S</t>
  </si>
  <si>
    <t>MN_BRNA0_C_FULP_AN_AA06_DLL_JTG_VIX_ALLFRV_SI_LAPLL_T2P23S</t>
  </si>
  <si>
    <t>MNLAPLLT2P24S</t>
  </si>
  <si>
    <t>MN_BRNA0_C_FULP_AN_AA06_DLL_JTG_VIX_ALLFRV_SI_LAPLL_T2P24S</t>
  </si>
  <si>
    <t>MNLAPLLT2P25S</t>
  </si>
  <si>
    <t>MN_BRNA0_C_FULP_AN_AA06_DLL_JTG_VIX_ALLFRV_SI_LAPLL_T2P25S</t>
  </si>
  <si>
    <t>MNLAPLLT2P26S</t>
  </si>
  <si>
    <t>MN_BRNA0_C_FULP_AN_AA06_DLL_JTG_VIX_ALLFRV_SI_LAPLL_T2P26S</t>
  </si>
  <si>
    <t>MNLAPLLT2P27S</t>
  </si>
  <si>
    <t>MN_BRNA0_C_FULP_AN_AA06_DLL_JTG_VIX_ALLFRV_SI_LAPLL_T2P27S</t>
  </si>
  <si>
    <t>MNLAPLLT2P28S</t>
  </si>
  <si>
    <t>MN_BRNA0_C_FULP_AN_AA06_DLL_JTG_VIX_ALLFRV_SI_LAPLL_T2P28S</t>
  </si>
  <si>
    <t>MNLAPLLT2P29S</t>
  </si>
  <si>
    <t>MN_BRNA0_C_FULP_AN_AA06_DLL_JTG_VIX_ALLFRV_SI_LAPLL_T2P29S</t>
  </si>
  <si>
    <t>MNLAPLLT2P30S</t>
  </si>
  <si>
    <t>MN_BRNA0_C_FULP_AN_AA06_DLL_JTG_VIX_ALLFRV_SI_LAPLL_T2P30S</t>
  </si>
  <si>
    <t>MNLAPLLT2P31S</t>
  </si>
  <si>
    <t>MN_BRNA0_C_FULP_AN_AA06_DLL_JTG_VIX_ALLFRV_SI_LAPLL_T2P31S</t>
  </si>
  <si>
    <t>MNLAPLLT2P32S</t>
  </si>
  <si>
    <t>MN_BRNA0_C_FULP_AN_AA06_DLL_JTG_VIX_ALLFRV_SI_LAPLL_T2P32S</t>
  </si>
  <si>
    <t>MNLAPLLT4</t>
  </si>
  <si>
    <t>MN_BRNA0_C_FULP_AN_AA06_DLL_JTG_FRQ_ALLFRV_SI_LAPLL_T4</t>
  </si>
  <si>
    <t>MNLAPLLT7</t>
  </si>
  <si>
    <t>MN_BRNA0_C_FULP_AN_AA06_DLL_JTG_LKK_ALLFRV_SI_LAPLL_T7</t>
  </si>
  <si>
    <t>MNLAPLLT8P1S</t>
  </si>
  <si>
    <t>MN_BRNA0_C_FULP_AN_AA06_DLL_JTG_LKK_ALLFRV_SI_LAPLL_T8P1S</t>
  </si>
  <si>
    <t>MNLAPLLT8P2S</t>
  </si>
  <si>
    <t>MN_BRNA0_C_FULP_AN_AA06_DLL_JTG_LKK_ALLFRV_SI_LAPLL_T8P2S</t>
  </si>
  <si>
    <t>MNLAPLLT8P3S</t>
  </si>
  <si>
    <t>MN_BRNA0_C_FULP_AN_AA06_DLL_JTG_LKK_ALLFRV_SI_LAPLL_T8P3S</t>
  </si>
  <si>
    <t>MNLAPLLT12</t>
  </si>
  <si>
    <t>MN_BRNA0_C_FULP_AN_AA06_DLL_JTG_VIX_ALLFRV_SI_LAPLL_T12</t>
  </si>
  <si>
    <t>REFGENCMNTRIMBGCOARSEMOSI</t>
  </si>
  <si>
    <t>PP_BRNA0_S_FULP_AN_REFG_MEA_JTG_CAL_ALLFRV_SI_REFGEN_T1</t>
  </si>
  <si>
    <t>PCIEREFGEN_FUSE_PREWRITE_REFGEN_0_MOS_TRIM_I</t>
  </si>
  <si>
    <t>PCIEREFGEN_FUSE_READ_REFGEN_0_MOS_TRIM_I</t>
  </si>
  <si>
    <t>PCIEREFGEN_FUSE_PREWRITE_FINE_MOS</t>
  </si>
  <si>
    <t>PCIEREFGEN_FUSE_READ_FUSE_PREWRITE_FINE_MOS</t>
  </si>
  <si>
    <t>PCIEREFGEN_SOCREFGEN_FUSE_PREWRITE_REFGEN_0_BJT_TRIM_V</t>
  </si>
  <si>
    <t>PCIEREFGEN_SOCREFGEN_FUSE_READ_REFGEN_0_BJT_TRIM_V</t>
  </si>
  <si>
    <t>REFGENT2P1FINEMOS</t>
  </si>
  <si>
    <t>PP_BRNA0_S_FULP_AN_REFG_MEA_JTG_CAL_ALLFRV_SI_REFGEN_T2P1</t>
  </si>
  <si>
    <t>PCIEREFGENCMNTRIMBGFINE</t>
  </si>
  <si>
    <t>PP_BRNA0_S_FULP_AN_REFG_MEA_JTG_CAL_ALLFRV_SI_REFGEN_T2P2</t>
  </si>
  <si>
    <t>REFGENCMNTRIMV2I</t>
  </si>
  <si>
    <t>PP_BRNA0_S_FULP_AN_REFG_MEA_JTG_CAL_ALLFRV_SI_REFGEN_T3</t>
  </si>
  <si>
    <t>REFGENT4P1MOSANALOGTESTPOINTS</t>
  </si>
  <si>
    <t>MN_BRNA0_S_FULP_AN_REFG_MEA_JTG_CAL_ALLFRV_SI_REFGEN_T4P1</t>
  </si>
  <si>
    <t>REFGENT4P2BJTANALOGTESTPOINTS</t>
  </si>
  <si>
    <t>MN_BRNA0_S_FULP_AN_REFG_MEA_JTG_CAL_ALLFRV_SI_REFGEN_T4P2</t>
  </si>
  <si>
    <t>CMNTRIMBGCOARSE_MULTIPLE</t>
  </si>
  <si>
    <t>PP_BRNA0_S_FULP_AN_P5CM_MEA_JTG_CAL_ALLFRV_SI_CMNTRIM_BGCOARSE</t>
  </si>
  <si>
    <t>CMNTRIMBGFINE_MULTIPLE</t>
  </si>
  <si>
    <t>PP_BRNA0_S_FULP_AN_P5CM_MEA_JTG_CAL_ALLFRV_SI_CMNTRIM_BGFINE</t>
  </si>
  <si>
    <t>PCIE5CMN_PCIE5_CMNTRIMBGFINE_FUSE_PREWRITE_CAL</t>
  </si>
  <si>
    <t>PCIE5CMN_PCIE5_CMNTRIMBGFINE_FUSE_READ_CAL</t>
  </si>
  <si>
    <t>PCIE5CMN_PCIE5_CMNTRIMMOSI_FUSE_PREWRITE_CAL</t>
  </si>
  <si>
    <t>PCIE5CMN_PCIE5_CMNTRIMMOSI_FUSE_READ_CAL</t>
  </si>
  <si>
    <t>PCIE5CMN_PCIE5_CMNTRIMMOSV_FUSE_PREWRITE_CAL</t>
  </si>
  <si>
    <t>PCIE5CMN_PCIE5_CMNTRIMMOSV_FUSE_READ_CAL</t>
  </si>
  <si>
    <t>PCIE5CMN_PCIE5_CMNTRIMVREGTRIM_FUSE_PREWRITE_CAL</t>
  </si>
  <si>
    <t>PCIE5CMN_PCIE5_CMNTRIMVREGTRIM_FUSE_READ_CAL</t>
  </si>
  <si>
    <t>CMNTRIMMOSI_MULTIPLE</t>
  </si>
  <si>
    <t>PP_BRNA0_S_FULP_AN_P5CM_MEA_JTG_CAL_ALLFRV_SI_CMNTRIM_MOSI</t>
  </si>
  <si>
    <t>CMNTRIMMOSV_MULTIPLE</t>
  </si>
  <si>
    <t>PP_BRNA0_S_FULP_AN_P5CM_MEA_JTG_CAL_ALLFRV_SI_CMNTRIM_MOSV</t>
  </si>
  <si>
    <t>CMNTRIMV2I_MULTIPLE</t>
  </si>
  <si>
    <t>PP_BRNA0_S_FULP_AN_P5CM_MEA_JTG_CAL_ALLFRV_SI_CMNTRIM_V2I</t>
  </si>
  <si>
    <t>CMNTRIMVREGTRIM_MULTIPLE</t>
  </si>
  <si>
    <t>PP_BRNA0_S_FULP_AN_P5CM_MEA_JTG_CAL_ALLFRV_SI_CMNTRIM_VREGTRIM</t>
  </si>
  <si>
    <t>PP_BRNA0_S_FULP_AN_RXCM_MEA_JTG_CAL_ALLFRV_SI_CMNTRIM_BGCOARSE</t>
  </si>
  <si>
    <t>PP_BRNA0_S_FULP_AN_RXCM_MEA_JTG_CAL_ALLFRV_SI_CMNTRIM_BGFINE</t>
  </si>
  <si>
    <t>ACIPHYCMN_ACIPHY_CMNTRIMBGFINE_FUSE_PREWRITE_CAL</t>
  </si>
  <si>
    <t>ACIPHYCMN_ACIPHY_CMNTRIMBGFINE_FUSE_READ_CAL</t>
  </si>
  <si>
    <t>ACIPHYCMN_ACIPHY_CMNTRIMMOSI_FUSE_PREWRITE_CAL</t>
  </si>
  <si>
    <t>ACIPHYCMN_ACIPHY_CMNTRIMMOSI_FUSE_READ_CAL</t>
  </si>
  <si>
    <t>ACIPHYCMN_ACIPHY_CMNTRIMMOSV_FUSE_PREWRITE_CAL</t>
  </si>
  <si>
    <t>ACIPHYCMN_ACIPHY_CMNTRIMMOSV_FUSE_READ_CAL</t>
  </si>
  <si>
    <t>ACIPHYCMN_ACIPHY_CMNVREGTRIM_FUSE_PREWRITE_CAL</t>
  </si>
  <si>
    <t>ACIPHYCMN_ACIPHY_CMNVREGTRIM_FUSE_READ_CAL</t>
  </si>
  <si>
    <t>PP_BRNA0_S_FULP_AN_RXCM_MEA_JTG_CAL_ALLFRV_SI_CMNTRIM_V2I</t>
  </si>
  <si>
    <t>PP_BRNA0_S_FULP_AN_RXCM_MEA_JTG_CAL_ALLFRV_SI_CMNTRIM_MOSI</t>
  </si>
  <si>
    <t>PP_BRNA0_S_FULP_AN_RXCM_MEA_JTG_CAL_ALLFRV_SI_CMNTRIM_MOSV</t>
  </si>
  <si>
    <t>CMNVREGTRIM_MULTIPLE</t>
  </si>
  <si>
    <t>PP_BRNA0_S_FULP_AN_RXCM_MEA_JTG_VMX_ALLFRV_SI_CMN_VREGTRIM</t>
  </si>
  <si>
    <t>PP_BRNA0_S_FULP_AN_CICM_MEA_JTG_CAL_ALLFRV_SI_CMNTRIM_BGCOARSE</t>
  </si>
  <si>
    <t>PP_BRNA0_S_FULP_AN_CICM_MEA_JTG_CAL_ALLFRV_SI_CMNTRIM_BGFINE</t>
  </si>
  <si>
    <t>ACIOPHYCMN_ACIOPHY_CMNTRIMBGFINE_FUSE_PREWRITE_CAL</t>
  </si>
  <si>
    <t>ACIOPHYCMN_ACIOPHY_CMNTRIMBGFINE_FUSE_READ_CAL</t>
  </si>
  <si>
    <t>ACIOPHYCMN_ACIOPHY_CMNTRIMMOSI_FUSE_PREWRITE_CAL</t>
  </si>
  <si>
    <t>ACIOPHYCMN_ACIOPHY_CMNTRIMMOSI_FUSE_READ_CAL</t>
  </si>
  <si>
    <t>ACIOPHYCMN_ACIOPHY_CMNTRIMMOSV_FUSE_PREWRITE_CAL</t>
  </si>
  <si>
    <t>ACIOPHYCMN_ACIOPHY_CMNTRIMMOSV_FUSE_READ_CAL</t>
  </si>
  <si>
    <t>ACIOPHYCMN_ACIOPHY_CMNTRIMVREGTRIM_FUSE_PREWRITE_CAL</t>
  </si>
  <si>
    <t>ACIOPHYCMN_ACIOPHY_CMNTRIMVREGTRIM_FUSE_READ_CAL</t>
  </si>
  <si>
    <t>PP_BRNA0_S_FULP_AN_CICM_MEA_JTG_CAL_ALLFRV_SI_CMNTRIM_V2I</t>
  </si>
  <si>
    <t>PP_BRNA0_S_FULP_AN_CICM_MEA_JTG_CAL_ALLFRV_SI_CMNTRIM_MOSI</t>
  </si>
  <si>
    <t>PP_BRNA0_S_FULP_AN_CICM_MEA_JTG_CAL_ALLFRV_SI_CMNTRIM_MOSV</t>
  </si>
  <si>
    <t>PP_BRNA0_S_FULP_AN_CICM_MEA_JTG_CAL_ALLFRV_SI_CMNTRIM_VREGTRIM</t>
  </si>
  <si>
    <t>PP_BRNA0_S_FULP_AN_TXCM_MEA_JTG_CAL_ALLFRV_SI_CMNTRIM_BGCOARSE</t>
  </si>
  <si>
    <t>PP_BRNA0_S_FULP_AN_TXCM_MEA_JTG_CAL_ALLFRV_SI_CMNTRIM_BGFINE</t>
  </si>
  <si>
    <t>LPDPTXCMN_LPDPTX_CMNTRIMBGFINE_FUSE_PREWRITE_CAL</t>
  </si>
  <si>
    <t>LPDPTXCMN_LPDPTX_CMNTRIMBGFINE_FUSE_READ_CAL</t>
  </si>
  <si>
    <t>LPDPTXCMN_LPDPTX_CMNTRIMMOSI_FUSE_PREWRITE_CAL</t>
  </si>
  <si>
    <t>LPDPTXCMN_LPDPTX_CMNTRIMMOSI_FUSE_READ_CAL</t>
  </si>
  <si>
    <t>LPDPTXCMN_LPDPTX_CMNTRIMMOSV_FUSE_PREWRITE_CAL</t>
  </si>
  <si>
    <t>LPDPTXCMN_LPDPTX_CMNTRIMMOSV_FUSE_READ_CAL</t>
  </si>
  <si>
    <t>LPDPTXCMN_LPDPTX_CMNTRIMVREGTRIM_FUSE_PREWRITE_CAL</t>
  </si>
  <si>
    <t>LPDPTXCMN_LPDPTX_CMNTRIMVREGTRIM_FUSE_READ_CAL</t>
  </si>
  <si>
    <t>PP_BRNA0_S_FULP_AN_TXCM_MEA_JTG_CAL_ALLFRV_SI_CMNTRIM_V2I</t>
  </si>
  <si>
    <t>PP_BRNA0_S_FULP_AN_TXCM_MEA_JTG_CAL_ALLFRV_SI_CMNTRIM_MOSI</t>
  </si>
  <si>
    <t>PP_BRNA0_S_FULP_AN_TXCM_MEA_JTG_CAL_ALLFRV_SI_CMNTRIM_MOSV</t>
  </si>
  <si>
    <t>PP_BRNA0_S_FULP_AN_TXCM_MEA_JTG_CAL_ALLFRV_SI_CMNTRIM_VREGTRIM</t>
  </si>
  <si>
    <t>RELAYON_K100_K102_K104_RELAYOFF_K15_K19_K17</t>
  </si>
  <si>
    <t>RELAYON_K15_K19_K17_RELAYOFF_K100_K102_K104</t>
  </si>
  <si>
    <t>REFGENT1</t>
  </si>
  <si>
    <t>PP_BRNA0_S_FULP_AN_DDIO_MEA_JTG_LP5_MDX009_SI_REFGEN_T1</t>
  </si>
  <si>
    <t>REFGENT2P1</t>
  </si>
  <si>
    <t>PP_BRNA0_S_FULP_AN_DDIO_MEA_JTG_LP5_MDX009_SI_REFGEN_T2P1</t>
  </si>
  <si>
    <t>REFGENT2P2</t>
  </si>
  <si>
    <t>PP_BRNA0_S_FULP_AN_DDIO_MEA_JTG_LP5_MDX009_SI_REFGEN_T2P2</t>
  </si>
  <si>
    <t>REFGENT3</t>
  </si>
  <si>
    <t>PP_BRNA0_S_FULP_AN_DDIO_MEA_JTG_LP5_MDX009_SI_REFGEN_T3</t>
  </si>
  <si>
    <t>MNREFGENT4P1</t>
  </si>
  <si>
    <t>MN_BRNA0_S_FULP_AN_DDIO_MEA_JTG_LP5_MDX009_SI_REFGEN_T4P1</t>
  </si>
  <si>
    <t>MNREFGENT4P2</t>
  </si>
  <si>
    <t>MN_BRNA0_S_FULP_AN_DDIO_MEA_JTG_LP5_MDX009_SI_REFGEN_T4P2</t>
  </si>
  <si>
    <t>CIOPLLT1P1R</t>
  </si>
  <si>
    <t>PP_BRNA0_C_FULP_AN_AA22_FRQ_JTG_DYC_ALLFRV_SI_CIOPLL_T1P1R</t>
  </si>
  <si>
    <t>PCIEREFPLL_CIOPLLT1P1R_FUSE_PREWRITE_CAL</t>
  </si>
  <si>
    <t>PCIEREFPLL_CIOPLLT1P1R_FUSE_READ_CAL</t>
  </si>
  <si>
    <t>CIOPLLT2P1R</t>
  </si>
  <si>
    <t>PP_BRNA0_C_FULP_AN_AA22_FRQ_JTG_DYC_ALLFRV_SI_CIOPLL_T2P1R</t>
  </si>
  <si>
    <t>CIOPLLT2P2R</t>
  </si>
  <si>
    <t>PP_BRNA0_C_FULP_AN_AA22_FRQ_JTG_DYC_ALLFRV_SI_CIOPLL_T2P2R</t>
  </si>
  <si>
    <t>CIOPLLT3P1R</t>
  </si>
  <si>
    <t>PP_BRNA0_C_FULP_AN_AA22_FRQ_JTG_DYC_ALLFRV_SI_CIOPLL_T3P1R</t>
  </si>
  <si>
    <t>CIOPLLT11PR</t>
  </si>
  <si>
    <t>PP_BRNA0_C_FULP_AN_AA22_FRQ_JTG_DYC_ALLFRV_SI_CIOPLL_T11PR</t>
  </si>
  <si>
    <t>CIOPLLT13PR</t>
  </si>
  <si>
    <t>PP_BRNA0_C_FULP_AN_AA22_FRQ_JTG_DYC_ALLFRV_SI_CIOPLL_T13PR</t>
  </si>
  <si>
    <t>MNCIOPLLT1P1R</t>
  </si>
  <si>
    <t>MN_BRNA0_C_FULP_AN_AA22_FRQ_JTG_DYC_ALLFRV_SI_CIOPLL_T1P1R</t>
  </si>
  <si>
    <t>MNCIOPLLT2P1R</t>
  </si>
  <si>
    <t>MN_BRNA0_C_FULP_AN_AA22_FRQ_JTG_DYC_ALLFRV_SI_CIOPLL_T2P1R</t>
  </si>
  <si>
    <t>MNCIOPLLT2P2R</t>
  </si>
  <si>
    <t>MN_BRNA0_C_FULP_AN_AA22_FRQ_JTG_DYC_ALLFRV_SI_CIOPLL_T2P2R</t>
  </si>
  <si>
    <t>MNCIOPLLT10PR</t>
  </si>
  <si>
    <t>MN_BRNA0_C_FULP_AN_AA22_FRQ_JTG_DYC_ALLFRV_SI_CIOPLL_T10PR</t>
  </si>
  <si>
    <t>MNCIOPLLT11PR</t>
  </si>
  <si>
    <t>MN_BRNA0_C_FULP_AN_AA22_FRQ_JTG_DYC_ALLFRV_SI_CIOPLL_T11PR</t>
  </si>
  <si>
    <t>MNCIOPLLT13PR</t>
  </si>
  <si>
    <t>MN_BRNA0_C_FULP_AN_AA22_FRQ_JTG_DYC_ALLFRV_SI_CIOPLL_T13PR</t>
  </si>
  <si>
    <t>PCIEPLLT1P1P</t>
  </si>
  <si>
    <t>PP_BRNA0_C_FULP_AN_AA24_DLL_JTG_CAL_ALLFRV_SI_PCIEPLL_T1P1P</t>
  </si>
  <si>
    <t>PCIEPLL_PCIEPLLT1P1P_FUSE_PREWRITE_CAL</t>
  </si>
  <si>
    <t>PCIEPLL_PCIEPLLT1P1P_FUSE_READ_CAL</t>
  </si>
  <si>
    <t>PCIEPLL_PCIEPLLT1P2P_FUSE_PREWRITE_CAL</t>
  </si>
  <si>
    <t>PCIEPLL_PCIEPLLT1P2P_FUSE_READ_CAL</t>
  </si>
  <si>
    <t>PCIEPLLT1P2P</t>
  </si>
  <si>
    <t>PP_BRNA0_C_FULP_AN_AA24_DLL_JTG_CAL_ALLFRV_SI_PCIEPLL_T1P2P</t>
  </si>
  <si>
    <t>PCIEPLLT2P4P</t>
  </si>
  <si>
    <t>PP_BRNA0_C_FULP_AN_AA24_DLL_JTG_VIX_ALLFRV_SI_PCIEPLL_T2P4P</t>
  </si>
  <si>
    <t>PCIEPLLT3</t>
  </si>
  <si>
    <t>PP_BRNA0_C_FULP_AN_AA24_MEA_JTG_IMX_ALLFRV_SI_PCIEPLL_T3</t>
  </si>
  <si>
    <t>PCIEPLLT11P1P</t>
  </si>
  <si>
    <t>PP_BRNA0_C_FULP_AN_AA24_FRQ_JTG_COD_ALLFRV_SI_PCIEPLL_T11P1P</t>
  </si>
  <si>
    <t>PCIEPLLT11P2P</t>
  </si>
  <si>
    <t>PP_BRNA0_C_FULP_AN_AA24_FRQ_JTG_COD_ALLFRV_SI_PCIEPLL_T11P2P</t>
  </si>
  <si>
    <t>PCIEPLLT11P3P</t>
  </si>
  <si>
    <t>PP_BRNA0_C_FULP_AN_AA24_FRQ_JTG_COD_ALLFRV_SI_PCIEPLL_T11P3P</t>
  </si>
  <si>
    <t>PCIEPLLT11P4P</t>
  </si>
  <si>
    <t>PP_BRNA0_C_FULP_AN_AA24_FRQ_JTG_COD_ALLFRV_SI_PCIEPLL_T11P4P</t>
  </si>
  <si>
    <t>PCIEPLLT16</t>
  </si>
  <si>
    <t>PP_BRNA0_C_FULP_AN_AA24_FRQ_JTG_COD_ALLFRV_SI_PCIEPLL_T16</t>
  </si>
  <si>
    <t>MNPCIEPLLT1P1P</t>
  </si>
  <si>
    <t>MN_BRNA0_C_FULP_AN_AA24_DLL_JTG_CAL_ALLFRV_SI_PCIEPLL_T1P1P</t>
  </si>
  <si>
    <t>MNPCIEPLLT1P2P</t>
  </si>
  <si>
    <t>MN_BRNA0_C_FULP_AN_AA24_DLL_JTG_CAL_ALLFRV_SI_PCIEPLL_T1P2P</t>
  </si>
  <si>
    <t>MNPCIEPLLT2P1P</t>
  </si>
  <si>
    <t>MN_BRNA0_C_FULP_AN_AA24_DLL_JTG_VIX_ALLFRV_SI_PCIEPLL_T2P1P</t>
  </si>
  <si>
    <t>MNPCIEPLLT2P2P</t>
  </si>
  <si>
    <t>MN_BRNA0_C_FULP_AN_AA24_DLL_JTG_VIX_ALLFRV_SI_PCIEPLL_T2P2P</t>
  </si>
  <si>
    <t>MNPCIEPLLT2P3P</t>
  </si>
  <si>
    <t>MN_BRNA0_C_FULP_AN_AA24_DLL_JTG_VIX_ALLFRV_SI_PCIEPLL_T2P3P</t>
  </si>
  <si>
    <t>MNPCIEPLLT2P4P</t>
  </si>
  <si>
    <t>MN_BRNA0_C_FULP_AN_AA24_DLL_JTG_VIX_ALLFRV_SI_PCIEPLL_T2P4P</t>
  </si>
  <si>
    <t>MNPCIEPLLT3</t>
  </si>
  <si>
    <t>MN_BRNA0_C_FULP_AN_AA24_MEA_JTG_IMX_ALLFRV_SI_PCIEPLL_T3</t>
  </si>
  <si>
    <t>MNPCIEPLLT10P2P</t>
  </si>
  <si>
    <t>MN_BRNA0_C_FULP_AN_AA24_FRQ_JTG_COD_ALLFRV_SI_PCIEPLL_T10P2P</t>
  </si>
  <si>
    <t>MNPCIEPLLT11P1P</t>
  </si>
  <si>
    <t>MN_BRNA0_C_FULP_AN_AA24_FRQ_JTG_COD_ALLFRV_SI_PCIEPLL_T11P1P</t>
  </si>
  <si>
    <t>MNPCIEPLLT11P2P</t>
  </si>
  <si>
    <t>MN_BRNA0_C_FULP_AN_AA24_FRQ_JTG_COD_ALLFRV_SI_PCIEPLL_T11P2P</t>
  </si>
  <si>
    <t>MNPCIEPLLT11P3P</t>
  </si>
  <si>
    <t>MN_BRNA0_C_FULP_AN_AA24_FRQ_JTG_COD_ALLFRV_SI_PCIEPLL_T11P3P</t>
  </si>
  <si>
    <t>MNPCIEPLLT11P4P</t>
  </si>
  <si>
    <t>MN_BRNA0_C_FULP_AN_AA24_FRQ_JTG_COD_ALLFRV_SI_PCIEPLL_T11P4P</t>
  </si>
  <si>
    <t>MNPCIEPLLT13P3P</t>
  </si>
  <si>
    <t>MN_BRNA0_C_FULP_AN_AA24_FRQ_JTG_COD_ALLFRV_SI_PCIEPLL_T13P3P</t>
  </si>
  <si>
    <t>MNPCIEPLLT15</t>
  </si>
  <si>
    <t>MN_BRNA0_C_FULP_AN_AA24_FRQ_JTG_COD_ALLFRV_SI_PCIEPLL_T15</t>
  </si>
  <si>
    <t>MNPCIEPLLT16</t>
  </si>
  <si>
    <t>MN_BRNA0_C_FULP_AN_AA24_FRQ_JTG_COD_ALLFRV_SI_PCIEPLL_T16</t>
  </si>
  <si>
    <t>CIOPLLT1P1U_MULTIPLE</t>
  </si>
  <si>
    <t>PP_BRNA0_C_FULP_AN_AA10_DLL_JTG_VIX_ALLFRV_SI_CIOPLL_T1P1U</t>
  </si>
  <si>
    <t>CIOCIOPLL_CIOPLLT1P1U_FUSE_PREWRITE_CAL</t>
  </si>
  <si>
    <t>CIOCIOPLL_CIOPLLT1P1U_FUSE_READ_CAL</t>
  </si>
  <si>
    <t>CIOPLLT1P2C80_MULTIPLE</t>
  </si>
  <si>
    <t>PP_BRNA0_C_FULP_AN_AA10_DLL_JTG_VIX_ALLFRV_SI_CIOPLL_T1P2C80</t>
  </si>
  <si>
    <t>CIOPLLT2P1U_MULTIPLE</t>
  </si>
  <si>
    <t>PP_BRNA0_C_FULP_AN_AA10_DLL_JTG_VIX_ALLFRV_SI_CIOPLL_T2P1U</t>
  </si>
  <si>
    <t>CIOPLLT2P3U_MULTIPLE</t>
  </si>
  <si>
    <t>PP_BRNA0_C_FULP_AN_AA10_DLL_JTG_VIX_ALLFRV_SI_CIOPLL_T2P3U</t>
  </si>
  <si>
    <t>CIOPLLT2P6U_MULTIPLE</t>
  </si>
  <si>
    <t>PP_BRNA0_C_FULP_AN_AA10_DLL_JTG_VIX_ALLFRV_SI_CIOPLL_T2P6U</t>
  </si>
  <si>
    <t>CIOPLLT2P2CL_MULTIPLE</t>
  </si>
  <si>
    <t>PP_BRNA0_C_FULP_AN_AA10_DLL_JTG_VIX_ALLFRV_SI_CIOPLL_T2P2CL</t>
  </si>
  <si>
    <t>CIOPLLT2P4CL_MULTIPLE</t>
  </si>
  <si>
    <t>PP_BRNA0_C_FULP_AN_AA10_DLL_JTG_VIX_ALLFRV_SI_CIOPLL_T2P4CL</t>
  </si>
  <si>
    <t>CIOPLLT2P1C80_MULTIPLE</t>
  </si>
  <si>
    <t>PP_BRNA0_C_FULP_AN_AA10_DLL_JTG_VIX_ALLFRV_SI_CIOPLL_T2P1C80</t>
  </si>
  <si>
    <t>CIOPLLT2P2C80_MULTIPLE</t>
  </si>
  <si>
    <t>PP_BRNA0_C_FULP_AN_AA10_DLL_JTG_VIX_ALLFRV_SI_CIOPLL_T2P2C80</t>
  </si>
  <si>
    <t>CIOPLLT3P1U_MULTIPLE</t>
  </si>
  <si>
    <t>PP_BRNA0_C_FULP_AN_AA10_MEA_JTG_IMX_ALLFRV_SI_CIOPLL_T3P1U</t>
  </si>
  <si>
    <t>CIOPLLT11P3U_MULTIPLE</t>
  </si>
  <si>
    <t>PP_BRNA0_C_FULP_AN_AA10_MEA_JTG_VIX_ALLFRV_SI_CIOPLL_T11P3U</t>
  </si>
  <si>
    <t>CIOPLLT11P2CL_MULTIPLE</t>
  </si>
  <si>
    <t>PP_BRNA0_C_FULP_AN_AA10_MEA_JTG_VIX_ALLFRV_SI_CIOPLL_T11P2CL</t>
  </si>
  <si>
    <t>CIOPLLT11PC80_MULTIPLE</t>
  </si>
  <si>
    <t>PP_BRNA0_C_FULP_AN_AA10_MEA_JTG_VIX_ALLFRV_SI_CIOPLL_T11PC80</t>
  </si>
  <si>
    <t>CIOPLLT13PU_MULTIPLE</t>
  </si>
  <si>
    <t>PP_BRNA0_C_FULP_AN_AA10_MEA_JTG_VIX_ALLFRV_SI_CIOPLL_T13PU</t>
  </si>
  <si>
    <t>CIOPLLT13PCL_MULTIPLE</t>
  </si>
  <si>
    <t>PP_BRNA0_C_FULP_AN_AA10_MEA_JTG_VIX_ALLFRV_SI_CIOPLL_T13PCL</t>
  </si>
  <si>
    <t>CIOPLLT13PC80_MULTIPLE</t>
  </si>
  <si>
    <t>PP_BRNA0_C_FULP_AN_AA10_MEA_JTG_VIX_ALLFRV_SI_CIOPLL_T13PC80</t>
  </si>
  <si>
    <t>MNCIOPLLT1P1U_MULTIPLE</t>
  </si>
  <si>
    <t>MN_BRNA0_C_FULP_AN_AA10_DLL_JTG_VIX_ALLFRV_SI_CIOPLL_T1P1U</t>
  </si>
  <si>
    <t>MNCIOPLLT1P2C80_MULTIPLE</t>
  </si>
  <si>
    <t>MN_BRNA0_C_FULP_AN_AA10_DLL_JTG_VIX_ALLFRV_SI_CIOPLL_T1P2C80</t>
  </si>
  <si>
    <t>MNCIOPLLT2P1U_MULTIPLE</t>
  </si>
  <si>
    <t>MN_BRNA0_C_FULP_AN_AA10_DLL_JTG_VIX_ALLFRV_SI_CIOPLL_T2P1U</t>
  </si>
  <si>
    <t>MNCIOPLLT2P2U_MULTIPLE</t>
  </si>
  <si>
    <t>MN_BRNA0_C_FULP_AN_AA10_DLL_JTG_VIX_ALLFRV_SI_CIOPLL_T2P2U</t>
  </si>
  <si>
    <t>MNCIOPLLT2P3U_MULTIPLE</t>
  </si>
  <si>
    <t>MN_BRNA0_C_FULP_AN_AA10_DLL_JTG_VIX_ALLFRV_SI_CIOPLL_T2P3U</t>
  </si>
  <si>
    <t>MNCIOPLLT2P4U_MULTIPLE</t>
  </si>
  <si>
    <t>MN_BRNA0_C_FULP_AN_AA10_DLL_JTG_VIX_ALLFRV_SI_CIOPLL_T2P4U</t>
  </si>
  <si>
    <t>MNCIOPLLT2P5U_MULTIPLE</t>
  </si>
  <si>
    <t>MN_BRNA0_C_FULP_AN_AA10_DLL_JTG_VIX_ALLFRV_SI_CIOPLL_T2P5U</t>
  </si>
  <si>
    <t>MNCIOPLLT2P6U_MULTIPLE</t>
  </si>
  <si>
    <t>MN_BRNA0_C_FULP_AN_AA10_DLL_JTG_VIX_ALLFRV_SI_CIOPLL_T2P6U</t>
  </si>
  <si>
    <t>MNCIOPLLT2P1CL_MULTIPLE</t>
  </si>
  <si>
    <t>MN_BRNA0_C_FULP_AN_AA10_DLL_JTG_VIX_ALLFRV_SI_CIOPLL_T2P1CL</t>
  </si>
  <si>
    <t>MNCIOPLLT2P2CL_MULTIPLE</t>
  </si>
  <si>
    <t>MN_BRNA0_C_FULP_AN_AA10_DLL_JTG_VIX_ALLFRV_SI_CIOPLL_T2P2CL</t>
  </si>
  <si>
    <t>MNCIOPLLT2P3CL_MULTIPLE</t>
  </si>
  <si>
    <t>MN_BRNA0_C_FULP_AN_AA10_DLL_JTG_VIX_ALLFRV_SI_CIOPLL_T2P3CL</t>
  </si>
  <si>
    <t>MNCIOPLLT2P4CL_MULTIPLE</t>
  </si>
  <si>
    <t>MN_BRNA0_C_FULP_AN_AA10_DLL_JTG_VIX_ALLFRV_SI_CIOPLL_T2P4CL</t>
  </si>
  <si>
    <t>MNCIOPLLT2P1C80_MULTIPLE</t>
  </si>
  <si>
    <t>MN_BRNA0_C_FULP_AN_AA10_DLL_JTG_VIX_ALLFRV_SI_CIOPLL_T2P1C80</t>
  </si>
  <si>
    <t>MNCIOPLLT2P2C80_MULTIPLE</t>
  </si>
  <si>
    <t>MN_BRNA0_C_FULP_AN_AA10_DLL_JTG_VIX_ALLFRV_SI_CIOPLL_T2P2C80</t>
  </si>
  <si>
    <t>MNCIOPLLT10P10G_MULTIPLE</t>
  </si>
  <si>
    <t>MN_BRNA0_C_FULP_AN_AA10_MEA_JTG_VIX_ALLFRV_SI_CIOPLL_T10P10G</t>
  </si>
  <si>
    <t>MNCIOPLLT10P13G_MULTIPLE</t>
  </si>
  <si>
    <t>MN_BRNA0_C_FULP_AN_AA10_MEA_JTG_VIX_ALLFRV_SI_CIOPLL_T10P13G</t>
  </si>
  <si>
    <t>MNCIOPLLT11P1U_MULTIPLE</t>
  </si>
  <si>
    <t>MN_BRNA0_C_FULP_AN_AA10_MEA_JTG_VIX_ALLFRV_SI_CIOPLL_T11P1U</t>
  </si>
  <si>
    <t>MNCIOPLLT11P2U_MULTIPLE</t>
  </si>
  <si>
    <t>MN_BRNA0_C_FULP_AN_AA10_MEA_JTG_VIX_ALLFRV_SI_CIOPLL_T11P2U</t>
  </si>
  <si>
    <t>MNCIOPLLT11P3U_MULTIPLE</t>
  </si>
  <si>
    <t>MN_BRNA0_C_FULP_AN_AA10_MEA_JTG_VIX_ALLFRV_SI_CIOPLL_T11P3U</t>
  </si>
  <si>
    <t>MNCIOPLLT11P1CL_MULTIPLE</t>
  </si>
  <si>
    <t>MN_BRNA0_C_FULP_AN_AA10_MEA_JTG_VIX_ALLFRV_SI_CIOPLL_T11P1CL</t>
  </si>
  <si>
    <t>MNCIOPLLT11P2CL_MULTIPLE</t>
  </si>
  <si>
    <t>MN_BRNA0_C_FULP_AN_AA10_MEA_JTG_VIX_ALLFRV_SI_CIOPLL_T11P2CL</t>
  </si>
  <si>
    <t>MNCIOPLLT11PC80_MULTIPLE</t>
  </si>
  <si>
    <t>MN_BRNA0_C_FULP_AN_AA10_MEA_JTG_VIX_ALLFRV_SI_CIOPLL_T11PC80</t>
  </si>
  <si>
    <t>MNCIOPLLT13PU_MULTIPLE</t>
  </si>
  <si>
    <t>MN_BRNA0_C_FULP_AN_AA10_MEA_JTG_VIX_ALLFRV_SI_CIOPLL_T13PU</t>
  </si>
  <si>
    <t>MNCIOPLLT13PCL_MULTIPLE</t>
  </si>
  <si>
    <t>MN_BRNA0_C_FULP_AN_AA10_MEA_JTG_VIX_ALLFRV_SI_CIOPLL_T13PCL</t>
  </si>
  <si>
    <t>MNCIOPLLT13PC80_MULTIPLE</t>
  </si>
  <si>
    <t>MN_BRNA0_C_FULP_AN_AA10_MEA_JTG_VIX_ALLFRV_SI_CIOPLL_T13PC80</t>
  </si>
  <si>
    <t>DPPLLT2P1C_MULTIPLE</t>
  </si>
  <si>
    <t>PP_BRNA0_C_FULP_AN_AA10_DLL_JTG_VIX_ALLFRV_SI_DPPLL_T2P1C</t>
  </si>
  <si>
    <t>DPPLLT2P3C_MULTIPLE</t>
  </si>
  <si>
    <t>PP_BRNA0_C_FULP_AN_AA10_DLL_JTG_VIX_ALLFRV_SI_DPPLL_T2P3C</t>
  </si>
  <si>
    <t>DPPLLT2P19C_MULTIPLE</t>
  </si>
  <si>
    <t>PP_BRNA0_C_FULP_AN_AA10_DLL_JTG_VIX_ALLFRV_SI_DPPLL_T2P19C</t>
  </si>
  <si>
    <t>DPPLLT2P20C_MULTIPLE</t>
  </si>
  <si>
    <t>PP_BRNA0_C_FULP_AN_AA10_DLL_JTG_VIX_ALLFRV_SI_DPPLL_T2P20C</t>
  </si>
  <si>
    <t>DPPLLT3_MULTIPLE</t>
  </si>
  <si>
    <t>PP_BRNA0_C_FULP_AN_AA10_MEA_JTG_IMX_ALLFRV_SI_DPPLL_T3</t>
  </si>
  <si>
    <t>DPPLLT13P1C_MULTIPLE</t>
  </si>
  <si>
    <t>PP_BRNA0_C_FULP_AN_AA10_MEA_JTG_VIX_ALLFRV_SI_DPPLL_T13P1C</t>
  </si>
  <si>
    <t>DPPLLT13P2C_MULTIPLE</t>
  </si>
  <si>
    <t>PP_BRNA0_C_FULP_AN_AA10_MEA_JTG_VIX_ALLFRV_SI_DPPLL_T13P2C</t>
  </si>
  <si>
    <t>DPPLLT16_MULTIPLE</t>
  </si>
  <si>
    <t>PP_BRNA0_C_FULP_AN_AA10_DLL_JTG_VIX_ALLFRV_SI_DPPLL_T16</t>
  </si>
  <si>
    <t>MNDPPLLT0_MULTIPLE</t>
  </si>
  <si>
    <t>MN_BRNA0_C_FULP_AN_AA10_DLL_JTG_VIX_ALLFRV_SI_DPPLL_T0</t>
  </si>
  <si>
    <t>MNDPPLLT1P1C_MULTIPLE</t>
  </si>
  <si>
    <t>MN_BRNA0_C_FULP_AN_AA10_DLL_JTG_CAL_ALLFRV_SI_DPPLL_T1P1C</t>
  </si>
  <si>
    <t>MNDPPLLT2P1C_MULTIPLE</t>
  </si>
  <si>
    <t>MN_BRNA0_C_FULP_AN_AA10_DLL_JTG_VIX_ALLFRV_SI_DPPLL_T2P1C</t>
  </si>
  <si>
    <t>MNDPPLLT2P2C_MULTIPLE</t>
  </si>
  <si>
    <t>MN_BRNA0_C_FULP_AN_AA10_DLL_JTG_VIX_ALLFRV_SI_DPPLL_T2P2C</t>
  </si>
  <si>
    <t>MNDPPLLT2P3C_MULTIPLE</t>
  </si>
  <si>
    <t>MN_BRNA0_C_FULP_AN_AA10_DLL_JTG_VIX_ALLFRV_SI_DPPLL_T2P3C</t>
  </si>
  <si>
    <t>MNDPPLLT2P4C_MULTIPLE</t>
  </si>
  <si>
    <t>MN_BRNA0_C_FULP_AN_AA10_DLL_JTG_VIX_ALLFRV_SI_DPPLL_T2P4C</t>
  </si>
  <si>
    <t>MNDPPLLT2P19C_MULTIPLE</t>
  </si>
  <si>
    <t>MN_BRNA0_C_FULP_AN_AA10_DLL_JTG_VIX_ALLFRV_SI_DPPLL_T2P19C</t>
  </si>
  <si>
    <t>MNDPPLLT2P20C_MULTIPLE</t>
  </si>
  <si>
    <t>MN_BRNA0_C_FULP_AN_AA10_DLL_JTG_VIX_ALLFRV_SI_DPPLL_T2P20C</t>
  </si>
  <si>
    <t>MNDPPLLT3_MULTIPLE</t>
  </si>
  <si>
    <t>MN_BRNA0_C_FULP_AN_AA10_MEA_JTG_IMX_ALLFRV_SI_DPPLL_T3</t>
  </si>
  <si>
    <t>MNDPPLLT12P1C_MULTIPLE</t>
  </si>
  <si>
    <t>MN_BRNA0_C_FULP_AN_AA10_DLL_JTG_VIX_ALLFRV_SI_DPPLL_T12P1C</t>
  </si>
  <si>
    <t>MNDPPLLT12P2C_MULTIPLE</t>
  </si>
  <si>
    <t>MN_BRNA0_C_FULP_AN_AA10_DLL_JTG_VIX_ALLFRV_SI_DPPLL_T12P2C</t>
  </si>
  <si>
    <t>MNDPPLLT12P3C_MULTIPLE</t>
  </si>
  <si>
    <t>MN_BRNA0_C_FULP_AN_AA10_DLL_JTG_VIX_ALLFRV_SI_DPPLL_T12P3C</t>
  </si>
  <si>
    <t>MNDPPLLT12P4C_MULTIPLE</t>
  </si>
  <si>
    <t>MN_BRNA0_C_FULP_AN_AA10_DLL_JTG_VIX_ALLFRV_SI_DPPLL_T12P4C</t>
  </si>
  <si>
    <t>MNDPPLLT12P19C_MULTIPLE</t>
  </si>
  <si>
    <t>MN_BRNA0_C_FULP_AN_AA10_DLL_JTG_VIX_ALLFRV_SI_DPPLL_T12P19C</t>
  </si>
  <si>
    <t>MNDPPLLT12P20C_MULTIPLE</t>
  </si>
  <si>
    <t>MN_BRNA0_C_FULP_AN_AA10_DLL_JTG_VIX_ALLFRV_SI_DPPLL_T12P20C</t>
  </si>
  <si>
    <t>DPPLLT2P1L</t>
  </si>
  <si>
    <t>PP_BRNA0_C_FULP_AN_AA23_DLL_JTG_VIX_ALLFRV_SI_DPPLL_T2P1L</t>
  </si>
  <si>
    <t>DPPLLT2P6L</t>
  </si>
  <si>
    <t>PP_BRNA0_C_FULP_AN_AA23_DLL_JTG_VIX_ALLFRV_SI_DPPLL_T2P6L</t>
  </si>
  <si>
    <t>DPPLLT2P9L</t>
  </si>
  <si>
    <t>PP_BRNA0_C_FULP_AN_AA23_DLL_JTG_VIX_ALLFRV_SI_DPPLL_T2P9L</t>
  </si>
  <si>
    <t>DPPLLT2P19L</t>
  </si>
  <si>
    <t>PP_BRNA0_C_FULP_AN_AA23_DLL_JTG_VIX_ALLFRV_SI_DPPLL_T2P19L</t>
  </si>
  <si>
    <t>DPPLLT2P20L</t>
  </si>
  <si>
    <t>PP_BRNA0_C_FULP_AN_AA23_DLL_JTG_VIX_ALLFRV_SI_DPPLL_T2P20L</t>
  </si>
  <si>
    <t>DPPLLT3</t>
  </si>
  <si>
    <t>PP_BRNA0_C_FULP_AN_AA23_MEA_JTG_IMX_ALLFRV_SI_DPPLL_T3</t>
  </si>
  <si>
    <t>DPPLLT13P1L</t>
  </si>
  <si>
    <t>PP_BRNA0_C_FULP_AN_AA23_MEA_JTG_VIX_ALLFRV_SI_DPPLL_T13P1L</t>
  </si>
  <si>
    <t>DPPLLT13P2L</t>
  </si>
  <si>
    <t>PP_BRNA0_C_FULP_AN_AA23_MEA_JTG_VIX_ALLFRV_SI_DPPLL_T13P2L</t>
  </si>
  <si>
    <t>DPPLLT16</t>
  </si>
  <si>
    <t>PP_BRNA0_C_FULP_AN_AA23_MEA_JTG_VMX_ALLFRV_SI_DPPLL_T16</t>
  </si>
  <si>
    <t>MNDPPLLT0</t>
  </si>
  <si>
    <t>MN_BRNA0_C_FULP_AN_AA23_DLL_JTG_VIX_ALLFRV_SI_DPPLL_T0</t>
  </si>
  <si>
    <t>MNDPPLLT1P1L</t>
  </si>
  <si>
    <t>MN_BRNA0_C_FULP_AN_AA23_DLL_JTG_CAL_ALLFRV_SI_DPPLL_T1P1L</t>
  </si>
  <si>
    <t>MNDPPLLT2P1L</t>
  </si>
  <si>
    <t>MN_BRNA0_C_FULP_AN_AA23_DLL_JTG_VIX_ALLFRV_SI_DPPLL_T2P1L</t>
  </si>
  <si>
    <t>MNDPPLLT2P2L</t>
  </si>
  <si>
    <t>MN_BRNA0_C_FULP_AN_AA23_DLL_JTG_VIX_ALLFRV_SI_DPPLL_T2P2L</t>
  </si>
  <si>
    <t>MNDPPLLT2P3L</t>
  </si>
  <si>
    <t>MN_BRNA0_C_FULP_AN_AA23_DLL_JTG_VIX_ALLFRV_SI_DPPLL_T2P3L</t>
  </si>
  <si>
    <t>MNDPPLLT2P4L</t>
  </si>
  <si>
    <t>MN_BRNA0_C_FULP_AN_AA23_DLL_JTG_VIX_ALLFRV_SI_DPPLL_T2P4L</t>
  </si>
  <si>
    <t>MNDPPLLT2P5L</t>
  </si>
  <si>
    <t>MN_BRNA0_C_FULP_AN_AA23_DLL_JTG_VIX_ALLFRV_SI_DPPLL_T2P5L</t>
  </si>
  <si>
    <t>MNDPPLLT2P6L</t>
  </si>
  <si>
    <t>MN_BRNA0_C_FULP_AN_AA23_DLL_JTG_VIX_ALLFRV_SI_DPPLL_T2P6L</t>
  </si>
  <si>
    <t>MNDPPLLT2P7L</t>
  </si>
  <si>
    <t>MN_BRNA0_C_FULP_AN_AA23_DLL_JTG_VIX_ALLFRV_SI_DPPLL_T2P7L</t>
  </si>
  <si>
    <t>MNDPPLLT2P8L</t>
  </si>
  <si>
    <t>MN_BRNA0_C_FULP_AN_AA23_DLL_JTG_VIX_ALLFRV_SI_DPPLL_T2P8L</t>
  </si>
  <si>
    <t>MNDPPLLT2P9L</t>
  </si>
  <si>
    <t>MN_BRNA0_C_FULP_AN_AA23_DLL_JTG_VIX_ALLFRV_SI_DPPLL_T2P9L</t>
  </si>
  <si>
    <t>MNDPPLLT2P10L</t>
  </si>
  <si>
    <t>MN_BRNA0_C_FULP_AN_AA23_DLL_JTG_VIX_ALLFRV_SI_DPPLL_T2P10L</t>
  </si>
  <si>
    <t>MNDPPLLT2P11L</t>
  </si>
  <si>
    <t>MN_BRNA0_C_FULP_AN_AA23_DLL_JTG_VIX_ALLFRV_SI_DPPLL_T2P11L</t>
  </si>
  <si>
    <t>MNDPPLLT2P12L</t>
  </si>
  <si>
    <t>MN_BRNA0_C_FULP_AN_AA23_DLL_JTG_VIX_ALLFRV_SI_DPPLL_T2P12L</t>
  </si>
  <si>
    <t>MNDPPLLT2P13L</t>
  </si>
  <si>
    <t>MN_BRNA0_C_FULP_AN_AA23_DLL_JTG_VIX_ALLFRV_SI_DPPLL_T2P13L</t>
  </si>
  <si>
    <t>MNDPPLLT2P19L</t>
  </si>
  <si>
    <t>MN_BRNA0_C_FULP_AN_AA23_DLL_JTG_VIX_ALLFRV_SI_DPPLL_T2P19L</t>
  </si>
  <si>
    <t>MNDPPLLT2P20L</t>
  </si>
  <si>
    <t>MN_BRNA0_C_FULP_AN_AA23_DLL_JTG_VIX_ALLFRV_SI_DPPLL_T2P20L</t>
  </si>
  <si>
    <t>MNDPPLLT3</t>
  </si>
  <si>
    <t>MN_BRNA0_C_FULP_AN_AA23_MEA_JTG_IMX_ALLFRV_SI_DPPLL_T3</t>
  </si>
  <si>
    <t>MNDPPLLT12P1L</t>
  </si>
  <si>
    <t>MN_BRNA0_C_FULP_AN_AA23_MEA_JTG_DYC_ALLFRV_SI_DPPLL_T12P1L</t>
  </si>
  <si>
    <t>MNDPPLLT12P2L</t>
  </si>
  <si>
    <t>MN_BRNA0_C_FULP_AN_AA23_MEA_JTG_DYC_ALLFRV_SI_DPPLL_T12P2L</t>
  </si>
  <si>
    <t>MNDPPLLT12P3L</t>
  </si>
  <si>
    <t>MN_BRNA0_C_FULP_AN_AA23_MEA_JTG_DYC_ALLFRV_SI_DPPLL_T12P3L</t>
  </si>
  <si>
    <t>MNDPPLLT12P4L</t>
  </si>
  <si>
    <t>MN_BRNA0_C_FULP_AN_AA23_MEA_JTG_DYC_ALLFRV_SI_DPPLL_T12P4L</t>
  </si>
  <si>
    <t>MNDPPLLT12P5L</t>
  </si>
  <si>
    <t>MN_BRNA0_C_FULP_AN_AA23_MEA_JTG_DYC_ALLFRV_SI_DPPLL_T12P5L</t>
  </si>
  <si>
    <t>MNDPPLLT12P6L</t>
  </si>
  <si>
    <t>MN_BRNA0_C_FULP_AN_AA23_MEA_JTG_DYC_ALLFRV_SI_DPPLL_T12P6L</t>
  </si>
  <si>
    <t>MNDPPLLT12P7L</t>
  </si>
  <si>
    <t>MN_BRNA0_C_FULP_AN_AA23_MEA_JTG_DYC_ALLFRV_SI_DPPLL_T12P7L</t>
  </si>
  <si>
    <t>MNDPPLLT12P8L</t>
  </si>
  <si>
    <t>MN_BRNA0_C_FULP_AN_AA23_MEA_JTG_DYC_ALLFRV_SI_DPPLL_T12P8L</t>
  </si>
  <si>
    <t>MNDPPLLT12P9L</t>
  </si>
  <si>
    <t>MN_BRNA0_C_FULP_AN_AA23_MEA_JTG_DYC_ALLFRV_SI_DPPLL_T12P9L</t>
  </si>
  <si>
    <t>MNDPPLLT12P10L</t>
  </si>
  <si>
    <t>MN_BRNA0_C_FULP_AN_AA23_MEA_JTG_DYC_ALLFRV_SI_DPPLL_T12P10L</t>
  </si>
  <si>
    <t>MNDPPLLT12P11L</t>
  </si>
  <si>
    <t>MN_BRNA0_C_FULP_AN_AA23_MEA_JTG_DYC_ALLFRV_SI_DPPLL_T12P11L</t>
  </si>
  <si>
    <t>MNDPPLLT12P12L</t>
  </si>
  <si>
    <t>MN_BRNA0_C_FULP_AN_AA23_MEA_JTG_DYC_ALLFRV_SI_DPPLL_T12P12L</t>
  </si>
  <si>
    <t>MNDPPLLT12P13L</t>
  </si>
  <si>
    <t>MN_BRNA0_C_FULP_AN_AA23_MEA_JTG_DYC_ALLFRV_SI_DPPLL_T12P13L</t>
  </si>
  <si>
    <t>MNDPPLLT12P19L</t>
  </si>
  <si>
    <t>MN_BRNA0_C_FULP_AN_AA23_MEA_JTG_DYC_ALLFRV_SI_DPPLL_T12P19L</t>
  </si>
  <si>
    <t>MNDPPLLT12P20L</t>
  </si>
  <si>
    <t>MN_BRNA0_C_FULP_AN_AA23_MEA_JTG_DYC_ALLFRV_SI_DPPLL_T12P20L</t>
  </si>
  <si>
    <t>FCALT1P5G</t>
  </si>
  <si>
    <t>PP_BRNA0_S_FULP_AN_AAL6_MEA_JTG_LP5_MDX005_SI_FCAL_T1P5G</t>
  </si>
  <si>
    <t>LPDDRPLL_FCALT1P5G_FUSE_PREWRITE_CAL</t>
  </si>
  <si>
    <t>LPDDRPLL_FCALT1P5G_FUSE_READ_CAL</t>
  </si>
  <si>
    <t>RELAYON_K100_K104_K102_RELAYOFF_K15_K17_K19</t>
  </si>
  <si>
    <t>RELAYON_K15_K17_K19_RELAYOFF_K100_K104_K102</t>
  </si>
  <si>
    <t>LP5F1T2P1G</t>
  </si>
  <si>
    <t>PP_BRNA0_S_FULP_AN_AAL6_MEA_JTG_LP5_MDX001_SI_LP5F1_T2P1G</t>
  </si>
  <si>
    <t>LP5F2T2P2G</t>
  </si>
  <si>
    <t>PP_BRNA0_S_FULP_AN_AAL6_MEA_JTG_LP5_MDX002_SI_LP5F2_T2P2G</t>
  </si>
  <si>
    <t>LP5F3T2P3G</t>
  </si>
  <si>
    <t>PP_BRNA0_S_FULP_AN_AAL6_MEA_JTG_LP5_MDX003_SI_LP5F3_T2P3G</t>
  </si>
  <si>
    <t>LP5F4T2P4G</t>
  </si>
  <si>
    <t>PP_BRNA0_S_FULP_AN_AAL6_MEA_JTG_LP5_MDX004_SI_LP5F4_T2P4G</t>
  </si>
  <si>
    <t>LP5F5T2P5G</t>
  </si>
  <si>
    <t>PP_BRNA0_S_FULP_AN_AAL6_MEA_JTG_LP5_MDX005_SI_LP5F5_T2P5G</t>
  </si>
  <si>
    <t>LP5F6T2P6G</t>
  </si>
  <si>
    <t>PP_BRNA0_S_FULP_AN_AAL6_MEA_JTG_LP5_MDX006_SI_LP5F6_T2P6G</t>
  </si>
  <si>
    <t>LP5F7T2P7G</t>
  </si>
  <si>
    <t>PP_BRNA0_S_FULP_AN_AAL6_MEA_JTG_LP5_MDX007_SI_LP5F7_T2P7G</t>
  </si>
  <si>
    <t>LP5F8T2P8G</t>
  </si>
  <si>
    <t>PP_BRNA0_S_FULP_AN_AAL6_MEA_JTG_LP5_MDX008_SI_LP5F8_T2P8G</t>
  </si>
  <si>
    <t>LP5F9T2P9G</t>
  </si>
  <si>
    <t>PP_BRNA0_S_FULP_AN_AAL6_MEA_JTG_LP5_MDX009_SI_LP5F9_T2P9G</t>
  </si>
  <si>
    <t>LP5CURRT3</t>
  </si>
  <si>
    <t>PP_BRNA0_S_FULP_AN_AAL6_MEA_JTG_LP5_MDX002_SI_LP5CURR_T3</t>
  </si>
  <si>
    <t>LP5F1PLDT13P1G</t>
  </si>
  <si>
    <t>PP_BRNA0_S_FULP_AN_AAL6_LP5_JTG_LP5_MDX001_SI_LP5F1PLD_T13P1G</t>
  </si>
  <si>
    <t>LP5F2PLDT13P2G</t>
  </si>
  <si>
    <t>PP_BRNA0_S_FULP_AN_AAL6_LP5_JTG_LP5_MDX002_SI_LP5F2PLD_T13P2G</t>
  </si>
  <si>
    <t>LP5F6PLDT13P6G</t>
  </si>
  <si>
    <t>PP_BRNA0_S_FULP_AN_AAL6_LP5_JTG_LP5_MDX006_SI_LP5F6PLD_T13P6G</t>
  </si>
  <si>
    <t>LP5F9PLDT13P9G</t>
  </si>
  <si>
    <t>PP_BRNA0_S_FULP_AN_AAL6_LP5_JTG_LP5_MDX009_SI_LP5F9PLD_T13P9G</t>
  </si>
  <si>
    <t>LP5TDCT14P2G</t>
  </si>
  <si>
    <t>PP_BRNA0_S_FULP_AN_AAL6_BST_JTG_LP5_MDX002_SI_LP5TDC_T14P2G</t>
  </si>
  <si>
    <t>LP5TDCT14P4G</t>
  </si>
  <si>
    <t>PP_BRNA0_S_FULP_AN_AAL6_BST_JTG_LP5_MDX004_SI_LP5TDC_T14P4G</t>
  </si>
  <si>
    <t>LP5IVDVT16</t>
  </si>
  <si>
    <t>PP_BRNA0_S_FULP_AN_AAL6_MEA_JTG_LP5_MDX005_SI_LP5IVDV_T16</t>
  </si>
  <si>
    <t>MNLP5FCALT1P5G</t>
  </si>
  <si>
    <t>MN_BRNA0_S_FULP_AN_AAL6_MEA_JTG_LP5_MDX005_SI_LP5FCAL_T1P5G</t>
  </si>
  <si>
    <t>MNLP5FMINT2PMIN</t>
  </si>
  <si>
    <t>MN_BRNA0_S_FULP_AN_AAL6_MEA_JTG_LP5_MDX001_SI_LP5FMIN_T2PMIN</t>
  </si>
  <si>
    <t>MNLP5F1T2P1G</t>
  </si>
  <si>
    <t>MN_BRNA0_S_FULP_AN_AAL6_MEA_JTG_LP5_MDX001_SI_LP5F1_T2P1G</t>
  </si>
  <si>
    <t>MNLP5F2T2P2G</t>
  </si>
  <si>
    <t>MN_BRNA0_S_FULP_AN_AAL6_MEA_JTG_LP5_MDX002_SI_LP5F2_T2P2G</t>
  </si>
  <si>
    <t>MNLP5F3T2P3G</t>
  </si>
  <si>
    <t>MN_BRNA0_S_FULP_AN_AAL6_MEA_JTG_LP5_MDX003_SI_LP5F3_T2P3G</t>
  </si>
  <si>
    <t>MNLP5F4T2P4G</t>
  </si>
  <si>
    <t>MN_BRNA0_S_FULP_AN_AAL6_MEA_JTG_LP5_MDX004_SI_LP5F4_T2P4G</t>
  </si>
  <si>
    <t>MNLP5F5T2P5G</t>
  </si>
  <si>
    <t>MN_BRNA0_S_FULP_AN_AAL6_MEA_JTG_LP5_MDX005_SI_LP5F5_T2P5G</t>
  </si>
  <si>
    <t>MNLP5F6T2P6G</t>
  </si>
  <si>
    <t>MN_BRNA0_S_FULP_AN_AAL6_MEA_JTG_LP5_MDX006_SI_LP5F6_T2P6G</t>
  </si>
  <si>
    <t>MNLP5F7T2P7G</t>
  </si>
  <si>
    <t>MN_BRNA0_S_FULP_AN_AAL6_MEA_JTG_LP5_MDX007_SI_LP5F7_T2P7G</t>
  </si>
  <si>
    <t>MNLP5F8T2P8G</t>
  </si>
  <si>
    <t>MN_BRNA0_S_FULP_AN_AAL6_MEA_JTG_LP5_MDX008_SI_LP5F8_T2P8G</t>
  </si>
  <si>
    <t>MNLP5F9T2P9G</t>
  </si>
  <si>
    <t>MN_BRNA0_S_FULP_AN_AAL6_MEA_JTG_LP5_MDX009_SI_LP5F9_T2P9G</t>
  </si>
  <si>
    <t>MNLP5F10T2P10G</t>
  </si>
  <si>
    <t>MN_BRNA0_S_FULP_AN_AAL6_MEA_JTG_LP5_MDX00A_SI_LP5F10_T2P10G</t>
  </si>
  <si>
    <t>MNLP5F11T2P11G</t>
  </si>
  <si>
    <t>MN_BRNA0_S_FULP_AN_AAL6_MEA_JTG_LP5_MDX00A_SI_LP5F11_T2P11G</t>
  </si>
  <si>
    <t>MNLP5FMAXT2PMAX</t>
  </si>
  <si>
    <t>MN_BRNA0_S_FULP_AN_AAL6_MEA_JTG_LP5_MDX00A_SI_LP5FMAX_T2PMAX</t>
  </si>
  <si>
    <t>MNLP5DCDT8P2G</t>
  </si>
  <si>
    <t>MN_BRNA0_S_FULP_AN_AAL6_MEA_JTG_LP5_MDX002_SI_LP5DCD_T8P2G</t>
  </si>
  <si>
    <t>MNLP5DCDT8P10G</t>
  </si>
  <si>
    <t>MN_BRNA0_S_FULP_AN_AAL6_MEA_JTG_LP5_MDX00A_SI_LP5DCD_T8P10G</t>
  </si>
  <si>
    <t>MNLP5KDCO1T10P2G</t>
  </si>
  <si>
    <t>MN_BRNA0_S_FULP_AN_AAL6_LP5_JTG_LP5_MDX002_SI_LP5KDCO1_T10P2G</t>
  </si>
  <si>
    <t>MNLP5KDCO1T10P10G</t>
  </si>
  <si>
    <t>MN_BRNA0_S_FULP_AN_AAL6_LP5_JTG_LP5_MDX00A_SI_LP5KDCO1_T10P10G</t>
  </si>
  <si>
    <t>MNLP5CLT11P3G</t>
  </si>
  <si>
    <t>MN_BRNA0_S_FULP_AN_AAL6_LP5_JTG_LP5_MDX003_SI_LP5CL_T11P3G</t>
  </si>
  <si>
    <t>MNLP5CLT11P7G</t>
  </si>
  <si>
    <t>MN_BRNA0_S_FULP_AN_AAL6_LP5_JTG_LP5_MDX007_SI_LP5CL_T11P7G</t>
  </si>
  <si>
    <t>MNLP5F1PLDT13P1G</t>
  </si>
  <si>
    <t>MN_BRNA0_S_FULP_AN_AAL6_LP5_JTG_LP5_MDX001_SI_LP5F1PLD_T13P1G</t>
  </si>
  <si>
    <t>MNLP5F2PLDT13P2G</t>
  </si>
  <si>
    <t>MN_BRNA0_S_FULP_AN_AAL6_LP5_JTG_LP5_MDX002_SI_LP5F2PLD_T13P2G</t>
  </si>
  <si>
    <t>MNLP5F3PLDT13P3G</t>
  </si>
  <si>
    <t>MN_BRNA0_S_FULP_AN_AAL6_LP5_JTG_LP5_MDX003_SI_LP5F3PLD_T13P3G</t>
  </si>
  <si>
    <t>MNLP5F4PLDT13P4G</t>
  </si>
  <si>
    <t>MN_BRNA0_S_FULP_AN_AAL6_LP5_JTG_LP5_MDX004_SI_LP5F4PLD_T13P4G</t>
  </si>
  <si>
    <t>MNLP5F5PLDT13P5G</t>
  </si>
  <si>
    <t>MN_BRNA0_S_FULP_AN_AAL6_LP5_JTG_LP5_MDX005_SI_LP5F5PLD_T13P5G</t>
  </si>
  <si>
    <t>MNLP5F6PLDT13P6G</t>
  </si>
  <si>
    <t>MN_BRNA0_S_FULP_AN_AAL6_LP5_JTG_LP5_MDX006_SI_LP5F6PLD_T13P6G</t>
  </si>
  <si>
    <t>MNLP5F7PLDT13P7G</t>
  </si>
  <si>
    <t>MN_BRNA0_S_FULP_AN_AAL6_LP5_JTG_LP5_MDX007_SI_LP5F7PLD_T13P7G</t>
  </si>
  <si>
    <t>MNLP5F8PLDT13P8G</t>
  </si>
  <si>
    <t>MN_BRNA0_S_FULP_AN_AAL6_LP5_JTG_LP5_MDX008_SI_LP5F8PLD_T13P8G</t>
  </si>
  <si>
    <t>MNLP5F9PLDT13P9G</t>
  </si>
  <si>
    <t>MN_BRNA0_S_FULP_AN_AAL6_LP5_JTG_LP5_MDX009_SI_LP5F9PLD_T13P9G</t>
  </si>
  <si>
    <t>MNF10PLDT13P10G</t>
  </si>
  <si>
    <t>MN_BRNA0_S_FULP_AN_AAL6_LP5_JTG_LP5_MDX00A_SI_F10PLD_T13P10G</t>
  </si>
  <si>
    <t>MNF11PLDT13P11G</t>
  </si>
  <si>
    <t>MN_BRNA0_S_FULP_AN_AAL6_LP5_JTG_LP5_MDX00A_SI_F11PLD_T13P11G</t>
  </si>
  <si>
    <t>MNLP5TDCT14P2G</t>
  </si>
  <si>
    <t>MN_BRNA0_S_FULP_AN_AAL6_BST_JTG_LP5_MDX002_SI_LP5TDC_T14P2G</t>
  </si>
  <si>
    <t>MNLP5TDCT14P3G</t>
  </si>
  <si>
    <t>MN_BRNA0_S_FULP_AN_AAL6_BST_JTG_LP5_MDX003_SI_LP5TDC_T14P3G</t>
  </si>
  <si>
    <t>MNLP5TDCT14P4G</t>
  </si>
  <si>
    <t>MN_BRNA0_S_FULP_AN_AAL6_BST_JTG_LP5_MDX004_SI_LP5TDC_T14P4G</t>
  </si>
  <si>
    <t>MNLP5TDCT14P5G</t>
  </si>
  <si>
    <t>MN_BRNA0_S_FULP_AN_AAL6_BST_JTG_LP5_MDX005_SI_LP5TDC_T14P5G</t>
  </si>
  <si>
    <t>MNF2PLDT15P2G</t>
  </si>
  <si>
    <t>MN_BRNA0_S_FULP_AN_AAL6_LP5_JTG_LP5_MDX002_SI_F2PLD_T15P2G</t>
  </si>
  <si>
    <t>MNF10PLDT15P10G</t>
  </si>
  <si>
    <t>MN_BRNA0_S_FULP_AN_AAL6_LP5_JTG_LP5_MDX00A_SI_F10PLD_T15P10G</t>
  </si>
  <si>
    <t>SAROSCT0</t>
  </si>
  <si>
    <t>PP_BRNA0_C_FULP_AN_SARO_DLL_JTG_COD_ALLFRV_SI_SAROSC_T0</t>
  </si>
  <si>
    <t>MNSAROSCT0</t>
  </si>
  <si>
    <t>MN_BRNA0_C_FULP_AN_SARO_DLL_JTG_COD_ALLFRV_SI_SAROSC_T0</t>
  </si>
  <si>
    <t>CASET1A</t>
  </si>
  <si>
    <t>PP_BRNA0_C_FULP_AN_ULPL_FUN_JTG_FRQ_ALLFRV_SI_CASE_T1A</t>
  </si>
  <si>
    <t>CASET1B</t>
  </si>
  <si>
    <t>PP_BRNA0_C_FULP_AN_ULPL_FUN_JTG_FRQ_ALLFRV_SI_CASE_T1B</t>
  </si>
  <si>
    <t>CASET1C</t>
  </si>
  <si>
    <t>PP_BRNA0_C_FULP_AN_ULPL_FUN_JTG_FRQ_ALLFRV_SI_CASE_T1C</t>
  </si>
  <si>
    <t>CASET1C1</t>
  </si>
  <si>
    <t>PP_BRNA0_C_FULP_AN_FLPL_FUN_JTG_FRQ_ALLFRV_SI_CASE_T1C1</t>
  </si>
  <si>
    <t>CASET1C2</t>
  </si>
  <si>
    <t>PP_BRNA0_C_FULP_AN_FLPL_FUN_JTG_FRQ_ALLFRV_SI_CASE_T1C2</t>
  </si>
  <si>
    <t>CASET1C3</t>
  </si>
  <si>
    <t>PP_BRNA0_C_FULP_AN_FLPL_FUN_JTG_FRQ_ALLFRV_SI_CASE_T1C3</t>
  </si>
  <si>
    <t>CASET1C4</t>
  </si>
  <si>
    <t>PP_BRNA0_C_FULP_AN_FLPL_FUN_JTG_FRQ_ALLFRV_SI_CASE_T1C4</t>
  </si>
  <si>
    <t>CASET1C5</t>
  </si>
  <si>
    <t>PP_BRNA0_C_FULP_AN_FLPL_FUN_JTG_FRQ_ALLFRV_SI_CASE_T1C5</t>
  </si>
  <si>
    <t>CASET1C6</t>
  </si>
  <si>
    <t>PP_BRNA0_C_FULP_AN_FLPL_FUN_JTG_FRQ_ALLFRV_SI_CASE_T1C6</t>
  </si>
  <si>
    <t>CASET1C7</t>
  </si>
  <si>
    <t>PP_BRNA0_C_FULP_AN_FLPL_FUN_JTG_FRQ_ALLFRV_SI_CASE_T1C7</t>
  </si>
  <si>
    <t>CASET1C8</t>
  </si>
  <si>
    <t>PP_BRNA0_C_FULP_AN_FLPL_FUN_JTG_FRQ_ALLFRV_SI_CASE_T1C8</t>
  </si>
  <si>
    <t>CASET1C9</t>
  </si>
  <si>
    <t>PP_BRNA0_C_FULP_AN_FLPL_FUN_JTG_FRQ_ALLFRV_SI_CASE_T1C9</t>
  </si>
  <si>
    <t>CASET1C10</t>
  </si>
  <si>
    <t>PP_BRNA0_C_FULP_AN_FLPL_FUN_JTG_FRQ_ALLFRV_SI_CASE_T1C10</t>
  </si>
  <si>
    <t>PRETRIMT1</t>
  </si>
  <si>
    <t>PP_BRNA0_S_FULP_AN_SEPV_DLL_JTG_COD_ALLFRV_SI_PRETRIM_T1</t>
  </si>
  <si>
    <t>VREFPDETT2P1</t>
  </si>
  <si>
    <t>PP_BRNA0_S_FULP_AN_SEPV_DLL_JTG_COD_ALLFRV_SI_VREFPDET_T2P1</t>
  </si>
  <si>
    <t>SEPVMC_VREFPDETT2P1_FUSE_PREWRITE_CAL</t>
  </si>
  <si>
    <t>SEPVMC_VREFPDETT2P1_FUSE_READ_CAL</t>
  </si>
  <si>
    <t>SEPVMC_FREQT2P2_FUSE_PREWRITE_CAL</t>
  </si>
  <si>
    <t>SEPVMC_FREQT2P2_FUSE_READ_CAL</t>
  </si>
  <si>
    <t>SEPVMC_FUSE_PREWRITE_SEPVMC_TRIM_BG_T</t>
  </si>
  <si>
    <t>SEPVMC_FUSE_READ_SEPVMC_TRIM_BG_T</t>
  </si>
  <si>
    <t>SEPVMC_FUSE_PREWRITE_SEPVMC_TRIM_BGTEMP_ADCCODE_RT</t>
  </si>
  <si>
    <t>SEPVMC_FUSE_READ_SEPVMC_TRIM_BGTEMP_ADCCODE_RT</t>
  </si>
  <si>
    <t>SEPVMC_COMPLT5P1_FUSE_PREWRITE_CAL</t>
  </si>
  <si>
    <t>SEPVMC_COMPHT5P3_FUSE_PREWRITE_CAL</t>
  </si>
  <si>
    <t>FREQT2P2</t>
  </si>
  <si>
    <t>PP_BRNA0_S_FULP_AN_SEPV_DLL_JTG_COD_ALLFRV_SI_FREQ_T2P2</t>
  </si>
  <si>
    <t>VBGST2P3</t>
  </si>
  <si>
    <t>PP_BRNA0_S_FULP_AN_SEPV_DLL_JTG_COD_ALLFRV_SI_VBGS_T2P3</t>
  </si>
  <si>
    <t>VBGS2T2P4</t>
  </si>
  <si>
    <t>PP_BRNA0_S_FULP_AN_SEPV_DLL_JTG_COD_ALLFRV_SI_VBGS2_T2P4</t>
  </si>
  <si>
    <t>PSTPDETT3</t>
  </si>
  <si>
    <t>PP_BRNA0_S_FULP_AN_SEPV_DLL_JTG_COD_ALLFRV_SI_PSTPDET_T3</t>
  </si>
  <si>
    <t>PSTTRIMT4</t>
  </si>
  <si>
    <t>PP_BRNA0_S_FULP_AN_SEPV_DLL_JTG_COD_ALLFRV_SI_PSTTRIM_T4</t>
  </si>
  <si>
    <t>COMPLT5P1</t>
  </si>
  <si>
    <t>PP_BRNA0_S_FULP_AN_SEPV_DLL_JTG_COD_ALLFRV_SI_COMPL_T5P1</t>
  </si>
  <si>
    <t>COMPHT5P3</t>
  </si>
  <si>
    <t>PP_BRNA0_S_FULP_AN_SEPV_DLL_JTG_COD_ALLFRV_SI_COMPH_T5P3</t>
  </si>
  <si>
    <t>LBUBT6P1</t>
  </si>
  <si>
    <t>PP_BRNA0_S_FULP_AN_SEPV_DLL_JTG_COD_ALLFRV_SI_LBUB_T6P1</t>
  </si>
  <si>
    <t>LBUBT6P2</t>
  </si>
  <si>
    <t>PP_BRNA0_S_FULP_AN_SEPV_DLL_JTG_COD_ALLFRV_SI_LBUB_T6P2</t>
  </si>
  <si>
    <t>LBUBT6P3</t>
  </si>
  <si>
    <t>PP_BRNA0_S_FULP_AN_SEPV_DLL_JTG_COD_ALLFRV_SI_LBUB_T6P3</t>
  </si>
  <si>
    <t>MNPSTTRIMT4A</t>
  </si>
  <si>
    <t>MN_BRNA0_S_FULP_AN_SEPV_DLL_JTG_COD_ALLFRV_SI_PSTTRIM_T4A</t>
  </si>
  <si>
    <t>MNPSTTRIMT4B</t>
  </si>
  <si>
    <t>MN_BRNA0_S_FULP_AN_SEPV_DLL_JTG_COD_ALLFRV_SI_PSTTRIM_T4B</t>
  </si>
  <si>
    <t>MNPSTTRIMT4C</t>
  </si>
  <si>
    <t>MN_BRNA0_S_FULP_AN_SEPV_DLL_JTG_COD_ALLFRV_SI_PSTTRIM_T4C</t>
  </si>
  <si>
    <t>MNCOMPLT5P2</t>
  </si>
  <si>
    <t>MN_BRNA0_S_FULP_AN_SEPV_DLL_JTG_COD_ALLFRV_SI_COMPL_T5P2</t>
  </si>
  <si>
    <t>MNCOMPHT5P4</t>
  </si>
  <si>
    <t>MN_BRNA0_S_FULP_AN_SEPV_DLL_JTG_COD_ALLFRV_SI_COMPH_T5P4</t>
  </si>
  <si>
    <t>MNLBUBT6P1B</t>
  </si>
  <si>
    <t>MN_BRNA0_S_FULP_AN_SEPV_DLL_JTG_COD_ALLFRV_SI_LBUB_T6P1B</t>
  </si>
  <si>
    <t>MNLBUBT6P2B</t>
  </si>
  <si>
    <t>MN_BRNA0_S_FULP_AN_SEPV_DLL_JTG_COD_ALLFRV_SI_LBUB_T6P2B</t>
  </si>
  <si>
    <t>MNLBUBT6P3B</t>
  </si>
  <si>
    <t>MN_BRNA0_S_FULP_AN_SEPV_DLL_JTG_COD_ALLFRV_SI_LBUB_T6P3B</t>
  </si>
  <si>
    <t>MNTCSWEEPT9</t>
  </si>
  <si>
    <t>MN_BRNA0_S_FULP_AN_SEPV_DLL_JTG_COD_ALLFRV_SI_TCSWEEP_T9</t>
  </si>
  <si>
    <t>0P779T1P0</t>
  </si>
  <si>
    <t>PP_BRNA0_S_FULP_AN_SEPF_MEA_JTG_VIX_ALLFRV_SI_0P779_T1P0</t>
  </si>
  <si>
    <t>0P36T2P1</t>
  </si>
  <si>
    <t>PP_BRNA0_S_FULP_AN_SEPF_PFF_JTG_UNS_ALLFRV_SI_0P36_T2P1</t>
  </si>
  <si>
    <t>SEPF2M_0P36T2P1_FUSE_PREWRITE_CAL</t>
  </si>
  <si>
    <t>SEPF2M_0P36T2P1_FUSE_READ_CAL</t>
  </si>
  <si>
    <t>SEPF2M_T2P2_TRIM_FUSE_PREWRITE_CAL</t>
  </si>
  <si>
    <t>SEPF2M_T2P2_TRIM_FUSE_READ_CAL</t>
  </si>
  <si>
    <t>SEPF2M_FUSE_PREWRITE_TRIM_CAP_CLK1_UCD_ATE</t>
  </si>
  <si>
    <t>SEPF2M_FUSE_READ_TRIM_CAP_CLK1_UCD_ATE</t>
  </si>
  <si>
    <t>SEPF2M_FUSE_PREWRITE_TRIM_CAP_CLK2_OCD_ATE</t>
  </si>
  <si>
    <t>SEPF2M_FUSE_READ_HSC_TRIM_CAP_CLK2_OCD_ATE</t>
  </si>
  <si>
    <t>SEPF2M_FUSE_PREWRITE_TRIM_CAP_CLK2_UCD_ATE</t>
  </si>
  <si>
    <t>SEPF2M_FUSE_READ_HSC_TRIM_CAP_CLK2_UCD_ATE</t>
  </si>
  <si>
    <t>SEPF2M_FUSE_PREWRITE_TRIM_CAP_CLK1_OCD_ATE</t>
  </si>
  <si>
    <t>SEPF2M_FUSE_READ_TRIM_CAP_CLK1_OCD_ATE</t>
  </si>
  <si>
    <t>24MT2P2TRIM</t>
  </si>
  <si>
    <t>PP_BRNA0_S_FULP_AN_SEPF_PFF_JTG_UNS_ALLFRV_SI_24M_T2P2</t>
  </si>
  <si>
    <t>OUCD12T2P3</t>
  </si>
  <si>
    <t>PP_BRNA0_S_FULP_AN_SEPF_PFF_JTG_UNS_ALLFRV_SI_OUCD12_T2P3</t>
  </si>
  <si>
    <t>OCD1T2P4</t>
  </si>
  <si>
    <t>PP_BRNA0_S_FULP_AN_SEPF_PFF_JTG_UNS_ALLFRV_SI_OCD1_T2P4</t>
  </si>
  <si>
    <t>OUCD12T3P1LO</t>
  </si>
  <si>
    <t>PP_BRNA0_S_FULP_AN_SEPF_PFF_JTG_UNS_ALLFRV_SI_OUCD12_T3P1</t>
  </si>
  <si>
    <t>OUCD12T3P1HI</t>
  </si>
  <si>
    <t>OUCD12T3P2LO</t>
  </si>
  <si>
    <t>PP_BRNA0_S_FULP_AN_SEPF_PFF_JTG_UNS_ALLFRV_SI_OUCD12_T3P2</t>
  </si>
  <si>
    <t>OUCD12T3P2HI</t>
  </si>
  <si>
    <t>MIDLDO</t>
  </si>
  <si>
    <t>PP_BRNA0_C_FULP_AN_MLDO_MEA_JTG_IMX_ALLFRV_SI_MID_LDO</t>
  </si>
  <si>
    <t>MNMIDLDODYN</t>
  </si>
  <si>
    <t>MN_BRNA0_C_FULP_AN_MLDO_MEA_JTG_IMX_ALLFRV_SI_MID_LDODYN</t>
  </si>
  <si>
    <t>MNMIDLDO</t>
  </si>
  <si>
    <t>MN_BRNA0_C_FULP_AN_MLDO_MEA_JTG_IMX_ALLFRV_SI_MID_LDO</t>
  </si>
  <si>
    <t>IDDQT1</t>
  </si>
  <si>
    <t>PP_BRNA0_C_FULP_AN_AQ00_IDS_JTG_IMX_ALLFRV_SI_IDDQ_T1</t>
  </si>
  <si>
    <t>REFTRIMT2RTDEFAULT</t>
  </si>
  <si>
    <t>PP_BRNA0_C_FULP_AN_AQ00_DLL_JTG_CAL_ALLFRV_SI_REFTRIM_T2</t>
  </si>
  <si>
    <t>ADC_FUSE_PREWRITE_SOC_VREF_25C_CAL</t>
  </si>
  <si>
    <t>ADC_FUSE_READ_SOC_VREF_25C_CAL</t>
  </si>
  <si>
    <t>ADC_FUSE_PREWRITE_ACCP_VREF_25C_CAL</t>
  </si>
  <si>
    <t>ADC_FUSE_READ_ACCP_VREF_25C_CAL</t>
  </si>
  <si>
    <t>ADC_FUSE_PREWRITE_ACCE_VREF_25C_CAL</t>
  </si>
  <si>
    <t>ADC_FUSE_READ_ACCE_VREF_25C_CAL</t>
  </si>
  <si>
    <t>ADC_FUSE_PREWRITE_REFERENCE_SCALE_DIG_25_S_CAL</t>
  </si>
  <si>
    <t>ADC_FUSE_READ_REFERENCE_SCALE_DIG_25_S_CAL</t>
  </si>
  <si>
    <t>ADC_FUSE_PREWRITE_REFERENCE_SCALE_DIG_25_P_CAL</t>
  </si>
  <si>
    <t>ADC_FUSE_READ_REFERENCE_SCALE_DIG_25_P_CAL</t>
  </si>
  <si>
    <t>ADC_FUSE_PREWRITE_REFERENCE_SCALE_DIG_25_E_CAL</t>
  </si>
  <si>
    <t>ADC_FUSE_READ_REFERENCE_SCALE_DIG_25_E_CAL</t>
  </si>
  <si>
    <t>ADC_FUSE_PREWRITE_SOC_TEMPCO_25C_CAL</t>
  </si>
  <si>
    <t>ADC_FUSE_READ_SOC_TEMPCO_25C_CAL</t>
  </si>
  <si>
    <t>ADC_FUSE_PREWRITE_ACCP_TEMPCO_25C_CAL</t>
  </si>
  <si>
    <t>ADC_FUSE_READ_ACCP_TEMPCO_25C_CAL</t>
  </si>
  <si>
    <t>ADC_FUSE_PREWRITE_ACCE_TEMPCO_25C_CAL</t>
  </si>
  <si>
    <t>ADC_FUSE_READ_ACCE_TEMPCO_25C_CAL</t>
  </si>
  <si>
    <t>ADC_FUSE_PREWRITE_SOC_VREF_CAL</t>
  </si>
  <si>
    <t>ADC_FUSE_READ_SOC_VREF_CAL</t>
  </si>
  <si>
    <t>ADC_FUSE_PREWRITE_ACCP_VREF_CAL</t>
  </si>
  <si>
    <t>ADC_FUSE_READ_ACCP_VREF_CAL</t>
  </si>
  <si>
    <t>ADC_FUSE_PREWRITE_ACCE_VREF_CAL</t>
  </si>
  <si>
    <t>ADC_FUSE_READ_ACCE_VREF_CAL</t>
  </si>
  <si>
    <t>ADC_FUSE_PREWRITE_REFERENCE_SCALE_DIG_S_CAL</t>
  </si>
  <si>
    <t>ADC_FUSE_READ_REFERENCE_SCALE_DIG_S_CAL</t>
  </si>
  <si>
    <t>ADC_FUSE_PREWRITE_REFERENCE_SCALE_DIG_P_CAL</t>
  </si>
  <si>
    <t>ADC_FUSE_READ_REFERENCE_SCALE_DIG_P_CAL</t>
  </si>
  <si>
    <t>ADC_FUSE_PREWRITE_REFERENCE_SCALE_DIG_E_CAL</t>
  </si>
  <si>
    <t>ADC_FUSE_READ_REFERENCE_SCALE_DIG_E_CAL</t>
  </si>
  <si>
    <t>ADC_FUSE_PREWRITE_SOC_TEMPCO_CAL</t>
  </si>
  <si>
    <t>ADC_FUSE_READ_SOC_TEMPCO_CAL</t>
  </si>
  <si>
    <t>ADC_FUSE_PREWRITE_ACCP_TEMPCO_CAL</t>
  </si>
  <si>
    <t>ADC_FUSE_READ_ACCP_TEMPCO_CAL</t>
  </si>
  <si>
    <t>ADC_FUSE_PREWRITE_ACCE_TEMPCO_CAL</t>
  </si>
  <si>
    <t>ADC_FUSE_READ_ACCE_TEMPCO_CAL</t>
  </si>
  <si>
    <t>REFTRIMT2RTANOTHER</t>
  </si>
  <si>
    <t>REFTRIMT2HTDEFAULT</t>
  </si>
  <si>
    <t>REFTRIMT2HTANOTHER</t>
  </si>
  <si>
    <t>ADCSOCT3</t>
  </si>
  <si>
    <t>PP_BRNA0_C_FULP_AN_AQ00_DLL_JTG_CAL_ALLFRV_SI_ADCSOC_T3</t>
  </si>
  <si>
    <t>REFCONVT4</t>
  </si>
  <si>
    <t>PP_BRNA0_C_FULP_AN_AQ00_DLL_JTG_IMX_ALLFRV_SI_REFCONV_T4</t>
  </si>
  <si>
    <t>AUXAUXIMPSW_MULTIPLE</t>
  </si>
  <si>
    <t>PP_BRNA0_S_FULP_AN_CIAX_MEA_JTG_VMX_ALLFRV_SI_AUX_AUXIMPSW</t>
  </si>
  <si>
    <t>ACIOPHY_AUXTRIM_FUSE_PREWRITE_CAL</t>
  </si>
  <si>
    <t>ACIOPHY_AUXTRIM_FUSE_READ_CAL</t>
  </si>
  <si>
    <t>CMNCMNVOLT_MULTIPLE</t>
  </si>
  <si>
    <t>PP_BRNA0_S_FULP_AN_CICM_MEA_JTG_VMX_ALLFRV_SI_CMN_CMNVOLT</t>
  </si>
  <si>
    <t>TXTIMPMEAS_MULTIPLE</t>
  </si>
  <si>
    <t>PP_BRNA0_S_FULP_AN_CITX_MEA_JTG_VMX_ALLFRV_SI_TX_TIMPMEAS</t>
  </si>
  <si>
    <t>TXHIZLEAK_MULTIPLE</t>
  </si>
  <si>
    <t>PP_BRNA0_S_FULP_AN_CITX_MEA_JTG_VMX_ALLFRV_SI_TX_HIZLEAK</t>
  </si>
  <si>
    <t>TXTXSWING_MULTIPLE</t>
  </si>
  <si>
    <t>PP_BRNA0_S_FULP_AN_CITX_MEA_JTG_VMX_ALLFRV_SI_TX_TXSWING</t>
  </si>
  <si>
    <t>TXCIOFREQ_MULTIPLE</t>
  </si>
  <si>
    <t>PP_BRNA0_S_FULP_AN_CITX_MEA_JTG_FRQ_ALLFRV_SI_TX_CIOFREQ</t>
  </si>
  <si>
    <t>TXRXDET_MULTIPLE</t>
  </si>
  <si>
    <t>PP_BRNA0_S_FULP_AN_CITX_MEA_JTG_VMX_ALLFRV_SI_TX_RXDET</t>
  </si>
  <si>
    <t>TXCMFC_MULTIPLE</t>
  </si>
  <si>
    <t>PP_BRNA0_S_FULP_AN_CITX_MEA_JTG_VMX_ALLFRV_SI_TX_CMFC</t>
  </si>
  <si>
    <t>RXRIMPMEAS_MULTIPLE</t>
  </si>
  <si>
    <t>PP_BRNA0_S_FULP_AN_CIRX_MEA_JTG_VMX_ALLFRV_SI_RX_RIMPMEAS</t>
  </si>
  <si>
    <t>RXEIHILO_MULTIPLE</t>
  </si>
  <si>
    <t>PP_BRNA0_S_FULP_AN_CIRX_MEA_JTG_VMX_ALLFRV_SI_RX_EIHILO</t>
  </si>
  <si>
    <t>RXTXDPFREQ_MULTIPLE</t>
  </si>
  <si>
    <t>PP_BRNA0_S_FULP_AN_CIRX_MEA_JTG_FRQ_ALLFRV_SI_RXTX_DPFREQ</t>
  </si>
  <si>
    <t>ELBUSBG1DP2_MULTIPLE</t>
  </si>
  <si>
    <t>PP_BRNA0_S_FULP_AN_CIPH_BST_JTG_ELB_ALLFRV_SI_ELB_USBG1DP2</t>
  </si>
  <si>
    <t>ELBDP2USBG1_MULTIPLE</t>
  </si>
  <si>
    <t>PP_BRNA0_S_FULP_AN_CIPH_BST_JTG_ELB_ALLFRV_SI_ELB_DP2USBG1</t>
  </si>
  <si>
    <t>ELBUSBG2DP3_MULTIPLE</t>
  </si>
  <si>
    <t>PP_BRNA0_S_FULP_AN_CIPH_BST_JTG_ELB_ALLFRV_SI_ELB_USBG2DP3</t>
  </si>
  <si>
    <t>ELBDP3USBG2_MULTIPLE</t>
  </si>
  <si>
    <t>PP_BRNA0_S_FULP_AN_CIPH_BST_JTG_ELB_ALLFRV_SI_ELB_DP3USBG2</t>
  </si>
  <si>
    <t>PWRUSBG1_MULTIPLE</t>
  </si>
  <si>
    <t>PP_BRNA0_S_FULP_AN_CIPH_MEA_JTG_IMX_ALLFRV_SI_PWR_USBG1</t>
  </si>
  <si>
    <t>PWRUSBG2_MULTIPLE</t>
  </si>
  <si>
    <t>PP_BRNA0_S_FULP_AN_CIPH_MEA_JTG_IMX_ALLFRV_SI_PWR_USBG2</t>
  </si>
  <si>
    <t>PWRDPX4HBR3_MULTIPLE</t>
  </si>
  <si>
    <t>PP_BRNA0_S_FULP_AN_CIPH_MEA_JTG_IMX_ALLFRV_SI_PWR_DPX4HBR3</t>
  </si>
  <si>
    <t>AUXAUXSWING_MULTIPLE</t>
  </si>
  <si>
    <t>PP_BRNA0_S_FULP_AN_CIAX_MEA_JTG_VMX_ALLFRV_SI_AUX_AUXSWING</t>
  </si>
  <si>
    <t>AUXAUXRXHL_MULTIPLE</t>
  </si>
  <si>
    <t>PP_BRNA0_S_FULP_AN_CIAX_MEA_JTG_VMX_ALLFRV_SI_AUX_AUXRXHL</t>
  </si>
  <si>
    <t>SHMREGRDWR_MULTIPLE</t>
  </si>
  <si>
    <t>PP_BRNA0_S_FULP_AN_CIPH_MEA_JTG_FUN_ALLFRV_SI_SHM_REGRDWR</t>
  </si>
  <si>
    <t>RXDACMONO_MULTIPLE</t>
  </si>
  <si>
    <t>PP_BRNA0_S_FULP_AN_CIPH_MEA_JTG_VMX_ALLFRV_SI_RXDAC_MONO</t>
  </si>
  <si>
    <t>MNRXDCOBISWPA_MULTIPLE</t>
  </si>
  <si>
    <t>MN_BRNA0_S_FULP_AN_CIRX_MEA_JTG_FRQ_ALLFRV_SI_RX_DCOBISWP</t>
  </si>
  <si>
    <t>MNRXDCOBISWPB_MULTIPLE</t>
  </si>
  <si>
    <t>MNRXDCOBISWPC_MULTIPLE</t>
  </si>
  <si>
    <t>MNRXDCOBISWPD_MULTIPLE</t>
  </si>
  <si>
    <t>MNRXDCOCRSWPA_MULTIPLE</t>
  </si>
  <si>
    <t>MN_BRNA0_S_FULP_AN_CIRX_MEA_JTG_FRQ_ALLFRV_SI_RX_DCOCRSWP</t>
  </si>
  <si>
    <t>MNRXDCOCRSWPB_MULTIPLE</t>
  </si>
  <si>
    <t>MNRXDCOCRSWPC_MULTIPLE</t>
  </si>
  <si>
    <t>MNRXDCOCRSWPD_MULTIPLE</t>
  </si>
  <si>
    <t>MNRXDCOFNSWPA_MULTIPLE</t>
  </si>
  <si>
    <t>MN_BRNA0_S_FULP_AN_CIRX_MEA_JTG_FRQ_ALLFRV_SI_RX_DCOFNSWP</t>
  </si>
  <si>
    <t>MNRXDCOFNSWPB_MULTIPLE</t>
  </si>
  <si>
    <t>MNRXDCOFNSWPC_MULTIPLE</t>
  </si>
  <si>
    <t>MNRXDCOFNSWPD_MULTIPLE</t>
  </si>
  <si>
    <t>MNRXDACMEAS_MULTIPLE</t>
  </si>
  <si>
    <t>MN_BRNA0_S_FULP_AN_CIRX_MEA_JTG_VMX_ALLFRV_SI_RX_DACMEAS</t>
  </si>
  <si>
    <t>MNELBLONGUSBG1DP2_MULTIPLE</t>
  </si>
  <si>
    <t>MN_BRNA0_S_FULP_AN_CIPH_BST_JTG_ELB_ALLFRV_SI_ELBLONG_USBG1DP2</t>
  </si>
  <si>
    <t>MNELBLONGDP2USBG1_MULTIPLE</t>
  </si>
  <si>
    <t>MN_BRNA0_S_FULP_AN_CIPH_BST_JTG_ELB_ALLFRV_SI_ELBLONG_DP2USBG1</t>
  </si>
  <si>
    <t>MNELBLONGUSBG2DP3_MULTIPLE</t>
  </si>
  <si>
    <t>MN_BRNA0_S_FULP_AN_CIPH_BST_JTG_ELB_ALLFRV_SI_ELBLONG_USBG2DP3</t>
  </si>
  <si>
    <t>MNELBLONGDP3USBG2_MULTIPLE</t>
  </si>
  <si>
    <t>MN_BRNA0_S_FULP_AN_CIPH_BST_JTG_ELB_ALLFRV_SI_ELBLONG_DP3USBG2</t>
  </si>
  <si>
    <t>MNELBISIM_MULTIPLE</t>
  </si>
  <si>
    <t>MN_BRNA0_S_FULP_AN_CIPH_BST_JTG_ELB_ALLFRV_SI_ELB_ISIM</t>
  </si>
  <si>
    <t>ACIPHY_L5L4_SELECT</t>
  </si>
  <si>
    <t>ACIPHY_AUXTRIMTXIMPSWP_FUSE_PREWRITE_CAL</t>
  </si>
  <si>
    <t>ACIPHY_AUXTRIMTXIMPSWP_FUSE_READ_CAL</t>
  </si>
  <si>
    <t>ACIPHY_L5L6_SELECT</t>
  </si>
  <si>
    <t>AUXTRIMTXIMPSWP_MULTIPLE</t>
  </si>
  <si>
    <t>PP_BRNA0_S_FULP_AN_RXCM_MEA_JTG_VMX_ALLFRV_SI_AUXTRIM_TXIMPSWP</t>
  </si>
  <si>
    <t>PP_BRNA0_S_FULP_AN_RXCM_MEA_JTG_VMX_ALLFRV_SI_CMN_CMNVOLT</t>
  </si>
  <si>
    <t>PP_BRNA0_S_FULP_AN_RXPH_MEA_JTG_FUN_ALLFRV_SI_SHM_REGRDWR</t>
  </si>
  <si>
    <t>PP_BRNA0_S_FULP_AN_RXPH_MEA_JTG_VMX_ALLFRV_SI_RXDAC_MONO</t>
  </si>
  <si>
    <t>ODDELB2P7_MULTIPLE</t>
  </si>
  <si>
    <t>PP_BRNA0_S_FULP_AN_RXPH_BST_JTG_ELB_ALLFRV_SI_ODD_ELB2P7</t>
  </si>
  <si>
    <t>EVENELB2P7_MULTIPLE</t>
  </si>
  <si>
    <t>PP_BRNA0_S_FULP_AN_RXPH_BST_JTG_ELB_ALLFRV_SI_EVEN_ELB2P7</t>
  </si>
  <si>
    <t>ODDELB5P4_MULTIPLE</t>
  </si>
  <si>
    <t>PP_BRNA0_S_FULP_AN_RXPH_BST_JTG_ELB_ALLFRV_SI_ODD_ELB5P4</t>
  </si>
  <si>
    <t>EVENELB5P4_MULTIPLE</t>
  </si>
  <si>
    <t>PP_BRNA0_S_FULP_AN_RXPH_BST_JTG_ELB_ALLFRV_SI_EVEN_ELB5P4</t>
  </si>
  <si>
    <t>ODDELB9P6_MULTIPLE</t>
  </si>
  <si>
    <t>PP_BRNA0_S_FULP_AN_RXPH_BST_JTG_ELB_ALLFRV_SI_ODD_ELB9P6</t>
  </si>
  <si>
    <t>EVENELB9P6_MULTIPLE</t>
  </si>
  <si>
    <t>PP_BRNA0_S_FULP_AN_RXPH_BST_JTG_ELB_ALLFRV_SI_EVEN_ELB9P6</t>
  </si>
  <si>
    <t>ODDELB14P0_MULTIPLE</t>
  </si>
  <si>
    <t>PP_BRNA0_S_FULP_AN_RXPH_BST_JTG_ELB_ALLFRV_SI_ODD_ELB14P0</t>
  </si>
  <si>
    <t>EVENELB14P0_MULTIPLE</t>
  </si>
  <si>
    <t>PP_BRNA0_S_FULP_AN_RXPH_BST_JTG_ELB_ALLFRV_SI_EVEN_ELB14P0</t>
  </si>
  <si>
    <t>ODDPWRELB2P7_MULTIPLE</t>
  </si>
  <si>
    <t>PP_BRNA0_S_FULP_AN_RXPH_BST_JTG_ELB_ALLFRV_SI_ODDPWR_ELB2P7</t>
  </si>
  <si>
    <t>EVENPWRELB2P7_MULTIPLE</t>
  </si>
  <si>
    <t>PP_BRNA0_S_FULP_AN_RXPH_BST_JTG_ELB_ALLFRV_SI_EVENPWR_ELB2P7</t>
  </si>
  <si>
    <t>ODDPWRELB5P4_MULTIPLE</t>
  </si>
  <si>
    <t>PP_BRNA0_S_FULP_AN_RXPH_BST_JTG_ELB_ALLFRV_SI_ODDPWR_ELB5P4</t>
  </si>
  <si>
    <t>EVENPWRELB5P4_MULTIPLE</t>
  </si>
  <si>
    <t>PP_BRNA0_S_FULP_AN_RXPH_BST_JTG_ELB_ALLFRV_SI_EVENPWR_ELB5P4</t>
  </si>
  <si>
    <t>ODDPWRELB9P6_MULTIPLE</t>
  </si>
  <si>
    <t>PP_BRNA0_S_FULP_AN_RXPH_BST_JTG_ELB_ALLFRV_SI_ODDPWR_ELB9P6</t>
  </si>
  <si>
    <t>EVENPWRELB9P6_MULTIPLE</t>
  </si>
  <si>
    <t>PP_BRNA0_S_FULP_AN_RXPH_BST_JTG_ELB_ALLFRV_SI_EVENPWR_ELB9P6</t>
  </si>
  <si>
    <t>ODDPWRELB14P0_MULTIPLE</t>
  </si>
  <si>
    <t>PP_BRNA0_S_FULP_AN_RXPH_BST_JTG_ELB_ALLFRV_SI_ODDPWR_ELB14P0</t>
  </si>
  <si>
    <t>EVENPWRELB14P0_MULTIPLE</t>
  </si>
  <si>
    <t>PP_BRNA0_S_FULP_AN_RXPH_BST_JTG_ELB_ALLFRV_SI_EVENPWR_ELB14P0</t>
  </si>
  <si>
    <t>PP_BRNA0_S_FULP_AN_RXRX_MEA_JTG_VMX_ALLFRV_SI_RX_RIMPMEAS</t>
  </si>
  <si>
    <t>RXODDFCNT9P6_MULTIPLE</t>
  </si>
  <si>
    <t>PP_BRNA0_S_FULP_AN_RXRX_MEA_JTG_VMX_ALLFRV_SI_RXODD_FCNT9P6</t>
  </si>
  <si>
    <t>RXEVENFCNT9P6_MULTIPLE</t>
  </si>
  <si>
    <t>PP_BRNA0_S_FULP_AN_RXRX_MEA_JTG_VMX_ALLFRV_SI_RXEVEN_FCNT9P6</t>
  </si>
  <si>
    <t>RXODDFCNT14P0_MULTIPLE</t>
  </si>
  <si>
    <t>PP_BRNA0_S_FULP_AN_RXRX_MEA_JTG_VMX_ALLFRV_SI_RXODD_FCNT14P0</t>
  </si>
  <si>
    <t>RXEVENFCNT14P0_MULTIPLE</t>
  </si>
  <si>
    <t>PP_BRNA0_S_FULP_AN_RXRX_MEA_JTG_VMX_ALLFRV_SI_RXEVEN_FCNT14P0</t>
  </si>
  <si>
    <t>RXEIEVEN_MULTIPLE</t>
  </si>
  <si>
    <t>PP_BRNA0_S_FULP_AN_RXRX_MEA_JTG_VMX_ALLFRV_SI_RXEI_EVEN</t>
  </si>
  <si>
    <t>RXEIODD_MULTIPLE</t>
  </si>
  <si>
    <t>PP_BRNA0_S_FULP_AN_RXRX_MEA_JTG_VMX_ALLFRV_SI_RXEI_ODD</t>
  </si>
  <si>
    <t>AUXAUXTERM_MULTIPLE</t>
  </si>
  <si>
    <t>PP_BRNA0_S_FULP_AN_RXAX_MEA_JTG_VMX_ALLFRV_SI_AUX_AUXTERM</t>
  </si>
  <si>
    <t>AUXRXSEN50LH_MULTIPLE</t>
  </si>
  <si>
    <t>PP_BRNA0_S_FULP_AN_RXAX_MEA_JTG_VMX_ALLFRV_SI_AUX_RXSEN</t>
  </si>
  <si>
    <t>AUXRXSEN100LH_MULTIPLE</t>
  </si>
  <si>
    <t>MNODDLONGELB2P7_MULTIPLE</t>
  </si>
  <si>
    <t>MN_BRNA0_S_FULP_AN_RXPH_BST_JTG_ELB_ALLFRV_SI_ODDLONG_ELB2P7</t>
  </si>
  <si>
    <t>MNEVENLONGELB2P7_MULTIPLE</t>
  </si>
  <si>
    <t>MN_BRNA0_S_FULP_AN_RXPH_BST_JTG_ELB_ALLFRV_SI_EVENLONG_ELB2P7</t>
  </si>
  <si>
    <t>MNODDLONGELB5P4_MULTIPLE</t>
  </si>
  <si>
    <t>MN_BRNA0_S_FULP_AN_RXPH_BST_JTG_ELB_ALLFRV_SI_ODDLONG_ELB5P4</t>
  </si>
  <si>
    <t>MNEVENLONGELB5P4_MULTIPLE</t>
  </si>
  <si>
    <t>MN_BRNA0_S_FULP_AN_RXPH_BST_JTG_ELB_ALLFRV_SI_EVENLONG_ELB5P4</t>
  </si>
  <si>
    <t>MNODDLONGELB9P6_MULTIPLE</t>
  </si>
  <si>
    <t>MN_BRNA0_S_FULP_AN_RXPH_BST_JTG_ELB_ALLFRV_SI_ODDLONG_ELB9P6</t>
  </si>
  <si>
    <t>MNEVENLONGELB9P6_MULTIPLE</t>
  </si>
  <si>
    <t>MN_BRNA0_S_FULP_AN_RXPH_BST_JTG_ELB_ALLFRV_SI_EVENLONG_ELB9P6</t>
  </si>
  <si>
    <t>MNODDLONGELB14P0_MULTIPLE</t>
  </si>
  <si>
    <t>MN_BRNA0_S_FULP_AN_RXPH_BST_JTG_ELB_ALLFRV_SI_ODDLONG_ELB14P0</t>
  </si>
  <si>
    <t>MNEVENLONGELB14P0_MULTIPLE</t>
  </si>
  <si>
    <t>MN_BRNA0_S_FULP_AN_RXPH_BST_JTG_ELB_ALLFRV_SI_EVENLONG_ELB14P0</t>
  </si>
  <si>
    <t>MN_BRNA0_S_FULP_AN_RXRX_MEA_JTG_FRQ_ALLFRV_SI_RX_DCOBISWP</t>
  </si>
  <si>
    <t>MNRXDCOBISWPE_MULTIPLE</t>
  </si>
  <si>
    <t>MN_BRNA0_S_FULP_AN_RXRX_MEA_JTG_FRQ_ALLFRV_SI_RX_DCOCRSWP</t>
  </si>
  <si>
    <t>MNRXDCOCRSWPE_MULTIPLE</t>
  </si>
  <si>
    <t>MN_BRNA0_S_FULP_AN_RXRX_MEA_JTG_FRQ_ALLFRV_SI_RX_DCOFNSWP</t>
  </si>
  <si>
    <t>MNRXDCOFNSWPE_MULTIPLE</t>
  </si>
  <si>
    <t>MNRXDACRNGEVEN_MULTIPLE</t>
  </si>
  <si>
    <t>MN_BRNA0_S_FULP_AN_RXRX_MEA_JTG_VMX_ALLFRV_SI_RXDAC_RNGEVEN</t>
  </si>
  <si>
    <t>MNRXDACRNGODD_MULTIPLE</t>
  </si>
  <si>
    <t>MN_BRNA0_S_FULP_AN_RXRX_MEA_JTG_VMX_ALLFRV_SI_RXDAC_RNGODD</t>
  </si>
  <si>
    <t>L5L6ELB2P7_MULTIPLE</t>
  </si>
  <si>
    <t>PP_BRNA0_S_FULP_AN_RXPH_BST_JTG_ELB_ALLFRV_SI_L5L6_ELB2P7</t>
  </si>
  <si>
    <t>L5L6ELB5P4_MULTIPLE</t>
  </si>
  <si>
    <t>PP_BRNA0_S_FULP_AN_RXPH_BST_JTG_ELB_ALLFRV_SI_L5L6_ELB5P4</t>
  </si>
  <si>
    <t>L5L6ELB9P6_MULTIPLE</t>
  </si>
  <si>
    <t>PP_BRNA0_S_FULP_AN_RXPH_BST_JTG_ELB_ALLFRV_SI_L5L6_ELB9P6</t>
  </si>
  <si>
    <t>L5L6ELB14P0_MULTIPLE</t>
  </si>
  <si>
    <t>PP_BRNA0_S_FULP_AN_RXPH_BST_JTG_ELB_ALLFRV_SI_L5L6_ELB14P0</t>
  </si>
  <si>
    <t>L5L6PWRELB2P7_MULTIPLE</t>
  </si>
  <si>
    <t>PP_BRNA0_S_FULP_AN_RXPH_BST_JTG_ELB_ALLFRV_SI_L5L6PWR_ELB2P7</t>
  </si>
  <si>
    <t>L5L6PWRELB5P4_MULTIPLE</t>
  </si>
  <si>
    <t>PP_BRNA0_S_FULP_AN_RXPH_BST_JTG_ELB_ALLFRV_SI_L5L6PWR_ELB5P4</t>
  </si>
  <si>
    <t>L5L6PWRELB9P6_MULTIPLE</t>
  </si>
  <si>
    <t>PP_BRNA0_S_FULP_AN_RXPH_BST_JTG_ELB_ALLFRV_SI_L5L6PWR_ELB9P6</t>
  </si>
  <si>
    <t>L5L6PWRELB14P0_MULTIPLE</t>
  </si>
  <si>
    <t>PP_BRNA0_S_FULP_AN_RXPH_BST_JTG_ELB_ALLFRV_SI_L5L6PWR_ELB14P0</t>
  </si>
  <si>
    <t>RXL5L6FCNT9P6_MULTIPLE</t>
  </si>
  <si>
    <t>PP_BRNA0_S_FULP_AN_RXRX_MEA_JTG_VMX_ALLFRV_SI_RXL5L6_FCNT9P6</t>
  </si>
  <si>
    <t>RXL5L6FCNT14P0_MULTIPLE</t>
  </si>
  <si>
    <t>PP_BRNA0_S_FULP_AN_RXRX_MEA_JTG_VMX_ALLFRV_SI_RXL5L6_FCNT14P0</t>
  </si>
  <si>
    <t>RXEIL5L6_MULTIPLE</t>
  </si>
  <si>
    <t>PP_BRNA0_S_FULP_AN_RXRX_MEA_JTG_VMX_ALLFRV_SI_RXEI_L5L6</t>
  </si>
  <si>
    <t>MNL5L6LONGELB2P7_MULTIPLE</t>
  </si>
  <si>
    <t>MN_BRNA0_S_FULP_AN_RXPH_BST_JTG_ELB_ALLFRV_SI_L5L6LONG_ELB2P7</t>
  </si>
  <si>
    <t>MNL5L6LONGELB5P4_MULTIPLE</t>
  </si>
  <si>
    <t>MN_BRNA0_S_FULP_AN_RXPH_BST_JTG_ELB_ALLFRV_SI_L5L6LONG_ELB5P4</t>
  </si>
  <si>
    <t>MNL5L6LONGELB9P6_MULTIPLE</t>
  </si>
  <si>
    <t>MN_BRNA0_S_FULP_AN_RXPH_BST_JTG_ELB_ALLFRV_SI_L5L6LONG_ELB9P6</t>
  </si>
  <si>
    <t>MNL5L6LONGELB14P0_MULTIPLE</t>
  </si>
  <si>
    <t>MN_BRNA0_S_FULP_AN_RXPH_BST_JTG_ELB_ALLFRV_SI_L5L6LONG_ELB14P0</t>
  </si>
  <si>
    <t>MNRXDACRNGL5L6_MULTIPLE</t>
  </si>
  <si>
    <t>MN_BRNA0_S_FULP_AN_RXRX_MEA_JTG_VMX_ALLFRV_SI_RXDAC_RNGL5L6</t>
  </si>
  <si>
    <t>AUXRXAUXTIMP_MULTIPLE</t>
  </si>
  <si>
    <t>PP_BRNA0_S_FULP_AN_TXAX_MEA_JTG_VMX_ALLFRV_SI_AUXRX_AUXTIMP</t>
  </si>
  <si>
    <t>LPDPTX_AUXRXAUXTIMP_FUSE_PREWRITE_CAL</t>
  </si>
  <si>
    <t>LPDPTX_AUXRXAUXTIMP_FUSE_READ_CAL</t>
  </si>
  <si>
    <t>AUXTXAUXTMODE_MULTIPLE</t>
  </si>
  <si>
    <t>PP_BRNA0_S_FULP_AN_TXAX_MEA_JTG_VMX_ALLFRV_SI_AUXTX_AUXTMODE</t>
  </si>
  <si>
    <t>PP_BRNA0_S_FULP_AN_TXTX_MEA_JTG_VMX_ALLFRV_SI_TX_TIMPMEAS</t>
  </si>
  <si>
    <t>PP_BRNA0_S_FULP_AN_TXTX_MEA_JTG_VMX_ALLFRV_SI_TXHIZ_LEAK</t>
  </si>
  <si>
    <t>TXSWING_MULTIPLE</t>
  </si>
  <si>
    <t>PP_BRNA0_S_FULP_AN_TXTX_MEA_JTG_VMX_ALLFRV_SI_TX_SWING</t>
  </si>
  <si>
    <t>TXPLB_MULTIPLE</t>
  </si>
  <si>
    <t>PP_BRNA0_S_FULP_AN_TXTX_MEA_JTG_FUN_ALLFRV_SI_TX_PLB</t>
  </si>
  <si>
    <t>TXFREQ_MULTIPLE</t>
  </si>
  <si>
    <t>PP_BRNA0_S_FULP_AN_TXTX_MEA_JTG_FRQ_ALLFRV_SI_TX_FREQ</t>
  </si>
  <si>
    <t>PP_BRNA0_S_FULP_AN_TXTX_MEA_JTG_VMX_ALLFRV_SI_TX_CMFC</t>
  </si>
  <si>
    <t>TXSHMCHECK_MULTIPLE</t>
  </si>
  <si>
    <t>PP_BRNA0_S_FULP_AN_TXTX_MEA_JTG_FUN_ALLFRV_SI_TX_SHMCHECK</t>
  </si>
  <si>
    <t>PP_BRNA0_S_FULP_AN_TXCM_MEA_JTG_VMX_ALLFRV_SI_CMN_CMNVOLT</t>
  </si>
  <si>
    <t>AUXRXAUXRMODEHI_MULTIPLE</t>
  </si>
  <si>
    <t>PP_BRNA0_S_FULP_AN_TXAX_MEA_JTG_VMX_ALLFRV_SI_AUXRX_AUXRMODE</t>
  </si>
  <si>
    <t>AUXRXAUXRMODELO_MULTIPLE</t>
  </si>
  <si>
    <t>MNTXCLKMON_MULTIPLE</t>
  </si>
  <si>
    <t>MN_BRNA0_S_FULP_AN_TXTX_MEA_JTG_VMX_ALLFRV_SI_TX_CLKMON</t>
  </si>
  <si>
    <t>PP_BRNA0_S_FULP_AN_P5CM_MEA_JTG_VMX_ALLFRV_SI_CMN_CMNVOLT</t>
  </si>
  <si>
    <t>PP_BRNA0_S_FULP_AN_P5TX_MEA_JTG_VMX_ALLFRV_SI_TX_TIMPMEAS</t>
  </si>
  <si>
    <t>PP_BRNA0_S_FULP_AN_P5TX_MEA_JTG_VMX_ALLFRV_SI_TX_HIZLEAK</t>
  </si>
  <si>
    <t>PP_BRNA0_S_FULP_AN_P5TX_MEA_JTG_VMX_ALLFRV_SI_TX_SWING</t>
  </si>
  <si>
    <t>PP_BRNA0_S_FULP_AN_P5TX_MEA_JTG_FRQ_ALLFRV_SI_TX_FREQ</t>
  </si>
  <si>
    <t>PP_BRNA0_S_FULP_AN_P5TX_MEA_JTG_VMX_ALLFRV_SI_TX_RXDET</t>
  </si>
  <si>
    <t>PP_BRNA0_S_FULP_AN_P5TX_MEA_JTG_VMX_ALLFRV_SI_TX_CMFC</t>
  </si>
  <si>
    <t>PP_BRNA0_S_FULP_AN_P5RX_MEA_JTG_VMX_ALLFRV_SI_RX_RIMPMEAS</t>
  </si>
  <si>
    <t>PP_BRNA0_S_FULP_AN_P5RX_MEA_JTG_VMX_ALLFRV_SI_RX_EIHILO</t>
  </si>
  <si>
    <t>ELBG1_MULTIPLE</t>
  </si>
  <si>
    <t>PP_BRNA0_S_FULP_AN_P5PH_BST_JTG_ELB_ALLFRV_SI_ELB_G1</t>
  </si>
  <si>
    <t>ELBG1ROM_MULTIPLE</t>
  </si>
  <si>
    <t>PP_BRNA0_S_FULP_AN_P5PH_BST_JTG_ELB_ALLFRV_SI_ELB_G1ROM</t>
  </si>
  <si>
    <t>ELBG2_MULTIPLE</t>
  </si>
  <si>
    <t>PP_BRNA0_S_FULP_AN_P5PH_BST_JTG_ELB_ALLFRV_SI_ELB_G2</t>
  </si>
  <si>
    <t>ELBG3_MULTIPLE</t>
  </si>
  <si>
    <t>PP_BRNA0_S_FULP_AN_P5PH_BST_JTG_ELB_ALLFRV_SI_ELB_G3</t>
  </si>
  <si>
    <t>ELBG4NOEQ_MULTIPLE</t>
  </si>
  <si>
    <t>PP_BRNA0_S_FULP_AN_P5PH_BST_JTG_ELB_ALLFRV_SI_ELB_G4NOEQ</t>
  </si>
  <si>
    <t>ELBG4_MULTIPLE</t>
  </si>
  <si>
    <t>PP_BRNA0_S_FULP_AN_P5PH_BST_JTG_ELB_ALLFRV_SI_ELB_G4</t>
  </si>
  <si>
    <t>ELBG5_MULTIPLE</t>
  </si>
  <si>
    <t>PP_BRNA0_S_FULP_AN_P5PH_BST_JTG_ELB_ALLFRV_SI_ELB_G5</t>
  </si>
  <si>
    <t>PWRG1_MULTIPLE</t>
  </si>
  <si>
    <t>PP_BRNA0_S_FULP_AN_P5PH_MEA_JTG_IMX_ALLFRV_SI_PWR_G1</t>
  </si>
  <si>
    <t>PWRG2_MULTIPLE</t>
  </si>
  <si>
    <t>PP_BRNA0_S_FULP_AN_P5PH_MEA_JTG_IMX_ALLFRV_SI_PWR_G2</t>
  </si>
  <si>
    <t>PWRG3_MULTIPLE</t>
  </si>
  <si>
    <t>PP_BRNA0_S_FULP_AN_P5PH_MEA_JTG_IMX_ALLFRV_SI_PWR_G3</t>
  </si>
  <si>
    <t>PWRG4_MULTIPLE</t>
  </si>
  <si>
    <t>PP_BRNA0_S_FULP_AN_P5PH_MEA_JTG_IMX_ALLFRV_SI_PWR_G4</t>
  </si>
  <si>
    <t>PWRG5_MULTIPLE</t>
  </si>
  <si>
    <t>PP_BRNA0_S_FULP_AN_P5PH_MEA_JTG_IMX_ALLFRV_SI_PWR_G5</t>
  </si>
  <si>
    <t>PP_BRNA0_S_FULP_AN_P5PH_MEA_JTG_FUN_ALLFRV_SI_SHM_REGRDWR</t>
  </si>
  <si>
    <t>PP_BRNA0_S_FULP_AN_P5PH_MEA_JTG_VMX_ALLFRV_SI_RXDAC_MONO</t>
  </si>
  <si>
    <t>MNRXDACRNG_MULTIPLE</t>
  </si>
  <si>
    <t>MN_BRNA0_S_FULP_AN_P5RX_MEA_JTG_VMX_ALLFRV_SI_RX_DACRNG</t>
  </si>
  <si>
    <t>MNRXISIMEAS_MULTIPLE</t>
  </si>
  <si>
    <t>MN_BRNA0_S_FULP_AN_P5RX_MEA_JTG_VMX_ALLFRV_SI_RX_ISIMEAS</t>
  </si>
  <si>
    <t>MNELBLONGG1_MULTIPLE</t>
  </si>
  <si>
    <t>MN_BRNA0_S_FULP_AN_P5PH_BST_JTG_ELB_ALLFRV_SI_ELBLONG_G1</t>
  </si>
  <si>
    <t>MNELBLONGG2_MULTIPLE</t>
  </si>
  <si>
    <t>MN_BRNA0_S_FULP_AN_P5PH_BST_JTG_ELB_ALLFRV_SI_ELBLONG_G2</t>
  </si>
  <si>
    <t>MNELBLONGG3_MULTIPLE</t>
  </si>
  <si>
    <t>MN_BRNA0_S_FULP_AN_P5PH_BST_JTG_ELB_ALLFRV_SI_ELBLONG_G3</t>
  </si>
  <si>
    <t>MNELBLONGG4_MULTIPLE</t>
  </si>
  <si>
    <t>MN_BRNA0_S_FULP_AN_P5PH_BST_JTG_ELB_ALLFRV_SI_ELBLONG_G4</t>
  </si>
  <si>
    <t>MNELBLONGG5_MULTIPLE</t>
  </si>
  <si>
    <t>MN_BRNA0_S_FULP_AN_P5PH_BST_JTG_ELB_ALLFRV_SI_ELBLONG_G5</t>
  </si>
  <si>
    <t>RX_DCOBISWP_MULTIPLE</t>
  </si>
  <si>
    <t>MN_BRNA0_S_FULP_AN_P5RX_MEA_JTG_FRQ_ALLFRV_SI_RX_DCOBISWP_1</t>
  </si>
  <si>
    <t>MN_BRNA0_S_FULP_AN_P5RX_MEA_JTG_FRQ_ALLFRV_SI_RX_DCOBISWP_2</t>
  </si>
  <si>
    <t>MN_BRNA0_S_FULP_AN_P5RX_MEA_JTG_FRQ_ALLFRV_SI_RX_DCOBISWP_3</t>
  </si>
  <si>
    <t>MN_BRNA0_S_FULP_AN_P5RX_MEA_JTG_FRQ_ALLFRV_SI_RX_DCOCRSWP</t>
  </si>
  <si>
    <t>MN_BRNA0_S_FULP_AN_P5RX_MEA_JTG_FRQ_ALLFRV_SI_RX_DCOFNSWP</t>
  </si>
  <si>
    <t>NTST1_MULTIPLE</t>
  </si>
  <si>
    <t>PP_BRNA0_S_FULP_AN_P5MT_PFF_JTG_COD_ALLFRV_SI_NTS_T1</t>
  </si>
  <si>
    <t>NTSX_PCIE5NTSX_NTST1_FUSE_PREWRITE_CAL</t>
  </si>
  <si>
    <t>NTSX_PCIE5NTSX_NTST1_FUSE_READ_CAL</t>
  </si>
  <si>
    <t>REFBUFAUXTRIMAUXTIMP</t>
  </si>
  <si>
    <t>PP_BRNA0_S_FULP_AN_AB00_MEA_JTG_VMX_ALLFRV_SI_CALIB_T1PN</t>
  </si>
  <si>
    <t>SWNGT7</t>
  </si>
  <si>
    <t>PP_BRNA0_S_FULP_AN_AB00_MEA_JTG_IMX_ALLFRV_SI_SWNG_T7</t>
  </si>
  <si>
    <t>IDDQT01</t>
  </si>
  <si>
    <t>PP_BRNA0_S_FULP_AN_EUSB_MEA_JTG_IMX_ALLFRV_SI_IDDQ_T01</t>
  </si>
  <si>
    <t>UTMIT03</t>
  </si>
  <si>
    <t>PP_BRNA0_S_FULP_AN_EUSB_MEA_JTG_FRQ_ALLFRV_SI_UTMI_T03</t>
  </si>
  <si>
    <t>FSLST04</t>
  </si>
  <si>
    <t>PP_BRNA0_S_FULP_AN_EUSB_BST_JTG_ILB_ALLFRV_SI_FSLS_T04</t>
  </si>
  <si>
    <t>HST06</t>
  </si>
  <si>
    <t>PP_BRNA0_S_FULP_AN_EUSB_BST_JTG_ILB_ALLFRV_SI_HS_T06</t>
  </si>
  <si>
    <t>HSTJT10TERM</t>
  </si>
  <si>
    <t>PP_BRNA0_S_FULP_AN_EUSB_MEA_JTG_VMX_ALLFRV_SI_HSTJ_T10</t>
  </si>
  <si>
    <t>HSTJT10UNTERM</t>
  </si>
  <si>
    <t>HSTKT11TERM</t>
  </si>
  <si>
    <t>PP_BRNA0_S_FULP_AN_EUSB_MEA_JTG_VMX_ALLFRV_SI_HSTK_T11</t>
  </si>
  <si>
    <t>HSTKT11UNTERM</t>
  </si>
  <si>
    <t>HSSE0T12</t>
  </si>
  <si>
    <t>PP_BRNA0_S_FULP_AN_EUSB_MEA_JTG_VMX_ALLFRV_SI_HSSE0_T12</t>
  </si>
  <si>
    <t>SIHSJKT13TTR</t>
  </si>
  <si>
    <t>PP_BRNA0_S_FULP_AN_EUSB_MEA_JTG_IMX_ALLFRV_SI_SIHSJK_T13TTR</t>
  </si>
  <si>
    <t>HSRTMT16</t>
  </si>
  <si>
    <t>PP_BRNA0_S_FULP_AN_EUSB_BST_JTG_ILB_ALLFRV_SI_HSRTM_T16</t>
  </si>
  <si>
    <t>DCSQJT17</t>
  </si>
  <si>
    <t>PP_BRNA0_S_FULP_AN_EUSB_BST_JTG_ILB_ALLFRV_SI_DCSQJ_T17</t>
  </si>
  <si>
    <t>DCSQKT18</t>
  </si>
  <si>
    <t>PP_BRNA0_S_FULP_AN_EUSB_BST_JTG_ILB_ALLFRV_SI_DCSQK_T18</t>
  </si>
  <si>
    <t>DCSQSE0T17SQ</t>
  </si>
  <si>
    <t>PP_BRNA0_S_FULP_AN_EUSB_BST_JTG_ILB_ALLFRV_SI_DCSQSE0_T17SQ</t>
  </si>
  <si>
    <t>FSLST19TTR</t>
  </si>
  <si>
    <t>PP_BRNA0_S_FULP_AN_EUSB_MEA_JTG_VMX_ALLFRV_SI_FSLS_T19TTR</t>
  </si>
  <si>
    <t>FSLSZT25TTR</t>
  </si>
  <si>
    <t>PP_BRNA0_S_FULP_AN_EUSB_MEA_JTG_IMX_ALLFRV_SI_FSLSZ_T25TTR</t>
  </si>
  <si>
    <t>FLSRSET29P1</t>
  </si>
  <si>
    <t>PP_BRNA0_S_FULP_AN_EUSB_BST_JTG_ILB_ALLFRV_SI_FLSRSE_T29P1</t>
  </si>
  <si>
    <t>FLSRSET29P2</t>
  </si>
  <si>
    <t>PP_BRNA0_S_FULP_AN_EUSB_BST_JTG_ILB_ALLFRV_SI_FLSRSE_T29P2</t>
  </si>
  <si>
    <t>FLSRSET29P3</t>
  </si>
  <si>
    <t>PP_BRNA0_S_FULP_AN_EUSB_BST_JTG_ILB_ALLFRV_SI_FLSRSE_T29P3</t>
  </si>
  <si>
    <t>FLSRSET29P4</t>
  </si>
  <si>
    <t>PP_BRNA0_S_FULP_AN_EUSB_BST_JTG_ILB_ALLFRV_SI_FLSRSE_T29P4</t>
  </si>
  <si>
    <t>RPDT30</t>
  </si>
  <si>
    <t>PP_BRNA0_S_FULP_AN_EUSB_MEA_JTG_IMX_ALLFRV_SI_RPD_T30</t>
  </si>
  <si>
    <t>PSSE0T40</t>
  </si>
  <si>
    <t>PP_BRNA0_S_FULP_AN_EUSB_BST_JTG_ILB_ALLFRV_SI_PSSE0_T40</t>
  </si>
  <si>
    <t>PSSE1T41</t>
  </si>
  <si>
    <t>PP_BRNA0_S_FULP_AN_EUSB_BST_JTG_ILB_ALLFRV_SI_PSSE1_T41</t>
  </si>
  <si>
    <t>PGPMLBAET42</t>
  </si>
  <si>
    <t>PP_BRNA0_S_FULP_AN_EUSB_BST_JTG_ILB_ALLFRV_SI_PGPMLBAE_T42</t>
  </si>
  <si>
    <t>PGPMLBAET43</t>
  </si>
  <si>
    <t>PP_BRNA0_S_FULP_AN_EUSB_BST_JTG_ILB_ALLFRV_SI_PGPMLBAE_T43</t>
  </si>
  <si>
    <t>PGPMLBNET44</t>
  </si>
  <si>
    <t>PP_BRNA0_S_FULP_AN_EUSB_BST_JTG_ILB_ALLFRV_SI_PGPMLBNE_T44</t>
  </si>
  <si>
    <t>HSMAXDENT50</t>
  </si>
  <si>
    <t>PP_BRNA0_S_FULP_AN_EUSB_MEA_JTG_FRQ_ALLFRV_SI_HSMAXDEN_T50</t>
  </si>
  <si>
    <t>FSMAXDENT51</t>
  </si>
  <si>
    <t>PP_BRNA0_S_FULP_AN_EUSB_MEA_JTG_FRQ_ALLFRV_SI_FSMAXDEN_T51</t>
  </si>
  <si>
    <t>MNCALT15</t>
  </si>
  <si>
    <t>MN_BRNA0_S_FULP_AN_EUSB_BST_JTG_ILB_ALLFRV_SI_CAL_T15</t>
  </si>
  <si>
    <t>MNATBT33</t>
  </si>
  <si>
    <t>MN_BRNA0_S_FULP_AN_EUSB_MEA_JTG_IMX_ALLFRV_SI_ATB_T33</t>
  </si>
  <si>
    <t>RREFVREGCAL</t>
  </si>
  <si>
    <t>PP_BRNA0_S_FULP_AN_DDIO_MEA_JTG_LP5_MDX00A_SI_RREF_VREGCAL</t>
  </si>
  <si>
    <t>INTSMD1CA</t>
  </si>
  <si>
    <t>PP_BRNA0_S_FULP_AN_DDIO_ILB_JTG_LP5_MDX001_SI_INTS_MD1CA</t>
  </si>
  <si>
    <t>INTSMD2CA</t>
  </si>
  <si>
    <t>PP_BRNA0_S_FULP_AN_DDIO_ILB_JTG_LP5_MDX002_SI_INTS_MD2CA</t>
  </si>
  <si>
    <t>INTSMD3CA</t>
  </si>
  <si>
    <t>PP_BRNA0_S_FULP_AN_DDIO_ILB_JTG_LP5_MDX003_SI_INTS_MD3CA</t>
  </si>
  <si>
    <t>INTSMD4CA</t>
  </si>
  <si>
    <t>PP_BRNA0_S_FULP_AN_DDIO_ILB_JTG_LP5_MDX004_SI_INTS_MD4CA</t>
  </si>
  <si>
    <t>INTSMD5CA</t>
  </si>
  <si>
    <t>PP_BRNA0_S_FULP_AN_DDIO_ILB_JTG_LP5_MDX005_SI_INTS_MD5CA</t>
  </si>
  <si>
    <t>INTSMD6CA</t>
  </si>
  <si>
    <t>PP_BRNA0_S_FULP_AN_DDIO_ILB_JTG_LP5_MDX006_SI_INTS_MD6CA</t>
  </si>
  <si>
    <t>INTSMD7CA</t>
  </si>
  <si>
    <t>PP_BRNA0_S_FULP_AN_DDIO_ILB_JTG_LP5_MDX007_SI_INTS_MD7CA</t>
  </si>
  <si>
    <t>INTSMD8CA</t>
  </si>
  <si>
    <t>PP_BRNA0_S_FULP_AN_DDIO_ILB_JTG_LP5_MDX008_SI_INTS_MD8CA</t>
  </si>
  <si>
    <t>INTSMD9CA</t>
  </si>
  <si>
    <t>PP_BRNA0_S_FULP_AN_DDIO_ILB_JTG_LP5_MDX009_SI_INTS_MD9CA</t>
  </si>
  <si>
    <t>INTSMDACA</t>
  </si>
  <si>
    <t>PP_BRNA0_S_FULP_AN_DDIO_ILB_JTG_LP5_MDX00A_SI_INTS_MDACA</t>
  </si>
  <si>
    <t>INTSMD1DQW</t>
  </si>
  <si>
    <t>PP_BRNA0_S_FULP_AN_DDIO_ILB_JTG_LP5_MDX001_SI_INTS_MD1DQW</t>
  </si>
  <si>
    <t>INTSMD2DQW</t>
  </si>
  <si>
    <t>PP_BRNA0_S_FULP_AN_DDIO_ILB_JTG_LP5_MDX002_SI_INTS_MD2DQW</t>
  </si>
  <si>
    <t>INTSMD3DQW</t>
  </si>
  <si>
    <t>PP_BRNA0_S_FULP_AN_DDIO_ILB_JTG_LP5_MDX003_SI_INTS_MD3DQW</t>
  </si>
  <si>
    <t>INTSMD4DQW</t>
  </si>
  <si>
    <t>PP_BRNA0_S_FULP_AN_DDIO_ILB_JTG_LP5_MDX004_SI_INTS_MD4DQW</t>
  </si>
  <si>
    <t>INTSMD5DQW</t>
  </si>
  <si>
    <t>PP_BRNA0_S_FULP_AN_DDIO_ILB_JTG_LP5_MDX005_SI_INTS_MD5DQW</t>
  </si>
  <si>
    <t>INTSMD6DQW</t>
  </si>
  <si>
    <t>PP_BRNA0_S_FULP_AN_DDIO_ILB_JTG_LP5_MDX006_SI_INTS_MD6DQW</t>
  </si>
  <si>
    <t>INTSMD7DQW</t>
  </si>
  <si>
    <t>PP_BRNA0_S_FULP_AN_DDIO_ILB_JTG_LP5_MDX007_SI_INTS_MD7DQW</t>
  </si>
  <si>
    <t>INTSMD8DQW</t>
  </si>
  <si>
    <t>PP_BRNA0_S_FULP_AN_DDIO_ILB_JTG_LP5_MDX008_SI_INTS_MD8DQW</t>
  </si>
  <si>
    <t>INTSMD9DQW</t>
  </si>
  <si>
    <t>PP_BRNA0_S_FULP_AN_DDIO_ILB_JTG_LP5_MDX009_SI_INTS_MD9DQW</t>
  </si>
  <si>
    <t>INTSMDADQW</t>
  </si>
  <si>
    <t>PP_BRNA0_S_FULP_AN_DDIO_ILB_JTG_LP5_MDX00A_SI_INTS_MDADQW</t>
  </si>
  <si>
    <t>INTSMD1DQR</t>
  </si>
  <si>
    <t>PP_BRNA0_S_FULP_AN_DDIO_ILB_JTG_LP5_MDX001_SI_INTS_MD1DQR</t>
  </si>
  <si>
    <t>INTSMD2DQR</t>
  </si>
  <si>
    <t>PP_BRNA0_S_FULP_AN_DDIO_ILB_JTG_LP5_MDX002_SI_INTS_MD2DQR</t>
  </si>
  <si>
    <t>INTSMD3DQR</t>
  </si>
  <si>
    <t>PP_BRNA0_S_FULP_AN_DDIO_ILB_JTG_LP5_MDX003_SI_INTS_MD3DQR</t>
  </si>
  <si>
    <t>INTSMD4DQR</t>
  </si>
  <si>
    <t>PP_BRNA0_S_FULP_AN_DDIO_ILB_JTG_LP5_MDX004_SI_INTS_MD4DQR</t>
  </si>
  <si>
    <t>INTSMD5DQR</t>
  </si>
  <si>
    <t>PP_BRNA0_S_FULP_AN_DDIO_ILB_JTG_LP5_MDX005_SI_INTS_MD5DQR</t>
  </si>
  <si>
    <t>INTSMD6DQR</t>
  </si>
  <si>
    <t>PP_BRNA0_S_FULP_AN_DDIO_ILB_JTG_LP5_MDX006_SI_INTS_MD6DQR</t>
  </si>
  <si>
    <t>INTSMD7DQR</t>
  </si>
  <si>
    <t>PP_BRNA0_S_FULP_AN_DDIO_ILB_JTG_LP5_MDX007_SI_INTS_MD7DQR</t>
  </si>
  <si>
    <t>INTSMD8DQR</t>
  </si>
  <si>
    <t>PP_BRNA0_S_FULP_AN_DDIO_ILB_JTG_LP5_MDX008_SI_INTS_MD8DQR</t>
  </si>
  <si>
    <t>INTSMD9DQR</t>
  </si>
  <si>
    <t>PP_BRNA0_S_FULP_AN_DDIO_ILB_JTG_LP5_MDX009_SI_INTS_MD9DQR</t>
  </si>
  <si>
    <t>INTSMDADQR</t>
  </si>
  <si>
    <t>PP_BRNA0_S_FULP_AN_DDIO_ILB_JTG_LP5_MDX00A_SI_INTS_MDADQR</t>
  </si>
  <si>
    <t>INTECCMDADQW</t>
  </si>
  <si>
    <t>PP_BRNA0_S_FULP_AN_DDIO_ILB_JTG_LP5_MDX00A_SI_INTECC_MDADQW</t>
  </si>
  <si>
    <t>EXTSMD1CA</t>
  </si>
  <si>
    <t>PP_BRNA0_S_FULP_AN_DDIO_ELB_JTG_LP5_MDX001_SI_EXTS_MD1CA</t>
  </si>
  <si>
    <t>EXTSMD2CA</t>
  </si>
  <si>
    <t>PP_BRNA0_S_FULP_AN_DDIO_ELB_JTG_LP5_MDX002_SI_EXTS_MD2CA</t>
  </si>
  <si>
    <t>EXTSMD3CA</t>
  </si>
  <si>
    <t>PP_BRNA0_S_FULP_AN_DDIO_ELB_JTG_LP5_MDX003_SI_EXTS_MD3CA</t>
  </si>
  <si>
    <t>EXTSMD1DQWCM</t>
  </si>
  <si>
    <t>PP_BRNA0_S_FULP_AN_DDIO_ELB_JTG_LP5_MDX001_SI_EXTS_MD1DQWCM</t>
  </si>
  <si>
    <t>EXTSMD2DQWCM</t>
  </si>
  <si>
    <t>PP_BRNA0_S_FULP_AN_DDIO_ELB_JTG_LP5_MDX002_SI_EXTS_MD2DQWCM</t>
  </si>
  <si>
    <t>EXTSMD3DQW</t>
  </si>
  <si>
    <t>PP_BRNA0_S_FULP_AN_DDIO_ELB_JTG_LP5_MDX003_SI_EXTS_MD3DQW</t>
  </si>
  <si>
    <t>EXTSCMLPMD1DQR</t>
  </si>
  <si>
    <t>PP_BRNA0_S_FULP_AN_DDIO_ELB_JTG_LP5_MDX001_SI_EXTSCMLP_MD1DQR</t>
  </si>
  <si>
    <t>EXTSCMLPMD2DQR</t>
  </si>
  <si>
    <t>PP_BRNA0_S_FULP_AN_DDIO_ELB_JTG_LP5_MDX002_SI_EXTSCMLP_MD2DQR</t>
  </si>
  <si>
    <t>EXTSCMHPMD3DQR</t>
  </si>
  <si>
    <t>PP_BRNA0_S_FULP_AN_DDIO_ELB_JTG_LP5_MDX003_SI_EXTSCMHP_MD3DQR</t>
  </si>
  <si>
    <t>EXTSMD3DQR</t>
  </si>
  <si>
    <t>PP_BRNA0_S_FULP_AN_DDIO_ELB_JTG_LP5_MDX003_SI_EXTS_MD3DQR</t>
  </si>
  <si>
    <t>EXTSDRAMMD4DQW</t>
  </si>
  <si>
    <t>PP_BRNA0_S_FULP_AN_DDIO_ELB_JTG_LP5_MDX004_SI_EXTSDRAM_MD4DQW</t>
  </si>
  <si>
    <t>EXTSDRAMMD8DQW</t>
  </si>
  <si>
    <t>PP_BRNA0_S_FULP_AN_DDIO_ELB_JTG_LP5_MDX008_SI_EXTSDRAM_MD8DQW</t>
  </si>
  <si>
    <t>EXTSDRAMMDADQW</t>
  </si>
  <si>
    <t>PP_BRNA0_S_FULP_AN_DDIO_ELB_JTG_LP5_MDX00A_SI_EXTSDRAM_MDADQW</t>
  </si>
  <si>
    <t>EXTSDRAMMD4DQR</t>
  </si>
  <si>
    <t>PP_BRNA0_S_FULP_AN_DDIO_ELB_JTG_LP5_MDX004_SI_EXTSDRAM_MD4DQR</t>
  </si>
  <si>
    <t>EXTSDRAMMD8DQR</t>
  </si>
  <si>
    <t>PP_BRNA0_S_FULP_AN_DDIO_ELB_JTG_LP5_MDX008_SI_EXTSDRAM_MD8DQR</t>
  </si>
  <si>
    <t>EXTSDRAMMDADQR</t>
  </si>
  <si>
    <t>PP_BRNA0_S_FULP_AN_DDIO_ELB_JTG_LP5_MDX00A_SI_EXTSDRAM_MDADQR</t>
  </si>
  <si>
    <t>EXTSRXSWMD1DQW</t>
  </si>
  <si>
    <t>PP_BRNA0_S_FULP_AN_DDIO_ELB_JTG_LP5_MDX001_SI_EXTSRXSW_MD1DQW</t>
  </si>
  <si>
    <t>EXTSRXSWMD2DQW</t>
  </si>
  <si>
    <t>PP_BRNA0_S_FULP_AN_DDIO_ELB_JTG_LP5_MDX002_SI_EXTSRXSW_MD2DQW</t>
  </si>
  <si>
    <t>EXTSRXSWMD3DQW</t>
  </si>
  <si>
    <t>PP_BRNA0_S_FULP_AN_DDIO_ELB_JTG_LP5_MDX003_SI_EXTSRXSW_MD3DQW</t>
  </si>
  <si>
    <t>EXTSRXSWMD4DQW</t>
  </si>
  <si>
    <t>PP_BRNA0_S_FULP_AN_DDIO_ELB_JTG_LP5_MDX004_SI_EXTSRXSW_MD4DQW</t>
  </si>
  <si>
    <t>EXTSRXSWMD5DQW</t>
  </si>
  <si>
    <t>PP_BRNA0_S_FULP_AN_DDIO_ELB_JTG_LP5_MDX005_SI_EXTSRXSW_MD5DQW</t>
  </si>
  <si>
    <t>EXTSRXSWMD6DQW</t>
  </si>
  <si>
    <t>PP_BRNA0_S_FULP_AN_DDIO_ELB_JTG_LP5_MDX006_SI_EXTSRXSW_MD6DQW</t>
  </si>
  <si>
    <t>EXTSRXSWMD7DQW</t>
  </si>
  <si>
    <t>PP_BRNA0_S_FULP_AN_DDIO_ELB_JTG_LP5_MDX007_SI_EXTSRXSW_MD7DQW</t>
  </si>
  <si>
    <t>EXTSRXSWMD8DQW</t>
  </si>
  <si>
    <t>PP_BRNA0_S_FULP_AN_DDIO_ELB_JTG_LP5_MDX008_SI_EXTSRXSW_MD8DQW</t>
  </si>
  <si>
    <t>EXTSRXSWMD9DQW</t>
  </si>
  <si>
    <t>PP_BRNA0_S_FULP_AN_DDIO_ELB_JTG_LP5_MDX009_SI_EXTSRXSW_MD9DQW</t>
  </si>
  <si>
    <t>EXTSRXSWMDADQW</t>
  </si>
  <si>
    <t>PP_BRNA0_S_FULP_AN_DDIO_ELB_JTG_LP5_MDX00A_SI_EXTSRXSW_MDADQW</t>
  </si>
  <si>
    <t>EXTSRXSWMD1DQR</t>
  </si>
  <si>
    <t>PP_BRNA0_S_FULP_AN_DDIO_ELB_JTG_LP5_MDX001_SI_EXTSRXSW_MD1DQR</t>
  </si>
  <si>
    <t>EXTSRXSWMD2DQR</t>
  </si>
  <si>
    <t>PP_BRNA0_S_FULP_AN_DDIO_ELB_JTG_LP5_MDX002_SI_EXTSRXSW_MD2DQR</t>
  </si>
  <si>
    <t>EXTSRXSWMD3DQR</t>
  </si>
  <si>
    <t>PP_BRNA0_S_FULP_AN_DDIO_ELB_JTG_LP5_MDX003_SI_EXTSRXSW_MD3DQR</t>
  </si>
  <si>
    <t>EXTSRXSWMD4DQR</t>
  </si>
  <si>
    <t>PP_BRNA0_S_FULP_AN_DDIO_ELB_JTG_LP5_MDX004_SI_EXTSRXSW_MD4DQR</t>
  </si>
  <si>
    <t>EXTSRXSWMD5DQR</t>
  </si>
  <si>
    <t>PP_BRNA0_S_FULP_AN_DDIO_ELB_JTG_LP5_MDX005_SI_EXTSRXSW_MD5DQR</t>
  </si>
  <si>
    <t>EXTSRXSWMD6DQR</t>
  </si>
  <si>
    <t>PP_BRNA0_S_FULP_AN_DDIO_ELB_JTG_LP5_MDX006_SI_EXTSRXSW_MD6DQR</t>
  </si>
  <si>
    <t>EXTSRXSWMD7DQR</t>
  </si>
  <si>
    <t>PP_BRNA0_S_FULP_AN_DDIO_ELB_JTG_LP5_MDX007_SI_EXTSRXSW_MD7DQR</t>
  </si>
  <si>
    <t>EXTSRXSWMD8DQR</t>
  </si>
  <si>
    <t>PP_BRNA0_S_FULP_AN_DDIO_ELB_JTG_LP5_MDX008_SI_EXTSRXSW_MD8DQR</t>
  </si>
  <si>
    <t>EXTSRXSWMD9DQR</t>
  </si>
  <si>
    <t>PP_BRNA0_S_FULP_AN_DDIO_ELB_JTG_LP5_MDX009_SI_EXTSRXSW_MD9DQR</t>
  </si>
  <si>
    <t>EXTSRXSWMDADQR</t>
  </si>
  <si>
    <t>PP_BRNA0_S_FULP_AN_DDIO_ELB_JTG_LP5_MDX00A_SI_EXTSRXSW_MDADQR</t>
  </si>
  <si>
    <t>ZCALMD1ZCAL</t>
  </si>
  <si>
    <t>PP_BRNA0_S_FULP_AN_DDIO_CAL_JTG_LP5_MDX001_SI_ZCAL_MD1ZCAL</t>
  </si>
  <si>
    <t>ZCALMD2ZCAL</t>
  </si>
  <si>
    <t>PP_BRNA0_S_FULP_AN_DDIO_CAL_JTG_LP5_MDX002_SI_ZCAL_MD2ZCAL</t>
  </si>
  <si>
    <t>ZCALMD3ZCAL</t>
  </si>
  <si>
    <t>PP_BRNA0_S_FULP_AN_DDIO_CAL_JTG_LP5_MDX003_SI_ZCAL_MD3ZCAL</t>
  </si>
  <si>
    <t>ZCALMD4ZCAL</t>
  </si>
  <si>
    <t>PP_BRNA0_S_FULP_AN_DDIO_CAL_JTG_LP5_MDX004_SI_ZCAL_MD4ZCAL</t>
  </si>
  <si>
    <t>ZCALMD5ZCAL</t>
  </si>
  <si>
    <t>PP_BRNA0_S_FULP_AN_DDIO_CAL_JTG_LP5_MDX005_SI_ZCAL_MD5ZCAL</t>
  </si>
  <si>
    <t>ZCALMD6ZCAL</t>
  </si>
  <si>
    <t>PP_BRNA0_S_FULP_AN_DDIO_CAL_JTG_LP5_MDX006_SI_ZCAL_MD6ZCAL</t>
  </si>
  <si>
    <t>ZCALMD7ZCAL</t>
  </si>
  <si>
    <t>PP_BRNA0_S_FULP_AN_DDIO_CAL_JTG_LP5_MDX007_SI_ZCAL_MD7ZCAL</t>
  </si>
  <si>
    <t>ZCALMD8ZCAL</t>
  </si>
  <si>
    <t>PP_BRNA0_S_FULP_AN_DDIO_CAL_JTG_LP5_MDX008_SI_ZCAL_MD8ZCAL</t>
  </si>
  <si>
    <t>ZCALMD9ZCAL</t>
  </si>
  <si>
    <t>PP_BRNA0_S_FULP_AN_DDIO_CAL_JTG_LP5_MDX009_SI_ZCAL_MD9ZCAL</t>
  </si>
  <si>
    <t>ZCALMDAZCAL</t>
  </si>
  <si>
    <t>PP_BRNA0_S_FULP_AN_DDIO_CAL_JTG_LP5_MDX00A_SI_ZCAL_MDAZCAL</t>
  </si>
  <si>
    <t>BCODESMD1MDLL</t>
  </si>
  <si>
    <t>PP_BRNA0_S_FULP_AN_DDIO_DLL_JTG_LP5_MDX001_SI_BCODES_MD1MDLL</t>
  </si>
  <si>
    <t>BCODESMD2MDLL</t>
  </si>
  <si>
    <t>PP_BRNA0_S_FULP_AN_DDIO_DLL_JTG_LP5_MDX002_SI_BCODES_MD2MDLL</t>
  </si>
  <si>
    <t>BCODESMD3MDLL</t>
  </si>
  <si>
    <t>PP_BRNA0_S_FULP_AN_DDIO_DLL_JTG_LP5_MDX003_SI_BCODES_MD3MDLL</t>
  </si>
  <si>
    <t>BCODESMD4MDLL</t>
  </si>
  <si>
    <t>PP_BRNA0_S_FULP_AN_DDIO_DLL_JTG_LP5_MDX004_SI_BCODES_MD4MDLL</t>
  </si>
  <si>
    <t>BCODESMD5MDLL</t>
  </si>
  <si>
    <t>PP_BRNA0_S_FULP_AN_DDIO_DLL_JTG_LP5_MDX005_SI_BCODES_MD5MDLL</t>
  </si>
  <si>
    <t>BCODESMD6MDLL</t>
  </si>
  <si>
    <t>PP_BRNA0_S_FULP_AN_DDIO_DLL_JTG_LP5_MDX006_SI_BCODES_MD6MDLL</t>
  </si>
  <si>
    <t>BCODESMD7MDLL</t>
  </si>
  <si>
    <t>PP_BRNA0_S_FULP_AN_DDIO_DLL_JTG_LP5_MDX007_SI_BCODES_MD7MDLL</t>
  </si>
  <si>
    <t>BCODESMD8MDLL</t>
  </si>
  <si>
    <t>PP_BRNA0_S_FULP_AN_DDIO_DLL_JTG_LP5_MDX008_SI_BCODES_MD8MDLL</t>
  </si>
  <si>
    <t>BCODESMD9MDLL</t>
  </si>
  <si>
    <t>PP_BRNA0_S_FULP_AN_DDIO_DLL_JTG_LP5_MDX009_SI_BCODES_MD9MDLL</t>
  </si>
  <si>
    <t>BCODESMDAMDLL</t>
  </si>
  <si>
    <t>PP_BRNA0_S_FULP_AN_DDIO_DLL_JTG_LP5_MDX00A_SI_BCODES_MDAMDLL</t>
  </si>
  <si>
    <t>RXOFSTMDARXOF</t>
  </si>
  <si>
    <t>PP_BRNA0_S_FULP_AN_DDIO_OFS_JTG_LP5_MDX00A_SI_RXOFST_MDARXOF</t>
  </si>
  <si>
    <t>RDGATEMD2RDGT</t>
  </si>
  <si>
    <t>PP_BRNA0_S_FULP_AN_DDIO_RDG_JTG_LP5_MDX002_SI_RDGATE_MD2RDGT</t>
  </si>
  <si>
    <t>RDGATEMD3RDGT</t>
  </si>
  <si>
    <t>PP_BRNA0_S_FULP_AN_DDIO_RDG_JTG_LP5_MDX003_SI_RDGATE_MD3RDGT</t>
  </si>
  <si>
    <t>HIGHZMDAHIZ</t>
  </si>
  <si>
    <t>PP_BRNA0_S_FULP_AN_DDIO_HIZ_JTG_LP5_MDX00A_SI_HIGHZ_MDAHIZ</t>
  </si>
  <si>
    <t>RESETMD0RST</t>
  </si>
  <si>
    <t>PP_BRNA0_S_FULP_AN_DDIO_RST_JTG_LP5_MDX000_SI_RESET_MD0RST</t>
  </si>
  <si>
    <t>RESETMDARST</t>
  </si>
  <si>
    <t>PP_BRNA0_S_FULP_AN_DDIO_RST_JTG_LP5_MDX00A_SI_RESET_MDARST</t>
  </si>
  <si>
    <t>NPJSMDALDO</t>
  </si>
  <si>
    <t>MN_BRNA0_S_FULP_AN_DDIO_NPJ_JTG_LP5_MDX00A_SI_NPJS_MDALDO</t>
  </si>
  <si>
    <t>NPJSMDAST</t>
  </si>
  <si>
    <t>MN_BRNA0_S_FULP_AN_DDIO_NPJ_JTG_LP5_MDX00A_SI_NPJS_MDAST</t>
  </si>
  <si>
    <t>NPJSMDAJTR</t>
  </si>
  <si>
    <t>MN_BRNA0_S_FULP_AN_DDIO_NPJ_JTG_LP5_MDX00A_SI_NPJS_MDAJTR</t>
  </si>
  <si>
    <t>NTSXT1</t>
  </si>
  <si>
    <t>PP_BRNA0_S_FULP_AN_DDIO_PFF_JTG_LP5_ALLFRV_SI_NTSX_T1</t>
  </si>
  <si>
    <t>CRACKMD0CRCK</t>
  </si>
  <si>
    <t>PP_BRNA0_S_FULP_AN_DDIO_PFF_JTG_LP5_MDX000_SI_CRACK_MD0CRCK</t>
  </si>
  <si>
    <t>MNUCSDMCAL</t>
  </si>
  <si>
    <t>MN_BRNA0_S_FULP_AN_DDIO_MEA_JTG_LP5_MDX00A_SI_UCSDM_CAL</t>
  </si>
  <si>
    <t>MNUCSDMMEAS</t>
  </si>
  <si>
    <t>MN_BRNA0_S_FULP_AN_DDIO_MEA_JTG_LP5_MDX00A_SI_UCSDM_MEAS</t>
  </si>
  <si>
    <t>MNINTSFRMDACA</t>
  </si>
  <si>
    <t>MN_BRNA0_S_FULP_AN_DDIO_ILB_JTG_LP5_MDX00A_SI_INTSFR_MDACA</t>
  </si>
  <si>
    <t>MNINTSFRMDADQW</t>
  </si>
  <si>
    <t>MN_BRNA0_S_FULP_AN_DDIO_ILB_JTG_LP5_MDX00A_SI_INTSFR_MDADQW</t>
  </si>
  <si>
    <t>MNINTECCMD1DQW</t>
  </si>
  <si>
    <t>MN_BRNA0_S_FULP_AN_DDIO_ILB_JTG_LP5_MDX001_SI_INTECC_MD1DQW</t>
  </si>
  <si>
    <t>MNINTECCMD2DQW</t>
  </si>
  <si>
    <t>MN_BRNA0_S_FULP_AN_DDIO_ILB_JTG_LP5_MDX002_SI_INTECC_MD2DQW</t>
  </si>
  <si>
    <t>MNINTECCMD3DQW</t>
  </si>
  <si>
    <t>MN_BRNA0_S_FULP_AN_DDIO_ILB_JTG_LP5_MDX003_SI_INTECC_MD3DQW</t>
  </si>
  <si>
    <t>MNINTECCMD4DQW</t>
  </si>
  <si>
    <t>MN_BRNA0_S_FULP_AN_DDIO_ILB_JTG_LP5_MDX004_SI_INTECC_MD4DQW</t>
  </si>
  <si>
    <t>MNINTECCMD5DQW</t>
  </si>
  <si>
    <t>MN_BRNA0_S_FULP_AN_DDIO_ILB_JTG_LP5_MDX005_SI_INTECC_MD5DQW</t>
  </si>
  <si>
    <t>MNINTECCMD6DQW</t>
  </si>
  <si>
    <t>MN_BRNA0_S_FULP_AN_DDIO_ILB_JTG_LP5_MDX006_SI_INTECC_MD6DQW</t>
  </si>
  <si>
    <t>MNINTECCMD7DQW</t>
  </si>
  <si>
    <t>MN_BRNA0_S_FULP_AN_DDIO_ILB_JTG_LP5_MDX007_SI_INTECC_MD7DQW</t>
  </si>
  <si>
    <t>MNINTECCMD8DQW</t>
  </si>
  <si>
    <t>MN_BRNA0_S_FULP_AN_DDIO_ILB_JTG_LP5_MDX008_SI_INTECC_MD8DQW</t>
  </si>
  <si>
    <t>MNINTECCMD9DQW</t>
  </si>
  <si>
    <t>MN_BRNA0_S_FULP_AN_DDIO_ILB_JTG_LP5_MDX009_SI_INTECC_MD9DQW</t>
  </si>
  <si>
    <t>MNEXTSMD4DQW</t>
  </si>
  <si>
    <t>MN_BRNA0_S_FULP_AN_DDIO_ELB_JTG_LP5_MDX004_SI_EXTS_MD4DQW</t>
  </si>
  <si>
    <t>MNEXTSMD5DQW</t>
  </si>
  <si>
    <t>MN_BRNA0_S_FULP_AN_DDIO_ELB_JTG_LP5_MDX005_SI_EXTS_MD5DQW</t>
  </si>
  <si>
    <t>MNEXTSMD6DQW</t>
  </si>
  <si>
    <t>MN_BRNA0_S_FULP_AN_DDIO_ELB_JTG_LP5_MDX006_SI_EXTS_MD6DQW</t>
  </si>
  <si>
    <t>MNEXTSMD7DQW</t>
  </si>
  <si>
    <t>MN_BRNA0_S_FULP_AN_DDIO_ELB_JTG_LP5_MDX007_SI_EXTS_MD7DQW</t>
  </si>
  <si>
    <t>MNEXTSMD8DQW</t>
  </si>
  <si>
    <t>MN_BRNA0_S_FULP_AN_DDIO_ELB_JTG_LP5_MDX008_SI_EXTS_MD8DQW</t>
  </si>
  <si>
    <t>MNEXTSMD9DQW</t>
  </si>
  <si>
    <t>MN_BRNA0_S_FULP_AN_DDIO_ELB_JTG_LP5_MDX009_SI_EXTS_MD9DQW</t>
  </si>
  <si>
    <t>MNEXTSMDADQW</t>
  </si>
  <si>
    <t>MN_BRNA0_S_FULP_AN_DDIO_ELB_JTG_LP5_MDX00A_SI_EXTS_MDADQW</t>
  </si>
  <si>
    <t>MNEXTSMD4DQR</t>
  </si>
  <si>
    <t>MN_BRNA0_S_FULP_AN_DDIO_ELB_JTG_LP5_MDX004_SI_EXTS_MD4DQR</t>
  </si>
  <si>
    <t>MNEXTSMD5DQR</t>
  </si>
  <si>
    <t>MN_BRNA0_S_FULP_AN_DDIO_ELB_JTG_LP5_MDX005_SI_EXTS_MD5DQR</t>
  </si>
  <si>
    <t>MNEXTSMD6DQR</t>
  </si>
  <si>
    <t>MN_BRNA0_S_FULP_AN_DDIO_ELB_JTG_LP5_MDX006_SI_EXTS_MD6DQR</t>
  </si>
  <si>
    <t>MNEXTSMD7DQR</t>
  </si>
  <si>
    <t>MN_BRNA0_S_FULP_AN_DDIO_ELB_JTG_LP5_MDX007_SI_EXTS_MD7DQR</t>
  </si>
  <si>
    <t>MNEXTSMD8DQR</t>
  </si>
  <si>
    <t>MN_BRNA0_S_FULP_AN_DDIO_ELB_JTG_LP5_MDX008_SI_EXTS_MD8DQR</t>
  </si>
  <si>
    <t>MNEXTSMD9DQR</t>
  </si>
  <si>
    <t>MN_BRNA0_S_FULP_AN_DDIO_ELB_JTG_LP5_MDX009_SI_EXTS_MD9DQR</t>
  </si>
  <si>
    <t>MNEXTSMDADQR</t>
  </si>
  <si>
    <t>MN_BRNA0_S_FULP_AN_DDIO_ELB_JTG_LP5_MDX00A_SI_EXTS_MDADQR</t>
  </si>
  <si>
    <t>MNEXTSLATMD1DQW</t>
  </si>
  <si>
    <t>MN_BRNA0_S_FULP_AN_DDIO_ELB_JTG_LP5_MDX001_SI_EXTSLAT_MD1DQW</t>
  </si>
  <si>
    <t>MNEXTSLATMD2DQW</t>
  </si>
  <si>
    <t>MN_BRNA0_S_FULP_AN_DDIO_ELB_JTG_LP5_MDX002_SI_EXTSLAT_MD2DQW</t>
  </si>
  <si>
    <t>MNEXTSLATMD3DQW</t>
  </si>
  <si>
    <t>MN_BRNA0_S_FULP_AN_DDIO_ELB_JTG_LP5_MDX003_SI_EXTSLAT_MD3DQW</t>
  </si>
  <si>
    <t>MNEXTSLATMD4DQW</t>
  </si>
  <si>
    <t>MN_BRNA0_S_FULP_AN_DDIO_ELB_JTG_LP5_MDX004_SI_EXTSLAT_MD4DQW</t>
  </si>
  <si>
    <t>MNEXTSLATMD5DQW</t>
  </si>
  <si>
    <t>MN_BRNA0_S_FULP_AN_DDIO_ELB_JTG_LP5_MDX005_SI_EXTSLAT_MD5DQW</t>
  </si>
  <si>
    <t>MNEXTSLATMD6DQW</t>
  </si>
  <si>
    <t>MN_BRNA0_S_FULP_AN_DDIO_ELB_JTG_LP5_MDX006_SI_EXTSLAT_MD6DQW</t>
  </si>
  <si>
    <t>MNEXTSLATMD7DQW</t>
  </si>
  <si>
    <t>MN_BRNA0_S_FULP_AN_DDIO_ELB_JTG_LP5_MDX007_SI_EXTSLAT_MD7DQW</t>
  </si>
  <si>
    <t>MNEXTSLATMD8DQW</t>
  </si>
  <si>
    <t>MN_BRNA0_S_FULP_AN_DDIO_ELB_JTG_LP5_MDX008_SI_EXTSLAT_MD8DQW</t>
  </si>
  <si>
    <t>MNEXTSLATMD9DQW</t>
  </si>
  <si>
    <t>MN_BRNA0_S_FULP_AN_DDIO_ELB_JTG_LP5_MDX009_SI_EXTSLAT_MD9DQW</t>
  </si>
  <si>
    <t>MNEXTSLATMDADQW</t>
  </si>
  <si>
    <t>MN_BRNA0_S_FULP_AN_DDIO_ELB_JTG_LP5_MDX00A_SI_EXTSLAT_MDADQW</t>
  </si>
  <si>
    <t>MNRXOFSTMD3RXOF</t>
  </si>
  <si>
    <t>MN_BRNA0_S_FULP_AN_DDIO_OFS_JTG_LP5_MDX003_SI_RXOFST_MD3RXOF</t>
  </si>
  <si>
    <t>MNRXOFSTMD4RXOF</t>
  </si>
  <si>
    <t>MN_BRNA0_S_FULP_AN_DDIO_OFS_JTG_LP5_MDX004_SI_RXOFST_MD4RXOF</t>
  </si>
  <si>
    <t>MNRXOFSTMD5RXOF</t>
  </si>
  <si>
    <t>MN_BRNA0_S_FULP_AN_DDIO_OFS_JTG_LP5_MDX005_SI_RXOFST_MD5RXOF</t>
  </si>
  <si>
    <t>MNRXOFSTMD6RXOF</t>
  </si>
  <si>
    <t>MN_BRNA0_S_FULP_AN_DDIO_OFS_JTG_LP5_MDX006_SI_RXOFST_MD6RXOF</t>
  </si>
  <si>
    <t>MNRXOFSTMD7RXOF</t>
  </si>
  <si>
    <t>MN_BRNA0_S_FULP_AN_DDIO_OFS_JTG_LP5_MDX007_SI_RXOFST_MD7RXOF</t>
  </si>
  <si>
    <t>MNRXOFSTMD8RXOF</t>
  </si>
  <si>
    <t>MN_BRNA0_S_FULP_AN_DDIO_OFS_JTG_LP5_MDX008_SI_RXOFST_MD8RXOF</t>
  </si>
  <si>
    <t>MNRXOFSTMD9RXOF</t>
  </si>
  <si>
    <t>MN_BRNA0_S_FULP_AN_DDIO_OFS_JTG_LP5_MDX009_SI_RXOFST_MD9RXOF</t>
  </si>
  <si>
    <t>HTINTSMDACADQ_MULTIPLE</t>
  </si>
  <si>
    <t>HT_BRNA0_S_PL00_AN_DDIO_ILB_JTG_LP5_MDX00A_SI_INTS_MDACADQ</t>
  </si>
  <si>
    <t>Prod CP2</t>
  </si>
  <si>
    <t>Prod FT1</t>
  </si>
  <si>
    <t>Prod FT2</t>
  </si>
  <si>
    <t>LV,HV</t>
  </si>
  <si>
    <t/>
  </si>
  <si>
    <t>MTRICTS_BPBN_ASSIGMENT</t>
  </si>
  <si>
    <t>NV,LV,HV</t>
  </si>
  <si>
    <t>LV,NV,HV</t>
  </si>
  <si>
    <t>BV</t>
  </si>
  <si>
    <t>BV_BChk</t>
  </si>
  <si>
    <t>BV,HBV</t>
  </si>
  <si>
    <t>BV_BChk,HBV_BChk</t>
  </si>
  <si>
    <t>LV,NV</t>
  </si>
  <si>
    <t>Version</t>
  </si>
  <si>
    <t>Edited By</t>
  </si>
  <si>
    <t>IPs Updated</t>
  </si>
  <si>
    <t>Date</t>
  </si>
  <si>
    <t>V1</t>
  </si>
  <si>
    <t>Venkat</t>
  </si>
  <si>
    <t>Initial Version</t>
  </si>
  <si>
    <t>V2</t>
  </si>
  <si>
    <t>NTR, MTRICTS, AMP and AMPCMN Sheets TTR Updated</t>
  </si>
  <si>
    <t>V3</t>
  </si>
  <si>
    <t>Enabled ACIPHY and PCIE5 highspeed MN for CP and FT at LV.</t>
  </si>
  <si>
    <t>V4</t>
  </si>
  <si>
    <t>CIOCIOPLL</t>
  </si>
  <si>
    <t>LPDPDPPLL</t>
  </si>
  <si>
    <t>Removed "_" LPDPPLL and CIOCIOPLL</t>
  </si>
  <si>
    <t>V5</t>
  </si>
  <si>
    <t>Removed "_" LPDPPLL and CIOCIOPLL for sheet name.
Removed LV conditions for lower speeds for ACIPHY, PCIE5, ACIOPHY patterns.</t>
  </si>
  <si>
    <t>SEPVMC_fuse_prewrite_sepvmc_vref_rt</t>
  </si>
  <si>
    <t>SEPVMC_fuse_read_sepvmc_vref_rt</t>
  </si>
  <si>
    <t>SEPVMC_fuse_prewrite_sepvmc_trim_vref_ht</t>
  </si>
  <si>
    <t>SEPVMC_fuse_read_sepvmc_trim_vref_ht</t>
  </si>
  <si>
    <t>V6</t>
  </si>
  <si>
    <t>Yusuke</t>
  </si>
  <si>
    <t>sepvmc_complt5p1_fuse_read_cal</t>
  </si>
  <si>
    <t>sepvmc_compht5p3_fuse_read_cal</t>
  </si>
  <si>
    <t>Added SEPVMC_fuse_prewrite_sepvmc_vref_rt
SEPVMC_fuse_read_sepvmc_vref_rt
SEPVMC_fuse_prewrite_sepvmc_trim_vref_ht
SEPVMC_fuse_read_sepvmc_trim_vref_ht 
sepvmc_complt5p1_fuse_read_cal
sepvmc_compht5p3_fuse_read_cal into SEPVMC sheet.</t>
  </si>
  <si>
    <t>V7</t>
  </si>
  <si>
    <t>HSCSAROSC PP Pattern All Intsertion Test Condition Update to HV.</t>
  </si>
  <si>
    <t>V8</t>
  </si>
  <si>
    <t>CPLL and CIOCIOPLL Fuse insertion was changed from FT to CP.</t>
  </si>
  <si>
    <t>V9</t>
  </si>
  <si>
    <t>Removed SHM bases tests due to Victor Memory Issue</t>
  </si>
  <si>
    <t>V12</t>
  </si>
  <si>
    <t>MTRICTS T5P1 has format issue, “LV,HV.NV” need update to “NV,LV,HV”
NTSR MN T1P0 has disabled in PROD TP</t>
  </si>
  <si>
    <t>ACIPHY_LITE</t>
  </si>
  <si>
    <t>ACIPHYLITE_ACIPHY_AUXTRIMTXIMPSWP_FUSE_READ_CAL</t>
  </si>
  <si>
    <t>RELAYON_K72</t>
  </si>
  <si>
    <t>PP_BRNL0_S_FULP_AN_RXCM_MEA_JTG_VMX_ALLFRV_SI_CMN_CMNVOLT</t>
  </si>
  <si>
    <t>PP_BRNL0_S_FULP_AN_RXPH_MEA_JTG_FUN_ALLFRV_SI_SHM_REGRDWR</t>
  </si>
  <si>
    <t>PP_BRNL0_S_FULP_AN_RXPH_MEA_JTG_VMX_ALLFRV_SI_RXDAC_MONO</t>
  </si>
  <si>
    <t>PP_BRNL0_S_FULP_AN_RXPH_BST_JTG_ELB_ALLFRV_SI_ODD_ELB2P7</t>
  </si>
  <si>
    <t>PP_BRNL0_S_FULP_AN_RXPH_BST_JTG_ELB_ALLFRV_SI_EVEN_ELB2P7</t>
  </si>
  <si>
    <t>PP_BRNL0_S_FULP_AN_RXPH_BST_JTG_ELB_ALLFRV_SI_ODD_ELB5P4</t>
  </si>
  <si>
    <t>PP_BRNL0_S_FULP_AN_RXPH_BST_JTG_ELB_ALLFRV_SI_EVEN_ELB5P4</t>
  </si>
  <si>
    <t>PP_BRNL0_S_FULP_AN_RXPH_BST_JTG_ELB_ALLFRV_SI_ODD_ELB9P6</t>
  </si>
  <si>
    <t>PP_BRNL0_S_FULP_AN_RXPH_BST_JTG_ELB_ALLFRV_SI_EVEN_ELB9P6</t>
  </si>
  <si>
    <t>PP_BRNL0_S_FULP_AN_RXPH_BST_JTG_ELB_ALLFRV_SI_ODD_ELB14P0</t>
  </si>
  <si>
    <t>PP_BRNL0_S_FULP_AN_RXPH_BST_JTG_ELB_ALLFRV_SI_EVEN_ELB14P0</t>
  </si>
  <si>
    <t>PP_BRNL0_S_FULP_AN_RXPH_BST_JTG_ELB_ALLFRV_SI_ODDPWR_ELB2P7</t>
  </si>
  <si>
    <t>PP_BRNL0_S_FULP_AN_RXPH_BST_JTG_ELB_ALLFRV_SI_EVENPWR_ELB2P7</t>
  </si>
  <si>
    <t>PP_BRNL0_S_FULP_AN_RXPH_BST_JTG_ELB_ALLFRV_SI_ODDPWR_ELB5P4</t>
  </si>
  <si>
    <t>PP_BRNL0_S_FULP_AN_RXPH_BST_JTG_ELB_ALLFRV_SI_EVENPWR_ELB5P4</t>
  </si>
  <si>
    <t>PP_BRNL0_S_FULP_AN_RXPH_BST_JTG_ELB_ALLFRV_SI_ODDPWR_ELB9P6</t>
  </si>
  <si>
    <t>PP_BRNL0_S_FULP_AN_RXPH_BST_JTG_ELB_ALLFRV_SI_EVENPWR_ELB9P6</t>
  </si>
  <si>
    <t>PP_BRNL0_S_FULP_AN_RXPH_BST_JTG_ELB_ALLFRV_SI_ODDPWR_ELB14P0</t>
  </si>
  <si>
    <t>PP_BRNL0_S_FULP_AN_RXPH_BST_JTG_ELB_ALLFRV_SI_EVENPWR_ELB14P0</t>
  </si>
  <si>
    <t>PP_BRNL0_S_FULP_AN_RXRX_MEA_JTG_VMX_ALLFRV_SI_RX_RIMPMEAS</t>
  </si>
  <si>
    <t>PP_BRNL0_S_FULP_AN_RXRX_MEA_JTG_VMX_ALLFRV_SI_RXODD_FCNT9P6</t>
  </si>
  <si>
    <t>PP_BRNL0_S_FULP_AN_RXRX_MEA_JTG_VMX_ALLFRV_SI_RXEVEN_FCNT9P6</t>
  </si>
  <si>
    <t>PP_BRNL0_S_FULP_AN_RXRX_MEA_JTG_VMX_ALLFRV_SI_RXODD_FCNT14P0</t>
  </si>
  <si>
    <t>PP_BRNL0_S_FULP_AN_RXRX_MEA_JTG_VMX_ALLFRV_SI_RXEVEN_FCNT14P0</t>
  </si>
  <si>
    <t>PP_BRNL0_S_FULP_AN_RXRX_MEA_JTG_VMX_ALLFRV_SI_RXEI_EVEN</t>
  </si>
  <si>
    <t>PP_BRNL0_S_FULP_AN_RXRX_MEA_JTG_VMX_ALLFRV_SI_RXEI_ODD</t>
  </si>
  <si>
    <t>PP_BRNL0_S_FULP_AN_RXAX_MEA_JTG_VMX_ALLFRV_SI_AUX_AUXTERM</t>
  </si>
  <si>
    <t>PP_BRNL0_S_FULP_AN_RXAX_MEA_JTG_VMX_ALLFRV_SI_AUX_RXSEN</t>
  </si>
  <si>
    <t>MN_BRNL0_S_FULP_AN_RXPH_BST_JTG_ELB_ALLFRV_SI_ODDLONG_ELB2P7</t>
  </si>
  <si>
    <t>MN_BRNL0_S_FULP_AN_RXPH_BST_JTG_ELB_ALLFRV_SI_EVENLONG_ELB2P7</t>
  </si>
  <si>
    <t>MN_BRNL0_S_FULP_AN_RXPH_BST_JTG_ELB_ALLFRV_SI_ODDLONG_ELB5P4</t>
  </si>
  <si>
    <t>MN_BRNL0_S_FULP_AN_RXPH_BST_JTG_ELB_ALLFRV_SI_EVENLONG_ELB5P4</t>
  </si>
  <si>
    <t>MN_BRNL0_S_FULP_AN_RXPH_BST_JTG_ELB_ALLFRV_SI_ODDLONG_ELB9P6</t>
  </si>
  <si>
    <t>MN_BRNL0_S_FULP_AN_RXPH_BST_JTG_ELB_ALLFRV_SI_EVENLONG_ELB9P6</t>
  </si>
  <si>
    <t>MN_BRNL0_S_FULP_AN_RXPH_BST_JTG_ELB_ALLFRV_SI_ODDLONG_ELB14P0</t>
  </si>
  <si>
    <t>MN_BRNL0_S_FULP_AN_RXPH_BST_JTG_ELB_ALLFRV_SI_EVENLONG_ELB14P0</t>
  </si>
  <si>
    <t>MN_BRNL0_S_FULP_AN_RXRX_MEA_JTG_FRQ_ALLFRV_SI_RX_DCOBISWP</t>
  </si>
  <si>
    <t>MN_BRNL0_S_FULP_AN_RXRX_MEA_JTG_FRQ_ALLFRV_SI_RX_DCOCRSWP</t>
  </si>
  <si>
    <t>MN_BRNL0_S_FULP_AN_RXRX_MEA_JTG_FRQ_ALLFRV_SI_RX_DCOFNSWP</t>
  </si>
  <si>
    <t>MN_BRNL0_S_FULP_AN_RXRX_MEA_JTG_VMX_ALLFRV_SI_RXDAC_RNGEVEN</t>
  </si>
  <si>
    <t>MN_BRNL0_S_FULP_AN_RXRX_MEA_JTG_VMX_ALLFRV_SI_RXDAC_RNGODD</t>
  </si>
  <si>
    <t>LPDPTX_LITE</t>
  </si>
  <si>
    <t>PP_BRNL0_S_FULP_AN_TXTX_MEA_JTG_VMX_ALLFRV_SI_TXHIZ_LEAK</t>
  </si>
  <si>
    <t>PP_BRNL0_S_FULP_AN_TXTX_MEA_JTG_FUN_ALLFRV_SI_TX_PLB</t>
  </si>
  <si>
    <t>PP_BRNL0_S_FULP_AN_TXTX_MEA_JTG_FRQ_ALLFRV_SI_TX_FREQ</t>
  </si>
  <si>
    <t>PP_BRNL0_S_FULP_AN_TXTX_MEA_JTG_VMX_ALLFRV_SI_TX_CMFC</t>
  </si>
  <si>
    <t>PP_BRNL0_S_FULP_AN_TXTX_MEA_JTG_FUN_ALLFRV_SI_TX_SHMCHECK</t>
  </si>
  <si>
    <t>PP_BRNL0_S_FULP_AN_TXCM_MEA_JTG_VMX_ALLFRV_SI_CMN_CMNVOLT</t>
  </si>
  <si>
    <t>MN_BRNL0_S_FULP_AN_TXTX_MEA_JTG_VMX_ALLFRV_SI_TX_CLKMON</t>
  </si>
  <si>
    <t xml:space="preserve">PP_BRNL0_S_FULP_AN_TXAX_MEA_JTG_VMX_ALLFRV_SI_AUXTX_AUXTMODE </t>
  </si>
  <si>
    <t xml:space="preserve">PP_BRNL0_S_FULP_AN_TXAX_MEA_JTG_VMX_ALLFRV_SI_AUXRX_AUXRMODE </t>
  </si>
  <si>
    <t xml:space="preserve">PP_BRNL0_S_FULP_AN_TXTX_MEA_JTG_VMX_ALLFRV_SI_TX_TIMPMEAS </t>
  </si>
  <si>
    <t xml:space="preserve">PP_BRNL0_S_FULP_AN_TXTX_MEA_JTG_VMX_ALLFRV_SI_TX_SWING </t>
  </si>
  <si>
    <t>LPDPTXLITE_LPDPTX_AUXRXAUXTIMP_FUSE_READ_CAL</t>
  </si>
  <si>
    <t xml:space="preserve"> </t>
  </si>
  <si>
    <t>V13</t>
  </si>
  <si>
    <t>Added LPDPTX_LITE and ACIPHY_LITE TTR Table.
Updates to AMP, ADC, NTSR and CIOCIOPLL</t>
  </si>
  <si>
    <t>V14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</si>
</sst>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2" borderId="1">
      <alignment horizontal="left" vertical="center"/>
    </xf>
    <xf numFmtId="0" fontId="3" fillId="0" borderId="1">
      <alignment horizontal="center" vertical="center"/>
    </xf>
    <xf numFmtId="0" fontId="3" fillId="2" borderId="2">
      <alignment horizontal="center" vertical="center"/>
    </xf>
    <xf numFmtId="0" fontId="4" fillId="0" borderId="2">
      <alignment horizontal="left" vertical="center"/>
    </xf>
    <xf numFmtId="0" fontId="2" fillId="0" borderId="2">
      <alignment horizontal="left" vertical="center"/>
    </xf>
    <xf numFmtId="0" fontId="2" fillId="0" borderId="2">
      <alignment horizontal="right" vertical="center"/>
    </xf>
    <xf numFmtId="0" fontId="2" fillId="0" borderId="1">
      <alignment horizontal="left" vertical="center" wrapText="1"/>
    </xf>
    <xf numFmtId="0" fontId="5" fillId="0" borderId="1">
      <alignment horizontal="left" vertical="center"/>
    </xf>
    <xf numFmtId="0" fontId="5" fillId="0" borderId="1">
      <alignment horizontal="right" vertical="center"/>
    </xf>
    <xf numFmtId="0" fontId="1" fillId="0" borderId="1"/>
    <xf numFmtId="0" fontId="6" fillId="0" borderId="1"/>
  </cellStyleXfs>
  <cellXfs count="26">
    <xf numFmtId="0" fontId="0" fillId="0" borderId="0" xfId="0"/>
    <xf numFmtId="0" fontId="5" fillId="0" borderId="1" xfId="8">
      <alignment horizontal="left" vertical="center"/>
    </xf>
    <xf numFmtId="0" fontId="3" fillId="2" borderId="2" xfId="3">
      <alignment horizontal="center" vertical="center"/>
    </xf>
    <xf numFmtId="0" fontId="4" fillId="0" borderId="2" xfId="4">
      <alignment horizontal="left" vertical="center"/>
    </xf>
    <xf numFmtId="0" fontId="2" fillId="0" borderId="2" xfId="6">
      <alignment horizontal="right" vertical="center"/>
    </xf>
    <xf numFmtId="164" fontId="2" fillId="0" borderId="2" xfId="6" applyNumberFormat="1">
      <alignment horizontal="right" vertical="center"/>
    </xf>
    <xf numFmtId="0" fontId="5" fillId="0" borderId="1" xfId="9">
      <alignment horizontal="right" vertical="center"/>
    </xf>
    <xf numFmtId="164" fontId="5" fillId="0" borderId="1" xfId="9" applyNumberFormat="1">
      <alignment horizontal="right" vertical="center"/>
    </xf>
    <xf numFmtId="0" fontId="2" fillId="0" borderId="2" xfId="5">
      <alignment horizontal="left" vertical="center"/>
    </xf>
    <xf numFmtId="0" fontId="2" fillId="3" borderId="2" xfId="6" applyFill="1">
      <alignment horizontal="right" vertical="center"/>
    </xf>
    <xf numFmtId="0" fontId="2" fillId="4" borderId="2" xfId="5" applyFill="1">
      <alignment horizontal="left" vertical="center"/>
    </xf>
    <xf numFmtId="0" fontId="2" fillId="0" borderId="2" xfId="6" applyAlignment="1">
      <alignment horizontal="center" vertical="center"/>
    </xf>
    <xf numFmtId="0" fontId="2" fillId="0" borderId="2" xfId="5" applyAlignment="1">
      <alignment horizontal="center" vertical="center"/>
    </xf>
    <xf numFmtId="16" fontId="0" fillId="0" borderId="0" xfId="0" applyNumberFormat="1"/>
    <xf numFmtId="0" fontId="2" fillId="5" borderId="2" xfId="5" applyFill="1" applyAlignment="1">
      <alignment horizontal="center" vertical="center"/>
    </xf>
    <xf numFmtId="0" fontId="2" fillId="5" borderId="2" xfId="6" applyFill="1">
      <alignment horizontal="right" vertical="center"/>
    </xf>
    <xf numFmtId="0" fontId="2" fillId="5" borderId="2" xfId="6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0" fontId="2" fillId="6" borderId="2" xfId="6" applyFill="1">
      <alignment horizontal="right" vertical="center"/>
    </xf>
    <xf numFmtId="0" fontId="2" fillId="6" borderId="2" xfId="6" applyFill="1" applyAlignment="1">
      <alignment horizontal="center" vertical="center"/>
    </xf>
    <xf numFmtId="0" fontId="6" fillId="0" borderId="1" xfId="11"/>
    <xf numFmtId="0" fontId="7" fillId="0" borderId="0" xfId="0" applyFont="1"/>
    <xf numFmtId="0" fontId="2" fillId="3" borderId="2" xfId="5" applyFill="1">
      <alignment horizontal="left" vertical="center"/>
    </xf>
    <xf numFmtId="0" fontId="0" fillId="6" borderId="0" xfId="0" applyFill="1"/>
    <xf numFmtId="0" fontId="3" fillId="2" borderId="2" xfId="3">
      <alignment horizontal="center" vertical="center"/>
    </xf>
  </cellXfs>
  <cellStyles count="12">
    <cellStyle name="data" xfId="7" xr:uid="{00000000-0005-0000-0000-00000B000000}"/>
    <cellStyle name="data_16_b_blu_l" xfId="8" xr:uid="{00000000-0005-0000-0000-000010000000}"/>
    <cellStyle name="data_16_b_blu_r" xfId="9" xr:uid="{00000000-0005-0000-0000-000011000000}"/>
    <cellStyle name="divider" xfId="1" xr:uid="{00000000-0005-0000-0000-000001000000}"/>
    <cellStyle name="header" xfId="2" xr:uid="{00000000-0005-0000-0000-000006000000}"/>
    <cellStyle name="Normal" xfId="0" builtinId="0"/>
    <cellStyle name="Normal 2" xfId="11" xr:uid="{F0BFEB25-346E-9144-81D2-9AEF2F14BDFB}"/>
    <cellStyle name="Normal 2 2" xfId="10" xr:uid="{69A227EF-FECE-5048-BAEB-89B5D8FF5988}"/>
    <cellStyle name="ttr_data_l" xfId="5" xr:uid="{00000000-0005-0000-0000-000009000000}"/>
    <cellStyle name="ttr_data_r" xfId="6" xr:uid="{00000000-0005-0000-0000-00000A000000}"/>
    <cellStyle name="ttr_header" xfId="3" xr:uid="{00000000-0005-0000-0000-000007000000}"/>
    <cellStyle name="ttr_hyperlink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</xdr:row>
      <xdr:rowOff>63500</xdr:rowOff>
    </xdr:from>
    <xdr:to>
      <xdr:col>19</xdr:col>
      <xdr:colOff>647700</xdr:colOff>
      <xdr:row>4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20ACF2-902A-7B4C-7BE4-DA8F733DF7DD}"/>
            </a:ext>
          </a:extLst>
        </xdr:cNvPr>
        <xdr:cNvSpPr txBox="1"/>
      </xdr:nvSpPr>
      <xdr:spPr>
        <a:xfrm>
          <a:off x="14058900" y="520700"/>
          <a:ext cx="2997200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Relay</a:t>
          </a:r>
          <a:r>
            <a:rPr lang="en-US" sz="1100" baseline="0"/>
            <a:t> information is missing.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165100</xdr:colOff>
      <xdr:row>3</xdr:row>
      <xdr:rowOff>139700</xdr:rowOff>
    </xdr:from>
    <xdr:to>
      <xdr:col>18</xdr:col>
      <xdr:colOff>457200</xdr:colOff>
      <xdr:row>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956CE4-9889-9105-41D2-0BE07007E79E}"/>
            </a:ext>
          </a:extLst>
        </xdr:cNvPr>
        <xdr:cNvSpPr txBox="1"/>
      </xdr:nvSpPr>
      <xdr:spPr>
        <a:xfrm>
          <a:off x="12814300" y="787400"/>
          <a:ext cx="2311400" cy="3175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Misisng fusing information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213360</xdr:colOff>
      <xdr:row>7</xdr:row>
      <xdr:rowOff>20320</xdr:rowOff>
    </xdr:from>
    <xdr:to>
      <xdr:col>18</xdr:col>
      <xdr:colOff>50800</xdr:colOff>
      <xdr:row>10</xdr:row>
      <xdr:rowOff>162560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8A15C4-CD7B-77C4-1236-607CAD823DE0}"/>
            </a:ext>
          </a:extLst>
        </xdr:cNvPr>
        <xdr:cNvSpPr txBox="1"/>
      </xdr:nvSpPr>
      <xdr:spPr>
        <a:xfrm>
          <a:off x="13025120" y="1442720"/>
          <a:ext cx="1849120" cy="72136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Yusuke</a:t>
          </a:r>
          <a:r>
            <a:rPr lang="en-US" sz="1100" baseline="0"/>
            <a:t> added efuse instance names for missing fuse information.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A665-6B7B-D14C-A61C-CBA33D9C2766}">
  <dimension ref="A1:D13"/>
  <sheetViews>
    <sheetView tabSelected="1" zoomScale="181" workbookViewId="0"/>
  </sheetViews>
  <sheetFormatPr baseColWidth="10" defaultRowHeight="15" x14ac:dyDescent="0.2"/>
  <cols>
    <col min="4" max="4" width="61.6640625" customWidth="1"/>
  </cols>
  <sheetData>
    <row r="1" spans="1:4" x14ac:dyDescent="0.2">
      <c r="A1" s="24" t="s">
        <v>2008</v>
      </c>
      <c r="B1" s="24" t="s">
        <v>2011</v>
      </c>
      <c r="C1" s="24" t="s">
        <v>2009</v>
      </c>
      <c r="D1" s="24" t="s">
        <v>2010</v>
      </c>
    </row>
    <row r="2" spans="1:4" x14ac:dyDescent="0.2">
      <c r="A2" t="s">
        <v>2012</v>
      </c>
      <c r="B2" s="13">
        <v>45806</v>
      </c>
      <c r="C2" t="s">
        <v>2013</v>
      </c>
      <c r="D2" t="s">
        <v>2014</v>
      </c>
    </row>
    <row r="3" spans="1:4" x14ac:dyDescent="0.2">
      <c r="A3" t="s">
        <v>2015</v>
      </c>
      <c r="B3" s="13">
        <v>45806</v>
      </c>
      <c r="C3" t="s">
        <v>2013</v>
      </c>
      <c r="D3" t="s">
        <v>2016</v>
      </c>
    </row>
    <row r="4" spans="1:4" x14ac:dyDescent="0.2">
      <c r="A4" t="s">
        <v>2017</v>
      </c>
      <c r="B4" s="13">
        <v>45806</v>
      </c>
      <c r="C4" t="s">
        <v>2013</v>
      </c>
      <c r="D4" t="s">
        <v>2018</v>
      </c>
    </row>
    <row r="5" spans="1:4" x14ac:dyDescent="0.2">
      <c r="A5" t="s">
        <v>2019</v>
      </c>
      <c r="B5" s="13">
        <v>45808</v>
      </c>
      <c r="C5" t="s">
        <v>2013</v>
      </c>
      <c r="D5" t="s">
        <v>2022</v>
      </c>
    </row>
    <row r="6" spans="1:4" ht="32" x14ac:dyDescent="0.2">
      <c r="A6" t="s">
        <v>2023</v>
      </c>
      <c r="B6" s="17">
        <v>45809</v>
      </c>
      <c r="C6" t="s">
        <v>2013</v>
      </c>
      <c r="D6" s="18" t="s">
        <v>2024</v>
      </c>
    </row>
    <row r="7" spans="1:4" ht="96" x14ac:dyDescent="0.2">
      <c r="A7" t="s">
        <v>2029</v>
      </c>
      <c r="B7" s="17">
        <v>45809</v>
      </c>
      <c r="C7" t="s">
        <v>2030</v>
      </c>
      <c r="D7" s="18" t="s">
        <v>2033</v>
      </c>
    </row>
    <row r="8" spans="1:4" ht="16" x14ac:dyDescent="0.2">
      <c r="A8" t="s">
        <v>2034</v>
      </c>
      <c r="B8" s="17">
        <v>45809</v>
      </c>
      <c r="C8" t="s">
        <v>2013</v>
      </c>
      <c r="D8" s="18" t="s">
        <v>2035</v>
      </c>
    </row>
    <row r="9" spans="1:4" ht="16" x14ac:dyDescent="0.2">
      <c r="A9" t="s">
        <v>2036</v>
      </c>
      <c r="B9" s="17">
        <v>45809</v>
      </c>
      <c r="C9" t="s">
        <v>2030</v>
      </c>
      <c r="D9" s="18" t="s">
        <v>2037</v>
      </c>
    </row>
    <row r="10" spans="1:4" ht="16" x14ac:dyDescent="0.2">
      <c r="A10" t="s">
        <v>2038</v>
      </c>
      <c r="B10" s="17">
        <v>45810</v>
      </c>
      <c r="C10" t="s">
        <v>2013</v>
      </c>
      <c r="D10" s="18" t="s">
        <v>2039</v>
      </c>
    </row>
    <row r="11" spans="1:4" ht="32" x14ac:dyDescent="0.2">
      <c r="A11" t="s">
        <v>2040</v>
      </c>
      <c r="B11" s="17">
        <v>45820</v>
      </c>
      <c r="C11" t="s">
        <v>2013</v>
      </c>
      <c r="D11" s="18" t="s">
        <v>2041</v>
      </c>
    </row>
    <row r="12" spans="1:4" ht="32" x14ac:dyDescent="0.2">
      <c r="A12" t="s">
        <v>2100</v>
      </c>
      <c r="B12" s="17">
        <v>45824</v>
      </c>
      <c r="C12" t="s">
        <v>2013</v>
      </c>
      <c r="D12" s="18" t="s">
        <v>2101</v>
      </c>
    </row>
    <row r="13" spans="1:4" x14ac:dyDescent="0.2">
      <c r="A13" t="s">
        <v>2102</v>
      </c>
      <c r="B13" s="17">
        <v>45828</v>
      </c>
      <c r="C13" t="s">
        <v>2013</v>
      </c>
      <c r="D13" t="s">
        <v>1567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2"/>
  <sheetViews>
    <sheetView workbookViewId="0"/>
  </sheetViews>
  <sheetFormatPr baseColWidth="10" defaultColWidth="8.83203125" defaultRowHeight="15" x14ac:dyDescent="0.2"/>
  <cols>
    <col min="1" max="1" width="8" customWidth="1"/>
    <col min="2" max="2" width="14" customWidth="1"/>
    <col min="3" max="3" width="12" customWidth="1"/>
    <col min="4" max="4" width="11" customWidth="1"/>
    <col min="5" max="5" width="8" customWidth="1"/>
    <col min="6" max="6" width="12" customWidth="1"/>
    <col min="7" max="7" width="11" customWidth="1"/>
    <col min="8" max="9" width="8" customWidth="1"/>
  </cols>
  <sheetData>
    <row r="2" spans="1:9" ht="21" x14ac:dyDescent="0.2">
      <c r="A2" s="1"/>
      <c r="B2" s="1" t="s">
        <v>0</v>
      </c>
      <c r="C2" s="1"/>
      <c r="D2" s="1"/>
      <c r="E2" s="1"/>
      <c r="F2" s="1" t="s">
        <v>1</v>
      </c>
      <c r="G2" s="1">
        <v>4</v>
      </c>
      <c r="H2" s="1"/>
      <c r="I2" s="1" t="s">
        <v>2</v>
      </c>
    </row>
    <row r="3" spans="1:9" x14ac:dyDescent="0.2">
      <c r="B3" s="2" t="s">
        <v>3</v>
      </c>
      <c r="C3" s="2" t="s">
        <v>4</v>
      </c>
      <c r="D3" s="2" t="s">
        <v>5</v>
      </c>
      <c r="F3" s="2" t="s">
        <v>4</v>
      </c>
      <c r="G3" s="2" t="s">
        <v>5</v>
      </c>
      <c r="I3" s="2" t="s">
        <v>6</v>
      </c>
    </row>
    <row r="4" spans="1:9" x14ac:dyDescent="0.2">
      <c r="B4" s="3" t="s">
        <v>7</v>
      </c>
      <c r="C4" s="4">
        <f>ROUND(IO_JTAG!F2/1000, 2)</f>
        <v>12.68</v>
      </c>
      <c r="D4" s="4">
        <f t="shared" ref="D4:D50" si="0">SUM(C4:C4)</f>
        <v>12.68</v>
      </c>
      <c r="F4" s="4"/>
      <c r="G4" s="4"/>
      <c r="I4" s="5">
        <f>1-(F4-C4)/((G2-1)*C4)</f>
        <v>1.3333333333333333</v>
      </c>
    </row>
    <row r="5" spans="1:9" x14ac:dyDescent="0.2">
      <c r="B5" s="3" t="s">
        <v>8</v>
      </c>
      <c r="C5" s="4">
        <f>ROUND(ADCDFT!F2/1000, 2)</f>
        <v>46.46</v>
      </c>
      <c r="D5" s="4">
        <f t="shared" si="0"/>
        <v>46.46</v>
      </c>
      <c r="F5" s="4"/>
      <c r="G5" s="4"/>
      <c r="I5" s="5">
        <f>1-(F5-C5)/((G2-1)*C5)</f>
        <v>1.3333333333333335</v>
      </c>
    </row>
    <row r="6" spans="1:9" x14ac:dyDescent="0.2">
      <c r="B6" s="3" t="s">
        <v>9</v>
      </c>
      <c r="C6" s="4">
        <f>ROUND(MTRICTS!F2/1000, 2)</f>
        <v>64.83</v>
      </c>
      <c r="D6" s="4">
        <f t="shared" si="0"/>
        <v>64.83</v>
      </c>
      <c r="F6" s="4"/>
      <c r="G6" s="4"/>
      <c r="I6" s="5">
        <f>1-(F6-C6)/((G2-1)*C6)</f>
        <v>1.3333333333333333</v>
      </c>
    </row>
    <row r="7" spans="1:9" x14ac:dyDescent="0.2">
      <c r="B7" s="3" t="s">
        <v>10</v>
      </c>
      <c r="C7" s="4">
        <f>ROUND(NTSE!F2/1000, 2)</f>
        <v>8.6300000000000008</v>
      </c>
      <c r="D7" s="4">
        <f t="shared" si="0"/>
        <v>8.6300000000000008</v>
      </c>
      <c r="F7" s="4"/>
      <c r="G7" s="4"/>
      <c r="I7" s="5">
        <f>1-(F7-C7)/((G2-1)*C7)</f>
        <v>1.3333333333333335</v>
      </c>
    </row>
    <row r="8" spans="1:9" x14ac:dyDescent="0.2">
      <c r="B8" s="3" t="s">
        <v>11</v>
      </c>
      <c r="C8" s="4">
        <f>ROUND(NTSR!F2/1000, 2)</f>
        <v>1.08</v>
      </c>
      <c r="D8" s="4">
        <f t="shared" si="0"/>
        <v>1.08</v>
      </c>
      <c r="F8" s="4"/>
      <c r="G8" s="4"/>
      <c r="I8" s="5">
        <f>1-(F8-C8)/((G2-1)*C8)</f>
        <v>1.3333333333333333</v>
      </c>
    </row>
    <row r="9" spans="1:9" x14ac:dyDescent="0.2">
      <c r="B9" s="3" t="s">
        <v>12</v>
      </c>
      <c r="C9" s="4">
        <f>ROUND(MISC!F2/1000, 2)</f>
        <v>0.47</v>
      </c>
      <c r="D9" s="4">
        <f t="shared" si="0"/>
        <v>0.47</v>
      </c>
      <c r="F9" s="4"/>
      <c r="G9" s="4"/>
      <c r="I9" s="5">
        <f>1-(F9-C9)/((G2-1)*C9)</f>
        <v>1.3333333333333333</v>
      </c>
    </row>
    <row r="10" spans="1:9" x14ac:dyDescent="0.2">
      <c r="B10" s="3" t="s">
        <v>13</v>
      </c>
      <c r="C10" s="4">
        <f>ROUND(FRO!F2/1000, 2)</f>
        <v>0.63</v>
      </c>
      <c r="D10" s="4">
        <f t="shared" si="0"/>
        <v>0.63</v>
      </c>
      <c r="F10" s="4"/>
      <c r="G10" s="4"/>
      <c r="I10" s="5">
        <f>1-(F10-C10)/((G2-1)*C10)</f>
        <v>1.3333333333333333</v>
      </c>
    </row>
    <row r="11" spans="1:9" x14ac:dyDescent="0.2">
      <c r="B11" s="3" t="s">
        <v>14</v>
      </c>
      <c r="C11" s="4">
        <f>ROUND(CPLL!F2/1000, 2)</f>
        <v>36.33</v>
      </c>
      <c r="D11" s="4">
        <f t="shared" si="0"/>
        <v>36.33</v>
      </c>
      <c r="F11" s="4"/>
      <c r="G11" s="4"/>
      <c r="I11" s="5">
        <f>1-(F11-C11)/((G2-1)*C11)</f>
        <v>1.3333333333333333</v>
      </c>
    </row>
    <row r="12" spans="1:9" x14ac:dyDescent="0.2">
      <c r="B12" s="3" t="s">
        <v>15</v>
      </c>
      <c r="C12" s="4">
        <f>ROUND(ADCLK!F2/1000, 2)</f>
        <v>42.93</v>
      </c>
      <c r="D12" s="4">
        <f t="shared" si="0"/>
        <v>42.93</v>
      </c>
      <c r="F12" s="4"/>
      <c r="G12" s="4"/>
      <c r="I12" s="5">
        <f>1-(F12-C12)/((G2-1)*C12)</f>
        <v>1.3333333333333335</v>
      </c>
    </row>
    <row r="13" spans="1:9" x14ac:dyDescent="0.2">
      <c r="B13" s="3" t="s">
        <v>16</v>
      </c>
      <c r="C13" s="4">
        <f>ROUND(LAPLL!F2/1000, 2)</f>
        <v>28.32</v>
      </c>
      <c r="D13" s="4">
        <f t="shared" si="0"/>
        <v>28.32</v>
      </c>
      <c r="F13" s="4"/>
      <c r="G13" s="4"/>
      <c r="I13" s="5">
        <f>1-(F13-C13)/((G2-1)*C13)</f>
        <v>1.3333333333333333</v>
      </c>
    </row>
    <row r="14" spans="1:9" x14ac:dyDescent="0.2">
      <c r="B14" s="3" t="s">
        <v>17</v>
      </c>
      <c r="C14" s="4">
        <f>ROUND(PCIEREFGEN!F2/1000, 2)</f>
        <v>1.59</v>
      </c>
      <c r="D14" s="4">
        <f t="shared" si="0"/>
        <v>1.59</v>
      </c>
      <c r="F14" s="4"/>
      <c r="G14" s="4"/>
      <c r="I14" s="5">
        <f>1-(F14-C14)/((G2-1)*C14)</f>
        <v>1.3333333333333333</v>
      </c>
    </row>
    <row r="15" spans="1:9" x14ac:dyDescent="0.2">
      <c r="B15" s="3" t="s">
        <v>18</v>
      </c>
      <c r="C15" s="4">
        <f>ROUND(PCIE5CMN!F2/1000, 2)</f>
        <v>0.48</v>
      </c>
      <c r="D15" s="4">
        <f t="shared" si="0"/>
        <v>0.48</v>
      </c>
      <c r="F15" s="4"/>
      <c r="G15" s="4"/>
      <c r="I15" s="5">
        <f>1-(F15-C15)/((G2-1)*C15)</f>
        <v>1.3333333333333333</v>
      </c>
    </row>
    <row r="16" spans="1:9" x14ac:dyDescent="0.2">
      <c r="B16" s="3" t="s">
        <v>19</v>
      </c>
      <c r="C16" s="4">
        <f>ROUND(ACIPHYCMN!F2/1000, 2)</f>
        <v>0.43</v>
      </c>
      <c r="D16" s="4">
        <f t="shared" si="0"/>
        <v>0.43</v>
      </c>
      <c r="F16" s="4"/>
      <c r="G16" s="4"/>
      <c r="I16" s="5">
        <f>1-(F16-C16)/((G2-1)*C16)</f>
        <v>1.3333333333333333</v>
      </c>
    </row>
    <row r="17" spans="2:9" x14ac:dyDescent="0.2">
      <c r="B17" s="3" t="s">
        <v>20</v>
      </c>
      <c r="C17" s="4">
        <f>ROUND(ACIOPHYCMN!F2/1000, 2)</f>
        <v>0.39</v>
      </c>
      <c r="D17" s="4">
        <f t="shared" si="0"/>
        <v>0.39</v>
      </c>
      <c r="F17" s="4"/>
      <c r="G17" s="4"/>
      <c r="I17" s="5">
        <f>1-(F17-C17)/((G2-1)*C17)</f>
        <v>1.3333333333333335</v>
      </c>
    </row>
    <row r="18" spans="2:9" x14ac:dyDescent="0.2">
      <c r="B18" s="3" t="s">
        <v>21</v>
      </c>
      <c r="C18" s="4">
        <f>ROUND(LPDPTXCMN!F2/1000, 2)</f>
        <v>0.41</v>
      </c>
      <c r="D18" s="4">
        <f t="shared" si="0"/>
        <v>0.41</v>
      </c>
      <c r="F18" s="4"/>
      <c r="G18" s="4"/>
      <c r="I18" s="5">
        <f>1-(F18-C18)/((G2-1)*C18)</f>
        <v>1.3333333333333333</v>
      </c>
    </row>
    <row r="19" spans="2:9" x14ac:dyDescent="0.2">
      <c r="B19" s="3" t="s">
        <v>22</v>
      </c>
      <c r="C19" s="4">
        <f>ROUND(AMPCMN!F2/1000, 2)</f>
        <v>4.09</v>
      </c>
      <c r="D19" s="4">
        <f t="shared" si="0"/>
        <v>4.09</v>
      </c>
      <c r="F19" s="4"/>
      <c r="G19" s="4"/>
      <c r="I19" s="5">
        <f>1-(F19-C19)/((G2-1)*C19)</f>
        <v>1.3333333333333333</v>
      </c>
    </row>
    <row r="20" spans="2:9" x14ac:dyDescent="0.2">
      <c r="B20" s="3" t="s">
        <v>23</v>
      </c>
      <c r="C20" s="4" t="e">
        <f>ROUND(PCIEREFPLL!#REF!/1000, 2)</f>
        <v>#REF!</v>
      </c>
      <c r="D20" s="4" t="e">
        <f t="shared" si="0"/>
        <v>#REF!</v>
      </c>
      <c r="F20" s="4"/>
      <c r="G20" s="4"/>
      <c r="I20" s="5" t="e">
        <f>1-(F20-C20)/((G2-1)*C20)</f>
        <v>#REF!</v>
      </c>
    </row>
    <row r="21" spans="2:9" x14ac:dyDescent="0.2">
      <c r="B21" s="3" t="s">
        <v>24</v>
      </c>
      <c r="C21" s="4">
        <f>ROUND(PCIEPLL!F2/1000, 2)</f>
        <v>5.68</v>
      </c>
      <c r="D21" s="4">
        <f t="shared" si="0"/>
        <v>5.68</v>
      </c>
      <c r="F21" s="4"/>
      <c r="G21" s="4"/>
      <c r="I21" s="5">
        <f>1-(F21-C21)/((G2-1)*C21)</f>
        <v>1.3333333333333333</v>
      </c>
    </row>
    <row r="22" spans="2:9" x14ac:dyDescent="0.2">
      <c r="B22" s="3" t="s">
        <v>25</v>
      </c>
      <c r="C22" s="4">
        <f>ROUND(CIOCIOPLL!F2/1000, 2)</f>
        <v>12.28</v>
      </c>
      <c r="D22" s="4">
        <f t="shared" si="0"/>
        <v>12.28</v>
      </c>
      <c r="F22" s="4"/>
      <c r="G22" s="4"/>
      <c r="I22" s="5">
        <f>1-(F22-C22)/((G2-1)*C22)</f>
        <v>1.3333333333333335</v>
      </c>
    </row>
    <row r="23" spans="2:9" x14ac:dyDescent="0.2">
      <c r="B23" s="3" t="s">
        <v>26</v>
      </c>
      <c r="C23" s="4">
        <f>ROUND(CIODPPLL!F2/1000, 2)</f>
        <v>6.78</v>
      </c>
      <c r="D23" s="4">
        <f t="shared" si="0"/>
        <v>6.78</v>
      </c>
      <c r="F23" s="4"/>
      <c r="G23" s="4"/>
      <c r="I23" s="5">
        <f>1-(F23-C23)/((G2-1)*C23)</f>
        <v>1.3333333333333335</v>
      </c>
    </row>
    <row r="24" spans="2:9" x14ac:dyDescent="0.2">
      <c r="B24" s="3" t="s">
        <v>27</v>
      </c>
      <c r="C24" s="4">
        <f>ROUND(LPDPDPPLL!F2/1000, 2)</f>
        <v>16.91</v>
      </c>
      <c r="D24" s="4">
        <f t="shared" si="0"/>
        <v>16.91</v>
      </c>
      <c r="F24" s="4"/>
      <c r="G24" s="4"/>
      <c r="I24" s="5">
        <f>1-(F24-C24)/((G2-1)*C24)</f>
        <v>1.3333333333333333</v>
      </c>
    </row>
    <row r="25" spans="2:9" x14ac:dyDescent="0.2">
      <c r="B25" s="3" t="s">
        <v>28</v>
      </c>
      <c r="C25" s="4">
        <f>ROUND(LPDDRPLL!F2/1000, 2)</f>
        <v>24.01</v>
      </c>
      <c r="D25" s="4">
        <f t="shared" si="0"/>
        <v>24.01</v>
      </c>
      <c r="F25" s="4"/>
      <c r="G25" s="4"/>
      <c r="I25" s="5">
        <f>1-(F25-C25)/((G2-1)*C25)</f>
        <v>1.3333333333333335</v>
      </c>
    </row>
    <row r="26" spans="2:9" x14ac:dyDescent="0.2">
      <c r="B26" s="3" t="s">
        <v>29</v>
      </c>
      <c r="C26" s="4">
        <f>ROUND(HSCSAROSC!F2/1000, 2)</f>
        <v>1.1499999999999999</v>
      </c>
      <c r="D26" s="4">
        <f t="shared" si="0"/>
        <v>1.1499999999999999</v>
      </c>
      <c r="F26" s="4"/>
      <c r="G26" s="4"/>
      <c r="I26" s="5">
        <f>1-(F26-C26)/((G2-1)*C26)</f>
        <v>1.3333333333333333</v>
      </c>
    </row>
    <row r="27" spans="2:9" x14ac:dyDescent="0.2">
      <c r="B27" s="3" t="s">
        <v>30</v>
      </c>
      <c r="C27" s="4">
        <f>ROUND(ULPPLL!F2/1000, 2)</f>
        <v>0.6</v>
      </c>
      <c r="D27" s="4">
        <f t="shared" si="0"/>
        <v>0.6</v>
      </c>
      <c r="F27" s="4"/>
      <c r="G27" s="4"/>
      <c r="I27" s="5">
        <f>1-(F27-C27)/((G2-1)*C27)</f>
        <v>1.3333333333333335</v>
      </c>
    </row>
    <row r="28" spans="2:9" x14ac:dyDescent="0.2">
      <c r="B28" s="3" t="s">
        <v>31</v>
      </c>
      <c r="C28" s="4">
        <f>ROUND(FLPPLL!F2/1000, 2)</f>
        <v>2.5499999999999998</v>
      </c>
      <c r="D28" s="4">
        <f t="shared" si="0"/>
        <v>2.5499999999999998</v>
      </c>
      <c r="F28" s="4"/>
      <c r="G28" s="4"/>
      <c r="I28" s="5">
        <f>1-(F28-C28)/((G2-1)*C28)</f>
        <v>1.3333333333333333</v>
      </c>
    </row>
    <row r="29" spans="2:9" x14ac:dyDescent="0.2">
      <c r="B29" s="3" t="s">
        <v>32</v>
      </c>
      <c r="C29" s="4">
        <f>ROUND(SEPVMC!F2/1000, 2)</f>
        <v>6.26</v>
      </c>
      <c r="D29" s="4">
        <f t="shared" si="0"/>
        <v>6.26</v>
      </c>
      <c r="F29" s="4"/>
      <c r="G29" s="4"/>
      <c r="I29" s="5">
        <f>1-(F29-C29)/((G2-1)*C29)</f>
        <v>1.3333333333333333</v>
      </c>
    </row>
    <row r="30" spans="2:9" x14ac:dyDescent="0.2">
      <c r="B30" s="3" t="s">
        <v>33</v>
      </c>
      <c r="C30" s="4">
        <f>ROUND(SEPF2M!F2/1000, 2)</f>
        <v>1.67</v>
      </c>
      <c r="D30" s="4">
        <f t="shared" si="0"/>
        <v>1.67</v>
      </c>
      <c r="F30" s="4"/>
      <c r="G30" s="4"/>
      <c r="I30" s="5">
        <f>1-(F30-C30)/((G2-1)*C30)</f>
        <v>1.3333333333333333</v>
      </c>
    </row>
    <row r="31" spans="2:9" x14ac:dyDescent="0.2">
      <c r="B31" s="3" t="s">
        <v>34</v>
      </c>
      <c r="C31" s="4">
        <f>ROUND(MIDBIASLDO!F2/1000, 2)</f>
        <v>0.26</v>
      </c>
      <c r="D31" s="4">
        <f t="shared" si="0"/>
        <v>0.26</v>
      </c>
      <c r="F31" s="4"/>
      <c r="G31" s="4"/>
      <c r="I31" s="5">
        <f>1-(F31-C31)/((G2-1)*C31)</f>
        <v>1.3333333333333333</v>
      </c>
    </row>
    <row r="32" spans="2:9" x14ac:dyDescent="0.2">
      <c r="B32" s="3" t="s">
        <v>35</v>
      </c>
      <c r="C32" s="4">
        <f>ROUND(ADC!F2/1000, 2)</f>
        <v>9.9600000000000009</v>
      </c>
      <c r="D32" s="4">
        <f t="shared" si="0"/>
        <v>9.9600000000000009</v>
      </c>
      <c r="F32" s="4"/>
      <c r="G32" s="4"/>
      <c r="I32" s="5">
        <f>1-(F32-C32)/((G2-1)*C32)</f>
        <v>1.3333333333333333</v>
      </c>
    </row>
    <row r="33" spans="2:9" x14ac:dyDescent="0.2">
      <c r="B33" s="3" t="s">
        <v>36</v>
      </c>
      <c r="C33" s="4">
        <f>ROUND(ACIOPHY!F2/1000, 2)</f>
        <v>16.16</v>
      </c>
      <c r="D33" s="4">
        <f t="shared" si="0"/>
        <v>16.16</v>
      </c>
      <c r="F33" s="4"/>
      <c r="G33" s="4"/>
      <c r="I33" s="5">
        <f>1-(F33-C33)/((G2-1)*C33)</f>
        <v>1.3333333333333333</v>
      </c>
    </row>
    <row r="34" spans="2:9" x14ac:dyDescent="0.2">
      <c r="B34" s="3" t="s">
        <v>37</v>
      </c>
      <c r="C34" s="4">
        <f>ROUND(ACIPHY!F2/1000, 2)</f>
        <v>148.16999999999999</v>
      </c>
      <c r="D34" s="4">
        <f t="shared" si="0"/>
        <v>148.16999999999999</v>
      </c>
      <c r="F34" s="4"/>
      <c r="G34" s="4"/>
      <c r="I34" s="5">
        <f>1-(F34-C34)/((G2-1)*C34)</f>
        <v>1.3333333333333333</v>
      </c>
    </row>
    <row r="35" spans="2:9" x14ac:dyDescent="0.2">
      <c r="B35" s="3" t="s">
        <v>38</v>
      </c>
      <c r="C35" s="4">
        <f>ROUND(LPDPTX!F2/1000, 2)</f>
        <v>3.39</v>
      </c>
      <c r="D35" s="4">
        <f t="shared" si="0"/>
        <v>3.39</v>
      </c>
      <c r="F35" s="4"/>
      <c r="G35" s="4"/>
      <c r="I35" s="5">
        <f>1-(F35-C35)/((G2-1)*C35)</f>
        <v>1.3333333333333335</v>
      </c>
    </row>
    <row r="36" spans="2:9" x14ac:dyDescent="0.2">
      <c r="B36" s="3" t="s">
        <v>39</v>
      </c>
      <c r="C36" s="4">
        <f>ROUND(PCIE5!F2/1000, 2)</f>
        <v>104.2</v>
      </c>
      <c r="D36" s="4">
        <f t="shared" si="0"/>
        <v>104.2</v>
      </c>
      <c r="F36" s="4"/>
      <c r="G36" s="4"/>
      <c r="I36" s="5">
        <f>1-(F36-C36)/((G2-1)*C36)</f>
        <v>1.3333333333333333</v>
      </c>
    </row>
    <row r="37" spans="2:9" x14ac:dyDescent="0.2">
      <c r="B37" s="3" t="s">
        <v>40</v>
      </c>
      <c r="C37" s="4">
        <f>ROUND(NTSX!F2/1000, 2)</f>
        <v>0.06</v>
      </c>
      <c r="D37" s="4">
        <f t="shared" si="0"/>
        <v>0.06</v>
      </c>
      <c r="F37" s="4"/>
      <c r="G37" s="4"/>
      <c r="I37" s="5">
        <f>1-(F37-C37)/((G2-1)*C37)</f>
        <v>1.3333333333333333</v>
      </c>
    </row>
    <row r="38" spans="2:9" x14ac:dyDescent="0.2">
      <c r="B38" s="3" t="s">
        <v>41</v>
      </c>
      <c r="C38" s="4">
        <f>ROUND(PCIEREFBUF!F2/1000, 2)</f>
        <v>0.18</v>
      </c>
      <c r="D38" s="4">
        <f t="shared" si="0"/>
        <v>0.18</v>
      </c>
      <c r="F38" s="4"/>
      <c r="G38" s="4"/>
      <c r="I38" s="5">
        <f>1-(F38-C38)/((G2-1)*C38)</f>
        <v>1.3333333333333333</v>
      </c>
    </row>
    <row r="39" spans="2:9" x14ac:dyDescent="0.2">
      <c r="B39" s="3" t="s">
        <v>42</v>
      </c>
      <c r="C39" s="4">
        <f>ROUND(USB!F2/1000, 2)</f>
        <v>3.9</v>
      </c>
      <c r="D39" s="4">
        <f t="shared" si="0"/>
        <v>3.9</v>
      </c>
      <c r="F39" s="4"/>
      <c r="G39" s="4"/>
      <c r="I39" s="5">
        <f>1-(F39-C39)/((G2-1)*C39)</f>
        <v>1.3333333333333335</v>
      </c>
    </row>
    <row r="40" spans="2:9" x14ac:dyDescent="0.2">
      <c r="B40" s="3" t="s">
        <v>43</v>
      </c>
      <c r="C40" s="4" t="e">
        <f>ROUND(#REF!/1000, 2)</f>
        <v>#REF!</v>
      </c>
      <c r="D40" s="4" t="e">
        <f t="shared" si="0"/>
        <v>#REF!</v>
      </c>
      <c r="F40" s="4"/>
      <c r="G40" s="4"/>
      <c r="I40" s="5" t="e">
        <f>1-(F40-C40)/((G2-1)*C40)</f>
        <v>#REF!</v>
      </c>
    </row>
    <row r="41" spans="2:9" x14ac:dyDescent="0.2">
      <c r="B41" s="3" t="s">
        <v>44</v>
      </c>
      <c r="C41" s="4" t="e">
        <f>ROUND(#REF!/1000, 2)</f>
        <v>#REF!</v>
      </c>
      <c r="D41" s="4" t="e">
        <f t="shared" si="0"/>
        <v>#REF!</v>
      </c>
      <c r="F41" s="4"/>
      <c r="G41" s="4"/>
      <c r="I41" s="5" t="e">
        <f>1-(F41-C41)/((G2-1)*C41)</f>
        <v>#REF!</v>
      </c>
    </row>
    <row r="42" spans="2:9" x14ac:dyDescent="0.2">
      <c r="B42" s="3" t="s">
        <v>45</v>
      </c>
      <c r="C42" s="4" t="e">
        <f>ROUND(#REF!/1000, 2)</f>
        <v>#REF!</v>
      </c>
      <c r="D42" s="4" t="e">
        <f t="shared" si="0"/>
        <v>#REF!</v>
      </c>
      <c r="F42" s="4"/>
      <c r="G42" s="4"/>
      <c r="I42" s="5" t="e">
        <f>1-(F42-C42)/((G2-1)*C42)</f>
        <v>#REF!</v>
      </c>
    </row>
    <row r="43" spans="2:9" x14ac:dyDescent="0.2">
      <c r="B43" s="3" t="s">
        <v>46</v>
      </c>
      <c r="C43" s="4" t="e">
        <f>ROUND(#REF!/1000, 2)</f>
        <v>#REF!</v>
      </c>
      <c r="D43" s="4" t="e">
        <f t="shared" si="0"/>
        <v>#REF!</v>
      </c>
      <c r="F43" s="4"/>
      <c r="G43" s="4"/>
      <c r="I43" s="5" t="e">
        <f>1-(F43-C43)/((G2-1)*C43)</f>
        <v>#REF!</v>
      </c>
    </row>
    <row r="44" spans="2:9" x14ac:dyDescent="0.2">
      <c r="B44" s="3" t="s">
        <v>47</v>
      </c>
      <c r="C44" s="4" t="e">
        <f>ROUND(#REF!/1000, 2)</f>
        <v>#REF!</v>
      </c>
      <c r="D44" s="4" t="e">
        <f t="shared" si="0"/>
        <v>#REF!</v>
      </c>
      <c r="F44" s="4"/>
      <c r="G44" s="4"/>
      <c r="I44" s="5" t="e">
        <f>1-(F44-C44)/((G2-1)*C44)</f>
        <v>#REF!</v>
      </c>
    </row>
    <row r="45" spans="2:9" x14ac:dyDescent="0.2">
      <c r="B45" s="3" t="s">
        <v>48</v>
      </c>
      <c r="C45" s="4" t="e">
        <f>ROUND(#REF!/1000, 2)</f>
        <v>#REF!</v>
      </c>
      <c r="D45" s="4" t="e">
        <f t="shared" si="0"/>
        <v>#REF!</v>
      </c>
      <c r="F45" s="4"/>
      <c r="G45" s="4"/>
      <c r="I45" s="5" t="e">
        <f>1-(F45-C45)/((G2-1)*C45)</f>
        <v>#REF!</v>
      </c>
    </row>
    <row r="46" spans="2:9" x14ac:dyDescent="0.2">
      <c r="B46" s="3" t="s">
        <v>49</v>
      </c>
      <c r="C46" s="4" t="e">
        <f>ROUND(#REF!/1000, 2)</f>
        <v>#REF!</v>
      </c>
      <c r="D46" s="4" t="e">
        <f t="shared" si="0"/>
        <v>#REF!</v>
      </c>
      <c r="F46" s="4"/>
      <c r="G46" s="4"/>
      <c r="I46" s="5" t="e">
        <f>1-(F46-C46)/((G2-1)*C46)</f>
        <v>#REF!</v>
      </c>
    </row>
    <row r="47" spans="2:9" x14ac:dyDescent="0.2">
      <c r="B47" s="3" t="s">
        <v>50</v>
      </c>
      <c r="C47" s="4" t="e">
        <f>ROUND(#REF!/1000, 2)</f>
        <v>#REF!</v>
      </c>
      <c r="D47" s="4" t="e">
        <f t="shared" si="0"/>
        <v>#REF!</v>
      </c>
      <c r="F47" s="4"/>
      <c r="G47" s="4"/>
      <c r="I47" s="5" t="e">
        <f>1-(F47-C47)/((G2-1)*C47)</f>
        <v>#REF!</v>
      </c>
    </row>
    <row r="48" spans="2:9" x14ac:dyDescent="0.2">
      <c r="B48" s="3" t="s">
        <v>51</v>
      </c>
      <c r="C48" s="4" t="e">
        <f>ROUND(#REF!/1000, 2)</f>
        <v>#REF!</v>
      </c>
      <c r="D48" s="4" t="e">
        <f t="shared" si="0"/>
        <v>#REF!</v>
      </c>
      <c r="F48" s="4"/>
      <c r="G48" s="4"/>
      <c r="I48" s="5" t="e">
        <f>1-(F48-C48)/((G2-1)*C48)</f>
        <v>#REF!</v>
      </c>
    </row>
    <row r="49" spans="2:9" x14ac:dyDescent="0.2">
      <c r="B49" s="3" t="s">
        <v>52</v>
      </c>
      <c r="C49" s="4" t="e">
        <f>ROUND(#REF!/1000, 2)</f>
        <v>#REF!</v>
      </c>
      <c r="D49" s="4" t="e">
        <f t="shared" si="0"/>
        <v>#REF!</v>
      </c>
      <c r="F49" s="4"/>
      <c r="G49" s="4"/>
      <c r="I49" s="5" t="e">
        <f>1-(F49-C49)/((G2-1)*C49)</f>
        <v>#REF!</v>
      </c>
    </row>
    <row r="50" spans="2:9" x14ac:dyDescent="0.2">
      <c r="B50" s="3" t="s">
        <v>53</v>
      </c>
      <c r="C50" s="4">
        <f>ROUND(AMP!F2/1000, 2)</f>
        <v>238.4</v>
      </c>
      <c r="D50" s="4">
        <f t="shared" si="0"/>
        <v>238.4</v>
      </c>
      <c r="F50" s="4"/>
      <c r="G50" s="4"/>
      <c r="I50" s="5">
        <f>1-(F50-C50)/((G2-1)*C50)</f>
        <v>1.3333333333333333</v>
      </c>
    </row>
    <row r="52" spans="2:9" ht="21" x14ac:dyDescent="0.2">
      <c r="B52" s="1" t="s">
        <v>54</v>
      </c>
      <c r="C52" s="6" t="e">
        <f>SUM(C4:C50)</f>
        <v>#REF!</v>
      </c>
      <c r="D52" s="6" t="e">
        <f>SUM(D4:D50)</f>
        <v>#REF!</v>
      </c>
      <c r="F52" s="6">
        <f>SUM(F4:F50)</f>
        <v>0</v>
      </c>
      <c r="G52" s="6">
        <f>SUM(G4:G50)</f>
        <v>0</v>
      </c>
      <c r="I52" s="7" t="e">
        <f>1-(F52-C52)/((G2-1)*C52)</f>
        <v>#REF!</v>
      </c>
    </row>
  </sheetData>
  <hyperlinks>
    <hyperlink ref="B4" location="IO_JTAG!A1" display="IO_JTAG" xr:uid="{00000000-0004-0000-0000-000000000000}"/>
    <hyperlink ref="B5" location="ADCDFT!A1" display="ADCDFT" xr:uid="{00000000-0004-0000-0000-000001000000}"/>
    <hyperlink ref="B6" location="MTRICTS!A1" display="MTRICTS" xr:uid="{00000000-0004-0000-0000-000002000000}"/>
    <hyperlink ref="B7" location="NTSE!A1" display="NTSE" xr:uid="{00000000-0004-0000-0000-000003000000}"/>
    <hyperlink ref="B8" location="NTSR!A1" display="NTSR" xr:uid="{00000000-0004-0000-0000-000004000000}"/>
    <hyperlink ref="B9" location="MISC!A1" display="MISC" xr:uid="{00000000-0004-0000-0000-000005000000}"/>
    <hyperlink ref="B10" location="FRO!A1" display="FRO" xr:uid="{00000000-0004-0000-0000-000006000000}"/>
    <hyperlink ref="B11" location="CPLL!A1" display="CPLL" xr:uid="{00000000-0004-0000-0000-000007000000}"/>
    <hyperlink ref="B12" location="ADCLK!A1" display="ADCLK" xr:uid="{00000000-0004-0000-0000-000008000000}"/>
    <hyperlink ref="B13" location="LAPLL!A1" display="LAPLL" xr:uid="{00000000-0004-0000-0000-000009000000}"/>
    <hyperlink ref="B14" location="PCIEREFGEN!A1" display="PCIEREFGEN" xr:uid="{00000000-0004-0000-0000-00000A000000}"/>
    <hyperlink ref="B15" location="PCIE5CMN!A1" display="PCIE5CMN" xr:uid="{00000000-0004-0000-0000-00000B000000}"/>
    <hyperlink ref="B16" location="ACIPHYCMN!A1" display="ACIPHYCMN" xr:uid="{00000000-0004-0000-0000-00000C000000}"/>
    <hyperlink ref="B17" location="ACIOPHYCMN!A1" display="ACIOPHYCMN" xr:uid="{00000000-0004-0000-0000-00000D000000}"/>
    <hyperlink ref="B18" location="LPDPTXCMN!A1" display="LPDPTXCMN" xr:uid="{00000000-0004-0000-0000-00000E000000}"/>
    <hyperlink ref="B19" location="AMPCMN!A1" display="AMPCMN" xr:uid="{00000000-0004-0000-0000-00000F000000}"/>
    <hyperlink ref="B20" location="PCIEREFPLL!A1" display="PCIEREFPLL" xr:uid="{00000000-0004-0000-0000-000010000000}"/>
    <hyperlink ref="B21" location="PCIEPLL!A1" display="PCIEPLL" xr:uid="{00000000-0004-0000-0000-000011000000}"/>
    <hyperlink ref="B22" location="CIOCIOPLL_!A1" display="CIOCIOPLL_" xr:uid="{00000000-0004-0000-0000-000012000000}"/>
    <hyperlink ref="B23" location="CIODPPLL!A1" display="CIODPPLL" xr:uid="{00000000-0004-0000-0000-000013000000}"/>
    <hyperlink ref="B24" location="LPDPDPPLL_!A1" display="LPDPDPPLL_" xr:uid="{00000000-0004-0000-0000-000014000000}"/>
    <hyperlink ref="B25" location="LPDDRPLL!A1" display="LPDDRPLL" xr:uid="{00000000-0004-0000-0000-000015000000}"/>
    <hyperlink ref="B26" location="HSCSAROSC!A1" display="HSCSAROSC" xr:uid="{00000000-0004-0000-0000-000016000000}"/>
    <hyperlink ref="B27" location="ULPPLL!A1" display="ULPPLL" xr:uid="{00000000-0004-0000-0000-000017000000}"/>
    <hyperlink ref="B28" location="FLPPLL!A1" display="FLPPLL" xr:uid="{00000000-0004-0000-0000-000018000000}"/>
    <hyperlink ref="B29" location="SEPVMC!A1" display="SEPVMC" xr:uid="{00000000-0004-0000-0000-000019000000}"/>
    <hyperlink ref="B30" location="SEPF2M!A1" display="SEPF2M" xr:uid="{00000000-0004-0000-0000-00001A000000}"/>
    <hyperlink ref="B31" location="MIDBIASLDO!A1" display="MIDBIASLDO" xr:uid="{00000000-0004-0000-0000-00001B000000}"/>
    <hyperlink ref="B32" location="ADC!A1" display="ADC" xr:uid="{00000000-0004-0000-0000-00001C000000}"/>
    <hyperlink ref="B33" location="ACIOPHY!A1" display="ACIOPHY" xr:uid="{00000000-0004-0000-0000-00001D000000}"/>
    <hyperlink ref="B34" location="ACIPHY!A1" display="ACIPHY" xr:uid="{00000000-0004-0000-0000-00001E000000}"/>
    <hyperlink ref="B35" location="LPDPTX!A1" display="LPDPTX" xr:uid="{00000000-0004-0000-0000-00001F000000}"/>
    <hyperlink ref="B36" location="PCIE5!A1" display="PCIE5" xr:uid="{00000000-0004-0000-0000-000020000000}"/>
    <hyperlink ref="B37" location="NTSX!A1" display="NTSX" xr:uid="{00000000-0004-0000-0000-000021000000}"/>
    <hyperlink ref="B38" location="PCIEREFBUF!A1" display="PCIEREFBUF" xr:uid="{00000000-0004-0000-0000-000022000000}"/>
    <hyperlink ref="B39" location="USB!A1" display="USB" xr:uid="{00000000-0004-0000-0000-000023000000}"/>
    <hyperlink ref="B40" location="DSGRINGS!A1" display="DSGRINGS" xr:uid="{00000000-0004-0000-0000-000024000000}"/>
    <hyperlink ref="B41" location="NPMS!A1" display="NPMS" xr:uid="{00000000-0004-0000-0000-000025000000}"/>
    <hyperlink ref="B42" location="DAPS!A1" display="DAPS" xr:uid="{00000000-0004-0000-0000-000026000000}"/>
    <hyperlink ref="B43" location="NCKM!A1" display="NCKM" xr:uid="{00000000-0004-0000-0000-000027000000}"/>
    <hyperlink ref="B44" location="LLPSMNPP!A1" display="LLPSMNPP" xr:uid="{00000000-0004-0000-0000-000028000000}"/>
    <hyperlink ref="B45" location="ABSMIN!A1" display="ABSMIN" xr:uid="{00000000-0004-0000-0000-000029000000}"/>
    <hyperlink ref="B46" location="IVDM!A1" display="IVDM" xr:uid="{00000000-0004-0000-0000-00002A000000}"/>
    <hyperlink ref="B47" location="DSGVTHSENSOR!A1" display="DSGVTHSENSOR" xr:uid="{00000000-0004-0000-0000-00002B000000}"/>
    <hyperlink ref="B48" location="PWRDET!A1" display="PWRDET" xr:uid="{00000000-0004-0000-0000-00002C000000}"/>
    <hyperlink ref="B49" location="CLKMON!A1" display="CLKMON" xr:uid="{00000000-0004-0000-0000-00002D000000}"/>
    <hyperlink ref="B50" location="AMP!A1" display="AMP" xr:uid="{00000000-0004-0000-0000-00002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8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60" customWidth="1"/>
    <col min="4" max="4" width="13" customWidth="1"/>
    <col min="5" max="5" width="10" hidden="1" customWidth="1"/>
    <col min="6" max="7" width="8" hidden="1" customWidth="1"/>
    <col min="8" max="11" width="10" customWidth="1"/>
    <col min="12" max="12" width="8.1640625" customWidth="1"/>
    <col min="13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SUM(E5:G18)</f>
        <v>12678.02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7</v>
      </c>
      <c r="B5" s="8" t="s">
        <v>70</v>
      </c>
      <c r="C5" s="8" t="s">
        <v>71</v>
      </c>
      <c r="D5" s="4"/>
      <c r="E5" s="4">
        <v>317.39999999999998</v>
      </c>
      <c r="F5" s="4">
        <v>48.33</v>
      </c>
      <c r="G5" s="4">
        <v>115.44</v>
      </c>
      <c r="H5" s="4" t="s">
        <v>1998</v>
      </c>
      <c r="I5" s="4" t="s">
        <v>1998</v>
      </c>
      <c r="J5" s="4" t="s">
        <v>63</v>
      </c>
      <c r="K5" s="4" t="s">
        <v>1999</v>
      </c>
      <c r="L5" s="4"/>
      <c r="M5" s="4"/>
      <c r="N5" s="4"/>
      <c r="O5" s="4"/>
    </row>
    <row r="6" spans="1:15" x14ac:dyDescent="0.2">
      <c r="A6" s="8" t="s">
        <v>7</v>
      </c>
      <c r="B6" s="8" t="s">
        <v>72</v>
      </c>
      <c r="C6" s="8" t="s">
        <v>73</v>
      </c>
      <c r="D6" s="4"/>
      <c r="E6" s="4">
        <v>152.59</v>
      </c>
      <c r="F6" s="4">
        <v>53.44</v>
      </c>
      <c r="G6" s="4">
        <v>105.33</v>
      </c>
      <c r="H6" s="4" t="s">
        <v>1999</v>
      </c>
      <c r="I6" s="4" t="s">
        <v>1998</v>
      </c>
      <c r="J6" s="4" t="s">
        <v>1999</v>
      </c>
      <c r="K6" s="4" t="s">
        <v>1998</v>
      </c>
      <c r="L6" s="4"/>
      <c r="M6" s="4"/>
      <c r="N6" s="4"/>
      <c r="O6" s="4"/>
    </row>
    <row r="7" spans="1:15" x14ac:dyDescent="0.2">
      <c r="A7" s="8" t="s">
        <v>7</v>
      </c>
      <c r="B7" s="8" t="s">
        <v>74</v>
      </c>
      <c r="C7" s="8" t="s">
        <v>75</v>
      </c>
      <c r="D7" s="4"/>
      <c r="E7" s="4">
        <v>106.9</v>
      </c>
      <c r="F7" s="4">
        <v>67.06</v>
      </c>
      <c r="G7" s="4">
        <v>106.69</v>
      </c>
      <c r="H7" s="4" t="s">
        <v>1998</v>
      </c>
      <c r="I7" s="4" t="s">
        <v>1998</v>
      </c>
      <c r="J7" s="4"/>
      <c r="K7" s="4"/>
      <c r="L7" s="4"/>
      <c r="M7" s="4"/>
      <c r="N7" s="4"/>
      <c r="O7" s="4"/>
    </row>
    <row r="8" spans="1:15" x14ac:dyDescent="0.2">
      <c r="A8" s="8" t="s">
        <v>7</v>
      </c>
      <c r="B8" s="8" t="s">
        <v>76</v>
      </c>
      <c r="C8" s="8" t="s">
        <v>77</v>
      </c>
      <c r="D8" s="4"/>
      <c r="E8" s="4">
        <v>143.24</v>
      </c>
      <c r="F8" s="4">
        <v>142.6</v>
      </c>
      <c r="G8" s="4">
        <v>140.26</v>
      </c>
      <c r="H8" s="4" t="s">
        <v>1998</v>
      </c>
      <c r="I8" s="4" t="s">
        <v>1998</v>
      </c>
      <c r="J8" s="4"/>
      <c r="K8" s="4"/>
      <c r="L8" s="4"/>
      <c r="M8" s="4"/>
      <c r="N8" s="4"/>
      <c r="O8" s="4"/>
    </row>
    <row r="9" spans="1:15" x14ac:dyDescent="0.2">
      <c r="A9" s="8" t="s">
        <v>7</v>
      </c>
      <c r="B9" s="8" t="s">
        <v>78</v>
      </c>
      <c r="C9" s="8" t="s">
        <v>79</v>
      </c>
      <c r="D9" s="4"/>
      <c r="E9" s="4">
        <v>732.4</v>
      </c>
      <c r="F9" s="4">
        <v>769.14</v>
      </c>
      <c r="G9" s="4">
        <v>641.41</v>
      </c>
      <c r="H9" s="4" t="s">
        <v>64</v>
      </c>
      <c r="I9" s="4" t="s">
        <v>62</v>
      </c>
      <c r="J9" s="4"/>
      <c r="K9" s="4"/>
      <c r="L9" s="4"/>
      <c r="M9" s="4"/>
      <c r="N9" s="4"/>
      <c r="O9" s="4"/>
    </row>
    <row r="10" spans="1:15" x14ac:dyDescent="0.2">
      <c r="A10" s="8" t="s">
        <v>7</v>
      </c>
      <c r="B10" s="8" t="s">
        <v>80</v>
      </c>
      <c r="C10" s="8" t="s">
        <v>81</v>
      </c>
      <c r="D10" s="4"/>
      <c r="E10" s="4">
        <v>385.19</v>
      </c>
      <c r="F10" s="4">
        <v>388.03</v>
      </c>
      <c r="G10" s="4">
        <v>414.77</v>
      </c>
      <c r="H10" s="4" t="s">
        <v>64</v>
      </c>
      <c r="I10" s="4" t="s">
        <v>62</v>
      </c>
      <c r="J10" s="4"/>
      <c r="K10" s="4"/>
      <c r="L10" s="4"/>
      <c r="M10" s="4"/>
      <c r="N10" s="4"/>
      <c r="O10" s="4"/>
    </row>
    <row r="11" spans="1:15" x14ac:dyDescent="0.2">
      <c r="A11" s="8" t="s">
        <v>7</v>
      </c>
      <c r="B11" s="8" t="s">
        <v>82</v>
      </c>
      <c r="C11" s="8" t="s">
        <v>81</v>
      </c>
      <c r="D11" s="4"/>
      <c r="E11" s="4">
        <v>367.07</v>
      </c>
      <c r="F11" s="4">
        <v>370.66</v>
      </c>
      <c r="G11" s="4">
        <v>340.23</v>
      </c>
      <c r="H11" s="4" t="s">
        <v>64</v>
      </c>
      <c r="I11" s="4" t="s">
        <v>62</v>
      </c>
      <c r="J11" s="4"/>
      <c r="K11" s="4"/>
      <c r="L11" s="4"/>
      <c r="M11" s="4"/>
      <c r="N11" s="4"/>
      <c r="O11" s="4"/>
    </row>
    <row r="12" spans="1:15" x14ac:dyDescent="0.2">
      <c r="A12" s="8" t="s">
        <v>7</v>
      </c>
      <c r="B12" s="8" t="s">
        <v>83</v>
      </c>
      <c r="C12" s="8" t="s">
        <v>84</v>
      </c>
      <c r="D12" s="4"/>
      <c r="E12" s="4">
        <v>381.43</v>
      </c>
      <c r="F12" s="4">
        <v>404.87</v>
      </c>
      <c r="G12" s="4">
        <v>438.84</v>
      </c>
      <c r="H12" s="4" t="s">
        <v>64</v>
      </c>
      <c r="I12" s="4" t="s">
        <v>62</v>
      </c>
      <c r="J12" s="4"/>
      <c r="K12" s="4"/>
      <c r="L12" s="4"/>
      <c r="M12" s="4"/>
      <c r="N12" s="4"/>
      <c r="O12" s="4"/>
    </row>
    <row r="13" spans="1:15" x14ac:dyDescent="0.2">
      <c r="A13" s="8" t="s">
        <v>7</v>
      </c>
      <c r="B13" s="8" t="s">
        <v>85</v>
      </c>
      <c r="C13" s="8" t="s">
        <v>84</v>
      </c>
      <c r="D13" s="4"/>
      <c r="E13" s="4">
        <v>381.9</v>
      </c>
      <c r="F13" s="4">
        <v>327.16000000000003</v>
      </c>
      <c r="G13" s="4">
        <v>239.17</v>
      </c>
      <c r="H13" s="4" t="s">
        <v>64</v>
      </c>
      <c r="I13" s="4" t="s">
        <v>62</v>
      </c>
      <c r="J13" s="4"/>
      <c r="K13" s="4"/>
      <c r="L13" s="4"/>
      <c r="M13" s="4"/>
      <c r="N13" s="4"/>
      <c r="O13" s="4"/>
    </row>
    <row r="14" spans="1:15" x14ac:dyDescent="0.2">
      <c r="A14" s="8" t="s">
        <v>7</v>
      </c>
      <c r="B14" s="8" t="s">
        <v>86</v>
      </c>
      <c r="C14" s="8" t="s">
        <v>87</v>
      </c>
      <c r="D14" s="4"/>
      <c r="E14" s="4">
        <v>426.08</v>
      </c>
      <c r="F14" s="4">
        <v>342.69</v>
      </c>
      <c r="G14" s="4">
        <v>396.5</v>
      </c>
      <c r="H14" s="4" t="s">
        <v>64</v>
      </c>
      <c r="I14" s="4" t="s">
        <v>62</v>
      </c>
      <c r="J14" s="4"/>
      <c r="K14" s="4"/>
      <c r="L14" s="4"/>
      <c r="M14" s="4"/>
      <c r="N14" s="4"/>
      <c r="O14" s="4"/>
    </row>
    <row r="15" spans="1:15" x14ac:dyDescent="0.2">
      <c r="A15" s="8" t="s">
        <v>7</v>
      </c>
      <c r="B15" s="8" t="s">
        <v>88</v>
      </c>
      <c r="C15" s="8" t="s">
        <v>87</v>
      </c>
      <c r="D15" s="4"/>
      <c r="E15" s="4">
        <v>284.51</v>
      </c>
      <c r="F15" s="4">
        <v>286.02</v>
      </c>
      <c r="G15" s="4">
        <v>236.86</v>
      </c>
      <c r="H15" s="4" t="s">
        <v>64</v>
      </c>
      <c r="I15" s="4" t="s">
        <v>62</v>
      </c>
      <c r="J15" s="4"/>
      <c r="K15" s="4"/>
      <c r="L15" s="4"/>
      <c r="M15" s="4"/>
      <c r="N15" s="4"/>
      <c r="O15" s="4"/>
    </row>
    <row r="16" spans="1:15" x14ac:dyDescent="0.2">
      <c r="A16" s="8" t="s">
        <v>7</v>
      </c>
      <c r="B16" s="8" t="s">
        <v>89</v>
      </c>
      <c r="C16" s="8" t="s">
        <v>90</v>
      </c>
      <c r="D16" s="4"/>
      <c r="E16" s="4">
        <v>549.65</v>
      </c>
      <c r="F16" s="4">
        <v>584.1</v>
      </c>
      <c r="G16" s="4">
        <v>492.35</v>
      </c>
      <c r="H16" s="4" t="s">
        <v>64</v>
      </c>
      <c r="I16" s="4" t="s">
        <v>64</v>
      </c>
      <c r="J16" s="4"/>
      <c r="K16" s="4"/>
      <c r="L16" s="4"/>
      <c r="M16" s="4"/>
      <c r="N16" s="4"/>
      <c r="O16" s="4"/>
    </row>
    <row r="17" spans="1:15" x14ac:dyDescent="0.2">
      <c r="A17" s="8" t="s">
        <v>7</v>
      </c>
      <c r="B17" s="8" t="s">
        <v>91</v>
      </c>
      <c r="C17" s="8" t="s">
        <v>92</v>
      </c>
      <c r="D17" s="4"/>
      <c r="E17" s="4">
        <v>126.46</v>
      </c>
      <c r="F17" s="4">
        <v>128.46</v>
      </c>
      <c r="G17" s="4">
        <v>82.82</v>
      </c>
      <c r="H17" s="4" t="s">
        <v>64</v>
      </c>
      <c r="I17" s="4" t="s">
        <v>62</v>
      </c>
      <c r="J17" s="4"/>
      <c r="K17" s="4"/>
      <c r="L17" s="4"/>
      <c r="M17" s="4"/>
      <c r="N17" s="4"/>
      <c r="O17" s="4"/>
    </row>
    <row r="18" spans="1:15" x14ac:dyDescent="0.2">
      <c r="A18" s="8" t="s">
        <v>7</v>
      </c>
      <c r="B18" s="8" t="s">
        <v>93</v>
      </c>
      <c r="C18" s="8" t="s">
        <v>94</v>
      </c>
      <c r="D18" s="4"/>
      <c r="E18" s="4">
        <v>275.02</v>
      </c>
      <c r="F18" s="4">
        <v>248.33</v>
      </c>
      <c r="G18" s="4">
        <v>136.62</v>
      </c>
      <c r="H18" s="4" t="s">
        <v>64</v>
      </c>
      <c r="I18" s="4" t="s">
        <v>62</v>
      </c>
      <c r="J18" s="4"/>
      <c r="K18" s="4"/>
      <c r="L18" s="4"/>
      <c r="M18" s="4"/>
      <c r="N18" s="4"/>
      <c r="O18" s="4"/>
    </row>
  </sheetData>
  <mergeCells count="1">
    <mergeCell ref="E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6"/>
  <sheetViews>
    <sheetView workbookViewId="0">
      <selection activeCell="C44" sqref="C44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57" customWidth="1"/>
    <col min="4" max="4" width="13" customWidth="1"/>
    <col min="5" max="5" width="10" hidden="1" customWidth="1"/>
    <col min="6" max="7" width="9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SUM(E5:G26)</f>
        <v>46456.999999999985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8</v>
      </c>
      <c r="B5" s="8" t="s">
        <v>95</v>
      </c>
      <c r="C5" s="8" t="s">
        <v>96</v>
      </c>
      <c r="D5" s="4"/>
      <c r="E5" s="4">
        <v>1855.37</v>
      </c>
      <c r="F5" s="4">
        <v>2613.7600000000002</v>
      </c>
      <c r="G5" s="4">
        <v>1921.5</v>
      </c>
      <c r="H5" s="4" t="s">
        <v>63</v>
      </c>
      <c r="I5" s="4" t="s">
        <v>63</v>
      </c>
      <c r="J5" s="4" t="s">
        <v>63</v>
      </c>
      <c r="K5" s="4" t="s">
        <v>63</v>
      </c>
      <c r="L5" s="4"/>
      <c r="M5" s="4"/>
      <c r="N5" s="4"/>
      <c r="O5" s="4"/>
    </row>
    <row r="6" spans="1:15" x14ac:dyDescent="0.2">
      <c r="A6" s="8" t="s">
        <v>8</v>
      </c>
      <c r="B6" s="8" t="s">
        <v>97</v>
      </c>
      <c r="C6" s="8" t="s">
        <v>98</v>
      </c>
      <c r="D6" s="4"/>
      <c r="E6" s="4">
        <v>497.39</v>
      </c>
      <c r="F6" s="4">
        <v>443.53</v>
      </c>
      <c r="G6" s="4">
        <v>403.99</v>
      </c>
      <c r="H6" s="4" t="s">
        <v>63</v>
      </c>
      <c r="I6" s="4" t="s">
        <v>63</v>
      </c>
      <c r="J6" s="4" t="s">
        <v>63</v>
      </c>
      <c r="K6" s="4" t="s">
        <v>63</v>
      </c>
      <c r="L6" s="4"/>
      <c r="M6" s="4"/>
      <c r="N6" s="4"/>
      <c r="O6" s="4"/>
    </row>
    <row r="7" spans="1:15" x14ac:dyDescent="0.2">
      <c r="A7" s="8" t="s">
        <v>8</v>
      </c>
      <c r="B7" s="8" t="s">
        <v>99</v>
      </c>
      <c r="C7" s="8" t="s">
        <v>100</v>
      </c>
      <c r="D7" s="4"/>
      <c r="E7" s="4">
        <v>319.63</v>
      </c>
      <c r="F7" s="4">
        <v>454.26</v>
      </c>
      <c r="G7" s="4">
        <v>270.64</v>
      </c>
      <c r="H7" s="4" t="s">
        <v>63</v>
      </c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  <row r="8" spans="1:15" x14ac:dyDescent="0.2">
      <c r="A8" s="8" t="s">
        <v>8</v>
      </c>
      <c r="B8" s="8" t="s">
        <v>101</v>
      </c>
      <c r="C8" s="8" t="s">
        <v>100</v>
      </c>
      <c r="D8" s="4"/>
      <c r="E8" s="4">
        <v>356.68</v>
      </c>
      <c r="F8" s="4">
        <v>313.61</v>
      </c>
      <c r="G8" s="4">
        <v>269.45</v>
      </c>
      <c r="H8" s="4" t="s">
        <v>63</v>
      </c>
      <c r="I8" s="4" t="s">
        <v>63</v>
      </c>
      <c r="J8" s="4" t="s">
        <v>63</v>
      </c>
      <c r="K8" s="4" t="s">
        <v>63</v>
      </c>
      <c r="L8" s="4"/>
      <c r="M8" s="4"/>
      <c r="N8" s="4"/>
      <c r="O8" s="4"/>
    </row>
    <row r="9" spans="1:15" x14ac:dyDescent="0.2">
      <c r="A9" s="8" t="s">
        <v>8</v>
      </c>
      <c r="B9" s="8" t="s">
        <v>102</v>
      </c>
      <c r="C9" s="8" t="s">
        <v>100</v>
      </c>
      <c r="D9" s="4"/>
      <c r="E9" s="4">
        <v>327.10000000000002</v>
      </c>
      <c r="F9" s="4">
        <v>490.59</v>
      </c>
      <c r="G9" s="4">
        <v>269.75</v>
      </c>
      <c r="H9" s="4" t="s">
        <v>63</v>
      </c>
      <c r="I9" s="4" t="s">
        <v>63</v>
      </c>
      <c r="J9" s="4" t="s">
        <v>63</v>
      </c>
      <c r="K9" s="4" t="s">
        <v>63</v>
      </c>
      <c r="L9" s="4"/>
      <c r="M9" s="4"/>
      <c r="N9" s="4"/>
      <c r="O9" s="4"/>
    </row>
    <row r="10" spans="1:15" x14ac:dyDescent="0.2">
      <c r="A10" s="8" t="s">
        <v>8</v>
      </c>
      <c r="B10" s="8" t="s">
        <v>103</v>
      </c>
      <c r="C10" s="8" t="s">
        <v>100</v>
      </c>
      <c r="D10" s="4"/>
      <c r="E10" s="4">
        <v>318.81</v>
      </c>
      <c r="F10" s="4">
        <v>307.92</v>
      </c>
      <c r="G10" s="4">
        <v>271.64</v>
      </c>
      <c r="H10" s="4" t="s">
        <v>63</v>
      </c>
      <c r="I10" s="4" t="s">
        <v>63</v>
      </c>
      <c r="J10" s="4" t="s">
        <v>63</v>
      </c>
      <c r="K10" s="4" t="s">
        <v>63</v>
      </c>
      <c r="L10" s="4"/>
      <c r="M10" s="4"/>
      <c r="N10" s="4"/>
      <c r="O10" s="4"/>
    </row>
    <row r="11" spans="1:15" x14ac:dyDescent="0.2">
      <c r="A11" s="8" t="s">
        <v>8</v>
      </c>
      <c r="B11" s="8" t="s">
        <v>104</v>
      </c>
      <c r="C11" s="8" t="s">
        <v>105</v>
      </c>
      <c r="D11" s="4"/>
      <c r="E11" s="4">
        <v>311.45</v>
      </c>
      <c r="F11" s="4">
        <v>300.08</v>
      </c>
      <c r="G11" s="4">
        <v>261.55</v>
      </c>
      <c r="H11" s="4" t="s">
        <v>63</v>
      </c>
      <c r="I11" s="4"/>
      <c r="J11" s="4"/>
      <c r="K11" s="4"/>
      <c r="L11" s="4"/>
      <c r="M11" s="4"/>
      <c r="N11" s="4"/>
      <c r="O11" s="4"/>
    </row>
    <row r="12" spans="1:15" x14ac:dyDescent="0.2">
      <c r="A12" s="8" t="s">
        <v>8</v>
      </c>
      <c r="B12" s="8" t="s">
        <v>106</v>
      </c>
      <c r="C12" s="8" t="s">
        <v>107</v>
      </c>
      <c r="D12" s="4"/>
      <c r="E12" s="4"/>
      <c r="F12" s="4">
        <v>0.22</v>
      </c>
      <c r="G12" s="4"/>
      <c r="H12" s="4" t="s">
        <v>63</v>
      </c>
      <c r="I12" s="4"/>
      <c r="J12" s="4"/>
      <c r="K12" s="4"/>
      <c r="L12" s="4"/>
      <c r="M12" s="4"/>
      <c r="N12" s="4"/>
      <c r="O12" s="4"/>
    </row>
    <row r="13" spans="1:15" x14ac:dyDescent="0.2">
      <c r="A13" s="8" t="s">
        <v>8</v>
      </c>
      <c r="B13" s="8" t="s">
        <v>106</v>
      </c>
      <c r="C13" s="8" t="s">
        <v>108</v>
      </c>
      <c r="D13" s="4"/>
      <c r="E13" s="4"/>
      <c r="F13" s="4">
        <v>0.66</v>
      </c>
      <c r="G13" s="4"/>
      <c r="H13" s="4"/>
      <c r="I13" s="4" t="s">
        <v>63</v>
      </c>
      <c r="J13" s="4" t="s">
        <v>63</v>
      </c>
      <c r="K13" s="4" t="s">
        <v>63</v>
      </c>
      <c r="L13" s="4"/>
      <c r="M13" s="4"/>
      <c r="N13" s="4"/>
      <c r="O13" s="4"/>
    </row>
    <row r="14" spans="1:15" x14ac:dyDescent="0.2">
      <c r="A14" s="8" t="s">
        <v>8</v>
      </c>
      <c r="B14" s="8" t="s">
        <v>106</v>
      </c>
      <c r="C14" s="8" t="s">
        <v>109</v>
      </c>
      <c r="D14" s="4"/>
      <c r="E14" s="4"/>
      <c r="F14" s="4">
        <v>0.19</v>
      </c>
      <c r="G14" s="4"/>
      <c r="H14" s="4" t="s">
        <v>63</v>
      </c>
      <c r="I14" s="4"/>
      <c r="J14" s="4"/>
      <c r="K14" s="4"/>
      <c r="L14" s="4"/>
      <c r="M14" s="4"/>
      <c r="N14" s="4"/>
      <c r="O14" s="4"/>
    </row>
    <row r="15" spans="1:15" x14ac:dyDescent="0.2">
      <c r="A15" s="8" t="s">
        <v>8</v>
      </c>
      <c r="B15" s="8" t="s">
        <v>106</v>
      </c>
      <c r="C15" s="8" t="s">
        <v>110</v>
      </c>
      <c r="D15" s="4"/>
      <c r="E15" s="4"/>
      <c r="F15" s="4">
        <v>0.59</v>
      </c>
      <c r="G15" s="4"/>
      <c r="H15" s="4"/>
      <c r="I15" s="4" t="s">
        <v>63</v>
      </c>
      <c r="J15" s="4" t="s">
        <v>63</v>
      </c>
      <c r="K15" s="4" t="s">
        <v>63</v>
      </c>
      <c r="L15" s="4"/>
      <c r="M15" s="4"/>
      <c r="N15" s="4"/>
      <c r="O15" s="4"/>
    </row>
    <row r="16" spans="1:15" x14ac:dyDescent="0.2">
      <c r="A16" s="8" t="s">
        <v>8</v>
      </c>
      <c r="B16" s="8" t="s">
        <v>111</v>
      </c>
      <c r="C16" s="8" t="s">
        <v>112</v>
      </c>
      <c r="D16" s="4"/>
      <c r="E16" s="4">
        <v>615.12</v>
      </c>
      <c r="F16" s="4">
        <v>712.6</v>
      </c>
      <c r="G16" s="4">
        <v>553.30999999999995</v>
      </c>
      <c r="H16" s="4" t="s">
        <v>63</v>
      </c>
      <c r="I16" s="4" t="s">
        <v>63</v>
      </c>
      <c r="J16" s="4" t="s">
        <v>63</v>
      </c>
      <c r="K16" s="4" t="s">
        <v>63</v>
      </c>
      <c r="L16" s="4"/>
      <c r="M16" s="4"/>
      <c r="N16" s="4"/>
      <c r="O16" s="4"/>
    </row>
    <row r="17" spans="1:15" x14ac:dyDescent="0.2">
      <c r="A17" s="8" t="s">
        <v>8</v>
      </c>
      <c r="B17" s="8" t="s">
        <v>113</v>
      </c>
      <c r="C17" s="8" t="s">
        <v>114</v>
      </c>
      <c r="D17" s="4"/>
      <c r="E17" s="4">
        <v>4920.3900000000003</v>
      </c>
      <c r="F17" s="4">
        <v>4699.6499999999996</v>
      </c>
      <c r="G17" s="4">
        <v>4448.71</v>
      </c>
      <c r="H17" s="4" t="s">
        <v>63</v>
      </c>
      <c r="I17" s="4" t="s">
        <v>63</v>
      </c>
      <c r="J17" s="4" t="s">
        <v>63</v>
      </c>
      <c r="K17" s="4" t="s">
        <v>63</v>
      </c>
      <c r="L17" s="4"/>
      <c r="M17" s="4"/>
      <c r="N17" s="4"/>
      <c r="O17" s="4"/>
    </row>
    <row r="18" spans="1:15" x14ac:dyDescent="0.2">
      <c r="A18" s="8" t="s">
        <v>8</v>
      </c>
      <c r="B18" s="8" t="s">
        <v>115</v>
      </c>
      <c r="C18" s="8" t="s">
        <v>116</v>
      </c>
      <c r="D18" s="4"/>
      <c r="E18" s="4">
        <v>499.51</v>
      </c>
      <c r="F18" s="4">
        <v>492.94</v>
      </c>
      <c r="G18" s="4">
        <v>414.41</v>
      </c>
      <c r="H18" s="4"/>
      <c r="I18" s="4"/>
      <c r="J18" s="4"/>
      <c r="K18" s="4"/>
      <c r="L18" s="4" t="s">
        <v>1998</v>
      </c>
      <c r="M18" s="4"/>
      <c r="N18" s="4"/>
      <c r="O18" s="4"/>
    </row>
    <row r="19" spans="1:15" x14ac:dyDescent="0.2">
      <c r="A19" s="8" t="s">
        <v>8</v>
      </c>
      <c r="B19" s="8" t="s">
        <v>117</v>
      </c>
      <c r="C19" s="8" t="s">
        <v>118</v>
      </c>
      <c r="D19" s="4"/>
      <c r="E19" s="4">
        <v>360.03</v>
      </c>
      <c r="F19" s="4">
        <v>368.31</v>
      </c>
      <c r="G19" s="4">
        <v>280.99</v>
      </c>
      <c r="H19" s="4"/>
      <c r="I19" s="4"/>
      <c r="J19" s="4"/>
      <c r="K19" s="4"/>
      <c r="L19" s="4" t="s">
        <v>1998</v>
      </c>
      <c r="M19" s="4"/>
      <c r="N19" s="4"/>
      <c r="O19" s="4"/>
    </row>
    <row r="20" spans="1:15" x14ac:dyDescent="0.2">
      <c r="A20" s="8" t="s">
        <v>8</v>
      </c>
      <c r="B20" s="8" t="s">
        <v>119</v>
      </c>
      <c r="C20" s="8" t="s">
        <v>118</v>
      </c>
      <c r="D20" s="4"/>
      <c r="E20" s="4">
        <v>420.05</v>
      </c>
      <c r="F20" s="4">
        <v>411.77</v>
      </c>
      <c r="G20" s="4">
        <v>274.95</v>
      </c>
      <c r="H20" s="4"/>
      <c r="I20" s="4"/>
      <c r="J20" s="4"/>
      <c r="K20" s="4"/>
      <c r="L20" s="4" t="s">
        <v>1998</v>
      </c>
      <c r="M20" s="4"/>
      <c r="N20" s="4"/>
      <c r="O20" s="4"/>
    </row>
    <row r="21" spans="1:15" x14ac:dyDescent="0.2">
      <c r="A21" s="8" t="s">
        <v>8</v>
      </c>
      <c r="B21" s="8" t="s">
        <v>120</v>
      </c>
      <c r="C21" s="8" t="s">
        <v>118</v>
      </c>
      <c r="D21" s="4"/>
      <c r="E21" s="4">
        <v>473.02</v>
      </c>
      <c r="F21" s="4">
        <v>362.15</v>
      </c>
      <c r="G21" s="4">
        <v>327.88</v>
      </c>
      <c r="H21" s="4"/>
      <c r="I21" s="4"/>
      <c r="J21" s="4"/>
      <c r="K21" s="4"/>
      <c r="L21" s="4" t="s">
        <v>1998</v>
      </c>
      <c r="M21" s="4"/>
      <c r="N21" s="4"/>
      <c r="O21" s="4"/>
    </row>
    <row r="22" spans="1:15" x14ac:dyDescent="0.2">
      <c r="A22" s="8" t="s">
        <v>8</v>
      </c>
      <c r="B22" s="8" t="s">
        <v>121</v>
      </c>
      <c r="C22" s="8" t="s">
        <v>122</v>
      </c>
      <c r="D22" s="4"/>
      <c r="E22" s="4">
        <v>602.28</v>
      </c>
      <c r="F22" s="4">
        <v>624.16999999999996</v>
      </c>
      <c r="G22" s="4">
        <v>738.93</v>
      </c>
      <c r="H22" s="4"/>
      <c r="I22" s="4"/>
      <c r="J22" s="4"/>
      <c r="K22" s="4"/>
      <c r="L22" s="4" t="s">
        <v>1998</v>
      </c>
      <c r="M22" s="4"/>
      <c r="N22" s="4"/>
      <c r="O22" s="4"/>
    </row>
    <row r="23" spans="1:15" x14ac:dyDescent="0.2">
      <c r="A23" s="8" t="s">
        <v>8</v>
      </c>
      <c r="B23" s="8" t="s">
        <v>123</v>
      </c>
      <c r="C23" s="8" t="s">
        <v>124</v>
      </c>
      <c r="D23" s="4"/>
      <c r="E23" s="4">
        <v>899.98</v>
      </c>
      <c r="F23" s="4">
        <v>746.12</v>
      </c>
      <c r="G23" s="4">
        <v>808.61</v>
      </c>
      <c r="H23" s="4"/>
      <c r="I23" s="4"/>
      <c r="J23" s="4"/>
      <c r="K23" s="4"/>
      <c r="L23" s="4" t="s">
        <v>1998</v>
      </c>
      <c r="M23" s="4"/>
      <c r="N23" s="4"/>
      <c r="O23" s="4"/>
    </row>
    <row r="24" spans="1:15" x14ac:dyDescent="0.2">
      <c r="A24" s="8" t="s">
        <v>8</v>
      </c>
      <c r="B24" s="8" t="s">
        <v>125</v>
      </c>
      <c r="C24" s="8" t="s">
        <v>126</v>
      </c>
      <c r="D24" s="4"/>
      <c r="E24" s="4">
        <v>1014.75</v>
      </c>
      <c r="F24" s="4">
        <v>851.71</v>
      </c>
      <c r="G24" s="4">
        <v>1033.03</v>
      </c>
      <c r="H24" s="4"/>
      <c r="I24" s="4"/>
      <c r="J24" s="4"/>
      <c r="K24" s="4"/>
      <c r="L24" s="4" t="s">
        <v>1998</v>
      </c>
      <c r="M24" s="4"/>
      <c r="N24" s="4"/>
      <c r="O24" s="4"/>
    </row>
    <row r="25" spans="1:15" x14ac:dyDescent="0.2">
      <c r="A25" s="8" t="s">
        <v>8</v>
      </c>
      <c r="B25" s="8" t="s">
        <v>127</v>
      </c>
      <c r="C25" s="8" t="s">
        <v>128</v>
      </c>
      <c r="D25" s="4"/>
      <c r="E25" s="4">
        <v>1014.53</v>
      </c>
      <c r="F25" s="4">
        <v>971</v>
      </c>
      <c r="G25" s="4">
        <v>1108.99</v>
      </c>
      <c r="H25" s="4"/>
      <c r="I25" s="4"/>
      <c r="J25" s="4"/>
      <c r="K25" s="4"/>
      <c r="L25" s="4" t="s">
        <v>1998</v>
      </c>
      <c r="M25" s="4"/>
      <c r="N25" s="4"/>
      <c r="O25" s="4"/>
    </row>
    <row r="26" spans="1:15" x14ac:dyDescent="0.2">
      <c r="A26" s="8" t="s">
        <v>8</v>
      </c>
      <c r="B26" s="8" t="s">
        <v>129</v>
      </c>
      <c r="C26" s="8" t="s">
        <v>130</v>
      </c>
      <c r="D26" s="4"/>
      <c r="E26" s="4">
        <v>985.13</v>
      </c>
      <c r="F26" s="4">
        <v>878.13</v>
      </c>
      <c r="G26" s="4">
        <v>963.49</v>
      </c>
      <c r="H26" s="4"/>
      <c r="I26" s="4"/>
      <c r="J26" s="4"/>
      <c r="K26" s="4"/>
      <c r="L26" s="4" t="s">
        <v>1998</v>
      </c>
      <c r="M26" s="4"/>
      <c r="N26" s="4"/>
      <c r="O26" s="4"/>
    </row>
  </sheetData>
  <mergeCells count="1">
    <mergeCell ref="E3:G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9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2" customWidth="1"/>
    <col min="4" max="4" width="13" customWidth="1"/>
    <col min="5" max="6" width="10" hidden="1" customWidth="1"/>
    <col min="7" max="7" width="9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SUM(E5:G29)</f>
        <v>64833.889999999985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9</v>
      </c>
      <c r="B5" s="8" t="s">
        <v>131</v>
      </c>
      <c r="C5" s="8" t="s">
        <v>132</v>
      </c>
      <c r="D5" s="4"/>
      <c r="E5" s="4"/>
      <c r="F5" s="4">
        <v>501.97</v>
      </c>
      <c r="G5" s="4"/>
      <c r="H5" s="4" t="s">
        <v>63</v>
      </c>
      <c r="I5" s="4"/>
      <c r="J5" s="4"/>
      <c r="K5" s="4"/>
      <c r="L5" s="4"/>
      <c r="M5" s="4"/>
      <c r="N5" s="4"/>
      <c r="O5" s="4"/>
    </row>
    <row r="6" spans="1:15" x14ac:dyDescent="0.2">
      <c r="A6" s="8" t="s">
        <v>9</v>
      </c>
      <c r="B6" s="8" t="s">
        <v>106</v>
      </c>
      <c r="C6" s="8" t="s">
        <v>133</v>
      </c>
      <c r="D6" s="4"/>
      <c r="E6" s="4"/>
      <c r="F6" s="4">
        <v>0.23</v>
      </c>
      <c r="G6" s="4"/>
      <c r="H6" s="4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9</v>
      </c>
      <c r="B7" s="8" t="s">
        <v>106</v>
      </c>
      <c r="C7" s="8" t="s">
        <v>134</v>
      </c>
      <c r="D7" s="4"/>
      <c r="E7" s="4"/>
      <c r="F7" s="4">
        <v>59.17</v>
      </c>
      <c r="G7" s="4"/>
      <c r="H7" s="4"/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  <row r="8" spans="1:15" x14ac:dyDescent="0.2">
      <c r="A8" s="8" t="s">
        <v>9</v>
      </c>
      <c r="B8" s="8" t="s">
        <v>106</v>
      </c>
      <c r="C8" s="8" t="s">
        <v>135</v>
      </c>
      <c r="D8" s="4"/>
      <c r="E8" s="4"/>
      <c r="F8" s="4">
        <v>31.04</v>
      </c>
      <c r="G8" s="4"/>
      <c r="H8" s="4"/>
      <c r="I8" s="4" t="s">
        <v>63</v>
      </c>
      <c r="J8" s="4"/>
      <c r="K8" s="4"/>
      <c r="L8" s="4"/>
      <c r="M8" s="4"/>
      <c r="N8" s="4"/>
      <c r="O8" s="4"/>
    </row>
    <row r="9" spans="1:15" x14ac:dyDescent="0.2">
      <c r="A9" s="8" t="s">
        <v>9</v>
      </c>
      <c r="B9" s="8" t="s">
        <v>106</v>
      </c>
      <c r="C9" s="8" t="s">
        <v>136</v>
      </c>
      <c r="D9" s="4"/>
      <c r="E9" s="4"/>
      <c r="F9" s="4">
        <v>4.8899999999999997</v>
      </c>
      <c r="G9" s="4"/>
      <c r="H9" s="4"/>
      <c r="I9" s="4"/>
      <c r="J9" s="4" t="s">
        <v>63</v>
      </c>
      <c r="K9" s="4" t="s">
        <v>63</v>
      </c>
      <c r="L9" s="4"/>
      <c r="M9" s="4"/>
      <c r="N9" s="4"/>
      <c r="O9" s="4"/>
    </row>
    <row r="10" spans="1:15" x14ac:dyDescent="0.2">
      <c r="A10" s="8" t="s">
        <v>9</v>
      </c>
      <c r="B10" s="8" t="s">
        <v>106</v>
      </c>
      <c r="C10" s="8" t="s">
        <v>137</v>
      </c>
      <c r="D10" s="4"/>
      <c r="E10" s="4"/>
      <c r="F10" s="4">
        <v>0.26</v>
      </c>
      <c r="G10" s="4"/>
      <c r="H10" s="4" t="s">
        <v>63</v>
      </c>
      <c r="I10" s="4"/>
      <c r="J10" s="4"/>
      <c r="K10" s="4"/>
      <c r="L10" s="4"/>
      <c r="M10" s="4"/>
      <c r="N10" s="4"/>
      <c r="O10" s="4"/>
    </row>
    <row r="11" spans="1:15" x14ac:dyDescent="0.2">
      <c r="A11" s="8" t="s">
        <v>9</v>
      </c>
      <c r="B11" s="8" t="s">
        <v>106</v>
      </c>
      <c r="C11" s="8" t="s">
        <v>138</v>
      </c>
      <c r="D11" s="4"/>
      <c r="E11" s="4"/>
      <c r="F11" s="4">
        <v>58.53</v>
      </c>
      <c r="G11" s="4"/>
      <c r="H11" s="4"/>
      <c r="I11" s="4" t="s">
        <v>63</v>
      </c>
      <c r="J11" s="4" t="s">
        <v>63</v>
      </c>
      <c r="K11" s="4" t="s">
        <v>63</v>
      </c>
      <c r="L11" s="4"/>
      <c r="M11" s="4"/>
      <c r="N11" s="4"/>
      <c r="O11" s="4"/>
    </row>
    <row r="12" spans="1:15" x14ac:dyDescent="0.2">
      <c r="A12" s="8" t="s">
        <v>9</v>
      </c>
      <c r="B12" s="8" t="s">
        <v>106</v>
      </c>
      <c r="C12" s="8" t="s">
        <v>2000</v>
      </c>
      <c r="D12" s="4"/>
      <c r="E12" s="4"/>
      <c r="F12" s="4"/>
      <c r="G12" s="4"/>
      <c r="H12" s="4" t="s">
        <v>63</v>
      </c>
      <c r="I12" s="4"/>
      <c r="J12" s="4"/>
      <c r="K12" s="4"/>
      <c r="L12" s="4"/>
      <c r="M12" s="4"/>
      <c r="N12" s="4"/>
      <c r="O12" s="4"/>
    </row>
    <row r="13" spans="1:15" x14ac:dyDescent="0.2">
      <c r="A13" s="8" t="s">
        <v>9</v>
      </c>
      <c r="B13" s="8" t="s">
        <v>106</v>
      </c>
      <c r="C13" s="8" t="s">
        <v>139</v>
      </c>
      <c r="D13" s="4"/>
      <c r="E13" s="4"/>
      <c r="F13" s="4">
        <v>0.25</v>
      </c>
      <c r="G13" s="4"/>
      <c r="H13" s="4" t="s">
        <v>63</v>
      </c>
      <c r="I13" s="4"/>
      <c r="J13" s="4"/>
      <c r="K13" s="4"/>
      <c r="L13" s="4"/>
      <c r="M13" s="4"/>
      <c r="N13" s="4"/>
      <c r="O13" s="4"/>
    </row>
    <row r="14" spans="1:15" x14ac:dyDescent="0.2">
      <c r="A14" s="8" t="s">
        <v>9</v>
      </c>
      <c r="B14" s="8" t="s">
        <v>106</v>
      </c>
      <c r="C14" s="8" t="s">
        <v>140</v>
      </c>
      <c r="D14" s="4"/>
      <c r="E14" s="4"/>
      <c r="F14" s="4">
        <v>30.28</v>
      </c>
      <c r="G14" s="4"/>
      <c r="H14" s="4"/>
      <c r="I14" s="4" t="s">
        <v>63</v>
      </c>
      <c r="J14" s="4" t="s">
        <v>63</v>
      </c>
      <c r="K14" s="4" t="s">
        <v>63</v>
      </c>
      <c r="L14" s="4"/>
      <c r="M14" s="4"/>
      <c r="N14" s="4"/>
      <c r="O14" s="4"/>
    </row>
    <row r="15" spans="1:15" x14ac:dyDescent="0.2">
      <c r="A15" s="8" t="s">
        <v>9</v>
      </c>
      <c r="B15" s="8" t="s">
        <v>106</v>
      </c>
      <c r="C15" s="8" t="s">
        <v>141</v>
      </c>
      <c r="D15" s="4"/>
      <c r="E15" s="4"/>
      <c r="F15" s="4">
        <v>0.31</v>
      </c>
      <c r="G15" s="4"/>
      <c r="H15" s="4"/>
      <c r="I15" s="4" t="s">
        <v>63</v>
      </c>
      <c r="J15" s="4"/>
      <c r="K15" s="4"/>
      <c r="L15" s="4"/>
      <c r="M15" s="4"/>
      <c r="N15" s="4"/>
      <c r="O15" s="4"/>
    </row>
    <row r="16" spans="1:15" x14ac:dyDescent="0.2">
      <c r="A16" s="8" t="s">
        <v>9</v>
      </c>
      <c r="B16" s="8" t="s">
        <v>106</v>
      </c>
      <c r="C16" s="8" t="s">
        <v>142</v>
      </c>
      <c r="D16" s="4"/>
      <c r="E16" s="4"/>
      <c r="F16" s="4">
        <v>0.7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 t="s">
        <v>9</v>
      </c>
      <c r="B17" s="8" t="s">
        <v>106</v>
      </c>
      <c r="C17" s="8" t="s">
        <v>143</v>
      </c>
      <c r="D17" s="4"/>
      <c r="E17" s="4"/>
      <c r="F17" s="4">
        <v>0.25</v>
      </c>
      <c r="G17" s="4"/>
      <c r="H17" s="4"/>
      <c r="I17" s="4" t="s">
        <v>63</v>
      </c>
      <c r="J17" s="4"/>
      <c r="K17" s="4"/>
      <c r="L17" s="4"/>
      <c r="M17" s="4"/>
      <c r="N17" s="4"/>
      <c r="O17" s="4"/>
    </row>
    <row r="18" spans="1:15" x14ac:dyDescent="0.2">
      <c r="A18" s="8" t="s">
        <v>9</v>
      </c>
      <c r="B18" s="8" t="s">
        <v>106</v>
      </c>
      <c r="C18" s="8" t="s">
        <v>144</v>
      </c>
      <c r="D18" s="4"/>
      <c r="E18" s="4"/>
      <c r="F18" s="4">
        <v>3.64</v>
      </c>
      <c r="G18" s="4"/>
      <c r="H18" s="4"/>
      <c r="I18" s="4"/>
      <c r="J18" s="4" t="s">
        <v>63</v>
      </c>
      <c r="K18" s="4" t="s">
        <v>63</v>
      </c>
      <c r="L18" s="4"/>
      <c r="M18" s="4"/>
      <c r="N18" s="4"/>
      <c r="O18" s="4"/>
    </row>
    <row r="19" spans="1:15" x14ac:dyDescent="0.2">
      <c r="A19" s="8" t="s">
        <v>9</v>
      </c>
      <c r="B19" s="8" t="s">
        <v>145</v>
      </c>
      <c r="C19" s="8" t="s">
        <v>146</v>
      </c>
      <c r="D19" s="4"/>
      <c r="E19" s="4">
        <v>237.6</v>
      </c>
      <c r="F19" s="4">
        <v>335.76</v>
      </c>
      <c r="G19" s="4">
        <v>238.03</v>
      </c>
      <c r="H19" s="4" t="s">
        <v>63</v>
      </c>
      <c r="I19" s="4" t="s">
        <v>63</v>
      </c>
      <c r="J19" s="4"/>
      <c r="K19" s="4"/>
      <c r="L19" s="4"/>
      <c r="M19" s="4"/>
      <c r="N19" s="4"/>
      <c r="O19" s="4"/>
    </row>
    <row r="20" spans="1:15" x14ac:dyDescent="0.2">
      <c r="A20" s="8" t="s">
        <v>9</v>
      </c>
      <c r="B20" s="8" t="s">
        <v>147</v>
      </c>
      <c r="C20" s="8" t="s">
        <v>148</v>
      </c>
      <c r="D20" s="4"/>
      <c r="E20" s="4"/>
      <c r="F20" s="4">
        <v>84.07</v>
      </c>
      <c r="G20" s="4"/>
      <c r="H20" s="4" t="s">
        <v>63</v>
      </c>
      <c r="I20" s="4" t="s">
        <v>63</v>
      </c>
      <c r="J20" s="4"/>
      <c r="K20" s="4"/>
      <c r="L20" s="4"/>
      <c r="M20" s="4"/>
      <c r="N20" s="4"/>
      <c r="O20" s="4"/>
    </row>
    <row r="21" spans="1:15" x14ac:dyDescent="0.2">
      <c r="A21" s="8" t="s">
        <v>9</v>
      </c>
      <c r="B21" s="8" t="s">
        <v>149</v>
      </c>
      <c r="C21" s="8" t="s">
        <v>150</v>
      </c>
      <c r="D21" s="4"/>
      <c r="E21" s="4"/>
      <c r="F21" s="4">
        <v>214.83</v>
      </c>
      <c r="G21" s="4"/>
      <c r="H21" s="4" t="s">
        <v>63</v>
      </c>
      <c r="I21" s="4"/>
      <c r="J21" s="4"/>
      <c r="K21" s="4"/>
      <c r="L21" s="4"/>
      <c r="M21" s="4"/>
      <c r="N21" s="4"/>
      <c r="O21" s="4"/>
    </row>
    <row r="22" spans="1:15" x14ac:dyDescent="0.2">
      <c r="A22" s="8" t="s">
        <v>9</v>
      </c>
      <c r="B22" s="8" t="s">
        <v>151</v>
      </c>
      <c r="C22" s="8" t="s">
        <v>152</v>
      </c>
      <c r="D22" s="4"/>
      <c r="E22" s="4"/>
      <c r="F22" s="4">
        <v>1058.58</v>
      </c>
      <c r="G22" s="4"/>
      <c r="H22" s="4" t="s">
        <v>63</v>
      </c>
      <c r="I22" s="4"/>
      <c r="J22" s="4"/>
      <c r="K22" s="4"/>
      <c r="L22" s="4"/>
      <c r="M22" s="4"/>
      <c r="N22" s="4"/>
      <c r="O22" s="4"/>
    </row>
    <row r="23" spans="1:15" x14ac:dyDescent="0.2">
      <c r="A23" s="8" t="s">
        <v>9</v>
      </c>
      <c r="B23" s="8" t="s">
        <v>153</v>
      </c>
      <c r="C23" s="8" t="s">
        <v>154</v>
      </c>
      <c r="D23" s="4"/>
      <c r="E23" s="4"/>
      <c r="F23" s="4">
        <v>646.77</v>
      </c>
      <c r="G23" s="4"/>
      <c r="H23" s="4" t="s">
        <v>63</v>
      </c>
      <c r="I23" s="4"/>
      <c r="J23" s="4"/>
      <c r="K23" s="4"/>
      <c r="L23" s="4"/>
      <c r="M23" s="4"/>
      <c r="N23" s="4"/>
      <c r="O23" s="4"/>
    </row>
    <row r="24" spans="1:15" x14ac:dyDescent="0.2">
      <c r="A24" s="8" t="s">
        <v>9</v>
      </c>
      <c r="B24" s="8" t="s">
        <v>155</v>
      </c>
      <c r="C24" s="8" t="s">
        <v>156</v>
      </c>
      <c r="D24" s="4"/>
      <c r="E24" s="4">
        <v>3439.35</v>
      </c>
      <c r="F24" s="4">
        <v>3557.25</v>
      </c>
      <c r="G24" s="4">
        <v>5159.21</v>
      </c>
      <c r="H24" s="4" t="s">
        <v>2001</v>
      </c>
      <c r="I24" s="4" t="s">
        <v>2001</v>
      </c>
      <c r="J24" s="4" t="s">
        <v>2001</v>
      </c>
      <c r="K24" s="4" t="s">
        <v>2001</v>
      </c>
      <c r="L24" s="4"/>
      <c r="M24" s="4"/>
      <c r="N24" s="4"/>
      <c r="O24" s="4"/>
    </row>
    <row r="25" spans="1:15" x14ac:dyDescent="0.2">
      <c r="A25" s="8" t="s">
        <v>9</v>
      </c>
      <c r="B25" s="8" t="s">
        <v>157</v>
      </c>
      <c r="C25" s="8" t="s">
        <v>158</v>
      </c>
      <c r="D25" s="4"/>
      <c r="E25" s="4">
        <v>268.27999999999997</v>
      </c>
      <c r="F25" s="4">
        <v>374.38</v>
      </c>
      <c r="G25" s="4">
        <v>296.69</v>
      </c>
      <c r="H25" s="4" t="s">
        <v>63</v>
      </c>
      <c r="I25" s="4" t="s">
        <v>63</v>
      </c>
      <c r="J25" s="4" t="s">
        <v>63</v>
      </c>
      <c r="K25" s="4" t="s">
        <v>63</v>
      </c>
      <c r="L25" s="4"/>
      <c r="M25" s="4"/>
      <c r="N25" s="4"/>
      <c r="O25" s="4"/>
    </row>
    <row r="26" spans="1:15" x14ac:dyDescent="0.2">
      <c r="A26" s="8" t="s">
        <v>9</v>
      </c>
      <c r="B26" s="8" t="s">
        <v>159</v>
      </c>
      <c r="C26" s="8" t="s">
        <v>160</v>
      </c>
      <c r="D26" s="4"/>
      <c r="E26" s="4">
        <v>8279.4599999999991</v>
      </c>
      <c r="F26" s="4">
        <v>20696.939999999999</v>
      </c>
      <c r="G26" s="4">
        <v>8251.1299999999992</v>
      </c>
      <c r="H26" s="4"/>
      <c r="I26" s="4"/>
      <c r="J26" s="4"/>
      <c r="K26" s="4"/>
      <c r="L26" s="4" t="s">
        <v>1998</v>
      </c>
      <c r="M26" s="4"/>
      <c r="N26" s="4"/>
      <c r="O26" s="4"/>
    </row>
    <row r="27" spans="1:15" x14ac:dyDescent="0.2">
      <c r="A27" s="8" t="s">
        <v>9</v>
      </c>
      <c r="B27" s="8" t="s">
        <v>161</v>
      </c>
      <c r="C27" s="8" t="s">
        <v>162</v>
      </c>
      <c r="D27" s="4"/>
      <c r="E27" s="4"/>
      <c r="F27" s="4">
        <v>2574.13</v>
      </c>
      <c r="G27" s="4"/>
      <c r="H27" s="4"/>
      <c r="I27" s="4"/>
      <c r="J27" s="4"/>
      <c r="K27" s="4"/>
      <c r="L27" s="4" t="s">
        <v>1998</v>
      </c>
      <c r="M27" s="4"/>
      <c r="N27" s="4"/>
      <c r="O27" s="4"/>
    </row>
    <row r="28" spans="1:15" x14ac:dyDescent="0.2">
      <c r="A28" s="8" t="s">
        <v>9</v>
      </c>
      <c r="B28" s="8" t="s">
        <v>163</v>
      </c>
      <c r="C28" s="8" t="s">
        <v>164</v>
      </c>
      <c r="D28" s="4"/>
      <c r="E28" s="4">
        <v>1899.68</v>
      </c>
      <c r="F28" s="4">
        <v>1887.03</v>
      </c>
      <c r="G28" s="4">
        <v>1971.06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9</v>
      </c>
      <c r="B29" s="8" t="s">
        <v>165</v>
      </c>
      <c r="C29" s="8" t="s">
        <v>166</v>
      </c>
      <c r="D29" s="4"/>
      <c r="E29" s="4">
        <v>921.43</v>
      </c>
      <c r="F29" s="4">
        <v>885.38</v>
      </c>
      <c r="G29" s="4">
        <v>865.33</v>
      </c>
      <c r="H29" s="4"/>
      <c r="I29" s="4"/>
      <c r="J29" s="4"/>
      <c r="K29" s="4"/>
      <c r="L29" s="4" t="s">
        <v>1998</v>
      </c>
      <c r="M29" s="4"/>
      <c r="N29" s="4"/>
      <c r="O29" s="4"/>
    </row>
  </sheetData>
  <mergeCells count="1">
    <mergeCell ref="E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37"/>
  <sheetViews>
    <sheetView workbookViewId="0">
      <selection activeCell="H42" sqref="H42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7" width="9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SUM(E5:G20)</f>
        <v>8631.83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10</v>
      </c>
      <c r="B5" s="8" t="s">
        <v>167</v>
      </c>
      <c r="C5" s="8" t="s">
        <v>168</v>
      </c>
      <c r="D5" s="4"/>
      <c r="E5" s="4"/>
      <c r="F5" s="4">
        <v>782.98</v>
      </c>
      <c r="G5" s="4"/>
      <c r="H5" s="4" t="s">
        <v>63</v>
      </c>
      <c r="I5" s="4"/>
      <c r="J5" s="4"/>
      <c r="K5" s="4"/>
      <c r="L5" s="4"/>
      <c r="M5" s="4"/>
      <c r="N5" s="4"/>
      <c r="O5" s="4"/>
    </row>
    <row r="6" spans="1:15" x14ac:dyDescent="0.2">
      <c r="A6" s="8" t="s">
        <v>10</v>
      </c>
      <c r="B6" s="8" t="s">
        <v>106</v>
      </c>
      <c r="C6" s="8" t="s">
        <v>169</v>
      </c>
      <c r="D6" s="4"/>
      <c r="E6" s="4"/>
      <c r="F6" s="4">
        <v>0.31</v>
      </c>
      <c r="G6" s="4"/>
      <c r="H6" s="4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10</v>
      </c>
      <c r="B7" s="8" t="s">
        <v>106</v>
      </c>
      <c r="C7" s="8" t="s">
        <v>170</v>
      </c>
      <c r="D7" s="4"/>
      <c r="E7" s="4"/>
      <c r="F7" s="4">
        <v>0.17</v>
      </c>
      <c r="G7" s="4"/>
      <c r="H7" s="4" t="s">
        <v>63</v>
      </c>
      <c r="I7" s="4"/>
      <c r="J7" s="4"/>
      <c r="K7" s="4"/>
      <c r="L7" s="4"/>
      <c r="M7" s="4"/>
      <c r="N7" s="4"/>
      <c r="O7" s="4"/>
    </row>
    <row r="8" spans="1:15" x14ac:dyDescent="0.2">
      <c r="A8" s="8" t="s">
        <v>10</v>
      </c>
      <c r="B8" s="8" t="s">
        <v>106</v>
      </c>
      <c r="C8" s="8" t="s">
        <v>171</v>
      </c>
      <c r="D8" s="4"/>
      <c r="E8" s="4"/>
      <c r="F8" s="4">
        <v>0.31</v>
      </c>
      <c r="G8" s="4"/>
      <c r="H8" s="4"/>
      <c r="I8" s="4"/>
      <c r="J8" s="4" t="s">
        <v>63</v>
      </c>
      <c r="K8" s="4"/>
      <c r="L8" s="4"/>
      <c r="M8" s="4"/>
      <c r="N8" s="4"/>
      <c r="O8" s="4"/>
    </row>
    <row r="9" spans="1:15" x14ac:dyDescent="0.2">
      <c r="A9" s="8" t="s">
        <v>10</v>
      </c>
      <c r="B9" s="8" t="s">
        <v>106</v>
      </c>
      <c r="C9" s="8" t="s">
        <v>172</v>
      </c>
      <c r="D9" s="4"/>
      <c r="E9" s="4"/>
      <c r="F9" s="4">
        <v>8.43</v>
      </c>
      <c r="G9" s="4"/>
      <c r="H9" s="4"/>
      <c r="I9" s="4"/>
      <c r="K9" s="4" t="s">
        <v>63</v>
      </c>
      <c r="L9" s="4"/>
      <c r="M9" s="4"/>
      <c r="N9" s="4"/>
      <c r="O9" s="4"/>
    </row>
    <row r="10" spans="1:15" x14ac:dyDescent="0.2">
      <c r="A10" s="8" t="s">
        <v>10</v>
      </c>
      <c r="B10" s="8" t="s">
        <v>106</v>
      </c>
      <c r="C10" s="8" t="s">
        <v>173</v>
      </c>
      <c r="D10" s="4"/>
      <c r="E10" s="4"/>
      <c r="F10" s="4">
        <v>0.22</v>
      </c>
      <c r="G10" s="4"/>
      <c r="H10" s="4"/>
      <c r="I10" s="4"/>
      <c r="J10" s="4" t="s">
        <v>63</v>
      </c>
      <c r="K10" s="4"/>
      <c r="L10" s="4"/>
      <c r="M10" s="4"/>
      <c r="N10" s="4"/>
      <c r="O10" s="4"/>
    </row>
    <row r="11" spans="1:15" x14ac:dyDescent="0.2">
      <c r="A11" s="8" t="s">
        <v>10</v>
      </c>
      <c r="B11" s="8" t="s">
        <v>106</v>
      </c>
      <c r="C11" s="8" t="s">
        <v>174</v>
      </c>
      <c r="D11" s="4"/>
      <c r="E11" s="4"/>
      <c r="F11" s="4">
        <v>8.41</v>
      </c>
      <c r="G11" s="4"/>
      <c r="H11" s="4"/>
      <c r="I11" s="4"/>
      <c r="K11" s="4" t="s">
        <v>63</v>
      </c>
      <c r="L11" s="4"/>
      <c r="M11" s="4"/>
      <c r="N11" s="4"/>
      <c r="O11" s="4"/>
    </row>
    <row r="12" spans="1:15" x14ac:dyDescent="0.2">
      <c r="A12" s="8" t="s">
        <v>10</v>
      </c>
      <c r="B12" s="8" t="s">
        <v>106</v>
      </c>
      <c r="C12" s="8" t="s">
        <v>175</v>
      </c>
      <c r="D12" s="4"/>
      <c r="E12" s="4"/>
      <c r="F12" s="4">
        <v>0.32</v>
      </c>
      <c r="G12" s="4"/>
      <c r="H12" s="4"/>
      <c r="I12" s="4"/>
      <c r="J12" s="4"/>
      <c r="K12" s="4" t="s">
        <v>63</v>
      </c>
      <c r="L12" s="4"/>
      <c r="M12" s="4"/>
      <c r="N12" s="4"/>
      <c r="O12" s="4"/>
    </row>
    <row r="13" spans="1:15" x14ac:dyDescent="0.2">
      <c r="A13" s="8" t="s">
        <v>10</v>
      </c>
      <c r="B13" s="8" t="s">
        <v>106</v>
      </c>
      <c r="C13" s="8" t="s">
        <v>176</v>
      </c>
      <c r="D13" s="4"/>
      <c r="E13" s="4"/>
      <c r="F13" s="4">
        <v>0.17</v>
      </c>
      <c r="G13" s="4"/>
      <c r="H13" s="4"/>
      <c r="I13" s="4"/>
      <c r="J13" s="4"/>
      <c r="K13" s="4" t="s">
        <v>63</v>
      </c>
      <c r="L13" s="4"/>
      <c r="M13" s="4"/>
      <c r="N13" s="4"/>
      <c r="O13" s="4"/>
    </row>
    <row r="14" spans="1:15" x14ac:dyDescent="0.2">
      <c r="A14" s="8" t="s">
        <v>10</v>
      </c>
      <c r="B14" s="8" t="s">
        <v>106</v>
      </c>
      <c r="C14" s="8" t="s">
        <v>177</v>
      </c>
      <c r="D14" s="4"/>
      <c r="E14" s="4"/>
      <c r="F14" s="4">
        <v>8.5399999999999991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8" t="s">
        <v>10</v>
      </c>
      <c r="B15" s="8" t="s">
        <v>106</v>
      </c>
      <c r="C15" s="8" t="s">
        <v>178</v>
      </c>
      <c r="D15" s="4"/>
      <c r="E15" s="4"/>
      <c r="F15" s="4">
        <v>0.21</v>
      </c>
      <c r="G15" s="4"/>
      <c r="H15" s="4"/>
      <c r="I15" s="4"/>
      <c r="J15" s="4"/>
      <c r="K15" s="4" t="s">
        <v>63</v>
      </c>
      <c r="L15" s="4"/>
      <c r="M15" s="4"/>
      <c r="N15" s="4"/>
      <c r="O15" s="4"/>
    </row>
    <row r="16" spans="1:15" x14ac:dyDescent="0.2">
      <c r="A16" s="8" t="s">
        <v>10</v>
      </c>
      <c r="B16" s="8" t="s">
        <v>106</v>
      </c>
      <c r="C16" s="8" t="s">
        <v>179</v>
      </c>
      <c r="D16" s="4"/>
      <c r="E16" s="4"/>
      <c r="F16" s="4">
        <v>41.98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 t="s">
        <v>10</v>
      </c>
      <c r="B17" s="8" t="s">
        <v>180</v>
      </c>
      <c r="C17" s="8" t="s">
        <v>168</v>
      </c>
      <c r="D17" s="4"/>
      <c r="E17" s="4"/>
      <c r="F17" s="4">
        <v>775.51</v>
      </c>
      <c r="G17" s="4"/>
      <c r="H17" s="4"/>
      <c r="I17" s="4"/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10</v>
      </c>
      <c r="B18" s="8" t="s">
        <v>181</v>
      </c>
      <c r="C18" s="8" t="s">
        <v>168</v>
      </c>
      <c r="D18" s="4"/>
      <c r="E18" s="4"/>
      <c r="F18" s="4">
        <v>885.21</v>
      </c>
      <c r="G18" s="4"/>
      <c r="H18" s="4"/>
      <c r="I18" s="4"/>
      <c r="J18" s="4"/>
      <c r="K18" s="4" t="s">
        <v>63</v>
      </c>
      <c r="L18" s="4"/>
      <c r="M18" s="4"/>
      <c r="N18" s="4"/>
      <c r="O18" s="4"/>
    </row>
    <row r="19" spans="1:15" x14ac:dyDescent="0.2">
      <c r="A19" s="8" t="s">
        <v>10</v>
      </c>
      <c r="B19" s="8" t="s">
        <v>182</v>
      </c>
      <c r="C19" s="8" t="s">
        <v>183</v>
      </c>
      <c r="D19" s="4"/>
      <c r="E19" s="4">
        <v>150.66999999999999</v>
      </c>
      <c r="F19" s="4">
        <v>109.52</v>
      </c>
      <c r="G19" s="4">
        <v>171.92</v>
      </c>
      <c r="H19" s="4"/>
      <c r="I19" s="4"/>
      <c r="J19" s="4"/>
      <c r="K19" s="4" t="s">
        <v>63</v>
      </c>
      <c r="L19" s="4"/>
      <c r="M19" s="4"/>
      <c r="N19" s="4"/>
      <c r="O19" s="4"/>
    </row>
    <row r="20" spans="1:15" x14ac:dyDescent="0.2">
      <c r="A20" s="8" t="s">
        <v>10</v>
      </c>
      <c r="B20" s="8" t="s">
        <v>184</v>
      </c>
      <c r="C20" s="8" t="s">
        <v>185</v>
      </c>
      <c r="D20" s="4"/>
      <c r="E20" s="4">
        <v>1898.97</v>
      </c>
      <c r="F20" s="4">
        <v>1900.84</v>
      </c>
      <c r="G20" s="4">
        <v>1887.14</v>
      </c>
      <c r="H20" s="4" t="s">
        <v>63</v>
      </c>
      <c r="I20" s="4" t="s">
        <v>63</v>
      </c>
      <c r="J20" s="4" t="s">
        <v>63</v>
      </c>
      <c r="K20" s="4" t="s">
        <v>63</v>
      </c>
      <c r="L20" s="4" t="s">
        <v>1998</v>
      </c>
      <c r="M20" s="4"/>
      <c r="N20" s="4"/>
      <c r="O20" s="4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</sheetData>
  <mergeCells count="1">
    <mergeCell ref="E3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6"/>
  <sheetViews>
    <sheetView zoomScale="125" workbookViewId="0"/>
  </sheetViews>
  <sheetFormatPr baseColWidth="10" defaultColWidth="8.83203125" defaultRowHeight="15" x14ac:dyDescent="0.2"/>
  <cols>
    <col min="1" max="1" width="18" customWidth="1"/>
    <col min="2" max="2" width="17" customWidth="1"/>
    <col min="3" max="3" width="61" customWidth="1"/>
    <col min="4" max="4" width="13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SUM(E5:G16)</f>
        <v>1084.3399999999999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11</v>
      </c>
      <c r="B5" s="8" t="s">
        <v>186</v>
      </c>
      <c r="C5" s="8" t="s">
        <v>187</v>
      </c>
      <c r="D5" s="4"/>
      <c r="E5" s="4"/>
      <c r="F5" s="4">
        <v>56.22</v>
      </c>
      <c r="G5" s="4"/>
      <c r="H5" s="4" t="s">
        <v>63</v>
      </c>
      <c r="I5" s="4"/>
      <c r="J5" s="4"/>
      <c r="K5" s="4"/>
      <c r="L5" s="4"/>
      <c r="M5" s="4"/>
      <c r="N5" s="4"/>
      <c r="O5" s="4"/>
    </row>
    <row r="6" spans="1:15" x14ac:dyDescent="0.2">
      <c r="A6" s="8" t="s">
        <v>11</v>
      </c>
      <c r="B6" s="8" t="s">
        <v>106</v>
      </c>
      <c r="C6" s="8" t="s">
        <v>188</v>
      </c>
      <c r="D6" s="4"/>
      <c r="E6" s="4"/>
      <c r="F6" s="4">
        <v>0.27</v>
      </c>
      <c r="G6" s="4"/>
      <c r="H6" s="4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11</v>
      </c>
      <c r="B7" s="8" t="s">
        <v>106</v>
      </c>
      <c r="C7" s="8" t="s">
        <v>189</v>
      </c>
      <c r="D7" s="4"/>
      <c r="E7" s="4"/>
      <c r="F7" s="4">
        <v>121.5</v>
      </c>
      <c r="G7" s="4"/>
      <c r="H7" s="4"/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  <row r="8" spans="1:15" x14ac:dyDescent="0.2">
      <c r="A8" s="8" t="s">
        <v>11</v>
      </c>
      <c r="B8" s="8" t="s">
        <v>106</v>
      </c>
      <c r="C8" s="8" t="s">
        <v>190</v>
      </c>
      <c r="D8" s="4"/>
      <c r="E8" s="4"/>
      <c r="F8" s="4">
        <v>0.28999999999999998</v>
      </c>
      <c r="G8" s="4"/>
      <c r="H8" s="4"/>
      <c r="I8" s="4"/>
      <c r="J8" s="4" t="s">
        <v>63</v>
      </c>
      <c r="K8" s="4"/>
      <c r="L8" s="4"/>
      <c r="M8" s="4"/>
      <c r="N8" s="4"/>
      <c r="O8" s="4"/>
    </row>
    <row r="9" spans="1:15" x14ac:dyDescent="0.2">
      <c r="A9" s="8" t="s">
        <v>11</v>
      </c>
      <c r="B9" s="8" t="s">
        <v>106</v>
      </c>
      <c r="C9" s="8" t="s">
        <v>191</v>
      </c>
      <c r="D9" s="4"/>
      <c r="E9" s="4"/>
      <c r="F9" s="4">
        <v>1.1000000000000001</v>
      </c>
      <c r="G9" s="4"/>
      <c r="H9" s="4"/>
      <c r="I9" s="4"/>
      <c r="J9" s="4"/>
      <c r="K9" s="4" t="s">
        <v>63</v>
      </c>
      <c r="L9" s="4"/>
      <c r="M9" s="4"/>
      <c r="N9" s="4"/>
      <c r="O9" s="4"/>
    </row>
    <row r="10" spans="1:15" x14ac:dyDescent="0.2">
      <c r="A10" s="8" t="s">
        <v>11</v>
      </c>
      <c r="B10" s="8" t="s">
        <v>106</v>
      </c>
      <c r="C10" s="8" t="s">
        <v>192</v>
      </c>
      <c r="D10" s="4"/>
      <c r="E10" s="4"/>
      <c r="F10" s="4">
        <v>0.28999999999999998</v>
      </c>
      <c r="G10" s="4"/>
      <c r="H10" s="4"/>
      <c r="I10" s="4" t="s">
        <v>63</v>
      </c>
      <c r="J10" s="4"/>
      <c r="K10" s="4"/>
      <c r="L10" s="4"/>
      <c r="M10" s="4"/>
      <c r="N10" s="4"/>
      <c r="O10" s="4"/>
    </row>
    <row r="11" spans="1:15" x14ac:dyDescent="0.2">
      <c r="A11" s="8" t="s">
        <v>11</v>
      </c>
      <c r="B11" s="8" t="s">
        <v>106</v>
      </c>
      <c r="C11" s="8" t="s">
        <v>193</v>
      </c>
      <c r="D11" s="4"/>
      <c r="E11" s="4"/>
      <c r="F11" s="4">
        <v>1.06</v>
      </c>
      <c r="G11" s="4"/>
      <c r="H11" s="4"/>
      <c r="I11" s="4"/>
      <c r="J11" s="4" t="s">
        <v>63</v>
      </c>
      <c r="K11" s="4" t="s">
        <v>63</v>
      </c>
      <c r="L11" s="4"/>
      <c r="M11" s="4"/>
      <c r="N11" s="4"/>
      <c r="O11" s="4"/>
    </row>
    <row r="12" spans="1:15" x14ac:dyDescent="0.2">
      <c r="A12" s="8" t="s">
        <v>11</v>
      </c>
      <c r="B12" s="8" t="s">
        <v>194</v>
      </c>
      <c r="C12" s="8" t="s">
        <v>187</v>
      </c>
      <c r="D12" s="4"/>
      <c r="E12" s="4"/>
      <c r="F12" s="4">
        <v>48.24</v>
      </c>
      <c r="G12" s="4"/>
      <c r="H12" s="4"/>
      <c r="J12" s="4" t="s">
        <v>63</v>
      </c>
      <c r="K12" s="4"/>
      <c r="L12" s="4"/>
      <c r="M12" s="4"/>
      <c r="N12" s="4"/>
      <c r="O12" s="4"/>
    </row>
    <row r="13" spans="1:15" x14ac:dyDescent="0.2">
      <c r="A13" s="8" t="s">
        <v>11</v>
      </c>
      <c r="B13" s="8" t="s">
        <v>195</v>
      </c>
      <c r="C13" s="8" t="s">
        <v>187</v>
      </c>
      <c r="D13" s="4"/>
      <c r="E13" s="4"/>
      <c r="F13" s="4">
        <v>45.8</v>
      </c>
      <c r="G13" s="4"/>
      <c r="H13" s="4"/>
      <c r="I13" s="4" t="s">
        <v>63</v>
      </c>
      <c r="K13" s="4"/>
      <c r="L13" s="4"/>
      <c r="M13" s="4"/>
      <c r="N13" s="4"/>
      <c r="O13" s="4"/>
    </row>
    <row r="14" spans="1:15" x14ac:dyDescent="0.2">
      <c r="A14" s="8" t="s">
        <v>11</v>
      </c>
      <c r="B14" s="8" t="s">
        <v>196</v>
      </c>
      <c r="C14" s="8" t="s">
        <v>187</v>
      </c>
      <c r="D14" s="4"/>
      <c r="E14" s="4">
        <v>90.86</v>
      </c>
      <c r="F14" s="4">
        <v>50.74</v>
      </c>
      <c r="G14" s="4">
        <v>58.92</v>
      </c>
      <c r="H14" s="4"/>
      <c r="I14" s="4"/>
      <c r="J14" s="4"/>
      <c r="K14" s="4" t="s">
        <v>63</v>
      </c>
      <c r="L14" s="4"/>
      <c r="M14" s="4"/>
      <c r="N14" s="4"/>
      <c r="O14" s="4"/>
    </row>
    <row r="15" spans="1:15" x14ac:dyDescent="0.2">
      <c r="A15" s="8" t="s">
        <v>11</v>
      </c>
      <c r="B15" s="8" t="s">
        <v>197</v>
      </c>
      <c r="C15" s="8" t="s">
        <v>198</v>
      </c>
      <c r="D15" s="4"/>
      <c r="E15" s="4">
        <v>21.96</v>
      </c>
      <c r="F15" s="4">
        <v>21.49</v>
      </c>
      <c r="G15" s="4">
        <v>21.48</v>
      </c>
      <c r="H15" s="4"/>
      <c r="I15" s="4"/>
      <c r="J15" s="4" t="s">
        <v>63</v>
      </c>
      <c r="K15" s="4" t="s">
        <v>63</v>
      </c>
      <c r="L15" s="4"/>
      <c r="M15" s="4"/>
      <c r="N15" s="4"/>
      <c r="O15" s="4"/>
    </row>
    <row r="16" spans="1:15" x14ac:dyDescent="0.2">
      <c r="A16" s="8" t="s">
        <v>11</v>
      </c>
      <c r="B16" s="8" t="s">
        <v>199</v>
      </c>
      <c r="C16" s="8" t="s">
        <v>200</v>
      </c>
      <c r="D16" s="4"/>
      <c r="E16" s="4">
        <v>170.92</v>
      </c>
      <c r="F16" s="4">
        <v>170.64</v>
      </c>
      <c r="G16" s="4">
        <v>202.56</v>
      </c>
      <c r="H16" s="4"/>
      <c r="I16" s="4"/>
      <c r="J16" s="4"/>
      <c r="K16" s="4"/>
      <c r="L16" s="4" t="s">
        <v>1998</v>
      </c>
      <c r="M16" s="4"/>
      <c r="N16" s="4"/>
      <c r="O16" s="4"/>
    </row>
  </sheetData>
  <mergeCells count="1">
    <mergeCell ref="E3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8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SUM(E5:G18)</f>
        <v>473.14999999999986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12</v>
      </c>
      <c r="B5" s="8" t="s">
        <v>201</v>
      </c>
      <c r="C5" s="8" t="s">
        <v>202</v>
      </c>
      <c r="D5" s="4"/>
      <c r="E5" s="4">
        <v>18.18</v>
      </c>
      <c r="F5" s="4">
        <v>18.05</v>
      </c>
      <c r="G5" s="4">
        <v>18.13</v>
      </c>
      <c r="H5" s="4" t="s">
        <v>1998</v>
      </c>
      <c r="I5" s="4" t="s">
        <v>1998</v>
      </c>
      <c r="J5" s="4"/>
      <c r="K5" s="4" t="s">
        <v>1998</v>
      </c>
      <c r="L5" s="4"/>
      <c r="M5" s="4"/>
      <c r="N5" s="4"/>
      <c r="O5" s="4"/>
    </row>
    <row r="6" spans="1:15" x14ac:dyDescent="0.2">
      <c r="A6" s="8" t="s">
        <v>12</v>
      </c>
      <c r="B6" s="8" t="s">
        <v>203</v>
      </c>
      <c r="C6" s="8" t="s">
        <v>204</v>
      </c>
      <c r="D6" s="4"/>
      <c r="E6" s="4">
        <v>8.85</v>
      </c>
      <c r="F6" s="4">
        <v>8.9600000000000009</v>
      </c>
      <c r="G6" s="4">
        <v>8.7100000000000009</v>
      </c>
      <c r="H6" s="4" t="s">
        <v>1998</v>
      </c>
      <c r="I6" s="4" t="s">
        <v>1998</v>
      </c>
      <c r="J6" s="4"/>
      <c r="K6" s="4" t="s">
        <v>1998</v>
      </c>
      <c r="L6" s="4"/>
      <c r="M6" s="4"/>
      <c r="N6" s="4"/>
      <c r="O6" s="4"/>
    </row>
    <row r="7" spans="1:15" x14ac:dyDescent="0.2">
      <c r="A7" s="8" t="s">
        <v>12</v>
      </c>
      <c r="B7" s="8" t="s">
        <v>205</v>
      </c>
      <c r="C7" s="8" t="s">
        <v>206</v>
      </c>
      <c r="D7" s="4"/>
      <c r="E7" s="4">
        <v>8.76</v>
      </c>
      <c r="F7" s="4">
        <v>8.7200000000000006</v>
      </c>
      <c r="G7" s="4">
        <v>8.68</v>
      </c>
      <c r="H7" s="4" t="s">
        <v>1998</v>
      </c>
      <c r="I7" s="4" t="s">
        <v>1998</v>
      </c>
      <c r="J7" s="4"/>
      <c r="K7" s="4" t="s">
        <v>1998</v>
      </c>
      <c r="L7" s="4"/>
      <c r="M7" s="4"/>
      <c r="N7" s="4"/>
      <c r="O7" s="4"/>
    </row>
    <row r="8" spans="1:15" x14ac:dyDescent="0.2">
      <c r="A8" s="8" t="s">
        <v>12</v>
      </c>
      <c r="B8" s="8" t="s">
        <v>207</v>
      </c>
      <c r="C8" s="8" t="s">
        <v>208</v>
      </c>
      <c r="D8" s="4"/>
      <c r="E8" s="4">
        <v>8.52</v>
      </c>
      <c r="F8" s="4">
        <v>8.52</v>
      </c>
      <c r="G8" s="4">
        <v>8.49</v>
      </c>
      <c r="H8" s="4" t="s">
        <v>1998</v>
      </c>
      <c r="I8" s="4" t="s">
        <v>1998</v>
      </c>
      <c r="J8" s="4"/>
      <c r="K8" s="4" t="s">
        <v>1998</v>
      </c>
      <c r="L8" s="4"/>
      <c r="M8" s="4"/>
      <c r="N8" s="4"/>
      <c r="O8" s="4"/>
    </row>
    <row r="9" spans="1:15" x14ac:dyDescent="0.2">
      <c r="A9" s="8" t="s">
        <v>12</v>
      </c>
      <c r="B9" s="8" t="s">
        <v>209</v>
      </c>
      <c r="C9" s="8" t="s">
        <v>210</v>
      </c>
      <c r="D9" s="4"/>
      <c r="E9" s="4">
        <v>8.59</v>
      </c>
      <c r="F9" s="4">
        <v>8.5399999999999991</v>
      </c>
      <c r="G9" s="4">
        <v>8.5</v>
      </c>
      <c r="H9" s="4" t="s">
        <v>1998</v>
      </c>
      <c r="I9" s="4" t="s">
        <v>1998</v>
      </c>
      <c r="J9" s="4"/>
      <c r="K9" s="4" t="s">
        <v>1998</v>
      </c>
      <c r="L9" s="4"/>
      <c r="M9" s="4"/>
      <c r="N9" s="4"/>
      <c r="O9" s="4"/>
    </row>
    <row r="10" spans="1:15" x14ac:dyDescent="0.2">
      <c r="A10" s="8" t="s">
        <v>12</v>
      </c>
      <c r="B10" s="8" t="s">
        <v>211</v>
      </c>
      <c r="C10" s="8" t="s">
        <v>212</v>
      </c>
      <c r="D10" s="4"/>
      <c r="E10" s="4">
        <v>36.369999999999997</v>
      </c>
      <c r="F10" s="4">
        <v>8.57</v>
      </c>
      <c r="G10" s="4">
        <v>8.5399999999999991</v>
      </c>
      <c r="H10" s="4" t="s">
        <v>1998</v>
      </c>
      <c r="I10" s="4" t="s">
        <v>1998</v>
      </c>
      <c r="J10" s="4"/>
      <c r="K10" s="4" t="s">
        <v>1998</v>
      </c>
      <c r="L10" s="4"/>
      <c r="M10" s="4"/>
      <c r="N10" s="4"/>
      <c r="O10" s="4"/>
    </row>
    <row r="11" spans="1:15" x14ac:dyDescent="0.2">
      <c r="A11" s="8" t="s">
        <v>12</v>
      </c>
      <c r="B11" s="8" t="s">
        <v>213</v>
      </c>
      <c r="C11" s="8" t="s">
        <v>214</v>
      </c>
      <c r="D11" s="4"/>
      <c r="E11" s="4">
        <v>13.9</v>
      </c>
      <c r="F11" s="4">
        <v>8.36</v>
      </c>
      <c r="G11" s="4">
        <v>8.34</v>
      </c>
      <c r="H11" s="4" t="s">
        <v>1998</v>
      </c>
      <c r="I11" s="4" t="s">
        <v>1998</v>
      </c>
      <c r="J11" s="4"/>
      <c r="K11" s="4" t="s">
        <v>1998</v>
      </c>
      <c r="L11" s="4"/>
      <c r="M11" s="4"/>
      <c r="N11" s="4"/>
      <c r="O11" s="4"/>
    </row>
    <row r="12" spans="1:15" x14ac:dyDescent="0.2">
      <c r="A12" s="8" t="s">
        <v>12</v>
      </c>
      <c r="B12" s="8" t="s">
        <v>215</v>
      </c>
      <c r="C12" s="8" t="s">
        <v>216</v>
      </c>
      <c r="D12" s="4"/>
      <c r="E12" s="4">
        <v>20.059999999999999</v>
      </c>
      <c r="F12" s="4">
        <v>19.54</v>
      </c>
      <c r="G12" s="4">
        <v>19.52</v>
      </c>
      <c r="H12" s="4" t="s">
        <v>1998</v>
      </c>
      <c r="I12" s="4" t="s">
        <v>1998</v>
      </c>
      <c r="J12" s="4"/>
      <c r="K12" s="4" t="s">
        <v>1998</v>
      </c>
      <c r="L12" s="4"/>
      <c r="M12" s="4"/>
      <c r="N12" s="4"/>
      <c r="O12" s="4"/>
    </row>
    <row r="13" spans="1:15" x14ac:dyDescent="0.2">
      <c r="A13" s="8" t="s">
        <v>12</v>
      </c>
      <c r="B13" s="8" t="s">
        <v>217</v>
      </c>
      <c r="C13" s="8" t="s">
        <v>218</v>
      </c>
      <c r="D13" s="4"/>
      <c r="E13" s="4">
        <v>8.34</v>
      </c>
      <c r="F13" s="4">
        <v>8.19</v>
      </c>
      <c r="G13" s="4">
        <v>8.11</v>
      </c>
      <c r="H13" s="4" t="s">
        <v>1998</v>
      </c>
      <c r="I13" s="4" t="s">
        <v>1998</v>
      </c>
      <c r="J13" s="4"/>
      <c r="K13" s="4" t="s">
        <v>1998</v>
      </c>
      <c r="L13" s="4"/>
      <c r="M13" s="4"/>
      <c r="N13" s="4"/>
      <c r="O13" s="4"/>
    </row>
    <row r="14" spans="1:15" x14ac:dyDescent="0.2">
      <c r="A14" s="8" t="s">
        <v>12</v>
      </c>
      <c r="B14" s="8" t="s">
        <v>219</v>
      </c>
      <c r="C14" s="8" t="s">
        <v>220</v>
      </c>
      <c r="D14" s="4"/>
      <c r="E14" s="4">
        <v>8.26</v>
      </c>
      <c r="F14" s="4">
        <v>8.1999999999999993</v>
      </c>
      <c r="G14" s="4">
        <v>8.19</v>
      </c>
      <c r="H14" s="4" t="s">
        <v>1998</v>
      </c>
      <c r="I14" s="4" t="s">
        <v>1998</v>
      </c>
      <c r="J14" s="4"/>
      <c r="K14" s="4" t="s">
        <v>1998</v>
      </c>
      <c r="L14" s="4"/>
      <c r="M14" s="4"/>
      <c r="N14" s="4"/>
      <c r="O14" s="4"/>
    </row>
    <row r="15" spans="1:15" x14ac:dyDescent="0.2">
      <c r="A15" s="8" t="s">
        <v>12</v>
      </c>
      <c r="B15" s="8" t="s">
        <v>221</v>
      </c>
      <c r="C15" s="8" t="s">
        <v>222</v>
      </c>
      <c r="D15" s="4"/>
      <c r="E15" s="4">
        <v>9.4</v>
      </c>
      <c r="F15" s="4">
        <v>9.44</v>
      </c>
      <c r="G15" s="4">
        <v>9.3800000000000008</v>
      </c>
      <c r="H15" s="4" t="s">
        <v>1998</v>
      </c>
      <c r="I15" s="4" t="s">
        <v>1998</v>
      </c>
      <c r="J15" s="4"/>
      <c r="K15" s="4" t="s">
        <v>1998</v>
      </c>
      <c r="L15" s="4"/>
      <c r="M15" s="4"/>
      <c r="N15" s="4"/>
      <c r="O15" s="4"/>
    </row>
    <row r="16" spans="1:15" x14ac:dyDescent="0.2">
      <c r="A16" s="8" t="s">
        <v>12</v>
      </c>
      <c r="B16" s="8" t="s">
        <v>223</v>
      </c>
      <c r="C16" s="8" t="s">
        <v>224</v>
      </c>
      <c r="D16" s="4"/>
      <c r="E16" s="4">
        <v>7.38</v>
      </c>
      <c r="F16" s="4">
        <v>7.52</v>
      </c>
      <c r="G16" s="4">
        <v>7.37</v>
      </c>
      <c r="H16" s="4" t="s">
        <v>1998</v>
      </c>
      <c r="I16" s="4" t="s">
        <v>1998</v>
      </c>
      <c r="J16" s="4"/>
      <c r="K16" s="4" t="s">
        <v>1998</v>
      </c>
      <c r="L16" s="4"/>
      <c r="M16" s="4"/>
      <c r="N16" s="4"/>
      <c r="O16" s="4"/>
    </row>
    <row r="17" spans="1:15" x14ac:dyDescent="0.2">
      <c r="A17" s="8" t="s">
        <v>12</v>
      </c>
      <c r="B17" s="8" t="s">
        <v>225</v>
      </c>
      <c r="C17" s="8" t="s">
        <v>226</v>
      </c>
      <c r="D17" s="4"/>
      <c r="E17" s="4">
        <v>7.71</v>
      </c>
      <c r="F17" s="4">
        <v>7.76</v>
      </c>
      <c r="G17" s="4">
        <v>7.74</v>
      </c>
      <c r="H17" s="4" t="s">
        <v>1998</v>
      </c>
      <c r="I17" s="4" t="s">
        <v>1998</v>
      </c>
      <c r="J17" s="4"/>
      <c r="K17" s="4" t="s">
        <v>1998</v>
      </c>
      <c r="L17" s="4"/>
      <c r="M17" s="4"/>
      <c r="N17" s="4"/>
      <c r="O17" s="4"/>
    </row>
    <row r="18" spans="1:15" x14ac:dyDescent="0.2">
      <c r="A18" s="8" t="s">
        <v>12</v>
      </c>
      <c r="B18" s="8" t="s">
        <v>227</v>
      </c>
      <c r="C18" s="8" t="s">
        <v>228</v>
      </c>
      <c r="D18" s="4"/>
      <c r="E18" s="4">
        <v>16.23</v>
      </c>
      <c r="F18" s="4">
        <v>16.52</v>
      </c>
      <c r="G18" s="4">
        <v>16.010000000000002</v>
      </c>
      <c r="H18" s="4" t="s">
        <v>1998</v>
      </c>
      <c r="I18" s="4" t="s">
        <v>1998</v>
      </c>
      <c r="J18" s="4"/>
      <c r="K18" s="4" t="s">
        <v>1998</v>
      </c>
      <c r="L18" s="4"/>
      <c r="M18" s="4"/>
      <c r="N18" s="4"/>
      <c r="O18" s="4"/>
    </row>
  </sheetData>
  <mergeCells count="1">
    <mergeCell ref="E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34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SUM(E5:G8)</f>
        <v>633.69000000000005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13</v>
      </c>
      <c r="B5" s="8" t="s">
        <v>229</v>
      </c>
      <c r="C5" s="8" t="s">
        <v>230</v>
      </c>
      <c r="D5" s="4"/>
      <c r="E5" s="4">
        <v>20.32</v>
      </c>
      <c r="F5" s="4">
        <v>20.9</v>
      </c>
      <c r="G5" s="4">
        <v>21.1</v>
      </c>
      <c r="H5" s="4" t="s">
        <v>63</v>
      </c>
      <c r="I5" s="4"/>
      <c r="J5" s="4"/>
      <c r="K5" s="4"/>
      <c r="L5" s="4"/>
      <c r="M5" s="4"/>
      <c r="N5" s="4"/>
      <c r="O5" s="4"/>
    </row>
    <row r="6" spans="1:15" x14ac:dyDescent="0.2">
      <c r="A6" s="8" t="s">
        <v>13</v>
      </c>
      <c r="B6" s="8" t="s">
        <v>231</v>
      </c>
      <c r="C6" s="8" t="s">
        <v>232</v>
      </c>
      <c r="D6" s="4"/>
      <c r="E6" s="4">
        <v>60.7</v>
      </c>
      <c r="F6" s="4">
        <v>60.64</v>
      </c>
      <c r="G6" s="4">
        <v>60.95</v>
      </c>
      <c r="H6" s="4"/>
      <c r="I6" s="4"/>
      <c r="J6" s="4"/>
      <c r="K6" s="4"/>
      <c r="L6" s="4" t="s">
        <v>1998</v>
      </c>
      <c r="M6" s="4"/>
      <c r="N6" s="4"/>
      <c r="O6" s="4"/>
    </row>
    <row r="7" spans="1:15" x14ac:dyDescent="0.2">
      <c r="A7" s="8" t="s">
        <v>13</v>
      </c>
      <c r="B7" s="8" t="s">
        <v>233</v>
      </c>
      <c r="C7" s="8" t="s">
        <v>234</v>
      </c>
      <c r="D7" s="4"/>
      <c r="E7" s="4">
        <v>70.28</v>
      </c>
      <c r="F7" s="4">
        <v>108.1</v>
      </c>
      <c r="G7" s="4">
        <v>68.63</v>
      </c>
      <c r="H7" s="4"/>
      <c r="I7" s="4"/>
      <c r="J7" s="4"/>
      <c r="K7" s="4"/>
      <c r="L7" s="4" t="s">
        <v>1998</v>
      </c>
      <c r="M7" s="4"/>
      <c r="N7" s="4"/>
      <c r="O7" s="4"/>
    </row>
    <row r="8" spans="1:15" x14ac:dyDescent="0.2">
      <c r="A8" s="8" t="s">
        <v>13</v>
      </c>
      <c r="B8" s="8" t="s">
        <v>235</v>
      </c>
      <c r="C8" s="8" t="s">
        <v>236</v>
      </c>
      <c r="D8" s="4"/>
      <c r="E8" s="4">
        <v>67.540000000000006</v>
      </c>
      <c r="F8" s="4">
        <v>38.07</v>
      </c>
      <c r="G8" s="4">
        <v>36.46</v>
      </c>
      <c r="H8" s="4"/>
      <c r="I8" s="4"/>
      <c r="J8" s="4"/>
      <c r="K8" s="4"/>
      <c r="L8" s="4" t="s">
        <v>1998</v>
      </c>
      <c r="M8" s="4"/>
      <c r="N8" s="4"/>
      <c r="O8" s="4"/>
    </row>
    <row r="33" customFormat="1" x14ac:dyDescent="0.2"/>
    <row r="34" customFormat="1" x14ac:dyDescent="0.2"/>
  </sheetData>
  <mergeCells count="1">
    <mergeCell ref="E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31"/>
  <sheetViews>
    <sheetView workbookViewId="0">
      <selection activeCell="C19" sqref="C19"/>
    </sheetView>
  </sheetViews>
  <sheetFormatPr baseColWidth="10" defaultColWidth="8.83203125" defaultRowHeight="15" x14ac:dyDescent="0.2"/>
  <cols>
    <col min="1" max="2" width="18" customWidth="1"/>
    <col min="3" max="3" width="63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SUM(E5:G131)</f>
        <v>36334.600000000006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14</v>
      </c>
      <c r="B5" s="8" t="s">
        <v>237</v>
      </c>
      <c r="C5" s="8" t="s">
        <v>238</v>
      </c>
      <c r="D5" s="4"/>
      <c r="E5" s="4"/>
      <c r="F5" s="4">
        <v>185.92</v>
      </c>
      <c r="G5" s="4"/>
      <c r="H5" s="4" t="s">
        <v>63</v>
      </c>
      <c r="I5" s="4" t="s">
        <v>63</v>
      </c>
      <c r="J5" s="9" t="s">
        <v>63</v>
      </c>
      <c r="K5" s="4"/>
      <c r="L5" s="4"/>
      <c r="M5" s="4"/>
      <c r="N5" s="4"/>
      <c r="O5" s="4"/>
    </row>
    <row r="6" spans="1:15" x14ac:dyDescent="0.2">
      <c r="A6" s="8" t="s">
        <v>14</v>
      </c>
      <c r="B6" s="8" t="s">
        <v>106</v>
      </c>
      <c r="C6" s="8" t="s">
        <v>239</v>
      </c>
      <c r="D6" s="4"/>
      <c r="E6" s="4"/>
      <c r="F6" s="4">
        <v>0.24</v>
      </c>
      <c r="G6" s="4"/>
      <c r="H6" s="9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14</v>
      </c>
      <c r="B7" s="8" t="s">
        <v>106</v>
      </c>
      <c r="C7" s="8" t="s">
        <v>240</v>
      </c>
      <c r="D7" s="4"/>
      <c r="E7" s="4"/>
      <c r="F7" s="4">
        <v>1.04</v>
      </c>
      <c r="G7" s="4"/>
      <c r="H7" s="4"/>
      <c r="I7" s="9" t="s">
        <v>63</v>
      </c>
      <c r="J7" s="9" t="s">
        <v>63</v>
      </c>
      <c r="K7" s="9" t="s">
        <v>63</v>
      </c>
      <c r="L7" s="4"/>
      <c r="M7" s="4"/>
      <c r="N7" s="4"/>
      <c r="O7" s="4"/>
    </row>
    <row r="8" spans="1:15" x14ac:dyDescent="0.2">
      <c r="A8" s="8" t="s">
        <v>14</v>
      </c>
      <c r="B8" s="8" t="s">
        <v>106</v>
      </c>
      <c r="C8" s="8" t="s">
        <v>241</v>
      </c>
      <c r="D8" s="4"/>
      <c r="E8" s="4"/>
      <c r="F8" s="4">
        <v>0.24</v>
      </c>
      <c r="G8" s="4"/>
      <c r="H8" s="9" t="s">
        <v>63</v>
      </c>
      <c r="I8" s="4"/>
      <c r="J8" s="4"/>
      <c r="K8" s="4"/>
      <c r="L8" s="4"/>
      <c r="M8" s="4"/>
      <c r="N8" s="4"/>
      <c r="O8" s="4"/>
    </row>
    <row r="9" spans="1:15" x14ac:dyDescent="0.2">
      <c r="A9" s="8" t="s">
        <v>14</v>
      </c>
      <c r="B9" s="8" t="s">
        <v>106</v>
      </c>
      <c r="C9" s="8" t="s">
        <v>242</v>
      </c>
      <c r="D9" s="4"/>
      <c r="E9" s="4"/>
      <c r="F9" s="4">
        <v>0.99</v>
      </c>
      <c r="G9" s="4"/>
      <c r="H9" s="4"/>
      <c r="I9" s="9" t="s">
        <v>63</v>
      </c>
      <c r="J9" s="9" t="s">
        <v>63</v>
      </c>
      <c r="K9" s="9" t="s">
        <v>63</v>
      </c>
      <c r="L9" s="4"/>
      <c r="M9" s="4"/>
      <c r="N9" s="4"/>
      <c r="O9" s="4"/>
    </row>
    <row r="10" spans="1:15" x14ac:dyDescent="0.2">
      <c r="A10" s="8" t="s">
        <v>14</v>
      </c>
      <c r="B10" s="8" t="s">
        <v>106</v>
      </c>
      <c r="C10" s="8" t="s">
        <v>243</v>
      </c>
      <c r="D10" s="4"/>
      <c r="E10" s="4"/>
      <c r="F10" s="4">
        <v>0.24</v>
      </c>
      <c r="G10" s="4"/>
      <c r="H10" s="9" t="s">
        <v>63</v>
      </c>
      <c r="I10" s="4"/>
      <c r="J10" s="4"/>
      <c r="K10" s="4"/>
      <c r="L10" s="4"/>
      <c r="M10" s="4"/>
      <c r="N10" s="4"/>
      <c r="O10" s="4"/>
    </row>
    <row r="11" spans="1:15" x14ac:dyDescent="0.2">
      <c r="A11" s="8" t="s">
        <v>14</v>
      </c>
      <c r="B11" s="8" t="s">
        <v>106</v>
      </c>
      <c r="C11" s="8" t="s">
        <v>244</v>
      </c>
      <c r="D11" s="4"/>
      <c r="E11" s="4"/>
      <c r="F11" s="4">
        <v>1.07</v>
      </c>
      <c r="G11" s="4"/>
      <c r="H11" s="4"/>
      <c r="I11" s="9" t="s">
        <v>63</v>
      </c>
      <c r="J11" s="9" t="s">
        <v>63</v>
      </c>
      <c r="K11" s="9" t="s">
        <v>63</v>
      </c>
      <c r="L11" s="4"/>
      <c r="M11" s="4"/>
      <c r="N11" s="4"/>
      <c r="O11" s="4"/>
    </row>
    <row r="12" spans="1:15" x14ac:dyDescent="0.2">
      <c r="A12" s="8" t="s">
        <v>14</v>
      </c>
      <c r="B12" s="8" t="s">
        <v>106</v>
      </c>
      <c r="C12" s="8" t="s">
        <v>245</v>
      </c>
      <c r="D12" s="4"/>
      <c r="E12" s="4"/>
      <c r="F12" s="4">
        <v>0.24</v>
      </c>
      <c r="G12" s="4"/>
      <c r="H12" s="9" t="s">
        <v>63</v>
      </c>
      <c r="I12" s="4"/>
      <c r="J12" s="4"/>
      <c r="K12" s="4"/>
      <c r="L12" s="4"/>
      <c r="M12" s="4"/>
      <c r="N12" s="4"/>
      <c r="O12" s="4"/>
    </row>
    <row r="13" spans="1:15" x14ac:dyDescent="0.2">
      <c r="A13" s="8" t="s">
        <v>14</v>
      </c>
      <c r="B13" s="8" t="s">
        <v>106</v>
      </c>
      <c r="C13" s="8" t="s">
        <v>246</v>
      </c>
      <c r="D13" s="4"/>
      <c r="E13" s="4"/>
      <c r="F13" s="4">
        <v>1.05</v>
      </c>
      <c r="G13" s="4"/>
      <c r="H13" s="4"/>
      <c r="I13" s="9" t="s">
        <v>63</v>
      </c>
      <c r="J13" s="9" t="s">
        <v>63</v>
      </c>
      <c r="K13" s="9" t="s">
        <v>63</v>
      </c>
      <c r="L13" s="4"/>
      <c r="M13" s="4"/>
      <c r="N13" s="4"/>
      <c r="O13" s="4"/>
    </row>
    <row r="14" spans="1:15" x14ac:dyDescent="0.2">
      <c r="A14" s="8" t="s">
        <v>14</v>
      </c>
      <c r="B14" s="8" t="s">
        <v>247</v>
      </c>
      <c r="C14" s="8" t="s">
        <v>248</v>
      </c>
      <c r="D14" s="4"/>
      <c r="E14" s="4">
        <v>132.02000000000001</v>
      </c>
      <c r="F14" s="4">
        <v>123.97</v>
      </c>
      <c r="G14" s="4">
        <v>130.9</v>
      </c>
      <c r="H14" s="4" t="s">
        <v>63</v>
      </c>
      <c r="I14" s="4" t="s">
        <v>63</v>
      </c>
      <c r="J14" s="9" t="s">
        <v>63</v>
      </c>
      <c r="K14" s="4"/>
      <c r="L14" s="4"/>
      <c r="M14" s="4"/>
      <c r="N14" s="4"/>
      <c r="O14" s="4"/>
    </row>
    <row r="15" spans="1:15" x14ac:dyDescent="0.2">
      <c r="A15" s="8" t="s">
        <v>14</v>
      </c>
      <c r="B15" s="8" t="s">
        <v>249</v>
      </c>
      <c r="C15" s="8" t="s">
        <v>250</v>
      </c>
      <c r="D15" s="4"/>
      <c r="E15" s="4">
        <v>60.71</v>
      </c>
      <c r="F15" s="4">
        <v>60.89</v>
      </c>
      <c r="G15" s="4">
        <v>61.06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14</v>
      </c>
      <c r="B16" s="8" t="s">
        <v>251</v>
      </c>
      <c r="C16" s="8" t="s">
        <v>252</v>
      </c>
      <c r="D16" s="4"/>
      <c r="E16" s="4">
        <v>69.39</v>
      </c>
      <c r="F16" s="4">
        <v>68.55</v>
      </c>
      <c r="G16" s="4">
        <v>67.89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14</v>
      </c>
      <c r="B17" s="8" t="s">
        <v>253</v>
      </c>
      <c r="C17" s="8" t="s">
        <v>254</v>
      </c>
      <c r="D17" s="4"/>
      <c r="E17" s="4">
        <v>101.14</v>
      </c>
      <c r="F17" s="4">
        <v>68.86</v>
      </c>
      <c r="G17" s="4">
        <v>67.8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14</v>
      </c>
      <c r="B18" s="8" t="s">
        <v>255</v>
      </c>
      <c r="C18" s="8" t="s">
        <v>256</v>
      </c>
      <c r="D18" s="4"/>
      <c r="E18" s="4">
        <v>68.75</v>
      </c>
      <c r="F18" s="4">
        <v>106.89</v>
      </c>
      <c r="G18" s="4">
        <v>102.57</v>
      </c>
      <c r="H18" s="4" t="s">
        <v>1998</v>
      </c>
      <c r="I18" s="4" t="s">
        <v>1998</v>
      </c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14</v>
      </c>
      <c r="B19" s="8" t="s">
        <v>257</v>
      </c>
      <c r="C19" s="8" t="s">
        <v>258</v>
      </c>
      <c r="D19" s="4"/>
      <c r="E19" s="4">
        <v>68.33</v>
      </c>
      <c r="F19" s="4">
        <v>69.72</v>
      </c>
      <c r="G19" s="4">
        <v>68.48</v>
      </c>
      <c r="H19" s="4" t="s">
        <v>1998</v>
      </c>
      <c r="I19" s="4" t="s">
        <v>1998</v>
      </c>
      <c r="J19" s="4" t="s">
        <v>1998</v>
      </c>
      <c r="K19" s="4" t="s">
        <v>1998</v>
      </c>
      <c r="L19" s="4"/>
      <c r="M19" s="4"/>
      <c r="N19" s="4"/>
      <c r="O19" s="4"/>
    </row>
    <row r="20" spans="1:15" x14ac:dyDescent="0.2">
      <c r="A20" s="8" t="s">
        <v>14</v>
      </c>
      <c r="B20" s="8" t="s">
        <v>259</v>
      </c>
      <c r="C20" s="8" t="s">
        <v>260</v>
      </c>
      <c r="D20" s="4"/>
      <c r="E20" s="4">
        <v>69.260000000000005</v>
      </c>
      <c r="F20" s="4">
        <v>68.87</v>
      </c>
      <c r="G20" s="4">
        <v>67.95</v>
      </c>
      <c r="H20" s="4" t="s">
        <v>1998</v>
      </c>
      <c r="I20" s="4" t="s">
        <v>1998</v>
      </c>
      <c r="J20" s="4" t="s">
        <v>1998</v>
      </c>
      <c r="K20" s="4" t="s">
        <v>1998</v>
      </c>
      <c r="L20" s="4"/>
      <c r="M20" s="4"/>
      <c r="N20" s="4"/>
      <c r="O20" s="4"/>
    </row>
    <row r="21" spans="1:15" x14ac:dyDescent="0.2">
      <c r="A21" s="8" t="s">
        <v>14</v>
      </c>
      <c r="B21" s="8" t="s">
        <v>261</v>
      </c>
      <c r="C21" s="8" t="s">
        <v>262</v>
      </c>
      <c r="D21" s="4"/>
      <c r="E21" s="4">
        <v>122.21</v>
      </c>
      <c r="F21" s="4">
        <v>85.19</v>
      </c>
      <c r="G21" s="4">
        <v>85.06</v>
      </c>
      <c r="H21" s="4" t="s">
        <v>1998</v>
      </c>
      <c r="I21" s="4" t="s">
        <v>1998</v>
      </c>
      <c r="J21" s="4" t="s">
        <v>1998</v>
      </c>
      <c r="K21" s="4" t="s">
        <v>1998</v>
      </c>
      <c r="L21" s="4"/>
      <c r="M21" s="4"/>
      <c r="N21" s="4"/>
      <c r="O21" s="4"/>
    </row>
    <row r="22" spans="1:15" x14ac:dyDescent="0.2">
      <c r="A22" s="8" t="s">
        <v>14</v>
      </c>
      <c r="B22" s="8" t="s">
        <v>263</v>
      </c>
      <c r="C22" s="8" t="s">
        <v>264</v>
      </c>
      <c r="D22" s="4"/>
      <c r="E22" s="4">
        <v>26.46</v>
      </c>
      <c r="F22" s="4">
        <v>25.92</v>
      </c>
      <c r="G22" s="4">
        <v>25.68</v>
      </c>
      <c r="H22" s="4" t="s">
        <v>1998</v>
      </c>
      <c r="I22" s="4" t="s">
        <v>1998</v>
      </c>
      <c r="J22" s="4" t="s">
        <v>1998</v>
      </c>
      <c r="K22" s="4" t="s">
        <v>1998</v>
      </c>
      <c r="L22" s="4"/>
      <c r="M22" s="4"/>
      <c r="N22" s="4"/>
      <c r="O22" s="4"/>
    </row>
    <row r="23" spans="1:15" x14ac:dyDescent="0.2">
      <c r="A23" s="8" t="s">
        <v>14</v>
      </c>
      <c r="B23" s="8" t="s">
        <v>265</v>
      </c>
      <c r="C23" s="8" t="s">
        <v>266</v>
      </c>
      <c r="D23" s="4"/>
      <c r="E23" s="4">
        <v>16.329999999999998</v>
      </c>
      <c r="F23" s="4">
        <v>54.86</v>
      </c>
      <c r="G23" s="4">
        <v>16.95</v>
      </c>
      <c r="H23" s="4" t="s">
        <v>1998</v>
      </c>
      <c r="I23" s="4" t="s">
        <v>1998</v>
      </c>
      <c r="J23" s="4" t="s">
        <v>1998</v>
      </c>
      <c r="K23" s="4" t="s">
        <v>1998</v>
      </c>
      <c r="L23" s="4"/>
      <c r="M23" s="4"/>
      <c r="N23" s="4"/>
      <c r="O23" s="4"/>
    </row>
    <row r="24" spans="1:15" x14ac:dyDescent="0.2">
      <c r="A24" s="8" t="s">
        <v>14</v>
      </c>
      <c r="B24" s="8" t="s">
        <v>267</v>
      </c>
      <c r="C24" s="8" t="s">
        <v>268</v>
      </c>
      <c r="D24" s="4"/>
      <c r="E24" s="4"/>
      <c r="F24" s="4">
        <v>149.91999999999999</v>
      </c>
      <c r="G24" s="4"/>
      <c r="H24" s="4" t="s">
        <v>63</v>
      </c>
      <c r="I24" s="4" t="s">
        <v>63</v>
      </c>
      <c r="J24" s="9" t="s">
        <v>63</v>
      </c>
      <c r="K24" s="4"/>
      <c r="L24" s="4"/>
      <c r="M24" s="4"/>
      <c r="N24" s="4"/>
      <c r="O24" s="4"/>
    </row>
    <row r="25" spans="1:15" x14ac:dyDescent="0.2">
      <c r="A25" s="8" t="s">
        <v>14</v>
      </c>
      <c r="B25" s="8" t="s">
        <v>269</v>
      </c>
      <c r="C25" s="8" t="s">
        <v>270</v>
      </c>
      <c r="D25" s="4"/>
      <c r="E25" s="4"/>
      <c r="F25" s="4">
        <v>119.66</v>
      </c>
      <c r="G25" s="4"/>
      <c r="H25" s="4" t="s">
        <v>63</v>
      </c>
      <c r="I25" s="4" t="s">
        <v>63</v>
      </c>
      <c r="J25" s="9" t="s">
        <v>63</v>
      </c>
      <c r="K25" s="4"/>
      <c r="L25" s="4"/>
      <c r="M25" s="4"/>
      <c r="N25" s="4"/>
      <c r="O25" s="4"/>
    </row>
    <row r="26" spans="1:15" x14ac:dyDescent="0.2">
      <c r="A26" s="8" t="s">
        <v>14</v>
      </c>
      <c r="B26" s="8" t="s">
        <v>271</v>
      </c>
      <c r="C26" s="8" t="s">
        <v>272</v>
      </c>
      <c r="D26" s="4"/>
      <c r="E26" s="4">
        <v>58.97</v>
      </c>
      <c r="F26" s="4">
        <v>60.72</v>
      </c>
      <c r="G26" s="4">
        <v>98.72</v>
      </c>
      <c r="H26" s="4" t="s">
        <v>1998</v>
      </c>
      <c r="I26" s="4" t="s">
        <v>1998</v>
      </c>
      <c r="J26" s="4" t="s">
        <v>1998</v>
      </c>
      <c r="K26" s="4" t="s">
        <v>1998</v>
      </c>
      <c r="L26" s="4"/>
      <c r="M26" s="4"/>
      <c r="N26" s="4"/>
      <c r="O26" s="4"/>
    </row>
    <row r="27" spans="1:15" x14ac:dyDescent="0.2">
      <c r="A27" s="8" t="s">
        <v>14</v>
      </c>
      <c r="B27" s="8" t="s">
        <v>273</v>
      </c>
      <c r="C27" s="8" t="s">
        <v>274</v>
      </c>
      <c r="D27" s="4"/>
      <c r="E27" s="4">
        <v>68.19</v>
      </c>
      <c r="F27" s="4">
        <v>68.7</v>
      </c>
      <c r="G27" s="4">
        <v>68.239999999999995</v>
      </c>
      <c r="H27" s="4" t="s">
        <v>1998</v>
      </c>
      <c r="I27" s="4" t="s">
        <v>1998</v>
      </c>
      <c r="J27" s="4" t="s">
        <v>1998</v>
      </c>
      <c r="K27" s="4" t="s">
        <v>1998</v>
      </c>
      <c r="L27" s="4"/>
      <c r="M27" s="4"/>
      <c r="N27" s="4"/>
      <c r="O27" s="4"/>
    </row>
    <row r="28" spans="1:15" x14ac:dyDescent="0.2">
      <c r="A28" s="8" t="s">
        <v>14</v>
      </c>
      <c r="B28" s="8" t="s">
        <v>275</v>
      </c>
      <c r="C28" s="8" t="s">
        <v>276</v>
      </c>
      <c r="D28" s="4"/>
      <c r="E28" s="4">
        <v>102.24</v>
      </c>
      <c r="F28" s="4">
        <v>102.65</v>
      </c>
      <c r="G28" s="4">
        <v>67.260000000000005</v>
      </c>
      <c r="H28" s="4" t="s">
        <v>1998</v>
      </c>
      <c r="I28" s="4" t="s">
        <v>1998</v>
      </c>
      <c r="J28" s="4" t="s">
        <v>1998</v>
      </c>
      <c r="K28" s="4" t="s">
        <v>1998</v>
      </c>
      <c r="L28" s="4"/>
      <c r="M28" s="4"/>
      <c r="N28" s="4"/>
      <c r="O28" s="4"/>
    </row>
    <row r="29" spans="1:15" x14ac:dyDescent="0.2">
      <c r="A29" s="8" t="s">
        <v>14</v>
      </c>
      <c r="B29" s="8" t="s">
        <v>277</v>
      </c>
      <c r="C29" s="8" t="s">
        <v>278</v>
      </c>
      <c r="D29" s="4"/>
      <c r="E29" s="4">
        <v>74.83</v>
      </c>
      <c r="F29" s="4">
        <v>68.55</v>
      </c>
      <c r="G29" s="4">
        <v>67.67</v>
      </c>
      <c r="H29" s="4" t="s">
        <v>1998</v>
      </c>
      <c r="I29" s="4" t="s">
        <v>1998</v>
      </c>
      <c r="J29" s="4" t="s">
        <v>1998</v>
      </c>
      <c r="K29" s="4" t="s">
        <v>1998</v>
      </c>
      <c r="L29" s="4"/>
      <c r="M29" s="4"/>
      <c r="N29" s="4"/>
      <c r="O29" s="4"/>
    </row>
    <row r="30" spans="1:15" x14ac:dyDescent="0.2">
      <c r="A30" s="8" t="s">
        <v>14</v>
      </c>
      <c r="B30" s="8" t="s">
        <v>279</v>
      </c>
      <c r="C30" s="8" t="s">
        <v>280</v>
      </c>
      <c r="D30" s="4"/>
      <c r="E30" s="4">
        <v>69.09</v>
      </c>
      <c r="F30" s="4">
        <v>69.78</v>
      </c>
      <c r="G30" s="4">
        <v>101.99</v>
      </c>
      <c r="H30" s="4" t="s">
        <v>1998</v>
      </c>
      <c r="I30" s="4" t="s">
        <v>1998</v>
      </c>
      <c r="J30" s="4" t="s">
        <v>1998</v>
      </c>
      <c r="K30" s="4" t="s">
        <v>1998</v>
      </c>
      <c r="L30" s="4"/>
      <c r="M30" s="4"/>
      <c r="N30" s="4"/>
      <c r="O30" s="4"/>
    </row>
    <row r="31" spans="1:15" x14ac:dyDescent="0.2">
      <c r="A31" s="8" t="s">
        <v>14</v>
      </c>
      <c r="B31" s="8" t="s">
        <v>281</v>
      </c>
      <c r="C31" s="8" t="s">
        <v>282</v>
      </c>
      <c r="D31" s="4"/>
      <c r="E31" s="4">
        <v>68.94</v>
      </c>
      <c r="F31" s="4">
        <v>69.599999999999994</v>
      </c>
      <c r="G31" s="4">
        <v>68.84</v>
      </c>
      <c r="H31" s="4" t="s">
        <v>1998</v>
      </c>
      <c r="I31" s="4" t="s">
        <v>1998</v>
      </c>
      <c r="J31" s="4" t="s">
        <v>1998</v>
      </c>
      <c r="K31" s="4" t="s">
        <v>1998</v>
      </c>
      <c r="L31" s="4"/>
      <c r="M31" s="4"/>
      <c r="N31" s="4"/>
      <c r="O31" s="4"/>
    </row>
    <row r="32" spans="1:15" x14ac:dyDescent="0.2">
      <c r="A32" s="8" t="s">
        <v>14</v>
      </c>
      <c r="B32" s="8" t="s">
        <v>283</v>
      </c>
      <c r="C32" s="8" t="s">
        <v>284</v>
      </c>
      <c r="D32" s="4"/>
      <c r="E32" s="4">
        <v>68.63</v>
      </c>
      <c r="F32" s="4">
        <v>121.2</v>
      </c>
      <c r="G32" s="4">
        <v>68.09</v>
      </c>
      <c r="H32" s="4" t="s">
        <v>1998</v>
      </c>
      <c r="I32" s="4" t="s">
        <v>1998</v>
      </c>
      <c r="J32" s="4" t="s">
        <v>1998</v>
      </c>
      <c r="K32" s="4" t="s">
        <v>1998</v>
      </c>
      <c r="L32" s="4"/>
      <c r="M32" s="4"/>
      <c r="N32" s="4"/>
      <c r="O32" s="4"/>
    </row>
    <row r="33" spans="1:15" x14ac:dyDescent="0.2">
      <c r="A33" s="8" t="s">
        <v>14</v>
      </c>
      <c r="B33" s="8" t="s">
        <v>285</v>
      </c>
      <c r="C33" s="8" t="s">
        <v>286</v>
      </c>
      <c r="D33" s="4"/>
      <c r="E33" s="4">
        <v>120.43</v>
      </c>
      <c r="F33" s="4">
        <v>85.35</v>
      </c>
      <c r="G33" s="4">
        <v>85.17</v>
      </c>
      <c r="H33" s="4" t="s">
        <v>1998</v>
      </c>
      <c r="I33" s="4" t="s">
        <v>1998</v>
      </c>
      <c r="J33" s="4" t="s">
        <v>1998</v>
      </c>
      <c r="K33" s="4" t="s">
        <v>1998</v>
      </c>
      <c r="L33" s="4"/>
      <c r="M33" s="4"/>
      <c r="N33" s="4"/>
      <c r="O33" s="4"/>
    </row>
    <row r="34" spans="1:15" x14ac:dyDescent="0.2">
      <c r="A34" s="8" t="s">
        <v>14</v>
      </c>
      <c r="B34" s="8" t="s">
        <v>287</v>
      </c>
      <c r="C34" s="8" t="s">
        <v>288</v>
      </c>
      <c r="D34" s="4"/>
      <c r="E34" s="4">
        <v>32.42</v>
      </c>
      <c r="F34" s="4">
        <v>32.65</v>
      </c>
      <c r="G34" s="4">
        <v>68.81</v>
      </c>
      <c r="H34" s="4" t="s">
        <v>1998</v>
      </c>
      <c r="I34" s="4" t="s">
        <v>1998</v>
      </c>
      <c r="J34" s="4" t="s">
        <v>1998</v>
      </c>
      <c r="K34" s="4" t="s">
        <v>1998</v>
      </c>
      <c r="L34" s="4"/>
      <c r="M34" s="4"/>
      <c r="N34" s="4"/>
      <c r="O34" s="4"/>
    </row>
    <row r="35" spans="1:15" x14ac:dyDescent="0.2">
      <c r="A35" s="8" t="s">
        <v>14</v>
      </c>
      <c r="B35" s="8" t="s">
        <v>289</v>
      </c>
      <c r="C35" s="8" t="s">
        <v>290</v>
      </c>
      <c r="D35" s="4"/>
      <c r="E35" s="4">
        <v>16.86</v>
      </c>
      <c r="F35" s="4">
        <v>16.809999999999999</v>
      </c>
      <c r="G35" s="4">
        <v>18.71</v>
      </c>
      <c r="H35" s="4" t="s">
        <v>1998</v>
      </c>
      <c r="I35" s="4" t="s">
        <v>1998</v>
      </c>
      <c r="J35" s="4" t="s">
        <v>1998</v>
      </c>
      <c r="K35" s="4" t="s">
        <v>1998</v>
      </c>
      <c r="L35" s="4"/>
      <c r="M35" s="4"/>
      <c r="N35" s="4"/>
      <c r="O35" s="4"/>
    </row>
    <row r="36" spans="1:15" x14ac:dyDescent="0.2">
      <c r="A36" s="8" t="s">
        <v>14</v>
      </c>
      <c r="B36" s="8" t="s">
        <v>291</v>
      </c>
      <c r="C36" s="8" t="s">
        <v>292</v>
      </c>
      <c r="D36" s="4"/>
      <c r="E36" s="4">
        <v>16.14</v>
      </c>
      <c r="F36" s="4">
        <v>16.3</v>
      </c>
      <c r="G36" s="4">
        <v>17.079999999999998</v>
      </c>
      <c r="H36" s="4" t="s">
        <v>1998</v>
      </c>
      <c r="I36" s="4" t="s">
        <v>1998</v>
      </c>
      <c r="J36" s="4" t="s">
        <v>1998</v>
      </c>
      <c r="K36" s="4" t="s">
        <v>1998</v>
      </c>
      <c r="L36" s="4"/>
      <c r="M36" s="4"/>
      <c r="N36" s="4"/>
      <c r="O36" s="4"/>
    </row>
    <row r="37" spans="1:15" x14ac:dyDescent="0.2">
      <c r="A37" s="8" t="s">
        <v>14</v>
      </c>
      <c r="B37" s="8" t="s">
        <v>293</v>
      </c>
      <c r="C37" s="8" t="s">
        <v>294</v>
      </c>
      <c r="D37" s="4"/>
      <c r="E37" s="4">
        <v>341.05</v>
      </c>
      <c r="F37" s="4">
        <v>347.59</v>
      </c>
      <c r="G37" s="4">
        <v>312.45999999999998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14</v>
      </c>
      <c r="B38" s="8" t="s">
        <v>295</v>
      </c>
      <c r="C38" s="8" t="s">
        <v>296</v>
      </c>
      <c r="D38" s="4"/>
      <c r="E38" s="4">
        <v>192.96</v>
      </c>
      <c r="F38" s="4">
        <v>192.33</v>
      </c>
      <c r="G38" s="4">
        <v>189.61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14</v>
      </c>
      <c r="B39" s="8" t="s">
        <v>297</v>
      </c>
      <c r="C39" s="8" t="s">
        <v>298</v>
      </c>
      <c r="D39" s="4"/>
      <c r="E39" s="4">
        <v>99.08</v>
      </c>
      <c r="F39" s="4">
        <v>99.96</v>
      </c>
      <c r="G39" s="4">
        <v>128.6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14</v>
      </c>
      <c r="B40" s="8" t="s">
        <v>299</v>
      </c>
      <c r="C40" s="8" t="s">
        <v>300</v>
      </c>
      <c r="D40" s="4"/>
      <c r="E40" s="4">
        <v>142.66999999999999</v>
      </c>
      <c r="F40" s="4">
        <v>144.9</v>
      </c>
      <c r="G40" s="4">
        <v>107.57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14</v>
      </c>
      <c r="B41" s="8" t="s">
        <v>301</v>
      </c>
      <c r="C41" s="8" t="s">
        <v>302</v>
      </c>
      <c r="D41" s="4"/>
      <c r="E41" s="4">
        <v>107.56</v>
      </c>
      <c r="F41" s="4">
        <v>140.76</v>
      </c>
      <c r="G41" s="4">
        <v>138.74</v>
      </c>
      <c r="H41" s="4"/>
      <c r="I41" s="4"/>
      <c r="J41" s="4"/>
      <c r="K41" s="4"/>
      <c r="L41" s="4" t="s">
        <v>1998</v>
      </c>
      <c r="M41" s="4"/>
      <c r="N41" s="4"/>
      <c r="O41" s="4"/>
    </row>
    <row r="42" spans="1:15" x14ac:dyDescent="0.2">
      <c r="A42" s="8" t="s">
        <v>14</v>
      </c>
      <c r="B42" s="8" t="s">
        <v>303</v>
      </c>
      <c r="C42" s="8" t="s">
        <v>304</v>
      </c>
      <c r="D42" s="4"/>
      <c r="E42" s="4">
        <v>144.86000000000001</v>
      </c>
      <c r="F42" s="4">
        <v>108.1</v>
      </c>
      <c r="G42" s="4">
        <v>141.44</v>
      </c>
      <c r="H42" s="4"/>
      <c r="I42" s="4"/>
      <c r="J42" s="4"/>
      <c r="K42" s="4"/>
      <c r="L42" s="4" t="s">
        <v>1998</v>
      </c>
      <c r="M42" s="4"/>
      <c r="N42" s="4"/>
      <c r="O42" s="4"/>
    </row>
    <row r="43" spans="1:15" x14ac:dyDescent="0.2">
      <c r="A43" s="8" t="s">
        <v>14</v>
      </c>
      <c r="B43" s="8" t="s">
        <v>305</v>
      </c>
      <c r="C43" s="8" t="s">
        <v>306</v>
      </c>
      <c r="D43" s="4"/>
      <c r="E43" s="4">
        <v>108.56</v>
      </c>
      <c r="F43" s="4">
        <v>144.16999999999999</v>
      </c>
      <c r="G43" s="4">
        <v>109.57</v>
      </c>
      <c r="H43" s="4"/>
      <c r="I43" s="4"/>
      <c r="J43" s="4"/>
      <c r="K43" s="4"/>
      <c r="L43" s="4" t="s">
        <v>1998</v>
      </c>
      <c r="M43" s="4"/>
      <c r="N43" s="4"/>
      <c r="O43" s="4"/>
    </row>
    <row r="44" spans="1:15" x14ac:dyDescent="0.2">
      <c r="A44" s="8" t="s">
        <v>14</v>
      </c>
      <c r="B44" s="8" t="s">
        <v>307</v>
      </c>
      <c r="C44" s="8" t="s">
        <v>308</v>
      </c>
      <c r="D44" s="4"/>
      <c r="E44" s="4">
        <v>147.5</v>
      </c>
      <c r="F44" s="4">
        <v>107.47</v>
      </c>
      <c r="G44" s="4">
        <v>139.24</v>
      </c>
      <c r="H44" s="4"/>
      <c r="I44" s="4"/>
      <c r="J44" s="4"/>
      <c r="K44" s="4"/>
      <c r="L44" s="4" t="s">
        <v>1998</v>
      </c>
      <c r="M44" s="4"/>
      <c r="N44" s="4"/>
      <c r="O44" s="4"/>
    </row>
    <row r="45" spans="1:15" x14ac:dyDescent="0.2">
      <c r="A45" s="8" t="s">
        <v>14</v>
      </c>
      <c r="B45" s="8" t="s">
        <v>309</v>
      </c>
      <c r="C45" s="8" t="s">
        <v>310</v>
      </c>
      <c r="D45" s="4"/>
      <c r="E45" s="4">
        <v>107.92</v>
      </c>
      <c r="F45" s="4">
        <v>143.41</v>
      </c>
      <c r="G45" s="4">
        <v>136.78</v>
      </c>
      <c r="H45" s="4"/>
      <c r="I45" s="4"/>
      <c r="J45" s="4"/>
      <c r="K45" s="4"/>
      <c r="L45" s="4" t="s">
        <v>1998</v>
      </c>
      <c r="M45" s="4"/>
      <c r="N45" s="4"/>
      <c r="O45" s="4"/>
    </row>
    <row r="46" spans="1:15" x14ac:dyDescent="0.2">
      <c r="A46" s="8" t="s">
        <v>14</v>
      </c>
      <c r="B46" s="8" t="s">
        <v>311</v>
      </c>
      <c r="C46" s="8" t="s">
        <v>312</v>
      </c>
      <c r="D46" s="4"/>
      <c r="E46" s="4">
        <v>136.57</v>
      </c>
      <c r="F46" s="4">
        <v>140.86000000000001</v>
      </c>
      <c r="G46" s="4">
        <v>106.75</v>
      </c>
      <c r="H46" s="4"/>
      <c r="I46" s="4"/>
      <c r="J46" s="4"/>
      <c r="K46" s="4"/>
      <c r="L46" s="4" t="s">
        <v>1998</v>
      </c>
      <c r="M46" s="4"/>
      <c r="N46" s="4"/>
      <c r="O46" s="4"/>
    </row>
    <row r="47" spans="1:15" x14ac:dyDescent="0.2">
      <c r="A47" s="8" t="s">
        <v>14</v>
      </c>
      <c r="B47" s="8" t="s">
        <v>313</v>
      </c>
      <c r="C47" s="8" t="s">
        <v>314</v>
      </c>
      <c r="D47" s="4"/>
      <c r="E47" s="4">
        <v>141.27000000000001</v>
      </c>
      <c r="F47" s="4">
        <v>107.9</v>
      </c>
      <c r="G47" s="4">
        <v>142.25</v>
      </c>
      <c r="H47" s="4"/>
      <c r="I47" s="4"/>
      <c r="J47" s="4"/>
      <c r="K47" s="4"/>
      <c r="L47" s="4" t="s">
        <v>1998</v>
      </c>
      <c r="M47" s="4"/>
      <c r="N47" s="4"/>
      <c r="O47" s="4"/>
    </row>
    <row r="48" spans="1:15" x14ac:dyDescent="0.2">
      <c r="A48" s="8" t="s">
        <v>14</v>
      </c>
      <c r="B48" s="8" t="s">
        <v>315</v>
      </c>
      <c r="C48" s="8" t="s">
        <v>316</v>
      </c>
      <c r="D48" s="4"/>
      <c r="E48" s="4">
        <v>108.04</v>
      </c>
      <c r="F48" s="4">
        <v>140.88999999999999</v>
      </c>
      <c r="G48" s="4">
        <v>106.06</v>
      </c>
      <c r="H48" s="4"/>
      <c r="I48" s="4"/>
      <c r="J48" s="4"/>
      <c r="K48" s="4"/>
      <c r="L48" s="4" t="s">
        <v>1998</v>
      </c>
      <c r="M48" s="4"/>
      <c r="N48" s="4"/>
      <c r="O48" s="4"/>
    </row>
    <row r="49" spans="1:15" x14ac:dyDescent="0.2">
      <c r="A49" s="8" t="s">
        <v>14</v>
      </c>
      <c r="B49" s="8" t="s">
        <v>317</v>
      </c>
      <c r="C49" s="8" t="s">
        <v>318</v>
      </c>
      <c r="D49" s="4"/>
      <c r="E49" s="4">
        <v>141.35</v>
      </c>
      <c r="F49" s="4">
        <v>142.91</v>
      </c>
      <c r="G49" s="4">
        <v>137.56</v>
      </c>
      <c r="H49" s="4"/>
      <c r="I49" s="4"/>
      <c r="J49" s="4"/>
      <c r="K49" s="4"/>
      <c r="L49" s="4" t="s">
        <v>1998</v>
      </c>
      <c r="M49" s="4"/>
      <c r="N49" s="4"/>
      <c r="O49" s="4"/>
    </row>
    <row r="50" spans="1:15" x14ac:dyDescent="0.2">
      <c r="A50" s="8" t="s">
        <v>14</v>
      </c>
      <c r="B50" s="8" t="s">
        <v>319</v>
      </c>
      <c r="C50" s="8" t="s">
        <v>320</v>
      </c>
      <c r="D50" s="4"/>
      <c r="E50" s="4">
        <v>136.85</v>
      </c>
      <c r="F50" s="4">
        <v>107.24</v>
      </c>
      <c r="G50" s="4">
        <v>138.79</v>
      </c>
      <c r="H50" s="4"/>
      <c r="I50" s="4"/>
      <c r="J50" s="4"/>
      <c r="K50" s="4"/>
      <c r="L50" s="4" t="s">
        <v>1998</v>
      </c>
      <c r="M50" s="4"/>
      <c r="N50" s="4"/>
      <c r="O50" s="4"/>
    </row>
    <row r="51" spans="1:15" x14ac:dyDescent="0.2">
      <c r="A51" s="8" t="s">
        <v>14</v>
      </c>
      <c r="B51" s="8" t="s">
        <v>321</v>
      </c>
      <c r="C51" s="8" t="s">
        <v>322</v>
      </c>
      <c r="D51" s="4"/>
      <c r="E51" s="4">
        <v>107.33</v>
      </c>
      <c r="F51" s="4">
        <v>141.31</v>
      </c>
      <c r="G51" s="4">
        <v>106.2</v>
      </c>
      <c r="H51" s="4"/>
      <c r="I51" s="4"/>
      <c r="J51" s="4"/>
      <c r="K51" s="4"/>
      <c r="L51" s="4" t="s">
        <v>1998</v>
      </c>
      <c r="M51" s="4"/>
      <c r="N51" s="4"/>
      <c r="O51" s="4"/>
    </row>
    <row r="52" spans="1:15" x14ac:dyDescent="0.2">
      <c r="A52" s="8" t="s">
        <v>14</v>
      </c>
      <c r="B52" s="8" t="s">
        <v>323</v>
      </c>
      <c r="C52" s="8" t="s">
        <v>324</v>
      </c>
      <c r="D52" s="4"/>
      <c r="E52" s="4">
        <v>55.19</v>
      </c>
      <c r="F52" s="4">
        <v>54.96</v>
      </c>
      <c r="G52" s="4">
        <v>54</v>
      </c>
      <c r="H52" s="4"/>
      <c r="I52" s="4"/>
      <c r="J52" s="4"/>
      <c r="K52" s="4"/>
      <c r="L52" s="4" t="s">
        <v>1998</v>
      </c>
      <c r="M52" s="4"/>
      <c r="N52" s="4"/>
      <c r="O52" s="4"/>
    </row>
    <row r="53" spans="1:15" x14ac:dyDescent="0.2">
      <c r="A53" s="8" t="s">
        <v>14</v>
      </c>
      <c r="B53" s="8" t="s">
        <v>325</v>
      </c>
      <c r="C53" s="8" t="s">
        <v>326</v>
      </c>
      <c r="D53" s="4"/>
      <c r="E53" s="4">
        <v>271.25</v>
      </c>
      <c r="F53" s="4">
        <v>240.89</v>
      </c>
      <c r="G53" s="4">
        <v>287.22000000000003</v>
      </c>
      <c r="H53" s="4"/>
      <c r="I53" s="4"/>
      <c r="J53" s="4"/>
      <c r="K53" s="4"/>
      <c r="L53" s="4" t="s">
        <v>1998</v>
      </c>
      <c r="M53" s="4"/>
      <c r="N53" s="4"/>
      <c r="O53" s="4"/>
    </row>
    <row r="54" spans="1:15" x14ac:dyDescent="0.2">
      <c r="A54" s="8" t="s">
        <v>14</v>
      </c>
      <c r="B54" s="8" t="s">
        <v>327</v>
      </c>
      <c r="C54" s="8" t="s">
        <v>328</v>
      </c>
      <c r="D54" s="4"/>
      <c r="E54" s="4">
        <v>543.29</v>
      </c>
      <c r="F54" s="4">
        <v>581.61</v>
      </c>
      <c r="G54" s="4">
        <v>540.51</v>
      </c>
      <c r="H54" s="4"/>
      <c r="I54" s="4"/>
      <c r="J54" s="4"/>
      <c r="K54" s="4"/>
      <c r="L54" s="4" t="s">
        <v>1998</v>
      </c>
      <c r="M54" s="4"/>
      <c r="N54" s="4"/>
      <c r="O54" s="4"/>
    </row>
    <row r="55" spans="1:15" x14ac:dyDescent="0.2">
      <c r="A55" s="8" t="s">
        <v>14</v>
      </c>
      <c r="B55" s="8" t="s">
        <v>329</v>
      </c>
      <c r="C55" s="8" t="s">
        <v>330</v>
      </c>
      <c r="D55" s="4"/>
      <c r="E55" s="4">
        <v>45.37</v>
      </c>
      <c r="F55" s="4">
        <v>44.95</v>
      </c>
      <c r="G55" s="4">
        <v>43.19</v>
      </c>
      <c r="H55" s="4"/>
      <c r="I55" s="4"/>
      <c r="J55" s="4"/>
      <c r="K55" s="4"/>
      <c r="L55" s="4" t="s">
        <v>1998</v>
      </c>
      <c r="M55" s="4"/>
      <c r="N55" s="4"/>
      <c r="O55" s="4"/>
    </row>
    <row r="56" spans="1:15" x14ac:dyDescent="0.2">
      <c r="A56" s="8" t="s">
        <v>14</v>
      </c>
      <c r="B56" s="8" t="s">
        <v>331</v>
      </c>
      <c r="C56" s="8" t="s">
        <v>332</v>
      </c>
      <c r="D56" s="4"/>
      <c r="E56" s="4">
        <v>82.64</v>
      </c>
      <c r="F56" s="4">
        <v>44.38</v>
      </c>
      <c r="G56" s="4">
        <v>71.86</v>
      </c>
      <c r="H56" s="4"/>
      <c r="I56" s="4"/>
      <c r="J56" s="4"/>
      <c r="K56" s="4"/>
      <c r="L56" s="4" t="s">
        <v>1998</v>
      </c>
      <c r="M56" s="4"/>
      <c r="N56" s="4"/>
      <c r="O56" s="4"/>
    </row>
    <row r="57" spans="1:15" x14ac:dyDescent="0.2">
      <c r="A57" s="8" t="s">
        <v>14</v>
      </c>
      <c r="B57" s="8" t="s">
        <v>333</v>
      </c>
      <c r="C57" s="8" t="s">
        <v>334</v>
      </c>
      <c r="D57" s="4"/>
      <c r="E57" s="4">
        <v>44.99</v>
      </c>
      <c r="F57" s="4">
        <v>74.39</v>
      </c>
      <c r="G57" s="4">
        <v>43.57</v>
      </c>
      <c r="H57" s="4"/>
      <c r="I57" s="4"/>
      <c r="J57" s="4"/>
      <c r="K57" s="4"/>
      <c r="L57" s="4" t="s">
        <v>1998</v>
      </c>
      <c r="M57" s="4"/>
      <c r="N57" s="4"/>
      <c r="O57" s="4"/>
    </row>
    <row r="58" spans="1:15" x14ac:dyDescent="0.2">
      <c r="A58" s="8" t="s">
        <v>14</v>
      </c>
      <c r="B58" s="8" t="s">
        <v>335</v>
      </c>
      <c r="C58" s="8" t="s">
        <v>336</v>
      </c>
      <c r="D58" s="4"/>
      <c r="E58" s="4">
        <v>43.8</v>
      </c>
      <c r="F58" s="4">
        <v>44.26</v>
      </c>
      <c r="G58" s="4">
        <v>75.5</v>
      </c>
      <c r="H58" s="4"/>
      <c r="I58" s="4"/>
      <c r="J58" s="4"/>
      <c r="K58" s="4"/>
      <c r="L58" s="4" t="s">
        <v>1998</v>
      </c>
      <c r="M58" s="4"/>
      <c r="N58" s="4"/>
      <c r="O58" s="4"/>
    </row>
    <row r="59" spans="1:15" x14ac:dyDescent="0.2">
      <c r="A59" s="8" t="s">
        <v>14</v>
      </c>
      <c r="B59" s="8" t="s">
        <v>337</v>
      </c>
      <c r="C59" s="8" t="s">
        <v>338</v>
      </c>
      <c r="D59" s="4"/>
      <c r="E59" s="4">
        <v>72.760000000000005</v>
      </c>
      <c r="F59" s="4">
        <v>43.82</v>
      </c>
      <c r="G59" s="4">
        <v>43.76</v>
      </c>
      <c r="H59" s="4"/>
      <c r="I59" s="4"/>
      <c r="J59" s="4"/>
      <c r="K59" s="4"/>
      <c r="L59" s="4" t="s">
        <v>1998</v>
      </c>
      <c r="M59" s="4"/>
      <c r="N59" s="4"/>
      <c r="O59" s="4"/>
    </row>
    <row r="60" spans="1:15" x14ac:dyDescent="0.2">
      <c r="A60" s="8" t="s">
        <v>14</v>
      </c>
      <c r="B60" s="8" t="s">
        <v>339</v>
      </c>
      <c r="C60" s="8" t="s">
        <v>340</v>
      </c>
      <c r="D60" s="4"/>
      <c r="E60" s="4">
        <v>44.23</v>
      </c>
      <c r="F60" s="4">
        <v>73.05</v>
      </c>
      <c r="G60" s="4">
        <v>42.72</v>
      </c>
      <c r="H60" s="4"/>
      <c r="I60" s="4"/>
      <c r="J60" s="4"/>
      <c r="K60" s="4"/>
      <c r="L60" s="4" t="s">
        <v>1998</v>
      </c>
      <c r="M60" s="4"/>
      <c r="N60" s="4"/>
      <c r="O60" s="4"/>
    </row>
    <row r="61" spans="1:15" x14ac:dyDescent="0.2">
      <c r="A61" s="8" t="s">
        <v>14</v>
      </c>
      <c r="B61" s="8" t="s">
        <v>341</v>
      </c>
      <c r="C61" s="8" t="s">
        <v>342</v>
      </c>
      <c r="D61" s="4"/>
      <c r="E61" s="4">
        <v>74.5</v>
      </c>
      <c r="F61" s="4">
        <v>43.72</v>
      </c>
      <c r="G61" s="4">
        <v>71.34</v>
      </c>
      <c r="H61" s="4"/>
      <c r="I61" s="4"/>
      <c r="J61" s="4"/>
      <c r="K61" s="4"/>
      <c r="L61" s="4" t="s">
        <v>1998</v>
      </c>
      <c r="M61" s="4"/>
      <c r="N61" s="4"/>
      <c r="O61" s="4"/>
    </row>
    <row r="62" spans="1:15" x14ac:dyDescent="0.2">
      <c r="A62" s="8" t="s">
        <v>14</v>
      </c>
      <c r="B62" s="8" t="s">
        <v>343</v>
      </c>
      <c r="C62" s="8" t="s">
        <v>344</v>
      </c>
      <c r="D62" s="4"/>
      <c r="E62" s="4">
        <v>44.56</v>
      </c>
      <c r="F62" s="4">
        <v>76.72</v>
      </c>
      <c r="G62" s="4">
        <v>42.98</v>
      </c>
      <c r="H62" s="4"/>
      <c r="I62" s="4"/>
      <c r="J62" s="4"/>
      <c r="K62" s="4"/>
      <c r="L62" s="4" t="s">
        <v>1998</v>
      </c>
      <c r="M62" s="4"/>
      <c r="N62" s="4"/>
      <c r="O62" s="4"/>
    </row>
    <row r="63" spans="1:15" x14ac:dyDescent="0.2">
      <c r="A63" s="8" t="s">
        <v>14</v>
      </c>
      <c r="B63" s="8" t="s">
        <v>345</v>
      </c>
      <c r="C63" s="8" t="s">
        <v>346</v>
      </c>
      <c r="D63" s="4"/>
      <c r="E63" s="4">
        <v>43.86</v>
      </c>
      <c r="F63" s="4">
        <v>45.07</v>
      </c>
      <c r="G63" s="4">
        <v>43.29</v>
      </c>
      <c r="H63" s="4"/>
      <c r="I63" s="4"/>
      <c r="J63" s="4"/>
      <c r="K63" s="4"/>
      <c r="L63" s="4" t="s">
        <v>1998</v>
      </c>
      <c r="M63" s="4"/>
      <c r="N63" s="4"/>
      <c r="O63" s="4"/>
    </row>
    <row r="64" spans="1:15" x14ac:dyDescent="0.2">
      <c r="A64" s="8" t="s">
        <v>14</v>
      </c>
      <c r="B64" s="8" t="s">
        <v>347</v>
      </c>
      <c r="C64" s="8" t="s">
        <v>348</v>
      </c>
      <c r="D64" s="4"/>
      <c r="E64" s="4">
        <v>72.459999999999994</v>
      </c>
      <c r="F64" s="4">
        <v>45.07</v>
      </c>
      <c r="G64" s="4">
        <v>71.790000000000006</v>
      </c>
      <c r="H64" s="4"/>
      <c r="I64" s="4"/>
      <c r="J64" s="4"/>
      <c r="K64" s="4"/>
      <c r="L64" s="4" t="s">
        <v>1998</v>
      </c>
      <c r="M64" s="4"/>
      <c r="N64" s="4"/>
      <c r="O64" s="4"/>
    </row>
    <row r="65" spans="1:15" x14ac:dyDescent="0.2">
      <c r="A65" s="8" t="s">
        <v>14</v>
      </c>
      <c r="B65" s="8" t="s">
        <v>349</v>
      </c>
      <c r="C65" s="8" t="s">
        <v>350</v>
      </c>
      <c r="D65" s="4"/>
      <c r="E65" s="4">
        <v>44.25</v>
      </c>
      <c r="F65" s="4">
        <v>72.28</v>
      </c>
      <c r="G65" s="4">
        <v>43.43</v>
      </c>
      <c r="H65" s="4"/>
      <c r="I65" s="4"/>
      <c r="J65" s="4"/>
      <c r="K65" s="4"/>
      <c r="L65" s="4" t="s">
        <v>1998</v>
      </c>
      <c r="M65" s="4"/>
      <c r="N65" s="4"/>
      <c r="O65" s="4"/>
    </row>
    <row r="66" spans="1:15" x14ac:dyDescent="0.2">
      <c r="A66" s="8" t="s">
        <v>14</v>
      </c>
      <c r="B66" s="8" t="s">
        <v>351</v>
      </c>
      <c r="C66" s="8" t="s">
        <v>352</v>
      </c>
      <c r="D66" s="4"/>
      <c r="E66" s="4">
        <v>71.61</v>
      </c>
      <c r="F66" s="4">
        <v>43.98</v>
      </c>
      <c r="G66" s="4">
        <v>74.56</v>
      </c>
      <c r="H66" s="4"/>
      <c r="I66" s="4"/>
      <c r="J66" s="4"/>
      <c r="K66" s="4"/>
      <c r="L66" s="4" t="s">
        <v>1998</v>
      </c>
      <c r="M66" s="4"/>
      <c r="N66" s="4"/>
      <c r="O66" s="4"/>
    </row>
    <row r="67" spans="1:15" x14ac:dyDescent="0.2">
      <c r="A67" s="8" t="s">
        <v>14</v>
      </c>
      <c r="B67" s="8" t="s">
        <v>353</v>
      </c>
      <c r="C67" s="8" t="s">
        <v>354</v>
      </c>
      <c r="D67" s="4"/>
      <c r="E67" s="4">
        <v>44.41</v>
      </c>
      <c r="F67" s="4">
        <v>74.709999999999994</v>
      </c>
      <c r="G67" s="4">
        <v>43.25</v>
      </c>
      <c r="H67" s="4"/>
      <c r="I67" s="4"/>
      <c r="J67" s="4"/>
      <c r="K67" s="4"/>
      <c r="L67" s="4" t="s">
        <v>1998</v>
      </c>
      <c r="M67" s="4"/>
      <c r="N67" s="4"/>
      <c r="O67" s="4"/>
    </row>
    <row r="68" spans="1:15" x14ac:dyDescent="0.2">
      <c r="A68" s="8" t="s">
        <v>14</v>
      </c>
      <c r="B68" s="8" t="s">
        <v>355</v>
      </c>
      <c r="C68" s="8" t="s">
        <v>356</v>
      </c>
      <c r="D68" s="4"/>
      <c r="E68" s="4">
        <v>322.8</v>
      </c>
      <c r="F68" s="4">
        <v>326.49</v>
      </c>
      <c r="G68" s="4">
        <v>347.4</v>
      </c>
      <c r="H68" s="4"/>
      <c r="I68" s="4"/>
      <c r="J68" s="4"/>
      <c r="K68" s="4"/>
      <c r="L68" s="4" t="s">
        <v>1998</v>
      </c>
      <c r="M68" s="4"/>
      <c r="N68" s="4"/>
      <c r="O68" s="4"/>
    </row>
    <row r="69" spans="1:15" x14ac:dyDescent="0.2">
      <c r="A69" s="8" t="s">
        <v>14</v>
      </c>
      <c r="B69" s="8" t="s">
        <v>357</v>
      </c>
      <c r="C69" s="8" t="s">
        <v>358</v>
      </c>
      <c r="D69" s="4"/>
      <c r="E69" s="4">
        <v>190.8</v>
      </c>
      <c r="F69" s="4">
        <v>199.7</v>
      </c>
      <c r="G69" s="4">
        <v>162.18</v>
      </c>
      <c r="H69" s="4"/>
      <c r="I69" s="4"/>
      <c r="J69" s="4"/>
      <c r="K69" s="4"/>
      <c r="L69" s="4" t="s">
        <v>1998</v>
      </c>
      <c r="M69" s="4"/>
      <c r="N69" s="4"/>
      <c r="O69" s="4"/>
    </row>
    <row r="70" spans="1:15" x14ac:dyDescent="0.2">
      <c r="A70" s="8" t="s">
        <v>14</v>
      </c>
      <c r="B70" s="8" t="s">
        <v>359</v>
      </c>
      <c r="C70" s="8" t="s">
        <v>360</v>
      </c>
      <c r="D70" s="4"/>
      <c r="E70" s="4">
        <v>128.16</v>
      </c>
      <c r="F70" s="4">
        <v>130.86000000000001</v>
      </c>
      <c r="G70" s="4">
        <v>129.99</v>
      </c>
      <c r="H70" s="4"/>
      <c r="I70" s="4"/>
      <c r="J70" s="4"/>
      <c r="K70" s="4"/>
      <c r="L70" s="4" t="s">
        <v>1998</v>
      </c>
      <c r="M70" s="4"/>
      <c r="N70" s="4"/>
      <c r="O70" s="4"/>
    </row>
    <row r="71" spans="1:15" x14ac:dyDescent="0.2">
      <c r="A71" s="8" t="s">
        <v>14</v>
      </c>
      <c r="B71" s="8" t="s">
        <v>361</v>
      </c>
      <c r="C71" s="8" t="s">
        <v>362</v>
      </c>
      <c r="D71" s="4"/>
      <c r="E71" s="4">
        <v>142.21</v>
      </c>
      <c r="F71" s="4">
        <v>107.39</v>
      </c>
      <c r="G71" s="4">
        <v>140.30000000000001</v>
      </c>
      <c r="H71" s="4"/>
      <c r="I71" s="4"/>
      <c r="J71" s="4"/>
      <c r="K71" s="4"/>
      <c r="L71" s="4" t="s">
        <v>1998</v>
      </c>
      <c r="M71" s="4"/>
      <c r="N71" s="4"/>
      <c r="O71" s="4"/>
    </row>
    <row r="72" spans="1:15" x14ac:dyDescent="0.2">
      <c r="A72" s="8" t="s">
        <v>14</v>
      </c>
      <c r="B72" s="8" t="s">
        <v>363</v>
      </c>
      <c r="C72" s="8" t="s">
        <v>364</v>
      </c>
      <c r="D72" s="4"/>
      <c r="E72" s="4">
        <v>108.17</v>
      </c>
      <c r="F72" s="4">
        <v>144.4</v>
      </c>
      <c r="G72" s="4">
        <v>106.93</v>
      </c>
      <c r="H72" s="4"/>
      <c r="I72" s="4"/>
      <c r="J72" s="4"/>
      <c r="K72" s="4"/>
      <c r="L72" s="4" t="s">
        <v>1998</v>
      </c>
      <c r="M72" s="4"/>
      <c r="N72" s="4"/>
      <c r="O72" s="4"/>
    </row>
    <row r="73" spans="1:15" x14ac:dyDescent="0.2">
      <c r="A73" s="8" t="s">
        <v>14</v>
      </c>
      <c r="B73" s="8" t="s">
        <v>365</v>
      </c>
      <c r="C73" s="8" t="s">
        <v>366</v>
      </c>
      <c r="D73" s="4"/>
      <c r="E73" s="4">
        <v>138.63</v>
      </c>
      <c r="F73" s="4">
        <v>137.16999999999999</v>
      </c>
      <c r="G73" s="4">
        <v>139.19</v>
      </c>
      <c r="H73" s="4"/>
      <c r="I73" s="4"/>
      <c r="J73" s="4"/>
      <c r="K73" s="4"/>
      <c r="L73" s="4" t="s">
        <v>1998</v>
      </c>
      <c r="M73" s="4"/>
      <c r="N73" s="4"/>
      <c r="O73" s="4"/>
    </row>
    <row r="74" spans="1:15" x14ac:dyDescent="0.2">
      <c r="A74" s="8" t="s">
        <v>14</v>
      </c>
      <c r="B74" s="8" t="s">
        <v>367</v>
      </c>
      <c r="C74" s="8" t="s">
        <v>368</v>
      </c>
      <c r="D74" s="4"/>
      <c r="E74" s="4">
        <v>107.96</v>
      </c>
      <c r="F74" s="4">
        <v>107.25</v>
      </c>
      <c r="G74" s="4">
        <v>142.66999999999999</v>
      </c>
      <c r="H74" s="4"/>
      <c r="I74" s="4"/>
      <c r="J74" s="4"/>
      <c r="K74" s="4"/>
      <c r="L74" s="4" t="s">
        <v>1998</v>
      </c>
      <c r="M74" s="4"/>
      <c r="N74" s="4"/>
      <c r="O74" s="4"/>
    </row>
    <row r="75" spans="1:15" x14ac:dyDescent="0.2">
      <c r="A75" s="8" t="s">
        <v>14</v>
      </c>
      <c r="B75" s="8" t="s">
        <v>369</v>
      </c>
      <c r="C75" s="8" t="s">
        <v>370</v>
      </c>
      <c r="D75" s="4"/>
      <c r="E75" s="4">
        <v>136.61000000000001</v>
      </c>
      <c r="F75" s="4">
        <v>140.46</v>
      </c>
      <c r="G75" s="4">
        <v>106.62</v>
      </c>
      <c r="H75" s="4"/>
      <c r="I75" s="4"/>
      <c r="J75" s="4"/>
      <c r="K75" s="4"/>
      <c r="L75" s="4" t="s">
        <v>1998</v>
      </c>
      <c r="M75" s="4"/>
      <c r="N75" s="4"/>
      <c r="O75" s="4"/>
    </row>
    <row r="76" spans="1:15" x14ac:dyDescent="0.2">
      <c r="A76" s="8" t="s">
        <v>14</v>
      </c>
      <c r="B76" s="8" t="s">
        <v>371</v>
      </c>
      <c r="C76" s="8" t="s">
        <v>372</v>
      </c>
      <c r="D76" s="4"/>
      <c r="E76" s="4">
        <v>142.66</v>
      </c>
      <c r="F76" s="4">
        <v>109.96</v>
      </c>
      <c r="G76" s="4">
        <v>138.22999999999999</v>
      </c>
      <c r="H76" s="4"/>
      <c r="I76" s="4"/>
      <c r="J76" s="4"/>
      <c r="K76" s="4"/>
      <c r="L76" s="4" t="s">
        <v>1998</v>
      </c>
      <c r="M76" s="4"/>
      <c r="N76" s="4"/>
      <c r="O76" s="4"/>
    </row>
    <row r="77" spans="1:15" x14ac:dyDescent="0.2">
      <c r="A77" s="8" t="s">
        <v>14</v>
      </c>
      <c r="B77" s="8" t="s">
        <v>373</v>
      </c>
      <c r="C77" s="8" t="s">
        <v>374</v>
      </c>
      <c r="D77" s="4"/>
      <c r="E77" s="4">
        <v>107.15</v>
      </c>
      <c r="F77" s="4">
        <v>141.79</v>
      </c>
      <c r="G77" s="4">
        <v>107.42</v>
      </c>
      <c r="H77" s="4"/>
      <c r="I77" s="4"/>
      <c r="J77" s="4"/>
      <c r="K77" s="4"/>
      <c r="L77" s="4" t="s">
        <v>1998</v>
      </c>
      <c r="M77" s="4"/>
      <c r="N77" s="4"/>
      <c r="O77" s="4"/>
    </row>
    <row r="78" spans="1:15" x14ac:dyDescent="0.2">
      <c r="A78" s="8" t="s">
        <v>14</v>
      </c>
      <c r="B78" s="8" t="s">
        <v>375</v>
      </c>
      <c r="C78" s="8" t="s">
        <v>376</v>
      </c>
      <c r="D78" s="4"/>
      <c r="E78" s="4">
        <v>136.53</v>
      </c>
      <c r="F78" s="4">
        <v>139.52000000000001</v>
      </c>
      <c r="G78" s="4">
        <v>136.78</v>
      </c>
      <c r="H78" s="4"/>
      <c r="I78" s="4"/>
      <c r="J78" s="4"/>
      <c r="K78" s="4"/>
      <c r="L78" s="4" t="s">
        <v>1998</v>
      </c>
      <c r="M78" s="4"/>
      <c r="N78" s="4"/>
      <c r="O78" s="4"/>
    </row>
    <row r="79" spans="1:15" x14ac:dyDescent="0.2">
      <c r="A79" s="8" t="s">
        <v>14</v>
      </c>
      <c r="B79" s="8" t="s">
        <v>377</v>
      </c>
      <c r="C79" s="8" t="s">
        <v>378</v>
      </c>
      <c r="D79" s="4"/>
      <c r="E79" s="4">
        <v>139.61000000000001</v>
      </c>
      <c r="F79" s="4">
        <v>107.93</v>
      </c>
      <c r="G79" s="4">
        <v>140.91</v>
      </c>
      <c r="H79" s="4"/>
      <c r="I79" s="4"/>
      <c r="J79" s="4"/>
      <c r="K79" s="4"/>
      <c r="L79" s="4" t="s">
        <v>1998</v>
      </c>
      <c r="M79" s="4"/>
      <c r="N79" s="4"/>
      <c r="O79" s="4"/>
    </row>
    <row r="80" spans="1:15" x14ac:dyDescent="0.2">
      <c r="A80" s="8" t="s">
        <v>14</v>
      </c>
      <c r="B80" s="8" t="s">
        <v>379</v>
      </c>
      <c r="C80" s="8" t="s">
        <v>380</v>
      </c>
      <c r="D80" s="4"/>
      <c r="E80" s="4">
        <v>108.51</v>
      </c>
      <c r="F80" s="4">
        <v>141.41</v>
      </c>
      <c r="G80" s="4">
        <v>106.48</v>
      </c>
      <c r="H80" s="4"/>
      <c r="I80" s="4"/>
      <c r="J80" s="4"/>
      <c r="K80" s="4"/>
      <c r="L80" s="4" t="s">
        <v>1998</v>
      </c>
      <c r="M80" s="4"/>
      <c r="N80" s="4"/>
      <c r="O80" s="4"/>
    </row>
    <row r="81" spans="1:15" x14ac:dyDescent="0.2">
      <c r="A81" s="8" t="s">
        <v>14</v>
      </c>
      <c r="B81" s="8" t="s">
        <v>381</v>
      </c>
      <c r="C81" s="8" t="s">
        <v>382</v>
      </c>
      <c r="D81" s="4"/>
      <c r="E81" s="4">
        <v>141.30000000000001</v>
      </c>
      <c r="F81" s="4">
        <v>140.80000000000001</v>
      </c>
      <c r="G81" s="4">
        <v>137.02000000000001</v>
      </c>
      <c r="H81" s="4"/>
      <c r="I81" s="4"/>
      <c r="J81" s="4"/>
      <c r="K81" s="4"/>
      <c r="L81" s="4" t="s">
        <v>1998</v>
      </c>
      <c r="M81" s="4"/>
      <c r="N81" s="4"/>
      <c r="O81" s="4"/>
    </row>
    <row r="82" spans="1:15" x14ac:dyDescent="0.2">
      <c r="A82" s="8" t="s">
        <v>14</v>
      </c>
      <c r="B82" s="8" t="s">
        <v>383</v>
      </c>
      <c r="C82" s="8" t="s">
        <v>384</v>
      </c>
      <c r="D82" s="4"/>
      <c r="E82" s="4">
        <v>107.46</v>
      </c>
      <c r="F82" s="4">
        <v>108.02</v>
      </c>
      <c r="G82" s="4">
        <v>138.03</v>
      </c>
      <c r="H82" s="4"/>
      <c r="I82" s="4"/>
      <c r="J82" s="4"/>
      <c r="K82" s="4"/>
      <c r="L82" s="4" t="s">
        <v>1998</v>
      </c>
      <c r="M82" s="4"/>
      <c r="N82" s="4"/>
      <c r="O82" s="4"/>
    </row>
    <row r="83" spans="1:15" x14ac:dyDescent="0.2">
      <c r="A83" s="8" t="s">
        <v>14</v>
      </c>
      <c r="B83" s="8" t="s">
        <v>385</v>
      </c>
      <c r="C83" s="8" t="s">
        <v>386</v>
      </c>
      <c r="D83" s="4"/>
      <c r="E83" s="4">
        <v>135.65</v>
      </c>
      <c r="F83" s="4">
        <v>140.15</v>
      </c>
      <c r="G83" s="4">
        <v>106.03</v>
      </c>
      <c r="H83" s="4"/>
      <c r="I83" s="4"/>
      <c r="J83" s="4"/>
      <c r="K83" s="4"/>
      <c r="L83" s="4" t="s">
        <v>1998</v>
      </c>
      <c r="M83" s="4"/>
      <c r="N83" s="4"/>
      <c r="O83" s="4"/>
    </row>
    <row r="84" spans="1:15" x14ac:dyDescent="0.2">
      <c r="A84" s="8" t="s">
        <v>14</v>
      </c>
      <c r="B84" s="8" t="s">
        <v>387</v>
      </c>
      <c r="C84" s="8" t="s">
        <v>388</v>
      </c>
      <c r="D84" s="4"/>
      <c r="E84" s="4">
        <v>139.97999999999999</v>
      </c>
      <c r="F84" s="4">
        <v>108.47</v>
      </c>
      <c r="G84" s="4">
        <v>142.69999999999999</v>
      </c>
      <c r="H84" s="4"/>
      <c r="I84" s="4"/>
      <c r="J84" s="4"/>
      <c r="K84" s="4"/>
      <c r="L84" s="4" t="s">
        <v>1998</v>
      </c>
      <c r="M84" s="4"/>
      <c r="N84" s="4"/>
      <c r="O84" s="4"/>
    </row>
    <row r="85" spans="1:15" x14ac:dyDescent="0.2">
      <c r="A85" s="8" t="s">
        <v>14</v>
      </c>
      <c r="B85" s="8" t="s">
        <v>389</v>
      </c>
      <c r="C85" s="8" t="s">
        <v>390</v>
      </c>
      <c r="D85" s="4"/>
      <c r="E85" s="4">
        <v>107.89</v>
      </c>
      <c r="F85" s="4">
        <v>137.9</v>
      </c>
      <c r="G85" s="4">
        <v>108.39</v>
      </c>
      <c r="H85" s="4"/>
      <c r="I85" s="4"/>
      <c r="J85" s="4"/>
      <c r="K85" s="4"/>
      <c r="L85" s="4" t="s">
        <v>1998</v>
      </c>
      <c r="M85" s="4"/>
      <c r="N85" s="4"/>
      <c r="O85" s="4"/>
    </row>
    <row r="86" spans="1:15" x14ac:dyDescent="0.2">
      <c r="A86" s="8" t="s">
        <v>14</v>
      </c>
      <c r="B86" s="8" t="s">
        <v>391</v>
      </c>
      <c r="C86" s="8" t="s">
        <v>392</v>
      </c>
      <c r="D86" s="4"/>
      <c r="E86" s="4">
        <v>138.77000000000001</v>
      </c>
      <c r="F86" s="4">
        <v>143.96</v>
      </c>
      <c r="G86" s="4">
        <v>136.68</v>
      </c>
      <c r="H86" s="4"/>
      <c r="I86" s="4"/>
      <c r="J86" s="4"/>
      <c r="K86" s="4"/>
      <c r="L86" s="4" t="s">
        <v>1998</v>
      </c>
      <c r="M86" s="4"/>
      <c r="N86" s="4"/>
      <c r="O86" s="4"/>
    </row>
    <row r="87" spans="1:15" x14ac:dyDescent="0.2">
      <c r="A87" s="8" t="s">
        <v>14</v>
      </c>
      <c r="B87" s="8" t="s">
        <v>393</v>
      </c>
      <c r="C87" s="8" t="s">
        <v>394</v>
      </c>
      <c r="D87" s="4"/>
      <c r="E87" s="4">
        <v>141.47999999999999</v>
      </c>
      <c r="F87" s="4">
        <v>108.27</v>
      </c>
      <c r="G87" s="4">
        <v>138.94</v>
      </c>
      <c r="H87" s="4"/>
      <c r="I87" s="4"/>
      <c r="J87" s="4"/>
      <c r="K87" s="4"/>
      <c r="L87" s="4" t="s">
        <v>1998</v>
      </c>
      <c r="M87" s="4"/>
      <c r="N87" s="4"/>
      <c r="O87" s="4"/>
    </row>
    <row r="88" spans="1:15" x14ac:dyDescent="0.2">
      <c r="A88" s="8" t="s">
        <v>14</v>
      </c>
      <c r="B88" s="8" t="s">
        <v>395</v>
      </c>
      <c r="C88" s="8" t="s">
        <v>396</v>
      </c>
      <c r="D88" s="4"/>
      <c r="E88" s="4">
        <v>108.03</v>
      </c>
      <c r="F88" s="4">
        <v>140.22</v>
      </c>
      <c r="G88" s="4">
        <v>107.77</v>
      </c>
      <c r="H88" s="4"/>
      <c r="I88" s="4"/>
      <c r="J88" s="4"/>
      <c r="K88" s="4"/>
      <c r="L88" s="4" t="s">
        <v>1998</v>
      </c>
      <c r="M88" s="4"/>
      <c r="N88" s="4"/>
      <c r="O88" s="4"/>
    </row>
    <row r="89" spans="1:15" x14ac:dyDescent="0.2">
      <c r="A89" s="8" t="s">
        <v>14</v>
      </c>
      <c r="B89" s="8" t="s">
        <v>397</v>
      </c>
      <c r="C89" s="8" t="s">
        <v>398</v>
      </c>
      <c r="D89" s="4"/>
      <c r="E89" s="4">
        <v>143.16</v>
      </c>
      <c r="F89" s="4">
        <v>137.61000000000001</v>
      </c>
      <c r="G89" s="4">
        <v>141.78</v>
      </c>
      <c r="H89" s="4"/>
      <c r="I89" s="4"/>
      <c r="J89" s="4"/>
      <c r="K89" s="4"/>
      <c r="L89" s="4" t="s">
        <v>1998</v>
      </c>
      <c r="M89" s="4"/>
      <c r="N89" s="4"/>
      <c r="O89" s="4"/>
    </row>
    <row r="90" spans="1:15" x14ac:dyDescent="0.2">
      <c r="A90" s="8" t="s">
        <v>14</v>
      </c>
      <c r="B90" s="8" t="s">
        <v>399</v>
      </c>
      <c r="C90" s="8" t="s">
        <v>400</v>
      </c>
      <c r="D90" s="4"/>
      <c r="E90" s="4">
        <v>107.87</v>
      </c>
      <c r="F90" s="4">
        <v>107.76</v>
      </c>
      <c r="G90" s="4">
        <v>140.06</v>
      </c>
      <c r="H90" s="4"/>
      <c r="I90" s="4"/>
      <c r="J90" s="4"/>
      <c r="K90" s="4"/>
      <c r="L90" s="4" t="s">
        <v>1998</v>
      </c>
      <c r="M90" s="4"/>
      <c r="N90" s="4"/>
      <c r="O90" s="4"/>
    </row>
    <row r="91" spans="1:15" x14ac:dyDescent="0.2">
      <c r="A91" s="8" t="s">
        <v>14</v>
      </c>
      <c r="B91" s="8" t="s">
        <v>401</v>
      </c>
      <c r="C91" s="8" t="s">
        <v>402</v>
      </c>
      <c r="D91" s="4"/>
      <c r="E91" s="4">
        <v>107.18</v>
      </c>
      <c r="F91" s="4">
        <v>143.99</v>
      </c>
      <c r="G91" s="4">
        <v>107.33</v>
      </c>
      <c r="H91" s="4"/>
      <c r="I91" s="4"/>
      <c r="J91" s="4"/>
      <c r="K91" s="4"/>
      <c r="L91" s="4" t="s">
        <v>1998</v>
      </c>
      <c r="M91" s="4"/>
      <c r="N91" s="4"/>
      <c r="O91" s="4"/>
    </row>
    <row r="92" spans="1:15" x14ac:dyDescent="0.2">
      <c r="A92" s="8" t="s">
        <v>14</v>
      </c>
      <c r="B92" s="8" t="s">
        <v>403</v>
      </c>
      <c r="C92" s="8" t="s">
        <v>404</v>
      </c>
      <c r="D92" s="4"/>
      <c r="E92" s="4">
        <v>145.81</v>
      </c>
      <c r="F92" s="4">
        <v>108</v>
      </c>
      <c r="G92" s="4">
        <v>139.62</v>
      </c>
      <c r="H92" s="4"/>
      <c r="I92" s="4"/>
      <c r="J92" s="4"/>
      <c r="K92" s="4"/>
      <c r="L92" s="4" t="s">
        <v>1998</v>
      </c>
      <c r="M92" s="4"/>
      <c r="N92" s="4"/>
      <c r="O92" s="4"/>
    </row>
    <row r="93" spans="1:15" x14ac:dyDescent="0.2">
      <c r="A93" s="8" t="s">
        <v>14</v>
      </c>
      <c r="B93" s="8" t="s">
        <v>405</v>
      </c>
      <c r="C93" s="8" t="s">
        <v>406</v>
      </c>
      <c r="D93" s="4"/>
      <c r="E93" s="4">
        <v>147.24</v>
      </c>
      <c r="F93" s="4">
        <v>137.36000000000001</v>
      </c>
      <c r="G93" s="4">
        <v>106.79</v>
      </c>
      <c r="H93" s="4"/>
      <c r="I93" s="4"/>
      <c r="J93" s="4"/>
      <c r="K93" s="4"/>
      <c r="L93" s="4" t="s">
        <v>1998</v>
      </c>
      <c r="M93" s="4"/>
      <c r="N93" s="4"/>
      <c r="O93" s="4"/>
    </row>
    <row r="94" spans="1:15" x14ac:dyDescent="0.2">
      <c r="A94" s="8" t="s">
        <v>14</v>
      </c>
      <c r="B94" s="8" t="s">
        <v>407</v>
      </c>
      <c r="C94" s="8" t="s">
        <v>408</v>
      </c>
      <c r="D94" s="4"/>
      <c r="E94" s="4">
        <v>107.61</v>
      </c>
      <c r="F94" s="4">
        <v>138.68</v>
      </c>
      <c r="G94" s="4">
        <v>138.72</v>
      </c>
      <c r="H94" s="4"/>
      <c r="I94" s="4"/>
      <c r="J94" s="4"/>
      <c r="K94" s="4"/>
      <c r="L94" s="4" t="s">
        <v>1998</v>
      </c>
      <c r="M94" s="4"/>
      <c r="N94" s="4"/>
      <c r="O94" s="4"/>
    </row>
    <row r="95" spans="1:15" x14ac:dyDescent="0.2">
      <c r="A95" s="8" t="s">
        <v>14</v>
      </c>
      <c r="B95" s="8" t="s">
        <v>409</v>
      </c>
      <c r="C95" s="8" t="s">
        <v>410</v>
      </c>
      <c r="D95" s="4"/>
      <c r="E95" s="4">
        <v>139.79</v>
      </c>
      <c r="F95" s="4">
        <v>107.6</v>
      </c>
      <c r="G95" s="4">
        <v>138.31</v>
      </c>
      <c r="H95" s="4"/>
      <c r="I95" s="4"/>
      <c r="J95" s="4"/>
      <c r="K95" s="4"/>
      <c r="L95" s="4" t="s">
        <v>1998</v>
      </c>
      <c r="M95" s="4"/>
      <c r="N95" s="4"/>
      <c r="O95" s="4"/>
    </row>
    <row r="96" spans="1:15" x14ac:dyDescent="0.2">
      <c r="A96" s="8" t="s">
        <v>14</v>
      </c>
      <c r="B96" s="8" t="s">
        <v>411</v>
      </c>
      <c r="C96" s="8" t="s">
        <v>412</v>
      </c>
      <c r="D96" s="4"/>
      <c r="E96" s="4">
        <v>138.51</v>
      </c>
      <c r="F96" s="4">
        <v>144.74</v>
      </c>
      <c r="G96" s="4">
        <v>107.79</v>
      </c>
      <c r="H96" s="4"/>
      <c r="I96" s="4"/>
      <c r="J96" s="4"/>
      <c r="K96" s="4"/>
      <c r="L96" s="4" t="s">
        <v>1998</v>
      </c>
      <c r="M96" s="4"/>
      <c r="N96" s="4"/>
      <c r="O96" s="4"/>
    </row>
    <row r="97" spans="1:15" x14ac:dyDescent="0.2">
      <c r="A97" s="8" t="s">
        <v>14</v>
      </c>
      <c r="B97" s="8" t="s">
        <v>413</v>
      </c>
      <c r="C97" s="8" t="s">
        <v>414</v>
      </c>
      <c r="D97" s="4"/>
      <c r="E97" s="4">
        <v>107.63</v>
      </c>
      <c r="F97" s="4">
        <v>137.31</v>
      </c>
      <c r="G97" s="4">
        <v>137.15</v>
      </c>
      <c r="H97" s="4"/>
      <c r="I97" s="4"/>
      <c r="J97" s="4"/>
      <c r="K97" s="4"/>
      <c r="L97" s="4" t="s">
        <v>1998</v>
      </c>
      <c r="M97" s="4"/>
      <c r="N97" s="4"/>
      <c r="O97" s="4"/>
    </row>
    <row r="98" spans="1:15" x14ac:dyDescent="0.2">
      <c r="A98" s="8" t="s">
        <v>14</v>
      </c>
      <c r="B98" s="8" t="s">
        <v>415</v>
      </c>
      <c r="C98" s="8" t="s">
        <v>416</v>
      </c>
      <c r="D98" s="4"/>
      <c r="E98" s="4">
        <v>143.21</v>
      </c>
      <c r="F98" s="4">
        <v>107.73</v>
      </c>
      <c r="G98" s="4">
        <v>141.53</v>
      </c>
      <c r="H98" s="4"/>
      <c r="I98" s="4"/>
      <c r="J98" s="4"/>
      <c r="K98" s="4"/>
      <c r="L98" s="4" t="s">
        <v>1998</v>
      </c>
      <c r="M98" s="4"/>
      <c r="N98" s="4"/>
      <c r="O98" s="4"/>
    </row>
    <row r="99" spans="1:15" x14ac:dyDescent="0.2">
      <c r="A99" s="8" t="s">
        <v>14</v>
      </c>
      <c r="B99" s="8" t="s">
        <v>417</v>
      </c>
      <c r="C99" s="8" t="s">
        <v>418</v>
      </c>
      <c r="D99" s="4"/>
      <c r="E99" s="4">
        <v>49.6</v>
      </c>
      <c r="F99" s="4">
        <v>50.73</v>
      </c>
      <c r="G99" s="4">
        <v>49.68</v>
      </c>
      <c r="H99" s="4"/>
      <c r="I99" s="4"/>
      <c r="J99" s="4"/>
      <c r="K99" s="4"/>
      <c r="L99" s="4" t="s">
        <v>1998</v>
      </c>
      <c r="M99" s="4"/>
      <c r="N99" s="4"/>
      <c r="O99" s="4"/>
    </row>
    <row r="100" spans="1:15" x14ac:dyDescent="0.2">
      <c r="A100" s="8" t="s">
        <v>14</v>
      </c>
      <c r="B100" s="8" t="s">
        <v>419</v>
      </c>
      <c r="C100" s="8" t="s">
        <v>420</v>
      </c>
      <c r="D100" s="4"/>
      <c r="E100" s="4">
        <v>54.55</v>
      </c>
      <c r="F100" s="4">
        <v>84.99</v>
      </c>
      <c r="G100" s="4">
        <v>53.06</v>
      </c>
      <c r="H100" s="4"/>
      <c r="I100" s="4"/>
      <c r="J100" s="4"/>
      <c r="K100" s="4"/>
      <c r="L100" s="4" t="s">
        <v>1998</v>
      </c>
      <c r="M100" s="4"/>
      <c r="N100" s="4"/>
      <c r="O100" s="4"/>
    </row>
    <row r="101" spans="1:15" x14ac:dyDescent="0.2">
      <c r="A101" s="8" t="s">
        <v>14</v>
      </c>
      <c r="B101" s="8" t="s">
        <v>421</v>
      </c>
      <c r="C101" s="8" t="s">
        <v>422</v>
      </c>
      <c r="D101" s="4"/>
      <c r="E101" s="4">
        <v>271.22000000000003</v>
      </c>
      <c r="F101" s="4">
        <v>245.02</v>
      </c>
      <c r="G101" s="4">
        <v>237.85</v>
      </c>
      <c r="H101" s="4"/>
      <c r="I101" s="4"/>
      <c r="J101" s="4"/>
      <c r="K101" s="4"/>
      <c r="L101" s="4" t="s">
        <v>1998</v>
      </c>
      <c r="M101" s="4"/>
      <c r="N101" s="4"/>
      <c r="O101" s="4"/>
    </row>
    <row r="102" spans="1:15" x14ac:dyDescent="0.2">
      <c r="A102" s="8" t="s">
        <v>14</v>
      </c>
      <c r="B102" s="8" t="s">
        <v>423</v>
      </c>
      <c r="C102" s="8" t="s">
        <v>424</v>
      </c>
      <c r="D102" s="4"/>
      <c r="E102" s="4">
        <v>543.82000000000005</v>
      </c>
      <c r="F102" s="4">
        <v>548.6</v>
      </c>
      <c r="G102" s="4">
        <v>592.85</v>
      </c>
      <c r="H102" s="4"/>
      <c r="I102" s="4"/>
      <c r="J102" s="4"/>
      <c r="K102" s="4"/>
      <c r="L102" s="4" t="s">
        <v>1998</v>
      </c>
      <c r="M102" s="4"/>
      <c r="N102" s="4"/>
      <c r="O102" s="4"/>
    </row>
    <row r="103" spans="1:15" x14ac:dyDescent="0.2">
      <c r="A103" s="8" t="s">
        <v>14</v>
      </c>
      <c r="B103" s="8" t="s">
        <v>425</v>
      </c>
      <c r="C103" s="8" t="s">
        <v>426</v>
      </c>
      <c r="D103" s="4"/>
      <c r="E103" s="4">
        <v>44.44</v>
      </c>
      <c r="F103" s="4">
        <v>72.319999999999993</v>
      </c>
      <c r="G103" s="4">
        <v>43.34</v>
      </c>
      <c r="H103" s="4"/>
      <c r="I103" s="4"/>
      <c r="J103" s="4"/>
      <c r="K103" s="4"/>
      <c r="L103" s="4" t="s">
        <v>1998</v>
      </c>
      <c r="M103" s="4"/>
      <c r="N103" s="4"/>
      <c r="O103" s="4"/>
    </row>
    <row r="104" spans="1:15" x14ac:dyDescent="0.2">
      <c r="A104" s="8" t="s">
        <v>14</v>
      </c>
      <c r="B104" s="8" t="s">
        <v>427</v>
      </c>
      <c r="C104" s="8" t="s">
        <v>428</v>
      </c>
      <c r="D104" s="4"/>
      <c r="E104" s="4">
        <v>73.87</v>
      </c>
      <c r="F104" s="4">
        <v>45.16</v>
      </c>
      <c r="G104" s="4">
        <v>43.02</v>
      </c>
      <c r="H104" s="4"/>
      <c r="I104" s="4"/>
      <c r="J104" s="4"/>
      <c r="K104" s="4"/>
      <c r="L104" s="4" t="s">
        <v>1998</v>
      </c>
      <c r="M104" s="4"/>
      <c r="N104" s="4"/>
      <c r="O104" s="4"/>
    </row>
    <row r="105" spans="1:15" x14ac:dyDescent="0.2">
      <c r="A105" s="8" t="s">
        <v>14</v>
      </c>
      <c r="B105" s="8" t="s">
        <v>429</v>
      </c>
      <c r="C105" s="8" t="s">
        <v>430</v>
      </c>
      <c r="D105" s="4"/>
      <c r="E105" s="4">
        <v>45.16</v>
      </c>
      <c r="F105" s="4">
        <v>44.61</v>
      </c>
      <c r="G105" s="4">
        <v>71.180000000000007</v>
      </c>
      <c r="H105" s="4"/>
      <c r="I105" s="4"/>
      <c r="J105" s="4"/>
      <c r="K105" s="4"/>
      <c r="L105" s="4" t="s">
        <v>1998</v>
      </c>
      <c r="M105" s="4"/>
      <c r="N105" s="4"/>
      <c r="O105" s="4"/>
    </row>
    <row r="106" spans="1:15" x14ac:dyDescent="0.2">
      <c r="A106" s="8" t="s">
        <v>14</v>
      </c>
      <c r="B106" s="8" t="s">
        <v>431</v>
      </c>
      <c r="C106" s="8" t="s">
        <v>432</v>
      </c>
      <c r="D106" s="4"/>
      <c r="E106" s="4">
        <v>44.61</v>
      </c>
      <c r="F106" s="4">
        <v>74.459999999999994</v>
      </c>
      <c r="G106" s="4">
        <v>42.77</v>
      </c>
      <c r="H106" s="4"/>
      <c r="I106" s="4"/>
      <c r="J106" s="4"/>
      <c r="K106" s="4"/>
      <c r="L106" s="4" t="s">
        <v>1998</v>
      </c>
      <c r="M106" s="4"/>
      <c r="N106" s="4"/>
      <c r="O106" s="4"/>
    </row>
    <row r="107" spans="1:15" x14ac:dyDescent="0.2">
      <c r="A107" s="8" t="s">
        <v>14</v>
      </c>
      <c r="B107" s="8" t="s">
        <v>433</v>
      </c>
      <c r="C107" s="8" t="s">
        <v>434</v>
      </c>
      <c r="D107" s="4"/>
      <c r="E107" s="4">
        <v>72.8</v>
      </c>
      <c r="F107" s="4">
        <v>44.83</v>
      </c>
      <c r="G107" s="4">
        <v>75.92</v>
      </c>
      <c r="H107" s="4"/>
      <c r="I107" s="4"/>
      <c r="J107" s="4"/>
      <c r="K107" s="4"/>
      <c r="L107" s="4" t="s">
        <v>1998</v>
      </c>
      <c r="M107" s="4"/>
      <c r="N107" s="4"/>
      <c r="O107" s="4"/>
    </row>
    <row r="108" spans="1:15" x14ac:dyDescent="0.2">
      <c r="A108" s="8" t="s">
        <v>14</v>
      </c>
      <c r="B108" s="8" t="s">
        <v>435</v>
      </c>
      <c r="C108" s="8" t="s">
        <v>436</v>
      </c>
      <c r="D108" s="4"/>
      <c r="E108" s="4">
        <v>45.04</v>
      </c>
      <c r="F108" s="4">
        <v>75.349999999999994</v>
      </c>
      <c r="G108" s="4">
        <v>43.12</v>
      </c>
      <c r="H108" s="4"/>
      <c r="I108" s="4"/>
      <c r="J108" s="4"/>
      <c r="K108" s="4"/>
      <c r="L108" s="4" t="s">
        <v>1998</v>
      </c>
      <c r="M108" s="4"/>
      <c r="N108" s="4"/>
      <c r="O108" s="4"/>
    </row>
    <row r="109" spans="1:15" x14ac:dyDescent="0.2">
      <c r="A109" s="8" t="s">
        <v>14</v>
      </c>
      <c r="B109" s="8" t="s">
        <v>437</v>
      </c>
      <c r="C109" s="8" t="s">
        <v>438</v>
      </c>
      <c r="D109" s="4"/>
      <c r="E109" s="4">
        <v>72.349999999999994</v>
      </c>
      <c r="F109" s="4">
        <v>44.22</v>
      </c>
      <c r="G109" s="4">
        <v>43.68</v>
      </c>
      <c r="H109" s="4"/>
      <c r="I109" s="4"/>
      <c r="J109" s="4"/>
      <c r="K109" s="4"/>
      <c r="L109" s="4" t="s">
        <v>1998</v>
      </c>
      <c r="M109" s="4"/>
      <c r="N109" s="4"/>
      <c r="O109" s="4"/>
    </row>
    <row r="110" spans="1:15" x14ac:dyDescent="0.2">
      <c r="A110" s="8" t="s">
        <v>14</v>
      </c>
      <c r="B110" s="8" t="s">
        <v>439</v>
      </c>
      <c r="C110" s="8" t="s">
        <v>440</v>
      </c>
      <c r="D110" s="4"/>
      <c r="E110" s="4">
        <v>45.64</v>
      </c>
      <c r="F110" s="4">
        <v>44.17</v>
      </c>
      <c r="G110" s="4">
        <v>70.849999999999994</v>
      </c>
      <c r="H110" s="4"/>
      <c r="I110" s="4"/>
      <c r="J110" s="4"/>
      <c r="K110" s="4"/>
      <c r="L110" s="4" t="s">
        <v>1998</v>
      </c>
      <c r="M110" s="4"/>
      <c r="N110" s="4"/>
      <c r="O110" s="4"/>
    </row>
    <row r="111" spans="1:15" x14ac:dyDescent="0.2">
      <c r="A111" s="8" t="s">
        <v>14</v>
      </c>
      <c r="B111" s="8" t="s">
        <v>441</v>
      </c>
      <c r="C111" s="8" t="s">
        <v>442</v>
      </c>
      <c r="D111" s="4"/>
      <c r="E111" s="4">
        <v>44.17</v>
      </c>
      <c r="F111" s="4">
        <v>71.900000000000006</v>
      </c>
      <c r="G111" s="4">
        <v>43.56</v>
      </c>
      <c r="H111" s="4"/>
      <c r="I111" s="4"/>
      <c r="J111" s="4"/>
      <c r="K111" s="4"/>
      <c r="L111" s="4" t="s">
        <v>1998</v>
      </c>
      <c r="M111" s="4"/>
      <c r="N111" s="4"/>
      <c r="O111" s="4"/>
    </row>
    <row r="112" spans="1:15" x14ac:dyDescent="0.2">
      <c r="A112" s="8" t="s">
        <v>14</v>
      </c>
      <c r="B112" s="8" t="s">
        <v>443</v>
      </c>
      <c r="C112" s="8" t="s">
        <v>444</v>
      </c>
      <c r="D112" s="4"/>
      <c r="E112" s="4">
        <v>73.08</v>
      </c>
      <c r="F112" s="4">
        <v>44</v>
      </c>
      <c r="G112" s="4">
        <v>71.16</v>
      </c>
      <c r="H112" s="4"/>
      <c r="I112" s="4"/>
      <c r="J112" s="4"/>
      <c r="K112" s="4"/>
      <c r="L112" s="4" t="s">
        <v>1998</v>
      </c>
      <c r="M112" s="4"/>
      <c r="N112" s="4"/>
      <c r="O112" s="4"/>
    </row>
    <row r="113" spans="1:15" x14ac:dyDescent="0.2">
      <c r="A113" s="8" t="s">
        <v>14</v>
      </c>
      <c r="B113" s="8" t="s">
        <v>445</v>
      </c>
      <c r="C113" s="8" t="s">
        <v>446</v>
      </c>
      <c r="D113" s="4"/>
      <c r="E113" s="4">
        <v>44.3</v>
      </c>
      <c r="F113" s="4">
        <v>44.25</v>
      </c>
      <c r="G113" s="4">
        <v>44.51</v>
      </c>
      <c r="H113" s="4"/>
      <c r="I113" s="4"/>
      <c r="J113" s="4"/>
      <c r="K113" s="4"/>
      <c r="L113" s="4" t="s">
        <v>1998</v>
      </c>
      <c r="M113" s="4"/>
      <c r="N113" s="4"/>
      <c r="O113" s="4"/>
    </row>
    <row r="114" spans="1:15" x14ac:dyDescent="0.2">
      <c r="A114" s="8" t="s">
        <v>14</v>
      </c>
      <c r="B114" s="8" t="s">
        <v>447</v>
      </c>
      <c r="C114" s="8" t="s">
        <v>448</v>
      </c>
      <c r="D114" s="4"/>
      <c r="E114" s="4">
        <v>45.03</v>
      </c>
      <c r="F114" s="4">
        <v>74.930000000000007</v>
      </c>
      <c r="G114" s="4">
        <v>43.66</v>
      </c>
      <c r="H114" s="4"/>
      <c r="I114" s="4"/>
      <c r="J114" s="4"/>
      <c r="K114" s="4"/>
      <c r="L114" s="4" t="s">
        <v>1998</v>
      </c>
      <c r="M114" s="4"/>
      <c r="N114" s="4"/>
      <c r="O114" s="4"/>
    </row>
    <row r="115" spans="1:15" x14ac:dyDescent="0.2">
      <c r="A115" s="8" t="s">
        <v>14</v>
      </c>
      <c r="B115" s="8" t="s">
        <v>449</v>
      </c>
      <c r="C115" s="8" t="s">
        <v>450</v>
      </c>
      <c r="D115" s="4"/>
      <c r="E115" s="4">
        <v>76.569999999999993</v>
      </c>
      <c r="F115" s="4">
        <v>44.61</v>
      </c>
      <c r="G115" s="4">
        <v>75.040000000000006</v>
      </c>
      <c r="H115" s="4"/>
      <c r="I115" s="4"/>
      <c r="J115" s="4"/>
      <c r="K115" s="4"/>
      <c r="L115" s="4" t="s">
        <v>1998</v>
      </c>
      <c r="M115" s="4"/>
      <c r="N115" s="4"/>
      <c r="O115" s="4"/>
    </row>
    <row r="116" spans="1:15" x14ac:dyDescent="0.2">
      <c r="A116" s="8" t="s">
        <v>14</v>
      </c>
      <c r="B116" s="8" t="s">
        <v>451</v>
      </c>
      <c r="C116" s="8" t="s">
        <v>452</v>
      </c>
      <c r="D116" s="4"/>
      <c r="E116" s="4">
        <v>44</v>
      </c>
      <c r="F116" s="4">
        <v>75.069999999999993</v>
      </c>
      <c r="G116" s="4">
        <v>44.14</v>
      </c>
      <c r="H116" s="4"/>
      <c r="I116" s="4"/>
      <c r="J116" s="4"/>
      <c r="K116" s="4"/>
      <c r="L116" s="4" t="s">
        <v>1998</v>
      </c>
      <c r="M116" s="4"/>
      <c r="N116" s="4"/>
      <c r="O116" s="4"/>
    </row>
    <row r="117" spans="1:15" x14ac:dyDescent="0.2">
      <c r="A117" s="8" t="s">
        <v>14</v>
      </c>
      <c r="B117" s="8" t="s">
        <v>453</v>
      </c>
      <c r="C117" s="8" t="s">
        <v>454</v>
      </c>
      <c r="D117" s="4"/>
      <c r="E117" s="4">
        <v>73.78</v>
      </c>
      <c r="F117" s="4">
        <v>44.97</v>
      </c>
      <c r="G117" s="4">
        <v>43.39</v>
      </c>
      <c r="H117" s="4"/>
      <c r="I117" s="4"/>
      <c r="J117" s="4"/>
      <c r="K117" s="4"/>
      <c r="L117" s="4" t="s">
        <v>1998</v>
      </c>
      <c r="M117" s="4"/>
      <c r="N117" s="4"/>
      <c r="O117" s="4"/>
    </row>
    <row r="118" spans="1:15" x14ac:dyDescent="0.2">
      <c r="A118" s="8" t="s">
        <v>14</v>
      </c>
      <c r="B118" s="8" t="s">
        <v>455</v>
      </c>
      <c r="C118" s="8" t="s">
        <v>456</v>
      </c>
      <c r="D118" s="4"/>
      <c r="E118" s="4">
        <v>44.39</v>
      </c>
      <c r="F118" s="4">
        <v>43.63</v>
      </c>
      <c r="G118" s="4">
        <v>70.95</v>
      </c>
      <c r="H118" s="4"/>
      <c r="I118" s="4"/>
      <c r="J118" s="4"/>
      <c r="K118" s="4"/>
      <c r="L118" s="4" t="s">
        <v>1998</v>
      </c>
      <c r="M118" s="4"/>
      <c r="N118" s="4"/>
      <c r="O118" s="4"/>
    </row>
    <row r="119" spans="1:15" x14ac:dyDescent="0.2">
      <c r="A119" s="8" t="s">
        <v>14</v>
      </c>
      <c r="B119" s="8" t="s">
        <v>457</v>
      </c>
      <c r="C119" s="8" t="s">
        <v>458</v>
      </c>
      <c r="D119" s="4"/>
      <c r="E119" s="4">
        <v>44.7</v>
      </c>
      <c r="F119" s="4">
        <v>71.739999999999995</v>
      </c>
      <c r="G119" s="4">
        <v>43.03</v>
      </c>
      <c r="H119" s="4"/>
      <c r="I119" s="4"/>
      <c r="J119" s="4"/>
      <c r="K119" s="4"/>
      <c r="L119" s="4" t="s">
        <v>1998</v>
      </c>
      <c r="M119" s="4"/>
      <c r="N119" s="4"/>
      <c r="O119" s="4"/>
    </row>
    <row r="120" spans="1:15" x14ac:dyDescent="0.2">
      <c r="A120" s="8" t="s">
        <v>14</v>
      </c>
      <c r="B120" s="8" t="s">
        <v>459</v>
      </c>
      <c r="C120" s="8" t="s">
        <v>460</v>
      </c>
      <c r="D120" s="4"/>
      <c r="E120" s="4">
        <v>73.31</v>
      </c>
      <c r="F120" s="4">
        <v>44.6</v>
      </c>
      <c r="G120" s="4">
        <v>70.930000000000007</v>
      </c>
      <c r="H120" s="4"/>
      <c r="I120" s="4"/>
      <c r="J120" s="4"/>
      <c r="K120" s="4"/>
      <c r="L120" s="4" t="s">
        <v>1998</v>
      </c>
      <c r="M120" s="4"/>
      <c r="N120" s="4"/>
      <c r="O120" s="4"/>
    </row>
    <row r="121" spans="1:15" x14ac:dyDescent="0.2">
      <c r="A121" s="8" t="s">
        <v>14</v>
      </c>
      <c r="B121" s="8" t="s">
        <v>461</v>
      </c>
      <c r="C121" s="8" t="s">
        <v>462</v>
      </c>
      <c r="D121" s="4"/>
      <c r="E121" s="4">
        <v>44.6</v>
      </c>
      <c r="F121" s="4">
        <v>71.459999999999994</v>
      </c>
      <c r="G121" s="4">
        <v>43.12</v>
      </c>
      <c r="H121" s="4"/>
      <c r="I121" s="4"/>
      <c r="J121" s="4"/>
      <c r="K121" s="4"/>
      <c r="L121" s="4" t="s">
        <v>1998</v>
      </c>
      <c r="M121" s="4"/>
      <c r="N121" s="4"/>
      <c r="O121" s="4"/>
    </row>
    <row r="122" spans="1:15" x14ac:dyDescent="0.2">
      <c r="A122" s="8" t="s">
        <v>14</v>
      </c>
      <c r="B122" s="8" t="s">
        <v>463</v>
      </c>
      <c r="C122" s="8" t="s">
        <v>464</v>
      </c>
      <c r="D122" s="4"/>
      <c r="E122" s="4">
        <v>75.97</v>
      </c>
      <c r="F122" s="4">
        <v>45.55</v>
      </c>
      <c r="G122" s="4">
        <v>43.66</v>
      </c>
      <c r="H122" s="4"/>
      <c r="I122" s="4"/>
      <c r="J122" s="4"/>
      <c r="K122" s="4"/>
      <c r="L122" s="4" t="s">
        <v>1998</v>
      </c>
      <c r="M122" s="4"/>
      <c r="N122" s="4"/>
      <c r="O122" s="4"/>
    </row>
    <row r="123" spans="1:15" x14ac:dyDescent="0.2">
      <c r="A123" s="8" t="s">
        <v>14</v>
      </c>
      <c r="B123" s="8" t="s">
        <v>465</v>
      </c>
      <c r="C123" s="8" t="s">
        <v>466</v>
      </c>
      <c r="D123" s="4"/>
      <c r="E123" s="4">
        <v>45.42</v>
      </c>
      <c r="F123" s="4">
        <v>44.35</v>
      </c>
      <c r="G123" s="4">
        <v>73.900000000000006</v>
      </c>
      <c r="H123" s="4"/>
      <c r="I123" s="4"/>
      <c r="J123" s="4"/>
      <c r="K123" s="4"/>
      <c r="L123" s="4" t="s">
        <v>1998</v>
      </c>
      <c r="M123" s="4"/>
      <c r="N123" s="4"/>
      <c r="O123" s="4"/>
    </row>
    <row r="124" spans="1:15" x14ac:dyDescent="0.2">
      <c r="A124" s="8" t="s">
        <v>14</v>
      </c>
      <c r="B124" s="8" t="s">
        <v>467</v>
      </c>
      <c r="C124" s="8" t="s">
        <v>468</v>
      </c>
      <c r="D124" s="4"/>
      <c r="E124" s="4">
        <v>44.9</v>
      </c>
      <c r="F124" s="4">
        <v>77.010000000000005</v>
      </c>
      <c r="G124" s="4">
        <v>43.08</v>
      </c>
      <c r="H124" s="4"/>
      <c r="I124" s="4"/>
      <c r="J124" s="4"/>
      <c r="K124" s="4"/>
      <c r="L124" s="4" t="s">
        <v>1998</v>
      </c>
      <c r="M124" s="4"/>
      <c r="N124" s="4"/>
      <c r="O124" s="4"/>
    </row>
    <row r="125" spans="1:15" x14ac:dyDescent="0.2">
      <c r="A125" s="8" t="s">
        <v>14</v>
      </c>
      <c r="B125" s="8" t="s">
        <v>469</v>
      </c>
      <c r="C125" s="8" t="s">
        <v>470</v>
      </c>
      <c r="D125" s="4"/>
      <c r="E125" s="4">
        <v>72.47</v>
      </c>
      <c r="F125" s="4">
        <v>45.26</v>
      </c>
      <c r="G125" s="4">
        <v>71.55</v>
      </c>
      <c r="H125" s="4"/>
      <c r="I125" s="4"/>
      <c r="J125" s="4"/>
      <c r="K125" s="4"/>
      <c r="L125" s="4" t="s">
        <v>1998</v>
      </c>
      <c r="M125" s="4"/>
      <c r="N125" s="4"/>
      <c r="O125" s="4"/>
    </row>
    <row r="126" spans="1:15" x14ac:dyDescent="0.2">
      <c r="A126" s="8" t="s">
        <v>14</v>
      </c>
      <c r="B126" s="8" t="s">
        <v>471</v>
      </c>
      <c r="C126" s="8" t="s">
        <v>472</v>
      </c>
      <c r="D126" s="4"/>
      <c r="E126" s="4">
        <v>44.65</v>
      </c>
      <c r="F126" s="4">
        <v>43.59</v>
      </c>
      <c r="G126" s="4">
        <v>44.05</v>
      </c>
      <c r="H126" s="4"/>
      <c r="I126" s="4"/>
      <c r="J126" s="4"/>
      <c r="K126" s="4"/>
      <c r="L126" s="4" t="s">
        <v>1998</v>
      </c>
      <c r="M126" s="4"/>
      <c r="N126" s="4"/>
      <c r="O126" s="4"/>
    </row>
    <row r="127" spans="1:15" x14ac:dyDescent="0.2">
      <c r="A127" s="8" t="s">
        <v>14</v>
      </c>
      <c r="B127" s="8" t="s">
        <v>473</v>
      </c>
      <c r="C127" s="8" t="s">
        <v>474</v>
      </c>
      <c r="D127" s="4"/>
      <c r="E127" s="4">
        <v>44.3</v>
      </c>
      <c r="F127" s="4">
        <v>71.819999999999993</v>
      </c>
      <c r="G127" s="4">
        <v>44.49</v>
      </c>
      <c r="H127" s="4"/>
      <c r="I127" s="4"/>
      <c r="J127" s="4"/>
      <c r="K127" s="4"/>
      <c r="L127" s="4" t="s">
        <v>1998</v>
      </c>
      <c r="M127" s="4"/>
      <c r="N127" s="4"/>
      <c r="O127" s="4"/>
    </row>
    <row r="128" spans="1:15" x14ac:dyDescent="0.2">
      <c r="A128" s="8" t="s">
        <v>14</v>
      </c>
      <c r="B128" s="8" t="s">
        <v>475</v>
      </c>
      <c r="C128" s="8" t="s">
        <v>476</v>
      </c>
      <c r="D128" s="4"/>
      <c r="E128" s="4">
        <v>72.83</v>
      </c>
      <c r="F128" s="4">
        <v>43.3</v>
      </c>
      <c r="G128" s="4">
        <v>72.069999999999993</v>
      </c>
      <c r="H128" s="4"/>
      <c r="I128" s="4"/>
      <c r="J128" s="4"/>
      <c r="K128" s="4"/>
      <c r="L128" s="4" t="s">
        <v>1998</v>
      </c>
      <c r="M128" s="4"/>
      <c r="N128" s="4"/>
      <c r="O128" s="4"/>
    </row>
    <row r="129" spans="1:15" x14ac:dyDescent="0.2">
      <c r="A129" s="8" t="s">
        <v>14</v>
      </c>
      <c r="B129" s="8" t="s">
        <v>477</v>
      </c>
      <c r="C129" s="8" t="s">
        <v>478</v>
      </c>
      <c r="D129" s="4"/>
      <c r="E129" s="4">
        <v>44.46</v>
      </c>
      <c r="F129" s="4">
        <v>71.959999999999994</v>
      </c>
      <c r="G129" s="4">
        <v>43.68</v>
      </c>
      <c r="H129" s="4"/>
      <c r="I129" s="4"/>
      <c r="J129" s="4"/>
      <c r="K129" s="4"/>
      <c r="L129" s="4" t="s">
        <v>1998</v>
      </c>
      <c r="M129" s="4"/>
      <c r="N129" s="4"/>
      <c r="O129" s="4"/>
    </row>
    <row r="130" spans="1:15" x14ac:dyDescent="0.2">
      <c r="A130" s="8" t="s">
        <v>14</v>
      </c>
      <c r="B130" s="8" t="s">
        <v>479</v>
      </c>
      <c r="C130" s="8" t="s">
        <v>480</v>
      </c>
      <c r="D130" s="4"/>
      <c r="E130" s="4">
        <v>75.459999999999994</v>
      </c>
      <c r="F130" s="4">
        <v>43.91</v>
      </c>
      <c r="G130" s="4">
        <v>44.08</v>
      </c>
      <c r="H130" s="4"/>
      <c r="I130" s="4"/>
      <c r="J130" s="4"/>
      <c r="K130" s="4"/>
      <c r="L130" s="4" t="s">
        <v>1998</v>
      </c>
      <c r="M130" s="4"/>
      <c r="N130" s="4"/>
      <c r="O130" s="4"/>
    </row>
    <row r="131" spans="1:15" x14ac:dyDescent="0.2">
      <c r="A131" s="8" t="s">
        <v>14</v>
      </c>
      <c r="B131" s="8" t="s">
        <v>481</v>
      </c>
      <c r="C131" s="8" t="s">
        <v>482</v>
      </c>
      <c r="D131" s="4"/>
      <c r="E131" s="4">
        <v>45.13</v>
      </c>
      <c r="F131" s="4">
        <v>44.2</v>
      </c>
      <c r="G131" s="4">
        <v>75.14</v>
      </c>
      <c r="H131" s="4"/>
      <c r="I131" s="4"/>
      <c r="J131" s="4"/>
      <c r="K131" s="4"/>
      <c r="L131" s="4" t="s">
        <v>1998</v>
      </c>
      <c r="M131" s="4"/>
      <c r="N131" s="4"/>
      <c r="O131" s="4"/>
    </row>
  </sheetData>
  <mergeCells count="1">
    <mergeCell ref="E3:G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69"/>
  <sheetViews>
    <sheetView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SUM(E5:G69)</f>
        <v>42934.67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15</v>
      </c>
      <c r="B5" s="8" t="s">
        <v>483</v>
      </c>
      <c r="C5" s="8" t="s">
        <v>484</v>
      </c>
      <c r="D5" s="4"/>
      <c r="E5" s="4"/>
      <c r="F5" s="4">
        <v>29.67</v>
      </c>
      <c r="G5" s="4"/>
      <c r="H5" s="4" t="s">
        <v>63</v>
      </c>
      <c r="I5" s="4" t="s">
        <v>63</v>
      </c>
      <c r="J5" s="4" t="s">
        <v>63</v>
      </c>
      <c r="K5" s="4"/>
      <c r="L5" s="4"/>
      <c r="M5" s="4"/>
      <c r="N5" s="4"/>
      <c r="O5" s="4"/>
    </row>
    <row r="6" spans="1:15" x14ac:dyDescent="0.2">
      <c r="A6" s="8" t="s">
        <v>15</v>
      </c>
      <c r="B6" s="8" t="s">
        <v>106</v>
      </c>
      <c r="C6" s="8" t="s">
        <v>485</v>
      </c>
      <c r="D6" s="4"/>
      <c r="E6" s="4"/>
      <c r="F6" s="4">
        <v>0.22</v>
      </c>
      <c r="G6" s="4"/>
      <c r="H6" s="9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15</v>
      </c>
      <c r="B7" s="8" t="s">
        <v>106</v>
      </c>
      <c r="C7" s="8" t="s">
        <v>486</v>
      </c>
      <c r="D7" s="4"/>
      <c r="E7" s="4"/>
      <c r="F7" s="4">
        <v>0.16</v>
      </c>
      <c r="G7" s="4"/>
      <c r="H7" s="9" t="s">
        <v>63</v>
      </c>
      <c r="I7" s="4"/>
      <c r="J7" s="4"/>
      <c r="K7" s="4"/>
      <c r="L7" s="4"/>
      <c r="M7" s="4"/>
      <c r="N7" s="4"/>
      <c r="O7" s="4"/>
    </row>
    <row r="8" spans="1:15" x14ac:dyDescent="0.2">
      <c r="A8" s="8" t="s">
        <v>15</v>
      </c>
      <c r="B8" s="8" t="s">
        <v>106</v>
      </c>
      <c r="C8" s="8" t="s">
        <v>487</v>
      </c>
      <c r="D8" s="4"/>
      <c r="E8" s="4"/>
      <c r="F8" s="4">
        <v>0.15</v>
      </c>
      <c r="G8" s="4"/>
      <c r="H8" s="9" t="s">
        <v>63</v>
      </c>
      <c r="I8" s="4"/>
      <c r="J8" s="4"/>
      <c r="K8" s="4"/>
      <c r="L8" s="4"/>
      <c r="M8" s="4"/>
      <c r="N8" s="4"/>
      <c r="O8" s="4"/>
    </row>
    <row r="9" spans="1:15" x14ac:dyDescent="0.2">
      <c r="A9" s="8" t="s">
        <v>15</v>
      </c>
      <c r="B9" s="8" t="s">
        <v>106</v>
      </c>
      <c r="C9" s="8" t="s">
        <v>488</v>
      </c>
      <c r="D9" s="4"/>
      <c r="E9" s="4"/>
      <c r="F9" s="4">
        <v>2.0299999999999998</v>
      </c>
      <c r="G9" s="4"/>
      <c r="H9" s="4"/>
      <c r="I9" s="9" t="s">
        <v>63</v>
      </c>
      <c r="J9" s="9" t="s">
        <v>63</v>
      </c>
      <c r="K9" s="9" t="s">
        <v>63</v>
      </c>
      <c r="L9" s="4"/>
      <c r="M9" s="4"/>
      <c r="N9" s="4"/>
      <c r="O9" s="4"/>
    </row>
    <row r="10" spans="1:15" x14ac:dyDescent="0.2">
      <c r="A10" s="8" t="s">
        <v>15</v>
      </c>
      <c r="B10" s="8" t="s">
        <v>106</v>
      </c>
      <c r="C10" s="8" t="s">
        <v>489</v>
      </c>
      <c r="D10" s="4"/>
      <c r="E10" s="4"/>
      <c r="F10" s="4">
        <v>0.92</v>
      </c>
      <c r="G10" s="4"/>
      <c r="H10" s="4"/>
      <c r="I10" s="9" t="s">
        <v>63</v>
      </c>
      <c r="J10" s="9" t="s">
        <v>63</v>
      </c>
      <c r="K10" s="9" t="s">
        <v>63</v>
      </c>
      <c r="L10" s="4"/>
      <c r="M10" s="4"/>
      <c r="N10" s="4"/>
      <c r="O10" s="4"/>
    </row>
    <row r="11" spans="1:15" x14ac:dyDescent="0.2">
      <c r="A11" s="8" t="s">
        <v>15</v>
      </c>
      <c r="B11" s="8" t="s">
        <v>106</v>
      </c>
      <c r="C11" s="8" t="s">
        <v>490</v>
      </c>
      <c r="D11" s="4"/>
      <c r="E11" s="4"/>
      <c r="F11" s="4">
        <v>0.95</v>
      </c>
      <c r="G11" s="4"/>
      <c r="H11" s="4"/>
      <c r="I11" s="9" t="s">
        <v>63</v>
      </c>
      <c r="J11" s="9" t="s">
        <v>63</v>
      </c>
      <c r="K11" s="9" t="s">
        <v>63</v>
      </c>
      <c r="L11" s="4"/>
      <c r="M11" s="4"/>
      <c r="N11" s="4"/>
      <c r="O11" s="4"/>
    </row>
    <row r="12" spans="1:15" x14ac:dyDescent="0.2">
      <c r="A12" s="8" t="s">
        <v>15</v>
      </c>
      <c r="B12" s="8" t="s">
        <v>491</v>
      </c>
      <c r="C12" s="8" t="s">
        <v>492</v>
      </c>
      <c r="D12" s="4"/>
      <c r="E12" s="4">
        <v>329.23</v>
      </c>
      <c r="F12" s="4">
        <v>287.51</v>
      </c>
      <c r="G12" s="4">
        <v>303.54000000000002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15</v>
      </c>
      <c r="B13" s="8" t="s">
        <v>493</v>
      </c>
      <c r="C13" s="8" t="s">
        <v>494</v>
      </c>
      <c r="D13" s="4"/>
      <c r="E13" s="4">
        <v>301.19</v>
      </c>
      <c r="F13" s="4">
        <v>333.09</v>
      </c>
      <c r="G13" s="4">
        <v>301.83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15</v>
      </c>
      <c r="B14" s="8" t="s">
        <v>495</v>
      </c>
      <c r="C14" s="8" t="s">
        <v>496</v>
      </c>
      <c r="D14" s="4"/>
      <c r="E14" s="4">
        <v>301.45999999999998</v>
      </c>
      <c r="F14" s="4">
        <v>300.99</v>
      </c>
      <c r="G14" s="4">
        <v>303.14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15</v>
      </c>
      <c r="B15" s="8" t="s">
        <v>497</v>
      </c>
      <c r="C15" s="8" t="s">
        <v>498</v>
      </c>
      <c r="D15" s="4"/>
      <c r="E15" s="4">
        <v>304.25</v>
      </c>
      <c r="F15" s="4">
        <v>302.2</v>
      </c>
      <c r="G15" s="4">
        <v>298.5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15</v>
      </c>
      <c r="B16" s="8" t="s">
        <v>499</v>
      </c>
      <c r="C16" s="8" t="s">
        <v>500</v>
      </c>
      <c r="D16" s="4"/>
      <c r="E16" s="4">
        <v>621.83000000000004</v>
      </c>
      <c r="F16" s="4">
        <v>588.70000000000005</v>
      </c>
      <c r="G16" s="4">
        <v>614.96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15</v>
      </c>
      <c r="B17" s="8" t="s">
        <v>501</v>
      </c>
      <c r="C17" s="8" t="s">
        <v>502</v>
      </c>
      <c r="D17" s="4"/>
      <c r="E17" s="4">
        <v>46.07</v>
      </c>
      <c r="F17" s="4">
        <v>46.87</v>
      </c>
      <c r="G17" s="4">
        <v>44.88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15</v>
      </c>
      <c r="B18" s="8" t="s">
        <v>503</v>
      </c>
      <c r="C18" s="8" t="s">
        <v>504</v>
      </c>
      <c r="D18" s="4"/>
      <c r="E18" s="4">
        <v>86.69</v>
      </c>
      <c r="F18" s="4">
        <v>129.11000000000001</v>
      </c>
      <c r="G18" s="4">
        <v>86.54</v>
      </c>
      <c r="H18" s="4" t="s">
        <v>1998</v>
      </c>
      <c r="I18" s="4" t="s">
        <v>1998</v>
      </c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15</v>
      </c>
      <c r="B19" s="8" t="s">
        <v>505</v>
      </c>
      <c r="C19" s="8" t="s">
        <v>506</v>
      </c>
      <c r="D19" s="4"/>
      <c r="E19" s="4">
        <v>121.24</v>
      </c>
      <c r="F19" s="4">
        <v>119.92</v>
      </c>
      <c r="G19" s="4">
        <v>122.14</v>
      </c>
      <c r="H19" s="4" t="s">
        <v>1998</v>
      </c>
      <c r="I19" s="4" t="s">
        <v>1998</v>
      </c>
      <c r="J19" s="4" t="s">
        <v>1998</v>
      </c>
      <c r="K19" s="4" t="s">
        <v>1998</v>
      </c>
      <c r="L19" s="4"/>
      <c r="M19" s="4"/>
      <c r="N19" s="4"/>
      <c r="O19" s="4"/>
    </row>
    <row r="20" spans="1:15" x14ac:dyDescent="0.2">
      <c r="A20" s="8" t="s">
        <v>15</v>
      </c>
      <c r="B20" s="8" t="s">
        <v>507</v>
      </c>
      <c r="C20" s="8" t="s">
        <v>508</v>
      </c>
      <c r="D20" s="4"/>
      <c r="E20" s="4">
        <v>116.88</v>
      </c>
      <c r="F20" s="4">
        <v>87.65</v>
      </c>
      <c r="G20" s="4">
        <v>113.88</v>
      </c>
      <c r="H20" s="4" t="s">
        <v>1998</v>
      </c>
      <c r="I20" s="4" t="s">
        <v>1998</v>
      </c>
      <c r="J20" s="4" t="s">
        <v>1998</v>
      </c>
      <c r="K20" s="4" t="s">
        <v>1998</v>
      </c>
      <c r="L20" s="4"/>
      <c r="M20" s="4"/>
      <c r="N20" s="4"/>
      <c r="O20" s="4"/>
    </row>
    <row r="21" spans="1:15" x14ac:dyDescent="0.2">
      <c r="A21" s="8" t="s">
        <v>15</v>
      </c>
      <c r="B21" s="8" t="s">
        <v>509</v>
      </c>
      <c r="C21" s="8" t="s">
        <v>510</v>
      </c>
      <c r="D21" s="4"/>
      <c r="E21" s="4">
        <v>88.15</v>
      </c>
      <c r="F21" s="4">
        <v>115.83</v>
      </c>
      <c r="G21" s="4">
        <v>86.48</v>
      </c>
      <c r="H21" s="4" t="s">
        <v>1998</v>
      </c>
      <c r="I21" s="4" t="s">
        <v>1998</v>
      </c>
      <c r="J21" s="4" t="s">
        <v>1998</v>
      </c>
      <c r="K21" s="4" t="s">
        <v>1998</v>
      </c>
      <c r="L21" s="4"/>
      <c r="M21" s="4"/>
      <c r="N21" s="4"/>
      <c r="O21" s="4"/>
    </row>
    <row r="22" spans="1:15" x14ac:dyDescent="0.2">
      <c r="A22" s="8" t="s">
        <v>15</v>
      </c>
      <c r="B22" s="8" t="s">
        <v>511</v>
      </c>
      <c r="C22" s="8" t="s">
        <v>512</v>
      </c>
      <c r="D22" s="4"/>
      <c r="E22" s="4">
        <v>116.86</v>
      </c>
      <c r="F22" s="4">
        <v>87.9</v>
      </c>
      <c r="G22" s="4">
        <v>116.42</v>
      </c>
      <c r="H22" s="4" t="s">
        <v>1998</v>
      </c>
      <c r="I22" s="4" t="s">
        <v>1998</v>
      </c>
      <c r="J22" s="4" t="s">
        <v>1998</v>
      </c>
      <c r="K22" s="4" t="s">
        <v>1998</v>
      </c>
      <c r="L22" s="4"/>
      <c r="M22" s="4"/>
      <c r="N22" s="4"/>
      <c r="O22" s="4"/>
    </row>
    <row r="23" spans="1:15" x14ac:dyDescent="0.2">
      <c r="A23" s="8" t="s">
        <v>15</v>
      </c>
      <c r="B23" s="8" t="s">
        <v>513</v>
      </c>
      <c r="C23" s="8" t="s">
        <v>514</v>
      </c>
      <c r="D23" s="4"/>
      <c r="E23" s="4">
        <v>87.82</v>
      </c>
      <c r="F23" s="4">
        <v>116.67</v>
      </c>
      <c r="G23" s="4">
        <v>88.13</v>
      </c>
      <c r="H23" s="4" t="s">
        <v>1998</v>
      </c>
      <c r="I23" s="4" t="s">
        <v>1998</v>
      </c>
      <c r="J23" s="4" t="s">
        <v>1998</v>
      </c>
      <c r="K23" s="4" t="s">
        <v>1998</v>
      </c>
      <c r="L23" s="4"/>
      <c r="M23" s="4"/>
      <c r="N23" s="4"/>
      <c r="O23" s="4"/>
    </row>
    <row r="24" spans="1:15" x14ac:dyDescent="0.2">
      <c r="A24" s="8" t="s">
        <v>15</v>
      </c>
      <c r="B24" s="8" t="s">
        <v>515</v>
      </c>
      <c r="C24" s="8" t="s">
        <v>516</v>
      </c>
      <c r="D24" s="4"/>
      <c r="E24" s="4">
        <v>166.26</v>
      </c>
      <c r="F24" s="4">
        <v>166.63</v>
      </c>
      <c r="G24" s="4">
        <v>195.44</v>
      </c>
      <c r="H24" s="4" t="s">
        <v>1998</v>
      </c>
      <c r="I24" s="4" t="s">
        <v>1998</v>
      </c>
      <c r="J24" s="4" t="s">
        <v>1998</v>
      </c>
      <c r="K24" s="4" t="s">
        <v>1998</v>
      </c>
      <c r="L24" s="4"/>
      <c r="M24" s="4"/>
      <c r="N24" s="4"/>
      <c r="O24" s="4"/>
    </row>
    <row r="25" spans="1:15" x14ac:dyDescent="0.2">
      <c r="A25" s="8" t="s">
        <v>15</v>
      </c>
      <c r="B25" s="8" t="s">
        <v>517</v>
      </c>
      <c r="C25" s="8" t="s">
        <v>518</v>
      </c>
      <c r="D25" s="4"/>
      <c r="E25" s="4">
        <v>97.6</v>
      </c>
      <c r="F25" s="4">
        <v>97.13</v>
      </c>
      <c r="G25" s="4">
        <v>99.31</v>
      </c>
      <c r="H25" s="4" t="s">
        <v>1998</v>
      </c>
      <c r="I25" s="4" t="s">
        <v>1998</v>
      </c>
      <c r="J25" s="4" t="s">
        <v>1998</v>
      </c>
      <c r="K25" s="4" t="s">
        <v>1998</v>
      </c>
      <c r="L25" s="4"/>
      <c r="M25" s="4"/>
      <c r="N25" s="4"/>
      <c r="O25" s="4"/>
    </row>
    <row r="26" spans="1:15" x14ac:dyDescent="0.2">
      <c r="A26" s="8" t="s">
        <v>15</v>
      </c>
      <c r="B26" s="8" t="s">
        <v>519</v>
      </c>
      <c r="C26" s="8" t="s">
        <v>520</v>
      </c>
      <c r="D26" s="4"/>
      <c r="E26" s="4">
        <v>69.22</v>
      </c>
      <c r="F26" s="4">
        <v>38.58</v>
      </c>
      <c r="G26" s="4">
        <v>39.049999999999997</v>
      </c>
      <c r="H26" s="4" t="s">
        <v>1998</v>
      </c>
      <c r="I26" s="4" t="s">
        <v>1998</v>
      </c>
      <c r="J26" s="4" t="s">
        <v>1998</v>
      </c>
      <c r="K26" s="4" t="s">
        <v>1998</v>
      </c>
      <c r="L26" s="4"/>
      <c r="M26" s="4"/>
      <c r="N26" s="4"/>
      <c r="O26" s="4"/>
    </row>
    <row r="27" spans="1:15" x14ac:dyDescent="0.2">
      <c r="A27" s="8" t="s">
        <v>15</v>
      </c>
      <c r="B27" s="8" t="s">
        <v>521</v>
      </c>
      <c r="C27" s="8" t="s">
        <v>522</v>
      </c>
      <c r="D27" s="4"/>
      <c r="E27" s="4">
        <v>38.83</v>
      </c>
      <c r="F27" s="4">
        <v>70.040000000000006</v>
      </c>
      <c r="G27" s="4">
        <v>38.18</v>
      </c>
      <c r="H27" s="4" t="s">
        <v>1998</v>
      </c>
      <c r="I27" s="4" t="s">
        <v>1998</v>
      </c>
      <c r="J27" s="4" t="s">
        <v>1998</v>
      </c>
      <c r="K27" s="4" t="s">
        <v>1998</v>
      </c>
      <c r="L27" s="4"/>
      <c r="M27" s="4"/>
      <c r="N27" s="4"/>
      <c r="O27" s="4"/>
    </row>
    <row r="28" spans="1:15" x14ac:dyDescent="0.2">
      <c r="A28" s="8" t="s">
        <v>15</v>
      </c>
      <c r="B28" s="8" t="s">
        <v>523</v>
      </c>
      <c r="C28" s="8" t="s">
        <v>524</v>
      </c>
      <c r="D28" s="4"/>
      <c r="E28" s="4">
        <v>341.57</v>
      </c>
      <c r="F28" s="4">
        <v>345.44</v>
      </c>
      <c r="G28" s="4">
        <v>340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15</v>
      </c>
      <c r="B29" s="8" t="s">
        <v>525</v>
      </c>
      <c r="C29" s="8" t="s">
        <v>526</v>
      </c>
      <c r="D29" s="4"/>
      <c r="E29" s="4">
        <v>377.71</v>
      </c>
      <c r="F29" s="4">
        <v>342.39</v>
      </c>
      <c r="G29" s="4">
        <v>377.05</v>
      </c>
      <c r="H29" s="4"/>
      <c r="I29" s="4"/>
      <c r="J29" s="4"/>
      <c r="K29" s="4"/>
      <c r="L29" s="4" t="s">
        <v>1998</v>
      </c>
      <c r="M29" s="4"/>
      <c r="N29" s="4"/>
      <c r="O29" s="4"/>
    </row>
    <row r="30" spans="1:15" x14ac:dyDescent="0.2">
      <c r="A30" s="8" t="s">
        <v>15</v>
      </c>
      <c r="B30" s="8" t="s">
        <v>527</v>
      </c>
      <c r="C30" s="8" t="s">
        <v>528</v>
      </c>
      <c r="D30" s="4"/>
      <c r="E30" s="4">
        <v>347.61</v>
      </c>
      <c r="F30" s="4">
        <v>389.59</v>
      </c>
      <c r="G30" s="4">
        <v>342.2</v>
      </c>
      <c r="H30" s="4"/>
      <c r="I30" s="4"/>
      <c r="J30" s="4"/>
      <c r="K30" s="4"/>
      <c r="L30" s="4" t="s">
        <v>1998</v>
      </c>
      <c r="M30" s="4"/>
      <c r="N30" s="4"/>
      <c r="O30" s="4"/>
    </row>
    <row r="31" spans="1:15" x14ac:dyDescent="0.2">
      <c r="A31" s="8" t="s">
        <v>15</v>
      </c>
      <c r="B31" s="8" t="s">
        <v>529</v>
      </c>
      <c r="C31" s="8" t="s">
        <v>530</v>
      </c>
      <c r="D31" s="4"/>
      <c r="E31" s="4">
        <v>345.78</v>
      </c>
      <c r="F31" s="4">
        <v>347.83</v>
      </c>
      <c r="G31" s="4">
        <v>373.49</v>
      </c>
      <c r="H31" s="4"/>
      <c r="I31" s="4"/>
      <c r="J31" s="4"/>
      <c r="K31" s="4"/>
      <c r="L31" s="4" t="s">
        <v>1998</v>
      </c>
      <c r="M31" s="4"/>
      <c r="N31" s="4"/>
      <c r="O31" s="4"/>
    </row>
    <row r="32" spans="1:15" x14ac:dyDescent="0.2">
      <c r="A32" s="8" t="s">
        <v>15</v>
      </c>
      <c r="B32" s="8" t="s">
        <v>531</v>
      </c>
      <c r="C32" s="8" t="s">
        <v>532</v>
      </c>
      <c r="D32" s="4"/>
      <c r="E32" s="4">
        <v>384.82</v>
      </c>
      <c r="F32" s="4">
        <v>375.65</v>
      </c>
      <c r="G32" s="4">
        <v>346.62</v>
      </c>
      <c r="H32" s="4"/>
      <c r="I32" s="4"/>
      <c r="J32" s="4"/>
      <c r="K32" s="4"/>
      <c r="L32" s="4" t="s">
        <v>1998</v>
      </c>
      <c r="M32" s="4"/>
      <c r="N32" s="4"/>
      <c r="O32" s="4"/>
    </row>
    <row r="33" spans="1:15" x14ac:dyDescent="0.2">
      <c r="A33" s="8" t="s">
        <v>15</v>
      </c>
      <c r="B33" s="8" t="s">
        <v>533</v>
      </c>
      <c r="C33" s="8" t="s">
        <v>534</v>
      </c>
      <c r="D33" s="4"/>
      <c r="E33" s="4">
        <v>349.03</v>
      </c>
      <c r="F33" s="4">
        <v>344.43</v>
      </c>
      <c r="G33" s="4">
        <v>344.44</v>
      </c>
      <c r="H33" s="4"/>
      <c r="I33" s="4"/>
      <c r="J33" s="4"/>
      <c r="K33" s="4"/>
      <c r="L33" s="4" t="s">
        <v>1998</v>
      </c>
      <c r="M33" s="4"/>
      <c r="N33" s="4"/>
      <c r="O33" s="4"/>
    </row>
    <row r="34" spans="1:15" x14ac:dyDescent="0.2">
      <c r="A34" s="8" t="s">
        <v>15</v>
      </c>
      <c r="B34" s="8" t="s">
        <v>535</v>
      </c>
      <c r="C34" s="8" t="s">
        <v>536</v>
      </c>
      <c r="D34" s="4"/>
      <c r="E34" s="4">
        <v>378.29</v>
      </c>
      <c r="F34" s="4">
        <v>354.36</v>
      </c>
      <c r="G34" s="4">
        <v>386.34</v>
      </c>
      <c r="H34" s="4"/>
      <c r="I34" s="4"/>
      <c r="J34" s="4"/>
      <c r="K34" s="4"/>
      <c r="L34" s="4" t="s">
        <v>1998</v>
      </c>
      <c r="M34" s="4"/>
      <c r="N34" s="4"/>
      <c r="O34" s="4"/>
    </row>
    <row r="35" spans="1:15" x14ac:dyDescent="0.2">
      <c r="A35" s="8" t="s">
        <v>15</v>
      </c>
      <c r="B35" s="8" t="s">
        <v>537</v>
      </c>
      <c r="C35" s="8" t="s">
        <v>538</v>
      </c>
      <c r="D35" s="4"/>
      <c r="E35" s="4">
        <v>351.23</v>
      </c>
      <c r="F35" s="4">
        <v>388.67</v>
      </c>
      <c r="G35" s="4">
        <v>346.69</v>
      </c>
      <c r="H35" s="4"/>
      <c r="I35" s="4"/>
      <c r="J35" s="4"/>
      <c r="K35" s="4"/>
      <c r="L35" s="4" t="s">
        <v>1998</v>
      </c>
      <c r="M35" s="4"/>
      <c r="N35" s="4"/>
      <c r="O35" s="4"/>
    </row>
    <row r="36" spans="1:15" x14ac:dyDescent="0.2">
      <c r="A36" s="8" t="s">
        <v>15</v>
      </c>
      <c r="B36" s="8" t="s">
        <v>539</v>
      </c>
      <c r="C36" s="8" t="s">
        <v>540</v>
      </c>
      <c r="D36" s="4"/>
      <c r="E36" s="4">
        <v>346.13</v>
      </c>
      <c r="F36" s="4">
        <v>349.37</v>
      </c>
      <c r="G36" s="4">
        <v>371.9</v>
      </c>
      <c r="H36" s="4"/>
      <c r="I36" s="4"/>
      <c r="J36" s="4"/>
      <c r="K36" s="4"/>
      <c r="L36" s="4" t="s">
        <v>1998</v>
      </c>
      <c r="M36" s="4"/>
      <c r="N36" s="4"/>
      <c r="O36" s="4"/>
    </row>
    <row r="37" spans="1:15" x14ac:dyDescent="0.2">
      <c r="A37" s="8" t="s">
        <v>15</v>
      </c>
      <c r="B37" s="8" t="s">
        <v>541</v>
      </c>
      <c r="C37" s="8" t="s">
        <v>542</v>
      </c>
      <c r="D37" s="4"/>
      <c r="E37" s="4">
        <v>377.81</v>
      </c>
      <c r="F37" s="4">
        <v>376.78</v>
      </c>
      <c r="G37" s="4">
        <v>343.79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15</v>
      </c>
      <c r="B38" s="8" t="s">
        <v>543</v>
      </c>
      <c r="C38" s="8" t="s">
        <v>544</v>
      </c>
      <c r="D38" s="4"/>
      <c r="E38" s="4">
        <v>348.87</v>
      </c>
      <c r="F38" s="4">
        <v>352.79</v>
      </c>
      <c r="G38" s="4">
        <v>346.17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15</v>
      </c>
      <c r="B39" s="8" t="s">
        <v>545</v>
      </c>
      <c r="C39" s="8" t="s">
        <v>546</v>
      </c>
      <c r="D39" s="4"/>
      <c r="E39" s="4">
        <v>375.18</v>
      </c>
      <c r="F39" s="4">
        <v>347.46</v>
      </c>
      <c r="G39" s="4">
        <v>377.21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15</v>
      </c>
      <c r="B40" s="8" t="s">
        <v>547</v>
      </c>
      <c r="C40" s="8" t="s">
        <v>548</v>
      </c>
      <c r="D40" s="4"/>
      <c r="E40" s="4">
        <v>350.16</v>
      </c>
      <c r="F40" s="4">
        <v>380.2</v>
      </c>
      <c r="G40" s="4">
        <v>348.73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15</v>
      </c>
      <c r="B41" s="8" t="s">
        <v>549</v>
      </c>
      <c r="C41" s="8" t="s">
        <v>550</v>
      </c>
      <c r="D41" s="4"/>
      <c r="E41" s="4">
        <v>342.99</v>
      </c>
      <c r="F41" s="4">
        <v>343.58</v>
      </c>
      <c r="G41" s="4">
        <v>372.52</v>
      </c>
      <c r="H41" s="4"/>
      <c r="I41" s="4"/>
      <c r="J41" s="4"/>
      <c r="K41" s="4"/>
      <c r="L41" s="4" t="s">
        <v>1998</v>
      </c>
      <c r="M41" s="4"/>
      <c r="N41" s="4"/>
      <c r="O41" s="4"/>
    </row>
    <row r="42" spans="1:15" x14ac:dyDescent="0.2">
      <c r="A42" s="8" t="s">
        <v>15</v>
      </c>
      <c r="B42" s="8" t="s">
        <v>551</v>
      </c>
      <c r="C42" s="8" t="s">
        <v>552</v>
      </c>
      <c r="D42" s="4"/>
      <c r="E42" s="4">
        <v>391.26</v>
      </c>
      <c r="F42" s="4">
        <v>377.09</v>
      </c>
      <c r="G42" s="4">
        <v>348.84</v>
      </c>
      <c r="H42" s="4"/>
      <c r="I42" s="4"/>
      <c r="J42" s="4"/>
      <c r="K42" s="4"/>
      <c r="L42" s="4" t="s">
        <v>1998</v>
      </c>
      <c r="M42" s="4"/>
      <c r="N42" s="4"/>
      <c r="O42" s="4"/>
    </row>
    <row r="43" spans="1:15" x14ac:dyDescent="0.2">
      <c r="A43" s="8" t="s">
        <v>15</v>
      </c>
      <c r="B43" s="8" t="s">
        <v>553</v>
      </c>
      <c r="C43" s="8" t="s">
        <v>554</v>
      </c>
      <c r="D43" s="4"/>
      <c r="E43" s="4">
        <v>343.24</v>
      </c>
      <c r="F43" s="4">
        <v>348.76</v>
      </c>
      <c r="G43" s="4">
        <v>342.37</v>
      </c>
      <c r="H43" s="4"/>
      <c r="I43" s="4"/>
      <c r="J43" s="4"/>
      <c r="K43" s="4"/>
      <c r="L43" s="4" t="s">
        <v>1998</v>
      </c>
      <c r="M43" s="4"/>
      <c r="N43" s="4"/>
      <c r="O43" s="4"/>
    </row>
    <row r="44" spans="1:15" x14ac:dyDescent="0.2">
      <c r="A44" s="8" t="s">
        <v>15</v>
      </c>
      <c r="B44" s="8" t="s">
        <v>555</v>
      </c>
      <c r="C44" s="8" t="s">
        <v>556</v>
      </c>
      <c r="D44" s="4"/>
      <c r="E44" s="4">
        <v>377.34</v>
      </c>
      <c r="F44" s="4">
        <v>347.11</v>
      </c>
      <c r="G44" s="4">
        <v>378.24</v>
      </c>
      <c r="H44" s="4"/>
      <c r="I44" s="4"/>
      <c r="J44" s="4"/>
      <c r="K44" s="4"/>
      <c r="L44" s="4" t="s">
        <v>1998</v>
      </c>
      <c r="M44" s="4"/>
      <c r="N44" s="4"/>
      <c r="O44" s="4"/>
    </row>
    <row r="45" spans="1:15" x14ac:dyDescent="0.2">
      <c r="A45" s="8" t="s">
        <v>15</v>
      </c>
      <c r="B45" s="8" t="s">
        <v>557</v>
      </c>
      <c r="C45" s="8" t="s">
        <v>558</v>
      </c>
      <c r="D45" s="4"/>
      <c r="E45" s="4">
        <v>347.7</v>
      </c>
      <c r="F45" s="4">
        <v>384.29</v>
      </c>
      <c r="G45" s="4">
        <v>346.31</v>
      </c>
      <c r="H45" s="4"/>
      <c r="I45" s="4"/>
      <c r="J45" s="4"/>
      <c r="K45" s="4"/>
      <c r="L45" s="4" t="s">
        <v>1998</v>
      </c>
      <c r="M45" s="4"/>
      <c r="N45" s="4"/>
      <c r="O45" s="4"/>
    </row>
    <row r="46" spans="1:15" x14ac:dyDescent="0.2">
      <c r="A46" s="8" t="s">
        <v>15</v>
      </c>
      <c r="B46" s="8" t="s">
        <v>559</v>
      </c>
      <c r="C46" s="8" t="s">
        <v>560</v>
      </c>
      <c r="D46" s="4"/>
      <c r="E46" s="4">
        <v>346.08</v>
      </c>
      <c r="F46" s="4">
        <v>349.59</v>
      </c>
      <c r="G46" s="4">
        <v>346.03</v>
      </c>
      <c r="H46" s="4"/>
      <c r="I46" s="4"/>
      <c r="J46" s="4"/>
      <c r="K46" s="4"/>
      <c r="L46" s="4" t="s">
        <v>1998</v>
      </c>
      <c r="M46" s="4"/>
      <c r="N46" s="4"/>
      <c r="O46" s="4"/>
    </row>
    <row r="47" spans="1:15" x14ac:dyDescent="0.2">
      <c r="A47" s="8" t="s">
        <v>15</v>
      </c>
      <c r="B47" s="8" t="s">
        <v>561</v>
      </c>
      <c r="C47" s="8" t="s">
        <v>562</v>
      </c>
      <c r="D47" s="4"/>
      <c r="E47" s="4">
        <v>382.98</v>
      </c>
      <c r="F47" s="4">
        <v>373.91</v>
      </c>
      <c r="G47" s="4">
        <v>388.6</v>
      </c>
      <c r="H47" s="4"/>
      <c r="I47" s="4"/>
      <c r="J47" s="4"/>
      <c r="K47" s="4"/>
      <c r="L47" s="4" t="s">
        <v>1998</v>
      </c>
      <c r="M47" s="4"/>
      <c r="N47" s="4"/>
      <c r="O47" s="4"/>
    </row>
    <row r="48" spans="1:15" x14ac:dyDescent="0.2">
      <c r="A48" s="8" t="s">
        <v>15</v>
      </c>
      <c r="B48" s="8" t="s">
        <v>563</v>
      </c>
      <c r="C48" s="8" t="s">
        <v>564</v>
      </c>
      <c r="D48" s="4"/>
      <c r="E48" s="4">
        <v>346.82</v>
      </c>
      <c r="F48" s="4">
        <v>344.75</v>
      </c>
      <c r="G48" s="4">
        <v>346.35</v>
      </c>
      <c r="H48" s="4"/>
      <c r="I48" s="4"/>
      <c r="J48" s="4"/>
      <c r="K48" s="4"/>
      <c r="L48" s="4" t="s">
        <v>1998</v>
      </c>
      <c r="M48" s="4"/>
      <c r="N48" s="4"/>
      <c r="O48" s="4"/>
    </row>
    <row r="49" spans="1:15" x14ac:dyDescent="0.2">
      <c r="A49" s="8" t="s">
        <v>15</v>
      </c>
      <c r="B49" s="8" t="s">
        <v>565</v>
      </c>
      <c r="C49" s="8" t="s">
        <v>566</v>
      </c>
      <c r="D49" s="4"/>
      <c r="E49" s="4">
        <v>372.63</v>
      </c>
      <c r="F49" s="4">
        <v>346.12</v>
      </c>
      <c r="G49" s="4">
        <v>373.99</v>
      </c>
      <c r="H49" s="4"/>
      <c r="I49" s="4"/>
      <c r="J49" s="4"/>
      <c r="K49" s="4"/>
      <c r="L49" s="4" t="s">
        <v>1998</v>
      </c>
      <c r="M49" s="4"/>
      <c r="N49" s="4"/>
      <c r="O49" s="4"/>
    </row>
    <row r="50" spans="1:15" x14ac:dyDescent="0.2">
      <c r="A50" s="8" t="s">
        <v>15</v>
      </c>
      <c r="B50" s="8" t="s">
        <v>567</v>
      </c>
      <c r="C50" s="8" t="s">
        <v>568</v>
      </c>
      <c r="D50" s="4"/>
      <c r="E50" s="4">
        <v>345.91</v>
      </c>
      <c r="F50" s="4">
        <v>376.97</v>
      </c>
      <c r="G50" s="4">
        <v>342.99</v>
      </c>
      <c r="H50" s="4"/>
      <c r="I50" s="4"/>
      <c r="J50" s="4"/>
      <c r="K50" s="4"/>
      <c r="L50" s="4" t="s">
        <v>1998</v>
      </c>
      <c r="M50" s="4"/>
      <c r="N50" s="4"/>
      <c r="O50" s="4"/>
    </row>
    <row r="51" spans="1:15" x14ac:dyDescent="0.2">
      <c r="A51" s="8" t="s">
        <v>15</v>
      </c>
      <c r="B51" s="8" t="s">
        <v>569</v>
      </c>
      <c r="C51" s="8" t="s">
        <v>570</v>
      </c>
      <c r="D51" s="4"/>
      <c r="E51" s="4">
        <v>351.58</v>
      </c>
      <c r="F51" s="4">
        <v>347.46</v>
      </c>
      <c r="G51" s="4">
        <v>345.91</v>
      </c>
      <c r="H51" s="4"/>
      <c r="I51" s="4"/>
      <c r="J51" s="4"/>
      <c r="K51" s="4"/>
      <c r="L51" s="4" t="s">
        <v>1998</v>
      </c>
      <c r="M51" s="4"/>
      <c r="N51" s="4"/>
      <c r="O51" s="4"/>
    </row>
    <row r="52" spans="1:15" x14ac:dyDescent="0.2">
      <c r="A52" s="8" t="s">
        <v>15</v>
      </c>
      <c r="B52" s="8" t="s">
        <v>571</v>
      </c>
      <c r="C52" s="8" t="s">
        <v>572</v>
      </c>
      <c r="D52" s="4"/>
      <c r="E52" s="4">
        <v>377.89</v>
      </c>
      <c r="F52" s="4">
        <v>376.44</v>
      </c>
      <c r="G52" s="4">
        <v>376.22</v>
      </c>
      <c r="H52" s="4"/>
      <c r="I52" s="4"/>
      <c r="J52" s="4"/>
      <c r="K52" s="4"/>
      <c r="L52" s="4" t="s">
        <v>1998</v>
      </c>
      <c r="M52" s="4"/>
      <c r="N52" s="4"/>
      <c r="O52" s="4"/>
    </row>
    <row r="53" spans="1:15" x14ac:dyDescent="0.2">
      <c r="A53" s="8" t="s">
        <v>15</v>
      </c>
      <c r="B53" s="8" t="s">
        <v>573</v>
      </c>
      <c r="C53" s="8" t="s">
        <v>574</v>
      </c>
      <c r="D53" s="4"/>
      <c r="E53" s="4">
        <v>348.73</v>
      </c>
      <c r="F53" s="4">
        <v>349.69</v>
      </c>
      <c r="G53" s="4">
        <v>349.61</v>
      </c>
      <c r="H53" s="4"/>
      <c r="I53" s="4"/>
      <c r="J53" s="4"/>
      <c r="K53" s="4"/>
      <c r="L53" s="4" t="s">
        <v>1998</v>
      </c>
      <c r="M53" s="4"/>
      <c r="N53" s="4"/>
      <c r="O53" s="4"/>
    </row>
    <row r="54" spans="1:15" x14ac:dyDescent="0.2">
      <c r="A54" s="8" t="s">
        <v>15</v>
      </c>
      <c r="B54" s="8" t="s">
        <v>575</v>
      </c>
      <c r="C54" s="8" t="s">
        <v>576</v>
      </c>
      <c r="D54" s="4"/>
      <c r="E54" s="4">
        <v>621.58000000000004</v>
      </c>
      <c r="F54" s="4">
        <v>575.84</v>
      </c>
      <c r="G54" s="4">
        <v>619.67999999999995</v>
      </c>
      <c r="H54" s="4"/>
      <c r="I54" s="4"/>
      <c r="J54" s="4"/>
      <c r="K54" s="4"/>
      <c r="L54" s="4" t="s">
        <v>1998</v>
      </c>
      <c r="M54" s="4"/>
      <c r="N54" s="4"/>
      <c r="O54" s="4"/>
    </row>
    <row r="55" spans="1:15" x14ac:dyDescent="0.2">
      <c r="A55" s="8" t="s">
        <v>15</v>
      </c>
      <c r="B55" s="8" t="s">
        <v>577</v>
      </c>
      <c r="C55" s="8" t="s">
        <v>578</v>
      </c>
      <c r="D55" s="4"/>
      <c r="E55" s="4">
        <v>46.14</v>
      </c>
      <c r="F55" s="4">
        <v>90.93</v>
      </c>
      <c r="G55" s="4">
        <v>45.06</v>
      </c>
      <c r="H55" s="4"/>
      <c r="I55" s="4"/>
      <c r="J55" s="4"/>
      <c r="K55" s="4"/>
      <c r="L55" s="4" t="s">
        <v>1998</v>
      </c>
      <c r="M55" s="4"/>
      <c r="N55" s="4"/>
      <c r="O55" s="4"/>
    </row>
    <row r="56" spans="1:15" x14ac:dyDescent="0.2">
      <c r="A56" s="8" t="s">
        <v>15</v>
      </c>
      <c r="B56" s="8" t="s">
        <v>579</v>
      </c>
      <c r="C56" s="8" t="s">
        <v>580</v>
      </c>
      <c r="D56" s="4"/>
      <c r="E56" s="4">
        <v>87.08</v>
      </c>
      <c r="F56" s="4">
        <v>86.22</v>
      </c>
      <c r="G56" s="4">
        <v>85</v>
      </c>
      <c r="H56" s="4"/>
      <c r="I56" s="4"/>
      <c r="J56" s="4"/>
      <c r="K56" s="4"/>
      <c r="L56" s="4" t="s">
        <v>1998</v>
      </c>
      <c r="M56" s="4"/>
      <c r="N56" s="4"/>
      <c r="O56" s="4"/>
    </row>
    <row r="57" spans="1:15" x14ac:dyDescent="0.2">
      <c r="A57" s="8" t="s">
        <v>15</v>
      </c>
      <c r="B57" s="8" t="s">
        <v>581</v>
      </c>
      <c r="C57" s="8" t="s">
        <v>582</v>
      </c>
      <c r="D57" s="4"/>
      <c r="E57" s="4">
        <v>121.59</v>
      </c>
      <c r="F57" s="4">
        <v>119.47</v>
      </c>
      <c r="G57" s="4">
        <v>122.78</v>
      </c>
      <c r="H57" s="4"/>
      <c r="I57" s="4"/>
      <c r="J57" s="4"/>
      <c r="K57" s="4"/>
      <c r="L57" s="4" t="s">
        <v>1998</v>
      </c>
      <c r="M57" s="4"/>
      <c r="N57" s="4"/>
      <c r="O57" s="4"/>
    </row>
    <row r="58" spans="1:15" x14ac:dyDescent="0.2">
      <c r="A58" s="8" t="s">
        <v>15</v>
      </c>
      <c r="B58" s="8" t="s">
        <v>583</v>
      </c>
      <c r="C58" s="8" t="s">
        <v>584</v>
      </c>
      <c r="D58" s="4"/>
      <c r="E58" s="4">
        <v>87.58</v>
      </c>
      <c r="F58" s="4">
        <v>87.58</v>
      </c>
      <c r="G58" s="4">
        <v>115.01</v>
      </c>
      <c r="H58" s="4"/>
      <c r="I58" s="4"/>
      <c r="J58" s="4"/>
      <c r="K58" s="4"/>
      <c r="L58" s="4" t="s">
        <v>1998</v>
      </c>
      <c r="M58" s="4"/>
      <c r="N58" s="4"/>
      <c r="O58" s="4"/>
    </row>
    <row r="59" spans="1:15" x14ac:dyDescent="0.2">
      <c r="A59" s="8" t="s">
        <v>15</v>
      </c>
      <c r="B59" s="8" t="s">
        <v>585</v>
      </c>
      <c r="C59" s="8" t="s">
        <v>586</v>
      </c>
      <c r="D59" s="4"/>
      <c r="E59" s="4">
        <v>115.09</v>
      </c>
      <c r="F59" s="4">
        <v>114.97</v>
      </c>
      <c r="G59" s="4">
        <v>86.24</v>
      </c>
      <c r="H59" s="4"/>
      <c r="I59" s="4"/>
      <c r="J59" s="4"/>
      <c r="K59" s="4"/>
      <c r="L59" s="4" t="s">
        <v>1998</v>
      </c>
      <c r="M59" s="4"/>
      <c r="N59" s="4"/>
      <c r="O59" s="4"/>
    </row>
    <row r="60" spans="1:15" x14ac:dyDescent="0.2">
      <c r="A60" s="8" t="s">
        <v>15</v>
      </c>
      <c r="B60" s="8" t="s">
        <v>587</v>
      </c>
      <c r="C60" s="8" t="s">
        <v>588</v>
      </c>
      <c r="D60" s="4"/>
      <c r="E60" s="4">
        <v>115.95</v>
      </c>
      <c r="F60" s="4">
        <v>116.59</v>
      </c>
      <c r="G60" s="4">
        <v>115.82</v>
      </c>
      <c r="H60" s="4"/>
      <c r="I60" s="4"/>
      <c r="J60" s="4"/>
      <c r="K60" s="4"/>
      <c r="L60" s="4" t="s">
        <v>1998</v>
      </c>
      <c r="M60" s="4"/>
      <c r="N60" s="4"/>
      <c r="O60" s="4"/>
    </row>
    <row r="61" spans="1:15" x14ac:dyDescent="0.2">
      <c r="A61" s="8" t="s">
        <v>15</v>
      </c>
      <c r="B61" s="8" t="s">
        <v>589</v>
      </c>
      <c r="C61" s="8" t="s">
        <v>590</v>
      </c>
      <c r="D61" s="4"/>
      <c r="E61" s="4">
        <v>88.13</v>
      </c>
      <c r="F61" s="4">
        <v>87.33</v>
      </c>
      <c r="G61" s="4">
        <v>87.26</v>
      </c>
      <c r="H61" s="4"/>
      <c r="I61" s="4"/>
      <c r="J61" s="4"/>
      <c r="K61" s="4"/>
      <c r="L61" s="4" t="s">
        <v>1998</v>
      </c>
      <c r="M61" s="4"/>
      <c r="N61" s="4"/>
      <c r="O61" s="4"/>
    </row>
    <row r="62" spans="1:15" x14ac:dyDescent="0.2">
      <c r="A62" s="8" t="s">
        <v>15</v>
      </c>
      <c r="B62" s="8" t="s">
        <v>591</v>
      </c>
      <c r="C62" s="8" t="s">
        <v>592</v>
      </c>
      <c r="D62" s="4"/>
      <c r="E62" s="4">
        <v>125.86</v>
      </c>
      <c r="F62" s="4">
        <v>126.18</v>
      </c>
      <c r="G62" s="4">
        <v>124.95</v>
      </c>
      <c r="H62" s="4"/>
      <c r="I62" s="4"/>
      <c r="J62" s="4"/>
      <c r="K62" s="4"/>
      <c r="L62" s="4" t="s">
        <v>1998</v>
      </c>
      <c r="M62" s="4"/>
      <c r="N62" s="4"/>
      <c r="O62" s="4"/>
    </row>
    <row r="63" spans="1:15" x14ac:dyDescent="0.2">
      <c r="A63" s="8" t="s">
        <v>15</v>
      </c>
      <c r="B63" s="8" t="s">
        <v>593</v>
      </c>
      <c r="C63" s="8" t="s">
        <v>594</v>
      </c>
      <c r="D63" s="4"/>
      <c r="E63" s="4">
        <v>96.4</v>
      </c>
      <c r="F63" s="4">
        <v>96.35</v>
      </c>
      <c r="G63" s="4">
        <v>94.73</v>
      </c>
      <c r="H63" s="4"/>
      <c r="I63" s="4"/>
      <c r="J63" s="4"/>
      <c r="K63" s="4"/>
      <c r="L63" s="4" t="s">
        <v>1998</v>
      </c>
      <c r="M63" s="4"/>
      <c r="N63" s="4"/>
      <c r="O63" s="4"/>
    </row>
    <row r="64" spans="1:15" x14ac:dyDescent="0.2">
      <c r="A64" s="8" t="s">
        <v>15</v>
      </c>
      <c r="B64" s="8" t="s">
        <v>595</v>
      </c>
      <c r="C64" s="8" t="s">
        <v>596</v>
      </c>
      <c r="D64" s="4"/>
      <c r="E64" s="4">
        <v>130.56</v>
      </c>
      <c r="F64" s="4">
        <v>95.72</v>
      </c>
      <c r="G64" s="4">
        <v>129.77000000000001</v>
      </c>
      <c r="H64" s="4"/>
      <c r="I64" s="4"/>
      <c r="J64" s="4"/>
      <c r="K64" s="4"/>
      <c r="L64" s="4" t="s">
        <v>1998</v>
      </c>
      <c r="M64" s="4"/>
      <c r="N64" s="4"/>
      <c r="O64" s="4"/>
    </row>
    <row r="65" spans="1:15" x14ac:dyDescent="0.2">
      <c r="A65" s="8" t="s">
        <v>15</v>
      </c>
      <c r="B65" s="8" t="s">
        <v>597</v>
      </c>
      <c r="C65" s="8" t="s">
        <v>598</v>
      </c>
      <c r="D65" s="4"/>
      <c r="E65" s="4">
        <v>95.39</v>
      </c>
      <c r="F65" s="4">
        <v>131.76</v>
      </c>
      <c r="G65" s="4">
        <v>94.81</v>
      </c>
      <c r="H65" s="4"/>
      <c r="I65" s="4"/>
      <c r="J65" s="4"/>
      <c r="K65" s="4"/>
      <c r="L65" s="4" t="s">
        <v>1998</v>
      </c>
      <c r="M65" s="4"/>
      <c r="N65" s="4"/>
      <c r="O65" s="4"/>
    </row>
    <row r="66" spans="1:15" x14ac:dyDescent="0.2">
      <c r="A66" s="8" t="s">
        <v>15</v>
      </c>
      <c r="B66" s="8" t="s">
        <v>599</v>
      </c>
      <c r="C66" s="8" t="s">
        <v>600</v>
      </c>
      <c r="D66" s="4"/>
      <c r="E66" s="4">
        <v>166.4</v>
      </c>
      <c r="F66" s="4">
        <v>166.46</v>
      </c>
      <c r="G66" s="4">
        <v>165.59</v>
      </c>
      <c r="H66" s="4"/>
      <c r="I66" s="4"/>
      <c r="J66" s="4"/>
      <c r="K66" s="4"/>
      <c r="L66" s="4" t="s">
        <v>1998</v>
      </c>
      <c r="M66" s="4"/>
      <c r="N66" s="4"/>
      <c r="O66" s="4"/>
    </row>
    <row r="67" spans="1:15" x14ac:dyDescent="0.2">
      <c r="A67" s="8" t="s">
        <v>15</v>
      </c>
      <c r="B67" s="8" t="s">
        <v>601</v>
      </c>
      <c r="C67" s="8" t="s">
        <v>602</v>
      </c>
      <c r="D67" s="4"/>
      <c r="E67" s="4">
        <v>95.3</v>
      </c>
      <c r="F67" s="4">
        <v>93.93</v>
      </c>
      <c r="G67" s="4">
        <v>96.17</v>
      </c>
      <c r="H67" s="4"/>
      <c r="I67" s="4"/>
      <c r="J67" s="4"/>
      <c r="K67" s="4"/>
      <c r="L67" s="4" t="s">
        <v>1998</v>
      </c>
      <c r="M67" s="4"/>
      <c r="N67" s="4"/>
      <c r="O67" s="4"/>
    </row>
    <row r="68" spans="1:15" x14ac:dyDescent="0.2">
      <c r="A68" s="8" t="s">
        <v>15</v>
      </c>
      <c r="B68" s="8" t="s">
        <v>603</v>
      </c>
      <c r="C68" s="8" t="s">
        <v>604</v>
      </c>
      <c r="D68" s="4"/>
      <c r="E68" s="4">
        <v>38.43</v>
      </c>
      <c r="F68" s="4">
        <v>38.29</v>
      </c>
      <c r="G68" s="4">
        <v>66.19</v>
      </c>
      <c r="H68" s="4"/>
      <c r="I68" s="4"/>
      <c r="J68" s="4"/>
      <c r="K68" s="4"/>
      <c r="L68" s="4" t="s">
        <v>1998</v>
      </c>
      <c r="M68" s="4"/>
      <c r="N68" s="4"/>
      <c r="O68" s="4"/>
    </row>
    <row r="69" spans="1:15" x14ac:dyDescent="0.2">
      <c r="A69" s="8" t="s">
        <v>15</v>
      </c>
      <c r="B69" s="8" t="s">
        <v>605</v>
      </c>
      <c r="C69" s="8" t="s">
        <v>606</v>
      </c>
      <c r="D69" s="4"/>
      <c r="E69" s="4">
        <v>67.94</v>
      </c>
      <c r="F69" s="4">
        <v>38.21</v>
      </c>
      <c r="G69" s="4">
        <v>38.770000000000003</v>
      </c>
      <c r="H69" s="4"/>
      <c r="I69" s="4"/>
      <c r="J69" s="4"/>
      <c r="K69" s="4"/>
      <c r="L69" s="4" t="s">
        <v>1998</v>
      </c>
      <c r="M69" s="4"/>
      <c r="N69" s="4"/>
      <c r="O69" s="4"/>
    </row>
  </sheetData>
  <mergeCells count="1">
    <mergeCell ref="E3:G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55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SUM(E5:G55)</f>
        <v>28316.249999999996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16</v>
      </c>
      <c r="B5" s="8" t="s">
        <v>607</v>
      </c>
      <c r="C5" s="8" t="s">
        <v>608</v>
      </c>
      <c r="D5" s="4"/>
      <c r="E5" s="4">
        <v>82.91</v>
      </c>
      <c r="F5" s="4">
        <v>84.84</v>
      </c>
      <c r="G5" s="4">
        <v>82.8</v>
      </c>
      <c r="H5" s="4" t="s">
        <v>1998</v>
      </c>
      <c r="I5" s="4" t="s">
        <v>1998</v>
      </c>
      <c r="J5" s="4" t="s">
        <v>1998</v>
      </c>
      <c r="K5" s="4" t="s">
        <v>1998</v>
      </c>
      <c r="L5" s="4"/>
      <c r="M5" s="4"/>
      <c r="N5" s="4"/>
      <c r="O5" s="4"/>
    </row>
    <row r="6" spans="1:15" x14ac:dyDescent="0.2">
      <c r="A6" s="8" t="s">
        <v>16</v>
      </c>
      <c r="B6" s="8" t="s">
        <v>609</v>
      </c>
      <c r="C6" s="8" t="s">
        <v>610</v>
      </c>
      <c r="D6" s="4"/>
      <c r="E6" s="4">
        <v>115.11</v>
      </c>
      <c r="F6" s="4">
        <v>117.76</v>
      </c>
      <c r="G6" s="4">
        <v>81.22</v>
      </c>
      <c r="H6" s="4" t="s">
        <v>1998</v>
      </c>
      <c r="I6" s="4" t="s">
        <v>1998</v>
      </c>
      <c r="J6" s="4" t="s">
        <v>1998</v>
      </c>
      <c r="K6" s="4" t="s">
        <v>1998</v>
      </c>
      <c r="L6" s="4"/>
      <c r="M6" s="4"/>
      <c r="N6" s="4"/>
      <c r="O6" s="4"/>
    </row>
    <row r="7" spans="1:15" x14ac:dyDescent="0.2">
      <c r="A7" s="8" t="s">
        <v>16</v>
      </c>
      <c r="B7" s="8" t="s">
        <v>611</v>
      </c>
      <c r="C7" s="8" t="s">
        <v>612</v>
      </c>
      <c r="D7" s="4"/>
      <c r="E7" s="4">
        <v>82.32</v>
      </c>
      <c r="F7" s="4">
        <v>82.14</v>
      </c>
      <c r="G7" s="4">
        <v>110.45</v>
      </c>
      <c r="H7" s="4" t="s">
        <v>1998</v>
      </c>
      <c r="I7" s="4" t="s">
        <v>1998</v>
      </c>
      <c r="J7" s="4" t="s">
        <v>1998</v>
      </c>
      <c r="K7" s="4" t="s">
        <v>1998</v>
      </c>
      <c r="L7" s="4"/>
      <c r="M7" s="4"/>
      <c r="N7" s="4"/>
      <c r="O7" s="4"/>
    </row>
    <row r="8" spans="1:15" x14ac:dyDescent="0.2">
      <c r="A8" s="8" t="s">
        <v>16</v>
      </c>
      <c r="B8" s="8" t="s">
        <v>613</v>
      </c>
      <c r="C8" s="8" t="s">
        <v>614</v>
      </c>
      <c r="D8" s="4"/>
      <c r="E8" s="4">
        <v>83.58</v>
      </c>
      <c r="F8" s="4">
        <v>81.900000000000006</v>
      </c>
      <c r="G8" s="4">
        <v>81.97</v>
      </c>
      <c r="H8" s="4" t="s">
        <v>1998</v>
      </c>
      <c r="I8" s="4" t="s">
        <v>1998</v>
      </c>
      <c r="J8" s="4" t="s">
        <v>1998</v>
      </c>
      <c r="K8" s="4" t="s">
        <v>1998</v>
      </c>
      <c r="L8" s="4"/>
      <c r="M8" s="4"/>
      <c r="N8" s="4"/>
      <c r="O8" s="4"/>
    </row>
    <row r="9" spans="1:15" x14ac:dyDescent="0.2">
      <c r="A9" s="8" t="s">
        <v>16</v>
      </c>
      <c r="B9" s="8" t="s">
        <v>615</v>
      </c>
      <c r="C9" s="8" t="s">
        <v>616</v>
      </c>
      <c r="D9" s="4"/>
      <c r="E9" s="4">
        <v>111.97</v>
      </c>
      <c r="F9" s="4">
        <v>114.94</v>
      </c>
      <c r="G9" s="4">
        <v>81.02</v>
      </c>
      <c r="H9" s="4" t="s">
        <v>1998</v>
      </c>
      <c r="I9" s="4" t="s">
        <v>1998</v>
      </c>
      <c r="J9" s="4" t="s">
        <v>1998</v>
      </c>
      <c r="K9" s="4" t="s">
        <v>1998</v>
      </c>
      <c r="L9" s="4"/>
      <c r="M9" s="4"/>
      <c r="N9" s="4"/>
      <c r="O9" s="4"/>
    </row>
    <row r="10" spans="1:15" x14ac:dyDescent="0.2">
      <c r="A10" s="8" t="s">
        <v>16</v>
      </c>
      <c r="B10" s="8" t="s">
        <v>617</v>
      </c>
      <c r="C10" s="8" t="s">
        <v>618</v>
      </c>
      <c r="D10" s="4"/>
      <c r="E10" s="4">
        <v>81.96</v>
      </c>
      <c r="F10" s="4">
        <v>81.93</v>
      </c>
      <c r="G10" s="4">
        <v>109.4</v>
      </c>
      <c r="H10" s="4" t="s">
        <v>1998</v>
      </c>
      <c r="I10" s="4" t="s">
        <v>1998</v>
      </c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16</v>
      </c>
      <c r="B11" s="8" t="s">
        <v>619</v>
      </c>
      <c r="C11" s="8" t="s">
        <v>620</v>
      </c>
      <c r="D11" s="4"/>
      <c r="E11" s="4">
        <v>113.86</v>
      </c>
      <c r="F11" s="4">
        <v>81.319999999999993</v>
      </c>
      <c r="G11" s="4">
        <v>75.81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16</v>
      </c>
      <c r="B12" s="8" t="s">
        <v>621</v>
      </c>
      <c r="C12" s="8" t="s">
        <v>622</v>
      </c>
      <c r="D12" s="4"/>
      <c r="E12" s="4">
        <v>83.78</v>
      </c>
      <c r="F12" s="4">
        <v>114.31</v>
      </c>
      <c r="G12" s="4">
        <v>113.52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16</v>
      </c>
      <c r="B13" s="8" t="s">
        <v>623</v>
      </c>
      <c r="C13" s="8" t="s">
        <v>624</v>
      </c>
      <c r="D13" s="4"/>
      <c r="E13" s="4">
        <v>82.99</v>
      </c>
      <c r="F13" s="4">
        <v>82.58</v>
      </c>
      <c r="G13" s="4">
        <v>82.87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16</v>
      </c>
      <c r="B14" s="8" t="s">
        <v>625</v>
      </c>
      <c r="C14" s="8" t="s">
        <v>626</v>
      </c>
      <c r="D14" s="4"/>
      <c r="E14" s="4">
        <v>113.46</v>
      </c>
      <c r="F14" s="4">
        <v>117.97</v>
      </c>
      <c r="G14" s="4">
        <v>82.28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16</v>
      </c>
      <c r="B15" s="8" t="s">
        <v>627</v>
      </c>
      <c r="C15" s="8" t="s">
        <v>628</v>
      </c>
      <c r="D15" s="4"/>
      <c r="E15" s="4">
        <v>86.47</v>
      </c>
      <c r="F15" s="4">
        <v>88.38</v>
      </c>
      <c r="G15" s="4">
        <v>117.35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16</v>
      </c>
      <c r="B16" s="8" t="s">
        <v>629</v>
      </c>
      <c r="C16" s="8" t="s">
        <v>630</v>
      </c>
      <c r="D16" s="4"/>
      <c r="E16" s="4">
        <v>20.02</v>
      </c>
      <c r="F16" s="4">
        <v>20.32</v>
      </c>
      <c r="G16" s="4">
        <v>19.28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16</v>
      </c>
      <c r="B17" s="8" t="s">
        <v>631</v>
      </c>
      <c r="C17" s="8" t="s">
        <v>632</v>
      </c>
      <c r="D17" s="4"/>
      <c r="E17" s="4">
        <v>15.76</v>
      </c>
      <c r="F17" s="4">
        <v>15.81</v>
      </c>
      <c r="G17" s="4">
        <v>15.98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16</v>
      </c>
      <c r="B18" s="8" t="s">
        <v>633</v>
      </c>
      <c r="C18" s="8" t="s">
        <v>634</v>
      </c>
      <c r="D18" s="4"/>
      <c r="E18" s="4">
        <v>244.83</v>
      </c>
      <c r="F18" s="4">
        <v>247.32</v>
      </c>
      <c r="G18" s="4">
        <v>219.42</v>
      </c>
      <c r="H18" s="4"/>
      <c r="I18" s="4"/>
      <c r="J18" s="4"/>
      <c r="K18" s="4"/>
      <c r="L18" s="4" t="s">
        <v>1998</v>
      </c>
      <c r="M18" s="4"/>
      <c r="N18" s="4"/>
      <c r="O18" s="4"/>
    </row>
    <row r="19" spans="1:15" x14ac:dyDescent="0.2">
      <c r="A19" s="8" t="s">
        <v>16</v>
      </c>
      <c r="B19" s="8" t="s">
        <v>635</v>
      </c>
      <c r="C19" s="8" t="s">
        <v>636</v>
      </c>
      <c r="D19" s="4"/>
      <c r="E19" s="4">
        <v>222.77</v>
      </c>
      <c r="F19" s="4">
        <v>224.8</v>
      </c>
      <c r="G19" s="4">
        <v>253.03</v>
      </c>
      <c r="H19" s="4"/>
      <c r="I19" s="4"/>
      <c r="J19" s="4"/>
      <c r="K19" s="4"/>
      <c r="L19" s="4" t="s">
        <v>1998</v>
      </c>
      <c r="M19" s="4"/>
      <c r="N19" s="4"/>
      <c r="O19" s="4"/>
    </row>
    <row r="20" spans="1:15" x14ac:dyDescent="0.2">
      <c r="A20" s="8" t="s">
        <v>16</v>
      </c>
      <c r="B20" s="8" t="s">
        <v>637</v>
      </c>
      <c r="C20" s="8" t="s">
        <v>638</v>
      </c>
      <c r="D20" s="4"/>
      <c r="E20" s="4">
        <v>254.52</v>
      </c>
      <c r="F20" s="4">
        <v>227.24</v>
      </c>
      <c r="G20" s="4">
        <v>257</v>
      </c>
      <c r="H20" s="4"/>
      <c r="I20" s="4"/>
      <c r="J20" s="4"/>
      <c r="K20" s="4"/>
      <c r="L20" s="4" t="s">
        <v>1998</v>
      </c>
      <c r="M20" s="4"/>
      <c r="N20" s="4"/>
      <c r="O20" s="4"/>
    </row>
    <row r="21" spans="1:15" x14ac:dyDescent="0.2">
      <c r="A21" s="8" t="s">
        <v>16</v>
      </c>
      <c r="B21" s="8" t="s">
        <v>639</v>
      </c>
      <c r="C21" s="8" t="s">
        <v>640</v>
      </c>
      <c r="D21" s="4"/>
      <c r="E21" s="4">
        <v>226.8</v>
      </c>
      <c r="F21" s="4">
        <v>265.58999999999997</v>
      </c>
      <c r="G21" s="4">
        <v>224</v>
      </c>
      <c r="H21" s="4"/>
      <c r="I21" s="4"/>
      <c r="J21" s="4"/>
      <c r="K21" s="4"/>
      <c r="L21" s="4" t="s">
        <v>1998</v>
      </c>
      <c r="M21" s="4"/>
      <c r="N21" s="4"/>
      <c r="O21" s="4"/>
    </row>
    <row r="22" spans="1:15" x14ac:dyDescent="0.2">
      <c r="A22" s="8" t="s">
        <v>16</v>
      </c>
      <c r="B22" s="8" t="s">
        <v>641</v>
      </c>
      <c r="C22" s="8" t="s">
        <v>642</v>
      </c>
      <c r="D22" s="4"/>
      <c r="E22" s="4">
        <v>259.75</v>
      </c>
      <c r="F22" s="4">
        <v>253.97</v>
      </c>
      <c r="G22" s="4">
        <v>256.95999999999998</v>
      </c>
      <c r="H22" s="4"/>
      <c r="I22" s="4"/>
      <c r="J22" s="4"/>
      <c r="K22" s="4"/>
      <c r="L22" s="4" t="s">
        <v>1998</v>
      </c>
      <c r="M22" s="4"/>
      <c r="N22" s="4"/>
      <c r="O22" s="4"/>
    </row>
    <row r="23" spans="1:15" x14ac:dyDescent="0.2">
      <c r="A23" s="8" t="s">
        <v>16</v>
      </c>
      <c r="B23" s="8" t="s">
        <v>643</v>
      </c>
      <c r="C23" s="8" t="s">
        <v>644</v>
      </c>
      <c r="D23" s="4"/>
      <c r="E23" s="4">
        <v>229.36</v>
      </c>
      <c r="F23" s="4">
        <v>222.81</v>
      </c>
      <c r="G23" s="4">
        <v>255.15</v>
      </c>
      <c r="H23" s="4"/>
      <c r="I23" s="4"/>
      <c r="J23" s="4"/>
      <c r="K23" s="4"/>
      <c r="L23" s="4" t="s">
        <v>1998</v>
      </c>
      <c r="M23" s="4"/>
      <c r="N23" s="4"/>
      <c r="O23" s="4"/>
    </row>
    <row r="24" spans="1:15" x14ac:dyDescent="0.2">
      <c r="A24" s="8" t="s">
        <v>16</v>
      </c>
      <c r="B24" s="8" t="s">
        <v>645</v>
      </c>
      <c r="C24" s="8" t="s">
        <v>646</v>
      </c>
      <c r="D24" s="4"/>
      <c r="E24" s="4">
        <v>250.7</v>
      </c>
      <c r="F24" s="4">
        <v>228.11</v>
      </c>
      <c r="G24" s="4">
        <v>225.54</v>
      </c>
      <c r="H24" s="4"/>
      <c r="I24" s="4"/>
      <c r="J24" s="4"/>
      <c r="K24" s="4"/>
      <c r="L24" s="4" t="s">
        <v>1998</v>
      </c>
      <c r="M24" s="4"/>
      <c r="N24" s="4"/>
      <c r="O24" s="4"/>
    </row>
    <row r="25" spans="1:15" x14ac:dyDescent="0.2">
      <c r="A25" s="8" t="s">
        <v>16</v>
      </c>
      <c r="B25" s="8" t="s">
        <v>647</v>
      </c>
      <c r="C25" s="8" t="s">
        <v>648</v>
      </c>
      <c r="D25" s="4"/>
      <c r="E25" s="4">
        <v>258.64999999999998</v>
      </c>
      <c r="F25" s="4">
        <v>260.11</v>
      </c>
      <c r="G25" s="4">
        <v>228.35</v>
      </c>
      <c r="H25" s="4"/>
      <c r="I25" s="4"/>
      <c r="J25" s="4"/>
      <c r="K25" s="4"/>
      <c r="L25" s="4" t="s">
        <v>1998</v>
      </c>
      <c r="M25" s="4"/>
      <c r="N25" s="4"/>
      <c r="O25" s="4"/>
    </row>
    <row r="26" spans="1:15" x14ac:dyDescent="0.2">
      <c r="A26" s="8" t="s">
        <v>16</v>
      </c>
      <c r="B26" s="8" t="s">
        <v>649</v>
      </c>
      <c r="C26" s="8" t="s">
        <v>650</v>
      </c>
      <c r="D26" s="4"/>
      <c r="E26" s="4">
        <v>223.48</v>
      </c>
      <c r="F26" s="4">
        <v>227.59</v>
      </c>
      <c r="G26" s="4">
        <v>260.27</v>
      </c>
      <c r="H26" s="4"/>
      <c r="I26" s="4"/>
      <c r="J26" s="4"/>
      <c r="K26" s="4"/>
      <c r="L26" s="4" t="s">
        <v>1998</v>
      </c>
      <c r="M26" s="4"/>
      <c r="N26" s="4"/>
      <c r="O26" s="4"/>
    </row>
    <row r="27" spans="1:15" x14ac:dyDescent="0.2">
      <c r="A27" s="8" t="s">
        <v>16</v>
      </c>
      <c r="B27" s="8" t="s">
        <v>651</v>
      </c>
      <c r="C27" s="8" t="s">
        <v>652</v>
      </c>
      <c r="D27" s="4"/>
      <c r="E27" s="4">
        <v>257.69</v>
      </c>
      <c r="F27" s="4">
        <v>253.54</v>
      </c>
      <c r="G27" s="4">
        <v>256.33999999999997</v>
      </c>
      <c r="H27" s="4"/>
      <c r="I27" s="4"/>
      <c r="J27" s="4"/>
      <c r="K27" s="4"/>
      <c r="L27" s="4" t="s">
        <v>1998</v>
      </c>
      <c r="M27" s="4"/>
      <c r="N27" s="4"/>
      <c r="O27" s="4"/>
    </row>
    <row r="28" spans="1:15" x14ac:dyDescent="0.2">
      <c r="A28" s="8" t="s">
        <v>16</v>
      </c>
      <c r="B28" s="8" t="s">
        <v>653</v>
      </c>
      <c r="C28" s="8" t="s">
        <v>654</v>
      </c>
      <c r="D28" s="4"/>
      <c r="E28" s="4">
        <v>254.74</v>
      </c>
      <c r="F28" s="4">
        <v>252.98</v>
      </c>
      <c r="G28" s="4">
        <v>220.78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16</v>
      </c>
      <c r="B29" s="8" t="s">
        <v>655</v>
      </c>
      <c r="C29" s="8" t="s">
        <v>656</v>
      </c>
      <c r="D29" s="4"/>
      <c r="E29" s="4">
        <v>224.01</v>
      </c>
      <c r="F29" s="4">
        <v>223.08</v>
      </c>
      <c r="G29" s="4">
        <v>262.54000000000002</v>
      </c>
      <c r="H29" s="4"/>
      <c r="I29" s="4"/>
      <c r="J29" s="4"/>
      <c r="K29" s="4"/>
      <c r="L29" s="4" t="s">
        <v>1998</v>
      </c>
      <c r="M29" s="4"/>
      <c r="N29" s="4"/>
      <c r="O29" s="4"/>
    </row>
    <row r="30" spans="1:15" x14ac:dyDescent="0.2">
      <c r="A30" s="8" t="s">
        <v>16</v>
      </c>
      <c r="B30" s="8" t="s">
        <v>657</v>
      </c>
      <c r="C30" s="8" t="s">
        <v>658</v>
      </c>
      <c r="D30" s="4"/>
      <c r="E30" s="4">
        <v>253.59</v>
      </c>
      <c r="F30" s="4">
        <v>254.79</v>
      </c>
      <c r="G30" s="4">
        <v>224.6</v>
      </c>
      <c r="H30" s="4"/>
      <c r="I30" s="4"/>
      <c r="J30" s="4"/>
      <c r="K30" s="4"/>
      <c r="L30" s="4" t="s">
        <v>1998</v>
      </c>
      <c r="M30" s="4"/>
      <c r="N30" s="4"/>
      <c r="O30" s="4"/>
    </row>
    <row r="31" spans="1:15" x14ac:dyDescent="0.2">
      <c r="A31" s="8" t="s">
        <v>16</v>
      </c>
      <c r="B31" s="8" t="s">
        <v>659</v>
      </c>
      <c r="C31" s="8" t="s">
        <v>660</v>
      </c>
      <c r="D31" s="4"/>
      <c r="E31" s="4">
        <v>226.01</v>
      </c>
      <c r="F31" s="4">
        <v>254.08</v>
      </c>
      <c r="G31" s="4">
        <v>252.96</v>
      </c>
      <c r="H31" s="4"/>
      <c r="I31" s="4"/>
      <c r="J31" s="4"/>
      <c r="K31" s="4"/>
      <c r="L31" s="4" t="s">
        <v>1998</v>
      </c>
      <c r="M31" s="4"/>
      <c r="N31" s="4"/>
      <c r="O31" s="4"/>
    </row>
    <row r="32" spans="1:15" x14ac:dyDescent="0.2">
      <c r="A32" s="8" t="s">
        <v>16</v>
      </c>
      <c r="B32" s="8" t="s">
        <v>661</v>
      </c>
      <c r="C32" s="8" t="s">
        <v>662</v>
      </c>
      <c r="D32" s="4"/>
      <c r="E32" s="4">
        <v>264.08</v>
      </c>
      <c r="F32" s="4">
        <v>224.27</v>
      </c>
      <c r="G32" s="4">
        <v>258.93</v>
      </c>
      <c r="H32" s="4"/>
      <c r="I32" s="4"/>
      <c r="J32" s="4"/>
      <c r="K32" s="4"/>
      <c r="L32" s="4" t="s">
        <v>1998</v>
      </c>
      <c r="M32" s="4"/>
      <c r="N32" s="4"/>
      <c r="O32" s="4"/>
    </row>
    <row r="33" spans="1:15" x14ac:dyDescent="0.2">
      <c r="A33" s="8" t="s">
        <v>16</v>
      </c>
      <c r="B33" s="8" t="s">
        <v>663</v>
      </c>
      <c r="C33" s="8" t="s">
        <v>664</v>
      </c>
      <c r="D33" s="4"/>
      <c r="E33" s="4">
        <v>223.87</v>
      </c>
      <c r="F33" s="4">
        <v>252.83</v>
      </c>
      <c r="G33" s="4">
        <v>225.55</v>
      </c>
      <c r="H33" s="4"/>
      <c r="I33" s="4"/>
      <c r="J33" s="4"/>
      <c r="K33" s="4"/>
      <c r="L33" s="4" t="s">
        <v>1998</v>
      </c>
      <c r="M33" s="4"/>
      <c r="N33" s="4"/>
      <c r="O33" s="4"/>
    </row>
    <row r="34" spans="1:15" x14ac:dyDescent="0.2">
      <c r="A34" s="8" t="s">
        <v>16</v>
      </c>
      <c r="B34" s="8" t="s">
        <v>665</v>
      </c>
      <c r="C34" s="8" t="s">
        <v>666</v>
      </c>
      <c r="D34" s="4"/>
      <c r="E34" s="4">
        <v>254.31</v>
      </c>
      <c r="F34" s="4">
        <v>227.53</v>
      </c>
      <c r="G34" s="4">
        <v>250.82</v>
      </c>
      <c r="H34" s="4"/>
      <c r="I34" s="4"/>
      <c r="J34" s="4"/>
      <c r="K34" s="4"/>
      <c r="L34" s="4" t="s">
        <v>1998</v>
      </c>
      <c r="M34" s="4"/>
      <c r="N34" s="4"/>
      <c r="O34" s="4"/>
    </row>
    <row r="35" spans="1:15" x14ac:dyDescent="0.2">
      <c r="A35" s="8" t="s">
        <v>16</v>
      </c>
      <c r="B35" s="8" t="s">
        <v>667</v>
      </c>
      <c r="C35" s="8" t="s">
        <v>668</v>
      </c>
      <c r="D35" s="4"/>
      <c r="E35" s="4">
        <v>228.17</v>
      </c>
      <c r="F35" s="4">
        <v>266.36</v>
      </c>
      <c r="G35" s="4">
        <v>224.83</v>
      </c>
      <c r="H35" s="4"/>
      <c r="I35" s="4"/>
      <c r="J35" s="4"/>
      <c r="K35" s="4"/>
      <c r="L35" s="4" t="s">
        <v>1998</v>
      </c>
      <c r="M35" s="4"/>
      <c r="N35" s="4"/>
      <c r="O35" s="4"/>
    </row>
    <row r="36" spans="1:15" x14ac:dyDescent="0.2">
      <c r="A36" s="8" t="s">
        <v>16</v>
      </c>
      <c r="B36" s="8" t="s">
        <v>669</v>
      </c>
      <c r="C36" s="8" t="s">
        <v>670</v>
      </c>
      <c r="D36" s="4"/>
      <c r="E36" s="4">
        <v>264.12</v>
      </c>
      <c r="F36" s="4">
        <v>224.42</v>
      </c>
      <c r="G36" s="4">
        <v>262.93</v>
      </c>
      <c r="H36" s="4"/>
      <c r="I36" s="4"/>
      <c r="J36" s="4"/>
      <c r="K36" s="4"/>
      <c r="L36" s="4" t="s">
        <v>1998</v>
      </c>
      <c r="M36" s="4"/>
      <c r="N36" s="4"/>
      <c r="O36" s="4"/>
    </row>
    <row r="37" spans="1:15" x14ac:dyDescent="0.2">
      <c r="A37" s="8" t="s">
        <v>16</v>
      </c>
      <c r="B37" s="8" t="s">
        <v>671</v>
      </c>
      <c r="C37" s="8" t="s">
        <v>672</v>
      </c>
      <c r="D37" s="4"/>
      <c r="E37" s="4">
        <v>226.58</v>
      </c>
      <c r="F37" s="4">
        <v>254.38</v>
      </c>
      <c r="G37" s="4">
        <v>224.78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16</v>
      </c>
      <c r="B38" s="8" t="s">
        <v>673</v>
      </c>
      <c r="C38" s="8" t="s">
        <v>674</v>
      </c>
      <c r="D38" s="4"/>
      <c r="E38" s="4">
        <v>224.35</v>
      </c>
      <c r="F38" s="4">
        <v>228.08</v>
      </c>
      <c r="G38" s="4">
        <v>254.9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16</v>
      </c>
      <c r="B39" s="8" t="s">
        <v>675</v>
      </c>
      <c r="C39" s="8" t="s">
        <v>676</v>
      </c>
      <c r="D39" s="4"/>
      <c r="E39" s="4">
        <v>265.41000000000003</v>
      </c>
      <c r="F39" s="4">
        <v>234.73</v>
      </c>
      <c r="G39" s="4">
        <v>225.94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16</v>
      </c>
      <c r="B40" s="8" t="s">
        <v>677</v>
      </c>
      <c r="C40" s="8" t="s">
        <v>678</v>
      </c>
      <c r="D40" s="4"/>
      <c r="E40" s="4">
        <v>224.5</v>
      </c>
      <c r="F40" s="4">
        <v>254.19</v>
      </c>
      <c r="G40" s="4">
        <v>259.76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16</v>
      </c>
      <c r="B41" s="8" t="s">
        <v>679</v>
      </c>
      <c r="C41" s="8" t="s">
        <v>680</v>
      </c>
      <c r="D41" s="4"/>
      <c r="E41" s="4">
        <v>258.85000000000002</v>
      </c>
      <c r="F41" s="4">
        <v>228.09</v>
      </c>
      <c r="G41" s="4">
        <v>225.24</v>
      </c>
      <c r="H41" s="4"/>
      <c r="I41" s="4"/>
      <c r="J41" s="4"/>
      <c r="K41" s="4"/>
      <c r="L41" s="4" t="s">
        <v>1998</v>
      </c>
      <c r="M41" s="4"/>
      <c r="N41" s="4"/>
      <c r="O41" s="4"/>
    </row>
    <row r="42" spans="1:15" x14ac:dyDescent="0.2">
      <c r="A42" s="8" t="s">
        <v>16</v>
      </c>
      <c r="B42" s="8" t="s">
        <v>681</v>
      </c>
      <c r="C42" s="8" t="s">
        <v>682</v>
      </c>
      <c r="D42" s="4"/>
      <c r="E42" s="4">
        <v>225.48</v>
      </c>
      <c r="F42" s="4">
        <v>263.22000000000003</v>
      </c>
      <c r="G42" s="4">
        <v>250.51</v>
      </c>
      <c r="H42" s="4"/>
      <c r="I42" s="4"/>
      <c r="J42" s="4"/>
      <c r="K42" s="4"/>
      <c r="L42" s="4" t="s">
        <v>1998</v>
      </c>
      <c r="M42" s="4"/>
      <c r="N42" s="4"/>
      <c r="O42" s="4"/>
    </row>
    <row r="43" spans="1:15" x14ac:dyDescent="0.2">
      <c r="A43" s="8" t="s">
        <v>16</v>
      </c>
      <c r="B43" s="8" t="s">
        <v>683</v>
      </c>
      <c r="C43" s="8" t="s">
        <v>684</v>
      </c>
      <c r="D43" s="4"/>
      <c r="E43" s="4">
        <v>262.85000000000002</v>
      </c>
      <c r="F43" s="4">
        <v>225.3</v>
      </c>
      <c r="G43" s="4">
        <v>254.98</v>
      </c>
      <c r="H43" s="4"/>
      <c r="I43" s="4"/>
      <c r="J43" s="4"/>
      <c r="K43" s="4"/>
      <c r="L43" s="4" t="s">
        <v>1998</v>
      </c>
      <c r="M43" s="4"/>
      <c r="N43" s="4"/>
      <c r="O43" s="4"/>
    </row>
    <row r="44" spans="1:15" x14ac:dyDescent="0.2">
      <c r="A44" s="8" t="s">
        <v>16</v>
      </c>
      <c r="B44" s="8" t="s">
        <v>685</v>
      </c>
      <c r="C44" s="8" t="s">
        <v>686</v>
      </c>
      <c r="D44" s="4"/>
      <c r="E44" s="4">
        <v>223.77</v>
      </c>
      <c r="F44" s="4">
        <v>258.13</v>
      </c>
      <c r="G44" s="4">
        <v>223.39</v>
      </c>
      <c r="H44" s="4"/>
      <c r="I44" s="4"/>
      <c r="J44" s="4"/>
      <c r="K44" s="4"/>
      <c r="L44" s="4" t="s">
        <v>1998</v>
      </c>
      <c r="M44" s="4"/>
      <c r="N44" s="4"/>
      <c r="O44" s="4"/>
    </row>
    <row r="45" spans="1:15" x14ac:dyDescent="0.2">
      <c r="A45" s="8" t="s">
        <v>16</v>
      </c>
      <c r="B45" s="8" t="s">
        <v>687</v>
      </c>
      <c r="C45" s="8" t="s">
        <v>688</v>
      </c>
      <c r="D45" s="4"/>
      <c r="E45" s="4">
        <v>226.19</v>
      </c>
      <c r="F45" s="4">
        <v>231.09</v>
      </c>
      <c r="G45" s="4">
        <v>254.78</v>
      </c>
      <c r="H45" s="4"/>
      <c r="I45" s="4"/>
      <c r="J45" s="4"/>
      <c r="K45" s="4"/>
      <c r="L45" s="4" t="s">
        <v>1998</v>
      </c>
      <c r="M45" s="4"/>
      <c r="N45" s="4"/>
      <c r="O45" s="4"/>
    </row>
    <row r="46" spans="1:15" x14ac:dyDescent="0.2">
      <c r="A46" s="8" t="s">
        <v>16</v>
      </c>
      <c r="B46" s="8" t="s">
        <v>689</v>
      </c>
      <c r="C46" s="8" t="s">
        <v>690</v>
      </c>
      <c r="D46" s="4"/>
      <c r="E46" s="4">
        <v>264.81</v>
      </c>
      <c r="F46" s="4">
        <v>233.21</v>
      </c>
      <c r="G46" s="4">
        <v>221.51</v>
      </c>
      <c r="H46" s="4"/>
      <c r="I46" s="4"/>
      <c r="J46" s="4"/>
      <c r="K46" s="4"/>
      <c r="L46" s="4" t="s">
        <v>1998</v>
      </c>
      <c r="M46" s="4"/>
      <c r="N46" s="4"/>
      <c r="O46" s="4"/>
    </row>
    <row r="47" spans="1:15" x14ac:dyDescent="0.2">
      <c r="A47" s="8" t="s">
        <v>16</v>
      </c>
      <c r="B47" s="8" t="s">
        <v>691</v>
      </c>
      <c r="C47" s="8" t="s">
        <v>692</v>
      </c>
      <c r="D47" s="4"/>
      <c r="E47" s="4">
        <v>226.03</v>
      </c>
      <c r="F47" s="4">
        <v>251.8</v>
      </c>
      <c r="G47" s="4">
        <v>254.78</v>
      </c>
      <c r="H47" s="4"/>
      <c r="I47" s="4"/>
      <c r="J47" s="4"/>
      <c r="K47" s="4"/>
      <c r="L47" s="4" t="s">
        <v>1998</v>
      </c>
      <c r="M47" s="4"/>
      <c r="N47" s="4"/>
      <c r="O47" s="4"/>
    </row>
    <row r="48" spans="1:15" x14ac:dyDescent="0.2">
      <c r="A48" s="8" t="s">
        <v>16</v>
      </c>
      <c r="B48" s="8" t="s">
        <v>693</v>
      </c>
      <c r="C48" s="8" t="s">
        <v>694</v>
      </c>
      <c r="D48" s="4"/>
      <c r="E48" s="4">
        <v>257.04000000000002</v>
      </c>
      <c r="F48" s="4">
        <v>224.28</v>
      </c>
      <c r="G48" s="4">
        <v>249.87</v>
      </c>
      <c r="H48" s="4"/>
      <c r="I48" s="4"/>
      <c r="J48" s="4"/>
      <c r="K48" s="4"/>
      <c r="L48" s="4" t="s">
        <v>1998</v>
      </c>
      <c r="M48" s="4"/>
      <c r="N48" s="4"/>
      <c r="O48" s="4"/>
    </row>
    <row r="49" spans="1:15" x14ac:dyDescent="0.2">
      <c r="A49" s="8" t="s">
        <v>16</v>
      </c>
      <c r="B49" s="8" t="s">
        <v>695</v>
      </c>
      <c r="C49" s="8" t="s">
        <v>696</v>
      </c>
      <c r="D49" s="4"/>
      <c r="E49" s="4">
        <v>227.49</v>
      </c>
      <c r="F49" s="4">
        <v>228.41</v>
      </c>
      <c r="G49" s="4">
        <v>225.08</v>
      </c>
      <c r="H49" s="4"/>
      <c r="I49" s="4"/>
      <c r="J49" s="4"/>
      <c r="K49" s="4"/>
      <c r="L49" s="4" t="s">
        <v>1998</v>
      </c>
      <c r="M49" s="4"/>
      <c r="N49" s="4"/>
      <c r="O49" s="4"/>
    </row>
    <row r="50" spans="1:15" x14ac:dyDescent="0.2">
      <c r="A50" s="8" t="s">
        <v>16</v>
      </c>
      <c r="B50" s="8" t="s">
        <v>697</v>
      </c>
      <c r="C50" s="8" t="s">
        <v>698</v>
      </c>
      <c r="D50" s="4"/>
      <c r="E50" s="4">
        <v>27.52</v>
      </c>
      <c r="F50" s="4">
        <v>64.900000000000006</v>
      </c>
      <c r="G50" s="4">
        <v>26.37</v>
      </c>
      <c r="H50" s="4"/>
      <c r="I50" s="4"/>
      <c r="J50" s="4"/>
      <c r="K50" s="4"/>
      <c r="L50" s="4" t="s">
        <v>1998</v>
      </c>
      <c r="M50" s="4"/>
      <c r="N50" s="4"/>
      <c r="O50" s="4"/>
    </row>
    <row r="51" spans="1:15" x14ac:dyDescent="0.2">
      <c r="A51" s="8" t="s">
        <v>16</v>
      </c>
      <c r="B51" s="8" t="s">
        <v>699</v>
      </c>
      <c r="C51" s="8" t="s">
        <v>700</v>
      </c>
      <c r="D51" s="4"/>
      <c r="E51" s="4">
        <v>44.79</v>
      </c>
      <c r="F51" s="4">
        <v>46.56</v>
      </c>
      <c r="G51" s="4">
        <v>77.12</v>
      </c>
      <c r="H51" s="4"/>
      <c r="I51" s="4"/>
      <c r="J51" s="4"/>
      <c r="K51" s="4"/>
      <c r="L51" s="4" t="s">
        <v>1998</v>
      </c>
      <c r="M51" s="4"/>
      <c r="N51" s="4"/>
      <c r="O51" s="4"/>
    </row>
    <row r="52" spans="1:15" x14ac:dyDescent="0.2">
      <c r="A52" s="8" t="s">
        <v>16</v>
      </c>
      <c r="B52" s="8" t="s">
        <v>701</v>
      </c>
      <c r="C52" s="8" t="s">
        <v>702</v>
      </c>
      <c r="D52" s="4"/>
      <c r="E52" s="4">
        <v>133.62</v>
      </c>
      <c r="F52" s="4">
        <v>97.4</v>
      </c>
      <c r="G52" s="4">
        <v>96.92</v>
      </c>
      <c r="H52" s="4"/>
      <c r="I52" s="4"/>
      <c r="J52" s="4"/>
      <c r="K52" s="4"/>
      <c r="L52" s="4" t="s">
        <v>1998</v>
      </c>
      <c r="M52" s="4"/>
      <c r="N52" s="4"/>
      <c r="O52" s="4"/>
    </row>
    <row r="53" spans="1:15" x14ac:dyDescent="0.2">
      <c r="A53" s="8" t="s">
        <v>16</v>
      </c>
      <c r="B53" s="8" t="s">
        <v>703</v>
      </c>
      <c r="C53" s="8" t="s">
        <v>704</v>
      </c>
      <c r="D53" s="4"/>
      <c r="E53" s="4">
        <v>96.68</v>
      </c>
      <c r="F53" s="4">
        <v>96.7</v>
      </c>
      <c r="G53" s="4">
        <v>95.73</v>
      </c>
      <c r="H53" s="4"/>
      <c r="I53" s="4"/>
      <c r="J53" s="4"/>
      <c r="K53" s="4"/>
      <c r="L53" s="4" t="s">
        <v>1998</v>
      </c>
      <c r="M53" s="4"/>
      <c r="N53" s="4"/>
      <c r="O53" s="4"/>
    </row>
    <row r="54" spans="1:15" x14ac:dyDescent="0.2">
      <c r="A54" s="8" t="s">
        <v>16</v>
      </c>
      <c r="B54" s="8" t="s">
        <v>705</v>
      </c>
      <c r="C54" s="8" t="s">
        <v>706</v>
      </c>
      <c r="D54" s="4"/>
      <c r="E54" s="4">
        <v>96.71</v>
      </c>
      <c r="F54" s="4">
        <v>96.87</v>
      </c>
      <c r="G54" s="4">
        <v>95.43</v>
      </c>
      <c r="H54" s="4"/>
      <c r="I54" s="4"/>
      <c r="J54" s="4"/>
      <c r="K54" s="4"/>
      <c r="L54" s="4" t="s">
        <v>1998</v>
      </c>
      <c r="M54" s="4"/>
      <c r="N54" s="4"/>
      <c r="O54" s="4"/>
    </row>
    <row r="55" spans="1:15" x14ac:dyDescent="0.2">
      <c r="A55" s="8" t="s">
        <v>16</v>
      </c>
      <c r="B55" s="8" t="s">
        <v>707</v>
      </c>
      <c r="C55" s="8" t="s">
        <v>708</v>
      </c>
      <c r="D55" s="4"/>
      <c r="E55" s="4">
        <v>239.24</v>
      </c>
      <c r="F55" s="4">
        <v>239.66</v>
      </c>
      <c r="G55" s="4">
        <v>245.04</v>
      </c>
      <c r="H55" s="4"/>
      <c r="I55" s="4"/>
      <c r="J55" s="4"/>
      <c r="K55" s="4"/>
      <c r="L55" s="4" t="s">
        <v>1998</v>
      </c>
      <c r="M55" s="4"/>
      <c r="N55" s="4"/>
      <c r="O55" s="4"/>
    </row>
  </sheetData>
  <mergeCells count="1">
    <mergeCell ref="E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6"/>
  <sheetViews>
    <sheetView workbookViewId="0"/>
  </sheetViews>
  <sheetFormatPr baseColWidth="10" defaultColWidth="8.83203125" defaultRowHeight="15" x14ac:dyDescent="0.2"/>
  <cols>
    <col min="1" max="1" width="18" customWidth="1"/>
    <col min="2" max="2" width="31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SUM(E5:G16)</f>
        <v>1587.5900000000001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17</v>
      </c>
      <c r="B5" s="8" t="s">
        <v>709</v>
      </c>
      <c r="C5" s="8" t="s">
        <v>710</v>
      </c>
      <c r="D5" s="4"/>
      <c r="E5" s="4">
        <v>29.43</v>
      </c>
      <c r="F5" s="4">
        <v>31.52</v>
      </c>
      <c r="G5" s="4">
        <v>29.52</v>
      </c>
      <c r="H5" s="4" t="s">
        <v>63</v>
      </c>
      <c r="I5" s="4" t="s">
        <v>63</v>
      </c>
      <c r="J5" s="9" t="s">
        <v>63</v>
      </c>
      <c r="K5" s="4"/>
      <c r="L5" s="4"/>
      <c r="M5" s="4"/>
      <c r="N5" s="4"/>
      <c r="O5" s="4"/>
    </row>
    <row r="6" spans="1:15" x14ac:dyDescent="0.2">
      <c r="A6" s="8" t="s">
        <v>17</v>
      </c>
      <c r="B6" s="8" t="s">
        <v>106</v>
      </c>
      <c r="C6" s="8" t="s">
        <v>711</v>
      </c>
      <c r="D6" s="4"/>
      <c r="E6" s="4"/>
      <c r="F6" s="4">
        <v>0.23</v>
      </c>
      <c r="G6" s="4"/>
      <c r="H6" s="4"/>
      <c r="I6" s="4"/>
      <c r="J6" s="9" t="s">
        <v>63</v>
      </c>
      <c r="K6" s="4"/>
      <c r="L6" s="4"/>
      <c r="M6" s="4"/>
      <c r="N6" s="4"/>
      <c r="O6" s="4"/>
    </row>
    <row r="7" spans="1:15" x14ac:dyDescent="0.2">
      <c r="A7" s="8" t="s">
        <v>17</v>
      </c>
      <c r="B7" s="8" t="s">
        <v>106</v>
      </c>
      <c r="C7" s="8" t="s">
        <v>712</v>
      </c>
      <c r="D7" s="4"/>
      <c r="E7" s="4"/>
      <c r="F7" s="4">
        <v>0.63</v>
      </c>
      <c r="G7" s="4"/>
      <c r="H7" s="4"/>
      <c r="I7" s="4"/>
      <c r="J7" s="4"/>
      <c r="K7" s="9" t="s">
        <v>63</v>
      </c>
      <c r="L7" s="4"/>
      <c r="M7" s="4"/>
      <c r="N7" s="4"/>
      <c r="O7" s="4"/>
    </row>
    <row r="8" spans="1:15" x14ac:dyDescent="0.2">
      <c r="A8" s="8" t="s">
        <v>17</v>
      </c>
      <c r="B8" s="8" t="s">
        <v>106</v>
      </c>
      <c r="C8" s="8" t="s">
        <v>713</v>
      </c>
      <c r="D8" s="4"/>
      <c r="E8" s="4"/>
      <c r="F8" s="4">
        <v>0.22</v>
      </c>
      <c r="G8" s="4"/>
      <c r="H8" s="4"/>
      <c r="I8" s="4"/>
      <c r="J8" s="9" t="s">
        <v>63</v>
      </c>
      <c r="K8" s="4"/>
      <c r="L8" s="4"/>
      <c r="M8" s="4"/>
      <c r="N8" s="4"/>
      <c r="O8" s="4"/>
    </row>
    <row r="9" spans="1:15" x14ac:dyDescent="0.2">
      <c r="A9" s="8" t="s">
        <v>17</v>
      </c>
      <c r="B9" s="8" t="s">
        <v>106</v>
      </c>
      <c r="C9" s="8" t="s">
        <v>714</v>
      </c>
      <c r="D9" s="4"/>
      <c r="E9" s="4"/>
      <c r="F9" s="4">
        <v>0.67</v>
      </c>
      <c r="G9" s="4"/>
      <c r="H9" s="4"/>
      <c r="I9" s="4"/>
      <c r="J9" s="4"/>
      <c r="K9" s="9" t="s">
        <v>63</v>
      </c>
      <c r="L9" s="4"/>
      <c r="M9" s="4"/>
      <c r="N9" s="4"/>
      <c r="O9" s="4"/>
    </row>
    <row r="10" spans="1:15" x14ac:dyDescent="0.2">
      <c r="A10" s="8" t="s">
        <v>17</v>
      </c>
      <c r="B10" s="8" t="s">
        <v>106</v>
      </c>
      <c r="C10" s="8" t="s">
        <v>715</v>
      </c>
      <c r="D10" s="4"/>
      <c r="E10" s="4"/>
      <c r="F10" s="4">
        <v>0.24</v>
      </c>
      <c r="G10" s="4"/>
      <c r="H10" s="4"/>
      <c r="I10" s="4"/>
      <c r="J10" s="9" t="s">
        <v>63</v>
      </c>
      <c r="K10" s="4"/>
      <c r="L10" s="4"/>
      <c r="M10" s="4"/>
      <c r="N10" s="4"/>
      <c r="O10" s="4"/>
    </row>
    <row r="11" spans="1:15" x14ac:dyDescent="0.2">
      <c r="A11" s="8" t="s">
        <v>17</v>
      </c>
      <c r="B11" s="8" t="s">
        <v>106</v>
      </c>
      <c r="C11" s="8" t="s">
        <v>716</v>
      </c>
      <c r="D11" s="4"/>
      <c r="E11" s="4"/>
      <c r="F11" s="4">
        <v>0.7</v>
      </c>
      <c r="G11" s="4"/>
      <c r="H11" s="4"/>
      <c r="I11" s="4"/>
      <c r="J11" s="4"/>
      <c r="K11" s="9" t="s">
        <v>63</v>
      </c>
      <c r="L11" s="4"/>
      <c r="M11" s="4"/>
      <c r="N11" s="4"/>
      <c r="O11" s="4"/>
    </row>
    <row r="12" spans="1:15" x14ac:dyDescent="0.2">
      <c r="A12" s="8" t="s">
        <v>17</v>
      </c>
      <c r="B12" s="8" t="s">
        <v>717</v>
      </c>
      <c r="C12" s="8" t="s">
        <v>718</v>
      </c>
      <c r="D12" s="4"/>
      <c r="E12" s="4"/>
      <c r="F12" s="4">
        <v>80.66</v>
      </c>
      <c r="G12" s="4"/>
      <c r="H12" s="4" t="s">
        <v>63</v>
      </c>
      <c r="I12" s="4" t="s">
        <v>63</v>
      </c>
      <c r="J12" s="4" t="s">
        <v>63</v>
      </c>
      <c r="K12" s="4"/>
      <c r="L12" s="4"/>
      <c r="M12" s="4"/>
      <c r="N12" s="4"/>
      <c r="O12" s="4"/>
    </row>
    <row r="13" spans="1:15" x14ac:dyDescent="0.2">
      <c r="A13" s="8" t="s">
        <v>17</v>
      </c>
      <c r="B13" s="8" t="s">
        <v>719</v>
      </c>
      <c r="C13" s="8" t="s">
        <v>720</v>
      </c>
      <c r="D13" s="4"/>
      <c r="E13" s="4">
        <v>51.19</v>
      </c>
      <c r="F13" s="4">
        <v>16.72</v>
      </c>
      <c r="G13" s="4">
        <v>16.82</v>
      </c>
      <c r="H13" s="4" t="s">
        <v>63</v>
      </c>
      <c r="I13" s="4" t="s">
        <v>63</v>
      </c>
      <c r="J13" s="4" t="s">
        <v>63</v>
      </c>
      <c r="K13" s="4"/>
      <c r="L13" s="4"/>
      <c r="M13" s="4"/>
      <c r="N13" s="4"/>
      <c r="O13" s="4"/>
    </row>
    <row r="14" spans="1:15" x14ac:dyDescent="0.2">
      <c r="A14" s="8" t="s">
        <v>17</v>
      </c>
      <c r="B14" s="8" t="s">
        <v>721</v>
      </c>
      <c r="C14" s="8" t="s">
        <v>722</v>
      </c>
      <c r="D14" s="4"/>
      <c r="E14" s="4">
        <v>198.92</v>
      </c>
      <c r="F14" s="4">
        <v>204.09</v>
      </c>
      <c r="G14" s="4">
        <v>201.75</v>
      </c>
      <c r="H14" s="4" t="s">
        <v>63</v>
      </c>
      <c r="I14" s="4" t="s">
        <v>63</v>
      </c>
      <c r="J14" s="4" t="s">
        <v>63</v>
      </c>
      <c r="K14" s="4"/>
      <c r="L14" s="4"/>
      <c r="M14" s="4"/>
      <c r="N14" s="4"/>
      <c r="O14" s="4"/>
    </row>
    <row r="15" spans="1:15" x14ac:dyDescent="0.2">
      <c r="A15" s="8" t="s">
        <v>17</v>
      </c>
      <c r="B15" s="8" t="s">
        <v>723</v>
      </c>
      <c r="C15" s="8" t="s">
        <v>724</v>
      </c>
      <c r="D15" s="4"/>
      <c r="E15" s="4">
        <v>34.49</v>
      </c>
      <c r="F15" s="4">
        <v>34.65</v>
      </c>
      <c r="G15" s="4">
        <v>34.61</v>
      </c>
      <c r="H15" s="4" t="s">
        <v>63</v>
      </c>
      <c r="I15" s="4" t="s">
        <v>63</v>
      </c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17</v>
      </c>
      <c r="B16" s="8" t="s">
        <v>725</v>
      </c>
      <c r="C16" s="8" t="s">
        <v>726</v>
      </c>
      <c r="D16" s="4"/>
      <c r="E16" s="4">
        <v>205.12</v>
      </c>
      <c r="F16" s="4">
        <v>207.15</v>
      </c>
      <c r="G16" s="4">
        <v>208.26</v>
      </c>
      <c r="H16" s="4" t="s">
        <v>63</v>
      </c>
      <c r="I16" s="4" t="s">
        <v>63</v>
      </c>
      <c r="J16" s="4" t="s">
        <v>63</v>
      </c>
      <c r="K16" s="4"/>
      <c r="L16" s="4"/>
      <c r="M16" s="4"/>
      <c r="N16" s="4"/>
      <c r="O16" s="4"/>
    </row>
  </sheetData>
  <mergeCells count="1">
    <mergeCell ref="E3:G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18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SUM(E5:G18)</f>
        <v>480.05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18</v>
      </c>
      <c r="B5" s="8" t="s">
        <v>727</v>
      </c>
      <c r="C5" s="8" t="s">
        <v>728</v>
      </c>
      <c r="D5" s="4"/>
      <c r="E5" s="4"/>
      <c r="F5" s="4">
        <v>40.44</v>
      </c>
      <c r="G5" s="4"/>
      <c r="H5" s="4" t="s">
        <v>63</v>
      </c>
      <c r="I5" s="4" t="s">
        <v>63</v>
      </c>
      <c r="J5" s="9" t="s">
        <v>63</v>
      </c>
      <c r="K5" s="9"/>
      <c r="L5" s="4"/>
      <c r="M5" s="4"/>
      <c r="N5" s="4"/>
      <c r="O5" s="4"/>
    </row>
    <row r="6" spans="1:15" x14ac:dyDescent="0.2">
      <c r="A6" s="8" t="s">
        <v>18</v>
      </c>
      <c r="B6" s="8" t="s">
        <v>729</v>
      </c>
      <c r="C6" s="8" t="s">
        <v>730</v>
      </c>
      <c r="D6" s="4"/>
      <c r="E6" s="4"/>
      <c r="F6" s="4">
        <v>27.8</v>
      </c>
      <c r="G6" s="4"/>
      <c r="H6" s="4" t="s">
        <v>63</v>
      </c>
      <c r="I6" s="4" t="s">
        <v>63</v>
      </c>
      <c r="J6" s="9" t="s">
        <v>63</v>
      </c>
      <c r="K6" s="9"/>
      <c r="L6" s="4"/>
      <c r="M6" s="4"/>
      <c r="N6" s="4"/>
      <c r="O6" s="4"/>
    </row>
    <row r="7" spans="1:15" x14ac:dyDescent="0.2">
      <c r="A7" s="8" t="s">
        <v>18</v>
      </c>
      <c r="B7" s="8" t="s">
        <v>106</v>
      </c>
      <c r="C7" s="8" t="s">
        <v>731</v>
      </c>
      <c r="D7" s="4"/>
      <c r="E7" s="4"/>
      <c r="F7" s="4">
        <v>0.24</v>
      </c>
      <c r="G7" s="4"/>
      <c r="H7" s="4"/>
      <c r="I7" s="4"/>
      <c r="J7" s="9" t="s">
        <v>63</v>
      </c>
      <c r="K7" s="4"/>
      <c r="L7" s="4"/>
      <c r="M7" s="4"/>
      <c r="N7" s="4"/>
      <c r="O7" s="4"/>
    </row>
    <row r="8" spans="1:15" x14ac:dyDescent="0.2">
      <c r="A8" s="8" t="s">
        <v>18</v>
      </c>
      <c r="B8" s="8" t="s">
        <v>106</v>
      </c>
      <c r="C8" s="8" t="s">
        <v>732</v>
      </c>
      <c r="D8" s="4"/>
      <c r="E8" s="4"/>
      <c r="F8" s="4">
        <v>0.66</v>
      </c>
      <c r="G8" s="4"/>
      <c r="H8" s="4"/>
      <c r="I8" s="4"/>
      <c r="J8" s="4"/>
      <c r="K8" s="9" t="s">
        <v>63</v>
      </c>
      <c r="L8" s="4"/>
      <c r="M8" s="4"/>
      <c r="N8" s="4"/>
      <c r="O8" s="4"/>
    </row>
    <row r="9" spans="1:15" x14ac:dyDescent="0.2">
      <c r="A9" s="8" t="s">
        <v>18</v>
      </c>
      <c r="B9" s="8" t="s">
        <v>106</v>
      </c>
      <c r="C9" s="8" t="s">
        <v>733</v>
      </c>
      <c r="D9" s="4"/>
      <c r="E9" s="4"/>
      <c r="F9" s="4">
        <v>0.24</v>
      </c>
      <c r="G9" s="4"/>
      <c r="H9" s="4"/>
      <c r="I9" s="4"/>
      <c r="J9" s="9" t="s">
        <v>63</v>
      </c>
      <c r="K9" s="4"/>
      <c r="L9" s="4"/>
      <c r="M9" s="4"/>
      <c r="N9" s="4"/>
      <c r="O9" s="4"/>
    </row>
    <row r="10" spans="1:15" x14ac:dyDescent="0.2">
      <c r="A10" s="8" t="s">
        <v>18</v>
      </c>
      <c r="B10" s="8" t="s">
        <v>106</v>
      </c>
      <c r="C10" s="8" t="s">
        <v>734</v>
      </c>
      <c r="D10" s="4"/>
      <c r="E10" s="4"/>
      <c r="F10" s="4">
        <v>0.66</v>
      </c>
      <c r="G10" s="4"/>
      <c r="H10" s="4"/>
      <c r="I10" s="4"/>
      <c r="J10" s="4"/>
      <c r="K10" s="9" t="s">
        <v>63</v>
      </c>
      <c r="L10" s="4"/>
      <c r="M10" s="4"/>
      <c r="N10" s="4"/>
      <c r="O10" s="4"/>
    </row>
    <row r="11" spans="1:15" x14ac:dyDescent="0.2">
      <c r="A11" s="8" t="s">
        <v>18</v>
      </c>
      <c r="B11" s="8" t="s">
        <v>106</v>
      </c>
      <c r="C11" s="8" t="s">
        <v>735</v>
      </c>
      <c r="D11" s="4"/>
      <c r="E11" s="4"/>
      <c r="F11" s="4">
        <v>0.23</v>
      </c>
      <c r="G11" s="4"/>
      <c r="H11" s="4"/>
      <c r="I11" s="4"/>
      <c r="J11" s="9" t="s">
        <v>63</v>
      </c>
      <c r="K11" s="4"/>
      <c r="L11" s="4"/>
      <c r="M11" s="4"/>
      <c r="N11" s="4"/>
      <c r="O11" s="4"/>
    </row>
    <row r="12" spans="1:15" x14ac:dyDescent="0.2">
      <c r="A12" s="8" t="s">
        <v>18</v>
      </c>
      <c r="B12" s="8" t="s">
        <v>106</v>
      </c>
      <c r="C12" s="8" t="s">
        <v>736</v>
      </c>
      <c r="D12" s="4"/>
      <c r="E12" s="4"/>
      <c r="F12" s="4">
        <v>0.66</v>
      </c>
      <c r="G12" s="4"/>
      <c r="H12" s="4"/>
      <c r="I12" s="4"/>
      <c r="J12" s="4"/>
      <c r="K12" s="9" t="s">
        <v>63</v>
      </c>
      <c r="L12" s="4"/>
      <c r="M12" s="4"/>
      <c r="N12" s="4"/>
      <c r="O12" s="4"/>
    </row>
    <row r="13" spans="1:15" x14ac:dyDescent="0.2">
      <c r="A13" s="8" t="s">
        <v>18</v>
      </c>
      <c r="B13" s="8" t="s">
        <v>106</v>
      </c>
      <c r="C13" s="8" t="s">
        <v>737</v>
      </c>
      <c r="D13" s="4"/>
      <c r="E13" s="4"/>
      <c r="F13" s="4">
        <v>0.24</v>
      </c>
      <c r="G13" s="4"/>
      <c r="H13" s="4"/>
      <c r="I13" s="4"/>
      <c r="J13" s="9" t="s">
        <v>63</v>
      </c>
      <c r="K13" s="4"/>
      <c r="L13" s="4"/>
      <c r="M13" s="4"/>
      <c r="N13" s="4"/>
      <c r="O13" s="4"/>
    </row>
    <row r="14" spans="1:15" x14ac:dyDescent="0.2">
      <c r="A14" s="8" t="s">
        <v>18</v>
      </c>
      <c r="B14" s="8" t="s">
        <v>106</v>
      </c>
      <c r="C14" s="8" t="s">
        <v>738</v>
      </c>
      <c r="D14" s="4"/>
      <c r="E14" s="4"/>
      <c r="F14" s="4">
        <v>0.74</v>
      </c>
      <c r="G14" s="4"/>
      <c r="H14" s="4"/>
      <c r="I14" s="4"/>
      <c r="J14" s="4"/>
      <c r="K14" s="9" t="s">
        <v>63</v>
      </c>
      <c r="L14" s="4"/>
      <c r="M14" s="4"/>
      <c r="N14" s="4"/>
      <c r="O14" s="4"/>
    </row>
    <row r="15" spans="1:15" x14ac:dyDescent="0.2">
      <c r="A15" s="8" t="s">
        <v>18</v>
      </c>
      <c r="B15" s="8" t="s">
        <v>739</v>
      </c>
      <c r="C15" s="8" t="s">
        <v>740</v>
      </c>
      <c r="D15" s="4"/>
      <c r="E15" s="4"/>
      <c r="F15" s="4">
        <v>57.36</v>
      </c>
      <c r="G15" s="4"/>
      <c r="H15" s="4" t="s">
        <v>63</v>
      </c>
      <c r="I15" s="4" t="s">
        <v>63</v>
      </c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18</v>
      </c>
      <c r="B16" s="8" t="s">
        <v>741</v>
      </c>
      <c r="C16" s="8" t="s">
        <v>742</v>
      </c>
      <c r="D16" s="4"/>
      <c r="E16" s="4"/>
      <c r="F16" s="4">
        <v>158.49</v>
      </c>
      <c r="G16" s="4"/>
      <c r="H16" s="4" t="s">
        <v>63</v>
      </c>
      <c r="I16" s="4" t="s">
        <v>63</v>
      </c>
      <c r="J16" s="4" t="s">
        <v>63</v>
      </c>
      <c r="K16" s="4"/>
      <c r="L16" s="4"/>
      <c r="M16" s="4"/>
      <c r="N16" s="4"/>
      <c r="O16" s="4"/>
    </row>
    <row r="17" spans="1:15" x14ac:dyDescent="0.2">
      <c r="A17" s="8" t="s">
        <v>18</v>
      </c>
      <c r="B17" s="8" t="s">
        <v>743</v>
      </c>
      <c r="C17" s="8" t="s">
        <v>744</v>
      </c>
      <c r="D17" s="4"/>
      <c r="E17" s="4"/>
      <c r="F17" s="4">
        <v>27.48</v>
      </c>
      <c r="G17" s="4"/>
      <c r="H17" s="4" t="s">
        <v>63</v>
      </c>
      <c r="I17" s="4" t="s">
        <v>63</v>
      </c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18</v>
      </c>
      <c r="B18" s="8" t="s">
        <v>745</v>
      </c>
      <c r="C18" s="8" t="s">
        <v>746</v>
      </c>
      <c r="D18" s="4"/>
      <c r="E18" s="4"/>
      <c r="F18" s="4">
        <v>164.81</v>
      </c>
      <c r="G18" s="4"/>
      <c r="H18" s="4" t="s">
        <v>63</v>
      </c>
      <c r="I18" s="4" t="s">
        <v>63</v>
      </c>
      <c r="J18" s="4" t="s">
        <v>63</v>
      </c>
      <c r="K18" s="4"/>
      <c r="L18" s="4"/>
      <c r="M18" s="4"/>
      <c r="N18" s="4"/>
      <c r="O18" s="4"/>
    </row>
  </sheetData>
  <mergeCells count="1">
    <mergeCell ref="E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35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SUM(E5:G18)</f>
        <v>431.70000000000005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19</v>
      </c>
      <c r="B5" s="8" t="s">
        <v>727</v>
      </c>
      <c r="C5" s="8" t="s">
        <v>747</v>
      </c>
      <c r="D5" s="4"/>
      <c r="E5" s="4"/>
      <c r="F5" s="4">
        <v>57.84</v>
      </c>
      <c r="G5" s="4"/>
      <c r="H5" s="4" t="s">
        <v>63</v>
      </c>
      <c r="I5" s="4" t="s">
        <v>63</v>
      </c>
      <c r="J5" s="9" t="s">
        <v>63</v>
      </c>
      <c r="K5" s="9"/>
      <c r="L5" s="4"/>
      <c r="M5" s="4"/>
      <c r="N5" s="4"/>
      <c r="O5" s="4"/>
    </row>
    <row r="6" spans="1:15" x14ac:dyDescent="0.2">
      <c r="A6" s="8" t="s">
        <v>19</v>
      </c>
      <c r="B6" s="8" t="s">
        <v>729</v>
      </c>
      <c r="C6" s="8" t="s">
        <v>748</v>
      </c>
      <c r="D6" s="4"/>
      <c r="E6" s="4"/>
      <c r="F6" s="4">
        <v>25.65</v>
      </c>
      <c r="G6" s="4"/>
      <c r="H6" s="4" t="s">
        <v>63</v>
      </c>
      <c r="I6" s="4" t="s">
        <v>63</v>
      </c>
      <c r="J6" s="9" t="s">
        <v>63</v>
      </c>
      <c r="K6" s="9"/>
      <c r="L6" s="4"/>
      <c r="M6" s="4"/>
      <c r="N6" s="4"/>
      <c r="O6" s="4"/>
    </row>
    <row r="7" spans="1:15" x14ac:dyDescent="0.2">
      <c r="A7" s="8" t="s">
        <v>19</v>
      </c>
      <c r="B7" s="8" t="s">
        <v>106</v>
      </c>
      <c r="C7" s="8" t="s">
        <v>749</v>
      </c>
      <c r="D7" s="4"/>
      <c r="E7" s="4"/>
      <c r="F7" s="4">
        <v>0.21</v>
      </c>
      <c r="G7" s="4"/>
      <c r="H7" s="4"/>
      <c r="I7" s="4"/>
      <c r="J7" s="9" t="s">
        <v>63</v>
      </c>
      <c r="K7" s="4"/>
      <c r="L7" s="4"/>
      <c r="M7" s="4"/>
      <c r="N7" s="4"/>
      <c r="O7" s="4"/>
    </row>
    <row r="8" spans="1:15" x14ac:dyDescent="0.2">
      <c r="A8" s="8" t="s">
        <v>19</v>
      </c>
      <c r="B8" s="8" t="s">
        <v>106</v>
      </c>
      <c r="C8" s="8" t="s">
        <v>750</v>
      </c>
      <c r="D8" s="4"/>
      <c r="E8" s="4"/>
      <c r="F8" s="4">
        <v>1.01</v>
      </c>
      <c r="G8" s="4"/>
      <c r="H8" s="4"/>
      <c r="I8" s="4"/>
      <c r="J8" s="4"/>
      <c r="K8" s="9" t="s">
        <v>63</v>
      </c>
      <c r="L8" s="4"/>
      <c r="M8" s="4"/>
      <c r="N8" s="4"/>
      <c r="O8" s="4"/>
    </row>
    <row r="9" spans="1:15" x14ac:dyDescent="0.2">
      <c r="A9" s="8" t="s">
        <v>19</v>
      </c>
      <c r="B9" s="8" t="s">
        <v>106</v>
      </c>
      <c r="C9" s="8" t="s">
        <v>751</v>
      </c>
      <c r="D9" s="4"/>
      <c r="E9" s="4"/>
      <c r="F9" s="4">
        <v>0.22</v>
      </c>
      <c r="G9" s="4"/>
      <c r="H9" s="4"/>
      <c r="I9" s="4"/>
      <c r="J9" s="9" t="s">
        <v>63</v>
      </c>
      <c r="K9" s="4"/>
      <c r="L9" s="4"/>
      <c r="M9" s="4"/>
      <c r="N9" s="4"/>
      <c r="O9" s="4"/>
    </row>
    <row r="10" spans="1:15" x14ac:dyDescent="0.2">
      <c r="A10" s="8" t="s">
        <v>19</v>
      </c>
      <c r="B10" s="8" t="s">
        <v>106</v>
      </c>
      <c r="C10" s="8" t="s">
        <v>752</v>
      </c>
      <c r="D10" s="4"/>
      <c r="E10" s="4"/>
      <c r="F10" s="4">
        <v>0.97</v>
      </c>
      <c r="G10" s="4"/>
      <c r="H10" s="4"/>
      <c r="I10" s="4"/>
      <c r="J10" s="4"/>
      <c r="K10" s="9" t="s">
        <v>63</v>
      </c>
      <c r="L10" s="4"/>
      <c r="M10" s="4"/>
      <c r="N10" s="4"/>
      <c r="O10" s="4"/>
    </row>
    <row r="11" spans="1:15" x14ac:dyDescent="0.2">
      <c r="A11" s="8" t="s">
        <v>19</v>
      </c>
      <c r="B11" s="8" t="s">
        <v>106</v>
      </c>
      <c r="C11" s="8" t="s">
        <v>753</v>
      </c>
      <c r="D11" s="4"/>
      <c r="E11" s="4"/>
      <c r="F11" s="4">
        <v>0.27</v>
      </c>
      <c r="G11" s="4"/>
      <c r="H11" s="4"/>
      <c r="I11" s="4"/>
      <c r="J11" s="9" t="s">
        <v>63</v>
      </c>
      <c r="K11" s="4"/>
      <c r="L11" s="4"/>
      <c r="M11" s="4"/>
      <c r="N11" s="4"/>
      <c r="O11" s="4"/>
    </row>
    <row r="12" spans="1:15" x14ac:dyDescent="0.2">
      <c r="A12" s="8" t="s">
        <v>19</v>
      </c>
      <c r="B12" s="8" t="s">
        <v>106</v>
      </c>
      <c r="C12" s="8" t="s">
        <v>754</v>
      </c>
      <c r="D12" s="4"/>
      <c r="E12" s="4"/>
      <c r="F12" s="4">
        <v>1.1399999999999999</v>
      </c>
      <c r="G12" s="4"/>
      <c r="H12" s="4"/>
      <c r="I12" s="4"/>
      <c r="J12" s="4"/>
      <c r="K12" s="9" t="s">
        <v>63</v>
      </c>
      <c r="L12" s="4"/>
      <c r="M12" s="4"/>
      <c r="N12" s="4"/>
      <c r="O12" s="4"/>
    </row>
    <row r="13" spans="1:15" x14ac:dyDescent="0.2">
      <c r="A13" s="8" t="s">
        <v>19</v>
      </c>
      <c r="B13" s="8" t="s">
        <v>106</v>
      </c>
      <c r="C13" s="8" t="s">
        <v>755</v>
      </c>
      <c r="D13" s="4"/>
      <c r="E13" s="4"/>
      <c r="F13" s="4">
        <v>0.26</v>
      </c>
      <c r="G13" s="4"/>
      <c r="H13" s="4"/>
      <c r="I13" s="4"/>
      <c r="J13" s="9" t="s">
        <v>63</v>
      </c>
      <c r="K13" s="4"/>
      <c r="L13" s="4"/>
      <c r="M13" s="4"/>
      <c r="N13" s="4"/>
      <c r="O13" s="4"/>
    </row>
    <row r="14" spans="1:15" x14ac:dyDescent="0.2">
      <c r="A14" s="8" t="s">
        <v>19</v>
      </c>
      <c r="B14" s="8" t="s">
        <v>106</v>
      </c>
      <c r="C14" s="8" t="s">
        <v>756</v>
      </c>
      <c r="D14" s="4"/>
      <c r="E14" s="4"/>
      <c r="F14" s="4">
        <v>1.02</v>
      </c>
      <c r="G14" s="4"/>
      <c r="H14" s="4"/>
      <c r="I14" s="4"/>
      <c r="J14" s="4"/>
      <c r="K14" s="9" t="s">
        <v>63</v>
      </c>
      <c r="L14" s="4"/>
      <c r="M14" s="4"/>
      <c r="N14" s="4"/>
      <c r="O14" s="4"/>
    </row>
    <row r="15" spans="1:15" x14ac:dyDescent="0.2">
      <c r="A15" s="8" t="s">
        <v>19</v>
      </c>
      <c r="B15" s="8" t="s">
        <v>743</v>
      </c>
      <c r="C15" s="8" t="s">
        <v>757</v>
      </c>
      <c r="D15" s="4"/>
      <c r="E15" s="4"/>
      <c r="F15" s="4">
        <v>24.81</v>
      </c>
      <c r="G15" s="4"/>
      <c r="H15" s="4" t="s">
        <v>63</v>
      </c>
      <c r="I15" s="4" t="s">
        <v>63</v>
      </c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19</v>
      </c>
      <c r="B16" s="8" t="s">
        <v>739</v>
      </c>
      <c r="C16" s="8" t="s">
        <v>758</v>
      </c>
      <c r="D16" s="4"/>
      <c r="E16" s="4"/>
      <c r="F16" s="4">
        <v>24.82</v>
      </c>
      <c r="G16" s="4"/>
      <c r="H16" s="4" t="s">
        <v>63</v>
      </c>
      <c r="I16" s="4" t="s">
        <v>63</v>
      </c>
      <c r="J16" s="4" t="s">
        <v>63</v>
      </c>
      <c r="K16" s="4"/>
      <c r="L16" s="4"/>
      <c r="M16" s="4"/>
      <c r="N16" s="4"/>
      <c r="O16" s="4"/>
    </row>
    <row r="17" spans="1:15" x14ac:dyDescent="0.2">
      <c r="A17" s="8" t="s">
        <v>19</v>
      </c>
      <c r="B17" s="8" t="s">
        <v>741</v>
      </c>
      <c r="C17" s="8" t="s">
        <v>759</v>
      </c>
      <c r="D17" s="4"/>
      <c r="E17" s="4"/>
      <c r="F17" s="4">
        <v>168.39</v>
      </c>
      <c r="G17" s="4"/>
      <c r="H17" s="4" t="s">
        <v>63</v>
      </c>
      <c r="I17" s="4" t="s">
        <v>63</v>
      </c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19</v>
      </c>
      <c r="B18" s="8" t="s">
        <v>760</v>
      </c>
      <c r="C18" s="8" t="s">
        <v>761</v>
      </c>
      <c r="D18" s="4"/>
      <c r="E18" s="4"/>
      <c r="F18" s="4">
        <v>125.09</v>
      </c>
      <c r="G18" s="4"/>
      <c r="H18" s="4" t="s">
        <v>63</v>
      </c>
      <c r="I18" s="4" t="s">
        <v>63</v>
      </c>
      <c r="J18" s="4" t="s">
        <v>63</v>
      </c>
      <c r="K18" s="4"/>
      <c r="L18" s="4"/>
      <c r="M18" s="4"/>
      <c r="N18" s="4"/>
      <c r="O18" s="4"/>
    </row>
    <row r="33" customFormat="1" x14ac:dyDescent="0.2"/>
    <row r="34" customFormat="1" x14ac:dyDescent="0.2"/>
    <row r="35" customFormat="1" x14ac:dyDescent="0.2"/>
  </sheetData>
  <mergeCells count="1">
    <mergeCell ref="E3:G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18"/>
  <sheetViews>
    <sheetView workbookViewId="0">
      <selection activeCell="J9" sqref="J9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SUM(E5:G18)</f>
        <v>390.32000000000005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20</v>
      </c>
      <c r="B5" s="8" t="s">
        <v>727</v>
      </c>
      <c r="C5" s="8" t="s">
        <v>762</v>
      </c>
      <c r="D5" s="4"/>
      <c r="E5" s="4"/>
      <c r="F5" s="4">
        <v>25.81</v>
      </c>
      <c r="G5" s="4"/>
      <c r="H5" s="4" t="s">
        <v>63</v>
      </c>
      <c r="I5" s="4" t="s">
        <v>63</v>
      </c>
      <c r="J5" s="9" t="s">
        <v>63</v>
      </c>
      <c r="K5" s="9"/>
      <c r="L5" s="4"/>
      <c r="M5" s="4"/>
      <c r="N5" s="4"/>
      <c r="O5" s="4"/>
    </row>
    <row r="6" spans="1:15" x14ac:dyDescent="0.2">
      <c r="A6" s="8" t="s">
        <v>20</v>
      </c>
      <c r="B6" s="8" t="s">
        <v>729</v>
      </c>
      <c r="C6" s="8" t="s">
        <v>763</v>
      </c>
      <c r="D6" s="4"/>
      <c r="E6" s="4"/>
      <c r="F6" s="4">
        <v>25.12</v>
      </c>
      <c r="G6" s="4"/>
      <c r="H6" s="4" t="s">
        <v>63</v>
      </c>
      <c r="I6" s="4" t="s">
        <v>63</v>
      </c>
      <c r="J6" s="9" t="s">
        <v>63</v>
      </c>
      <c r="K6" s="9"/>
      <c r="L6" s="4"/>
      <c r="M6" s="4"/>
      <c r="N6" s="4"/>
      <c r="O6" s="4"/>
    </row>
    <row r="7" spans="1:15" x14ac:dyDescent="0.2">
      <c r="A7" s="8" t="s">
        <v>20</v>
      </c>
      <c r="B7" s="8" t="s">
        <v>106</v>
      </c>
      <c r="C7" s="8" t="s">
        <v>764</v>
      </c>
      <c r="D7" s="4"/>
      <c r="E7" s="4"/>
      <c r="F7" s="4">
        <v>0.2</v>
      </c>
      <c r="G7" s="4"/>
      <c r="H7" s="4"/>
      <c r="I7" s="4"/>
      <c r="J7" s="9" t="s">
        <v>63</v>
      </c>
      <c r="K7" s="4"/>
      <c r="L7" s="4"/>
      <c r="M7" s="4"/>
      <c r="N7" s="4"/>
      <c r="O7" s="4"/>
    </row>
    <row r="8" spans="1:15" x14ac:dyDescent="0.2">
      <c r="A8" s="8" t="s">
        <v>20</v>
      </c>
      <c r="B8" s="8" t="s">
        <v>106</v>
      </c>
      <c r="C8" s="8" t="s">
        <v>765</v>
      </c>
      <c r="D8" s="4"/>
      <c r="E8" s="4"/>
      <c r="F8" s="4">
        <v>0.62</v>
      </c>
      <c r="G8" s="4"/>
      <c r="H8" s="4"/>
      <c r="I8" s="4"/>
      <c r="J8" s="4"/>
      <c r="K8" s="9" t="s">
        <v>63</v>
      </c>
      <c r="L8" s="4"/>
      <c r="M8" s="4"/>
      <c r="N8" s="4"/>
      <c r="O8" s="4"/>
    </row>
    <row r="9" spans="1:15" x14ac:dyDescent="0.2">
      <c r="A9" s="8" t="s">
        <v>20</v>
      </c>
      <c r="B9" s="8" t="s">
        <v>106</v>
      </c>
      <c r="C9" s="8" t="s">
        <v>766</v>
      </c>
      <c r="D9" s="4"/>
      <c r="E9" s="4"/>
      <c r="F9" s="4">
        <v>0.25</v>
      </c>
      <c r="G9" s="4"/>
      <c r="H9" s="4"/>
      <c r="I9" s="4"/>
      <c r="J9" s="9" t="s">
        <v>63</v>
      </c>
      <c r="K9" s="4"/>
      <c r="L9" s="4"/>
      <c r="M9" s="4"/>
      <c r="N9" s="4"/>
      <c r="O9" s="4"/>
    </row>
    <row r="10" spans="1:15" x14ac:dyDescent="0.2">
      <c r="A10" s="8" t="s">
        <v>20</v>
      </c>
      <c r="B10" s="8" t="s">
        <v>106</v>
      </c>
      <c r="C10" s="8" t="s">
        <v>767</v>
      </c>
      <c r="D10" s="4"/>
      <c r="E10" s="4"/>
      <c r="F10" s="4">
        <v>0.67</v>
      </c>
      <c r="G10" s="4"/>
      <c r="H10" s="4"/>
      <c r="I10" s="4"/>
      <c r="J10" s="4"/>
      <c r="K10" s="9" t="s">
        <v>63</v>
      </c>
      <c r="L10" s="4"/>
      <c r="M10" s="4"/>
      <c r="N10" s="4"/>
      <c r="O10" s="4"/>
    </row>
    <row r="11" spans="1:15" x14ac:dyDescent="0.2">
      <c r="A11" s="8" t="s">
        <v>20</v>
      </c>
      <c r="B11" s="8" t="s">
        <v>106</v>
      </c>
      <c r="C11" s="8" t="s">
        <v>768</v>
      </c>
      <c r="D11" s="4"/>
      <c r="E11" s="4"/>
      <c r="F11" s="4">
        <v>0.24</v>
      </c>
      <c r="G11" s="4"/>
      <c r="H11" s="4"/>
      <c r="I11" s="4"/>
      <c r="J11" s="9" t="s">
        <v>63</v>
      </c>
      <c r="K11" s="4"/>
      <c r="L11" s="4"/>
      <c r="M11" s="4"/>
      <c r="N11" s="4"/>
      <c r="O11" s="4"/>
    </row>
    <row r="12" spans="1:15" x14ac:dyDescent="0.2">
      <c r="A12" s="8" t="s">
        <v>20</v>
      </c>
      <c r="B12" s="8" t="s">
        <v>106</v>
      </c>
      <c r="C12" s="8" t="s">
        <v>769</v>
      </c>
      <c r="D12" s="4"/>
      <c r="E12" s="4"/>
      <c r="F12" s="4">
        <v>0.7</v>
      </c>
      <c r="G12" s="4"/>
      <c r="H12" s="4"/>
      <c r="I12" s="4"/>
      <c r="J12" s="4"/>
      <c r="K12" s="9" t="s">
        <v>63</v>
      </c>
      <c r="L12" s="4"/>
      <c r="M12" s="4"/>
      <c r="N12" s="4"/>
      <c r="O12" s="4"/>
    </row>
    <row r="13" spans="1:15" x14ac:dyDescent="0.2">
      <c r="A13" s="8" t="s">
        <v>20</v>
      </c>
      <c r="B13" s="8" t="s">
        <v>106</v>
      </c>
      <c r="C13" s="8" t="s">
        <v>770</v>
      </c>
      <c r="D13" s="4"/>
      <c r="E13" s="4"/>
      <c r="F13" s="4">
        <v>0.25</v>
      </c>
      <c r="G13" s="4"/>
      <c r="H13" s="4"/>
      <c r="I13" s="4"/>
      <c r="J13" s="9" t="s">
        <v>63</v>
      </c>
      <c r="K13" s="4"/>
      <c r="L13" s="4"/>
      <c r="M13" s="4"/>
      <c r="N13" s="4"/>
      <c r="O13" s="4"/>
    </row>
    <row r="14" spans="1:15" x14ac:dyDescent="0.2">
      <c r="A14" s="8" t="s">
        <v>20</v>
      </c>
      <c r="B14" s="8" t="s">
        <v>106</v>
      </c>
      <c r="C14" s="8" t="s">
        <v>771</v>
      </c>
      <c r="D14" s="4"/>
      <c r="E14" s="4"/>
      <c r="F14" s="4">
        <v>0.66</v>
      </c>
      <c r="G14" s="4"/>
      <c r="H14" s="4"/>
      <c r="I14" s="4"/>
      <c r="J14" s="4"/>
      <c r="K14" s="9" t="s">
        <v>63</v>
      </c>
      <c r="L14" s="4"/>
      <c r="M14" s="4"/>
      <c r="N14" s="4"/>
      <c r="O14" s="4"/>
    </row>
    <row r="15" spans="1:15" x14ac:dyDescent="0.2">
      <c r="A15" s="8" t="s">
        <v>20</v>
      </c>
      <c r="B15" s="8" t="s">
        <v>743</v>
      </c>
      <c r="C15" s="8" t="s">
        <v>772</v>
      </c>
      <c r="D15" s="4"/>
      <c r="E15" s="4"/>
      <c r="F15" s="4">
        <v>24.48</v>
      </c>
      <c r="G15" s="4"/>
      <c r="H15" s="4" t="s">
        <v>63</v>
      </c>
      <c r="I15" s="4" t="s">
        <v>63</v>
      </c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20</v>
      </c>
      <c r="B16" s="8" t="s">
        <v>739</v>
      </c>
      <c r="C16" s="8" t="s">
        <v>773</v>
      </c>
      <c r="D16" s="4"/>
      <c r="E16" s="4"/>
      <c r="F16" s="4">
        <v>50.45</v>
      </c>
      <c r="G16" s="4"/>
      <c r="H16" s="4" t="s">
        <v>63</v>
      </c>
      <c r="I16" s="4" t="s">
        <v>63</v>
      </c>
      <c r="J16" s="4" t="s">
        <v>63</v>
      </c>
      <c r="K16" s="4"/>
      <c r="L16" s="4"/>
      <c r="M16" s="4"/>
      <c r="N16" s="4"/>
      <c r="O16" s="4"/>
    </row>
    <row r="17" spans="1:15" x14ac:dyDescent="0.2">
      <c r="A17" s="8" t="s">
        <v>20</v>
      </c>
      <c r="B17" s="8" t="s">
        <v>741</v>
      </c>
      <c r="C17" s="8" t="s">
        <v>774</v>
      </c>
      <c r="D17" s="4"/>
      <c r="E17" s="4"/>
      <c r="F17" s="4">
        <v>139.78</v>
      </c>
      <c r="G17" s="4"/>
      <c r="H17" s="4" t="s">
        <v>63</v>
      </c>
      <c r="I17" s="4" t="s">
        <v>63</v>
      </c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20</v>
      </c>
      <c r="B18" s="8" t="s">
        <v>745</v>
      </c>
      <c r="C18" s="8" t="s">
        <v>775</v>
      </c>
      <c r="D18" s="4"/>
      <c r="E18" s="4"/>
      <c r="F18" s="4">
        <v>121.09</v>
      </c>
      <c r="G18" s="4"/>
      <c r="H18" s="4" t="s">
        <v>63</v>
      </c>
      <c r="I18" s="4" t="s">
        <v>63</v>
      </c>
      <c r="J18" s="4" t="s">
        <v>63</v>
      </c>
      <c r="K18" s="4"/>
      <c r="L18" s="4"/>
      <c r="M18" s="4"/>
      <c r="N18" s="4"/>
      <c r="O18" s="4"/>
    </row>
  </sheetData>
  <mergeCells count="1">
    <mergeCell ref="E3:G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36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SUM(E5:G18)</f>
        <v>412.7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21</v>
      </c>
      <c r="B5" s="8" t="s">
        <v>727</v>
      </c>
      <c r="C5" s="8" t="s">
        <v>776</v>
      </c>
      <c r="D5" s="4"/>
      <c r="E5" s="4"/>
      <c r="F5" s="4">
        <v>26.84</v>
      </c>
      <c r="G5" s="4"/>
      <c r="H5" s="4" t="s">
        <v>63</v>
      </c>
      <c r="I5" s="4" t="s">
        <v>63</v>
      </c>
      <c r="J5" s="9" t="s">
        <v>63</v>
      </c>
      <c r="K5" s="9"/>
      <c r="L5" s="4"/>
      <c r="M5" s="4"/>
      <c r="N5" s="4"/>
      <c r="O5" s="4"/>
    </row>
    <row r="6" spans="1:15" x14ac:dyDescent="0.2">
      <c r="A6" s="8" t="s">
        <v>21</v>
      </c>
      <c r="B6" s="8" t="s">
        <v>729</v>
      </c>
      <c r="C6" s="8" t="s">
        <v>777</v>
      </c>
      <c r="D6" s="4"/>
      <c r="E6" s="4"/>
      <c r="F6" s="4">
        <v>26</v>
      </c>
      <c r="G6" s="4"/>
      <c r="H6" s="4" t="s">
        <v>63</v>
      </c>
      <c r="I6" s="4" t="s">
        <v>63</v>
      </c>
      <c r="J6" s="9" t="s">
        <v>63</v>
      </c>
      <c r="K6" s="9"/>
      <c r="L6" s="4"/>
      <c r="M6" s="4"/>
      <c r="N6" s="4"/>
      <c r="O6" s="4"/>
    </row>
    <row r="7" spans="1:15" x14ac:dyDescent="0.2">
      <c r="A7" s="8" t="s">
        <v>21</v>
      </c>
      <c r="B7" s="8" t="s">
        <v>106</v>
      </c>
      <c r="C7" s="8" t="s">
        <v>778</v>
      </c>
      <c r="D7" s="4"/>
      <c r="E7" s="4"/>
      <c r="F7" s="4">
        <v>0.23</v>
      </c>
      <c r="G7" s="4"/>
      <c r="H7" s="4"/>
      <c r="I7" s="4"/>
      <c r="J7" s="9" t="s">
        <v>63</v>
      </c>
      <c r="K7" s="4"/>
      <c r="L7" s="4"/>
      <c r="M7" s="4"/>
      <c r="N7" s="4"/>
      <c r="O7" s="4"/>
    </row>
    <row r="8" spans="1:15" x14ac:dyDescent="0.2">
      <c r="A8" s="8" t="s">
        <v>21</v>
      </c>
      <c r="B8" s="8" t="s">
        <v>106</v>
      </c>
      <c r="C8" s="8" t="s">
        <v>779</v>
      </c>
      <c r="D8" s="4"/>
      <c r="E8" s="4"/>
      <c r="F8" s="4">
        <v>0.98</v>
      </c>
      <c r="G8" s="4"/>
      <c r="H8" s="4"/>
      <c r="I8" s="4"/>
      <c r="J8" s="4"/>
      <c r="K8" s="9" t="s">
        <v>63</v>
      </c>
      <c r="L8" s="4"/>
      <c r="M8" s="4"/>
      <c r="N8" s="4"/>
      <c r="O8" s="4"/>
    </row>
    <row r="9" spans="1:15" x14ac:dyDescent="0.2">
      <c r="A9" s="8" t="s">
        <v>21</v>
      </c>
      <c r="B9" s="8" t="s">
        <v>106</v>
      </c>
      <c r="C9" s="8" t="s">
        <v>780</v>
      </c>
      <c r="D9" s="4"/>
      <c r="E9" s="4"/>
      <c r="F9" s="4">
        <v>0.23</v>
      </c>
      <c r="G9" s="4"/>
      <c r="H9" s="4"/>
      <c r="I9" s="4"/>
      <c r="J9" s="9" t="s">
        <v>63</v>
      </c>
      <c r="K9" s="4"/>
      <c r="L9" s="4"/>
      <c r="M9" s="4"/>
      <c r="N9" s="4"/>
      <c r="O9" s="4"/>
    </row>
    <row r="10" spans="1:15" x14ac:dyDescent="0.2">
      <c r="A10" s="8" t="s">
        <v>21</v>
      </c>
      <c r="B10" s="8" t="s">
        <v>106</v>
      </c>
      <c r="C10" s="8" t="s">
        <v>781</v>
      </c>
      <c r="D10" s="4"/>
      <c r="E10" s="4"/>
      <c r="F10" s="4">
        <v>1.1000000000000001</v>
      </c>
      <c r="G10" s="4"/>
      <c r="H10" s="4"/>
      <c r="I10" s="4"/>
      <c r="J10" s="4"/>
      <c r="K10" s="9" t="s">
        <v>63</v>
      </c>
      <c r="L10" s="4"/>
      <c r="M10" s="4"/>
      <c r="N10" s="4"/>
      <c r="O10" s="4"/>
    </row>
    <row r="11" spans="1:15" x14ac:dyDescent="0.2">
      <c r="A11" s="8" t="s">
        <v>21</v>
      </c>
      <c r="B11" s="8" t="s">
        <v>106</v>
      </c>
      <c r="C11" s="8" t="s">
        <v>782</v>
      </c>
      <c r="D11" s="4"/>
      <c r="E11" s="4"/>
      <c r="F11" s="4">
        <v>0.23</v>
      </c>
      <c r="G11" s="4"/>
      <c r="H11" s="4"/>
      <c r="I11" s="4"/>
      <c r="J11" s="9" t="s">
        <v>63</v>
      </c>
      <c r="K11" s="4"/>
      <c r="L11" s="4"/>
      <c r="M11" s="4"/>
      <c r="N11" s="4"/>
      <c r="O11" s="4"/>
    </row>
    <row r="12" spans="1:15" x14ac:dyDescent="0.2">
      <c r="A12" s="8" t="s">
        <v>21</v>
      </c>
      <c r="B12" s="8" t="s">
        <v>106</v>
      </c>
      <c r="C12" s="8" t="s">
        <v>783</v>
      </c>
      <c r="D12" s="4"/>
      <c r="E12" s="4"/>
      <c r="F12" s="4">
        <v>1.03</v>
      </c>
      <c r="G12" s="4"/>
      <c r="H12" s="4"/>
      <c r="I12" s="4"/>
      <c r="J12" s="4"/>
      <c r="K12" s="9" t="s">
        <v>63</v>
      </c>
      <c r="L12" s="4"/>
      <c r="M12" s="4"/>
      <c r="N12" s="4"/>
      <c r="O12" s="4"/>
    </row>
    <row r="13" spans="1:15" x14ac:dyDescent="0.2">
      <c r="A13" s="8" t="s">
        <v>21</v>
      </c>
      <c r="B13" s="8" t="s">
        <v>106</v>
      </c>
      <c r="C13" s="8" t="s">
        <v>784</v>
      </c>
      <c r="D13" s="4"/>
      <c r="E13" s="4"/>
      <c r="F13" s="4">
        <v>0.23</v>
      </c>
      <c r="G13" s="4"/>
      <c r="H13" s="4"/>
      <c r="I13" s="4"/>
      <c r="J13" s="9" t="s">
        <v>63</v>
      </c>
      <c r="K13" s="4"/>
      <c r="L13" s="4"/>
      <c r="M13" s="4"/>
      <c r="N13" s="4"/>
      <c r="O13" s="4"/>
    </row>
    <row r="14" spans="1:15" x14ac:dyDescent="0.2">
      <c r="A14" s="8" t="s">
        <v>21</v>
      </c>
      <c r="B14" s="8" t="s">
        <v>106</v>
      </c>
      <c r="C14" s="8" t="s">
        <v>785</v>
      </c>
      <c r="D14" s="4"/>
      <c r="E14" s="4"/>
      <c r="F14" s="4">
        <v>1.02</v>
      </c>
      <c r="G14" s="4"/>
      <c r="H14" s="4"/>
      <c r="I14" s="4"/>
      <c r="J14" s="4"/>
      <c r="K14" s="9" t="s">
        <v>63</v>
      </c>
      <c r="L14" s="4"/>
      <c r="M14" s="4"/>
      <c r="N14" s="4"/>
      <c r="O14" s="4"/>
    </row>
    <row r="15" spans="1:15" x14ac:dyDescent="0.2">
      <c r="A15" s="8" t="s">
        <v>21</v>
      </c>
      <c r="B15" s="8" t="s">
        <v>743</v>
      </c>
      <c r="C15" s="8" t="s">
        <v>786</v>
      </c>
      <c r="D15" s="4"/>
      <c r="E15" s="4"/>
      <c r="F15" s="4">
        <v>25.47</v>
      </c>
      <c r="G15" s="4"/>
      <c r="H15" s="4" t="s">
        <v>63</v>
      </c>
      <c r="I15" s="4" t="s">
        <v>63</v>
      </c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21</v>
      </c>
      <c r="B16" s="8" t="s">
        <v>739</v>
      </c>
      <c r="C16" s="8" t="s">
        <v>787</v>
      </c>
      <c r="D16" s="4"/>
      <c r="E16" s="4"/>
      <c r="F16" s="4">
        <v>27.13</v>
      </c>
      <c r="G16" s="4"/>
      <c r="H16" s="4" t="s">
        <v>63</v>
      </c>
      <c r="I16" s="4" t="s">
        <v>63</v>
      </c>
      <c r="J16" s="4" t="s">
        <v>63</v>
      </c>
      <c r="K16" s="4"/>
      <c r="L16" s="4"/>
      <c r="M16" s="4"/>
      <c r="N16" s="4"/>
      <c r="O16" s="4"/>
    </row>
    <row r="17" spans="1:15" x14ac:dyDescent="0.2">
      <c r="A17" s="8" t="s">
        <v>21</v>
      </c>
      <c r="B17" s="8" t="s">
        <v>741</v>
      </c>
      <c r="C17" s="8" t="s">
        <v>788</v>
      </c>
      <c r="D17" s="4"/>
      <c r="E17" s="4"/>
      <c r="F17" s="4">
        <v>176.51</v>
      </c>
      <c r="G17" s="4"/>
      <c r="H17" s="4" t="s">
        <v>63</v>
      </c>
      <c r="I17" s="4" t="s">
        <v>63</v>
      </c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21</v>
      </c>
      <c r="B18" s="8" t="s">
        <v>745</v>
      </c>
      <c r="C18" s="8" t="s">
        <v>789</v>
      </c>
      <c r="D18" s="4"/>
      <c r="E18" s="4"/>
      <c r="F18" s="4">
        <v>125.7</v>
      </c>
      <c r="G18" s="4"/>
      <c r="H18" s="4" t="s">
        <v>63</v>
      </c>
      <c r="I18" s="4" t="s">
        <v>63</v>
      </c>
      <c r="J18" s="4" t="s">
        <v>63</v>
      </c>
      <c r="K18" s="4"/>
      <c r="L18" s="4"/>
      <c r="M18" s="4"/>
      <c r="N18" s="4"/>
      <c r="O18" s="4"/>
    </row>
    <row r="33" customFormat="1" x14ac:dyDescent="0.2"/>
    <row r="34" customFormat="1" x14ac:dyDescent="0.2"/>
    <row r="35" customFormat="1" x14ac:dyDescent="0.2"/>
    <row r="36" customFormat="1" x14ac:dyDescent="0.2"/>
  </sheetData>
  <mergeCells count="1">
    <mergeCell ref="E3:G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12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SUM(E5:G12)</f>
        <v>4085.6600000000003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22</v>
      </c>
      <c r="B5" s="8" t="s">
        <v>106</v>
      </c>
      <c r="C5" s="8" t="s">
        <v>790</v>
      </c>
      <c r="D5" s="4"/>
      <c r="E5" s="4"/>
      <c r="F5" s="4">
        <v>27.78</v>
      </c>
      <c r="G5" s="4"/>
      <c r="H5" s="4" t="s">
        <v>2001</v>
      </c>
      <c r="I5" s="4" t="s">
        <v>2001</v>
      </c>
      <c r="J5" s="4" t="s">
        <v>2001</v>
      </c>
      <c r="K5" s="4" t="s">
        <v>2001</v>
      </c>
      <c r="L5" s="4" t="s">
        <v>2001</v>
      </c>
      <c r="M5" s="4" t="s">
        <v>2001</v>
      </c>
      <c r="N5" s="4" t="s">
        <v>2001</v>
      </c>
      <c r="O5" s="4" t="s">
        <v>2001</v>
      </c>
    </row>
    <row r="6" spans="1:15" x14ac:dyDescent="0.2">
      <c r="A6" s="8" t="s">
        <v>22</v>
      </c>
      <c r="B6" s="8" t="s">
        <v>106</v>
      </c>
      <c r="C6" s="8" t="s">
        <v>791</v>
      </c>
      <c r="D6" s="4"/>
      <c r="E6" s="4"/>
      <c r="F6" s="4">
        <v>17.899999999999999</v>
      </c>
      <c r="G6" s="4"/>
      <c r="H6" s="4" t="s">
        <v>2001</v>
      </c>
      <c r="I6" s="4" t="s">
        <v>2001</v>
      </c>
      <c r="J6" s="4" t="s">
        <v>2001</v>
      </c>
      <c r="K6" s="4" t="s">
        <v>2001</v>
      </c>
      <c r="L6" s="4" t="s">
        <v>2001</v>
      </c>
      <c r="M6" s="4" t="s">
        <v>2001</v>
      </c>
      <c r="N6" s="4" t="s">
        <v>2001</v>
      </c>
      <c r="O6" s="4" t="s">
        <v>2001</v>
      </c>
    </row>
    <row r="7" spans="1:15" x14ac:dyDescent="0.2">
      <c r="A7" s="8" t="s">
        <v>22</v>
      </c>
      <c r="B7" s="8" t="s">
        <v>792</v>
      </c>
      <c r="C7" s="8" t="s">
        <v>793</v>
      </c>
      <c r="D7" s="4"/>
      <c r="E7" s="4"/>
      <c r="F7" s="4">
        <v>40.64</v>
      </c>
      <c r="G7" s="4"/>
      <c r="H7" s="4" t="s">
        <v>63</v>
      </c>
      <c r="I7" s="4" t="s">
        <v>63</v>
      </c>
      <c r="J7" s="4" t="s">
        <v>63</v>
      </c>
      <c r="K7" s="4"/>
      <c r="L7" s="4"/>
      <c r="M7" s="4"/>
      <c r="N7" s="4"/>
      <c r="O7" s="4"/>
    </row>
    <row r="8" spans="1:15" x14ac:dyDescent="0.2">
      <c r="A8" s="8" t="s">
        <v>22</v>
      </c>
      <c r="B8" s="8" t="s">
        <v>794</v>
      </c>
      <c r="C8" s="8" t="s">
        <v>795</v>
      </c>
      <c r="D8" s="4"/>
      <c r="E8" s="4"/>
      <c r="F8" s="4">
        <v>194.33</v>
      </c>
      <c r="G8" s="4"/>
      <c r="H8" s="4" t="s">
        <v>63</v>
      </c>
      <c r="I8" s="4" t="s">
        <v>63</v>
      </c>
      <c r="J8" s="4" t="s">
        <v>63</v>
      </c>
      <c r="K8" s="4"/>
      <c r="L8" s="4"/>
      <c r="M8" s="4"/>
      <c r="N8" s="4"/>
      <c r="O8" s="4"/>
    </row>
    <row r="9" spans="1:15" x14ac:dyDescent="0.2">
      <c r="A9" s="8" t="s">
        <v>22</v>
      </c>
      <c r="B9" s="8" t="s">
        <v>796</v>
      </c>
      <c r="C9" s="8" t="s">
        <v>797</v>
      </c>
      <c r="D9" s="4"/>
      <c r="E9" s="4"/>
      <c r="F9" s="4">
        <v>26.34</v>
      </c>
      <c r="G9" s="4"/>
      <c r="H9" s="4" t="s">
        <v>63</v>
      </c>
      <c r="I9" s="4" t="s">
        <v>63</v>
      </c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22</v>
      </c>
      <c r="B10" s="8" t="s">
        <v>798</v>
      </c>
      <c r="C10" s="8" t="s">
        <v>799</v>
      </c>
      <c r="D10" s="4"/>
      <c r="E10" s="4"/>
      <c r="F10" s="4">
        <v>526.34</v>
      </c>
      <c r="G10" s="4"/>
      <c r="H10" s="4" t="s">
        <v>63</v>
      </c>
      <c r="I10" s="4" t="s">
        <v>63</v>
      </c>
      <c r="J10" s="4" t="s">
        <v>63</v>
      </c>
      <c r="K10" s="4"/>
      <c r="L10" s="4"/>
      <c r="M10" s="4"/>
      <c r="N10" s="4"/>
      <c r="O10" s="4"/>
    </row>
    <row r="11" spans="1:15" x14ac:dyDescent="0.2">
      <c r="A11" s="8" t="s">
        <v>22</v>
      </c>
      <c r="B11" s="8" t="s">
        <v>800</v>
      </c>
      <c r="C11" s="8" t="s">
        <v>801</v>
      </c>
      <c r="D11" s="4"/>
      <c r="E11" s="4">
        <v>565.4</v>
      </c>
      <c r="F11" s="4">
        <v>524.17999999999995</v>
      </c>
      <c r="G11" s="4">
        <v>535.22</v>
      </c>
      <c r="H11" s="4"/>
      <c r="I11" s="4"/>
      <c r="J11" s="4"/>
      <c r="K11" s="4"/>
      <c r="L11" s="4" t="s">
        <v>2007</v>
      </c>
      <c r="M11" s="4"/>
      <c r="N11" s="4"/>
      <c r="O11" s="4"/>
    </row>
    <row r="12" spans="1:15" x14ac:dyDescent="0.2">
      <c r="A12" s="8" t="s">
        <v>22</v>
      </c>
      <c r="B12" s="8" t="s">
        <v>802</v>
      </c>
      <c r="C12" s="8" t="s">
        <v>803</v>
      </c>
      <c r="D12" s="4"/>
      <c r="E12" s="4">
        <v>532.01</v>
      </c>
      <c r="F12" s="4">
        <v>532.23</v>
      </c>
      <c r="G12" s="4">
        <v>563.29</v>
      </c>
      <c r="H12" s="4"/>
      <c r="I12" s="4"/>
      <c r="J12" s="4"/>
      <c r="K12" s="4"/>
      <c r="L12" s="4" t="s">
        <v>2007</v>
      </c>
      <c r="M12" s="4"/>
      <c r="N12" s="4"/>
      <c r="O12" s="4"/>
    </row>
  </sheetData>
  <mergeCells count="1">
    <mergeCell ref="E3:G3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38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0" customWidth="1"/>
    <col min="4" max="7" width="10" customWidth="1"/>
    <col min="8" max="9" width="8" customWidth="1"/>
    <col min="10" max="10" width="10" customWidth="1"/>
    <col min="11" max="11" width="9" customWidth="1"/>
  </cols>
  <sheetData>
    <row r="2" spans="1:11" ht="21" x14ac:dyDescent="0.2">
      <c r="A2" s="1" t="s">
        <v>55</v>
      </c>
      <c r="B2" s="6"/>
      <c r="C2" s="6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 t="s">
        <v>58</v>
      </c>
      <c r="B4" s="2" t="s">
        <v>59</v>
      </c>
      <c r="C4" s="2" t="s">
        <v>60</v>
      </c>
      <c r="D4" s="2" t="s">
        <v>65</v>
      </c>
      <c r="E4" s="2" t="s">
        <v>1995</v>
      </c>
      <c r="F4" s="2" t="s">
        <v>1996</v>
      </c>
      <c r="G4" s="2" t="s">
        <v>1997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1" x14ac:dyDescent="0.2">
      <c r="A5" s="8" t="s">
        <v>23</v>
      </c>
      <c r="B5" s="8" t="s">
        <v>804</v>
      </c>
      <c r="C5" s="8" t="s">
        <v>805</v>
      </c>
      <c r="D5" s="4" t="s">
        <v>63</v>
      </c>
      <c r="E5" s="4" t="s">
        <v>63</v>
      </c>
      <c r="F5" s="9" t="s">
        <v>63</v>
      </c>
      <c r="G5" s="4"/>
      <c r="H5" s="4"/>
      <c r="I5" s="4"/>
      <c r="J5" s="4"/>
      <c r="K5" s="4"/>
    </row>
    <row r="6" spans="1:11" x14ac:dyDescent="0.2">
      <c r="A6" s="8" t="s">
        <v>23</v>
      </c>
      <c r="B6" s="8" t="s">
        <v>106</v>
      </c>
      <c r="C6" s="8" t="s">
        <v>806</v>
      </c>
      <c r="D6" s="9" t="s">
        <v>63</v>
      </c>
      <c r="E6" s="4"/>
      <c r="H6" s="4"/>
      <c r="I6" s="4"/>
      <c r="J6" s="4"/>
      <c r="K6" s="4"/>
    </row>
    <row r="7" spans="1:11" x14ac:dyDescent="0.2">
      <c r="A7" s="8" t="s">
        <v>23</v>
      </c>
      <c r="B7" s="8" t="s">
        <v>106</v>
      </c>
      <c r="C7" s="8" t="s">
        <v>807</v>
      </c>
      <c r="D7" s="4"/>
      <c r="E7" s="9" t="s">
        <v>63</v>
      </c>
      <c r="F7" s="9" t="s">
        <v>63</v>
      </c>
      <c r="G7" s="9" t="s">
        <v>63</v>
      </c>
      <c r="H7" s="4"/>
      <c r="I7" s="4"/>
      <c r="J7" s="4"/>
      <c r="K7" s="4"/>
    </row>
    <row r="8" spans="1:11" x14ac:dyDescent="0.2">
      <c r="A8" s="8" t="s">
        <v>23</v>
      </c>
      <c r="B8" s="8" t="s">
        <v>808</v>
      </c>
      <c r="C8" s="8" t="s">
        <v>809</v>
      </c>
      <c r="D8" s="4" t="s">
        <v>1998</v>
      </c>
      <c r="E8" s="4" t="s">
        <v>1998</v>
      </c>
      <c r="F8" s="4" t="s">
        <v>1998</v>
      </c>
      <c r="G8" s="4" t="s">
        <v>1998</v>
      </c>
      <c r="H8" s="4"/>
      <c r="I8" s="4"/>
      <c r="J8" s="4"/>
      <c r="K8" s="4"/>
    </row>
    <row r="9" spans="1:11" x14ac:dyDescent="0.2">
      <c r="A9" s="8" t="s">
        <v>23</v>
      </c>
      <c r="B9" s="8" t="s">
        <v>810</v>
      </c>
      <c r="C9" s="8" t="s">
        <v>811</v>
      </c>
      <c r="D9" s="4" t="s">
        <v>1998</v>
      </c>
      <c r="E9" s="4" t="s">
        <v>1998</v>
      </c>
      <c r="F9" s="4" t="s">
        <v>1998</v>
      </c>
      <c r="G9" s="4" t="s">
        <v>1998</v>
      </c>
      <c r="H9" s="4"/>
      <c r="I9" s="4"/>
      <c r="J9" s="4"/>
      <c r="K9" s="4"/>
    </row>
    <row r="10" spans="1:11" x14ac:dyDescent="0.2">
      <c r="A10" s="8" t="s">
        <v>23</v>
      </c>
      <c r="B10" s="8" t="s">
        <v>812</v>
      </c>
      <c r="C10" s="8" t="s">
        <v>813</v>
      </c>
      <c r="D10" s="4" t="s">
        <v>1998</v>
      </c>
      <c r="E10" s="4" t="s">
        <v>1998</v>
      </c>
      <c r="F10" s="4" t="s">
        <v>1998</v>
      </c>
      <c r="G10" s="4" t="s">
        <v>1998</v>
      </c>
      <c r="H10" s="4"/>
      <c r="I10" s="4"/>
      <c r="J10" s="4"/>
      <c r="K10" s="4"/>
    </row>
    <row r="11" spans="1:11" x14ac:dyDescent="0.2">
      <c r="A11" s="8" t="s">
        <v>23</v>
      </c>
      <c r="B11" s="8" t="s">
        <v>814</v>
      </c>
      <c r="C11" s="8" t="s">
        <v>815</v>
      </c>
      <c r="D11" s="4" t="s">
        <v>1998</v>
      </c>
      <c r="E11" s="4" t="s">
        <v>1998</v>
      </c>
      <c r="F11" s="4" t="s">
        <v>1998</v>
      </c>
      <c r="G11" s="4" t="s">
        <v>1998</v>
      </c>
      <c r="H11" s="4"/>
      <c r="I11" s="4"/>
      <c r="J11" s="4"/>
      <c r="K11" s="4"/>
    </row>
    <row r="12" spans="1:11" x14ac:dyDescent="0.2">
      <c r="A12" s="8" t="s">
        <v>23</v>
      </c>
      <c r="B12" s="8" t="s">
        <v>816</v>
      </c>
      <c r="C12" s="8" t="s">
        <v>817</v>
      </c>
      <c r="D12" s="4" t="s">
        <v>1998</v>
      </c>
      <c r="E12" s="4" t="s">
        <v>1998</v>
      </c>
      <c r="F12" s="4" t="s">
        <v>1998</v>
      </c>
      <c r="G12" s="4" t="s">
        <v>1998</v>
      </c>
      <c r="H12" s="4"/>
      <c r="I12" s="4"/>
      <c r="J12" s="4"/>
      <c r="K12" s="4"/>
    </row>
    <row r="13" spans="1:11" x14ac:dyDescent="0.2">
      <c r="A13" s="8" t="s">
        <v>23</v>
      </c>
      <c r="B13" s="8" t="s">
        <v>818</v>
      </c>
      <c r="C13" s="8" t="s">
        <v>819</v>
      </c>
      <c r="D13" s="4"/>
      <c r="E13" s="4"/>
      <c r="F13" s="4"/>
      <c r="G13" s="4"/>
      <c r="H13" s="4" t="s">
        <v>1998</v>
      </c>
      <c r="I13" s="4"/>
      <c r="J13" s="4"/>
      <c r="K13" s="4"/>
    </row>
    <row r="14" spans="1:11" x14ac:dyDescent="0.2">
      <c r="A14" s="8" t="s">
        <v>23</v>
      </c>
      <c r="B14" s="8" t="s">
        <v>820</v>
      </c>
      <c r="C14" s="8" t="s">
        <v>821</v>
      </c>
      <c r="D14" s="4"/>
      <c r="E14" s="4"/>
      <c r="F14" s="4"/>
      <c r="G14" s="4"/>
      <c r="H14" s="4" t="s">
        <v>1998</v>
      </c>
      <c r="I14" s="4"/>
      <c r="J14" s="4"/>
      <c r="K14" s="4"/>
    </row>
    <row r="15" spans="1:11" x14ac:dyDescent="0.2">
      <c r="A15" s="8" t="s">
        <v>23</v>
      </c>
      <c r="B15" s="8" t="s">
        <v>822</v>
      </c>
      <c r="C15" s="8" t="s">
        <v>823</v>
      </c>
      <c r="D15" s="4"/>
      <c r="E15" s="4"/>
      <c r="F15" s="4"/>
      <c r="G15" s="4"/>
      <c r="H15" s="4" t="s">
        <v>1998</v>
      </c>
      <c r="I15" s="4"/>
      <c r="J15" s="4"/>
      <c r="K15" s="4"/>
    </row>
    <row r="16" spans="1:11" x14ac:dyDescent="0.2">
      <c r="A16" s="8" t="s">
        <v>23</v>
      </c>
      <c r="B16" s="8" t="s">
        <v>824</v>
      </c>
      <c r="C16" s="8" t="s">
        <v>825</v>
      </c>
      <c r="D16" s="4"/>
      <c r="E16" s="4"/>
      <c r="F16" s="4"/>
      <c r="G16" s="4"/>
      <c r="H16" s="4" t="s">
        <v>1998</v>
      </c>
      <c r="I16" s="4"/>
      <c r="J16" s="4"/>
      <c r="K16" s="4"/>
    </row>
    <row r="17" spans="1:11" x14ac:dyDescent="0.2">
      <c r="A17" s="8" t="s">
        <v>23</v>
      </c>
      <c r="B17" s="8" t="s">
        <v>826</v>
      </c>
      <c r="C17" s="8" t="s">
        <v>827</v>
      </c>
      <c r="D17" s="4"/>
      <c r="E17" s="4"/>
      <c r="F17" s="4"/>
      <c r="G17" s="4"/>
      <c r="H17" s="4" t="s">
        <v>1998</v>
      </c>
      <c r="I17" s="4"/>
      <c r="J17" s="4"/>
      <c r="K17" s="4"/>
    </row>
    <row r="18" spans="1:11" x14ac:dyDescent="0.2">
      <c r="A18" s="8" t="s">
        <v>23</v>
      </c>
      <c r="B18" s="8" t="s">
        <v>828</v>
      </c>
      <c r="C18" s="8" t="s">
        <v>829</v>
      </c>
      <c r="D18" s="4"/>
      <c r="E18" s="4"/>
      <c r="F18" s="4"/>
      <c r="G18" s="4"/>
      <c r="H18" s="4" t="s">
        <v>1998</v>
      </c>
      <c r="I18" s="4"/>
      <c r="J18" s="4"/>
      <c r="K18" s="4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O32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SUM(E5:G32)</f>
        <v>5680.3099999999986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24</v>
      </c>
      <c r="B5" s="8" t="s">
        <v>830</v>
      </c>
      <c r="C5" s="8" t="s">
        <v>831</v>
      </c>
      <c r="D5" s="4"/>
      <c r="E5" s="4"/>
      <c r="F5" s="4">
        <v>46.79</v>
      </c>
      <c r="G5" s="4"/>
      <c r="H5" s="4" t="s">
        <v>63</v>
      </c>
      <c r="I5" s="4" t="s">
        <v>63</v>
      </c>
      <c r="J5" s="9" t="s">
        <v>63</v>
      </c>
      <c r="K5" s="4"/>
      <c r="L5" s="4"/>
      <c r="M5" s="4"/>
      <c r="N5" s="4"/>
      <c r="O5" s="4"/>
    </row>
    <row r="6" spans="1:15" x14ac:dyDescent="0.2">
      <c r="A6" s="8" t="s">
        <v>24</v>
      </c>
      <c r="B6" s="8" t="s">
        <v>106</v>
      </c>
      <c r="C6" s="8" t="s">
        <v>832</v>
      </c>
      <c r="D6" s="4"/>
      <c r="E6" s="4"/>
      <c r="F6" s="4">
        <v>0.27</v>
      </c>
      <c r="G6" s="4"/>
      <c r="H6" s="9" t="s">
        <v>63</v>
      </c>
      <c r="I6" s="4"/>
      <c r="K6" s="4"/>
      <c r="L6" s="4"/>
      <c r="M6" s="4"/>
      <c r="N6" s="4"/>
      <c r="O6" s="4"/>
    </row>
    <row r="7" spans="1:15" x14ac:dyDescent="0.2">
      <c r="A7" s="8" t="s">
        <v>24</v>
      </c>
      <c r="B7" s="8" t="s">
        <v>106</v>
      </c>
      <c r="C7" s="8" t="s">
        <v>833</v>
      </c>
      <c r="D7" s="4"/>
      <c r="E7" s="4"/>
      <c r="F7" s="4">
        <v>0.69</v>
      </c>
      <c r="G7" s="4"/>
      <c r="H7" s="4"/>
      <c r="I7" s="9" t="s">
        <v>63</v>
      </c>
      <c r="J7" s="9" t="s">
        <v>63</v>
      </c>
      <c r="K7" s="9" t="s">
        <v>63</v>
      </c>
      <c r="L7" s="4"/>
      <c r="M7" s="4"/>
      <c r="N7" s="4"/>
      <c r="O7" s="4"/>
    </row>
    <row r="8" spans="1:15" x14ac:dyDescent="0.2">
      <c r="A8" s="8" t="s">
        <v>24</v>
      </c>
      <c r="B8" s="8" t="s">
        <v>106</v>
      </c>
      <c r="C8" s="8" t="s">
        <v>834</v>
      </c>
      <c r="D8" s="4"/>
      <c r="E8" s="4"/>
      <c r="F8" s="4">
        <v>0.28999999999999998</v>
      </c>
      <c r="G8" s="4"/>
      <c r="H8" s="9" t="s">
        <v>63</v>
      </c>
      <c r="I8" s="4"/>
      <c r="K8" s="4"/>
      <c r="L8" s="4"/>
      <c r="M8" s="4"/>
      <c r="N8" s="4"/>
      <c r="O8" s="4"/>
    </row>
    <row r="9" spans="1:15" x14ac:dyDescent="0.2">
      <c r="A9" s="8" t="s">
        <v>24</v>
      </c>
      <c r="B9" s="8" t="s">
        <v>106</v>
      </c>
      <c r="C9" s="8" t="s">
        <v>835</v>
      </c>
      <c r="D9" s="4"/>
      <c r="E9" s="4"/>
      <c r="F9" s="4">
        <v>0.71</v>
      </c>
      <c r="G9" s="4"/>
      <c r="H9" s="4"/>
      <c r="I9" s="9" t="s">
        <v>63</v>
      </c>
      <c r="J9" s="9" t="s">
        <v>63</v>
      </c>
      <c r="K9" s="9" t="s">
        <v>63</v>
      </c>
      <c r="L9" s="4"/>
      <c r="M9" s="4"/>
      <c r="N9" s="4"/>
      <c r="O9" s="4"/>
    </row>
    <row r="10" spans="1:15" x14ac:dyDescent="0.2">
      <c r="A10" s="8" t="s">
        <v>24</v>
      </c>
      <c r="B10" s="8" t="s">
        <v>836</v>
      </c>
      <c r="C10" s="8" t="s">
        <v>837</v>
      </c>
      <c r="D10" s="4"/>
      <c r="E10" s="4"/>
      <c r="F10" s="4">
        <v>65.91</v>
      </c>
      <c r="G10" s="4"/>
      <c r="H10" s="4" t="s">
        <v>63</v>
      </c>
      <c r="I10" s="4" t="s">
        <v>63</v>
      </c>
      <c r="J10" s="9" t="s">
        <v>63</v>
      </c>
      <c r="K10" s="4"/>
      <c r="L10" s="4"/>
      <c r="M10" s="4"/>
      <c r="N10" s="4"/>
      <c r="O10" s="4"/>
    </row>
    <row r="11" spans="1:15" x14ac:dyDescent="0.2">
      <c r="A11" s="8" t="s">
        <v>24</v>
      </c>
      <c r="B11" s="8" t="s">
        <v>838</v>
      </c>
      <c r="C11" s="8" t="s">
        <v>839</v>
      </c>
      <c r="D11" s="4"/>
      <c r="E11" s="4">
        <v>52.54</v>
      </c>
      <c r="F11" s="4">
        <v>43.49</v>
      </c>
      <c r="G11" s="4">
        <v>53.26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24</v>
      </c>
      <c r="B12" s="8" t="s">
        <v>840</v>
      </c>
      <c r="C12" s="8" t="s">
        <v>841</v>
      </c>
      <c r="D12" s="4"/>
      <c r="E12" s="4">
        <v>85.41</v>
      </c>
      <c r="F12" s="4">
        <v>85.23</v>
      </c>
      <c r="G12" s="4">
        <v>86.34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24</v>
      </c>
      <c r="B13" s="8" t="s">
        <v>842</v>
      </c>
      <c r="C13" s="8" t="s">
        <v>843</v>
      </c>
      <c r="D13" s="4"/>
      <c r="E13" s="4">
        <v>42.16</v>
      </c>
      <c r="F13" s="4">
        <v>42.55</v>
      </c>
      <c r="G13" s="4">
        <v>43.07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24</v>
      </c>
      <c r="B14" s="8" t="s">
        <v>844</v>
      </c>
      <c r="C14" s="8" t="s">
        <v>845</v>
      </c>
      <c r="D14" s="4"/>
      <c r="E14" s="4">
        <v>41.97</v>
      </c>
      <c r="F14" s="4">
        <v>41.5</v>
      </c>
      <c r="G14" s="4">
        <v>42.74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24</v>
      </c>
      <c r="B15" s="8" t="s">
        <v>846</v>
      </c>
      <c r="C15" s="8" t="s">
        <v>847</v>
      </c>
      <c r="D15" s="4"/>
      <c r="E15" s="4">
        <v>41.39</v>
      </c>
      <c r="F15" s="4">
        <v>41.36</v>
      </c>
      <c r="G15" s="4">
        <v>41.86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24</v>
      </c>
      <c r="B16" s="8" t="s">
        <v>848</v>
      </c>
      <c r="C16" s="8" t="s">
        <v>849</v>
      </c>
      <c r="D16" s="4"/>
      <c r="E16" s="4">
        <v>73.03</v>
      </c>
      <c r="F16" s="4">
        <v>72.05</v>
      </c>
      <c r="G16" s="4">
        <v>41.16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24</v>
      </c>
      <c r="B17" s="8" t="s">
        <v>850</v>
      </c>
      <c r="C17" s="8" t="s">
        <v>851</v>
      </c>
      <c r="D17" s="4"/>
      <c r="E17" s="4">
        <v>44.16</v>
      </c>
      <c r="F17" s="4">
        <v>45.31</v>
      </c>
      <c r="G17" s="4">
        <v>76.86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24</v>
      </c>
      <c r="B18" s="8" t="s">
        <v>852</v>
      </c>
      <c r="C18" s="8" t="s">
        <v>853</v>
      </c>
      <c r="D18" s="4"/>
      <c r="E18" s="4">
        <v>194.73</v>
      </c>
      <c r="F18" s="4">
        <v>192.36</v>
      </c>
      <c r="G18" s="4">
        <v>160.71</v>
      </c>
      <c r="H18" s="4"/>
      <c r="I18" s="4"/>
      <c r="J18" s="4"/>
      <c r="K18" s="4"/>
      <c r="L18" s="4" t="s">
        <v>1998</v>
      </c>
      <c r="M18" s="4"/>
      <c r="N18" s="4"/>
      <c r="O18" s="4"/>
    </row>
    <row r="19" spans="1:15" x14ac:dyDescent="0.2">
      <c r="A19" s="8" t="s">
        <v>24</v>
      </c>
      <c r="B19" s="8" t="s">
        <v>854</v>
      </c>
      <c r="C19" s="8" t="s">
        <v>855</v>
      </c>
      <c r="D19" s="4"/>
      <c r="E19" s="4">
        <v>170.46</v>
      </c>
      <c r="F19" s="4">
        <v>168.83</v>
      </c>
      <c r="G19" s="4">
        <v>202.47</v>
      </c>
      <c r="H19" s="4"/>
      <c r="I19" s="4"/>
      <c r="J19" s="4"/>
      <c r="K19" s="4"/>
      <c r="L19" s="4" t="s">
        <v>1998</v>
      </c>
      <c r="M19" s="4"/>
      <c r="N19" s="4"/>
      <c r="O19" s="4"/>
    </row>
    <row r="20" spans="1:15" x14ac:dyDescent="0.2">
      <c r="A20" s="8" t="s">
        <v>24</v>
      </c>
      <c r="B20" s="8" t="s">
        <v>856</v>
      </c>
      <c r="C20" s="8" t="s">
        <v>857</v>
      </c>
      <c r="D20" s="4"/>
      <c r="E20" s="4">
        <v>111.96</v>
      </c>
      <c r="F20" s="4">
        <v>115.85</v>
      </c>
      <c r="G20" s="4">
        <v>111.97</v>
      </c>
      <c r="H20" s="4"/>
      <c r="I20" s="4"/>
      <c r="J20" s="4"/>
      <c r="K20" s="4"/>
      <c r="L20" s="4" t="s">
        <v>1998</v>
      </c>
      <c r="M20" s="4"/>
      <c r="N20" s="4"/>
      <c r="O20" s="4"/>
    </row>
    <row r="21" spans="1:15" x14ac:dyDescent="0.2">
      <c r="A21" s="8" t="s">
        <v>24</v>
      </c>
      <c r="B21" s="8" t="s">
        <v>858</v>
      </c>
      <c r="C21" s="8" t="s">
        <v>859</v>
      </c>
      <c r="D21" s="4"/>
      <c r="E21" s="4">
        <v>83.5</v>
      </c>
      <c r="F21" s="4">
        <v>84.02</v>
      </c>
      <c r="G21" s="4">
        <v>82.41</v>
      </c>
      <c r="H21" s="4"/>
      <c r="I21" s="4"/>
      <c r="J21" s="4"/>
      <c r="K21" s="4"/>
      <c r="L21" s="4" t="s">
        <v>1998</v>
      </c>
      <c r="M21" s="4"/>
      <c r="N21" s="4"/>
      <c r="O21" s="4"/>
    </row>
    <row r="22" spans="1:15" x14ac:dyDescent="0.2">
      <c r="A22" s="8" t="s">
        <v>24</v>
      </c>
      <c r="B22" s="8" t="s">
        <v>860</v>
      </c>
      <c r="C22" s="8" t="s">
        <v>861</v>
      </c>
      <c r="D22" s="4"/>
      <c r="E22" s="4">
        <v>113.75</v>
      </c>
      <c r="F22" s="4">
        <v>113.19</v>
      </c>
      <c r="G22" s="4">
        <v>81.569999999999993</v>
      </c>
      <c r="H22" s="4"/>
      <c r="I22" s="4"/>
      <c r="J22" s="4"/>
      <c r="K22" s="4"/>
      <c r="L22" s="4" t="s">
        <v>1998</v>
      </c>
      <c r="M22" s="4"/>
      <c r="N22" s="4"/>
      <c r="O22" s="4"/>
    </row>
    <row r="23" spans="1:15" x14ac:dyDescent="0.2">
      <c r="A23" s="8" t="s">
        <v>24</v>
      </c>
      <c r="B23" s="8" t="s">
        <v>862</v>
      </c>
      <c r="C23" s="8" t="s">
        <v>863</v>
      </c>
      <c r="D23" s="4"/>
      <c r="E23" s="4">
        <v>83.06</v>
      </c>
      <c r="F23" s="4">
        <v>83.58</v>
      </c>
      <c r="G23" s="4">
        <v>112.34</v>
      </c>
      <c r="H23" s="4"/>
      <c r="I23" s="4"/>
      <c r="J23" s="4"/>
      <c r="K23" s="4"/>
      <c r="L23" s="4" t="s">
        <v>1998</v>
      </c>
      <c r="M23" s="4"/>
      <c r="N23" s="4"/>
      <c r="O23" s="4"/>
    </row>
    <row r="24" spans="1:15" x14ac:dyDescent="0.2">
      <c r="A24" s="8" t="s">
        <v>24</v>
      </c>
      <c r="B24" s="8" t="s">
        <v>864</v>
      </c>
      <c r="C24" s="8" t="s">
        <v>865</v>
      </c>
      <c r="D24" s="4"/>
      <c r="E24" s="4">
        <v>93.41</v>
      </c>
      <c r="F24" s="4">
        <v>93.06</v>
      </c>
      <c r="G24" s="4">
        <v>92.89</v>
      </c>
      <c r="H24" s="4"/>
      <c r="I24" s="4"/>
      <c r="J24" s="4"/>
      <c r="K24" s="4"/>
      <c r="L24" s="4" t="s">
        <v>1998</v>
      </c>
      <c r="M24" s="4"/>
      <c r="N24" s="4"/>
      <c r="O24" s="4"/>
    </row>
    <row r="25" spans="1:15" x14ac:dyDescent="0.2">
      <c r="A25" s="8" t="s">
        <v>24</v>
      </c>
      <c r="B25" s="8" t="s">
        <v>866</v>
      </c>
      <c r="C25" s="8" t="s">
        <v>867</v>
      </c>
      <c r="D25" s="4"/>
      <c r="E25" s="4">
        <v>120.43</v>
      </c>
      <c r="F25" s="4">
        <v>114.46</v>
      </c>
      <c r="G25" s="4">
        <v>85.61</v>
      </c>
      <c r="H25" s="4"/>
      <c r="I25" s="4"/>
      <c r="J25" s="4"/>
      <c r="K25" s="4"/>
      <c r="L25" s="4" t="s">
        <v>1998</v>
      </c>
      <c r="M25" s="4"/>
      <c r="N25" s="4"/>
      <c r="O25" s="4"/>
    </row>
    <row r="26" spans="1:15" x14ac:dyDescent="0.2">
      <c r="A26" s="8" t="s">
        <v>24</v>
      </c>
      <c r="B26" s="8" t="s">
        <v>868</v>
      </c>
      <c r="C26" s="8" t="s">
        <v>869</v>
      </c>
      <c r="D26" s="4"/>
      <c r="E26" s="4">
        <v>83.41</v>
      </c>
      <c r="F26" s="4">
        <v>85.74</v>
      </c>
      <c r="G26" s="4">
        <v>114.92</v>
      </c>
      <c r="H26" s="4"/>
      <c r="I26" s="4"/>
      <c r="J26" s="4"/>
      <c r="K26" s="4"/>
      <c r="L26" s="4" t="s">
        <v>1998</v>
      </c>
      <c r="M26" s="4"/>
      <c r="N26" s="4"/>
      <c r="O26" s="4"/>
    </row>
    <row r="27" spans="1:15" x14ac:dyDescent="0.2">
      <c r="A27" s="8" t="s">
        <v>24</v>
      </c>
      <c r="B27" s="8" t="s">
        <v>870</v>
      </c>
      <c r="C27" s="8" t="s">
        <v>871</v>
      </c>
      <c r="D27" s="4"/>
      <c r="E27" s="4">
        <v>83.44</v>
      </c>
      <c r="F27" s="4">
        <v>82.78</v>
      </c>
      <c r="G27" s="4">
        <v>81.12</v>
      </c>
      <c r="H27" s="4"/>
      <c r="I27" s="4"/>
      <c r="J27" s="4"/>
      <c r="K27" s="4"/>
      <c r="L27" s="4" t="s">
        <v>1998</v>
      </c>
      <c r="M27" s="4"/>
      <c r="N27" s="4"/>
      <c r="O27" s="4"/>
    </row>
    <row r="28" spans="1:15" x14ac:dyDescent="0.2">
      <c r="A28" s="8" t="s">
        <v>24</v>
      </c>
      <c r="B28" s="8" t="s">
        <v>872</v>
      </c>
      <c r="C28" s="8" t="s">
        <v>873</v>
      </c>
      <c r="D28" s="4"/>
      <c r="E28" s="4">
        <v>112.86</v>
      </c>
      <c r="F28" s="4">
        <v>115.8</v>
      </c>
      <c r="G28" s="4">
        <v>111.35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24</v>
      </c>
      <c r="B29" s="8" t="s">
        <v>874</v>
      </c>
      <c r="C29" s="8" t="s">
        <v>875</v>
      </c>
      <c r="D29" s="4"/>
      <c r="E29" s="4">
        <v>83.11</v>
      </c>
      <c r="F29" s="4">
        <v>82.97</v>
      </c>
      <c r="G29" s="4">
        <v>81.91</v>
      </c>
      <c r="H29" s="4"/>
      <c r="I29" s="4"/>
      <c r="J29" s="4"/>
      <c r="K29" s="4"/>
      <c r="L29" s="4" t="s">
        <v>1998</v>
      </c>
      <c r="M29" s="4"/>
      <c r="N29" s="4"/>
      <c r="O29" s="4"/>
    </row>
    <row r="30" spans="1:15" x14ac:dyDescent="0.2">
      <c r="A30" s="8" t="s">
        <v>24</v>
      </c>
      <c r="B30" s="8" t="s">
        <v>876</v>
      </c>
      <c r="C30" s="8" t="s">
        <v>877</v>
      </c>
      <c r="D30" s="4"/>
      <c r="E30" s="4">
        <v>31.99</v>
      </c>
      <c r="F30" s="4">
        <v>32.07</v>
      </c>
      <c r="G30" s="4">
        <v>30.96</v>
      </c>
      <c r="H30" s="4"/>
      <c r="I30" s="4"/>
      <c r="J30" s="4"/>
      <c r="K30" s="4"/>
      <c r="L30" s="4" t="s">
        <v>1998</v>
      </c>
      <c r="M30" s="4"/>
      <c r="N30" s="4"/>
      <c r="O30" s="4"/>
    </row>
    <row r="31" spans="1:15" x14ac:dyDescent="0.2">
      <c r="A31" s="8" t="s">
        <v>24</v>
      </c>
      <c r="B31" s="8" t="s">
        <v>878</v>
      </c>
      <c r="C31" s="8" t="s">
        <v>879</v>
      </c>
      <c r="D31" s="4"/>
      <c r="E31" s="4"/>
      <c r="F31" s="4">
        <v>35.21</v>
      </c>
      <c r="G31" s="4"/>
      <c r="H31" s="4"/>
      <c r="I31" s="4"/>
      <c r="J31" s="4"/>
      <c r="K31" s="4"/>
      <c r="L31" s="4" t="s">
        <v>1998</v>
      </c>
      <c r="M31" s="4"/>
      <c r="N31" s="4"/>
      <c r="O31" s="4"/>
    </row>
    <row r="32" spans="1:15" x14ac:dyDescent="0.2">
      <c r="A32" s="8" t="s">
        <v>24</v>
      </c>
      <c r="B32" s="8" t="s">
        <v>880</v>
      </c>
      <c r="C32" s="8" t="s">
        <v>881</v>
      </c>
      <c r="D32" s="4"/>
      <c r="E32" s="4">
        <v>116.42</v>
      </c>
      <c r="F32" s="4">
        <v>110.22</v>
      </c>
      <c r="G32" s="4">
        <v>85.31</v>
      </c>
      <c r="H32" s="4"/>
      <c r="I32" s="4"/>
      <c r="J32" s="4"/>
      <c r="K32" s="4"/>
      <c r="L32" s="4" t="s">
        <v>1998</v>
      </c>
      <c r="M32" s="4"/>
      <c r="N32" s="4"/>
      <c r="O32" s="4"/>
    </row>
  </sheetData>
  <mergeCells count="1">
    <mergeCell ref="E3:G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47"/>
  <sheetViews>
    <sheetView topLeftCell="A2" zoomScale="136" workbookViewId="0">
      <selection activeCell="K8" sqref="K8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SUM(E5:G47)</f>
        <v>12277.260000000002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2020</v>
      </c>
      <c r="B5" s="8" t="s">
        <v>882</v>
      </c>
      <c r="C5" s="8" t="s">
        <v>883</v>
      </c>
      <c r="D5" s="4"/>
      <c r="E5" s="4"/>
      <c r="F5" s="4">
        <v>78.599999999999994</v>
      </c>
      <c r="G5" s="4"/>
      <c r="H5" s="4" t="s">
        <v>63</v>
      </c>
      <c r="I5" s="4" t="s">
        <v>63</v>
      </c>
      <c r="J5" s="9" t="s">
        <v>63</v>
      </c>
      <c r="K5" s="4"/>
      <c r="L5" s="4"/>
      <c r="M5" s="4"/>
      <c r="N5" s="4"/>
      <c r="O5" s="4"/>
    </row>
    <row r="6" spans="1:15" x14ac:dyDescent="0.2">
      <c r="A6" s="8" t="s">
        <v>2020</v>
      </c>
      <c r="B6" s="8" t="s">
        <v>106</v>
      </c>
      <c r="C6" s="8" t="s">
        <v>884</v>
      </c>
      <c r="D6" s="4"/>
      <c r="E6" s="4"/>
      <c r="F6" s="4">
        <v>0.25</v>
      </c>
      <c r="G6" s="4"/>
      <c r="H6" s="9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2020</v>
      </c>
      <c r="B7" s="8" t="s">
        <v>106</v>
      </c>
      <c r="C7" s="8" t="s">
        <v>885</v>
      </c>
      <c r="D7" s="4"/>
      <c r="E7" s="4"/>
      <c r="F7" s="4">
        <v>1.01</v>
      </c>
      <c r="G7" s="4"/>
      <c r="H7" s="4"/>
      <c r="I7" s="9" t="s">
        <v>63</v>
      </c>
      <c r="J7" s="9" t="s">
        <v>63</v>
      </c>
      <c r="K7" s="9" t="s">
        <v>63</v>
      </c>
      <c r="L7" s="4"/>
      <c r="M7" s="4"/>
      <c r="N7" s="4"/>
      <c r="O7" s="4"/>
    </row>
    <row r="8" spans="1:15" x14ac:dyDescent="0.2">
      <c r="A8" s="8" t="s">
        <v>2020</v>
      </c>
      <c r="B8" s="8" t="s">
        <v>886</v>
      </c>
      <c r="C8" s="8" t="s">
        <v>887</v>
      </c>
      <c r="D8" s="4"/>
      <c r="E8" s="4"/>
      <c r="F8" s="4">
        <v>36.979999999999997</v>
      </c>
      <c r="G8" s="4"/>
      <c r="H8" s="4" t="s">
        <v>63</v>
      </c>
      <c r="I8" s="4" t="s">
        <v>63</v>
      </c>
      <c r="J8" s="9" t="s">
        <v>63</v>
      </c>
      <c r="K8" s="4" t="s">
        <v>63</v>
      </c>
      <c r="L8" s="4"/>
      <c r="M8" s="4"/>
      <c r="N8" s="4"/>
      <c r="O8" s="4"/>
    </row>
    <row r="9" spans="1:15" x14ac:dyDescent="0.2">
      <c r="A9" s="8" t="s">
        <v>2020</v>
      </c>
      <c r="B9" s="8" t="s">
        <v>888</v>
      </c>
      <c r="C9" s="8" t="s">
        <v>889</v>
      </c>
      <c r="D9" s="4"/>
      <c r="E9" s="4">
        <v>84.15</v>
      </c>
      <c r="F9" s="4">
        <v>106.67</v>
      </c>
      <c r="G9" s="4">
        <v>85.26</v>
      </c>
      <c r="H9" s="4" t="s">
        <v>1998</v>
      </c>
      <c r="I9" s="4" t="s">
        <v>1998</v>
      </c>
      <c r="J9" s="4" t="s">
        <v>1998</v>
      </c>
      <c r="K9" s="4" t="s">
        <v>1998</v>
      </c>
      <c r="L9" s="4"/>
      <c r="M9" s="4"/>
      <c r="N9" s="4"/>
      <c r="O9" s="4"/>
    </row>
    <row r="10" spans="1:15" x14ac:dyDescent="0.2">
      <c r="A10" s="8" t="s">
        <v>2020</v>
      </c>
      <c r="B10" s="8" t="s">
        <v>890</v>
      </c>
      <c r="C10" s="8" t="s">
        <v>891</v>
      </c>
      <c r="D10" s="4"/>
      <c r="E10" s="4">
        <v>119.57</v>
      </c>
      <c r="F10" s="4">
        <v>85.42</v>
      </c>
      <c r="G10" s="4">
        <v>83.09</v>
      </c>
      <c r="H10" s="4" t="s">
        <v>1998</v>
      </c>
      <c r="I10" s="4" t="s">
        <v>1998</v>
      </c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2020</v>
      </c>
      <c r="B11" s="8" t="s">
        <v>892</v>
      </c>
      <c r="C11" s="8" t="s">
        <v>893</v>
      </c>
      <c r="D11" s="4"/>
      <c r="E11" s="4">
        <v>84.35</v>
      </c>
      <c r="F11" s="4">
        <v>84.34</v>
      </c>
      <c r="G11" s="4">
        <v>116.5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2020</v>
      </c>
      <c r="B12" s="8" t="s">
        <v>894</v>
      </c>
      <c r="C12" s="8" t="s">
        <v>895</v>
      </c>
      <c r="D12" s="4"/>
      <c r="E12" s="4">
        <v>83.95</v>
      </c>
      <c r="F12" s="4">
        <v>84.49</v>
      </c>
      <c r="G12" s="4">
        <v>82.7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2020</v>
      </c>
      <c r="B13" s="8" t="s">
        <v>896</v>
      </c>
      <c r="C13" s="8" t="s">
        <v>897</v>
      </c>
      <c r="D13" s="4"/>
      <c r="E13" s="4">
        <v>83.54</v>
      </c>
      <c r="F13" s="4">
        <v>125.29</v>
      </c>
      <c r="G13" s="4">
        <v>82.56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2020</v>
      </c>
      <c r="B14" s="8" t="s">
        <v>898</v>
      </c>
      <c r="C14" s="8" t="s">
        <v>899</v>
      </c>
      <c r="D14" s="4"/>
      <c r="E14" s="4">
        <v>123.53</v>
      </c>
      <c r="F14" s="4">
        <v>83.94</v>
      </c>
      <c r="G14" s="4">
        <v>122.3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2020</v>
      </c>
      <c r="B15" s="8" t="s">
        <v>900</v>
      </c>
      <c r="C15" s="8" t="s">
        <v>901</v>
      </c>
      <c r="D15" s="4"/>
      <c r="E15" s="4">
        <v>85.13</v>
      </c>
      <c r="F15" s="4">
        <v>84.31</v>
      </c>
      <c r="G15" s="4">
        <v>83.88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2020</v>
      </c>
      <c r="B16" s="8" t="s">
        <v>902</v>
      </c>
      <c r="C16" s="8" t="s">
        <v>903</v>
      </c>
      <c r="D16" s="4"/>
      <c r="E16" s="4">
        <v>122.64</v>
      </c>
      <c r="F16" s="4">
        <v>155.47</v>
      </c>
      <c r="G16" s="4">
        <v>121.49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2020</v>
      </c>
      <c r="B17" s="8" t="s">
        <v>904</v>
      </c>
      <c r="C17" s="8" t="s">
        <v>905</v>
      </c>
      <c r="D17" s="4"/>
      <c r="E17" s="4">
        <v>128.02000000000001</v>
      </c>
      <c r="F17" s="4">
        <v>94.69</v>
      </c>
      <c r="G17" s="4">
        <v>86.97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2020</v>
      </c>
      <c r="B18" s="8" t="s">
        <v>906</v>
      </c>
      <c r="C18" s="8" t="s">
        <v>907</v>
      </c>
      <c r="D18" s="4"/>
      <c r="E18" s="4">
        <v>87.83</v>
      </c>
      <c r="F18" s="4">
        <v>87.07</v>
      </c>
      <c r="G18" s="4">
        <v>128.58000000000001</v>
      </c>
      <c r="H18" s="4" t="s">
        <v>1998</v>
      </c>
      <c r="I18" s="4" t="s">
        <v>1998</v>
      </c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2020</v>
      </c>
      <c r="B19" s="8" t="s">
        <v>908</v>
      </c>
      <c r="C19" s="8" t="s">
        <v>909</v>
      </c>
      <c r="D19" s="4"/>
      <c r="E19" s="4">
        <v>87.77</v>
      </c>
      <c r="F19" s="4">
        <v>86.86</v>
      </c>
      <c r="G19" s="4">
        <v>87.18</v>
      </c>
      <c r="H19" s="4" t="s">
        <v>1998</v>
      </c>
      <c r="I19" s="4" t="s">
        <v>1998</v>
      </c>
      <c r="J19" s="4" t="s">
        <v>1998</v>
      </c>
      <c r="K19" s="4" t="s">
        <v>1998</v>
      </c>
      <c r="L19" s="4"/>
      <c r="M19" s="4"/>
      <c r="N19" s="4"/>
      <c r="O19" s="4"/>
    </row>
    <row r="20" spans="1:15" x14ac:dyDescent="0.2">
      <c r="A20" s="8" t="s">
        <v>2020</v>
      </c>
      <c r="B20" s="8" t="s">
        <v>910</v>
      </c>
      <c r="C20" s="8" t="s">
        <v>911</v>
      </c>
      <c r="D20" s="4"/>
      <c r="E20" s="4">
        <v>26.62</v>
      </c>
      <c r="F20" s="4">
        <v>25.59</v>
      </c>
      <c r="G20" s="4">
        <v>25.03</v>
      </c>
      <c r="H20" s="4" t="s">
        <v>1998</v>
      </c>
      <c r="I20" s="4" t="s">
        <v>1998</v>
      </c>
      <c r="J20" s="4" t="s">
        <v>1998</v>
      </c>
      <c r="K20" s="4" t="s">
        <v>1998</v>
      </c>
      <c r="L20" s="4"/>
      <c r="M20" s="4"/>
      <c r="N20" s="4"/>
      <c r="O20" s="4"/>
    </row>
    <row r="21" spans="1:15" x14ac:dyDescent="0.2">
      <c r="A21" s="8" t="s">
        <v>2020</v>
      </c>
      <c r="B21" s="8" t="s">
        <v>912</v>
      </c>
      <c r="C21" s="8" t="s">
        <v>913</v>
      </c>
      <c r="D21" s="4"/>
      <c r="E21" s="4">
        <v>16.04</v>
      </c>
      <c r="F21" s="4">
        <v>16.11</v>
      </c>
      <c r="G21" s="4">
        <v>15.94</v>
      </c>
      <c r="H21" s="4" t="s">
        <v>1998</v>
      </c>
      <c r="I21" s="4" t="s">
        <v>1998</v>
      </c>
      <c r="J21" s="4" t="s">
        <v>1998</v>
      </c>
      <c r="K21" s="4" t="s">
        <v>1998</v>
      </c>
      <c r="L21" s="4"/>
      <c r="M21" s="4"/>
      <c r="N21" s="4"/>
      <c r="O21" s="4"/>
    </row>
    <row r="22" spans="1:15" x14ac:dyDescent="0.2">
      <c r="A22" s="8" t="s">
        <v>2020</v>
      </c>
      <c r="B22" s="8" t="s">
        <v>914</v>
      </c>
      <c r="C22" s="8" t="s">
        <v>915</v>
      </c>
      <c r="D22" s="4"/>
      <c r="E22" s="4">
        <v>15.6</v>
      </c>
      <c r="F22" s="4">
        <v>48.09</v>
      </c>
      <c r="G22" s="4">
        <v>15.46</v>
      </c>
      <c r="H22" s="4" t="s">
        <v>1998</v>
      </c>
      <c r="I22" s="4" t="s">
        <v>1998</v>
      </c>
      <c r="J22" s="4" t="s">
        <v>1998</v>
      </c>
      <c r="K22" s="4" t="s">
        <v>1998</v>
      </c>
      <c r="L22" s="4"/>
      <c r="M22" s="4"/>
      <c r="N22" s="4"/>
      <c r="O22" s="4"/>
    </row>
    <row r="23" spans="1:15" x14ac:dyDescent="0.2">
      <c r="A23" s="8" t="s">
        <v>2020</v>
      </c>
      <c r="B23" s="8" t="s">
        <v>916</v>
      </c>
      <c r="C23" s="8" t="s">
        <v>917</v>
      </c>
      <c r="D23" s="4"/>
      <c r="E23" s="4">
        <v>196.45</v>
      </c>
      <c r="F23" s="4">
        <v>171.4</v>
      </c>
      <c r="G23" s="4">
        <v>194.82</v>
      </c>
      <c r="H23" s="4"/>
      <c r="I23" s="4"/>
      <c r="J23" s="4"/>
      <c r="K23" s="4"/>
      <c r="L23" s="4" t="s">
        <v>1998</v>
      </c>
      <c r="M23" s="4"/>
      <c r="N23" s="4"/>
      <c r="O23" s="4"/>
    </row>
    <row r="24" spans="1:15" x14ac:dyDescent="0.2">
      <c r="A24" s="8" t="s">
        <v>2020</v>
      </c>
      <c r="B24" s="8" t="s">
        <v>918</v>
      </c>
      <c r="C24" s="8" t="s">
        <v>919</v>
      </c>
      <c r="D24" s="4"/>
      <c r="E24" s="4">
        <v>203.4</v>
      </c>
      <c r="F24" s="4">
        <v>204.33</v>
      </c>
      <c r="G24" s="4">
        <v>201.77</v>
      </c>
      <c r="H24" s="4"/>
      <c r="I24" s="4"/>
      <c r="J24" s="4"/>
      <c r="K24" s="4"/>
      <c r="L24" s="4" t="s">
        <v>1998</v>
      </c>
      <c r="M24" s="4"/>
      <c r="N24" s="4"/>
      <c r="O24" s="4"/>
    </row>
    <row r="25" spans="1:15" x14ac:dyDescent="0.2">
      <c r="A25" s="8" t="s">
        <v>2020</v>
      </c>
      <c r="B25" s="8" t="s">
        <v>920</v>
      </c>
      <c r="C25" s="8" t="s">
        <v>921</v>
      </c>
      <c r="D25" s="4"/>
      <c r="E25" s="4">
        <v>106.08</v>
      </c>
      <c r="F25" s="4">
        <v>136.46</v>
      </c>
      <c r="G25" s="4">
        <v>103.31</v>
      </c>
      <c r="H25" s="4"/>
      <c r="I25" s="4"/>
      <c r="J25" s="4"/>
      <c r="K25" s="4"/>
      <c r="L25" s="4" t="s">
        <v>1998</v>
      </c>
      <c r="M25" s="4"/>
      <c r="N25" s="4"/>
      <c r="O25" s="4"/>
    </row>
    <row r="26" spans="1:15" x14ac:dyDescent="0.2">
      <c r="A26" s="8" t="s">
        <v>2020</v>
      </c>
      <c r="B26" s="8" t="s">
        <v>922</v>
      </c>
      <c r="C26" s="8" t="s">
        <v>923</v>
      </c>
      <c r="D26" s="4"/>
      <c r="E26" s="4">
        <v>136.55000000000001</v>
      </c>
      <c r="F26" s="4">
        <v>105.04</v>
      </c>
      <c r="G26" s="4">
        <v>137.25</v>
      </c>
      <c r="H26" s="4"/>
      <c r="I26" s="4"/>
      <c r="J26" s="4"/>
      <c r="K26" s="4"/>
      <c r="L26" s="4" t="s">
        <v>1998</v>
      </c>
      <c r="M26" s="4"/>
      <c r="N26" s="4"/>
      <c r="O26" s="4"/>
    </row>
    <row r="27" spans="1:15" x14ac:dyDescent="0.2">
      <c r="A27" s="8" t="s">
        <v>2020</v>
      </c>
      <c r="B27" s="8" t="s">
        <v>924</v>
      </c>
      <c r="C27" s="8" t="s">
        <v>925</v>
      </c>
      <c r="D27" s="4"/>
      <c r="E27" s="4">
        <v>104.95</v>
      </c>
      <c r="F27" s="4">
        <v>104.11</v>
      </c>
      <c r="G27" s="4">
        <v>102.75</v>
      </c>
      <c r="H27" s="4"/>
      <c r="I27" s="4"/>
      <c r="J27" s="4"/>
      <c r="K27" s="4"/>
      <c r="L27" s="4" t="s">
        <v>1998</v>
      </c>
      <c r="M27" s="4"/>
      <c r="N27" s="4"/>
      <c r="O27" s="4"/>
    </row>
    <row r="28" spans="1:15" x14ac:dyDescent="0.2">
      <c r="A28" s="8" t="s">
        <v>2020</v>
      </c>
      <c r="B28" s="8" t="s">
        <v>926</v>
      </c>
      <c r="C28" s="8" t="s">
        <v>927</v>
      </c>
      <c r="D28" s="4"/>
      <c r="E28" s="4">
        <v>144.49</v>
      </c>
      <c r="F28" s="4">
        <v>138.33000000000001</v>
      </c>
      <c r="G28" s="4">
        <v>137.61000000000001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2020</v>
      </c>
      <c r="B29" s="8" t="s">
        <v>928</v>
      </c>
      <c r="C29" s="8" t="s">
        <v>929</v>
      </c>
      <c r="D29" s="4"/>
      <c r="E29" s="4">
        <v>105.45</v>
      </c>
      <c r="F29" s="4">
        <v>104.82</v>
      </c>
      <c r="G29" s="4">
        <v>103.83</v>
      </c>
      <c r="H29" s="4"/>
      <c r="I29" s="4"/>
      <c r="J29" s="4"/>
      <c r="K29" s="4"/>
      <c r="L29" s="4" t="s">
        <v>1998</v>
      </c>
      <c r="M29" s="4"/>
      <c r="N29" s="4"/>
      <c r="O29" s="4"/>
    </row>
    <row r="30" spans="1:15" x14ac:dyDescent="0.2">
      <c r="A30" s="8" t="s">
        <v>2020</v>
      </c>
      <c r="B30" s="8" t="s">
        <v>930</v>
      </c>
      <c r="C30" s="8" t="s">
        <v>931</v>
      </c>
      <c r="D30" s="4"/>
      <c r="E30" s="4">
        <v>138.18</v>
      </c>
      <c r="F30" s="4">
        <v>140.35</v>
      </c>
      <c r="G30" s="4">
        <v>103.3</v>
      </c>
      <c r="H30" s="4"/>
      <c r="I30" s="4"/>
      <c r="J30" s="4"/>
      <c r="K30" s="4"/>
      <c r="L30" s="4" t="s">
        <v>1998</v>
      </c>
      <c r="M30" s="4"/>
      <c r="N30" s="4"/>
      <c r="O30" s="4"/>
    </row>
    <row r="31" spans="1:15" x14ac:dyDescent="0.2">
      <c r="A31" s="8" t="s">
        <v>2020</v>
      </c>
      <c r="B31" s="8" t="s">
        <v>932</v>
      </c>
      <c r="C31" s="8" t="s">
        <v>933</v>
      </c>
      <c r="D31" s="4"/>
      <c r="E31" s="4">
        <v>104.41</v>
      </c>
      <c r="F31" s="4">
        <v>104.12</v>
      </c>
      <c r="G31" s="4">
        <v>139.94</v>
      </c>
      <c r="H31" s="4"/>
      <c r="I31" s="4"/>
      <c r="J31" s="4"/>
      <c r="K31" s="4"/>
      <c r="L31" s="4" t="s">
        <v>1998</v>
      </c>
      <c r="M31" s="4"/>
      <c r="N31" s="4"/>
      <c r="O31" s="4"/>
    </row>
    <row r="32" spans="1:15" x14ac:dyDescent="0.2">
      <c r="A32" s="8" t="s">
        <v>2020</v>
      </c>
      <c r="B32" s="8" t="s">
        <v>934</v>
      </c>
      <c r="C32" s="8" t="s">
        <v>935</v>
      </c>
      <c r="D32" s="4"/>
      <c r="E32" s="4">
        <v>104.55</v>
      </c>
      <c r="F32" s="4">
        <v>140.55000000000001</v>
      </c>
      <c r="G32" s="4">
        <v>103.25</v>
      </c>
      <c r="H32" s="4"/>
      <c r="I32" s="4"/>
      <c r="J32" s="4"/>
      <c r="K32" s="4"/>
      <c r="L32" s="4" t="s">
        <v>1998</v>
      </c>
      <c r="M32" s="4"/>
      <c r="N32" s="4"/>
      <c r="O32" s="4"/>
    </row>
    <row r="33" spans="1:15" x14ac:dyDescent="0.2">
      <c r="A33" s="8" t="s">
        <v>2020</v>
      </c>
      <c r="B33" s="8" t="s">
        <v>936</v>
      </c>
      <c r="C33" s="8" t="s">
        <v>937</v>
      </c>
      <c r="D33" s="4"/>
      <c r="E33" s="4">
        <v>138.43</v>
      </c>
      <c r="F33" s="4">
        <v>104.87</v>
      </c>
      <c r="G33" s="4">
        <v>139.47</v>
      </c>
      <c r="H33" s="4"/>
      <c r="I33" s="4"/>
      <c r="J33" s="4"/>
      <c r="K33" s="4"/>
      <c r="L33" s="4" t="s">
        <v>1998</v>
      </c>
      <c r="M33" s="4"/>
      <c r="N33" s="4"/>
      <c r="O33" s="4"/>
    </row>
    <row r="34" spans="1:15" x14ac:dyDescent="0.2">
      <c r="A34" s="8" t="s">
        <v>2020</v>
      </c>
      <c r="B34" s="8" t="s">
        <v>938</v>
      </c>
      <c r="C34" s="8" t="s">
        <v>939</v>
      </c>
      <c r="D34" s="4"/>
      <c r="E34" s="4">
        <v>105.87</v>
      </c>
      <c r="F34" s="4">
        <v>104.62</v>
      </c>
      <c r="G34" s="4">
        <v>103.37</v>
      </c>
      <c r="H34" s="4"/>
      <c r="I34" s="4"/>
      <c r="J34" s="4"/>
      <c r="K34" s="4"/>
      <c r="L34" s="4" t="s">
        <v>1998</v>
      </c>
      <c r="M34" s="4"/>
      <c r="N34" s="4"/>
      <c r="O34" s="4"/>
    </row>
    <row r="35" spans="1:15" x14ac:dyDescent="0.2">
      <c r="A35" s="8" t="s">
        <v>2020</v>
      </c>
      <c r="B35" s="8" t="s">
        <v>940</v>
      </c>
      <c r="C35" s="8" t="s">
        <v>941</v>
      </c>
      <c r="D35" s="4"/>
      <c r="E35" s="4">
        <v>141.97</v>
      </c>
      <c r="F35" s="4">
        <v>137.55000000000001</v>
      </c>
      <c r="G35" s="4">
        <v>137.91</v>
      </c>
      <c r="H35" s="4"/>
      <c r="I35" s="4"/>
      <c r="J35" s="4"/>
      <c r="K35" s="4"/>
      <c r="L35" s="4" t="s">
        <v>1998</v>
      </c>
      <c r="M35" s="4"/>
      <c r="N35" s="4"/>
      <c r="O35" s="4"/>
    </row>
    <row r="36" spans="1:15" x14ac:dyDescent="0.2">
      <c r="A36" s="8" t="s">
        <v>2020</v>
      </c>
      <c r="B36" s="8" t="s">
        <v>942</v>
      </c>
      <c r="C36" s="8" t="s">
        <v>943</v>
      </c>
      <c r="D36" s="4"/>
      <c r="E36" s="4">
        <v>104.36</v>
      </c>
      <c r="F36" s="4">
        <v>104.15</v>
      </c>
      <c r="G36" s="4">
        <v>103.75</v>
      </c>
      <c r="H36" s="4"/>
      <c r="I36" s="4"/>
      <c r="J36" s="4"/>
      <c r="K36" s="4"/>
      <c r="L36" s="4" t="s">
        <v>1998</v>
      </c>
      <c r="M36" s="4"/>
      <c r="N36" s="4"/>
      <c r="O36" s="4"/>
    </row>
    <row r="37" spans="1:15" x14ac:dyDescent="0.2">
      <c r="A37" s="8" t="s">
        <v>2020</v>
      </c>
      <c r="B37" s="8" t="s">
        <v>944</v>
      </c>
      <c r="C37" s="8" t="s">
        <v>945</v>
      </c>
      <c r="D37" s="4"/>
      <c r="E37" s="4">
        <v>132.49</v>
      </c>
      <c r="F37" s="4">
        <v>141.74</v>
      </c>
      <c r="G37" s="4">
        <v>100.61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2020</v>
      </c>
      <c r="B38" s="8" t="s">
        <v>946</v>
      </c>
      <c r="C38" s="8" t="s">
        <v>947</v>
      </c>
      <c r="D38" s="4"/>
      <c r="E38" s="4">
        <v>100.54</v>
      </c>
      <c r="F38" s="4">
        <v>102.45</v>
      </c>
      <c r="G38" s="4">
        <v>130.99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2020</v>
      </c>
      <c r="B39" s="8" t="s">
        <v>948</v>
      </c>
      <c r="C39" s="8" t="s">
        <v>949</v>
      </c>
      <c r="D39" s="4"/>
      <c r="E39" s="4">
        <v>108.32</v>
      </c>
      <c r="F39" s="4">
        <v>143.07</v>
      </c>
      <c r="G39" s="4">
        <v>107.82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2020</v>
      </c>
      <c r="B40" s="8" t="s">
        <v>950</v>
      </c>
      <c r="C40" s="8" t="s">
        <v>951</v>
      </c>
      <c r="D40" s="4"/>
      <c r="E40" s="4">
        <v>140.13999999999999</v>
      </c>
      <c r="F40" s="4">
        <v>108.62</v>
      </c>
      <c r="G40" s="4">
        <v>144.34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2020</v>
      </c>
      <c r="B41" s="8" t="s">
        <v>952</v>
      </c>
      <c r="C41" s="8" t="s">
        <v>953</v>
      </c>
      <c r="D41" s="4"/>
      <c r="E41" s="4">
        <v>108.44</v>
      </c>
      <c r="F41" s="4">
        <v>139.38</v>
      </c>
      <c r="G41" s="4">
        <v>108.04</v>
      </c>
      <c r="H41" s="4"/>
      <c r="I41" s="4"/>
      <c r="J41" s="4"/>
      <c r="K41" s="4"/>
      <c r="L41" s="4" t="s">
        <v>1998</v>
      </c>
      <c r="M41" s="4"/>
      <c r="N41" s="4"/>
      <c r="O41" s="4"/>
    </row>
    <row r="42" spans="1:15" x14ac:dyDescent="0.2">
      <c r="A42" s="8" t="s">
        <v>2020</v>
      </c>
      <c r="B42" s="8" t="s">
        <v>954</v>
      </c>
      <c r="C42" s="8" t="s">
        <v>955</v>
      </c>
      <c r="D42" s="4"/>
      <c r="E42" s="4">
        <v>143.36000000000001</v>
      </c>
      <c r="F42" s="4">
        <v>111.6</v>
      </c>
      <c r="G42" s="4">
        <v>141.68</v>
      </c>
      <c r="H42" s="4"/>
      <c r="I42" s="4"/>
      <c r="J42" s="4"/>
      <c r="K42" s="4"/>
      <c r="L42" s="4" t="s">
        <v>1998</v>
      </c>
      <c r="M42" s="4"/>
      <c r="N42" s="4"/>
      <c r="O42" s="4"/>
    </row>
    <row r="43" spans="1:15" x14ac:dyDescent="0.2">
      <c r="A43" s="8" t="s">
        <v>2020</v>
      </c>
      <c r="B43" s="8" t="s">
        <v>956</v>
      </c>
      <c r="C43" s="8" t="s">
        <v>957</v>
      </c>
      <c r="D43" s="4"/>
      <c r="E43" s="4">
        <v>107.75</v>
      </c>
      <c r="F43" s="4">
        <v>108.05</v>
      </c>
      <c r="G43" s="4">
        <v>106.93</v>
      </c>
      <c r="H43" s="4"/>
      <c r="I43" s="4"/>
      <c r="J43" s="4"/>
      <c r="K43" s="4"/>
      <c r="L43" s="4" t="s">
        <v>1998</v>
      </c>
      <c r="M43" s="4"/>
      <c r="N43" s="4"/>
      <c r="O43" s="4"/>
    </row>
    <row r="44" spans="1:15" x14ac:dyDescent="0.2">
      <c r="A44" s="8" t="s">
        <v>2020</v>
      </c>
      <c r="B44" s="8" t="s">
        <v>958</v>
      </c>
      <c r="C44" s="8" t="s">
        <v>959</v>
      </c>
      <c r="D44" s="4"/>
      <c r="E44" s="4">
        <v>146.1</v>
      </c>
      <c r="F44" s="4">
        <v>141.93</v>
      </c>
      <c r="G44" s="4">
        <v>106.58</v>
      </c>
      <c r="H44" s="4"/>
      <c r="I44" s="4"/>
      <c r="J44" s="4"/>
      <c r="K44" s="4"/>
      <c r="L44" s="4" t="s">
        <v>1998</v>
      </c>
      <c r="M44" s="4"/>
      <c r="N44" s="4"/>
      <c r="O44" s="4"/>
    </row>
    <row r="45" spans="1:15" x14ac:dyDescent="0.2">
      <c r="A45" s="8" t="s">
        <v>2020</v>
      </c>
      <c r="B45" s="8" t="s">
        <v>960</v>
      </c>
      <c r="C45" s="8" t="s">
        <v>961</v>
      </c>
      <c r="D45" s="4"/>
      <c r="E45" s="4">
        <v>34.04</v>
      </c>
      <c r="F45" s="4">
        <v>34.04</v>
      </c>
      <c r="G45" s="4">
        <v>65.650000000000006</v>
      </c>
      <c r="H45" s="4"/>
      <c r="I45" s="4"/>
      <c r="J45" s="4"/>
      <c r="K45" s="4"/>
      <c r="L45" s="4" t="s">
        <v>1998</v>
      </c>
      <c r="M45" s="4"/>
      <c r="N45" s="4"/>
      <c r="O45" s="4"/>
    </row>
    <row r="46" spans="1:15" x14ac:dyDescent="0.2">
      <c r="A46" s="8" t="s">
        <v>2020</v>
      </c>
      <c r="B46" s="8" t="s">
        <v>962</v>
      </c>
      <c r="C46" s="8" t="s">
        <v>963</v>
      </c>
      <c r="D46" s="4"/>
      <c r="E46" s="4">
        <v>32.6</v>
      </c>
      <c r="F46" s="4">
        <v>32.21</v>
      </c>
      <c r="G46" s="4">
        <v>32</v>
      </c>
      <c r="H46" s="4"/>
      <c r="I46" s="4"/>
      <c r="J46" s="4"/>
      <c r="K46" s="4"/>
      <c r="L46" s="4" t="s">
        <v>1998</v>
      </c>
      <c r="M46" s="4"/>
      <c r="N46" s="4"/>
      <c r="O46" s="4"/>
    </row>
    <row r="47" spans="1:15" x14ac:dyDescent="0.2">
      <c r="A47" s="8" t="s">
        <v>2020</v>
      </c>
      <c r="B47" s="8" t="s">
        <v>964</v>
      </c>
      <c r="C47" s="8" t="s">
        <v>965</v>
      </c>
      <c r="D47" s="4"/>
      <c r="E47" s="4">
        <v>33.21</v>
      </c>
      <c r="F47" s="4">
        <v>31.89</v>
      </c>
      <c r="G47" s="4">
        <v>31.62</v>
      </c>
      <c r="H47" s="4"/>
      <c r="I47" s="4"/>
      <c r="J47" s="4"/>
      <c r="K47" s="4"/>
      <c r="L47" s="4" t="s">
        <v>1998</v>
      </c>
      <c r="M47" s="4"/>
      <c r="N47" s="4"/>
      <c r="O47" s="4"/>
    </row>
  </sheetData>
  <mergeCells count="1">
    <mergeCell ref="E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O27"/>
  <sheetViews>
    <sheetView workbookViewId="0"/>
  </sheetViews>
  <sheetFormatPr baseColWidth="10" defaultColWidth="8.83203125" defaultRowHeight="15" x14ac:dyDescent="0.2"/>
  <cols>
    <col min="1" max="1" width="18" customWidth="1"/>
    <col min="2" max="2" width="25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SUM(E5:G27)</f>
        <v>6781.74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26</v>
      </c>
      <c r="B5" s="8" t="s">
        <v>966</v>
      </c>
      <c r="C5" s="8" t="s">
        <v>967</v>
      </c>
      <c r="D5" s="4"/>
      <c r="E5" s="4">
        <v>116.6</v>
      </c>
      <c r="F5" s="4">
        <v>84.24</v>
      </c>
      <c r="G5" s="4">
        <v>82.9</v>
      </c>
      <c r="H5" s="4" t="s">
        <v>1998</v>
      </c>
      <c r="I5" s="4" t="s">
        <v>1998</v>
      </c>
      <c r="J5" s="4" t="s">
        <v>1998</v>
      </c>
      <c r="K5" s="4" t="s">
        <v>1998</v>
      </c>
      <c r="L5" s="4"/>
      <c r="M5" s="4"/>
      <c r="N5" s="4"/>
      <c r="O5" s="4"/>
    </row>
    <row r="6" spans="1:15" x14ac:dyDescent="0.2">
      <c r="A6" s="8" t="s">
        <v>26</v>
      </c>
      <c r="B6" s="8" t="s">
        <v>968</v>
      </c>
      <c r="C6" s="8" t="s">
        <v>969</v>
      </c>
      <c r="D6" s="4"/>
      <c r="E6" s="4">
        <v>81.92</v>
      </c>
      <c r="F6" s="4">
        <v>80.94</v>
      </c>
      <c r="G6" s="4">
        <v>79.930000000000007</v>
      </c>
      <c r="H6" s="4" t="s">
        <v>1998</v>
      </c>
      <c r="I6" s="4" t="s">
        <v>1998</v>
      </c>
      <c r="J6" s="4" t="s">
        <v>1998</v>
      </c>
      <c r="K6" s="4" t="s">
        <v>1998</v>
      </c>
      <c r="L6" s="4"/>
      <c r="M6" s="4"/>
      <c r="N6" s="4"/>
      <c r="O6" s="4"/>
    </row>
    <row r="7" spans="1:15" x14ac:dyDescent="0.2">
      <c r="A7" s="8" t="s">
        <v>26</v>
      </c>
      <c r="B7" s="8" t="s">
        <v>970</v>
      </c>
      <c r="C7" s="8" t="s">
        <v>971</v>
      </c>
      <c r="D7" s="4"/>
      <c r="E7" s="4">
        <v>81.510000000000005</v>
      </c>
      <c r="F7" s="4">
        <v>119.09</v>
      </c>
      <c r="G7" s="4">
        <v>79.63</v>
      </c>
      <c r="H7" s="4" t="s">
        <v>1998</v>
      </c>
      <c r="I7" s="4" t="s">
        <v>1998</v>
      </c>
      <c r="J7" s="4" t="s">
        <v>1998</v>
      </c>
      <c r="K7" s="4" t="s">
        <v>1998</v>
      </c>
      <c r="L7" s="4"/>
      <c r="M7" s="4"/>
      <c r="N7" s="4"/>
      <c r="O7" s="4"/>
    </row>
    <row r="8" spans="1:15" x14ac:dyDescent="0.2">
      <c r="A8" s="8" t="s">
        <v>26</v>
      </c>
      <c r="B8" s="8" t="s">
        <v>972</v>
      </c>
      <c r="C8" s="8" t="s">
        <v>973</v>
      </c>
      <c r="D8" s="4"/>
      <c r="E8" s="4">
        <v>82.44</v>
      </c>
      <c r="F8" s="4">
        <v>81.650000000000006</v>
      </c>
      <c r="G8" s="4">
        <v>117.66</v>
      </c>
      <c r="H8" s="4" t="s">
        <v>1998</v>
      </c>
      <c r="I8" s="4" t="s">
        <v>1998</v>
      </c>
      <c r="J8" s="4" t="s">
        <v>1998</v>
      </c>
      <c r="K8" s="4" t="s">
        <v>1998</v>
      </c>
      <c r="L8" s="4"/>
      <c r="M8" s="4"/>
      <c r="N8" s="4"/>
      <c r="O8" s="4"/>
    </row>
    <row r="9" spans="1:15" x14ac:dyDescent="0.2">
      <c r="A9" s="8" t="s">
        <v>26</v>
      </c>
      <c r="B9" s="8" t="s">
        <v>974</v>
      </c>
      <c r="C9" s="8" t="s">
        <v>975</v>
      </c>
      <c r="D9" s="4"/>
      <c r="E9" s="4">
        <v>135.35</v>
      </c>
      <c r="F9" s="4">
        <v>95.87</v>
      </c>
      <c r="G9" s="4">
        <v>95.46</v>
      </c>
      <c r="H9" s="4" t="s">
        <v>1998</v>
      </c>
      <c r="I9" s="4" t="s">
        <v>1998</v>
      </c>
      <c r="J9" s="4" t="s">
        <v>1998</v>
      </c>
      <c r="K9" s="4" t="s">
        <v>1998</v>
      </c>
      <c r="L9" s="4"/>
      <c r="M9" s="4"/>
      <c r="N9" s="4"/>
      <c r="O9" s="4"/>
    </row>
    <row r="10" spans="1:15" x14ac:dyDescent="0.2">
      <c r="A10" s="8" t="s">
        <v>26</v>
      </c>
      <c r="B10" s="8" t="s">
        <v>976</v>
      </c>
      <c r="C10" s="8" t="s">
        <v>977</v>
      </c>
      <c r="D10" s="4"/>
      <c r="E10" s="4">
        <v>25.84</v>
      </c>
      <c r="F10" s="4">
        <v>26.14</v>
      </c>
      <c r="G10" s="4">
        <v>24.98</v>
      </c>
      <c r="H10" s="4" t="s">
        <v>1998</v>
      </c>
      <c r="I10" s="4" t="s">
        <v>1998</v>
      </c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26</v>
      </c>
      <c r="B11" s="8" t="s">
        <v>978</v>
      </c>
      <c r="C11" s="8" t="s">
        <v>979</v>
      </c>
      <c r="D11" s="4"/>
      <c r="E11" s="4">
        <v>15.58</v>
      </c>
      <c r="F11" s="4">
        <v>15.75</v>
      </c>
      <c r="G11" s="4">
        <v>15.66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26</v>
      </c>
      <c r="B12" s="8" t="s">
        <v>980</v>
      </c>
      <c r="C12" s="8" t="s">
        <v>981</v>
      </c>
      <c r="D12" s="4"/>
      <c r="E12" s="4">
        <v>28.7</v>
      </c>
      <c r="F12" s="4">
        <v>28.9</v>
      </c>
      <c r="G12" s="4">
        <v>28.75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26</v>
      </c>
      <c r="B13" s="8" t="s">
        <v>982</v>
      </c>
      <c r="C13" s="8" t="s">
        <v>983</v>
      </c>
      <c r="D13" s="4"/>
      <c r="E13" s="4">
        <v>23.12</v>
      </c>
      <c r="F13" s="4">
        <v>22.95</v>
      </c>
      <c r="G13" s="4">
        <v>23.13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26</v>
      </c>
      <c r="B14" s="8" t="s">
        <v>984</v>
      </c>
      <c r="C14" s="8" t="s">
        <v>985</v>
      </c>
      <c r="D14" s="4"/>
      <c r="E14" s="4"/>
      <c r="F14" s="4">
        <v>145.69999999999999</v>
      </c>
      <c r="G14" s="4"/>
      <c r="H14" s="4"/>
      <c r="I14" s="4"/>
      <c r="J14" s="4"/>
      <c r="K14" s="4"/>
      <c r="L14" s="4" t="s">
        <v>1998</v>
      </c>
      <c r="M14" s="4"/>
      <c r="N14" s="4"/>
      <c r="O14" s="4"/>
    </row>
    <row r="15" spans="1:15" x14ac:dyDescent="0.2">
      <c r="A15" s="8" t="s">
        <v>26</v>
      </c>
      <c r="B15" s="8" t="s">
        <v>986</v>
      </c>
      <c r="C15" s="8" t="s">
        <v>987</v>
      </c>
      <c r="D15" s="4"/>
      <c r="E15" s="4">
        <v>100.97</v>
      </c>
      <c r="F15" s="4">
        <v>111.73</v>
      </c>
      <c r="G15" s="4">
        <v>139.1</v>
      </c>
      <c r="H15" s="4"/>
      <c r="I15" s="4"/>
      <c r="J15" s="4"/>
      <c r="K15" s="4"/>
      <c r="L15" s="4" t="s">
        <v>1998</v>
      </c>
      <c r="M15" s="4"/>
      <c r="N15" s="4"/>
      <c r="O15" s="4"/>
    </row>
    <row r="16" spans="1:15" x14ac:dyDescent="0.2">
      <c r="A16" s="8" t="s">
        <v>26</v>
      </c>
      <c r="B16" s="8" t="s">
        <v>988</v>
      </c>
      <c r="C16" s="8" t="s">
        <v>989</v>
      </c>
      <c r="D16" s="4"/>
      <c r="E16" s="4">
        <v>147.34</v>
      </c>
      <c r="F16" s="4">
        <v>145.97999999999999</v>
      </c>
      <c r="G16" s="4">
        <v>111.04</v>
      </c>
      <c r="H16" s="4"/>
      <c r="I16" s="4"/>
      <c r="J16" s="4"/>
      <c r="K16" s="4"/>
      <c r="L16" s="4" t="s">
        <v>1998</v>
      </c>
      <c r="M16" s="4"/>
      <c r="N16" s="4"/>
      <c r="O16" s="4"/>
    </row>
    <row r="17" spans="1:15" x14ac:dyDescent="0.2">
      <c r="A17" s="8" t="s">
        <v>26</v>
      </c>
      <c r="B17" s="8" t="s">
        <v>990</v>
      </c>
      <c r="C17" s="8" t="s">
        <v>991</v>
      </c>
      <c r="D17" s="4"/>
      <c r="E17" s="4">
        <v>111.1</v>
      </c>
      <c r="F17" s="4">
        <v>112.93</v>
      </c>
      <c r="G17" s="4">
        <v>142.63</v>
      </c>
      <c r="H17" s="4"/>
      <c r="I17" s="4"/>
      <c r="J17" s="4"/>
      <c r="K17" s="4"/>
      <c r="L17" s="4" t="s">
        <v>1998</v>
      </c>
      <c r="M17" s="4"/>
      <c r="N17" s="4"/>
      <c r="O17" s="4"/>
    </row>
    <row r="18" spans="1:15" x14ac:dyDescent="0.2">
      <c r="A18" s="8" t="s">
        <v>26</v>
      </c>
      <c r="B18" s="8" t="s">
        <v>992</v>
      </c>
      <c r="C18" s="8" t="s">
        <v>993</v>
      </c>
      <c r="D18" s="4"/>
      <c r="E18" s="4">
        <v>145.71</v>
      </c>
      <c r="F18" s="4">
        <v>145.13999999999999</v>
      </c>
      <c r="G18" s="4">
        <v>112.09</v>
      </c>
      <c r="H18" s="4"/>
      <c r="I18" s="4"/>
      <c r="J18" s="4"/>
      <c r="K18" s="4"/>
      <c r="L18" s="4" t="s">
        <v>1998</v>
      </c>
      <c r="M18" s="4"/>
      <c r="N18" s="4"/>
      <c r="O18" s="4"/>
    </row>
    <row r="19" spans="1:15" x14ac:dyDescent="0.2">
      <c r="A19" s="8" t="s">
        <v>26</v>
      </c>
      <c r="B19" s="8" t="s">
        <v>994</v>
      </c>
      <c r="C19" s="8" t="s">
        <v>995</v>
      </c>
      <c r="D19" s="4"/>
      <c r="E19" s="4">
        <v>113.17</v>
      </c>
      <c r="F19" s="4">
        <v>111.5</v>
      </c>
      <c r="G19" s="4">
        <v>110.44</v>
      </c>
      <c r="H19" s="4"/>
      <c r="I19" s="4"/>
      <c r="J19" s="4"/>
      <c r="K19" s="4"/>
      <c r="L19" s="4" t="s">
        <v>1998</v>
      </c>
      <c r="M19" s="4"/>
      <c r="N19" s="4"/>
      <c r="O19" s="4"/>
    </row>
    <row r="20" spans="1:15" x14ac:dyDescent="0.2">
      <c r="A20" s="8" t="s">
        <v>26</v>
      </c>
      <c r="B20" s="8" t="s">
        <v>996</v>
      </c>
      <c r="C20" s="8" t="s">
        <v>997</v>
      </c>
      <c r="D20" s="4"/>
      <c r="E20" s="4">
        <v>146.62</v>
      </c>
      <c r="F20" s="4">
        <v>145.75</v>
      </c>
      <c r="G20" s="4">
        <v>144.35</v>
      </c>
      <c r="H20" s="4"/>
      <c r="I20" s="4"/>
      <c r="J20" s="4"/>
      <c r="K20" s="4"/>
      <c r="L20" s="4" t="s">
        <v>1998</v>
      </c>
      <c r="M20" s="4"/>
      <c r="N20" s="4"/>
      <c r="O20" s="4"/>
    </row>
    <row r="21" spans="1:15" x14ac:dyDescent="0.2">
      <c r="A21" s="8" t="s">
        <v>26</v>
      </c>
      <c r="B21" s="8" t="s">
        <v>998</v>
      </c>
      <c r="C21" s="8" t="s">
        <v>999</v>
      </c>
      <c r="D21" s="4"/>
      <c r="E21" s="4">
        <v>120.61</v>
      </c>
      <c r="F21" s="4">
        <v>121.38</v>
      </c>
      <c r="G21" s="4">
        <v>121.02</v>
      </c>
      <c r="H21" s="4"/>
      <c r="I21" s="4"/>
      <c r="J21" s="4"/>
      <c r="K21" s="4"/>
      <c r="L21" s="4" t="s">
        <v>1998</v>
      </c>
      <c r="M21" s="4"/>
      <c r="N21" s="4"/>
      <c r="O21" s="4"/>
    </row>
    <row r="22" spans="1:15" x14ac:dyDescent="0.2">
      <c r="A22" s="8" t="s">
        <v>26</v>
      </c>
      <c r="B22" s="8" t="s">
        <v>1000</v>
      </c>
      <c r="C22" s="8" t="s">
        <v>1001</v>
      </c>
      <c r="D22" s="4"/>
      <c r="E22" s="4">
        <v>109.62</v>
      </c>
      <c r="F22" s="4">
        <v>109.87</v>
      </c>
      <c r="G22" s="4">
        <v>149.18</v>
      </c>
      <c r="H22" s="4"/>
      <c r="I22" s="4"/>
      <c r="J22" s="4"/>
      <c r="K22" s="4"/>
      <c r="L22" s="4" t="s">
        <v>1998</v>
      </c>
      <c r="M22" s="4"/>
      <c r="N22" s="4"/>
      <c r="O22" s="4"/>
    </row>
    <row r="23" spans="1:15" x14ac:dyDescent="0.2">
      <c r="A23" s="8" t="s">
        <v>26</v>
      </c>
      <c r="B23" s="8" t="s">
        <v>1002</v>
      </c>
      <c r="C23" s="8" t="s">
        <v>1003</v>
      </c>
      <c r="D23" s="4"/>
      <c r="E23" s="4">
        <v>147.72</v>
      </c>
      <c r="F23" s="4">
        <v>150.24</v>
      </c>
      <c r="G23" s="4">
        <v>109.91</v>
      </c>
      <c r="H23" s="4"/>
      <c r="I23" s="4"/>
      <c r="J23" s="4"/>
      <c r="K23" s="4"/>
      <c r="L23" s="4" t="s">
        <v>1998</v>
      </c>
      <c r="M23" s="4"/>
      <c r="N23" s="4"/>
      <c r="O23" s="4"/>
    </row>
    <row r="24" spans="1:15" x14ac:dyDescent="0.2">
      <c r="A24" s="8" t="s">
        <v>26</v>
      </c>
      <c r="B24" s="8" t="s">
        <v>1004</v>
      </c>
      <c r="C24" s="8" t="s">
        <v>1005</v>
      </c>
      <c r="D24" s="4"/>
      <c r="E24" s="4">
        <v>110.5</v>
      </c>
      <c r="F24" s="4">
        <v>110.79</v>
      </c>
      <c r="G24" s="4">
        <v>140.29</v>
      </c>
      <c r="H24" s="4"/>
      <c r="I24" s="4"/>
      <c r="J24" s="4"/>
      <c r="K24" s="4"/>
      <c r="L24" s="4" t="s">
        <v>1998</v>
      </c>
      <c r="M24" s="4"/>
      <c r="N24" s="4"/>
      <c r="O24" s="4"/>
    </row>
    <row r="25" spans="1:15" x14ac:dyDescent="0.2">
      <c r="A25" s="8" t="s">
        <v>26</v>
      </c>
      <c r="B25" s="8" t="s">
        <v>1006</v>
      </c>
      <c r="C25" s="8" t="s">
        <v>1007</v>
      </c>
      <c r="D25" s="4"/>
      <c r="E25" s="4">
        <v>148.44</v>
      </c>
      <c r="F25" s="4">
        <v>145.74</v>
      </c>
      <c r="G25" s="4">
        <v>116.11</v>
      </c>
      <c r="H25" s="4"/>
      <c r="I25" s="4"/>
      <c r="J25" s="4"/>
      <c r="K25" s="4"/>
      <c r="L25" s="4" t="s">
        <v>1998</v>
      </c>
      <c r="M25" s="4"/>
      <c r="N25" s="4"/>
      <c r="O25" s="4"/>
    </row>
    <row r="26" spans="1:15" x14ac:dyDescent="0.2">
      <c r="A26" s="8" t="s">
        <v>26</v>
      </c>
      <c r="B26" s="8" t="s">
        <v>1008</v>
      </c>
      <c r="C26" s="8" t="s">
        <v>1009</v>
      </c>
      <c r="D26" s="4"/>
      <c r="E26" s="4">
        <v>110.81</v>
      </c>
      <c r="F26" s="4">
        <v>110.71</v>
      </c>
      <c r="G26" s="4">
        <v>109.28</v>
      </c>
      <c r="H26" s="4"/>
      <c r="I26" s="4"/>
      <c r="J26" s="4"/>
      <c r="K26" s="4"/>
      <c r="L26" s="4" t="s">
        <v>1998</v>
      </c>
      <c r="M26" s="4"/>
      <c r="N26" s="4"/>
      <c r="O26" s="4"/>
    </row>
    <row r="27" spans="1:15" x14ac:dyDescent="0.2">
      <c r="A27" s="8" t="s">
        <v>26</v>
      </c>
      <c r="B27" s="8" t="s">
        <v>1010</v>
      </c>
      <c r="C27" s="8" t="s">
        <v>1011</v>
      </c>
      <c r="D27" s="4"/>
      <c r="E27" s="4">
        <v>147.31</v>
      </c>
      <c r="F27" s="4">
        <v>110.87</v>
      </c>
      <c r="G27" s="4">
        <v>143.36000000000001</v>
      </c>
      <c r="H27" s="4"/>
      <c r="I27" s="4"/>
      <c r="J27" s="4"/>
      <c r="K27" s="4"/>
      <c r="L27" s="4" t="s">
        <v>1998</v>
      </c>
      <c r="M27" s="4"/>
      <c r="N27" s="4"/>
      <c r="O27" s="4"/>
    </row>
  </sheetData>
  <mergeCells count="1">
    <mergeCell ref="E3:G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46"/>
  <sheetViews>
    <sheetView workbookViewId="0">
      <selection activeCell="A5" sqref="A5:A46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SUM(E5:G46)</f>
        <v>16914.390000000003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2021</v>
      </c>
      <c r="B5" s="8" t="s">
        <v>1012</v>
      </c>
      <c r="C5" s="8" t="s">
        <v>1013</v>
      </c>
      <c r="D5" s="4"/>
      <c r="E5" s="4">
        <v>84.44</v>
      </c>
      <c r="F5" s="4">
        <v>85.9</v>
      </c>
      <c r="G5" s="4">
        <v>118.41</v>
      </c>
      <c r="H5" s="4" t="s">
        <v>1998</v>
      </c>
      <c r="I5" s="4" t="s">
        <v>1998</v>
      </c>
      <c r="J5" s="4" t="s">
        <v>1998</v>
      </c>
      <c r="K5" s="4" t="s">
        <v>1998</v>
      </c>
      <c r="L5" s="4"/>
      <c r="M5" s="4"/>
      <c r="N5" s="4"/>
      <c r="O5" s="4"/>
    </row>
    <row r="6" spans="1:15" x14ac:dyDescent="0.2">
      <c r="A6" s="8" t="s">
        <v>2021</v>
      </c>
      <c r="B6" s="8" t="s">
        <v>1014</v>
      </c>
      <c r="C6" s="8" t="s">
        <v>1015</v>
      </c>
      <c r="D6" s="4"/>
      <c r="E6" s="4">
        <v>120.56</v>
      </c>
      <c r="F6" s="4">
        <v>118.98</v>
      </c>
      <c r="G6" s="4">
        <v>82.23</v>
      </c>
      <c r="H6" s="4" t="s">
        <v>1998</v>
      </c>
      <c r="I6" s="4" t="s">
        <v>1998</v>
      </c>
      <c r="J6" s="4" t="s">
        <v>1998</v>
      </c>
      <c r="K6" s="4" t="s">
        <v>1998</v>
      </c>
      <c r="L6" s="4"/>
      <c r="M6" s="4"/>
      <c r="N6" s="4"/>
      <c r="O6" s="4"/>
    </row>
    <row r="7" spans="1:15" x14ac:dyDescent="0.2">
      <c r="A7" s="8" t="s">
        <v>2021</v>
      </c>
      <c r="B7" s="8" t="s">
        <v>1016</v>
      </c>
      <c r="C7" s="8" t="s">
        <v>1017</v>
      </c>
      <c r="D7" s="4"/>
      <c r="E7" s="4">
        <v>83.43</v>
      </c>
      <c r="F7" s="4">
        <v>84.09</v>
      </c>
      <c r="G7" s="4">
        <v>82.67</v>
      </c>
      <c r="H7" s="4" t="s">
        <v>1998</v>
      </c>
      <c r="I7" s="4" t="s">
        <v>1998</v>
      </c>
      <c r="J7" s="4" t="s">
        <v>1998</v>
      </c>
      <c r="K7" s="4" t="s">
        <v>1998</v>
      </c>
      <c r="L7" s="4"/>
      <c r="M7" s="4"/>
      <c r="N7" s="4"/>
      <c r="O7" s="4"/>
    </row>
    <row r="8" spans="1:15" x14ac:dyDescent="0.2">
      <c r="A8" s="8" t="s">
        <v>2021</v>
      </c>
      <c r="B8" s="8" t="s">
        <v>1018</v>
      </c>
      <c r="C8" s="8" t="s">
        <v>1019</v>
      </c>
      <c r="D8" s="4"/>
      <c r="E8" s="4">
        <v>83.66</v>
      </c>
      <c r="F8" s="4">
        <v>82.57</v>
      </c>
      <c r="G8" s="4">
        <v>119.33</v>
      </c>
      <c r="H8" s="4" t="s">
        <v>1998</v>
      </c>
      <c r="I8" s="4" t="s">
        <v>1998</v>
      </c>
      <c r="J8" s="4" t="s">
        <v>1998</v>
      </c>
      <c r="K8" s="4" t="s">
        <v>1998</v>
      </c>
      <c r="L8" s="4"/>
      <c r="M8" s="4"/>
      <c r="N8" s="4"/>
      <c r="O8" s="4"/>
    </row>
    <row r="9" spans="1:15" x14ac:dyDescent="0.2">
      <c r="A9" s="8" t="s">
        <v>2021</v>
      </c>
      <c r="B9" s="8" t="s">
        <v>1020</v>
      </c>
      <c r="C9" s="8" t="s">
        <v>1021</v>
      </c>
      <c r="D9" s="4"/>
      <c r="E9" s="4">
        <v>116.34</v>
      </c>
      <c r="F9" s="4">
        <v>118.16</v>
      </c>
      <c r="G9" s="4">
        <v>81.86</v>
      </c>
      <c r="H9" s="4" t="s">
        <v>1998</v>
      </c>
      <c r="I9" s="4" t="s">
        <v>1998</v>
      </c>
      <c r="J9" s="4" t="s">
        <v>1998</v>
      </c>
      <c r="K9" s="4" t="s">
        <v>1998</v>
      </c>
      <c r="L9" s="4"/>
      <c r="M9" s="4"/>
      <c r="N9" s="4"/>
      <c r="O9" s="4"/>
    </row>
    <row r="10" spans="1:15" x14ac:dyDescent="0.2">
      <c r="A10" s="8" t="s">
        <v>2021</v>
      </c>
      <c r="B10" s="8" t="s">
        <v>1022</v>
      </c>
      <c r="C10" s="8" t="s">
        <v>1023</v>
      </c>
      <c r="D10" s="4"/>
      <c r="E10" s="4">
        <v>105.87</v>
      </c>
      <c r="F10" s="4">
        <v>106.33</v>
      </c>
      <c r="G10" s="4">
        <v>104.53</v>
      </c>
      <c r="H10" s="4" t="s">
        <v>1998</v>
      </c>
      <c r="I10" s="4" t="s">
        <v>1998</v>
      </c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2021</v>
      </c>
      <c r="B11" s="8" t="s">
        <v>1024</v>
      </c>
      <c r="C11" s="8" t="s">
        <v>1025</v>
      </c>
      <c r="D11" s="4"/>
      <c r="E11" s="4">
        <v>26.59</v>
      </c>
      <c r="F11" s="4">
        <v>26.8</v>
      </c>
      <c r="G11" s="4">
        <v>25.48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2021</v>
      </c>
      <c r="B12" s="8" t="s">
        <v>1026</v>
      </c>
      <c r="C12" s="8" t="s">
        <v>1027</v>
      </c>
      <c r="D12" s="4"/>
      <c r="E12" s="4">
        <v>16.72</v>
      </c>
      <c r="F12" s="4">
        <v>16.93</v>
      </c>
      <c r="G12" s="4">
        <v>16.670000000000002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2021</v>
      </c>
      <c r="B13" s="8" t="s">
        <v>1028</v>
      </c>
      <c r="C13" s="8" t="s">
        <v>1029</v>
      </c>
      <c r="D13" s="4"/>
      <c r="E13" s="4">
        <v>31.47</v>
      </c>
      <c r="F13" s="4">
        <v>32.049999999999997</v>
      </c>
      <c r="G13" s="4">
        <v>66.63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2021</v>
      </c>
      <c r="B14" s="8" t="s">
        <v>1030</v>
      </c>
      <c r="C14" s="8" t="s">
        <v>1031</v>
      </c>
      <c r="D14" s="4"/>
      <c r="E14" s="4">
        <v>30.28</v>
      </c>
      <c r="F14" s="4">
        <v>31.91</v>
      </c>
      <c r="G14" s="4">
        <v>31.29</v>
      </c>
      <c r="H14" s="4"/>
      <c r="I14" s="4"/>
      <c r="J14" s="4"/>
      <c r="K14" s="4"/>
      <c r="L14" s="4" t="s">
        <v>1998</v>
      </c>
      <c r="M14" s="4"/>
      <c r="N14" s="4"/>
      <c r="O14" s="4"/>
    </row>
    <row r="15" spans="1:15" x14ac:dyDescent="0.2">
      <c r="A15" s="8" t="s">
        <v>2021</v>
      </c>
      <c r="B15" s="8" t="s">
        <v>1032</v>
      </c>
      <c r="C15" s="8" t="s">
        <v>1033</v>
      </c>
      <c r="D15" s="4"/>
      <c r="E15" s="4"/>
      <c r="F15" s="4">
        <v>195.59</v>
      </c>
      <c r="G15" s="4"/>
      <c r="H15" s="4"/>
      <c r="I15" s="4"/>
      <c r="J15" s="4"/>
      <c r="K15" s="4"/>
      <c r="L15" s="4" t="s">
        <v>1998</v>
      </c>
      <c r="M15" s="4"/>
      <c r="N15" s="4"/>
      <c r="O15" s="4"/>
    </row>
    <row r="16" spans="1:15" x14ac:dyDescent="0.2">
      <c r="A16" s="8" t="s">
        <v>2021</v>
      </c>
      <c r="B16" s="8" t="s">
        <v>1034</v>
      </c>
      <c r="C16" s="8" t="s">
        <v>1035</v>
      </c>
      <c r="D16" s="4"/>
      <c r="E16" s="4">
        <v>157.57</v>
      </c>
      <c r="F16" s="4">
        <v>167.51</v>
      </c>
      <c r="G16" s="4">
        <v>126.03</v>
      </c>
      <c r="H16" s="4"/>
      <c r="I16" s="4"/>
      <c r="J16" s="4"/>
      <c r="K16" s="4"/>
      <c r="L16" s="4" t="s">
        <v>1998</v>
      </c>
      <c r="M16" s="4"/>
      <c r="N16" s="4"/>
      <c r="O16" s="4"/>
    </row>
    <row r="17" spans="1:15" x14ac:dyDescent="0.2">
      <c r="A17" s="8" t="s">
        <v>2021</v>
      </c>
      <c r="B17" s="8" t="s">
        <v>1036</v>
      </c>
      <c r="C17" s="8" t="s">
        <v>1037</v>
      </c>
      <c r="D17" s="4"/>
      <c r="E17" s="4">
        <v>173.65</v>
      </c>
      <c r="F17" s="4">
        <v>137.43</v>
      </c>
      <c r="G17" s="4">
        <v>166.08</v>
      </c>
      <c r="H17" s="4"/>
      <c r="I17" s="4"/>
      <c r="J17" s="4"/>
      <c r="K17" s="4"/>
      <c r="L17" s="4" t="s">
        <v>1998</v>
      </c>
      <c r="M17" s="4"/>
      <c r="N17" s="4"/>
      <c r="O17" s="4"/>
    </row>
    <row r="18" spans="1:15" x14ac:dyDescent="0.2">
      <c r="A18" s="8" t="s">
        <v>2021</v>
      </c>
      <c r="B18" s="8" t="s">
        <v>1038</v>
      </c>
      <c r="C18" s="8" t="s">
        <v>1039</v>
      </c>
      <c r="D18" s="4"/>
      <c r="E18" s="4">
        <v>165.04</v>
      </c>
      <c r="F18" s="4">
        <v>168.24</v>
      </c>
      <c r="G18" s="4">
        <v>167.85</v>
      </c>
      <c r="H18" s="4"/>
      <c r="I18" s="4"/>
      <c r="J18" s="4"/>
      <c r="K18" s="4"/>
      <c r="L18" s="4" t="s">
        <v>1998</v>
      </c>
      <c r="M18" s="4"/>
      <c r="N18" s="4"/>
      <c r="O18" s="4"/>
    </row>
    <row r="19" spans="1:15" x14ac:dyDescent="0.2">
      <c r="A19" s="8" t="s">
        <v>2021</v>
      </c>
      <c r="B19" s="8" t="s">
        <v>1040</v>
      </c>
      <c r="C19" s="8" t="s">
        <v>1041</v>
      </c>
      <c r="D19" s="4"/>
      <c r="E19" s="4">
        <v>138.56</v>
      </c>
      <c r="F19" s="4">
        <v>169.48</v>
      </c>
      <c r="G19" s="4">
        <v>170.4</v>
      </c>
      <c r="H19" s="4"/>
      <c r="I19" s="4"/>
      <c r="J19" s="4"/>
      <c r="K19" s="4"/>
      <c r="L19" s="4" t="s">
        <v>1998</v>
      </c>
      <c r="M19" s="4"/>
      <c r="N19" s="4"/>
      <c r="O19" s="4"/>
    </row>
    <row r="20" spans="1:15" x14ac:dyDescent="0.2">
      <c r="A20" s="8" t="s">
        <v>2021</v>
      </c>
      <c r="B20" s="8" t="s">
        <v>1042</v>
      </c>
      <c r="C20" s="8" t="s">
        <v>1043</v>
      </c>
      <c r="D20" s="4"/>
      <c r="E20" s="4">
        <v>169.92</v>
      </c>
      <c r="F20" s="4">
        <v>172.44</v>
      </c>
      <c r="G20" s="4">
        <v>135.66</v>
      </c>
      <c r="H20" s="4"/>
      <c r="I20" s="4"/>
      <c r="J20" s="4"/>
      <c r="K20" s="4"/>
      <c r="L20" s="4" t="s">
        <v>1998</v>
      </c>
      <c r="M20" s="4"/>
      <c r="N20" s="4"/>
      <c r="O20" s="4"/>
    </row>
    <row r="21" spans="1:15" x14ac:dyDescent="0.2">
      <c r="A21" s="8" t="s">
        <v>2021</v>
      </c>
      <c r="B21" s="8" t="s">
        <v>1044</v>
      </c>
      <c r="C21" s="8" t="s">
        <v>1045</v>
      </c>
      <c r="D21" s="4"/>
      <c r="E21" s="4">
        <v>171.64</v>
      </c>
      <c r="F21" s="4">
        <v>136.21</v>
      </c>
      <c r="G21" s="4">
        <v>165.68</v>
      </c>
      <c r="H21" s="4"/>
      <c r="I21" s="4"/>
      <c r="J21" s="4"/>
      <c r="K21" s="4"/>
      <c r="L21" s="4" t="s">
        <v>1998</v>
      </c>
      <c r="M21" s="4"/>
      <c r="N21" s="4"/>
      <c r="O21" s="4"/>
    </row>
    <row r="22" spans="1:15" x14ac:dyDescent="0.2">
      <c r="A22" s="8" t="s">
        <v>2021</v>
      </c>
      <c r="B22" s="8" t="s">
        <v>1046</v>
      </c>
      <c r="C22" s="8" t="s">
        <v>1047</v>
      </c>
      <c r="D22" s="4"/>
      <c r="E22" s="4">
        <v>135.85</v>
      </c>
      <c r="F22" s="4">
        <v>166.43</v>
      </c>
      <c r="G22" s="4">
        <v>170.2</v>
      </c>
      <c r="H22" s="4"/>
      <c r="I22" s="4"/>
      <c r="J22" s="4"/>
      <c r="K22" s="4"/>
      <c r="L22" s="4" t="s">
        <v>1998</v>
      </c>
      <c r="M22" s="4"/>
      <c r="N22" s="4"/>
      <c r="O22" s="4"/>
    </row>
    <row r="23" spans="1:15" x14ac:dyDescent="0.2">
      <c r="A23" s="8" t="s">
        <v>2021</v>
      </c>
      <c r="B23" s="8" t="s">
        <v>1048</v>
      </c>
      <c r="C23" s="8" t="s">
        <v>1049</v>
      </c>
      <c r="D23" s="4"/>
      <c r="E23" s="4">
        <v>169.29</v>
      </c>
      <c r="F23" s="4">
        <v>170.36</v>
      </c>
      <c r="G23" s="4">
        <v>134.79</v>
      </c>
      <c r="H23" s="4"/>
      <c r="I23" s="4"/>
      <c r="J23" s="4"/>
      <c r="K23" s="4"/>
      <c r="L23" s="4" t="s">
        <v>1998</v>
      </c>
      <c r="M23" s="4"/>
      <c r="N23" s="4"/>
      <c r="O23" s="4"/>
    </row>
    <row r="24" spans="1:15" x14ac:dyDescent="0.2">
      <c r="A24" s="8" t="s">
        <v>2021</v>
      </c>
      <c r="B24" s="8" t="s">
        <v>1050</v>
      </c>
      <c r="C24" s="8" t="s">
        <v>1051</v>
      </c>
      <c r="D24" s="4"/>
      <c r="E24" s="4">
        <v>171.83</v>
      </c>
      <c r="F24" s="4">
        <v>169.49</v>
      </c>
      <c r="G24" s="4">
        <v>169.17</v>
      </c>
      <c r="H24" s="4"/>
      <c r="I24" s="4"/>
      <c r="J24" s="4"/>
      <c r="K24" s="4"/>
      <c r="L24" s="4" t="s">
        <v>1998</v>
      </c>
      <c r="M24" s="4"/>
      <c r="N24" s="4"/>
      <c r="O24" s="4"/>
    </row>
    <row r="25" spans="1:15" x14ac:dyDescent="0.2">
      <c r="A25" s="8" t="s">
        <v>2021</v>
      </c>
      <c r="B25" s="8" t="s">
        <v>1052</v>
      </c>
      <c r="C25" s="8" t="s">
        <v>1053</v>
      </c>
      <c r="D25" s="4"/>
      <c r="E25" s="4">
        <v>170.39</v>
      </c>
      <c r="F25" s="4">
        <v>138.74</v>
      </c>
      <c r="G25" s="4">
        <v>167.9</v>
      </c>
      <c r="H25" s="4"/>
      <c r="I25" s="4"/>
      <c r="J25" s="4"/>
      <c r="K25" s="4"/>
      <c r="L25" s="4" t="s">
        <v>1998</v>
      </c>
      <c r="M25" s="4"/>
      <c r="N25" s="4"/>
      <c r="O25" s="4"/>
    </row>
    <row r="26" spans="1:15" x14ac:dyDescent="0.2">
      <c r="A26" s="8" t="s">
        <v>2021</v>
      </c>
      <c r="B26" s="8" t="s">
        <v>1054</v>
      </c>
      <c r="C26" s="8" t="s">
        <v>1055</v>
      </c>
      <c r="D26" s="4"/>
      <c r="E26" s="4">
        <v>137.37</v>
      </c>
      <c r="F26" s="4">
        <v>169.18</v>
      </c>
      <c r="G26" s="4">
        <v>166.43</v>
      </c>
      <c r="H26" s="4"/>
      <c r="I26" s="4"/>
      <c r="J26" s="4"/>
      <c r="K26" s="4"/>
      <c r="L26" s="4" t="s">
        <v>1998</v>
      </c>
      <c r="M26" s="4"/>
      <c r="N26" s="4"/>
      <c r="O26" s="4"/>
    </row>
    <row r="27" spans="1:15" x14ac:dyDescent="0.2">
      <c r="A27" s="8" t="s">
        <v>2021</v>
      </c>
      <c r="B27" s="8" t="s">
        <v>1056</v>
      </c>
      <c r="C27" s="8" t="s">
        <v>1057</v>
      </c>
      <c r="D27" s="4"/>
      <c r="E27" s="4">
        <v>167.93</v>
      </c>
      <c r="F27" s="4">
        <v>169.08</v>
      </c>
      <c r="G27" s="4">
        <v>135.16</v>
      </c>
      <c r="H27" s="4"/>
      <c r="I27" s="4"/>
      <c r="J27" s="4"/>
      <c r="K27" s="4"/>
      <c r="L27" s="4" t="s">
        <v>1998</v>
      </c>
      <c r="M27" s="4"/>
      <c r="N27" s="4"/>
      <c r="O27" s="4"/>
    </row>
    <row r="28" spans="1:15" x14ac:dyDescent="0.2">
      <c r="A28" s="8" t="s">
        <v>2021</v>
      </c>
      <c r="B28" s="8" t="s">
        <v>1058</v>
      </c>
      <c r="C28" s="8" t="s">
        <v>1059</v>
      </c>
      <c r="D28" s="4"/>
      <c r="E28" s="4">
        <v>170.33</v>
      </c>
      <c r="F28" s="4">
        <v>135.79</v>
      </c>
      <c r="G28" s="4">
        <v>170.29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2021</v>
      </c>
      <c r="B29" s="8" t="s">
        <v>1060</v>
      </c>
      <c r="C29" s="8" t="s">
        <v>1061</v>
      </c>
      <c r="D29" s="4"/>
      <c r="E29" s="4">
        <v>136.79</v>
      </c>
      <c r="F29" s="4">
        <v>173.44</v>
      </c>
      <c r="G29" s="4">
        <v>170.8</v>
      </c>
      <c r="H29" s="4"/>
      <c r="I29" s="4"/>
      <c r="J29" s="4"/>
      <c r="K29" s="4"/>
      <c r="L29" s="4" t="s">
        <v>1998</v>
      </c>
      <c r="M29" s="4"/>
      <c r="N29" s="4"/>
      <c r="O29" s="4"/>
    </row>
    <row r="30" spans="1:15" x14ac:dyDescent="0.2">
      <c r="A30" s="8" t="s">
        <v>2021</v>
      </c>
      <c r="B30" s="8" t="s">
        <v>1062</v>
      </c>
      <c r="C30" s="8" t="s">
        <v>1063</v>
      </c>
      <c r="D30" s="4"/>
      <c r="E30" s="4">
        <v>169.14</v>
      </c>
      <c r="F30" s="4">
        <v>172.44</v>
      </c>
      <c r="G30" s="4">
        <v>166.74</v>
      </c>
      <c r="H30" s="4"/>
      <c r="I30" s="4"/>
      <c r="J30" s="4"/>
      <c r="K30" s="4"/>
      <c r="L30" s="4" t="s">
        <v>1998</v>
      </c>
      <c r="M30" s="4"/>
      <c r="N30" s="4"/>
      <c r="O30" s="4"/>
    </row>
    <row r="31" spans="1:15" x14ac:dyDescent="0.2">
      <c r="A31" s="8" t="s">
        <v>2021</v>
      </c>
      <c r="B31" s="8" t="s">
        <v>1064</v>
      </c>
      <c r="C31" s="8" t="s">
        <v>1065</v>
      </c>
      <c r="D31" s="4"/>
      <c r="E31" s="4">
        <v>161.88999999999999</v>
      </c>
      <c r="F31" s="4">
        <v>128.02000000000001</v>
      </c>
      <c r="G31" s="4">
        <v>127.69</v>
      </c>
      <c r="H31" s="4"/>
      <c r="I31" s="4"/>
      <c r="J31" s="4"/>
      <c r="K31" s="4"/>
      <c r="L31" s="4" t="s">
        <v>1998</v>
      </c>
      <c r="M31" s="4"/>
      <c r="N31" s="4"/>
      <c r="O31" s="4"/>
    </row>
    <row r="32" spans="1:15" x14ac:dyDescent="0.2">
      <c r="A32" s="8" t="s">
        <v>2021</v>
      </c>
      <c r="B32" s="8" t="s">
        <v>1066</v>
      </c>
      <c r="C32" s="8" t="s">
        <v>1067</v>
      </c>
      <c r="D32" s="4"/>
      <c r="E32" s="4">
        <v>134.01</v>
      </c>
      <c r="F32" s="4">
        <v>167.24</v>
      </c>
      <c r="G32" s="4">
        <v>168.24</v>
      </c>
      <c r="H32" s="4"/>
      <c r="I32" s="4"/>
      <c r="J32" s="4"/>
      <c r="K32" s="4"/>
      <c r="L32" s="4" t="s">
        <v>1998</v>
      </c>
      <c r="M32" s="4"/>
      <c r="N32" s="4"/>
      <c r="O32" s="4"/>
    </row>
    <row r="33" spans="1:15" x14ac:dyDescent="0.2">
      <c r="A33" s="8" t="s">
        <v>2021</v>
      </c>
      <c r="B33" s="8" t="s">
        <v>1068</v>
      </c>
      <c r="C33" s="8" t="s">
        <v>1069</v>
      </c>
      <c r="D33" s="4"/>
      <c r="E33" s="4">
        <v>165.99</v>
      </c>
      <c r="F33" s="4">
        <v>168.81</v>
      </c>
      <c r="G33" s="4">
        <v>131.5</v>
      </c>
      <c r="H33" s="4"/>
      <c r="I33" s="4"/>
      <c r="J33" s="4"/>
      <c r="K33" s="4"/>
      <c r="L33" s="4" t="s">
        <v>1998</v>
      </c>
      <c r="M33" s="4"/>
      <c r="N33" s="4"/>
      <c r="O33" s="4"/>
    </row>
    <row r="34" spans="1:15" x14ac:dyDescent="0.2">
      <c r="A34" s="8" t="s">
        <v>2021</v>
      </c>
      <c r="B34" s="8" t="s">
        <v>1070</v>
      </c>
      <c r="C34" s="8" t="s">
        <v>1071</v>
      </c>
      <c r="D34" s="4"/>
      <c r="E34" s="4">
        <v>170.72</v>
      </c>
      <c r="F34" s="4">
        <v>132.93</v>
      </c>
      <c r="G34" s="4">
        <v>167.2</v>
      </c>
      <c r="H34" s="4"/>
      <c r="I34" s="4"/>
      <c r="J34" s="4"/>
      <c r="K34" s="4"/>
      <c r="L34" s="4" t="s">
        <v>1998</v>
      </c>
      <c r="M34" s="4"/>
      <c r="N34" s="4"/>
      <c r="O34" s="4"/>
    </row>
    <row r="35" spans="1:15" x14ac:dyDescent="0.2">
      <c r="A35" s="8" t="s">
        <v>2021</v>
      </c>
      <c r="B35" s="8" t="s">
        <v>1072</v>
      </c>
      <c r="C35" s="8" t="s">
        <v>1073</v>
      </c>
      <c r="D35" s="4"/>
      <c r="E35" s="4">
        <v>135.32</v>
      </c>
      <c r="F35" s="4">
        <v>166.04</v>
      </c>
      <c r="G35" s="4">
        <v>168.68</v>
      </c>
      <c r="H35" s="4"/>
      <c r="I35" s="4"/>
      <c r="J35" s="4"/>
      <c r="K35" s="4"/>
      <c r="L35" s="4" t="s">
        <v>1998</v>
      </c>
      <c r="M35" s="4"/>
      <c r="N35" s="4"/>
      <c r="O35" s="4"/>
    </row>
    <row r="36" spans="1:15" x14ac:dyDescent="0.2">
      <c r="A36" s="8" t="s">
        <v>2021</v>
      </c>
      <c r="B36" s="8" t="s">
        <v>1074</v>
      </c>
      <c r="C36" s="8" t="s">
        <v>1075</v>
      </c>
      <c r="D36" s="4"/>
      <c r="E36" s="4">
        <v>166.22</v>
      </c>
      <c r="F36" s="4">
        <v>166.9</v>
      </c>
      <c r="G36" s="4">
        <v>131.77000000000001</v>
      </c>
      <c r="H36" s="4"/>
      <c r="I36" s="4"/>
      <c r="J36" s="4"/>
      <c r="K36" s="4"/>
      <c r="L36" s="4" t="s">
        <v>1998</v>
      </c>
      <c r="M36" s="4"/>
      <c r="N36" s="4"/>
      <c r="O36" s="4"/>
    </row>
    <row r="37" spans="1:15" x14ac:dyDescent="0.2">
      <c r="A37" s="8" t="s">
        <v>2021</v>
      </c>
      <c r="B37" s="8" t="s">
        <v>1076</v>
      </c>
      <c r="C37" s="8" t="s">
        <v>1077</v>
      </c>
      <c r="D37" s="4"/>
      <c r="E37" s="4">
        <v>164.19</v>
      </c>
      <c r="F37" s="4">
        <v>134.88999999999999</v>
      </c>
      <c r="G37" s="4">
        <v>132.36000000000001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2021</v>
      </c>
      <c r="B38" s="8" t="s">
        <v>1078</v>
      </c>
      <c r="C38" s="8" t="s">
        <v>1079</v>
      </c>
      <c r="D38" s="4"/>
      <c r="E38" s="4">
        <v>133.08000000000001</v>
      </c>
      <c r="F38" s="4">
        <v>168.88</v>
      </c>
      <c r="G38" s="4">
        <v>171.29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2021</v>
      </c>
      <c r="B39" s="8" t="s">
        <v>1080</v>
      </c>
      <c r="C39" s="8" t="s">
        <v>1081</v>
      </c>
      <c r="D39" s="4"/>
      <c r="E39" s="4">
        <v>169.43</v>
      </c>
      <c r="F39" s="4">
        <v>167.38</v>
      </c>
      <c r="G39" s="4">
        <v>172.31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2021</v>
      </c>
      <c r="B40" s="8" t="s">
        <v>1082</v>
      </c>
      <c r="C40" s="8" t="s">
        <v>1083</v>
      </c>
      <c r="D40" s="4"/>
      <c r="E40" s="4">
        <v>167.37</v>
      </c>
      <c r="F40" s="4">
        <v>133.05000000000001</v>
      </c>
      <c r="G40" s="4">
        <v>132.08000000000001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2021</v>
      </c>
      <c r="B41" s="8" t="s">
        <v>1084</v>
      </c>
      <c r="C41" s="8" t="s">
        <v>1085</v>
      </c>
      <c r="D41" s="4"/>
      <c r="E41" s="4">
        <v>133.19</v>
      </c>
      <c r="F41" s="4">
        <v>168.2</v>
      </c>
      <c r="G41" s="4">
        <v>165.76</v>
      </c>
      <c r="H41" s="4"/>
      <c r="I41" s="4"/>
      <c r="J41" s="4"/>
      <c r="K41" s="4"/>
      <c r="L41" s="4" t="s">
        <v>1998</v>
      </c>
      <c r="M41" s="4"/>
      <c r="N41" s="4"/>
      <c r="O41" s="4"/>
    </row>
    <row r="42" spans="1:15" x14ac:dyDescent="0.2">
      <c r="A42" s="8" t="s">
        <v>2021</v>
      </c>
      <c r="B42" s="8" t="s">
        <v>1086</v>
      </c>
      <c r="C42" s="8" t="s">
        <v>1087</v>
      </c>
      <c r="D42" s="4"/>
      <c r="E42" s="4">
        <v>169.75</v>
      </c>
      <c r="F42" s="4">
        <v>133.9</v>
      </c>
      <c r="G42" s="4">
        <v>165.53</v>
      </c>
      <c r="H42" s="4"/>
      <c r="I42" s="4"/>
      <c r="J42" s="4"/>
      <c r="K42" s="4"/>
      <c r="L42" s="4" t="s">
        <v>1998</v>
      </c>
      <c r="M42" s="4"/>
      <c r="N42" s="4"/>
      <c r="O42" s="4"/>
    </row>
    <row r="43" spans="1:15" x14ac:dyDescent="0.2">
      <c r="A43" s="8" t="s">
        <v>2021</v>
      </c>
      <c r="B43" s="8" t="s">
        <v>1088</v>
      </c>
      <c r="C43" s="8" t="s">
        <v>1089</v>
      </c>
      <c r="D43" s="4"/>
      <c r="E43" s="4">
        <v>132.33000000000001</v>
      </c>
      <c r="F43" s="4">
        <v>171.83</v>
      </c>
      <c r="G43" s="4">
        <v>131.41</v>
      </c>
      <c r="H43" s="4"/>
      <c r="I43" s="4"/>
      <c r="J43" s="4"/>
      <c r="K43" s="4"/>
      <c r="L43" s="4" t="s">
        <v>1998</v>
      </c>
      <c r="M43" s="4"/>
      <c r="N43" s="4"/>
      <c r="O43" s="4"/>
    </row>
    <row r="44" spans="1:15" x14ac:dyDescent="0.2">
      <c r="A44" s="8" t="s">
        <v>2021</v>
      </c>
      <c r="B44" s="8" t="s">
        <v>1090</v>
      </c>
      <c r="C44" s="8" t="s">
        <v>1091</v>
      </c>
      <c r="D44" s="4"/>
      <c r="E44" s="4">
        <v>171.26</v>
      </c>
      <c r="F44" s="4">
        <v>166.41</v>
      </c>
      <c r="G44" s="4">
        <v>169.9</v>
      </c>
      <c r="H44" s="4"/>
      <c r="I44" s="4"/>
      <c r="J44" s="4"/>
      <c r="K44" s="4"/>
      <c r="L44" s="4" t="s">
        <v>1998</v>
      </c>
      <c r="M44" s="4"/>
      <c r="N44" s="4"/>
      <c r="O44" s="4"/>
    </row>
    <row r="45" spans="1:15" x14ac:dyDescent="0.2">
      <c r="A45" s="8" t="s">
        <v>2021</v>
      </c>
      <c r="B45" s="8" t="s">
        <v>1092</v>
      </c>
      <c r="C45" s="8" t="s">
        <v>1093</v>
      </c>
      <c r="D45" s="4"/>
      <c r="E45" s="4">
        <v>166.31</v>
      </c>
      <c r="F45" s="4">
        <v>133.63</v>
      </c>
      <c r="G45" s="4">
        <v>165.91</v>
      </c>
      <c r="H45" s="4"/>
      <c r="I45" s="4"/>
      <c r="J45" s="4"/>
      <c r="K45" s="4"/>
      <c r="L45" s="4" t="s">
        <v>1998</v>
      </c>
      <c r="M45" s="4"/>
      <c r="N45" s="4"/>
      <c r="O45" s="4"/>
    </row>
    <row r="46" spans="1:15" x14ac:dyDescent="0.2">
      <c r="A46" s="8" t="s">
        <v>2021</v>
      </c>
      <c r="B46" s="8" t="s">
        <v>1094</v>
      </c>
      <c r="C46" s="8" t="s">
        <v>1095</v>
      </c>
      <c r="D46" s="4"/>
      <c r="E46" s="4">
        <v>133.76</v>
      </c>
      <c r="F46" s="4">
        <v>165.96</v>
      </c>
      <c r="G46" s="4">
        <v>131.36000000000001</v>
      </c>
      <c r="H46" s="4"/>
      <c r="I46" s="4"/>
      <c r="J46" s="4"/>
      <c r="K46" s="4"/>
      <c r="L46" s="4" t="s">
        <v>1998</v>
      </c>
      <c r="M46" s="4"/>
      <c r="N46" s="4"/>
      <c r="O46" s="4"/>
    </row>
  </sheetData>
  <mergeCells count="1">
    <mergeCell ref="E3:G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O63"/>
  <sheetViews>
    <sheetView workbookViewId="0"/>
  </sheetViews>
  <sheetFormatPr baseColWidth="10" defaultColWidth="8.83203125" defaultRowHeight="15" x14ac:dyDescent="0.2"/>
  <cols>
    <col min="1" max="1" width="18" customWidth="1"/>
    <col min="2" max="2" width="19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SUM(E5:G63)</f>
        <v>24014.419999999995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28</v>
      </c>
      <c r="B5" s="8" t="s">
        <v>1096</v>
      </c>
      <c r="C5" s="8" t="s">
        <v>1097</v>
      </c>
      <c r="D5" s="4"/>
      <c r="E5" s="4"/>
      <c r="F5" s="4">
        <v>95.4</v>
      </c>
      <c r="G5" s="4"/>
      <c r="H5" s="4" t="s">
        <v>63</v>
      </c>
      <c r="I5" s="4" t="s">
        <v>63</v>
      </c>
      <c r="J5" s="4" t="s">
        <v>63</v>
      </c>
      <c r="K5" s="4"/>
      <c r="L5" s="4"/>
      <c r="M5" s="4"/>
      <c r="N5" s="4"/>
      <c r="O5" s="4"/>
    </row>
    <row r="6" spans="1:15" x14ac:dyDescent="0.2">
      <c r="A6" s="8" t="s">
        <v>28</v>
      </c>
      <c r="B6" s="8" t="s">
        <v>106</v>
      </c>
      <c r="C6" s="8" t="s">
        <v>1098</v>
      </c>
      <c r="D6" s="4"/>
      <c r="E6" s="4"/>
      <c r="F6" s="4">
        <v>0.34</v>
      </c>
      <c r="G6" s="4"/>
      <c r="H6" s="4"/>
      <c r="I6" s="4"/>
      <c r="J6" s="4" t="s">
        <v>63</v>
      </c>
      <c r="K6" s="4"/>
      <c r="L6" s="4"/>
      <c r="M6" s="4"/>
      <c r="N6" s="4"/>
      <c r="O6" s="4"/>
    </row>
    <row r="7" spans="1:15" x14ac:dyDescent="0.2">
      <c r="A7" s="8" t="s">
        <v>28</v>
      </c>
      <c r="B7" s="8" t="s">
        <v>106</v>
      </c>
      <c r="C7" s="8" t="s">
        <v>1099</v>
      </c>
      <c r="D7" s="4"/>
      <c r="E7" s="4"/>
      <c r="F7" s="4">
        <v>2.3199999999999998</v>
      </c>
      <c r="G7" s="4"/>
      <c r="H7" s="4"/>
      <c r="I7" s="4"/>
      <c r="J7" s="4"/>
      <c r="K7" s="4" t="s">
        <v>63</v>
      </c>
      <c r="L7" s="4"/>
      <c r="M7" s="4"/>
      <c r="N7" s="4"/>
      <c r="O7" s="4"/>
    </row>
    <row r="8" spans="1:15" x14ac:dyDescent="0.2">
      <c r="A8" s="8" t="s">
        <v>28</v>
      </c>
      <c r="B8" s="8" t="s">
        <v>106</v>
      </c>
      <c r="C8" s="8" t="s">
        <v>1100</v>
      </c>
      <c r="D8" s="4"/>
      <c r="E8" s="4"/>
      <c r="F8" s="4">
        <v>242.57</v>
      </c>
      <c r="G8" s="4"/>
      <c r="H8" s="4" t="s">
        <v>2001</v>
      </c>
      <c r="I8" s="4" t="s">
        <v>2001</v>
      </c>
      <c r="J8" s="4" t="s">
        <v>2001</v>
      </c>
      <c r="K8" s="4" t="s">
        <v>2001</v>
      </c>
      <c r="L8" s="4" t="s">
        <v>2001</v>
      </c>
      <c r="M8" s="4" t="s">
        <v>2001</v>
      </c>
      <c r="N8" s="4" t="s">
        <v>2001</v>
      </c>
      <c r="O8" s="4" t="s">
        <v>2001</v>
      </c>
    </row>
    <row r="9" spans="1:15" x14ac:dyDescent="0.2">
      <c r="A9" s="8" t="s">
        <v>28</v>
      </c>
      <c r="B9" s="8" t="s">
        <v>106</v>
      </c>
      <c r="C9" s="8" t="s">
        <v>1101</v>
      </c>
      <c r="D9" s="4"/>
      <c r="E9" s="4"/>
      <c r="F9" s="4">
        <v>233.29</v>
      </c>
      <c r="G9" s="4"/>
      <c r="H9" s="4" t="s">
        <v>2001</v>
      </c>
      <c r="I9" s="4" t="s">
        <v>2001</v>
      </c>
      <c r="J9" s="4" t="s">
        <v>2001</v>
      </c>
      <c r="K9" s="4" t="s">
        <v>2001</v>
      </c>
      <c r="L9" s="4" t="s">
        <v>2001</v>
      </c>
      <c r="M9" s="4" t="s">
        <v>2001</v>
      </c>
      <c r="N9" s="4" t="s">
        <v>2001</v>
      </c>
      <c r="O9" s="4" t="s">
        <v>2001</v>
      </c>
    </row>
    <row r="10" spans="1:15" x14ac:dyDescent="0.2">
      <c r="A10" s="8" t="s">
        <v>28</v>
      </c>
      <c r="B10" s="8" t="s">
        <v>1102</v>
      </c>
      <c r="C10" s="8" t="s">
        <v>1103</v>
      </c>
      <c r="D10" s="4"/>
      <c r="E10" s="4">
        <v>158.43</v>
      </c>
      <c r="F10" s="4">
        <v>152.46</v>
      </c>
      <c r="G10" s="4">
        <v>117.86</v>
      </c>
      <c r="H10" s="4" t="s">
        <v>1998</v>
      </c>
      <c r="I10" s="4" t="s">
        <v>1998</v>
      </c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28</v>
      </c>
      <c r="B11" s="8" t="s">
        <v>1104</v>
      </c>
      <c r="C11" s="8" t="s">
        <v>1105</v>
      </c>
      <c r="D11" s="4"/>
      <c r="E11" s="4">
        <v>116.6</v>
      </c>
      <c r="F11" s="4">
        <v>117.14</v>
      </c>
      <c r="G11" s="4">
        <v>151.6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28</v>
      </c>
      <c r="B12" s="8" t="s">
        <v>1106</v>
      </c>
      <c r="C12" s="8" t="s">
        <v>1107</v>
      </c>
      <c r="D12" s="4"/>
      <c r="E12" s="4">
        <v>148.33000000000001</v>
      </c>
      <c r="F12" s="4">
        <v>149.16</v>
      </c>
      <c r="G12" s="4">
        <v>151.08000000000001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28</v>
      </c>
      <c r="B13" s="8" t="s">
        <v>1108</v>
      </c>
      <c r="C13" s="8" t="s">
        <v>1109</v>
      </c>
      <c r="D13" s="4"/>
      <c r="E13" s="4">
        <v>150.81</v>
      </c>
      <c r="F13" s="4">
        <v>115.85</v>
      </c>
      <c r="G13" s="4">
        <v>118.52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28</v>
      </c>
      <c r="B14" s="8" t="s">
        <v>1110</v>
      </c>
      <c r="C14" s="8" t="s">
        <v>1111</v>
      </c>
      <c r="D14" s="4"/>
      <c r="E14" s="4">
        <v>117.74</v>
      </c>
      <c r="F14" s="4">
        <v>148.88</v>
      </c>
      <c r="G14" s="4">
        <v>182.49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28</v>
      </c>
      <c r="B15" s="8" t="s">
        <v>1112</v>
      </c>
      <c r="C15" s="8" t="s">
        <v>1113</v>
      </c>
      <c r="D15" s="4"/>
      <c r="E15" s="4">
        <v>154.19</v>
      </c>
      <c r="F15" s="4">
        <v>153.19</v>
      </c>
      <c r="G15" s="4">
        <v>121.98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28</v>
      </c>
      <c r="B16" s="8" t="s">
        <v>1114</v>
      </c>
      <c r="C16" s="8" t="s">
        <v>1115</v>
      </c>
      <c r="D16" s="4"/>
      <c r="E16" s="4">
        <v>115.55</v>
      </c>
      <c r="F16" s="4">
        <v>116.35</v>
      </c>
      <c r="G16" s="4">
        <v>154.52000000000001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28</v>
      </c>
      <c r="B17" s="8" t="s">
        <v>1116</v>
      </c>
      <c r="C17" s="8" t="s">
        <v>1117</v>
      </c>
      <c r="D17" s="4"/>
      <c r="E17" s="4">
        <v>147.62</v>
      </c>
      <c r="F17" s="4">
        <v>146.47</v>
      </c>
      <c r="G17" s="4">
        <v>152.52000000000001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28</v>
      </c>
      <c r="B18" s="8" t="s">
        <v>1118</v>
      </c>
      <c r="C18" s="8" t="s">
        <v>1119</v>
      </c>
      <c r="D18" s="4"/>
      <c r="E18" s="4">
        <v>151.1</v>
      </c>
      <c r="F18" s="4">
        <v>151.16</v>
      </c>
      <c r="G18" s="4">
        <v>116.87</v>
      </c>
      <c r="H18" s="4" t="s">
        <v>1998</v>
      </c>
      <c r="I18" s="4" t="s">
        <v>1998</v>
      </c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28</v>
      </c>
      <c r="B19" s="8" t="s">
        <v>1120</v>
      </c>
      <c r="C19" s="8" t="s">
        <v>1121</v>
      </c>
      <c r="D19" s="4"/>
      <c r="E19" s="4">
        <v>149.02000000000001</v>
      </c>
      <c r="F19" s="4">
        <v>148.74</v>
      </c>
      <c r="G19" s="4">
        <v>185.78</v>
      </c>
      <c r="H19" s="4" t="s">
        <v>1998</v>
      </c>
      <c r="I19" s="4" t="s">
        <v>1998</v>
      </c>
      <c r="J19" s="4" t="s">
        <v>1998</v>
      </c>
      <c r="K19" s="4" t="s">
        <v>1998</v>
      </c>
      <c r="L19" s="4"/>
      <c r="M19" s="4"/>
      <c r="N19" s="4"/>
      <c r="O19" s="4"/>
    </row>
    <row r="20" spans="1:15" x14ac:dyDescent="0.2">
      <c r="A20" s="8" t="s">
        <v>28</v>
      </c>
      <c r="B20" s="8" t="s">
        <v>1122</v>
      </c>
      <c r="C20" s="8" t="s">
        <v>1123</v>
      </c>
      <c r="D20" s="4"/>
      <c r="E20" s="4">
        <v>37.24</v>
      </c>
      <c r="F20" s="4">
        <v>37.65</v>
      </c>
      <c r="G20" s="4">
        <v>37.54</v>
      </c>
      <c r="H20" s="4" t="s">
        <v>1998</v>
      </c>
      <c r="I20" s="4" t="s">
        <v>1998</v>
      </c>
      <c r="J20" s="4" t="s">
        <v>1998</v>
      </c>
      <c r="K20" s="4" t="s">
        <v>1998</v>
      </c>
      <c r="L20" s="4"/>
      <c r="M20" s="4"/>
      <c r="N20" s="4"/>
      <c r="O20" s="4"/>
    </row>
    <row r="21" spans="1:15" x14ac:dyDescent="0.2">
      <c r="A21" s="8" t="s">
        <v>28</v>
      </c>
      <c r="B21" s="8" t="s">
        <v>1124</v>
      </c>
      <c r="C21" s="8" t="s">
        <v>1125</v>
      </c>
      <c r="D21" s="4"/>
      <c r="E21" s="4">
        <v>36.49</v>
      </c>
      <c r="F21" s="4">
        <v>35.71</v>
      </c>
      <c r="G21" s="4">
        <v>36.26</v>
      </c>
      <c r="H21" s="4" t="s">
        <v>1998</v>
      </c>
      <c r="I21" s="4" t="s">
        <v>1998</v>
      </c>
      <c r="J21" s="4" t="s">
        <v>1998</v>
      </c>
      <c r="K21" s="4" t="s">
        <v>1998</v>
      </c>
      <c r="L21" s="4"/>
      <c r="M21" s="4"/>
      <c r="N21" s="4"/>
      <c r="O21" s="4"/>
    </row>
    <row r="22" spans="1:15" x14ac:dyDescent="0.2">
      <c r="A22" s="8" t="s">
        <v>28</v>
      </c>
      <c r="B22" s="8" t="s">
        <v>1126</v>
      </c>
      <c r="C22" s="8" t="s">
        <v>1127</v>
      </c>
      <c r="D22" s="4"/>
      <c r="E22" s="4">
        <v>73.97</v>
      </c>
      <c r="F22" s="4">
        <v>35.49</v>
      </c>
      <c r="G22" s="4">
        <v>36.32</v>
      </c>
      <c r="H22" s="4" t="s">
        <v>1998</v>
      </c>
      <c r="I22" s="4" t="s">
        <v>1998</v>
      </c>
      <c r="J22" s="4" t="s">
        <v>1998</v>
      </c>
      <c r="K22" s="4" t="s">
        <v>1998</v>
      </c>
      <c r="L22" s="4"/>
      <c r="M22" s="4"/>
      <c r="N22" s="4"/>
      <c r="O22" s="4"/>
    </row>
    <row r="23" spans="1:15" x14ac:dyDescent="0.2">
      <c r="A23" s="8" t="s">
        <v>28</v>
      </c>
      <c r="B23" s="8" t="s">
        <v>1128</v>
      </c>
      <c r="C23" s="8" t="s">
        <v>1129</v>
      </c>
      <c r="D23" s="4"/>
      <c r="E23" s="4">
        <v>37.61</v>
      </c>
      <c r="F23" s="4">
        <v>75.41</v>
      </c>
      <c r="G23" s="4">
        <v>35.53</v>
      </c>
      <c r="H23" s="4" t="s">
        <v>1998</v>
      </c>
      <c r="I23" s="4" t="s">
        <v>1998</v>
      </c>
      <c r="J23" s="4" t="s">
        <v>1998</v>
      </c>
      <c r="K23" s="4" t="s">
        <v>1998</v>
      </c>
      <c r="L23" s="4"/>
      <c r="M23" s="4"/>
      <c r="N23" s="4"/>
      <c r="O23" s="4"/>
    </row>
    <row r="24" spans="1:15" x14ac:dyDescent="0.2">
      <c r="A24" s="8" t="s">
        <v>28</v>
      </c>
      <c r="B24" s="8" t="s">
        <v>1130</v>
      </c>
      <c r="C24" s="8" t="s">
        <v>1131</v>
      </c>
      <c r="D24" s="4"/>
      <c r="E24" s="4">
        <v>56.21</v>
      </c>
      <c r="F24" s="4">
        <v>57.14</v>
      </c>
      <c r="G24" s="4">
        <v>91.44</v>
      </c>
      <c r="H24" s="4" t="s">
        <v>1998</v>
      </c>
      <c r="I24" s="4" t="s">
        <v>1998</v>
      </c>
      <c r="J24" s="4" t="s">
        <v>1998</v>
      </c>
      <c r="K24" s="4" t="s">
        <v>1998</v>
      </c>
      <c r="L24" s="4"/>
      <c r="M24" s="4"/>
      <c r="N24" s="4"/>
      <c r="O24" s="4"/>
    </row>
    <row r="25" spans="1:15" x14ac:dyDescent="0.2">
      <c r="A25" s="8" t="s">
        <v>28</v>
      </c>
      <c r="B25" s="8" t="s">
        <v>1132</v>
      </c>
      <c r="C25" s="8" t="s">
        <v>1133</v>
      </c>
      <c r="D25" s="4"/>
      <c r="E25" s="4">
        <v>85.1</v>
      </c>
      <c r="F25" s="4">
        <v>86.82</v>
      </c>
      <c r="G25" s="4">
        <v>85.32</v>
      </c>
      <c r="H25" s="4" t="s">
        <v>1998</v>
      </c>
      <c r="I25" s="4" t="s">
        <v>1998</v>
      </c>
      <c r="J25" s="4" t="s">
        <v>1998</v>
      </c>
      <c r="K25" s="4" t="s">
        <v>1998</v>
      </c>
      <c r="L25" s="4"/>
      <c r="M25" s="4"/>
      <c r="N25" s="4"/>
      <c r="O25" s="4"/>
    </row>
    <row r="26" spans="1:15" x14ac:dyDescent="0.2">
      <c r="A26" s="8" t="s">
        <v>28</v>
      </c>
      <c r="B26" s="8" t="s">
        <v>1134</v>
      </c>
      <c r="C26" s="8" t="s">
        <v>1135</v>
      </c>
      <c r="D26" s="4"/>
      <c r="E26" s="4">
        <v>45.98</v>
      </c>
      <c r="F26" s="4">
        <v>46.12</v>
      </c>
      <c r="G26" s="4">
        <v>46.51</v>
      </c>
      <c r="H26" s="4" t="s">
        <v>1998</v>
      </c>
      <c r="I26" s="4" t="s">
        <v>1998</v>
      </c>
      <c r="J26" s="4" t="s">
        <v>1998</v>
      </c>
      <c r="K26" s="4" t="s">
        <v>1998</v>
      </c>
      <c r="L26" s="4"/>
      <c r="M26" s="4"/>
      <c r="N26" s="4"/>
      <c r="O26" s="4"/>
    </row>
    <row r="27" spans="1:15" x14ac:dyDescent="0.2">
      <c r="A27" s="8" t="s">
        <v>28</v>
      </c>
      <c r="B27" s="8" t="s">
        <v>1136</v>
      </c>
      <c r="C27" s="8" t="s">
        <v>1137</v>
      </c>
      <c r="D27" s="4"/>
      <c r="E27" s="4">
        <v>317.61</v>
      </c>
      <c r="F27" s="4">
        <v>341.73</v>
      </c>
      <c r="G27" s="4">
        <v>321.39999999999998</v>
      </c>
      <c r="H27" s="4"/>
      <c r="I27" s="4"/>
      <c r="J27" s="4"/>
      <c r="K27" s="4"/>
      <c r="L27" s="4" t="s">
        <v>1998</v>
      </c>
      <c r="M27" s="4"/>
      <c r="N27" s="4"/>
      <c r="O27" s="4"/>
    </row>
    <row r="28" spans="1:15" x14ac:dyDescent="0.2">
      <c r="A28" s="8" t="s">
        <v>28</v>
      </c>
      <c r="B28" s="8" t="s">
        <v>1138</v>
      </c>
      <c r="C28" s="8" t="s">
        <v>1139</v>
      </c>
      <c r="D28" s="4"/>
      <c r="E28" s="4">
        <v>234.75</v>
      </c>
      <c r="F28" s="4">
        <v>268.32</v>
      </c>
      <c r="G28" s="4">
        <v>235.34</v>
      </c>
      <c r="H28" s="4"/>
      <c r="I28" s="4"/>
      <c r="J28" s="4"/>
      <c r="K28" s="4"/>
      <c r="L28" s="4" t="s">
        <v>1998</v>
      </c>
      <c r="M28" s="4"/>
      <c r="N28" s="4"/>
      <c r="O28" s="4"/>
    </row>
    <row r="29" spans="1:15" x14ac:dyDescent="0.2">
      <c r="A29" s="8" t="s">
        <v>28</v>
      </c>
      <c r="B29" s="8" t="s">
        <v>1140</v>
      </c>
      <c r="C29" s="8" t="s">
        <v>1141</v>
      </c>
      <c r="D29" s="4"/>
      <c r="E29" s="4">
        <v>275.57</v>
      </c>
      <c r="F29" s="4">
        <v>233.59</v>
      </c>
      <c r="G29" s="4">
        <v>237.36</v>
      </c>
      <c r="H29" s="4"/>
      <c r="I29" s="4"/>
      <c r="J29" s="4"/>
      <c r="K29" s="4"/>
      <c r="L29" s="4" t="s">
        <v>1998</v>
      </c>
      <c r="M29" s="4"/>
      <c r="N29" s="4"/>
      <c r="O29" s="4"/>
    </row>
    <row r="30" spans="1:15" x14ac:dyDescent="0.2">
      <c r="A30" s="8" t="s">
        <v>28</v>
      </c>
      <c r="B30" s="8" t="s">
        <v>1142</v>
      </c>
      <c r="C30" s="8" t="s">
        <v>1143</v>
      </c>
      <c r="D30" s="4"/>
      <c r="E30" s="4">
        <v>233.97</v>
      </c>
      <c r="F30" s="4">
        <v>267.97000000000003</v>
      </c>
      <c r="G30" s="4">
        <v>274.64</v>
      </c>
      <c r="H30" s="4"/>
      <c r="I30" s="4"/>
      <c r="J30" s="4"/>
      <c r="K30" s="4"/>
      <c r="L30" s="4" t="s">
        <v>1998</v>
      </c>
      <c r="M30" s="4"/>
      <c r="N30" s="4"/>
      <c r="O30" s="4"/>
    </row>
    <row r="31" spans="1:15" x14ac:dyDescent="0.2">
      <c r="A31" s="8" t="s">
        <v>28</v>
      </c>
      <c r="B31" s="8" t="s">
        <v>1144</v>
      </c>
      <c r="C31" s="8" t="s">
        <v>1145</v>
      </c>
      <c r="D31" s="4"/>
      <c r="E31" s="4">
        <v>267.73</v>
      </c>
      <c r="F31" s="4">
        <v>235.5</v>
      </c>
      <c r="G31" s="4">
        <v>236.13</v>
      </c>
      <c r="H31" s="4"/>
      <c r="I31" s="4"/>
      <c r="J31" s="4"/>
      <c r="K31" s="4"/>
      <c r="L31" s="4" t="s">
        <v>1998</v>
      </c>
      <c r="M31" s="4"/>
      <c r="N31" s="4"/>
      <c r="O31" s="4"/>
    </row>
    <row r="32" spans="1:15" x14ac:dyDescent="0.2">
      <c r="A32" s="8" t="s">
        <v>28</v>
      </c>
      <c r="B32" s="8" t="s">
        <v>1146</v>
      </c>
      <c r="C32" s="8" t="s">
        <v>1147</v>
      </c>
      <c r="D32" s="4"/>
      <c r="E32" s="4">
        <v>237.58</v>
      </c>
      <c r="F32" s="4">
        <v>269.79000000000002</v>
      </c>
      <c r="G32" s="4">
        <v>234.36</v>
      </c>
      <c r="H32" s="4"/>
      <c r="I32" s="4"/>
      <c r="J32" s="4"/>
      <c r="K32" s="4"/>
      <c r="L32" s="4" t="s">
        <v>1998</v>
      </c>
      <c r="M32" s="4"/>
      <c r="N32" s="4"/>
      <c r="O32" s="4"/>
    </row>
    <row r="33" spans="1:15" x14ac:dyDescent="0.2">
      <c r="A33" s="8" t="s">
        <v>28</v>
      </c>
      <c r="B33" s="8" t="s">
        <v>1148</v>
      </c>
      <c r="C33" s="8" t="s">
        <v>1149</v>
      </c>
      <c r="D33" s="4"/>
      <c r="E33" s="4">
        <v>241.03</v>
      </c>
      <c r="F33" s="4">
        <v>234.32</v>
      </c>
      <c r="G33" s="4">
        <v>281.16000000000003</v>
      </c>
      <c r="H33" s="4"/>
      <c r="I33" s="4"/>
      <c r="J33" s="4"/>
      <c r="K33" s="4"/>
      <c r="L33" s="4" t="s">
        <v>1998</v>
      </c>
      <c r="M33" s="4"/>
      <c r="N33" s="4"/>
      <c r="O33" s="4"/>
    </row>
    <row r="34" spans="1:15" x14ac:dyDescent="0.2">
      <c r="A34" s="8" t="s">
        <v>28</v>
      </c>
      <c r="B34" s="8" t="s">
        <v>1150</v>
      </c>
      <c r="C34" s="8" t="s">
        <v>1151</v>
      </c>
      <c r="D34" s="4"/>
      <c r="E34" s="4">
        <v>266.61</v>
      </c>
      <c r="F34" s="4">
        <v>266.47000000000003</v>
      </c>
      <c r="G34" s="4">
        <v>234.33</v>
      </c>
      <c r="H34" s="4"/>
      <c r="I34" s="4"/>
      <c r="J34" s="4"/>
      <c r="K34" s="4"/>
      <c r="L34" s="4" t="s">
        <v>1998</v>
      </c>
      <c r="M34" s="4"/>
      <c r="N34" s="4"/>
      <c r="O34" s="4"/>
    </row>
    <row r="35" spans="1:15" x14ac:dyDescent="0.2">
      <c r="A35" s="8" t="s">
        <v>28</v>
      </c>
      <c r="B35" s="8" t="s">
        <v>1152</v>
      </c>
      <c r="C35" s="8" t="s">
        <v>1153</v>
      </c>
      <c r="D35" s="4"/>
      <c r="E35" s="4">
        <v>235.7</v>
      </c>
      <c r="F35" s="4">
        <v>233.13</v>
      </c>
      <c r="G35" s="4">
        <v>269.07</v>
      </c>
      <c r="H35" s="4"/>
      <c r="I35" s="4"/>
      <c r="J35" s="4"/>
      <c r="K35" s="4"/>
      <c r="L35" s="4" t="s">
        <v>1998</v>
      </c>
      <c r="M35" s="4"/>
      <c r="N35" s="4"/>
      <c r="O35" s="4"/>
    </row>
    <row r="36" spans="1:15" x14ac:dyDescent="0.2">
      <c r="A36" s="8" t="s">
        <v>28</v>
      </c>
      <c r="B36" s="8" t="s">
        <v>1154</v>
      </c>
      <c r="C36" s="8" t="s">
        <v>1155</v>
      </c>
      <c r="D36" s="4"/>
      <c r="E36" s="4">
        <v>235.66</v>
      </c>
      <c r="F36" s="4">
        <v>267.70999999999998</v>
      </c>
      <c r="G36" s="4">
        <v>238.92</v>
      </c>
      <c r="H36" s="4"/>
      <c r="I36" s="4"/>
      <c r="J36" s="4"/>
      <c r="K36" s="4"/>
      <c r="L36" s="4" t="s">
        <v>1998</v>
      </c>
      <c r="M36" s="4"/>
      <c r="N36" s="4"/>
      <c r="O36" s="4"/>
    </row>
    <row r="37" spans="1:15" x14ac:dyDescent="0.2">
      <c r="A37" s="8" t="s">
        <v>28</v>
      </c>
      <c r="B37" s="8" t="s">
        <v>1156</v>
      </c>
      <c r="C37" s="8" t="s">
        <v>1157</v>
      </c>
      <c r="D37" s="4"/>
      <c r="E37" s="4">
        <v>274.33</v>
      </c>
      <c r="F37" s="4">
        <v>236.33</v>
      </c>
      <c r="G37" s="4">
        <v>242.38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28</v>
      </c>
      <c r="B38" s="8" t="s">
        <v>1158</v>
      </c>
      <c r="C38" s="8" t="s">
        <v>1159</v>
      </c>
      <c r="D38" s="4"/>
      <c r="E38" s="4">
        <v>235.27</v>
      </c>
      <c r="F38" s="4">
        <v>269.58999999999997</v>
      </c>
      <c r="G38" s="4">
        <v>271.39999999999998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28</v>
      </c>
      <c r="B39" s="8" t="s">
        <v>1160</v>
      </c>
      <c r="C39" s="8" t="s">
        <v>1161</v>
      </c>
      <c r="D39" s="4"/>
      <c r="E39" s="4">
        <v>266.42</v>
      </c>
      <c r="F39" s="4">
        <v>268.27999999999997</v>
      </c>
      <c r="G39" s="4">
        <v>237.42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28</v>
      </c>
      <c r="B40" s="8" t="s">
        <v>1162</v>
      </c>
      <c r="C40" s="8" t="s">
        <v>1163</v>
      </c>
      <c r="D40" s="4"/>
      <c r="E40" s="4">
        <v>272.82</v>
      </c>
      <c r="F40" s="4">
        <v>236.45</v>
      </c>
      <c r="G40" s="4">
        <v>236.89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28</v>
      </c>
      <c r="B41" s="8" t="s">
        <v>1164</v>
      </c>
      <c r="C41" s="8" t="s">
        <v>1165</v>
      </c>
      <c r="D41" s="4"/>
      <c r="E41" s="4">
        <v>69.91</v>
      </c>
      <c r="F41" s="4">
        <v>71.45</v>
      </c>
      <c r="G41" s="4">
        <v>109.63</v>
      </c>
      <c r="H41" s="4"/>
      <c r="I41" s="4"/>
      <c r="J41" s="4"/>
      <c r="K41" s="4"/>
      <c r="L41" s="4" t="s">
        <v>1998</v>
      </c>
      <c r="M41" s="4"/>
      <c r="N41" s="4"/>
      <c r="O41" s="4"/>
    </row>
    <row r="42" spans="1:15" x14ac:dyDescent="0.2">
      <c r="A42" s="8" t="s">
        <v>28</v>
      </c>
      <c r="B42" s="8" t="s">
        <v>1166</v>
      </c>
      <c r="C42" s="8" t="s">
        <v>1167</v>
      </c>
      <c r="D42" s="4"/>
      <c r="E42" s="4">
        <v>67.53</v>
      </c>
      <c r="F42" s="4">
        <v>103.24</v>
      </c>
      <c r="G42" s="4">
        <v>62.65</v>
      </c>
      <c r="H42" s="4"/>
      <c r="I42" s="4"/>
      <c r="J42" s="4"/>
      <c r="K42" s="4"/>
      <c r="L42" s="4" t="s">
        <v>1998</v>
      </c>
      <c r="M42" s="4"/>
      <c r="N42" s="4"/>
      <c r="O42" s="4"/>
    </row>
    <row r="43" spans="1:15" x14ac:dyDescent="0.2">
      <c r="A43" s="8" t="s">
        <v>28</v>
      </c>
      <c r="B43" s="8" t="s">
        <v>1168</v>
      </c>
      <c r="C43" s="8" t="s">
        <v>1169</v>
      </c>
      <c r="D43" s="4"/>
      <c r="E43" s="4">
        <v>128.65</v>
      </c>
      <c r="F43" s="4">
        <v>97.94</v>
      </c>
      <c r="G43" s="4">
        <v>129.08000000000001</v>
      </c>
      <c r="H43" s="4"/>
      <c r="I43" s="4"/>
      <c r="J43" s="4"/>
      <c r="K43" s="4"/>
      <c r="L43" s="4" t="s">
        <v>1998</v>
      </c>
      <c r="M43" s="4"/>
      <c r="N43" s="4"/>
      <c r="O43" s="4"/>
    </row>
    <row r="44" spans="1:15" x14ac:dyDescent="0.2">
      <c r="A44" s="8" t="s">
        <v>28</v>
      </c>
      <c r="B44" s="8" t="s">
        <v>1170</v>
      </c>
      <c r="C44" s="8" t="s">
        <v>1171</v>
      </c>
      <c r="D44" s="4"/>
      <c r="E44" s="4">
        <v>131.03</v>
      </c>
      <c r="F44" s="4">
        <v>136.22999999999999</v>
      </c>
      <c r="G44" s="4">
        <v>96.88</v>
      </c>
      <c r="H44" s="4"/>
      <c r="I44" s="4"/>
      <c r="J44" s="4"/>
      <c r="K44" s="4"/>
      <c r="L44" s="4" t="s">
        <v>1998</v>
      </c>
      <c r="M44" s="4"/>
      <c r="N44" s="4"/>
      <c r="O44" s="4"/>
    </row>
    <row r="45" spans="1:15" x14ac:dyDescent="0.2">
      <c r="A45" s="8" t="s">
        <v>28</v>
      </c>
      <c r="B45" s="8" t="s">
        <v>1172</v>
      </c>
      <c r="C45" s="8" t="s">
        <v>1173</v>
      </c>
      <c r="D45" s="4"/>
      <c r="E45" s="4">
        <v>258.45999999999998</v>
      </c>
      <c r="F45" s="4">
        <v>288.35000000000002</v>
      </c>
      <c r="G45" s="4">
        <v>298.45</v>
      </c>
      <c r="H45" s="4"/>
      <c r="I45" s="4"/>
      <c r="J45" s="4"/>
      <c r="K45" s="4"/>
      <c r="L45" s="4" t="s">
        <v>1998</v>
      </c>
      <c r="M45" s="4"/>
      <c r="N45" s="4"/>
      <c r="O45" s="4"/>
    </row>
    <row r="46" spans="1:15" x14ac:dyDescent="0.2">
      <c r="A46" s="8" t="s">
        <v>28</v>
      </c>
      <c r="B46" s="8" t="s">
        <v>1174</v>
      </c>
      <c r="C46" s="8" t="s">
        <v>1175</v>
      </c>
      <c r="D46" s="4"/>
      <c r="E46" s="4">
        <v>288.33</v>
      </c>
      <c r="F46" s="4">
        <v>260.97000000000003</v>
      </c>
      <c r="G46" s="4">
        <v>262.41000000000003</v>
      </c>
      <c r="H46" s="4"/>
      <c r="I46" s="4"/>
      <c r="J46" s="4"/>
      <c r="K46" s="4"/>
      <c r="L46" s="4" t="s">
        <v>1998</v>
      </c>
      <c r="M46" s="4"/>
      <c r="N46" s="4"/>
      <c r="O46" s="4"/>
    </row>
    <row r="47" spans="1:15" x14ac:dyDescent="0.2">
      <c r="A47" s="8" t="s">
        <v>28</v>
      </c>
      <c r="B47" s="8" t="s">
        <v>1176</v>
      </c>
      <c r="C47" s="8" t="s">
        <v>1177</v>
      </c>
      <c r="D47" s="4"/>
      <c r="E47" s="4">
        <v>50.02</v>
      </c>
      <c r="F47" s="4">
        <v>50.09</v>
      </c>
      <c r="G47" s="4">
        <v>85</v>
      </c>
      <c r="H47" s="4"/>
      <c r="I47" s="4"/>
      <c r="J47" s="4"/>
      <c r="K47" s="4"/>
      <c r="L47" s="4" t="s">
        <v>1998</v>
      </c>
      <c r="M47" s="4"/>
      <c r="N47" s="4"/>
      <c r="O47" s="4"/>
    </row>
    <row r="48" spans="1:15" x14ac:dyDescent="0.2">
      <c r="A48" s="8" t="s">
        <v>28</v>
      </c>
      <c r="B48" s="8" t="s">
        <v>1178</v>
      </c>
      <c r="C48" s="8" t="s">
        <v>1179</v>
      </c>
      <c r="D48" s="4"/>
      <c r="E48" s="4">
        <v>80.489999999999995</v>
      </c>
      <c r="F48" s="4">
        <v>77.760000000000005</v>
      </c>
      <c r="G48" s="4">
        <v>50.56</v>
      </c>
      <c r="H48" s="4"/>
      <c r="I48" s="4"/>
      <c r="J48" s="4"/>
      <c r="K48" s="4"/>
      <c r="L48" s="4" t="s">
        <v>1998</v>
      </c>
      <c r="M48" s="4"/>
      <c r="N48" s="4"/>
      <c r="O48" s="4"/>
    </row>
    <row r="49" spans="1:15" x14ac:dyDescent="0.2">
      <c r="A49" s="8" t="s">
        <v>28</v>
      </c>
      <c r="B49" s="8" t="s">
        <v>1180</v>
      </c>
      <c r="C49" s="8" t="s">
        <v>1181</v>
      </c>
      <c r="D49" s="4"/>
      <c r="E49" s="4">
        <v>49.69</v>
      </c>
      <c r="F49" s="4">
        <v>49.41</v>
      </c>
      <c r="G49" s="4">
        <v>51.48</v>
      </c>
      <c r="H49" s="4"/>
      <c r="I49" s="4"/>
      <c r="J49" s="4"/>
      <c r="K49" s="4"/>
      <c r="L49" s="4" t="s">
        <v>1998</v>
      </c>
      <c r="M49" s="4"/>
      <c r="N49" s="4"/>
      <c r="O49" s="4"/>
    </row>
    <row r="50" spans="1:15" x14ac:dyDescent="0.2">
      <c r="A50" s="8" t="s">
        <v>28</v>
      </c>
      <c r="B50" s="8" t="s">
        <v>1182</v>
      </c>
      <c r="C50" s="8" t="s">
        <v>1183</v>
      </c>
      <c r="D50" s="4"/>
      <c r="E50" s="4">
        <v>48.66</v>
      </c>
      <c r="F50" s="4">
        <v>48.8</v>
      </c>
      <c r="G50" s="4">
        <v>50</v>
      </c>
      <c r="H50" s="4"/>
      <c r="I50" s="4"/>
      <c r="J50" s="4"/>
      <c r="K50" s="4"/>
      <c r="L50" s="4" t="s">
        <v>1998</v>
      </c>
      <c r="M50" s="4"/>
      <c r="N50" s="4"/>
      <c r="O50" s="4"/>
    </row>
    <row r="51" spans="1:15" x14ac:dyDescent="0.2">
      <c r="A51" s="8" t="s">
        <v>28</v>
      </c>
      <c r="B51" s="8" t="s">
        <v>1184</v>
      </c>
      <c r="C51" s="8" t="s">
        <v>1185</v>
      </c>
      <c r="D51" s="4"/>
      <c r="E51" s="4">
        <v>48.49</v>
      </c>
      <c r="F51" s="4">
        <v>78.45</v>
      </c>
      <c r="G51" s="4">
        <v>79.150000000000006</v>
      </c>
      <c r="H51" s="4"/>
      <c r="I51" s="4"/>
      <c r="J51" s="4"/>
      <c r="K51" s="4"/>
      <c r="L51" s="4" t="s">
        <v>1998</v>
      </c>
      <c r="M51" s="4"/>
      <c r="N51" s="4"/>
      <c r="O51" s="4"/>
    </row>
    <row r="52" spans="1:15" x14ac:dyDescent="0.2">
      <c r="A52" s="8" t="s">
        <v>28</v>
      </c>
      <c r="B52" s="8" t="s">
        <v>1186</v>
      </c>
      <c r="C52" s="8" t="s">
        <v>1187</v>
      </c>
      <c r="D52" s="4"/>
      <c r="E52" s="4">
        <v>48.73</v>
      </c>
      <c r="F52" s="4">
        <v>49.1</v>
      </c>
      <c r="G52" s="4">
        <v>49.23</v>
      </c>
      <c r="H52" s="4"/>
      <c r="I52" s="4"/>
      <c r="J52" s="4"/>
      <c r="K52" s="4"/>
      <c r="L52" s="4" t="s">
        <v>1998</v>
      </c>
      <c r="M52" s="4"/>
      <c r="N52" s="4"/>
      <c r="O52" s="4"/>
    </row>
    <row r="53" spans="1:15" x14ac:dyDescent="0.2">
      <c r="A53" s="8" t="s">
        <v>28</v>
      </c>
      <c r="B53" s="8" t="s">
        <v>1188</v>
      </c>
      <c r="C53" s="8" t="s">
        <v>1189</v>
      </c>
      <c r="D53" s="4"/>
      <c r="E53" s="4">
        <v>83.91</v>
      </c>
      <c r="F53" s="4">
        <v>48.12</v>
      </c>
      <c r="G53" s="4">
        <v>48.02</v>
      </c>
      <c r="H53" s="4"/>
      <c r="I53" s="4"/>
      <c r="J53" s="4"/>
      <c r="K53" s="4"/>
      <c r="L53" s="4" t="s">
        <v>1998</v>
      </c>
      <c r="M53" s="4"/>
      <c r="N53" s="4"/>
      <c r="O53" s="4"/>
    </row>
    <row r="54" spans="1:15" x14ac:dyDescent="0.2">
      <c r="A54" s="8" t="s">
        <v>28</v>
      </c>
      <c r="B54" s="8" t="s">
        <v>1190</v>
      </c>
      <c r="C54" s="8" t="s">
        <v>1191</v>
      </c>
      <c r="D54" s="4"/>
      <c r="E54" s="4">
        <v>49.89</v>
      </c>
      <c r="F54" s="4">
        <v>79.14</v>
      </c>
      <c r="G54" s="4">
        <v>48.45</v>
      </c>
      <c r="H54" s="4"/>
      <c r="I54" s="4"/>
      <c r="J54" s="4"/>
      <c r="K54" s="4"/>
      <c r="L54" s="4" t="s">
        <v>1998</v>
      </c>
      <c r="M54" s="4"/>
      <c r="N54" s="4"/>
      <c r="O54" s="4"/>
    </row>
    <row r="55" spans="1:15" x14ac:dyDescent="0.2">
      <c r="A55" s="8" t="s">
        <v>28</v>
      </c>
      <c r="B55" s="8" t="s">
        <v>1192</v>
      </c>
      <c r="C55" s="8" t="s">
        <v>1193</v>
      </c>
      <c r="D55" s="4"/>
      <c r="E55" s="4">
        <v>48.49</v>
      </c>
      <c r="F55" s="4">
        <v>49.46</v>
      </c>
      <c r="G55" s="4">
        <v>80.63</v>
      </c>
      <c r="H55" s="4"/>
      <c r="I55" s="4"/>
      <c r="J55" s="4"/>
      <c r="K55" s="4"/>
      <c r="L55" s="4" t="s">
        <v>1998</v>
      </c>
      <c r="M55" s="4"/>
      <c r="N55" s="4"/>
      <c r="O55" s="4"/>
    </row>
    <row r="56" spans="1:15" x14ac:dyDescent="0.2">
      <c r="A56" s="8" t="s">
        <v>28</v>
      </c>
      <c r="B56" s="8" t="s">
        <v>1194</v>
      </c>
      <c r="C56" s="8" t="s">
        <v>1195</v>
      </c>
      <c r="D56" s="4"/>
      <c r="E56" s="4">
        <v>84.61</v>
      </c>
      <c r="F56" s="4">
        <v>47.93</v>
      </c>
      <c r="G56" s="4">
        <v>49.01</v>
      </c>
      <c r="H56" s="4"/>
      <c r="I56" s="4"/>
      <c r="J56" s="4"/>
      <c r="K56" s="4"/>
      <c r="L56" s="4" t="s">
        <v>1998</v>
      </c>
      <c r="M56" s="4"/>
      <c r="N56" s="4"/>
      <c r="O56" s="4"/>
    </row>
    <row r="57" spans="1:15" x14ac:dyDescent="0.2">
      <c r="A57" s="8" t="s">
        <v>28</v>
      </c>
      <c r="B57" s="8" t="s">
        <v>1196</v>
      </c>
      <c r="C57" s="8" t="s">
        <v>1197</v>
      </c>
      <c r="D57" s="4"/>
      <c r="E57" s="4">
        <v>49.75</v>
      </c>
      <c r="F57" s="4">
        <v>49.2</v>
      </c>
      <c r="G57" s="4">
        <v>48.19</v>
      </c>
      <c r="H57" s="4"/>
      <c r="I57" s="4"/>
      <c r="J57" s="4"/>
      <c r="K57" s="4"/>
      <c r="L57" s="4" t="s">
        <v>1998</v>
      </c>
      <c r="M57" s="4"/>
      <c r="N57" s="4"/>
      <c r="O57" s="4"/>
    </row>
    <row r="58" spans="1:15" x14ac:dyDescent="0.2">
      <c r="A58" s="8" t="s">
        <v>28</v>
      </c>
      <c r="B58" s="8" t="s">
        <v>1198</v>
      </c>
      <c r="C58" s="8" t="s">
        <v>1199</v>
      </c>
      <c r="D58" s="4"/>
      <c r="E58" s="4">
        <v>161.87</v>
      </c>
      <c r="F58" s="4">
        <v>160.41999999999999</v>
      </c>
      <c r="G58" s="4">
        <v>163.78</v>
      </c>
      <c r="H58" s="4"/>
      <c r="I58" s="4"/>
      <c r="J58" s="4"/>
      <c r="K58" s="4"/>
      <c r="L58" s="4" t="s">
        <v>1998</v>
      </c>
      <c r="M58" s="4"/>
      <c r="N58" s="4"/>
      <c r="O58" s="4"/>
    </row>
    <row r="59" spans="1:15" x14ac:dyDescent="0.2">
      <c r="A59" s="8" t="s">
        <v>28</v>
      </c>
      <c r="B59" s="8" t="s">
        <v>1200</v>
      </c>
      <c r="C59" s="8" t="s">
        <v>1201</v>
      </c>
      <c r="D59" s="4"/>
      <c r="E59" s="4">
        <v>162.21</v>
      </c>
      <c r="F59" s="4">
        <v>162.02000000000001</v>
      </c>
      <c r="G59" s="4">
        <v>166.38</v>
      </c>
      <c r="H59" s="4"/>
      <c r="I59" s="4"/>
      <c r="J59" s="4"/>
      <c r="K59" s="4"/>
      <c r="L59" s="4" t="s">
        <v>1998</v>
      </c>
      <c r="M59" s="4"/>
      <c r="N59" s="4"/>
      <c r="O59" s="4"/>
    </row>
    <row r="60" spans="1:15" x14ac:dyDescent="0.2">
      <c r="A60" s="8" t="s">
        <v>28</v>
      </c>
      <c r="B60" s="8" t="s">
        <v>1202</v>
      </c>
      <c r="C60" s="8" t="s">
        <v>1203</v>
      </c>
      <c r="D60" s="4"/>
      <c r="E60" s="4">
        <v>165.52</v>
      </c>
      <c r="F60" s="4">
        <v>162.63999999999999</v>
      </c>
      <c r="G60" s="4">
        <v>169.66</v>
      </c>
      <c r="H60" s="4"/>
      <c r="I60" s="4"/>
      <c r="J60" s="4"/>
      <c r="K60" s="4"/>
      <c r="L60" s="4" t="s">
        <v>1998</v>
      </c>
      <c r="M60" s="4"/>
      <c r="N60" s="4"/>
      <c r="O60" s="4"/>
    </row>
    <row r="61" spans="1:15" x14ac:dyDescent="0.2">
      <c r="A61" s="8" t="s">
        <v>28</v>
      </c>
      <c r="B61" s="8" t="s">
        <v>1204</v>
      </c>
      <c r="C61" s="8" t="s">
        <v>1205</v>
      </c>
      <c r="D61" s="4"/>
      <c r="E61" s="4">
        <v>162.07</v>
      </c>
      <c r="F61" s="4">
        <v>162.5</v>
      </c>
      <c r="G61" s="4">
        <v>161.51</v>
      </c>
      <c r="H61" s="4"/>
      <c r="I61" s="4"/>
      <c r="J61" s="4"/>
      <c r="K61" s="4"/>
      <c r="L61" s="4" t="s">
        <v>1998</v>
      </c>
      <c r="M61" s="4"/>
      <c r="N61" s="4"/>
      <c r="O61" s="4"/>
    </row>
    <row r="62" spans="1:15" x14ac:dyDescent="0.2">
      <c r="A62" s="8" t="s">
        <v>28</v>
      </c>
      <c r="B62" s="8" t="s">
        <v>1206</v>
      </c>
      <c r="C62" s="8" t="s">
        <v>1207</v>
      </c>
      <c r="D62" s="4"/>
      <c r="E62" s="4">
        <v>78.08</v>
      </c>
      <c r="F62" s="4">
        <v>78.47</v>
      </c>
      <c r="G62" s="4">
        <v>78.14</v>
      </c>
      <c r="H62" s="4"/>
      <c r="I62" s="4"/>
      <c r="J62" s="4"/>
      <c r="K62" s="4"/>
      <c r="L62" s="4" t="s">
        <v>1998</v>
      </c>
      <c r="M62" s="4"/>
      <c r="N62" s="4"/>
      <c r="O62" s="4"/>
    </row>
    <row r="63" spans="1:15" x14ac:dyDescent="0.2">
      <c r="A63" s="8" t="s">
        <v>28</v>
      </c>
      <c r="B63" s="8" t="s">
        <v>1208</v>
      </c>
      <c r="C63" s="8" t="s">
        <v>1209</v>
      </c>
      <c r="D63" s="4"/>
      <c r="E63" s="4">
        <v>106.08</v>
      </c>
      <c r="F63" s="4">
        <v>107.87</v>
      </c>
      <c r="G63" s="4">
        <v>107.28</v>
      </c>
      <c r="H63" s="4"/>
      <c r="I63" s="4"/>
      <c r="J63" s="4"/>
      <c r="K63" s="4"/>
      <c r="L63" s="4" t="s">
        <v>1998</v>
      </c>
      <c r="M63" s="4"/>
      <c r="N63" s="4"/>
      <c r="O63" s="4"/>
    </row>
  </sheetData>
  <mergeCells count="1">
    <mergeCell ref="E3:G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O6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57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SUM(E5:G6)</f>
        <v>1152.8499999999999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29</v>
      </c>
      <c r="B5" s="8" t="s">
        <v>1210</v>
      </c>
      <c r="C5" s="8" t="s">
        <v>1211</v>
      </c>
      <c r="D5" s="4"/>
      <c r="E5" s="4">
        <v>23.19</v>
      </c>
      <c r="F5" s="4">
        <v>23.54</v>
      </c>
      <c r="G5" s="4">
        <v>22.56</v>
      </c>
      <c r="H5" s="4" t="s">
        <v>64</v>
      </c>
      <c r="I5" s="4" t="s">
        <v>64</v>
      </c>
      <c r="J5" s="4" t="s">
        <v>64</v>
      </c>
      <c r="K5" s="4" t="s">
        <v>64</v>
      </c>
      <c r="L5" s="4"/>
      <c r="M5" s="4"/>
      <c r="N5" s="4"/>
      <c r="O5" s="4"/>
    </row>
    <row r="6" spans="1:15" x14ac:dyDescent="0.2">
      <c r="A6" s="8" t="s">
        <v>29</v>
      </c>
      <c r="B6" s="8" t="s">
        <v>1212</v>
      </c>
      <c r="C6" s="8" t="s">
        <v>1213</v>
      </c>
      <c r="D6" s="4"/>
      <c r="E6" s="4">
        <v>356.94</v>
      </c>
      <c r="F6" s="4">
        <v>368.4</v>
      </c>
      <c r="G6" s="4">
        <v>358.22</v>
      </c>
      <c r="H6" s="4"/>
      <c r="I6" s="4"/>
      <c r="J6" s="4"/>
      <c r="K6" s="4"/>
      <c r="L6" s="4" t="s">
        <v>1998</v>
      </c>
      <c r="M6" s="4"/>
      <c r="N6" s="4"/>
      <c r="O6" s="4"/>
    </row>
  </sheetData>
  <mergeCells count="1">
    <mergeCell ref="E3:G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O37"/>
  <sheetViews>
    <sheetView workbookViewId="0"/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SUM(E5:G7)</f>
        <v>598.62000000000012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30</v>
      </c>
      <c r="B5" s="8" t="s">
        <v>1214</v>
      </c>
      <c r="C5" s="8" t="s">
        <v>1215</v>
      </c>
      <c r="D5" s="4"/>
      <c r="E5" s="4">
        <v>65.92</v>
      </c>
      <c r="F5" s="4">
        <v>68.83</v>
      </c>
      <c r="G5" s="4">
        <v>66.7</v>
      </c>
      <c r="H5" s="4" t="s">
        <v>1998</v>
      </c>
      <c r="I5" s="4"/>
      <c r="J5" s="4"/>
      <c r="K5" s="4" t="s">
        <v>1998</v>
      </c>
      <c r="L5" s="4"/>
      <c r="M5" s="4"/>
      <c r="N5" s="4"/>
      <c r="O5" s="4"/>
    </row>
    <row r="6" spans="1:15" x14ac:dyDescent="0.2">
      <c r="A6" s="8" t="s">
        <v>30</v>
      </c>
      <c r="B6" s="8" t="s">
        <v>1216</v>
      </c>
      <c r="C6" s="8" t="s">
        <v>1217</v>
      </c>
      <c r="D6" s="4"/>
      <c r="E6" s="4">
        <v>66.27</v>
      </c>
      <c r="F6" s="4">
        <v>66.739999999999995</v>
      </c>
      <c r="G6" s="4">
        <v>65.55</v>
      </c>
      <c r="H6" s="4" t="s">
        <v>1998</v>
      </c>
      <c r="I6" s="4"/>
      <c r="J6" s="4"/>
      <c r="K6" s="4" t="s">
        <v>1998</v>
      </c>
      <c r="L6" s="4"/>
      <c r="M6" s="4"/>
      <c r="N6" s="4"/>
      <c r="O6" s="4"/>
    </row>
    <row r="7" spans="1:15" x14ac:dyDescent="0.2">
      <c r="A7" s="8" t="s">
        <v>30</v>
      </c>
      <c r="B7" s="8" t="s">
        <v>1218</v>
      </c>
      <c r="C7" s="8" t="s">
        <v>1219</v>
      </c>
      <c r="D7" s="4"/>
      <c r="E7" s="4">
        <v>67.040000000000006</v>
      </c>
      <c r="F7" s="4">
        <v>66.12</v>
      </c>
      <c r="G7" s="4">
        <v>65.45</v>
      </c>
      <c r="H7" s="4" t="s">
        <v>1998</v>
      </c>
      <c r="I7" s="4"/>
      <c r="J7" s="4"/>
      <c r="K7" s="4" t="s">
        <v>1998</v>
      </c>
      <c r="L7" s="4"/>
      <c r="M7" s="4"/>
      <c r="N7" s="4"/>
      <c r="O7" s="4"/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</sheetData>
  <mergeCells count="1">
    <mergeCell ref="E3:G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O14"/>
  <sheetViews>
    <sheetView workbookViewId="0"/>
  </sheetViews>
  <sheetFormatPr baseColWidth="10" defaultColWidth="8.83203125" defaultRowHeight="15" x14ac:dyDescent="0.2"/>
  <cols>
    <col min="1" max="1" width="18" customWidth="1"/>
    <col min="2" max="2" width="11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SUM(E5:G14)</f>
        <v>2547.9900000000002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31</v>
      </c>
      <c r="B5" s="8" t="s">
        <v>1220</v>
      </c>
      <c r="C5" s="8" t="s">
        <v>1221</v>
      </c>
      <c r="D5" s="4"/>
      <c r="E5" s="4">
        <v>85.15</v>
      </c>
      <c r="F5" s="4">
        <v>115.65</v>
      </c>
      <c r="G5" s="4">
        <v>81.08</v>
      </c>
      <c r="H5" s="4" t="s">
        <v>1998</v>
      </c>
      <c r="I5" s="4"/>
      <c r="J5" s="4"/>
      <c r="K5" s="4" t="s">
        <v>1998</v>
      </c>
      <c r="L5" s="4"/>
      <c r="M5" s="4"/>
      <c r="N5" s="4"/>
      <c r="O5" s="4"/>
    </row>
    <row r="6" spans="1:15" x14ac:dyDescent="0.2">
      <c r="A6" s="8" t="s">
        <v>31</v>
      </c>
      <c r="B6" s="8" t="s">
        <v>1222</v>
      </c>
      <c r="C6" s="8" t="s">
        <v>1223</v>
      </c>
      <c r="D6" s="4"/>
      <c r="E6" s="4">
        <v>80.790000000000006</v>
      </c>
      <c r="F6" s="4">
        <v>80.34</v>
      </c>
      <c r="G6" s="4">
        <v>79.27</v>
      </c>
      <c r="H6" s="4" t="s">
        <v>1998</v>
      </c>
      <c r="I6" s="4"/>
      <c r="J6" s="4"/>
      <c r="K6" s="4" t="s">
        <v>1998</v>
      </c>
      <c r="L6" s="4"/>
      <c r="M6" s="4"/>
      <c r="N6" s="4"/>
      <c r="O6" s="4"/>
    </row>
    <row r="7" spans="1:15" x14ac:dyDescent="0.2">
      <c r="A7" s="8" t="s">
        <v>31</v>
      </c>
      <c r="B7" s="8" t="s">
        <v>1224</v>
      </c>
      <c r="C7" s="8" t="s">
        <v>1225</v>
      </c>
      <c r="D7" s="4"/>
      <c r="E7" s="4">
        <v>80.260000000000005</v>
      </c>
      <c r="F7" s="4">
        <v>80.16</v>
      </c>
      <c r="G7" s="4">
        <v>79.239999999999995</v>
      </c>
      <c r="H7" s="4" t="s">
        <v>1998</v>
      </c>
      <c r="I7" s="4"/>
      <c r="J7" s="4"/>
      <c r="K7" s="4" t="s">
        <v>1998</v>
      </c>
      <c r="L7" s="4"/>
      <c r="M7" s="4"/>
      <c r="N7" s="4"/>
      <c r="O7" s="4"/>
    </row>
    <row r="8" spans="1:15" x14ac:dyDescent="0.2">
      <c r="A8" s="8" t="s">
        <v>31</v>
      </c>
      <c r="B8" s="8" t="s">
        <v>1226</v>
      </c>
      <c r="C8" s="8" t="s">
        <v>1227</v>
      </c>
      <c r="D8" s="4"/>
      <c r="E8" s="4">
        <v>79.87</v>
      </c>
      <c r="F8" s="4">
        <v>79.760000000000005</v>
      </c>
      <c r="G8" s="4">
        <v>79.47</v>
      </c>
      <c r="H8" s="4" t="s">
        <v>1998</v>
      </c>
      <c r="I8" s="4"/>
      <c r="J8" s="4"/>
      <c r="K8" s="4" t="s">
        <v>1998</v>
      </c>
      <c r="L8" s="4"/>
      <c r="M8" s="4"/>
      <c r="N8" s="4"/>
      <c r="O8" s="4"/>
    </row>
    <row r="9" spans="1:15" x14ac:dyDescent="0.2">
      <c r="A9" s="8" t="s">
        <v>31</v>
      </c>
      <c r="B9" s="8" t="s">
        <v>1228</v>
      </c>
      <c r="C9" s="8" t="s">
        <v>1229</v>
      </c>
      <c r="D9" s="4"/>
      <c r="E9" s="4">
        <v>79.86</v>
      </c>
      <c r="F9" s="4">
        <v>80.03</v>
      </c>
      <c r="G9" s="4">
        <v>78.8</v>
      </c>
      <c r="H9" s="4" t="s">
        <v>1998</v>
      </c>
      <c r="I9" s="4"/>
      <c r="J9" s="4"/>
      <c r="K9" s="4" t="s">
        <v>1998</v>
      </c>
      <c r="L9" s="4"/>
      <c r="M9" s="4"/>
      <c r="N9" s="4"/>
      <c r="O9" s="4"/>
    </row>
    <row r="10" spans="1:15" x14ac:dyDescent="0.2">
      <c r="A10" s="8" t="s">
        <v>31</v>
      </c>
      <c r="B10" s="8" t="s">
        <v>1230</v>
      </c>
      <c r="C10" s="8" t="s">
        <v>1231</v>
      </c>
      <c r="D10" s="4"/>
      <c r="E10" s="4">
        <v>79.650000000000006</v>
      </c>
      <c r="F10" s="4">
        <v>80.819999999999993</v>
      </c>
      <c r="G10" s="4">
        <v>78.86</v>
      </c>
      <c r="H10" s="4" t="s">
        <v>1998</v>
      </c>
      <c r="I10" s="4"/>
      <c r="J10" s="4"/>
      <c r="K10" s="4" t="s">
        <v>1998</v>
      </c>
      <c r="L10" s="4"/>
      <c r="M10" s="4"/>
      <c r="N10" s="4"/>
      <c r="O10" s="4"/>
    </row>
    <row r="11" spans="1:15" x14ac:dyDescent="0.2">
      <c r="A11" s="8" t="s">
        <v>31</v>
      </c>
      <c r="B11" s="8" t="s">
        <v>1232</v>
      </c>
      <c r="C11" s="8" t="s">
        <v>1233</v>
      </c>
      <c r="D11" s="4"/>
      <c r="E11" s="4">
        <v>80.39</v>
      </c>
      <c r="F11" s="4">
        <v>80.5</v>
      </c>
      <c r="G11" s="4">
        <v>78.540000000000006</v>
      </c>
      <c r="H11" s="4" t="s">
        <v>1998</v>
      </c>
      <c r="I11" s="4"/>
      <c r="J11" s="4"/>
      <c r="K11" s="4" t="s">
        <v>1998</v>
      </c>
      <c r="L11" s="4"/>
      <c r="M11" s="4"/>
      <c r="N11" s="4"/>
      <c r="O11" s="4"/>
    </row>
    <row r="12" spans="1:15" x14ac:dyDescent="0.2">
      <c r="A12" s="8" t="s">
        <v>31</v>
      </c>
      <c r="B12" s="8" t="s">
        <v>1234</v>
      </c>
      <c r="C12" s="8" t="s">
        <v>1235</v>
      </c>
      <c r="D12" s="4"/>
      <c r="E12" s="4">
        <v>81.09</v>
      </c>
      <c r="F12" s="4">
        <v>80.22</v>
      </c>
      <c r="G12" s="4">
        <v>78.47</v>
      </c>
      <c r="H12" s="4" t="s">
        <v>1998</v>
      </c>
      <c r="I12" s="4"/>
      <c r="J12" s="4"/>
      <c r="K12" s="4" t="s">
        <v>1998</v>
      </c>
      <c r="L12" s="4"/>
      <c r="M12" s="4"/>
      <c r="N12" s="4"/>
      <c r="O12" s="4"/>
    </row>
    <row r="13" spans="1:15" x14ac:dyDescent="0.2">
      <c r="A13" s="8" t="s">
        <v>31</v>
      </c>
      <c r="B13" s="8" t="s">
        <v>1236</v>
      </c>
      <c r="C13" s="8" t="s">
        <v>1237</v>
      </c>
      <c r="D13" s="4"/>
      <c r="E13" s="4">
        <v>80.45</v>
      </c>
      <c r="F13" s="4">
        <v>80.53</v>
      </c>
      <c r="G13" s="4">
        <v>114.05</v>
      </c>
      <c r="H13" s="4" t="s">
        <v>1998</v>
      </c>
      <c r="I13" s="4"/>
      <c r="J13" s="4"/>
      <c r="K13" s="4" t="s">
        <v>1998</v>
      </c>
      <c r="L13" s="4"/>
      <c r="M13" s="4"/>
      <c r="N13" s="4"/>
      <c r="O13" s="4"/>
    </row>
    <row r="14" spans="1:15" x14ac:dyDescent="0.2">
      <c r="A14" s="8" t="s">
        <v>31</v>
      </c>
      <c r="B14" s="8" t="s">
        <v>1238</v>
      </c>
      <c r="C14" s="8" t="s">
        <v>1239</v>
      </c>
      <c r="D14" s="4"/>
      <c r="E14" s="4">
        <v>116.19</v>
      </c>
      <c r="F14" s="4">
        <v>115.19</v>
      </c>
      <c r="G14" s="4">
        <v>83.31</v>
      </c>
      <c r="H14" s="4" t="s">
        <v>1998</v>
      </c>
      <c r="I14" s="4"/>
      <c r="J14" s="4"/>
      <c r="K14" s="4" t="s">
        <v>1998</v>
      </c>
      <c r="L14" s="4"/>
      <c r="M14" s="4"/>
      <c r="N14" s="4"/>
      <c r="O14" s="4"/>
    </row>
  </sheetData>
  <mergeCells count="1">
    <mergeCell ref="E3:G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O41"/>
  <sheetViews>
    <sheetView topLeftCell="A2" zoomScale="125" workbookViewId="0">
      <selection activeCell="C22" sqref="C22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SUM(E5:G41)</f>
        <v>6260.1199999999981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32</v>
      </c>
      <c r="B5" s="8" t="s">
        <v>1240</v>
      </c>
      <c r="C5" s="8" t="s">
        <v>1241</v>
      </c>
      <c r="D5" s="4"/>
      <c r="E5" s="4">
        <v>101.15</v>
      </c>
      <c r="F5" s="4">
        <v>103.2</v>
      </c>
      <c r="G5" s="4">
        <v>101.83</v>
      </c>
      <c r="H5" s="4" t="s">
        <v>63</v>
      </c>
      <c r="I5" s="4" t="s">
        <v>63</v>
      </c>
      <c r="J5" s="4" t="s">
        <v>63</v>
      </c>
      <c r="K5" s="4" t="s">
        <v>63</v>
      </c>
      <c r="L5" s="4"/>
      <c r="M5" s="4"/>
      <c r="N5" s="4"/>
      <c r="O5" s="4"/>
    </row>
    <row r="6" spans="1:15" x14ac:dyDescent="0.2">
      <c r="A6" s="8" t="s">
        <v>32</v>
      </c>
      <c r="B6" s="8" t="s">
        <v>1242</v>
      </c>
      <c r="C6" s="8" t="s">
        <v>1243</v>
      </c>
      <c r="D6" s="4"/>
      <c r="E6" s="4"/>
      <c r="F6" s="4">
        <v>31.98</v>
      </c>
      <c r="G6" s="4"/>
      <c r="H6" s="4" t="s">
        <v>63</v>
      </c>
      <c r="I6" s="4"/>
      <c r="J6" s="4" t="s">
        <v>63</v>
      </c>
      <c r="K6" s="4"/>
      <c r="L6" s="4"/>
      <c r="M6" s="4"/>
      <c r="N6" s="4"/>
      <c r="O6" s="4"/>
    </row>
    <row r="7" spans="1:15" x14ac:dyDescent="0.2">
      <c r="A7" s="8" t="s">
        <v>32</v>
      </c>
      <c r="B7" s="8" t="s">
        <v>106</v>
      </c>
      <c r="C7" s="8" t="s">
        <v>1244</v>
      </c>
      <c r="D7" s="4"/>
      <c r="E7" s="4"/>
      <c r="F7" s="4">
        <v>0.22</v>
      </c>
      <c r="G7" s="4"/>
      <c r="H7" s="4"/>
      <c r="I7" s="4"/>
      <c r="J7" s="4" t="s">
        <v>63</v>
      </c>
      <c r="K7" s="4"/>
      <c r="L7" s="4"/>
      <c r="M7" s="4"/>
      <c r="N7" s="4"/>
      <c r="O7" s="4"/>
    </row>
    <row r="8" spans="1:15" x14ac:dyDescent="0.2">
      <c r="A8" s="8" t="s">
        <v>32</v>
      </c>
      <c r="B8" s="8" t="s">
        <v>106</v>
      </c>
      <c r="C8" s="8" t="s">
        <v>1245</v>
      </c>
      <c r="D8" s="4"/>
      <c r="E8" s="4"/>
      <c r="F8" s="4">
        <v>0.7</v>
      </c>
      <c r="G8" s="4"/>
      <c r="H8" s="4"/>
      <c r="I8" s="4"/>
      <c r="J8" s="4"/>
      <c r="K8" s="4" t="s">
        <v>63</v>
      </c>
      <c r="L8" s="4"/>
      <c r="M8" s="4"/>
      <c r="N8" s="4"/>
      <c r="O8" s="4"/>
    </row>
    <row r="9" spans="1:15" x14ac:dyDescent="0.2">
      <c r="A9" s="8" t="s">
        <v>32</v>
      </c>
      <c r="B9" s="8" t="s">
        <v>106</v>
      </c>
      <c r="C9" s="8" t="s">
        <v>1246</v>
      </c>
      <c r="D9" s="4"/>
      <c r="E9" s="4"/>
      <c r="F9" s="4">
        <v>0.19</v>
      </c>
      <c r="G9" s="4"/>
      <c r="H9" s="4"/>
      <c r="I9" s="4"/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32</v>
      </c>
      <c r="B10" s="8" t="s">
        <v>106</v>
      </c>
      <c r="C10" s="8" t="s">
        <v>1247</v>
      </c>
      <c r="D10" s="4"/>
      <c r="E10" s="4"/>
      <c r="F10" s="4">
        <v>0.62</v>
      </c>
      <c r="G10" s="4"/>
      <c r="H10" s="4"/>
      <c r="I10" s="4"/>
      <c r="J10" s="4"/>
      <c r="K10" s="4" t="s">
        <v>63</v>
      </c>
      <c r="L10" s="4"/>
      <c r="M10" s="4"/>
      <c r="N10" s="4"/>
      <c r="O10" s="4"/>
    </row>
    <row r="11" spans="1:15" x14ac:dyDescent="0.2">
      <c r="A11" s="8" t="s">
        <v>32</v>
      </c>
      <c r="B11" s="8" t="s">
        <v>106</v>
      </c>
      <c r="C11" s="8" t="s">
        <v>1248</v>
      </c>
      <c r="D11" s="4"/>
      <c r="E11" s="4"/>
      <c r="F11" s="4">
        <v>0.19</v>
      </c>
      <c r="G11" s="4"/>
      <c r="H11" s="4"/>
      <c r="I11" s="4"/>
      <c r="J11" s="4" t="s">
        <v>63</v>
      </c>
      <c r="K11" s="4"/>
      <c r="L11" s="4"/>
      <c r="M11" s="4"/>
      <c r="N11" s="4"/>
      <c r="O11" s="4"/>
    </row>
    <row r="12" spans="1:15" x14ac:dyDescent="0.2">
      <c r="A12" s="8" t="s">
        <v>32</v>
      </c>
      <c r="B12" s="8" t="s">
        <v>106</v>
      </c>
      <c r="C12" s="8" t="s">
        <v>1249</v>
      </c>
      <c r="D12" s="4"/>
      <c r="E12" s="4"/>
      <c r="F12" s="4">
        <v>0.62</v>
      </c>
      <c r="G12" s="4"/>
      <c r="H12" s="4"/>
      <c r="I12" s="4"/>
      <c r="J12" s="4"/>
      <c r="K12" s="4" t="s">
        <v>63</v>
      </c>
      <c r="L12" s="4"/>
      <c r="M12" s="4"/>
      <c r="N12" s="4"/>
      <c r="O12" s="4"/>
    </row>
    <row r="13" spans="1:15" x14ac:dyDescent="0.2">
      <c r="A13" s="8" t="s">
        <v>32</v>
      </c>
      <c r="B13" s="8" t="s">
        <v>106</v>
      </c>
      <c r="C13" s="8" t="s">
        <v>1250</v>
      </c>
      <c r="D13" s="4"/>
      <c r="E13" s="4"/>
      <c r="F13" s="4">
        <v>0.18</v>
      </c>
      <c r="G13" s="4"/>
      <c r="H13" s="4"/>
      <c r="I13" s="4"/>
      <c r="J13" s="4" t="s">
        <v>63</v>
      </c>
      <c r="K13" s="4"/>
      <c r="L13" s="4"/>
      <c r="M13" s="4"/>
      <c r="N13" s="4"/>
      <c r="O13" s="4"/>
    </row>
    <row r="14" spans="1:15" x14ac:dyDescent="0.2">
      <c r="A14" s="8" t="s">
        <v>32</v>
      </c>
      <c r="B14" s="8" t="s">
        <v>106</v>
      </c>
      <c r="C14" s="8" t="s">
        <v>1251</v>
      </c>
      <c r="D14" s="4"/>
      <c r="E14" s="4"/>
      <c r="F14" s="4">
        <v>0.66</v>
      </c>
      <c r="G14" s="4"/>
      <c r="H14" s="4"/>
      <c r="I14" s="4"/>
      <c r="J14" s="4"/>
      <c r="K14" s="4" t="s">
        <v>63</v>
      </c>
      <c r="L14" s="4"/>
      <c r="M14" s="4"/>
      <c r="N14" s="4"/>
      <c r="O14" s="4"/>
    </row>
    <row r="15" spans="1:15" x14ac:dyDescent="0.2">
      <c r="A15" s="8" t="s">
        <v>32</v>
      </c>
      <c r="B15" s="8" t="s">
        <v>106</v>
      </c>
      <c r="C15" s="8" t="s">
        <v>2025</v>
      </c>
      <c r="D15" s="4"/>
      <c r="E15" s="4"/>
      <c r="F15" s="4"/>
      <c r="G15" s="4"/>
      <c r="H15" s="4"/>
      <c r="I15" s="4"/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32</v>
      </c>
      <c r="B16" s="8" t="s">
        <v>106</v>
      </c>
      <c r="C16" s="8" t="s">
        <v>2026</v>
      </c>
      <c r="D16" s="4"/>
      <c r="E16" s="4"/>
      <c r="F16" s="4"/>
      <c r="G16" s="4"/>
      <c r="H16" s="4"/>
      <c r="I16" s="4"/>
      <c r="J16" s="4"/>
      <c r="K16" s="4" t="s">
        <v>63</v>
      </c>
      <c r="L16" s="4"/>
      <c r="M16" s="4"/>
      <c r="N16" s="4"/>
      <c r="O16" s="4"/>
    </row>
    <row r="17" spans="1:15" x14ac:dyDescent="0.2">
      <c r="A17" s="8" t="s">
        <v>32</v>
      </c>
      <c r="B17" s="8" t="s">
        <v>106</v>
      </c>
      <c r="C17" s="8" t="s">
        <v>2027</v>
      </c>
      <c r="D17" s="4"/>
      <c r="E17" s="4"/>
      <c r="F17" s="4"/>
      <c r="G17" s="4"/>
      <c r="H17" s="4"/>
      <c r="I17" s="4"/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32</v>
      </c>
      <c r="B18" s="8" t="s">
        <v>106</v>
      </c>
      <c r="C18" s="8" t="s">
        <v>2028</v>
      </c>
      <c r="D18" s="4"/>
      <c r="E18" s="4"/>
      <c r="F18" s="4"/>
      <c r="G18" s="4"/>
      <c r="H18" s="4"/>
      <c r="I18" s="4"/>
      <c r="J18" s="4"/>
      <c r="K18" s="4" t="s">
        <v>63</v>
      </c>
      <c r="L18" s="4"/>
      <c r="M18" s="4"/>
      <c r="N18" s="4"/>
      <c r="O18" s="4"/>
    </row>
    <row r="19" spans="1:15" x14ac:dyDescent="0.2">
      <c r="A19" s="8" t="s">
        <v>32</v>
      </c>
      <c r="B19" s="8" t="s">
        <v>106</v>
      </c>
      <c r="C19" s="8" t="s">
        <v>1252</v>
      </c>
      <c r="D19" s="4"/>
      <c r="E19" s="4"/>
      <c r="F19" s="4">
        <v>0.22</v>
      </c>
      <c r="G19" s="4"/>
      <c r="H19" s="4"/>
      <c r="I19" s="4"/>
      <c r="J19" s="4" t="s">
        <v>63</v>
      </c>
      <c r="K19" s="4"/>
      <c r="L19" s="4"/>
      <c r="M19" s="4"/>
      <c r="N19" s="4"/>
      <c r="O19" s="4"/>
    </row>
    <row r="20" spans="1:15" x14ac:dyDescent="0.2">
      <c r="A20" s="8" t="s">
        <v>32</v>
      </c>
      <c r="B20" s="8" t="s">
        <v>106</v>
      </c>
      <c r="C20" s="8" t="s">
        <v>2031</v>
      </c>
      <c r="D20" s="4"/>
      <c r="E20" s="4"/>
      <c r="F20" s="4"/>
      <c r="G20" s="4"/>
      <c r="H20" s="4"/>
      <c r="I20" s="4"/>
      <c r="J20" s="4"/>
      <c r="K20" s="4" t="s">
        <v>63</v>
      </c>
      <c r="L20" s="4"/>
      <c r="M20" s="4"/>
      <c r="N20" s="4"/>
      <c r="O20" s="4"/>
    </row>
    <row r="21" spans="1:15" x14ac:dyDescent="0.2">
      <c r="A21" s="8" t="s">
        <v>32</v>
      </c>
      <c r="B21" s="8" t="s">
        <v>106</v>
      </c>
      <c r="C21" s="8" t="s">
        <v>1253</v>
      </c>
      <c r="D21" s="4"/>
      <c r="E21" s="4"/>
      <c r="F21" s="4">
        <v>0.21</v>
      </c>
      <c r="G21" s="4"/>
      <c r="H21" s="4"/>
      <c r="I21" s="4"/>
      <c r="J21" s="4" t="s">
        <v>63</v>
      </c>
      <c r="K21" s="4"/>
      <c r="L21" s="4"/>
      <c r="M21" s="4"/>
      <c r="N21" s="4"/>
      <c r="O21" s="4"/>
    </row>
    <row r="22" spans="1:15" x14ac:dyDescent="0.2">
      <c r="A22" s="8" t="s">
        <v>32</v>
      </c>
      <c r="B22" s="8" t="s">
        <v>106</v>
      </c>
      <c r="C22" s="8" t="s">
        <v>2032</v>
      </c>
      <c r="D22" s="4"/>
      <c r="E22" s="4"/>
      <c r="F22" s="4"/>
      <c r="G22" s="4"/>
      <c r="H22" s="4"/>
      <c r="I22" s="4"/>
      <c r="J22" s="4"/>
      <c r="K22" s="4" t="s">
        <v>63</v>
      </c>
      <c r="L22" s="4"/>
      <c r="M22" s="4"/>
      <c r="N22" s="4"/>
      <c r="O22" s="4"/>
    </row>
    <row r="23" spans="1:15" x14ac:dyDescent="0.2">
      <c r="A23" s="8" t="s">
        <v>32</v>
      </c>
      <c r="B23" s="8" t="s">
        <v>1254</v>
      </c>
      <c r="C23" s="8" t="s">
        <v>1255</v>
      </c>
      <c r="D23" s="4"/>
      <c r="E23" s="4"/>
      <c r="F23" s="4">
        <v>39.07</v>
      </c>
      <c r="G23" s="4"/>
      <c r="H23" s="4" t="s">
        <v>63</v>
      </c>
      <c r="I23" s="4"/>
      <c r="J23" s="4" t="s">
        <v>63</v>
      </c>
      <c r="K23" s="4"/>
      <c r="L23" s="4"/>
      <c r="M23" s="4"/>
      <c r="N23" s="4"/>
      <c r="O23" s="4"/>
    </row>
    <row r="24" spans="1:15" x14ac:dyDescent="0.2">
      <c r="A24" s="8" t="s">
        <v>32</v>
      </c>
      <c r="B24" s="8" t="s">
        <v>1256</v>
      </c>
      <c r="C24" s="8" t="s">
        <v>1257</v>
      </c>
      <c r="D24" s="4"/>
      <c r="E24" s="4"/>
      <c r="F24" s="4">
        <v>45.38</v>
      </c>
      <c r="G24" s="4"/>
      <c r="H24" s="4" t="s">
        <v>63</v>
      </c>
      <c r="I24" s="4"/>
      <c r="J24" s="4" t="s">
        <v>63</v>
      </c>
      <c r="K24" s="4"/>
      <c r="L24" s="4"/>
      <c r="M24" s="4"/>
      <c r="N24" s="4"/>
      <c r="O24" s="4"/>
    </row>
    <row r="25" spans="1:15" x14ac:dyDescent="0.2">
      <c r="A25" s="8" t="s">
        <v>32</v>
      </c>
      <c r="B25" s="8" t="s">
        <v>1258</v>
      </c>
      <c r="C25" s="8" t="s">
        <v>1259</v>
      </c>
      <c r="D25" s="4"/>
      <c r="E25" s="4"/>
      <c r="F25" s="4">
        <v>41.76</v>
      </c>
      <c r="G25" s="4"/>
      <c r="H25" s="4" t="s">
        <v>63</v>
      </c>
      <c r="I25" s="4"/>
      <c r="J25" s="4" t="s">
        <v>63</v>
      </c>
      <c r="K25" s="4"/>
      <c r="L25" s="4"/>
      <c r="M25" s="4"/>
      <c r="N25" s="4"/>
      <c r="O25" s="4"/>
    </row>
    <row r="26" spans="1:15" x14ac:dyDescent="0.2">
      <c r="A26" s="8" t="s">
        <v>32</v>
      </c>
      <c r="B26" s="8" t="s">
        <v>1260</v>
      </c>
      <c r="C26" s="8" t="s">
        <v>1261</v>
      </c>
      <c r="D26" s="4"/>
      <c r="E26" s="4">
        <v>118.16</v>
      </c>
      <c r="F26" s="4">
        <v>117.02</v>
      </c>
      <c r="G26" s="4">
        <v>148.65</v>
      </c>
      <c r="H26" s="4" t="s">
        <v>63</v>
      </c>
      <c r="I26" s="4"/>
      <c r="J26" s="4" t="s">
        <v>63</v>
      </c>
      <c r="K26" s="4"/>
      <c r="L26" s="4"/>
      <c r="M26" s="4"/>
      <c r="N26" s="4"/>
      <c r="O26" s="4"/>
    </row>
    <row r="27" spans="1:15" x14ac:dyDescent="0.2">
      <c r="A27" s="8" t="s">
        <v>32</v>
      </c>
      <c r="B27" s="8" t="s">
        <v>1262</v>
      </c>
      <c r="C27" s="8" t="s">
        <v>1263</v>
      </c>
      <c r="D27" s="4"/>
      <c r="E27" s="4">
        <v>117.07</v>
      </c>
      <c r="F27" s="4">
        <v>149.01</v>
      </c>
      <c r="G27" s="4">
        <v>114.99</v>
      </c>
      <c r="H27" s="4" t="s">
        <v>63</v>
      </c>
      <c r="I27" s="4"/>
      <c r="J27" s="4" t="s">
        <v>63</v>
      </c>
      <c r="K27" s="4"/>
      <c r="L27" s="4"/>
      <c r="M27" s="4"/>
      <c r="N27" s="4"/>
      <c r="O27" s="4"/>
    </row>
    <row r="28" spans="1:15" x14ac:dyDescent="0.2">
      <c r="A28" s="8" t="s">
        <v>32</v>
      </c>
      <c r="B28" s="8" t="s">
        <v>1264</v>
      </c>
      <c r="C28" s="8" t="s">
        <v>1265</v>
      </c>
      <c r="D28" s="4"/>
      <c r="E28" s="4">
        <v>37.97</v>
      </c>
      <c r="F28" s="4">
        <v>37.729999999999997</v>
      </c>
      <c r="G28" s="4">
        <v>36.28</v>
      </c>
      <c r="H28" s="4" t="s">
        <v>63</v>
      </c>
      <c r="I28" s="4"/>
      <c r="J28" s="4" t="s">
        <v>63</v>
      </c>
      <c r="K28" s="4"/>
      <c r="L28" s="4"/>
      <c r="M28" s="4"/>
      <c r="N28" s="4"/>
      <c r="O28" s="4"/>
    </row>
    <row r="29" spans="1:15" x14ac:dyDescent="0.2">
      <c r="A29" s="8" t="s">
        <v>32</v>
      </c>
      <c r="B29" s="8" t="s">
        <v>1266</v>
      </c>
      <c r="C29" s="8" t="s">
        <v>1267</v>
      </c>
      <c r="D29" s="4"/>
      <c r="E29" s="4">
        <v>69.290000000000006</v>
      </c>
      <c r="F29" s="4">
        <v>35.74</v>
      </c>
      <c r="G29" s="4">
        <v>34.340000000000003</v>
      </c>
      <c r="H29" s="4" t="s">
        <v>63</v>
      </c>
      <c r="I29" s="4"/>
      <c r="J29" s="4" t="s">
        <v>63</v>
      </c>
      <c r="K29" s="4"/>
      <c r="L29" s="4"/>
      <c r="M29" s="4"/>
      <c r="N29" s="4"/>
      <c r="O29" s="4"/>
    </row>
    <row r="30" spans="1:15" x14ac:dyDescent="0.2">
      <c r="A30" s="8" t="s">
        <v>32</v>
      </c>
      <c r="B30" s="8" t="s">
        <v>1268</v>
      </c>
      <c r="C30" s="8" t="s">
        <v>1269</v>
      </c>
      <c r="D30" s="4"/>
      <c r="E30" s="4">
        <v>238.27</v>
      </c>
      <c r="F30" s="4">
        <v>166.07</v>
      </c>
      <c r="G30" s="4">
        <v>177.22</v>
      </c>
      <c r="H30" s="4" t="s">
        <v>63</v>
      </c>
      <c r="I30" s="4"/>
      <c r="J30" s="4" t="s">
        <v>63</v>
      </c>
      <c r="K30" s="4" t="s">
        <v>63</v>
      </c>
      <c r="L30" s="4"/>
      <c r="M30" s="4"/>
      <c r="N30" s="4"/>
      <c r="O30" s="4"/>
    </row>
    <row r="31" spans="1:15" x14ac:dyDescent="0.2">
      <c r="A31" s="8" t="s">
        <v>32</v>
      </c>
      <c r="B31" s="8" t="s">
        <v>1270</v>
      </c>
      <c r="C31" s="8" t="s">
        <v>1271</v>
      </c>
      <c r="D31" s="4"/>
      <c r="E31" s="4">
        <v>77.239999999999995</v>
      </c>
      <c r="F31" s="4">
        <v>110.08</v>
      </c>
      <c r="G31" s="4">
        <v>110.96</v>
      </c>
      <c r="H31" s="4" t="s">
        <v>63</v>
      </c>
      <c r="I31" s="4"/>
      <c r="J31" s="4" t="s">
        <v>63</v>
      </c>
      <c r="K31" s="4" t="s">
        <v>63</v>
      </c>
      <c r="L31" s="4"/>
      <c r="M31" s="4"/>
      <c r="N31" s="4"/>
      <c r="O31" s="4"/>
    </row>
    <row r="32" spans="1:15" x14ac:dyDescent="0.2">
      <c r="A32" s="8" t="s">
        <v>32</v>
      </c>
      <c r="B32" s="8" t="s">
        <v>1272</v>
      </c>
      <c r="C32" s="8" t="s">
        <v>1273</v>
      </c>
      <c r="D32" s="4"/>
      <c r="E32" s="4">
        <v>77.41</v>
      </c>
      <c r="F32" s="4">
        <v>78.540000000000006</v>
      </c>
      <c r="G32" s="4">
        <v>76.61</v>
      </c>
      <c r="H32" s="4" t="s">
        <v>63</v>
      </c>
      <c r="I32" s="4"/>
      <c r="J32" s="4" t="s">
        <v>63</v>
      </c>
      <c r="K32" s="4" t="s">
        <v>63</v>
      </c>
      <c r="L32" s="4"/>
      <c r="M32" s="4"/>
      <c r="N32" s="4"/>
      <c r="O32" s="4"/>
    </row>
    <row r="33" spans="1:15" x14ac:dyDescent="0.2">
      <c r="A33" s="8" t="s">
        <v>32</v>
      </c>
      <c r="B33" s="8" t="s">
        <v>1274</v>
      </c>
      <c r="C33" s="8" t="s">
        <v>1275</v>
      </c>
      <c r="D33" s="4"/>
      <c r="E33" s="4">
        <v>187.57</v>
      </c>
      <c r="F33" s="4">
        <v>155.69</v>
      </c>
      <c r="G33" s="4">
        <v>153.5</v>
      </c>
      <c r="H33" s="4"/>
      <c r="I33" s="4"/>
      <c r="J33" s="4"/>
      <c r="K33" s="4"/>
      <c r="L33" s="4" t="s">
        <v>1998</v>
      </c>
      <c r="M33" s="4"/>
      <c r="N33" s="4"/>
      <c r="O33" s="4"/>
    </row>
    <row r="34" spans="1:15" x14ac:dyDescent="0.2">
      <c r="A34" s="8" t="s">
        <v>32</v>
      </c>
      <c r="B34" s="8" t="s">
        <v>1276</v>
      </c>
      <c r="C34" s="8" t="s">
        <v>1277</v>
      </c>
      <c r="D34" s="4"/>
      <c r="E34" s="4">
        <v>156.46</v>
      </c>
      <c r="F34" s="4">
        <v>186.1</v>
      </c>
      <c r="G34" s="4">
        <v>186.56</v>
      </c>
      <c r="H34" s="4"/>
      <c r="I34" s="4"/>
      <c r="J34" s="4"/>
      <c r="K34" s="4"/>
      <c r="L34" s="4" t="s">
        <v>1998</v>
      </c>
      <c r="M34" s="4"/>
      <c r="N34" s="4"/>
      <c r="O34" s="4"/>
    </row>
    <row r="35" spans="1:15" x14ac:dyDescent="0.2">
      <c r="A35" s="8" t="s">
        <v>32</v>
      </c>
      <c r="B35" s="8" t="s">
        <v>1278</v>
      </c>
      <c r="C35" s="8" t="s">
        <v>1279</v>
      </c>
      <c r="D35" s="4"/>
      <c r="E35" s="4">
        <v>188.93</v>
      </c>
      <c r="F35" s="4">
        <v>156.84</v>
      </c>
      <c r="G35" s="4">
        <v>155.65</v>
      </c>
      <c r="H35" s="4"/>
      <c r="I35" s="4"/>
      <c r="J35" s="4"/>
      <c r="K35" s="4"/>
      <c r="L35" s="4" t="s">
        <v>1998</v>
      </c>
      <c r="M35" s="4"/>
      <c r="N35" s="4"/>
      <c r="O35" s="4"/>
    </row>
    <row r="36" spans="1:15" x14ac:dyDescent="0.2">
      <c r="A36" s="8" t="s">
        <v>32</v>
      </c>
      <c r="B36" s="8" t="s">
        <v>1280</v>
      </c>
      <c r="C36" s="8" t="s">
        <v>1281</v>
      </c>
      <c r="D36" s="4"/>
      <c r="E36" s="4">
        <v>31.07</v>
      </c>
      <c r="F36" s="4">
        <v>31.49</v>
      </c>
      <c r="G36" s="4">
        <v>29.75</v>
      </c>
      <c r="H36" s="4"/>
      <c r="I36" s="4"/>
      <c r="J36" s="4"/>
      <c r="K36" s="4"/>
      <c r="L36" s="4" t="s">
        <v>1998</v>
      </c>
      <c r="M36" s="4"/>
      <c r="N36" s="4"/>
      <c r="O36" s="4"/>
    </row>
    <row r="37" spans="1:15" x14ac:dyDescent="0.2">
      <c r="A37" s="8" t="s">
        <v>32</v>
      </c>
      <c r="B37" s="8" t="s">
        <v>1282</v>
      </c>
      <c r="C37" s="8" t="s">
        <v>1283</v>
      </c>
      <c r="D37" s="4"/>
      <c r="E37" s="4">
        <v>139.29</v>
      </c>
      <c r="F37" s="4">
        <v>139.99</v>
      </c>
      <c r="G37" s="4">
        <v>138.97</v>
      </c>
      <c r="H37" s="4"/>
      <c r="I37" s="4"/>
      <c r="J37" s="4"/>
      <c r="K37" s="4"/>
      <c r="L37" s="4" t="s">
        <v>1998</v>
      </c>
      <c r="M37" s="4"/>
      <c r="N37" s="4"/>
      <c r="O37" s="4"/>
    </row>
    <row r="38" spans="1:15" x14ac:dyDescent="0.2">
      <c r="A38" s="8" t="s">
        <v>32</v>
      </c>
      <c r="B38" s="8" t="s">
        <v>1284</v>
      </c>
      <c r="C38" s="8" t="s">
        <v>1285</v>
      </c>
      <c r="D38" s="4"/>
      <c r="E38" s="4">
        <v>183.49</v>
      </c>
      <c r="F38" s="4">
        <v>205.21</v>
      </c>
      <c r="G38" s="4">
        <v>202.08</v>
      </c>
      <c r="H38" s="4"/>
      <c r="I38" s="4"/>
      <c r="J38" s="4"/>
      <c r="K38" s="4"/>
      <c r="L38" s="4" t="s">
        <v>1998</v>
      </c>
      <c r="M38" s="4"/>
      <c r="N38" s="4"/>
      <c r="O38" s="4"/>
    </row>
    <row r="39" spans="1:15" x14ac:dyDescent="0.2">
      <c r="A39" s="8" t="s">
        <v>32</v>
      </c>
      <c r="B39" s="8" t="s">
        <v>1286</v>
      </c>
      <c r="C39" s="8" t="s">
        <v>1287</v>
      </c>
      <c r="D39" s="4"/>
      <c r="E39" s="4">
        <v>77.42</v>
      </c>
      <c r="F39" s="4">
        <v>77.040000000000006</v>
      </c>
      <c r="G39" s="4">
        <v>75.38</v>
      </c>
      <c r="H39" s="4"/>
      <c r="I39" s="4"/>
      <c r="J39" s="4"/>
      <c r="K39" s="4"/>
      <c r="L39" s="4" t="s">
        <v>1998</v>
      </c>
      <c r="M39" s="4"/>
      <c r="N39" s="4"/>
      <c r="O39" s="4"/>
    </row>
    <row r="40" spans="1:15" x14ac:dyDescent="0.2">
      <c r="A40" s="8" t="s">
        <v>32</v>
      </c>
      <c r="B40" s="8" t="s">
        <v>1288</v>
      </c>
      <c r="C40" s="8" t="s">
        <v>1289</v>
      </c>
      <c r="D40" s="4"/>
      <c r="E40" s="4">
        <v>113.82</v>
      </c>
      <c r="F40" s="4">
        <v>80.19</v>
      </c>
      <c r="G40" s="4">
        <v>78.06</v>
      </c>
      <c r="H40" s="4"/>
      <c r="I40" s="4"/>
      <c r="J40" s="4"/>
      <c r="K40" s="4"/>
      <c r="L40" s="4" t="s">
        <v>1998</v>
      </c>
      <c r="M40" s="4"/>
      <c r="N40" s="4"/>
      <c r="O40" s="4"/>
    </row>
    <row r="41" spans="1:15" x14ac:dyDescent="0.2">
      <c r="A41" s="8" t="s">
        <v>32</v>
      </c>
      <c r="B41" s="8" t="s">
        <v>1290</v>
      </c>
      <c r="C41" s="8" t="s">
        <v>1291</v>
      </c>
      <c r="D41" s="4"/>
      <c r="E41" s="4">
        <v>157.51</v>
      </c>
      <c r="F41" s="4">
        <v>186.19</v>
      </c>
      <c r="G41" s="4">
        <v>189.04</v>
      </c>
      <c r="H41" s="4"/>
      <c r="I41" s="4"/>
      <c r="J41" s="4"/>
      <c r="K41" s="4"/>
      <c r="L41" s="4" t="s">
        <v>1998</v>
      </c>
      <c r="M41" s="4"/>
      <c r="N41" s="4"/>
      <c r="O41" s="4"/>
    </row>
  </sheetData>
  <mergeCells count="1">
    <mergeCell ref="E3:G3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O25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SUM(E5:G25)</f>
        <v>1668.06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33</v>
      </c>
      <c r="B5" s="8" t="s">
        <v>1292</v>
      </c>
      <c r="C5" s="8" t="s">
        <v>1293</v>
      </c>
      <c r="D5" s="4"/>
      <c r="E5" s="4">
        <v>119.84</v>
      </c>
      <c r="F5" s="4">
        <v>120.88</v>
      </c>
      <c r="G5" s="4">
        <v>120.22</v>
      </c>
      <c r="H5" s="4" t="s">
        <v>63</v>
      </c>
      <c r="I5" s="4"/>
      <c r="J5" s="4"/>
      <c r="K5" s="4" t="s">
        <v>64</v>
      </c>
      <c r="L5" s="4"/>
      <c r="M5" s="4"/>
      <c r="N5" s="4"/>
      <c r="O5" s="4"/>
    </row>
    <row r="6" spans="1:15" x14ac:dyDescent="0.2">
      <c r="A6" s="8" t="s">
        <v>33</v>
      </c>
      <c r="B6" s="8" t="s">
        <v>1294</v>
      </c>
      <c r="C6" s="8" t="s">
        <v>1295</v>
      </c>
      <c r="D6" s="4"/>
      <c r="E6" s="4">
        <v>26.94</v>
      </c>
      <c r="F6" s="4">
        <v>27.17</v>
      </c>
      <c r="G6" s="4">
        <v>25.74</v>
      </c>
      <c r="H6" s="4" t="s">
        <v>63</v>
      </c>
      <c r="I6" s="4"/>
      <c r="J6" s="4" t="s">
        <v>63</v>
      </c>
      <c r="K6" s="4"/>
      <c r="L6" s="4"/>
      <c r="M6" s="4"/>
      <c r="N6" s="4"/>
      <c r="O6" s="4"/>
    </row>
    <row r="7" spans="1:15" x14ac:dyDescent="0.2">
      <c r="A7" s="8" t="s">
        <v>33</v>
      </c>
      <c r="B7" s="8" t="s">
        <v>106</v>
      </c>
      <c r="C7" s="8" t="s">
        <v>1296</v>
      </c>
      <c r="D7" s="4"/>
      <c r="E7" s="4"/>
      <c r="F7" s="4">
        <v>0.21</v>
      </c>
      <c r="G7" s="4"/>
      <c r="H7" s="4"/>
      <c r="I7" s="4"/>
      <c r="J7" s="4" t="s">
        <v>63</v>
      </c>
      <c r="K7" s="4"/>
      <c r="L7" s="4"/>
      <c r="M7" s="4"/>
      <c r="N7" s="4"/>
      <c r="O7" s="4"/>
    </row>
    <row r="8" spans="1:15" x14ac:dyDescent="0.2">
      <c r="A8" s="8" t="s">
        <v>33</v>
      </c>
      <c r="B8" s="8" t="s">
        <v>106</v>
      </c>
      <c r="C8" s="8" t="s">
        <v>1297</v>
      </c>
      <c r="D8" s="4"/>
      <c r="E8" s="4"/>
      <c r="F8" s="4">
        <v>0.66</v>
      </c>
      <c r="G8" s="4"/>
      <c r="H8" s="4"/>
      <c r="I8" s="4"/>
      <c r="J8" s="4"/>
      <c r="K8" s="4" t="s">
        <v>63</v>
      </c>
      <c r="L8" s="4"/>
      <c r="M8" s="4"/>
      <c r="N8" s="4"/>
      <c r="O8" s="4"/>
    </row>
    <row r="9" spans="1:15" x14ac:dyDescent="0.2">
      <c r="A9" s="8" t="s">
        <v>33</v>
      </c>
      <c r="B9" s="8" t="s">
        <v>106</v>
      </c>
      <c r="C9" s="8" t="s">
        <v>1298</v>
      </c>
      <c r="D9" s="4"/>
      <c r="E9" s="4"/>
      <c r="F9" s="4">
        <v>0.21</v>
      </c>
      <c r="G9" s="4"/>
      <c r="H9" s="4"/>
      <c r="I9" s="4"/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33</v>
      </c>
      <c r="B10" s="8" t="s">
        <v>106</v>
      </c>
      <c r="C10" s="8" t="s">
        <v>1299</v>
      </c>
      <c r="D10" s="4"/>
      <c r="E10" s="4"/>
      <c r="F10" s="4">
        <v>0.64</v>
      </c>
      <c r="G10" s="4"/>
      <c r="H10" s="4"/>
      <c r="I10" s="4"/>
      <c r="J10" s="4"/>
      <c r="K10" s="4" t="s">
        <v>63</v>
      </c>
      <c r="L10" s="4"/>
      <c r="M10" s="4"/>
      <c r="N10" s="4"/>
      <c r="O10" s="4"/>
    </row>
    <row r="11" spans="1:15" x14ac:dyDescent="0.2">
      <c r="A11" s="8" t="s">
        <v>33</v>
      </c>
      <c r="B11" s="8" t="s">
        <v>106</v>
      </c>
      <c r="C11" s="8" t="s">
        <v>1300</v>
      </c>
      <c r="D11" s="4"/>
      <c r="E11" s="4"/>
      <c r="F11" s="4">
        <v>0.2</v>
      </c>
      <c r="G11" s="4"/>
      <c r="H11" s="4"/>
      <c r="I11" s="4"/>
      <c r="J11" s="4" t="s">
        <v>63</v>
      </c>
      <c r="K11" s="4"/>
      <c r="L11" s="4"/>
      <c r="M11" s="4"/>
      <c r="N11" s="4"/>
      <c r="O11" s="4"/>
    </row>
    <row r="12" spans="1:15" x14ac:dyDescent="0.2">
      <c r="A12" s="8" t="s">
        <v>33</v>
      </c>
      <c r="B12" s="8" t="s">
        <v>106</v>
      </c>
      <c r="C12" s="8" t="s">
        <v>1301</v>
      </c>
      <c r="D12" s="4"/>
      <c r="E12" s="4"/>
      <c r="F12" s="4">
        <v>0.69</v>
      </c>
      <c r="G12" s="4"/>
      <c r="H12" s="4"/>
      <c r="I12" s="4"/>
      <c r="J12" s="4"/>
      <c r="K12" s="4" t="s">
        <v>63</v>
      </c>
      <c r="L12" s="4"/>
      <c r="M12" s="4"/>
      <c r="N12" s="4"/>
      <c r="O12" s="4"/>
    </row>
    <row r="13" spans="1:15" x14ac:dyDescent="0.2">
      <c r="A13" s="8" t="s">
        <v>33</v>
      </c>
      <c r="B13" s="8" t="s">
        <v>106</v>
      </c>
      <c r="C13" s="8" t="s">
        <v>1302</v>
      </c>
      <c r="D13" s="4"/>
      <c r="E13" s="4"/>
      <c r="F13" s="4">
        <v>0.19</v>
      </c>
      <c r="G13" s="4"/>
      <c r="H13" s="4"/>
      <c r="I13" s="4"/>
      <c r="J13" s="4" t="s">
        <v>63</v>
      </c>
      <c r="K13" s="4"/>
      <c r="L13" s="4"/>
      <c r="M13" s="4"/>
      <c r="N13" s="4"/>
      <c r="O13" s="4"/>
    </row>
    <row r="14" spans="1:15" x14ac:dyDescent="0.2">
      <c r="A14" s="8" t="s">
        <v>33</v>
      </c>
      <c r="B14" s="8" t="s">
        <v>106</v>
      </c>
      <c r="C14" s="8" t="s">
        <v>1303</v>
      </c>
      <c r="D14" s="4"/>
      <c r="E14" s="4"/>
      <c r="F14" s="4">
        <v>0.65</v>
      </c>
      <c r="G14" s="4"/>
      <c r="H14" s="4"/>
      <c r="I14" s="4"/>
      <c r="J14" s="4"/>
      <c r="K14" s="4" t="s">
        <v>63</v>
      </c>
      <c r="L14" s="4"/>
      <c r="M14" s="4"/>
      <c r="N14" s="4"/>
      <c r="O14" s="4"/>
    </row>
    <row r="15" spans="1:15" x14ac:dyDescent="0.2">
      <c r="A15" s="8" t="s">
        <v>33</v>
      </c>
      <c r="B15" s="8" t="s">
        <v>106</v>
      </c>
      <c r="C15" s="8" t="s">
        <v>1304</v>
      </c>
      <c r="D15" s="4"/>
      <c r="E15" s="4"/>
      <c r="F15" s="4">
        <v>0.18</v>
      </c>
      <c r="G15" s="4"/>
      <c r="H15" s="4"/>
      <c r="I15" s="4"/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33</v>
      </c>
      <c r="B16" s="8" t="s">
        <v>106</v>
      </c>
      <c r="C16" s="8" t="s">
        <v>1305</v>
      </c>
      <c r="D16" s="4"/>
      <c r="E16" s="4"/>
      <c r="F16" s="4">
        <v>0.61</v>
      </c>
      <c r="G16" s="4"/>
      <c r="H16" s="4"/>
      <c r="I16" s="4"/>
      <c r="J16" s="4"/>
      <c r="K16" s="4" t="s">
        <v>63</v>
      </c>
      <c r="L16" s="4"/>
      <c r="M16" s="4"/>
      <c r="N16" s="4"/>
      <c r="O16" s="4"/>
    </row>
    <row r="17" spans="1:15" x14ac:dyDescent="0.2">
      <c r="A17" s="8" t="s">
        <v>33</v>
      </c>
      <c r="B17" s="8" t="s">
        <v>106</v>
      </c>
      <c r="C17" s="8" t="s">
        <v>1306</v>
      </c>
      <c r="D17" s="4"/>
      <c r="E17" s="4"/>
      <c r="F17" s="4">
        <v>0.2</v>
      </c>
      <c r="G17" s="4"/>
      <c r="H17" s="4"/>
      <c r="I17" s="4"/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33</v>
      </c>
      <c r="B18" s="8" t="s">
        <v>106</v>
      </c>
      <c r="C18" s="8" t="s">
        <v>1307</v>
      </c>
      <c r="D18" s="4"/>
      <c r="E18" s="4"/>
      <c r="F18" s="4">
        <v>0.66</v>
      </c>
      <c r="G18" s="4"/>
      <c r="H18" s="4"/>
      <c r="I18" s="4"/>
      <c r="J18" s="4"/>
      <c r="K18" s="4" t="s">
        <v>63</v>
      </c>
      <c r="L18" s="4"/>
      <c r="M18" s="4"/>
      <c r="N18" s="4"/>
      <c r="O18" s="4"/>
    </row>
    <row r="19" spans="1:15" x14ac:dyDescent="0.2">
      <c r="A19" s="8" t="s">
        <v>33</v>
      </c>
      <c r="B19" s="8" t="s">
        <v>1308</v>
      </c>
      <c r="C19" s="8" t="s">
        <v>1309</v>
      </c>
      <c r="D19" s="4"/>
      <c r="E19" s="4"/>
      <c r="F19" s="4">
        <v>66.56</v>
      </c>
      <c r="G19" s="4"/>
      <c r="H19" s="4" t="s">
        <v>63</v>
      </c>
      <c r="I19" s="4"/>
      <c r="J19" s="4" t="s">
        <v>63</v>
      </c>
      <c r="K19" s="4"/>
      <c r="L19" s="4"/>
      <c r="M19" s="4"/>
      <c r="N19" s="4"/>
      <c r="O19" s="4"/>
    </row>
    <row r="20" spans="1:15" x14ac:dyDescent="0.2">
      <c r="A20" s="8" t="s">
        <v>33</v>
      </c>
      <c r="B20" s="8" t="s">
        <v>1310</v>
      </c>
      <c r="C20" s="8" t="s">
        <v>1311</v>
      </c>
      <c r="D20" s="4"/>
      <c r="E20" s="4">
        <v>102.09</v>
      </c>
      <c r="F20" s="4">
        <v>102.41</v>
      </c>
      <c r="G20" s="4">
        <v>132.54</v>
      </c>
      <c r="H20" s="4" t="s">
        <v>63</v>
      </c>
      <c r="I20" s="4"/>
      <c r="J20" s="4" t="s">
        <v>63</v>
      </c>
      <c r="K20" s="4"/>
      <c r="L20" s="4"/>
      <c r="M20" s="4"/>
      <c r="N20" s="4"/>
      <c r="O20" s="4"/>
    </row>
    <row r="21" spans="1:15" x14ac:dyDescent="0.2">
      <c r="A21" s="8" t="s">
        <v>33</v>
      </c>
      <c r="B21" s="8" t="s">
        <v>1312</v>
      </c>
      <c r="C21" s="8" t="s">
        <v>1313</v>
      </c>
      <c r="D21" s="4"/>
      <c r="E21" s="4">
        <v>43.47</v>
      </c>
      <c r="F21" s="4">
        <v>43.21</v>
      </c>
      <c r="G21" s="4">
        <v>43.17</v>
      </c>
      <c r="H21" s="4" t="s">
        <v>63</v>
      </c>
      <c r="I21" s="4"/>
      <c r="J21" s="4" t="s">
        <v>63</v>
      </c>
      <c r="K21" s="4"/>
      <c r="L21" s="4"/>
      <c r="M21" s="4"/>
      <c r="N21" s="4"/>
      <c r="O21" s="4"/>
    </row>
    <row r="22" spans="1:15" x14ac:dyDescent="0.2">
      <c r="A22" s="8" t="s">
        <v>33</v>
      </c>
      <c r="B22" s="8" t="s">
        <v>1314</v>
      </c>
      <c r="C22" s="8" t="s">
        <v>1315</v>
      </c>
      <c r="D22" s="4"/>
      <c r="E22" s="4">
        <v>89.67</v>
      </c>
      <c r="F22" s="4">
        <v>90.17</v>
      </c>
      <c r="G22" s="4">
        <v>57.32</v>
      </c>
      <c r="H22" s="4" t="s">
        <v>63</v>
      </c>
      <c r="I22" s="4"/>
      <c r="J22" s="4" t="s">
        <v>63</v>
      </c>
      <c r="K22" s="4" t="s">
        <v>63</v>
      </c>
      <c r="L22" s="4"/>
      <c r="M22" s="4"/>
      <c r="N22" s="4"/>
      <c r="O22" s="4"/>
    </row>
    <row r="23" spans="1:15" x14ac:dyDescent="0.2">
      <c r="A23" s="8" t="s">
        <v>33</v>
      </c>
      <c r="B23" s="8" t="s">
        <v>1316</v>
      </c>
      <c r="C23" s="8" t="s">
        <v>1315</v>
      </c>
      <c r="D23" s="4"/>
      <c r="E23" s="4">
        <v>58.28</v>
      </c>
      <c r="F23" s="4">
        <v>60.53</v>
      </c>
      <c r="G23" s="4">
        <v>56.85</v>
      </c>
      <c r="H23" s="4" t="s">
        <v>63</v>
      </c>
      <c r="I23" s="4"/>
      <c r="J23" s="4" t="s">
        <v>63</v>
      </c>
      <c r="K23" s="4" t="s">
        <v>63</v>
      </c>
      <c r="L23" s="4"/>
      <c r="M23" s="4"/>
      <c r="N23" s="4"/>
      <c r="O23" s="4"/>
    </row>
    <row r="24" spans="1:15" x14ac:dyDescent="0.2">
      <c r="A24" s="8" t="s">
        <v>33</v>
      </c>
      <c r="B24" s="8" t="s">
        <v>1317</v>
      </c>
      <c r="C24" s="8" t="s">
        <v>1318</v>
      </c>
      <c r="D24" s="4"/>
      <c r="E24" s="4">
        <v>46.39</v>
      </c>
      <c r="F24" s="4">
        <v>46.07</v>
      </c>
      <c r="G24" s="4">
        <v>45.82</v>
      </c>
      <c r="H24" s="4" t="s">
        <v>63</v>
      </c>
      <c r="I24" s="4"/>
      <c r="J24" s="4" t="s">
        <v>63</v>
      </c>
      <c r="K24" s="4" t="s">
        <v>63</v>
      </c>
      <c r="L24" s="4"/>
      <c r="M24" s="4"/>
      <c r="N24" s="4"/>
      <c r="O24" s="4"/>
    </row>
    <row r="25" spans="1:15" x14ac:dyDescent="0.2">
      <c r="A25" s="8" t="s">
        <v>33</v>
      </c>
      <c r="B25" s="8" t="s">
        <v>1319</v>
      </c>
      <c r="C25" s="8" t="s">
        <v>1318</v>
      </c>
      <c r="D25" s="4"/>
      <c r="E25" s="4">
        <v>46.64</v>
      </c>
      <c r="F25" s="4">
        <v>45.56</v>
      </c>
      <c r="G25" s="4">
        <v>45.42</v>
      </c>
      <c r="H25" s="4" t="s">
        <v>63</v>
      </c>
      <c r="I25" s="4"/>
      <c r="J25" s="4" t="s">
        <v>63</v>
      </c>
      <c r="K25" s="4" t="s">
        <v>63</v>
      </c>
      <c r="L25" s="4"/>
      <c r="M25" s="4"/>
      <c r="N25" s="4"/>
      <c r="O25" s="4"/>
    </row>
  </sheetData>
  <mergeCells count="1">
    <mergeCell ref="E3:G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O36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SUM(E5:G7)</f>
        <v>257.87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34</v>
      </c>
      <c r="B5" s="8" t="s">
        <v>1320</v>
      </c>
      <c r="C5" s="8" t="s">
        <v>1321</v>
      </c>
      <c r="D5" s="4"/>
      <c r="E5" s="4">
        <v>29.16</v>
      </c>
      <c r="F5" s="4">
        <v>30.79</v>
      </c>
      <c r="G5" s="4">
        <v>28.76</v>
      </c>
      <c r="H5" s="4" t="s">
        <v>1998</v>
      </c>
      <c r="I5" s="4" t="s">
        <v>1998</v>
      </c>
      <c r="J5" s="4" t="s">
        <v>1998</v>
      </c>
      <c r="K5" s="4" t="s">
        <v>1998</v>
      </c>
      <c r="L5" s="4"/>
      <c r="M5" s="4"/>
      <c r="N5" s="4"/>
      <c r="O5" s="4"/>
    </row>
    <row r="6" spans="1:15" x14ac:dyDescent="0.2">
      <c r="A6" s="8" t="s">
        <v>34</v>
      </c>
      <c r="B6" s="8" t="s">
        <v>1322</v>
      </c>
      <c r="C6" s="8" t="s">
        <v>1323</v>
      </c>
      <c r="D6" s="4"/>
      <c r="E6" s="4">
        <v>23.43</v>
      </c>
      <c r="F6" s="4">
        <v>23.41</v>
      </c>
      <c r="G6" s="4">
        <v>23.21</v>
      </c>
      <c r="H6" s="4"/>
      <c r="I6" s="4"/>
      <c r="J6" s="4"/>
      <c r="K6" s="4"/>
      <c r="L6" s="4" t="s">
        <v>1998</v>
      </c>
      <c r="M6" s="4"/>
      <c r="N6" s="4"/>
      <c r="O6" s="4"/>
    </row>
    <row r="7" spans="1:15" x14ac:dyDescent="0.2">
      <c r="A7" s="8" t="s">
        <v>34</v>
      </c>
      <c r="B7" s="8" t="s">
        <v>1324</v>
      </c>
      <c r="C7" s="8" t="s">
        <v>1325</v>
      </c>
      <c r="D7" s="4"/>
      <c r="E7" s="4">
        <v>23.13</v>
      </c>
      <c r="F7" s="4">
        <v>52.97</v>
      </c>
      <c r="G7" s="4">
        <v>23.01</v>
      </c>
      <c r="H7" s="4"/>
      <c r="I7" s="4"/>
      <c r="J7" s="4"/>
      <c r="K7" s="4"/>
      <c r="L7" s="4" t="s">
        <v>1998</v>
      </c>
      <c r="M7" s="4"/>
      <c r="N7" s="4"/>
      <c r="O7" s="4"/>
    </row>
    <row r="33" customFormat="1" x14ac:dyDescent="0.2"/>
    <row r="34" customFormat="1" x14ac:dyDescent="0.2"/>
    <row r="35" customFormat="1" x14ac:dyDescent="0.2"/>
    <row r="36" customFormat="1" x14ac:dyDescent="0.2"/>
  </sheetData>
  <mergeCells count="1">
    <mergeCell ref="E3:G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O47"/>
  <sheetViews>
    <sheetView zoomScale="150"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3" width="58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SUM(E5:G47)</f>
        <v>9962.6600000000035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35</v>
      </c>
      <c r="B5" s="8" t="s">
        <v>1326</v>
      </c>
      <c r="C5" s="8" t="s">
        <v>1327</v>
      </c>
      <c r="D5" s="4"/>
      <c r="E5" s="4">
        <v>29.43</v>
      </c>
      <c r="F5" s="4">
        <v>29.51</v>
      </c>
      <c r="G5" s="4">
        <v>28.45</v>
      </c>
      <c r="H5" s="4"/>
      <c r="I5" s="4"/>
      <c r="J5" s="4" t="s">
        <v>64</v>
      </c>
      <c r="K5" s="4" t="s">
        <v>64</v>
      </c>
      <c r="L5" s="4"/>
      <c r="M5" s="4"/>
      <c r="N5" s="4"/>
      <c r="O5" s="4"/>
    </row>
    <row r="6" spans="1:15" x14ac:dyDescent="0.2">
      <c r="A6" s="8" t="s">
        <v>35</v>
      </c>
      <c r="B6" s="8" t="s">
        <v>1328</v>
      </c>
      <c r="C6" s="8" t="s">
        <v>1329</v>
      </c>
      <c r="D6" s="4"/>
      <c r="E6" s="4"/>
      <c r="F6" s="4">
        <v>2325.7800000000002</v>
      </c>
      <c r="G6" s="4"/>
      <c r="H6" s="4"/>
      <c r="I6" s="4"/>
      <c r="J6" s="4" t="s">
        <v>63</v>
      </c>
      <c r="K6" s="4"/>
      <c r="L6" s="4"/>
      <c r="M6" s="4"/>
      <c r="N6" s="4"/>
      <c r="O6" s="4"/>
    </row>
    <row r="7" spans="1:15" x14ac:dyDescent="0.2">
      <c r="A7" s="8" t="s">
        <v>35</v>
      </c>
      <c r="B7" s="8" t="s">
        <v>106</v>
      </c>
      <c r="C7" s="8" t="s">
        <v>1330</v>
      </c>
      <c r="D7" s="4"/>
      <c r="E7" s="4"/>
      <c r="F7" s="4">
        <v>0.26</v>
      </c>
      <c r="G7" s="4"/>
      <c r="H7" s="4"/>
      <c r="I7" s="4"/>
      <c r="J7" s="4" t="s">
        <v>63</v>
      </c>
      <c r="K7" s="4"/>
      <c r="L7" s="4"/>
      <c r="M7" s="4"/>
      <c r="N7" s="4"/>
      <c r="O7" s="4"/>
    </row>
    <row r="8" spans="1:15" x14ac:dyDescent="0.2">
      <c r="A8" s="8" t="s">
        <v>35</v>
      </c>
      <c r="B8" s="8" t="s">
        <v>106</v>
      </c>
      <c r="C8" s="8" t="s">
        <v>1331</v>
      </c>
      <c r="D8" s="4"/>
      <c r="E8" s="4"/>
      <c r="F8" s="4">
        <v>0.7</v>
      </c>
      <c r="G8" s="4"/>
      <c r="H8" s="4"/>
      <c r="I8" s="4"/>
      <c r="J8" s="4"/>
      <c r="K8" s="4" t="s">
        <v>63</v>
      </c>
      <c r="L8" s="4"/>
      <c r="M8" s="4"/>
      <c r="N8" s="4"/>
      <c r="O8" s="4"/>
    </row>
    <row r="9" spans="1:15" x14ac:dyDescent="0.2">
      <c r="A9" s="8" t="s">
        <v>35</v>
      </c>
      <c r="B9" s="8" t="s">
        <v>106</v>
      </c>
      <c r="C9" s="8" t="s">
        <v>1332</v>
      </c>
      <c r="D9" s="4"/>
      <c r="E9" s="4"/>
      <c r="F9" s="4">
        <v>0.22</v>
      </c>
      <c r="G9" s="4"/>
      <c r="H9" s="4"/>
      <c r="I9" s="4"/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35</v>
      </c>
      <c r="B10" s="8" t="s">
        <v>106</v>
      </c>
      <c r="C10" s="8" t="s">
        <v>1333</v>
      </c>
      <c r="D10" s="4"/>
      <c r="E10" s="4"/>
      <c r="F10" s="4">
        <v>29.66</v>
      </c>
      <c r="G10" s="4"/>
      <c r="H10" s="4"/>
      <c r="I10" s="4"/>
      <c r="J10" s="4"/>
      <c r="K10" s="4" t="s">
        <v>63</v>
      </c>
      <c r="L10" s="4"/>
      <c r="M10" s="4"/>
      <c r="N10" s="4"/>
      <c r="O10" s="4"/>
    </row>
    <row r="11" spans="1:15" x14ac:dyDescent="0.2">
      <c r="A11" s="8" t="s">
        <v>35</v>
      </c>
      <c r="B11" s="8" t="s">
        <v>106</v>
      </c>
      <c r="C11" s="8" t="s">
        <v>1334</v>
      </c>
      <c r="D11" s="4"/>
      <c r="E11" s="4"/>
      <c r="F11" s="4">
        <v>5.08</v>
      </c>
      <c r="G11" s="4"/>
      <c r="H11" s="4"/>
      <c r="I11" s="4"/>
      <c r="J11" s="4" t="s">
        <v>63</v>
      </c>
      <c r="K11" s="4"/>
      <c r="L11" s="4"/>
      <c r="M11" s="4"/>
      <c r="N11" s="4"/>
      <c r="O11" s="4"/>
    </row>
    <row r="12" spans="1:15" x14ac:dyDescent="0.2">
      <c r="A12" s="8" t="s">
        <v>35</v>
      </c>
      <c r="B12" s="8" t="s">
        <v>106</v>
      </c>
      <c r="C12" s="8" t="s">
        <v>1335</v>
      </c>
      <c r="D12" s="4"/>
      <c r="E12" s="4"/>
      <c r="F12" s="4">
        <v>0.77</v>
      </c>
      <c r="G12" s="4"/>
      <c r="H12" s="4"/>
      <c r="I12" s="4"/>
      <c r="J12" s="4"/>
      <c r="K12" s="4" t="s">
        <v>63</v>
      </c>
      <c r="L12" s="4"/>
      <c r="M12" s="4"/>
      <c r="N12" s="4"/>
      <c r="O12" s="4"/>
    </row>
    <row r="13" spans="1:15" x14ac:dyDescent="0.2">
      <c r="A13" s="8" t="s">
        <v>35</v>
      </c>
      <c r="B13" s="8" t="s">
        <v>106</v>
      </c>
      <c r="C13" s="8" t="s">
        <v>1336</v>
      </c>
      <c r="D13" s="4"/>
      <c r="E13" s="4"/>
      <c r="F13" s="4">
        <v>0.19</v>
      </c>
      <c r="G13" s="4"/>
      <c r="H13" s="4"/>
      <c r="I13" s="4"/>
      <c r="J13" s="4" t="s">
        <v>63</v>
      </c>
      <c r="K13" s="4"/>
      <c r="L13" s="4"/>
      <c r="M13" s="4"/>
      <c r="N13" s="4"/>
      <c r="O13" s="4"/>
    </row>
    <row r="14" spans="1:15" x14ac:dyDescent="0.2">
      <c r="A14" s="8" t="s">
        <v>35</v>
      </c>
      <c r="B14" s="8" t="s">
        <v>106</v>
      </c>
      <c r="C14" s="8" t="s">
        <v>1337</v>
      </c>
      <c r="D14" s="4"/>
      <c r="E14" s="4"/>
      <c r="F14" s="4">
        <v>0.61</v>
      </c>
      <c r="G14" s="4"/>
      <c r="H14" s="4"/>
      <c r="I14" s="4"/>
      <c r="J14" s="4"/>
      <c r="K14" s="4" t="s">
        <v>63</v>
      </c>
      <c r="L14" s="4"/>
      <c r="M14" s="4"/>
      <c r="N14" s="4"/>
      <c r="O14" s="4"/>
    </row>
    <row r="15" spans="1:15" x14ac:dyDescent="0.2">
      <c r="A15" s="8" t="s">
        <v>35</v>
      </c>
      <c r="B15" s="8" t="s">
        <v>106</v>
      </c>
      <c r="C15" s="8" t="s">
        <v>1338</v>
      </c>
      <c r="D15" s="4"/>
      <c r="E15" s="4"/>
      <c r="F15" s="4">
        <v>0.17</v>
      </c>
      <c r="G15" s="4"/>
      <c r="H15" s="4"/>
      <c r="I15" s="4"/>
      <c r="J15" s="4" t="s">
        <v>63</v>
      </c>
      <c r="K15" s="4"/>
      <c r="L15" s="4"/>
      <c r="M15" s="4"/>
      <c r="N15" s="4"/>
      <c r="O15" s="4"/>
    </row>
    <row r="16" spans="1:15" x14ac:dyDescent="0.2">
      <c r="A16" s="8" t="s">
        <v>35</v>
      </c>
      <c r="B16" s="8" t="s">
        <v>106</v>
      </c>
      <c r="C16" s="8" t="s">
        <v>1339</v>
      </c>
      <c r="D16" s="4"/>
      <c r="E16" s="4"/>
      <c r="F16" s="4">
        <v>0.56999999999999995</v>
      </c>
      <c r="G16" s="4"/>
      <c r="H16" s="4"/>
      <c r="I16" s="4"/>
      <c r="J16" s="4"/>
      <c r="K16" s="4" t="s">
        <v>63</v>
      </c>
      <c r="L16" s="4"/>
      <c r="M16" s="4"/>
      <c r="N16" s="4"/>
      <c r="O16" s="4"/>
    </row>
    <row r="17" spans="1:15" x14ac:dyDescent="0.2">
      <c r="A17" s="8" t="s">
        <v>35</v>
      </c>
      <c r="B17" s="8" t="s">
        <v>106</v>
      </c>
      <c r="C17" s="8" t="s">
        <v>1340</v>
      </c>
      <c r="D17" s="4"/>
      <c r="E17" s="4"/>
      <c r="F17" s="4">
        <v>0.17</v>
      </c>
      <c r="G17" s="4"/>
      <c r="H17" s="4"/>
      <c r="I17" s="4"/>
      <c r="J17" s="4" t="s">
        <v>63</v>
      </c>
      <c r="K17" s="4"/>
      <c r="L17" s="4"/>
      <c r="M17" s="4"/>
      <c r="N17" s="4"/>
      <c r="O17" s="4"/>
    </row>
    <row r="18" spans="1:15" x14ac:dyDescent="0.2">
      <c r="A18" s="8" t="s">
        <v>35</v>
      </c>
      <c r="B18" s="8" t="s">
        <v>106</v>
      </c>
      <c r="C18" s="8" t="s">
        <v>1341</v>
      </c>
      <c r="D18" s="4"/>
      <c r="E18" s="4"/>
      <c r="F18" s="4">
        <v>0.56999999999999995</v>
      </c>
      <c r="G18" s="4"/>
      <c r="H18" s="4"/>
      <c r="I18" s="4"/>
      <c r="J18" s="4"/>
      <c r="K18" s="4" t="s">
        <v>63</v>
      </c>
      <c r="L18" s="4"/>
      <c r="M18" s="4"/>
      <c r="N18" s="4"/>
      <c r="O18" s="4"/>
    </row>
    <row r="19" spans="1:15" x14ac:dyDescent="0.2">
      <c r="A19" s="8" t="s">
        <v>35</v>
      </c>
      <c r="B19" s="8" t="s">
        <v>106</v>
      </c>
      <c r="C19" s="10" t="s">
        <v>1342</v>
      </c>
      <c r="D19" s="4"/>
      <c r="E19" s="4"/>
      <c r="F19" s="4">
        <v>0.24</v>
      </c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 t="s">
        <v>35</v>
      </c>
      <c r="B20" s="8" t="s">
        <v>106</v>
      </c>
      <c r="C20" s="10" t="s">
        <v>1343</v>
      </c>
      <c r="D20" s="4"/>
      <c r="E20" s="4"/>
      <c r="F20" s="4">
        <v>0.67</v>
      </c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8" t="s">
        <v>35</v>
      </c>
      <c r="B21" s="8" t="s">
        <v>106</v>
      </c>
      <c r="C21" s="10" t="s">
        <v>1344</v>
      </c>
      <c r="D21" s="4"/>
      <c r="E21" s="4"/>
      <c r="F21" s="4">
        <v>0.18</v>
      </c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8" t="s">
        <v>35</v>
      </c>
      <c r="B22" s="8" t="s">
        <v>106</v>
      </c>
      <c r="C22" s="10" t="s">
        <v>1345</v>
      </c>
      <c r="D22" s="4"/>
      <c r="E22" s="4"/>
      <c r="F22" s="4">
        <v>0.76</v>
      </c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8" t="s">
        <v>35</v>
      </c>
      <c r="B23" s="8" t="s">
        <v>106</v>
      </c>
      <c r="C23" s="8" t="s">
        <v>1346</v>
      </c>
      <c r="D23" s="4"/>
      <c r="E23" s="4"/>
      <c r="F23" s="4">
        <v>0.21</v>
      </c>
      <c r="G23" s="4"/>
      <c r="H23" s="4"/>
      <c r="I23" s="4"/>
      <c r="J23" s="4" t="s">
        <v>63</v>
      </c>
      <c r="L23" s="4"/>
      <c r="M23" s="4"/>
      <c r="N23" s="4"/>
      <c r="O23" s="4"/>
    </row>
    <row r="24" spans="1:15" x14ac:dyDescent="0.2">
      <c r="A24" s="8" t="s">
        <v>35</v>
      </c>
      <c r="B24" s="8" t="s">
        <v>106</v>
      </c>
      <c r="C24" s="8" t="s">
        <v>1347</v>
      </c>
      <c r="D24" s="4"/>
      <c r="E24" s="4"/>
      <c r="F24" s="4">
        <v>0.69</v>
      </c>
      <c r="G24" s="4"/>
      <c r="H24" s="4"/>
      <c r="I24" s="4"/>
      <c r="J24" s="4"/>
      <c r="K24" s="4" t="s">
        <v>63</v>
      </c>
      <c r="L24" s="4"/>
      <c r="M24" s="4"/>
      <c r="N24" s="4"/>
      <c r="O24" s="4"/>
    </row>
    <row r="25" spans="1:15" x14ac:dyDescent="0.2">
      <c r="A25" s="8" t="s">
        <v>35</v>
      </c>
      <c r="B25" s="8" t="s">
        <v>106</v>
      </c>
      <c r="C25" s="8" t="s">
        <v>1348</v>
      </c>
      <c r="D25" s="4"/>
      <c r="E25" s="4"/>
      <c r="F25" s="4">
        <v>0.25</v>
      </c>
      <c r="G25" s="4"/>
      <c r="H25" s="4"/>
      <c r="I25" s="4"/>
      <c r="J25" s="4"/>
      <c r="K25" s="4" t="s">
        <v>63</v>
      </c>
      <c r="L25" s="4"/>
      <c r="M25" s="4"/>
      <c r="N25" s="4"/>
      <c r="O25" s="4"/>
    </row>
    <row r="26" spans="1:15" x14ac:dyDescent="0.2">
      <c r="A26" s="8" t="s">
        <v>35</v>
      </c>
      <c r="B26" s="8" t="s">
        <v>106</v>
      </c>
      <c r="C26" s="8" t="s">
        <v>1349</v>
      </c>
      <c r="D26" s="4"/>
      <c r="E26" s="4"/>
      <c r="F26" s="4">
        <v>0.68</v>
      </c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8" t="s">
        <v>35</v>
      </c>
      <c r="B27" s="8" t="s">
        <v>106</v>
      </c>
      <c r="C27" s="8" t="s">
        <v>1350</v>
      </c>
      <c r="D27" s="4"/>
      <c r="E27" s="4"/>
      <c r="F27" s="4">
        <v>0.19</v>
      </c>
      <c r="G27" s="4"/>
      <c r="H27" s="4"/>
      <c r="I27" s="4"/>
      <c r="J27" s="4"/>
      <c r="K27" s="4" t="s">
        <v>63</v>
      </c>
      <c r="L27" s="4"/>
      <c r="M27" s="4"/>
      <c r="N27" s="4"/>
      <c r="O27" s="4"/>
    </row>
    <row r="28" spans="1:15" x14ac:dyDescent="0.2">
      <c r="A28" s="8" t="s">
        <v>35</v>
      </c>
      <c r="B28" s="8" t="s">
        <v>106</v>
      </c>
      <c r="C28" s="8" t="s">
        <v>1351</v>
      </c>
      <c r="D28" s="4"/>
      <c r="E28" s="4"/>
      <c r="F28" s="4">
        <v>0.62</v>
      </c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8" t="s">
        <v>35</v>
      </c>
      <c r="B29" s="8" t="s">
        <v>106</v>
      </c>
      <c r="C29" s="8" t="s">
        <v>1352</v>
      </c>
      <c r="D29" s="4"/>
      <c r="E29" s="4"/>
      <c r="F29" s="4">
        <v>0.17</v>
      </c>
      <c r="G29" s="4"/>
      <c r="H29" s="4"/>
      <c r="I29" s="4"/>
      <c r="J29" s="4"/>
      <c r="K29" s="4" t="s">
        <v>63</v>
      </c>
      <c r="L29" s="4"/>
      <c r="M29" s="4"/>
      <c r="N29" s="4"/>
      <c r="O29" s="4"/>
    </row>
    <row r="30" spans="1:15" x14ac:dyDescent="0.2">
      <c r="A30" s="8" t="s">
        <v>35</v>
      </c>
      <c r="B30" s="8" t="s">
        <v>106</v>
      </c>
      <c r="C30" s="8" t="s">
        <v>1353</v>
      </c>
      <c r="D30" s="4"/>
      <c r="E30" s="4"/>
      <c r="F30" s="4">
        <v>28.03</v>
      </c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8" t="s">
        <v>35</v>
      </c>
      <c r="B31" s="8" t="s">
        <v>106</v>
      </c>
      <c r="C31" s="8" t="s">
        <v>1354</v>
      </c>
      <c r="D31" s="4"/>
      <c r="E31" s="4"/>
      <c r="F31" s="4">
        <v>3.28</v>
      </c>
      <c r="G31" s="4"/>
      <c r="H31" s="4"/>
      <c r="I31" s="4"/>
      <c r="J31" s="4"/>
      <c r="K31" s="4" t="s">
        <v>63</v>
      </c>
      <c r="L31" s="4"/>
      <c r="M31" s="4"/>
      <c r="N31" s="4"/>
      <c r="O31" s="4"/>
    </row>
    <row r="32" spans="1:15" x14ac:dyDescent="0.2">
      <c r="A32" s="8" t="s">
        <v>35</v>
      </c>
      <c r="B32" s="8" t="s">
        <v>106</v>
      </c>
      <c r="C32" s="8" t="s">
        <v>1355</v>
      </c>
      <c r="D32" s="4"/>
      <c r="E32" s="4"/>
      <c r="F32" s="4">
        <v>3.49</v>
      </c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8" t="s">
        <v>35</v>
      </c>
      <c r="B33" s="8" t="s">
        <v>106</v>
      </c>
      <c r="C33" s="8" t="s">
        <v>1356</v>
      </c>
      <c r="D33" s="4"/>
      <c r="E33" s="4"/>
      <c r="F33" s="4">
        <v>0.2</v>
      </c>
      <c r="G33" s="4"/>
      <c r="H33" s="4"/>
      <c r="I33" s="4"/>
      <c r="J33" s="4"/>
      <c r="K33" s="4" t="s">
        <v>63</v>
      </c>
      <c r="L33" s="4"/>
      <c r="M33" s="4"/>
      <c r="N33" s="4"/>
      <c r="O33" s="4"/>
    </row>
    <row r="34" spans="1:15" x14ac:dyDescent="0.2">
      <c r="A34" s="8" t="s">
        <v>35</v>
      </c>
      <c r="B34" s="8" t="s">
        <v>106</v>
      </c>
      <c r="C34" s="8" t="s">
        <v>1357</v>
      </c>
      <c r="D34" s="4"/>
      <c r="E34" s="4"/>
      <c r="F34" s="4">
        <v>0.62</v>
      </c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8" t="s">
        <v>35</v>
      </c>
      <c r="B35" s="8" t="s">
        <v>106</v>
      </c>
      <c r="C35" s="8" t="s">
        <v>1358</v>
      </c>
      <c r="D35" s="4"/>
      <c r="E35" s="4"/>
      <c r="F35" s="4">
        <v>0.17</v>
      </c>
      <c r="G35" s="4"/>
      <c r="H35" s="4"/>
      <c r="I35" s="4"/>
      <c r="J35" s="4"/>
      <c r="K35" s="4" t="s">
        <v>63</v>
      </c>
      <c r="L35" s="4"/>
      <c r="M35" s="4"/>
      <c r="N35" s="4"/>
      <c r="O35" s="4"/>
    </row>
    <row r="36" spans="1:15" x14ac:dyDescent="0.2">
      <c r="A36" s="8" t="s">
        <v>35</v>
      </c>
      <c r="B36" s="8" t="s">
        <v>106</v>
      </c>
      <c r="C36" s="8" t="s">
        <v>1359</v>
      </c>
      <c r="D36" s="4"/>
      <c r="E36" s="4"/>
      <c r="F36" s="4">
        <v>0.61</v>
      </c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8" t="s">
        <v>35</v>
      </c>
      <c r="B37" s="8" t="s">
        <v>106</v>
      </c>
      <c r="C37" s="10" t="s">
        <v>1360</v>
      </c>
      <c r="D37" s="4"/>
      <c r="E37" s="4"/>
      <c r="F37" s="4">
        <v>0.25</v>
      </c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8" t="s">
        <v>35</v>
      </c>
      <c r="B38" s="8" t="s">
        <v>106</v>
      </c>
      <c r="C38" s="10" t="s">
        <v>1361</v>
      </c>
      <c r="D38" s="4"/>
      <c r="E38" s="4"/>
      <c r="F38" s="4">
        <v>0.69</v>
      </c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8" t="s">
        <v>35</v>
      </c>
      <c r="B39" s="8" t="s">
        <v>106</v>
      </c>
      <c r="C39" s="10" t="s">
        <v>1362</v>
      </c>
      <c r="D39" s="4"/>
      <c r="E39" s="4"/>
      <c r="F39" s="4">
        <v>0.19</v>
      </c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8" t="s">
        <v>35</v>
      </c>
      <c r="B40" s="8" t="s">
        <v>106</v>
      </c>
      <c r="C40" s="10" t="s">
        <v>1363</v>
      </c>
      <c r="D40" s="4"/>
      <c r="E40" s="4"/>
      <c r="F40" s="4">
        <v>0.61</v>
      </c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8" t="s">
        <v>35</v>
      </c>
      <c r="B41" s="8" t="s">
        <v>106</v>
      </c>
      <c r="C41" s="10" t="s">
        <v>1364</v>
      </c>
      <c r="D41" s="4"/>
      <c r="E41" s="4"/>
      <c r="F41" s="4">
        <v>0.17</v>
      </c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8" t="s">
        <v>35</v>
      </c>
      <c r="B42" s="8" t="s">
        <v>106</v>
      </c>
      <c r="C42" s="10" t="s">
        <v>1365</v>
      </c>
      <c r="D42" s="4"/>
      <c r="E42" s="4"/>
      <c r="F42" s="4">
        <v>0.68</v>
      </c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 t="s">
        <v>35</v>
      </c>
      <c r="B43" s="8" t="s">
        <v>1366</v>
      </c>
      <c r="C43" s="8" t="s">
        <v>1329</v>
      </c>
      <c r="D43" s="4"/>
      <c r="E43" s="4"/>
      <c r="F43" s="4">
        <v>2312.6799999999998</v>
      </c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8" t="s">
        <v>35</v>
      </c>
      <c r="B44" s="8" t="s">
        <v>1367</v>
      </c>
      <c r="C44" s="8" t="s">
        <v>1329</v>
      </c>
      <c r="D44" s="4"/>
      <c r="E44" s="4"/>
      <c r="F44" s="4">
        <v>2306.8200000000002</v>
      </c>
      <c r="G44" s="4"/>
      <c r="H44" s="4"/>
      <c r="I44" s="4"/>
      <c r="J44" s="4"/>
      <c r="K44" s="4" t="s">
        <v>63</v>
      </c>
      <c r="L44" s="4"/>
      <c r="M44" s="4"/>
      <c r="N44" s="4"/>
      <c r="O44" s="4"/>
    </row>
    <row r="45" spans="1:15" x14ac:dyDescent="0.2">
      <c r="A45" s="8" t="s">
        <v>35</v>
      </c>
      <c r="B45" s="8" t="s">
        <v>1368</v>
      </c>
      <c r="C45" s="8" t="s">
        <v>1329</v>
      </c>
      <c r="D45" s="4"/>
      <c r="E45" s="4"/>
      <c r="F45" s="4">
        <v>2591.1999999999998</v>
      </c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8" t="s">
        <v>35</v>
      </c>
      <c r="B46" s="8" t="s">
        <v>1369</v>
      </c>
      <c r="C46" s="8" t="s">
        <v>1370</v>
      </c>
      <c r="D46" s="4"/>
      <c r="E46" s="4">
        <v>40.94</v>
      </c>
      <c r="F46" s="4">
        <v>33.6</v>
      </c>
      <c r="G46" s="4">
        <v>38.28</v>
      </c>
      <c r="H46" s="4"/>
      <c r="I46" s="4"/>
      <c r="J46" s="4"/>
      <c r="K46" s="4" t="s">
        <v>63</v>
      </c>
      <c r="L46" s="4"/>
      <c r="M46" s="4"/>
      <c r="N46" s="4"/>
      <c r="O46" s="4"/>
    </row>
    <row r="47" spans="1:15" x14ac:dyDescent="0.2">
      <c r="A47" s="8" t="s">
        <v>35</v>
      </c>
      <c r="B47" s="8" t="s">
        <v>1371</v>
      </c>
      <c r="C47" s="8" t="s">
        <v>1372</v>
      </c>
      <c r="D47" s="4"/>
      <c r="E47" s="4">
        <v>47.35</v>
      </c>
      <c r="F47" s="4">
        <v>50.28</v>
      </c>
      <c r="G47" s="4">
        <v>45.72</v>
      </c>
      <c r="H47" s="4"/>
      <c r="I47" s="4"/>
      <c r="J47" s="4"/>
      <c r="K47" s="4" t="s">
        <v>63</v>
      </c>
      <c r="L47" s="4"/>
      <c r="M47" s="4"/>
      <c r="N47" s="4"/>
      <c r="O47" s="4"/>
    </row>
  </sheetData>
  <mergeCells count="1">
    <mergeCell ref="E3:G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O46"/>
  <sheetViews>
    <sheetView topLeftCell="A2" zoomScale="125" workbookViewId="0">
      <selection activeCell="C18" sqref="C18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64" customWidth="1"/>
    <col min="4" max="4" width="21.33203125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SUM(E5:G46)</f>
        <v>16157.000000000002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36</v>
      </c>
      <c r="B5" s="8" t="s">
        <v>1373</v>
      </c>
      <c r="C5" s="8" t="s">
        <v>1374</v>
      </c>
      <c r="D5" s="4"/>
      <c r="E5" s="4"/>
      <c r="F5" s="4">
        <v>355.62</v>
      </c>
      <c r="G5" s="4"/>
      <c r="H5" s="4" t="s">
        <v>63</v>
      </c>
      <c r="I5" s="4"/>
      <c r="J5" s="4"/>
      <c r="K5" s="4"/>
      <c r="L5" s="4"/>
      <c r="M5" s="4"/>
      <c r="N5" s="4"/>
      <c r="O5" s="4"/>
    </row>
    <row r="6" spans="1:15" x14ac:dyDescent="0.2">
      <c r="A6" s="8" t="s">
        <v>36</v>
      </c>
      <c r="B6" s="8" t="s">
        <v>106</v>
      </c>
      <c r="C6" s="8" t="s">
        <v>1375</v>
      </c>
      <c r="D6" s="4"/>
      <c r="E6" s="4"/>
      <c r="F6" s="4">
        <v>0.24</v>
      </c>
      <c r="G6" s="4"/>
      <c r="H6" s="4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36</v>
      </c>
      <c r="B7" s="8" t="s">
        <v>106</v>
      </c>
      <c r="C7" s="8" t="s">
        <v>1376</v>
      </c>
      <c r="D7" s="4"/>
      <c r="E7" s="4"/>
      <c r="F7" s="4">
        <v>0.67</v>
      </c>
      <c r="G7" s="4"/>
      <c r="H7" s="4"/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  <row r="8" spans="1:15" x14ac:dyDescent="0.2">
      <c r="A8" s="8" t="s">
        <v>36</v>
      </c>
      <c r="B8" s="8" t="s">
        <v>1377</v>
      </c>
      <c r="C8" s="8" t="s">
        <v>1378</v>
      </c>
      <c r="D8" s="4"/>
      <c r="E8" s="4">
        <v>279.88</v>
      </c>
      <c r="F8" s="4">
        <v>235.47</v>
      </c>
      <c r="G8" s="4">
        <v>248.44</v>
      </c>
      <c r="H8" s="4" t="s">
        <v>63</v>
      </c>
      <c r="I8" s="4"/>
      <c r="J8" s="4" t="s">
        <v>63</v>
      </c>
      <c r="K8" s="4"/>
      <c r="L8" s="4"/>
      <c r="M8" s="4"/>
      <c r="N8" s="4"/>
      <c r="O8" s="4"/>
    </row>
    <row r="9" spans="1:15" x14ac:dyDescent="0.2">
      <c r="A9" s="8" t="s">
        <v>36</v>
      </c>
      <c r="B9" s="8" t="s">
        <v>1379</v>
      </c>
      <c r="C9" s="8" t="s">
        <v>1380</v>
      </c>
      <c r="D9" s="4"/>
      <c r="E9" s="4">
        <v>52.29</v>
      </c>
      <c r="F9" s="4">
        <v>81.489999999999995</v>
      </c>
      <c r="G9" s="4">
        <v>52.12</v>
      </c>
      <c r="H9" s="4" t="s">
        <v>63</v>
      </c>
      <c r="I9" s="4"/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36</v>
      </c>
      <c r="B10" s="8" t="s">
        <v>1381</v>
      </c>
      <c r="C10" s="8" t="s">
        <v>1382</v>
      </c>
      <c r="D10" s="4"/>
      <c r="E10" s="4">
        <v>42.98</v>
      </c>
      <c r="F10" s="4">
        <v>43.76</v>
      </c>
      <c r="G10" s="4">
        <v>42.84</v>
      </c>
      <c r="H10" s="4" t="s">
        <v>64</v>
      </c>
      <c r="I10" s="4" t="s">
        <v>64</v>
      </c>
      <c r="J10" s="4" t="s">
        <v>64</v>
      </c>
      <c r="K10" s="4" t="s">
        <v>64</v>
      </c>
      <c r="L10" s="4"/>
      <c r="M10" s="4"/>
      <c r="N10" s="4"/>
      <c r="O10" s="4"/>
    </row>
    <row r="11" spans="1:15" x14ac:dyDescent="0.2">
      <c r="A11" s="8" t="s">
        <v>36</v>
      </c>
      <c r="B11" s="8" t="s">
        <v>1383</v>
      </c>
      <c r="C11" s="8" t="s">
        <v>1384</v>
      </c>
      <c r="D11" s="4"/>
      <c r="E11" s="4">
        <v>112.31</v>
      </c>
      <c r="F11" s="4">
        <v>112.31</v>
      </c>
      <c r="G11" s="4">
        <v>147.66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36</v>
      </c>
      <c r="B12" s="8" t="s">
        <v>1385</v>
      </c>
      <c r="C12" s="8" t="s">
        <v>1386</v>
      </c>
      <c r="D12" s="4"/>
      <c r="E12" s="4">
        <v>42.59</v>
      </c>
      <c r="F12" s="4">
        <v>42.77</v>
      </c>
      <c r="G12" s="4">
        <v>42.88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36</v>
      </c>
      <c r="B13" s="8" t="s">
        <v>1387</v>
      </c>
      <c r="C13" s="8" t="s">
        <v>1388</v>
      </c>
      <c r="D13" s="4"/>
      <c r="E13" s="4">
        <v>38.51</v>
      </c>
      <c r="F13" s="4">
        <v>38.44</v>
      </c>
      <c r="G13" s="4">
        <v>38.57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36</v>
      </c>
      <c r="B14" s="8" t="s">
        <v>1389</v>
      </c>
      <c r="C14" s="8" t="s">
        <v>1390</v>
      </c>
      <c r="D14" s="4"/>
      <c r="E14" s="4">
        <v>56.65</v>
      </c>
      <c r="F14" s="4">
        <v>55.6</v>
      </c>
      <c r="G14" s="4">
        <v>56.46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36</v>
      </c>
      <c r="B15" s="8" t="s">
        <v>1391</v>
      </c>
      <c r="C15" s="8" t="s">
        <v>1392</v>
      </c>
      <c r="D15" s="4"/>
      <c r="E15" s="4">
        <v>105.69</v>
      </c>
      <c r="F15" s="4">
        <v>66.19</v>
      </c>
      <c r="G15" s="4">
        <v>67.17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36</v>
      </c>
      <c r="B16" s="8" t="s">
        <v>1393</v>
      </c>
      <c r="C16" s="8" t="s">
        <v>1394</v>
      </c>
      <c r="D16" s="4"/>
      <c r="E16" s="4">
        <v>34.869999999999997</v>
      </c>
      <c r="F16" s="4">
        <v>35.090000000000003</v>
      </c>
      <c r="G16" s="4">
        <v>33.83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36</v>
      </c>
      <c r="B17" s="8" t="s">
        <v>1395</v>
      </c>
      <c r="C17" s="8" t="s">
        <v>1396</v>
      </c>
      <c r="D17" s="4"/>
      <c r="E17" s="4">
        <v>46.57</v>
      </c>
      <c r="F17" s="4">
        <v>49.11</v>
      </c>
      <c r="G17" s="4">
        <v>46.76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36</v>
      </c>
      <c r="B18" s="8" t="s">
        <v>1397</v>
      </c>
      <c r="C18" s="8" t="s">
        <v>1398</v>
      </c>
      <c r="D18" s="4"/>
      <c r="E18" s="4">
        <v>46.86</v>
      </c>
      <c r="F18" s="4">
        <v>48.4</v>
      </c>
      <c r="G18" s="4">
        <v>46.95</v>
      </c>
      <c r="H18" s="4" t="s">
        <v>1998</v>
      </c>
      <c r="I18" s="4" t="s">
        <v>1998</v>
      </c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36</v>
      </c>
      <c r="B19" s="8" t="s">
        <v>1399</v>
      </c>
      <c r="C19" s="8" t="s">
        <v>1400</v>
      </c>
      <c r="D19" s="4"/>
      <c r="E19" s="4">
        <v>38.75</v>
      </c>
      <c r="F19" s="4">
        <v>72.069999999999993</v>
      </c>
      <c r="G19" s="4">
        <v>38.31</v>
      </c>
      <c r="H19" s="4" t="s">
        <v>1998</v>
      </c>
      <c r="I19" s="4" t="s">
        <v>1998</v>
      </c>
      <c r="J19" s="4" t="s">
        <v>1998</v>
      </c>
      <c r="K19" s="4" t="s">
        <v>1998</v>
      </c>
      <c r="L19" s="4"/>
      <c r="M19" s="4"/>
      <c r="N19" s="4"/>
      <c r="O19" s="4"/>
    </row>
    <row r="20" spans="1:15" x14ac:dyDescent="0.2">
      <c r="A20" s="8" t="s">
        <v>36</v>
      </c>
      <c r="B20" s="8" t="s">
        <v>1401</v>
      </c>
      <c r="C20" s="8" t="s">
        <v>1402</v>
      </c>
      <c r="D20" s="4"/>
      <c r="E20" s="4">
        <v>42.68</v>
      </c>
      <c r="F20" s="4">
        <v>44.95</v>
      </c>
      <c r="G20" s="4">
        <v>72.8</v>
      </c>
      <c r="H20" s="4" t="s">
        <v>1998</v>
      </c>
      <c r="I20" s="4" t="s">
        <v>1998</v>
      </c>
      <c r="J20" s="4" t="s">
        <v>1998</v>
      </c>
      <c r="K20" s="4" t="s">
        <v>1998</v>
      </c>
      <c r="L20" s="4"/>
      <c r="M20" s="4"/>
      <c r="N20" s="4"/>
      <c r="O20" s="4"/>
    </row>
    <row r="21" spans="1:15" x14ac:dyDescent="0.2">
      <c r="A21" s="8" t="s">
        <v>36</v>
      </c>
      <c r="B21" s="8" t="s">
        <v>1403</v>
      </c>
      <c r="C21" s="8" t="s">
        <v>1404</v>
      </c>
      <c r="D21" s="4"/>
      <c r="E21" s="4">
        <v>42.81</v>
      </c>
      <c r="F21" s="4">
        <v>43.58</v>
      </c>
      <c r="G21" s="4">
        <v>45.77</v>
      </c>
      <c r="H21" s="4" t="s">
        <v>1998</v>
      </c>
      <c r="I21" s="4" t="s">
        <v>1998</v>
      </c>
      <c r="J21" s="4" t="s">
        <v>1998</v>
      </c>
      <c r="K21" s="4" t="s">
        <v>1998</v>
      </c>
      <c r="L21" s="4"/>
      <c r="M21" s="4"/>
      <c r="N21" s="4"/>
      <c r="O21" s="4"/>
    </row>
    <row r="22" spans="1:15" x14ac:dyDescent="0.2">
      <c r="A22" s="8" t="s">
        <v>36</v>
      </c>
      <c r="B22" s="8" t="s">
        <v>1405</v>
      </c>
      <c r="C22" s="8" t="s">
        <v>1406</v>
      </c>
      <c r="D22" s="4"/>
      <c r="E22" s="4">
        <v>56.35</v>
      </c>
      <c r="F22" s="4">
        <v>56.69</v>
      </c>
      <c r="G22" s="4">
        <v>56.98</v>
      </c>
      <c r="H22" s="4"/>
      <c r="I22" s="4"/>
      <c r="J22" s="4"/>
      <c r="K22" s="4" t="s">
        <v>64</v>
      </c>
      <c r="L22" s="4"/>
      <c r="M22" s="4"/>
      <c r="N22" s="4"/>
      <c r="O22" s="4"/>
    </row>
    <row r="23" spans="1:15" x14ac:dyDescent="0.2">
      <c r="A23" s="8" t="s">
        <v>36</v>
      </c>
      <c r="B23" s="8" t="s">
        <v>1407</v>
      </c>
      <c r="C23" s="8" t="s">
        <v>1408</v>
      </c>
      <c r="D23" s="4"/>
      <c r="E23" s="4">
        <v>175.84</v>
      </c>
      <c r="F23" s="4">
        <v>139.07</v>
      </c>
      <c r="G23" s="4">
        <v>140.53</v>
      </c>
      <c r="H23" s="4"/>
      <c r="I23" s="4"/>
      <c r="J23" s="4"/>
      <c r="K23" s="4" t="s">
        <v>64</v>
      </c>
      <c r="L23" s="4"/>
      <c r="M23" s="4"/>
      <c r="N23" s="4"/>
      <c r="O23" s="4"/>
    </row>
    <row r="24" spans="1:15" x14ac:dyDescent="0.2">
      <c r="A24" s="8" t="s">
        <v>36</v>
      </c>
      <c r="B24" s="8" t="s">
        <v>1409</v>
      </c>
      <c r="C24" s="8" t="s">
        <v>1410</v>
      </c>
      <c r="D24" s="4"/>
      <c r="E24" s="4">
        <v>73.97</v>
      </c>
      <c r="F24" s="4">
        <v>73.709999999999994</v>
      </c>
      <c r="G24" s="4">
        <v>74.22</v>
      </c>
      <c r="H24" s="4" t="s">
        <v>1998</v>
      </c>
      <c r="I24" s="4" t="s">
        <v>1998</v>
      </c>
      <c r="J24" s="4" t="s">
        <v>1998</v>
      </c>
      <c r="K24" s="4" t="s">
        <v>1998</v>
      </c>
      <c r="L24" s="4"/>
      <c r="M24" s="4"/>
      <c r="N24" s="4"/>
      <c r="O24" s="4"/>
    </row>
    <row r="25" spans="1:15" x14ac:dyDescent="0.2">
      <c r="A25" s="8" t="s">
        <v>36</v>
      </c>
      <c r="B25" s="8" t="s">
        <v>1411</v>
      </c>
      <c r="C25" s="8" t="s">
        <v>1412</v>
      </c>
      <c r="D25" s="4"/>
      <c r="E25" s="4">
        <v>55.8</v>
      </c>
      <c r="F25" s="4">
        <v>89.4</v>
      </c>
      <c r="G25" s="4">
        <v>54.88</v>
      </c>
      <c r="H25" s="4" t="s">
        <v>1998</v>
      </c>
      <c r="I25" s="4" t="s">
        <v>1998</v>
      </c>
      <c r="J25" s="4" t="s">
        <v>1998</v>
      </c>
      <c r="K25" s="4" t="s">
        <v>1998</v>
      </c>
      <c r="L25" s="4"/>
      <c r="M25" s="4"/>
      <c r="N25" s="4"/>
      <c r="O25" s="4"/>
    </row>
    <row r="26" spans="1:15" x14ac:dyDescent="0.2">
      <c r="A26" s="8" t="s">
        <v>36</v>
      </c>
      <c r="B26" s="8" t="s">
        <v>1413</v>
      </c>
      <c r="C26" s="8" t="s">
        <v>1414</v>
      </c>
      <c r="D26" s="4"/>
      <c r="E26" s="4">
        <v>26.43</v>
      </c>
      <c r="F26" s="4">
        <v>30.59</v>
      </c>
      <c r="G26" s="4">
        <v>26.2</v>
      </c>
      <c r="H26" s="4" t="s">
        <v>1998</v>
      </c>
      <c r="I26" s="4" t="s">
        <v>1998</v>
      </c>
      <c r="J26" s="4" t="s">
        <v>1998</v>
      </c>
      <c r="K26" s="4" t="s">
        <v>1998</v>
      </c>
      <c r="L26" s="4"/>
      <c r="M26" s="4"/>
      <c r="N26" s="4"/>
      <c r="O26" s="4"/>
    </row>
    <row r="27" spans="1:15" x14ac:dyDescent="0.2">
      <c r="A27" s="8" t="s">
        <v>36</v>
      </c>
      <c r="B27" s="8" t="s">
        <v>1415</v>
      </c>
      <c r="C27" s="8" t="s">
        <v>1416</v>
      </c>
      <c r="D27" s="4"/>
      <c r="E27" s="4">
        <v>37.159999999999997</v>
      </c>
      <c r="F27" s="4">
        <v>37.68</v>
      </c>
      <c r="G27" s="4">
        <v>76.61</v>
      </c>
      <c r="H27" s="19"/>
      <c r="I27" s="19"/>
      <c r="J27" s="19"/>
      <c r="K27" s="19"/>
      <c r="L27" s="4"/>
      <c r="M27" s="4"/>
      <c r="N27" s="4"/>
      <c r="O27" s="4"/>
    </row>
    <row r="28" spans="1:15" x14ac:dyDescent="0.2">
      <c r="A28" s="8" t="s">
        <v>36</v>
      </c>
      <c r="B28" s="8" t="s">
        <v>1417</v>
      </c>
      <c r="C28" s="8" t="s">
        <v>1418</v>
      </c>
      <c r="D28" s="4"/>
      <c r="E28" s="4">
        <v>53.86</v>
      </c>
      <c r="F28" s="4">
        <v>54.77</v>
      </c>
      <c r="G28" s="4">
        <v>55.05</v>
      </c>
      <c r="H28" s="4" t="s">
        <v>1998</v>
      </c>
      <c r="I28" s="4" t="s">
        <v>1998</v>
      </c>
      <c r="J28" s="4" t="s">
        <v>1998</v>
      </c>
      <c r="K28" s="4" t="s">
        <v>1998</v>
      </c>
      <c r="L28" s="4"/>
      <c r="M28" s="4"/>
      <c r="N28" s="4"/>
      <c r="O28" s="4"/>
    </row>
    <row r="29" spans="1:15" x14ac:dyDescent="0.2">
      <c r="A29" s="8" t="s">
        <v>36</v>
      </c>
      <c r="B29" s="8" t="s">
        <v>1419</v>
      </c>
      <c r="C29" s="8" t="s">
        <v>1420</v>
      </c>
      <c r="D29" s="4"/>
      <c r="E29" s="4"/>
      <c r="F29" s="4">
        <v>878.39</v>
      </c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8" t="s">
        <v>36</v>
      </c>
      <c r="B30" s="8" t="s">
        <v>1421</v>
      </c>
      <c r="C30" s="8" t="s">
        <v>1420</v>
      </c>
      <c r="D30" s="4"/>
      <c r="E30" s="4"/>
      <c r="F30" s="4">
        <v>919.2</v>
      </c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8" t="s">
        <v>36</v>
      </c>
      <c r="B31" s="8" t="s">
        <v>1422</v>
      </c>
      <c r="C31" s="8" t="s">
        <v>1420</v>
      </c>
      <c r="D31" s="4"/>
      <c r="E31" s="4"/>
      <c r="F31" s="4">
        <v>888.43</v>
      </c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8" t="s">
        <v>36</v>
      </c>
      <c r="B32" s="8" t="s">
        <v>1423</v>
      </c>
      <c r="C32" s="8" t="s">
        <v>1420</v>
      </c>
      <c r="D32" s="4"/>
      <c r="E32" s="4"/>
      <c r="F32" s="4">
        <v>918.08</v>
      </c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8" t="s">
        <v>36</v>
      </c>
      <c r="B33" s="8" t="s">
        <v>1424</v>
      </c>
      <c r="C33" s="8" t="s">
        <v>1425</v>
      </c>
      <c r="D33" s="4"/>
      <c r="E33" s="4">
        <v>226.24</v>
      </c>
      <c r="F33" s="4">
        <v>196.02</v>
      </c>
      <c r="G33" s="4">
        <v>191.23</v>
      </c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8" t="s">
        <v>36</v>
      </c>
      <c r="B34" s="8" t="s">
        <v>1426</v>
      </c>
      <c r="C34" s="8" t="s">
        <v>1425</v>
      </c>
      <c r="D34" s="4"/>
      <c r="E34" s="4">
        <v>197.2</v>
      </c>
      <c r="F34" s="4">
        <v>197.48</v>
      </c>
      <c r="G34" s="4">
        <v>196.6</v>
      </c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8" t="s">
        <v>36</v>
      </c>
      <c r="B35" s="8" t="s">
        <v>1427</v>
      </c>
      <c r="C35" s="8" t="s">
        <v>1425</v>
      </c>
      <c r="D35" s="4"/>
      <c r="E35" s="4">
        <v>195.01</v>
      </c>
      <c r="F35" s="4">
        <v>224.94</v>
      </c>
      <c r="G35" s="4">
        <v>225.55</v>
      </c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8" t="s">
        <v>36</v>
      </c>
      <c r="B36" s="8" t="s">
        <v>1428</v>
      </c>
      <c r="C36" s="8" t="s">
        <v>1425</v>
      </c>
      <c r="D36" s="4"/>
      <c r="E36" s="4">
        <v>224.5</v>
      </c>
      <c r="F36" s="4">
        <v>196.1</v>
      </c>
      <c r="G36" s="4">
        <v>198.49</v>
      </c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8" t="s">
        <v>36</v>
      </c>
      <c r="B37" s="8" t="s">
        <v>1429</v>
      </c>
      <c r="C37" s="8" t="s">
        <v>1430</v>
      </c>
      <c r="D37" s="4"/>
      <c r="E37" s="4">
        <v>76.19</v>
      </c>
      <c r="F37" s="4">
        <v>78.02</v>
      </c>
      <c r="G37" s="4">
        <v>74.34</v>
      </c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8" t="s">
        <v>36</v>
      </c>
      <c r="B38" s="8" t="s">
        <v>1431</v>
      </c>
      <c r="C38" s="8" t="s">
        <v>1430</v>
      </c>
      <c r="D38" s="4"/>
      <c r="E38" s="4">
        <v>74.56</v>
      </c>
      <c r="F38" s="4">
        <v>76.03</v>
      </c>
      <c r="G38" s="4">
        <v>74.22</v>
      </c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8" t="s">
        <v>36</v>
      </c>
      <c r="B39" s="8" t="s">
        <v>1432</v>
      </c>
      <c r="C39" s="8" t="s">
        <v>1430</v>
      </c>
      <c r="D39" s="4"/>
      <c r="E39" s="4">
        <v>74.099999999999994</v>
      </c>
      <c r="F39" s="4">
        <v>139.58000000000001</v>
      </c>
      <c r="G39" s="4">
        <v>103.38</v>
      </c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8" t="s">
        <v>36</v>
      </c>
      <c r="B40" s="8" t="s">
        <v>1433</v>
      </c>
      <c r="C40" s="8" t="s">
        <v>1430</v>
      </c>
      <c r="D40" s="4"/>
      <c r="E40" s="4">
        <v>74.81</v>
      </c>
      <c r="F40" s="4">
        <v>75.61</v>
      </c>
      <c r="G40" s="4">
        <v>76.349999999999994</v>
      </c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8" t="s">
        <v>36</v>
      </c>
      <c r="B41" s="8" t="s">
        <v>1434</v>
      </c>
      <c r="C41" s="8" t="s">
        <v>1435</v>
      </c>
      <c r="D41" s="4"/>
      <c r="E41" s="4">
        <v>377.27</v>
      </c>
      <c r="F41" s="4">
        <v>345.35</v>
      </c>
      <c r="G41" s="4">
        <v>349.52</v>
      </c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8" t="s">
        <v>36</v>
      </c>
      <c r="B42" s="8" t="s">
        <v>1436</v>
      </c>
      <c r="C42" s="8" t="s">
        <v>1437</v>
      </c>
      <c r="D42" s="8" t="s">
        <v>1397</v>
      </c>
      <c r="E42" s="4">
        <v>248.07</v>
      </c>
      <c r="F42" s="4">
        <v>246.68</v>
      </c>
      <c r="G42" s="4">
        <v>248.05</v>
      </c>
      <c r="H42" s="15"/>
      <c r="I42" s="15"/>
      <c r="J42" s="4"/>
      <c r="K42" s="4"/>
      <c r="L42" s="4"/>
      <c r="M42" s="4"/>
      <c r="N42" s="4"/>
      <c r="O42" s="4"/>
    </row>
    <row r="43" spans="1:15" x14ac:dyDescent="0.2">
      <c r="A43" s="8" t="s">
        <v>36</v>
      </c>
      <c r="B43" s="8" t="s">
        <v>1438</v>
      </c>
      <c r="C43" s="8" t="s">
        <v>1439</v>
      </c>
      <c r="D43" s="8" t="s">
        <v>1399</v>
      </c>
      <c r="E43" s="4">
        <v>255.63</v>
      </c>
      <c r="F43" s="4">
        <v>258.02</v>
      </c>
      <c r="G43" s="4">
        <v>255.95</v>
      </c>
      <c r="H43" s="15"/>
      <c r="I43" s="15"/>
      <c r="J43" s="4"/>
      <c r="K43" s="4"/>
      <c r="L43" s="4"/>
      <c r="M43" s="4"/>
      <c r="N43" s="4"/>
      <c r="O43" s="4"/>
    </row>
    <row r="44" spans="1:15" x14ac:dyDescent="0.2">
      <c r="A44" s="8" t="s">
        <v>36</v>
      </c>
      <c r="B44" s="8" t="s">
        <v>1440</v>
      </c>
      <c r="C44" s="8" t="s">
        <v>1441</v>
      </c>
      <c r="D44" s="8" t="s">
        <v>1401</v>
      </c>
      <c r="E44" s="4">
        <v>266.45</v>
      </c>
      <c r="F44" s="4">
        <v>266.89999999999998</v>
      </c>
      <c r="G44" s="4">
        <v>265.58999999999997</v>
      </c>
      <c r="H44" s="15"/>
      <c r="I44" s="15"/>
      <c r="J44" s="4"/>
      <c r="K44" s="4"/>
      <c r="L44" s="4"/>
      <c r="M44" s="4"/>
      <c r="N44" s="4"/>
      <c r="O44" s="4"/>
    </row>
    <row r="45" spans="1:15" x14ac:dyDescent="0.2">
      <c r="A45" s="8" t="s">
        <v>36</v>
      </c>
      <c r="B45" s="8" t="s">
        <v>1442</v>
      </c>
      <c r="C45" s="8" t="s">
        <v>1443</v>
      </c>
      <c r="D45" s="8" t="s">
        <v>1403</v>
      </c>
      <c r="E45" s="4">
        <v>266.3</v>
      </c>
      <c r="F45" s="4">
        <v>267.67</v>
      </c>
      <c r="G45" s="4">
        <v>267.68</v>
      </c>
      <c r="H45" s="15"/>
      <c r="I45" s="15"/>
      <c r="J45" s="4"/>
      <c r="K45" s="4"/>
      <c r="L45" s="4"/>
      <c r="M45" s="4"/>
      <c r="N45" s="4"/>
      <c r="O45" s="4"/>
    </row>
    <row r="46" spans="1:15" x14ac:dyDescent="0.2">
      <c r="A46" s="8" t="s">
        <v>36</v>
      </c>
      <c r="B46" s="8" t="s">
        <v>1444</v>
      </c>
      <c r="C46" s="8" t="s">
        <v>1445</v>
      </c>
      <c r="D46" s="4"/>
      <c r="E46" s="4">
        <v>54.72</v>
      </c>
      <c r="F46" s="4">
        <v>55.82</v>
      </c>
      <c r="G46" s="4">
        <v>55.13</v>
      </c>
      <c r="H46" s="4"/>
      <c r="I46" s="4"/>
      <c r="J46" s="4"/>
      <c r="K46" s="4"/>
      <c r="L46" s="4"/>
      <c r="M46" s="4"/>
      <c r="N46" s="4"/>
      <c r="O46" s="4"/>
    </row>
  </sheetData>
  <mergeCells count="1">
    <mergeCell ref="E3:G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O79"/>
  <sheetViews>
    <sheetView zoomScale="117" workbookViewId="0">
      <selection activeCell="H5" sqref="H5:K5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64" customWidth="1"/>
    <col min="4" max="4" width="21" customWidth="1"/>
    <col min="5" max="5" width="10" hidden="1" customWidth="1"/>
    <col min="6" max="7" width="9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SUM(E5:G79)</f>
        <v>148166.9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37</v>
      </c>
      <c r="B5" s="8" t="s">
        <v>106</v>
      </c>
      <c r="C5" s="8" t="s">
        <v>1446</v>
      </c>
      <c r="D5" s="4"/>
      <c r="E5" s="4"/>
      <c r="F5" s="4">
        <v>21.86</v>
      </c>
      <c r="G5" s="4"/>
      <c r="H5" s="9" t="s">
        <v>2002</v>
      </c>
      <c r="I5" s="9" t="s">
        <v>2002</v>
      </c>
      <c r="J5" s="9" t="s">
        <v>2002</v>
      </c>
      <c r="K5" s="9" t="s">
        <v>2002</v>
      </c>
      <c r="L5" s="4"/>
      <c r="M5" s="4"/>
      <c r="N5" s="4"/>
      <c r="O5" s="4"/>
    </row>
    <row r="6" spans="1:15" x14ac:dyDescent="0.2">
      <c r="A6" s="8" t="s">
        <v>37</v>
      </c>
      <c r="B6" s="8" t="s">
        <v>106</v>
      </c>
      <c r="C6" s="8" t="s">
        <v>1447</v>
      </c>
      <c r="D6" s="4"/>
      <c r="E6" s="4"/>
      <c r="F6" s="4">
        <v>0.25</v>
      </c>
      <c r="G6" s="4"/>
      <c r="H6" s="4" t="s">
        <v>63</v>
      </c>
      <c r="I6" s="4"/>
      <c r="J6" s="4"/>
      <c r="K6" s="9"/>
      <c r="L6" s="4"/>
      <c r="M6" s="4"/>
      <c r="N6" s="4"/>
      <c r="O6" s="4"/>
    </row>
    <row r="7" spans="1:15" x14ac:dyDescent="0.2">
      <c r="A7" s="8" t="s">
        <v>37</v>
      </c>
      <c r="B7" s="8" t="s">
        <v>106</v>
      </c>
      <c r="C7" s="8" t="s">
        <v>1448</v>
      </c>
      <c r="D7" s="4"/>
      <c r="E7" s="4"/>
      <c r="F7" s="4">
        <v>1.04</v>
      </c>
      <c r="G7" s="4"/>
      <c r="H7" s="4"/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  <row r="8" spans="1:15" x14ac:dyDescent="0.2">
      <c r="A8" s="8" t="s">
        <v>37</v>
      </c>
      <c r="B8" s="8" t="s">
        <v>106</v>
      </c>
      <c r="C8" s="8" t="s">
        <v>1449</v>
      </c>
      <c r="D8" s="4"/>
      <c r="E8" s="4"/>
      <c r="F8" s="4">
        <v>8.34</v>
      </c>
      <c r="G8" s="4"/>
      <c r="H8" s="9" t="s">
        <v>2002</v>
      </c>
      <c r="I8" s="9" t="s">
        <v>2002</v>
      </c>
      <c r="J8" s="9" t="s">
        <v>2002</v>
      </c>
      <c r="K8" s="9" t="s">
        <v>2002</v>
      </c>
      <c r="L8" s="4"/>
      <c r="M8" s="4"/>
      <c r="N8" s="4"/>
      <c r="O8" s="4"/>
    </row>
    <row r="9" spans="1:15" x14ac:dyDescent="0.2">
      <c r="A9" s="8" t="s">
        <v>37</v>
      </c>
      <c r="B9" s="8" t="s">
        <v>1450</v>
      </c>
      <c r="C9" s="8" t="s">
        <v>1451</v>
      </c>
      <c r="D9" s="4"/>
      <c r="E9" s="4"/>
      <c r="F9" s="4">
        <v>360.74</v>
      </c>
      <c r="G9" s="4"/>
      <c r="H9" s="4" t="s">
        <v>63</v>
      </c>
      <c r="I9" s="4"/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37</v>
      </c>
      <c r="B10" s="8" t="s">
        <v>1377</v>
      </c>
      <c r="C10" s="8" t="s">
        <v>1452</v>
      </c>
      <c r="D10" s="4"/>
      <c r="E10" s="4">
        <v>155.72999999999999</v>
      </c>
      <c r="F10" s="4">
        <v>111.2</v>
      </c>
      <c r="G10" s="4">
        <v>154.78</v>
      </c>
      <c r="H10" s="4" t="s">
        <v>63</v>
      </c>
      <c r="I10" s="4"/>
      <c r="J10" s="4" t="s">
        <v>63</v>
      </c>
      <c r="K10" s="4"/>
      <c r="L10" s="4"/>
      <c r="M10" s="4"/>
      <c r="N10" s="4"/>
      <c r="O10" s="4"/>
    </row>
    <row r="11" spans="1:15" x14ac:dyDescent="0.2">
      <c r="A11" s="8" t="s">
        <v>37</v>
      </c>
      <c r="B11" s="8" t="s">
        <v>1415</v>
      </c>
      <c r="C11" s="8" t="s">
        <v>1453</v>
      </c>
      <c r="D11" s="4"/>
      <c r="E11" s="4">
        <v>136.69999999999999</v>
      </c>
      <c r="F11" s="4">
        <v>136.72999999999999</v>
      </c>
      <c r="G11" s="4">
        <v>136.68</v>
      </c>
      <c r="H11" s="19"/>
      <c r="I11" s="19"/>
      <c r="J11" s="19"/>
      <c r="K11" s="19"/>
      <c r="L11" s="4"/>
      <c r="M11" s="4"/>
      <c r="N11" s="4"/>
      <c r="O11" s="4"/>
    </row>
    <row r="12" spans="1:15" x14ac:dyDescent="0.2">
      <c r="A12" s="8" t="s">
        <v>37</v>
      </c>
      <c r="B12" s="8" t="s">
        <v>1417</v>
      </c>
      <c r="C12" s="8" t="s">
        <v>1454</v>
      </c>
      <c r="D12" s="4"/>
      <c r="E12" s="4">
        <v>103.06</v>
      </c>
      <c r="F12" s="4">
        <v>131.62</v>
      </c>
      <c r="G12" s="4">
        <v>130.72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37</v>
      </c>
      <c r="B13" s="8" t="s">
        <v>1455</v>
      </c>
      <c r="C13" s="8" t="s">
        <v>1456</v>
      </c>
      <c r="D13" s="4"/>
      <c r="E13" s="4">
        <v>81.86</v>
      </c>
      <c r="F13" s="4">
        <v>82.47</v>
      </c>
      <c r="G13" s="4">
        <v>54.12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37</v>
      </c>
      <c r="B14" s="8" t="s">
        <v>1457</v>
      </c>
      <c r="C14" s="8" t="s">
        <v>1458</v>
      </c>
      <c r="D14" s="4"/>
      <c r="E14" s="4">
        <v>52.71</v>
      </c>
      <c r="F14" s="4">
        <v>54.12</v>
      </c>
      <c r="G14" s="4">
        <v>53.87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37</v>
      </c>
      <c r="B15" s="8" t="s">
        <v>1459</v>
      </c>
      <c r="C15" s="8" t="s">
        <v>1460</v>
      </c>
      <c r="D15" s="4"/>
      <c r="E15" s="4">
        <v>52.49</v>
      </c>
      <c r="F15" s="4">
        <v>53.14</v>
      </c>
      <c r="G15" s="4">
        <v>83.08</v>
      </c>
      <c r="H15" s="4" t="s">
        <v>1998</v>
      </c>
      <c r="I15" s="4" t="s">
        <v>1998</v>
      </c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37</v>
      </c>
      <c r="B16" s="8" t="s">
        <v>1461</v>
      </c>
      <c r="C16" s="8" t="s">
        <v>1462</v>
      </c>
      <c r="D16" s="4"/>
      <c r="E16" s="4">
        <v>52.68</v>
      </c>
      <c r="F16" s="4">
        <v>55.78</v>
      </c>
      <c r="G16" s="4">
        <v>54.41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37</v>
      </c>
      <c r="B17" s="8" t="s">
        <v>1463</v>
      </c>
      <c r="C17" s="8" t="s">
        <v>1464</v>
      </c>
      <c r="D17" s="4"/>
      <c r="E17" s="4">
        <v>81.88</v>
      </c>
      <c r="F17" s="4">
        <v>82.71</v>
      </c>
      <c r="G17" s="4">
        <v>54.07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37</v>
      </c>
      <c r="B18" s="8" t="s">
        <v>1465</v>
      </c>
      <c r="C18" s="8" t="s">
        <v>1466</v>
      </c>
      <c r="D18" s="4"/>
      <c r="E18" s="4">
        <v>53.86</v>
      </c>
      <c r="F18" s="4">
        <v>54.15</v>
      </c>
      <c r="G18" s="4">
        <v>55.33</v>
      </c>
      <c r="H18" s="4" t="s">
        <v>1998</v>
      </c>
      <c r="I18" s="4" t="s">
        <v>1998</v>
      </c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37</v>
      </c>
      <c r="B19" s="8" t="s">
        <v>1467</v>
      </c>
      <c r="C19" s="8" t="s">
        <v>1468</v>
      </c>
      <c r="D19" s="4"/>
      <c r="E19" s="4">
        <v>79.69</v>
      </c>
      <c r="F19" s="4">
        <v>79.73</v>
      </c>
      <c r="G19" s="4">
        <v>113.66</v>
      </c>
      <c r="H19" s="4" t="s">
        <v>1998</v>
      </c>
      <c r="I19" s="4" t="s">
        <v>1998</v>
      </c>
      <c r="J19" s="4" t="s">
        <v>1998</v>
      </c>
      <c r="K19" s="4" t="s">
        <v>1998</v>
      </c>
      <c r="L19" s="4"/>
      <c r="M19" s="4"/>
      <c r="N19" s="4"/>
      <c r="O19" s="4"/>
    </row>
    <row r="20" spans="1:15" x14ac:dyDescent="0.2">
      <c r="A20" s="8" t="s">
        <v>37</v>
      </c>
      <c r="B20" s="8" t="s">
        <v>1469</v>
      </c>
      <c r="C20" s="8" t="s">
        <v>1470</v>
      </c>
      <c r="D20" s="4"/>
      <c r="E20" s="4">
        <v>112.96</v>
      </c>
      <c r="F20" s="4">
        <v>107.66</v>
      </c>
      <c r="G20" s="4">
        <v>79.900000000000006</v>
      </c>
      <c r="H20" s="4" t="s">
        <v>1998</v>
      </c>
      <c r="I20" s="4" t="s">
        <v>1998</v>
      </c>
      <c r="J20" s="4" t="s">
        <v>1998</v>
      </c>
      <c r="K20" s="4" t="s">
        <v>1998</v>
      </c>
      <c r="L20" s="4"/>
      <c r="M20" s="4"/>
      <c r="N20" s="4"/>
      <c r="O20" s="4"/>
    </row>
    <row r="21" spans="1:15" x14ac:dyDescent="0.2">
      <c r="A21" s="8" t="s">
        <v>37</v>
      </c>
      <c r="B21" s="8" t="s">
        <v>1471</v>
      </c>
      <c r="C21" s="8" t="s">
        <v>1472</v>
      </c>
      <c r="D21" s="4"/>
      <c r="E21" s="4">
        <v>50.95</v>
      </c>
      <c r="F21" s="4">
        <v>51.05</v>
      </c>
      <c r="G21" s="4">
        <v>50.69</v>
      </c>
      <c r="H21" s="4"/>
      <c r="I21" s="4"/>
      <c r="J21" s="4"/>
      <c r="K21" s="4" t="s">
        <v>64</v>
      </c>
      <c r="L21" s="4"/>
      <c r="M21" s="4"/>
      <c r="N21" s="4"/>
      <c r="O21" s="4"/>
    </row>
    <row r="22" spans="1:15" x14ac:dyDescent="0.2">
      <c r="A22" s="8" t="s">
        <v>37</v>
      </c>
      <c r="B22" s="8" t="s">
        <v>1473</v>
      </c>
      <c r="C22" s="8" t="s">
        <v>1474</v>
      </c>
      <c r="D22" s="4"/>
      <c r="E22" s="4">
        <v>49.28</v>
      </c>
      <c r="F22" s="4">
        <v>49.43</v>
      </c>
      <c r="G22" s="4">
        <v>79.72</v>
      </c>
      <c r="H22" s="4"/>
      <c r="I22" s="4"/>
      <c r="J22" s="4"/>
      <c r="K22" s="4" t="s">
        <v>64</v>
      </c>
      <c r="L22" s="4"/>
      <c r="M22" s="4"/>
      <c r="N22" s="4"/>
      <c r="O22" s="4"/>
    </row>
    <row r="23" spans="1:15" x14ac:dyDescent="0.2">
      <c r="A23" s="8" t="s">
        <v>37</v>
      </c>
      <c r="B23" s="8" t="s">
        <v>1475</v>
      </c>
      <c r="C23" s="8" t="s">
        <v>1476</v>
      </c>
      <c r="D23" s="4"/>
      <c r="E23" s="4">
        <v>49.39</v>
      </c>
      <c r="F23" s="4">
        <v>49.01</v>
      </c>
      <c r="G23" s="4">
        <v>49.91</v>
      </c>
      <c r="H23" s="4"/>
      <c r="I23" s="4"/>
      <c r="J23" s="4"/>
      <c r="K23" s="4" t="s">
        <v>64</v>
      </c>
      <c r="L23" s="4"/>
      <c r="M23" s="4"/>
      <c r="N23" s="4"/>
      <c r="O23" s="4"/>
    </row>
    <row r="24" spans="1:15" x14ac:dyDescent="0.2">
      <c r="A24" s="8" t="s">
        <v>37</v>
      </c>
      <c r="B24" s="8" t="s">
        <v>1477</v>
      </c>
      <c r="C24" s="8" t="s">
        <v>1478</v>
      </c>
      <c r="D24" s="4"/>
      <c r="E24" s="4">
        <v>68.150000000000006</v>
      </c>
      <c r="F24" s="4">
        <v>49.48</v>
      </c>
      <c r="G24" s="4">
        <v>49.16</v>
      </c>
      <c r="H24" s="4"/>
      <c r="I24" s="4"/>
      <c r="J24" s="4"/>
      <c r="K24" s="4" t="s">
        <v>64</v>
      </c>
      <c r="L24" s="4"/>
      <c r="M24" s="4"/>
      <c r="N24" s="4"/>
      <c r="O24" s="4"/>
    </row>
    <row r="25" spans="1:15" x14ac:dyDescent="0.2">
      <c r="A25" s="8" t="s">
        <v>37</v>
      </c>
      <c r="B25" s="8" t="s">
        <v>1479</v>
      </c>
      <c r="C25" s="8" t="s">
        <v>1480</v>
      </c>
      <c r="D25" s="4"/>
      <c r="E25" s="4">
        <v>52.34</v>
      </c>
      <c r="F25" s="4">
        <v>52.05</v>
      </c>
      <c r="G25" s="4">
        <v>50.87</v>
      </c>
      <c r="H25" s="4"/>
      <c r="I25" s="4"/>
      <c r="J25" s="4"/>
      <c r="K25" s="4" t="s">
        <v>64</v>
      </c>
      <c r="L25" s="4"/>
      <c r="M25" s="4"/>
      <c r="N25" s="4"/>
      <c r="O25" s="4"/>
    </row>
    <row r="26" spans="1:15" x14ac:dyDescent="0.2">
      <c r="A26" s="8" t="s">
        <v>37</v>
      </c>
      <c r="B26" s="8" t="s">
        <v>1481</v>
      </c>
      <c r="C26" s="8" t="s">
        <v>1482</v>
      </c>
      <c r="D26" s="4"/>
      <c r="E26" s="4">
        <v>51.29</v>
      </c>
      <c r="F26" s="4">
        <v>80.97</v>
      </c>
      <c r="G26" s="4">
        <v>50.4</v>
      </c>
      <c r="H26" s="4"/>
      <c r="I26" s="4"/>
      <c r="J26" s="4"/>
      <c r="K26" s="4" t="s">
        <v>64</v>
      </c>
      <c r="L26" s="4"/>
      <c r="M26" s="4"/>
      <c r="N26" s="4"/>
      <c r="O26" s="4"/>
    </row>
    <row r="27" spans="1:15" x14ac:dyDescent="0.2">
      <c r="A27" s="8" t="s">
        <v>37</v>
      </c>
      <c r="B27" s="8" t="s">
        <v>1483</v>
      </c>
      <c r="C27" s="8" t="s">
        <v>1484</v>
      </c>
      <c r="D27" s="4"/>
      <c r="E27" s="4">
        <v>53.92</v>
      </c>
      <c r="F27" s="4">
        <v>53.65</v>
      </c>
      <c r="G27" s="4">
        <v>52.92</v>
      </c>
      <c r="H27" s="4"/>
      <c r="I27" s="4"/>
      <c r="J27" s="4"/>
      <c r="K27" s="4" t="s">
        <v>64</v>
      </c>
      <c r="L27" s="4"/>
      <c r="M27" s="4"/>
      <c r="N27" s="4"/>
      <c r="O27" s="4"/>
    </row>
    <row r="28" spans="1:15" x14ac:dyDescent="0.2">
      <c r="A28" s="8" t="s">
        <v>37</v>
      </c>
      <c r="B28" s="8" t="s">
        <v>1485</v>
      </c>
      <c r="C28" s="8" t="s">
        <v>1486</v>
      </c>
      <c r="D28" s="4"/>
      <c r="E28" s="4">
        <v>53.12</v>
      </c>
      <c r="F28" s="4">
        <v>53.11</v>
      </c>
      <c r="G28" s="4">
        <v>82.95</v>
      </c>
      <c r="H28" s="4"/>
      <c r="I28" s="4"/>
      <c r="J28" s="4"/>
      <c r="K28" s="4" t="s">
        <v>64</v>
      </c>
      <c r="L28" s="4"/>
      <c r="M28" s="4"/>
      <c r="N28" s="4"/>
      <c r="O28" s="4"/>
    </row>
    <row r="29" spans="1:15" x14ac:dyDescent="0.2">
      <c r="A29" s="8" t="s">
        <v>37</v>
      </c>
      <c r="B29" s="8" t="s">
        <v>1391</v>
      </c>
      <c r="C29" s="8" t="s">
        <v>1487</v>
      </c>
      <c r="D29" s="4"/>
      <c r="E29" s="4">
        <v>135.75</v>
      </c>
      <c r="F29" s="4">
        <v>92.3</v>
      </c>
      <c r="G29" s="4">
        <v>98.34</v>
      </c>
      <c r="H29" s="4" t="s">
        <v>1998</v>
      </c>
      <c r="I29" s="4" t="s">
        <v>1998</v>
      </c>
      <c r="J29" s="4" t="s">
        <v>1998</v>
      </c>
      <c r="K29" s="4" t="s">
        <v>1998</v>
      </c>
      <c r="L29" s="4"/>
      <c r="M29" s="4"/>
      <c r="N29" s="4"/>
      <c r="O29" s="4"/>
    </row>
    <row r="30" spans="1:15" x14ac:dyDescent="0.2">
      <c r="A30" s="8" t="s">
        <v>37</v>
      </c>
      <c r="B30" s="8" t="s">
        <v>1488</v>
      </c>
      <c r="C30" s="8" t="s">
        <v>1489</v>
      </c>
      <c r="D30" s="4"/>
      <c r="E30" s="4">
        <v>36.53</v>
      </c>
      <c r="F30" s="4">
        <v>76.25</v>
      </c>
      <c r="G30" s="4">
        <v>37.65</v>
      </c>
      <c r="H30" s="4" t="s">
        <v>1998</v>
      </c>
      <c r="I30" s="4" t="s">
        <v>1998</v>
      </c>
      <c r="J30" s="4" t="s">
        <v>1998</v>
      </c>
      <c r="K30" s="4" t="s">
        <v>1998</v>
      </c>
      <c r="L30" s="4"/>
      <c r="M30" s="4"/>
      <c r="N30" s="4"/>
      <c r="O30" s="4"/>
    </row>
    <row r="31" spans="1:15" x14ac:dyDescent="0.2">
      <c r="A31" s="8" t="s">
        <v>37</v>
      </c>
      <c r="B31" s="8" t="s">
        <v>1490</v>
      </c>
      <c r="C31" s="8" t="s">
        <v>1491</v>
      </c>
      <c r="D31" s="4"/>
      <c r="E31" s="4">
        <v>34.4</v>
      </c>
      <c r="F31" s="4">
        <v>36.119999999999997</v>
      </c>
      <c r="G31" s="4">
        <v>37.29</v>
      </c>
      <c r="H31" s="4" t="s">
        <v>1998</v>
      </c>
      <c r="I31" s="4" t="s">
        <v>1998</v>
      </c>
      <c r="J31" s="4" t="s">
        <v>1998</v>
      </c>
      <c r="K31" s="4" t="s">
        <v>1998</v>
      </c>
      <c r="L31" s="4"/>
      <c r="M31" s="4"/>
      <c r="N31" s="4"/>
      <c r="O31" s="4"/>
    </row>
    <row r="32" spans="1:15" x14ac:dyDescent="0.2">
      <c r="A32" s="8" t="s">
        <v>37</v>
      </c>
      <c r="B32" s="8" t="s">
        <v>1492</v>
      </c>
      <c r="C32" s="8" t="s">
        <v>1493</v>
      </c>
      <c r="D32" s="4"/>
      <c r="E32" s="4">
        <v>36.549999999999997</v>
      </c>
      <c r="F32" s="4">
        <v>36.97</v>
      </c>
      <c r="G32" s="4">
        <v>37.26</v>
      </c>
      <c r="H32" s="4" t="s">
        <v>1998</v>
      </c>
      <c r="I32" s="4" t="s">
        <v>1998</v>
      </c>
      <c r="J32" s="4" t="s">
        <v>1998</v>
      </c>
      <c r="K32" s="4" t="s">
        <v>1998</v>
      </c>
      <c r="L32" s="4"/>
      <c r="M32" s="4"/>
      <c r="N32" s="4"/>
      <c r="O32" s="4"/>
    </row>
    <row r="33" spans="1:15" x14ac:dyDescent="0.2">
      <c r="A33" s="8" t="s">
        <v>37</v>
      </c>
      <c r="B33" s="8" t="s">
        <v>1494</v>
      </c>
      <c r="C33" s="8" t="s">
        <v>1495</v>
      </c>
      <c r="D33" s="4"/>
      <c r="E33" s="4">
        <v>36.020000000000003</v>
      </c>
      <c r="F33" s="4">
        <v>36.729999999999997</v>
      </c>
      <c r="G33" s="4">
        <v>72.44</v>
      </c>
      <c r="H33" s="4" t="s">
        <v>1998</v>
      </c>
      <c r="I33" s="4" t="s">
        <v>1998</v>
      </c>
      <c r="J33" s="4" t="s">
        <v>1998</v>
      </c>
      <c r="K33" s="4" t="s">
        <v>1998</v>
      </c>
      <c r="L33" s="4"/>
      <c r="M33" s="4"/>
      <c r="N33" s="4"/>
      <c r="O33" s="4"/>
    </row>
    <row r="34" spans="1:15" x14ac:dyDescent="0.2">
      <c r="A34" s="8" t="s">
        <v>37</v>
      </c>
      <c r="B34" s="8" t="s">
        <v>1496</v>
      </c>
      <c r="C34" s="8" t="s">
        <v>1497</v>
      </c>
      <c r="D34" s="4"/>
      <c r="E34" s="4">
        <v>69.150000000000006</v>
      </c>
      <c r="F34" s="4">
        <v>38.97</v>
      </c>
      <c r="G34" s="4">
        <v>38.6</v>
      </c>
      <c r="H34" s="4" t="s">
        <v>1998</v>
      </c>
      <c r="I34" s="4" t="s">
        <v>1998</v>
      </c>
      <c r="J34" s="4" t="s">
        <v>1998</v>
      </c>
      <c r="K34" s="4" t="s">
        <v>1998</v>
      </c>
      <c r="L34" s="4"/>
      <c r="M34" s="4"/>
      <c r="N34" s="4"/>
      <c r="O34" s="4"/>
    </row>
    <row r="35" spans="1:15" x14ac:dyDescent="0.2">
      <c r="A35" s="8" t="s">
        <v>37</v>
      </c>
      <c r="B35" s="8" t="s">
        <v>1498</v>
      </c>
      <c r="C35" s="8" t="s">
        <v>1499</v>
      </c>
      <c r="D35" s="4"/>
      <c r="E35" s="4">
        <v>40.590000000000003</v>
      </c>
      <c r="F35" s="4">
        <v>66.55</v>
      </c>
      <c r="G35" s="4">
        <v>38.03</v>
      </c>
      <c r="H35" s="4" t="s">
        <v>1998</v>
      </c>
      <c r="I35" s="4" t="s">
        <v>1998</v>
      </c>
      <c r="J35" s="4" t="s">
        <v>1998</v>
      </c>
      <c r="K35" s="4" t="s">
        <v>1998</v>
      </c>
      <c r="L35" s="4"/>
      <c r="M35" s="4"/>
      <c r="N35" s="4"/>
      <c r="O35" s="4"/>
    </row>
    <row r="36" spans="1:15" x14ac:dyDescent="0.2">
      <c r="A36" s="8" t="s">
        <v>37</v>
      </c>
      <c r="B36" s="8" t="s">
        <v>1500</v>
      </c>
      <c r="C36" s="8" t="s">
        <v>1501</v>
      </c>
      <c r="D36" s="4"/>
      <c r="E36" s="4">
        <v>342</v>
      </c>
      <c r="F36" s="4">
        <v>345.1</v>
      </c>
      <c r="G36" s="4">
        <v>367.11</v>
      </c>
      <c r="H36" s="4" t="s">
        <v>1998</v>
      </c>
      <c r="I36" s="4" t="s">
        <v>1998</v>
      </c>
      <c r="J36" s="4" t="s">
        <v>1998</v>
      </c>
      <c r="K36" s="4" t="s">
        <v>1998</v>
      </c>
      <c r="L36" s="4"/>
      <c r="M36" s="4"/>
      <c r="N36" s="4"/>
      <c r="O36" s="4"/>
    </row>
    <row r="37" spans="1:15" x14ac:dyDescent="0.2">
      <c r="A37" s="8" t="s">
        <v>37</v>
      </c>
      <c r="B37" s="8" t="s">
        <v>1502</v>
      </c>
      <c r="C37" s="8" t="s">
        <v>1503</v>
      </c>
      <c r="D37" s="4"/>
      <c r="E37" s="4">
        <v>59.82</v>
      </c>
      <c r="F37" s="4">
        <v>31.01</v>
      </c>
      <c r="G37" s="4">
        <v>30.67</v>
      </c>
      <c r="H37" s="4" t="s">
        <v>1998</v>
      </c>
      <c r="I37" s="4" t="s">
        <v>1998</v>
      </c>
      <c r="J37" s="4" t="s">
        <v>1998</v>
      </c>
      <c r="K37" s="4" t="s">
        <v>1998</v>
      </c>
      <c r="L37" s="4"/>
      <c r="M37" s="4"/>
      <c r="N37" s="4"/>
      <c r="O37" s="4"/>
    </row>
    <row r="38" spans="1:15" x14ac:dyDescent="0.2">
      <c r="A38" s="8" t="s">
        <v>37</v>
      </c>
      <c r="B38" s="8" t="s">
        <v>1504</v>
      </c>
      <c r="C38" s="8" t="s">
        <v>1503</v>
      </c>
      <c r="D38" s="4"/>
      <c r="E38" s="4">
        <v>37.65</v>
      </c>
      <c r="F38" s="4">
        <v>38.020000000000003</v>
      </c>
      <c r="G38" s="4">
        <v>37.75</v>
      </c>
      <c r="H38" s="4" t="s">
        <v>1998</v>
      </c>
      <c r="I38" s="4" t="s">
        <v>1998</v>
      </c>
      <c r="J38" s="4" t="s">
        <v>1998</v>
      </c>
      <c r="K38" s="4" t="s">
        <v>1998</v>
      </c>
      <c r="L38" s="4"/>
      <c r="M38" s="4"/>
      <c r="N38" s="4"/>
      <c r="O38" s="4"/>
    </row>
    <row r="39" spans="1:15" x14ac:dyDescent="0.2">
      <c r="A39" s="8" t="s">
        <v>37</v>
      </c>
      <c r="B39" s="8" t="s">
        <v>1505</v>
      </c>
      <c r="C39" s="8" t="s">
        <v>1506</v>
      </c>
      <c r="D39" s="8" t="s">
        <v>1455</v>
      </c>
      <c r="E39" s="4">
        <v>7795.02</v>
      </c>
      <c r="F39" s="4">
        <v>7828.06</v>
      </c>
      <c r="G39" s="4">
        <v>7781.76</v>
      </c>
      <c r="H39" s="15"/>
      <c r="I39" s="15"/>
      <c r="J39" s="4"/>
      <c r="K39" s="4"/>
      <c r="L39" s="4"/>
      <c r="M39" s="4"/>
      <c r="N39" s="4"/>
      <c r="O39" s="4"/>
    </row>
    <row r="40" spans="1:15" x14ac:dyDescent="0.2">
      <c r="A40" s="8" t="s">
        <v>37</v>
      </c>
      <c r="B40" s="8" t="s">
        <v>1507</v>
      </c>
      <c r="C40" s="8" t="s">
        <v>1508</v>
      </c>
      <c r="D40" s="8" t="s">
        <v>1457</v>
      </c>
      <c r="E40" s="4">
        <v>7792.09</v>
      </c>
      <c r="F40" s="4">
        <v>7802.54</v>
      </c>
      <c r="G40" s="4">
        <v>7806.97</v>
      </c>
      <c r="H40" s="15"/>
      <c r="I40" s="15"/>
      <c r="J40" s="4"/>
      <c r="K40" s="4"/>
      <c r="L40" s="4"/>
      <c r="M40" s="4"/>
      <c r="N40" s="4"/>
      <c r="O40" s="4"/>
    </row>
    <row r="41" spans="1:15" x14ac:dyDescent="0.2">
      <c r="A41" s="8" t="s">
        <v>37</v>
      </c>
      <c r="B41" s="8" t="s">
        <v>1509</v>
      </c>
      <c r="C41" s="8" t="s">
        <v>1510</v>
      </c>
      <c r="D41" s="8" t="s">
        <v>1459</v>
      </c>
      <c r="E41" s="4">
        <v>4395.82</v>
      </c>
      <c r="F41" s="4">
        <v>4401.1099999999997</v>
      </c>
      <c r="G41" s="4">
        <v>4402.1400000000003</v>
      </c>
      <c r="H41" s="15"/>
      <c r="I41" s="15"/>
      <c r="J41" s="4"/>
      <c r="K41" s="4"/>
      <c r="L41" s="4"/>
      <c r="M41" s="4"/>
      <c r="N41" s="4"/>
      <c r="O41" s="4"/>
    </row>
    <row r="42" spans="1:15" x14ac:dyDescent="0.2">
      <c r="A42" s="8" t="s">
        <v>37</v>
      </c>
      <c r="B42" s="8" t="s">
        <v>1511</v>
      </c>
      <c r="C42" s="8" t="s">
        <v>1512</v>
      </c>
      <c r="D42" s="8" t="s">
        <v>1461</v>
      </c>
      <c r="E42" s="4">
        <v>4401.2700000000004</v>
      </c>
      <c r="F42" s="4">
        <v>4405.3999999999996</v>
      </c>
      <c r="G42" s="4">
        <v>4442.1899999999996</v>
      </c>
      <c r="H42" s="15"/>
      <c r="I42" s="15"/>
      <c r="J42" s="4"/>
      <c r="K42" s="4"/>
      <c r="L42" s="4"/>
      <c r="M42" s="4"/>
      <c r="N42" s="4"/>
      <c r="O42" s="4"/>
    </row>
    <row r="43" spans="1:15" x14ac:dyDescent="0.2">
      <c r="A43" s="8" t="s">
        <v>37</v>
      </c>
      <c r="B43" s="8" t="s">
        <v>1513</v>
      </c>
      <c r="C43" s="8" t="s">
        <v>1514</v>
      </c>
      <c r="D43" s="8" t="s">
        <v>1463</v>
      </c>
      <c r="E43" s="4">
        <v>2923.83</v>
      </c>
      <c r="F43" s="4">
        <v>2919.7</v>
      </c>
      <c r="G43" s="4">
        <v>2916.91</v>
      </c>
      <c r="H43" s="15"/>
      <c r="I43" s="15"/>
      <c r="J43" s="4"/>
      <c r="K43" s="4"/>
      <c r="L43" s="4"/>
      <c r="M43" s="4"/>
      <c r="N43" s="4"/>
      <c r="O43" s="4"/>
    </row>
    <row r="44" spans="1:15" x14ac:dyDescent="0.2">
      <c r="A44" s="8" t="s">
        <v>37</v>
      </c>
      <c r="B44" s="8" t="s">
        <v>1515</v>
      </c>
      <c r="C44" s="8" t="s">
        <v>1516</v>
      </c>
      <c r="D44" s="8" t="s">
        <v>1465</v>
      </c>
      <c r="E44" s="4">
        <v>2897.79</v>
      </c>
      <c r="F44" s="4">
        <v>2913.88</v>
      </c>
      <c r="G44" s="4">
        <v>2944.68</v>
      </c>
      <c r="H44" s="15"/>
      <c r="I44" s="15"/>
      <c r="J44" s="4"/>
      <c r="K44" s="4"/>
      <c r="L44" s="4"/>
      <c r="M44" s="4"/>
      <c r="N44" s="4"/>
      <c r="O44" s="4"/>
    </row>
    <row r="45" spans="1:15" x14ac:dyDescent="0.2">
      <c r="A45" s="8" t="s">
        <v>37</v>
      </c>
      <c r="B45" s="8" t="s">
        <v>1517</v>
      </c>
      <c r="C45" s="8" t="s">
        <v>1518</v>
      </c>
      <c r="D45" s="14"/>
      <c r="E45" s="15">
        <v>1925.27</v>
      </c>
      <c r="F45" s="15">
        <v>1839.04</v>
      </c>
      <c r="G45" s="15">
        <v>1981.88</v>
      </c>
      <c r="H45" s="16" t="s">
        <v>62</v>
      </c>
      <c r="I45" s="16" t="s">
        <v>62</v>
      </c>
      <c r="J45" s="16" t="s">
        <v>62</v>
      </c>
      <c r="K45" s="16" t="s">
        <v>62</v>
      </c>
      <c r="L45" s="4"/>
      <c r="M45" s="4"/>
      <c r="N45" s="4"/>
      <c r="O45" s="4"/>
    </row>
    <row r="46" spans="1:15" x14ac:dyDescent="0.2">
      <c r="A46" s="8" t="s">
        <v>37</v>
      </c>
      <c r="B46" s="8" t="s">
        <v>1519</v>
      </c>
      <c r="C46" s="8" t="s">
        <v>1520</v>
      </c>
      <c r="D46" s="14"/>
      <c r="E46" s="15">
        <v>1925.27</v>
      </c>
      <c r="F46" s="15">
        <v>1839.04</v>
      </c>
      <c r="G46" s="15">
        <v>1981.88</v>
      </c>
      <c r="H46" s="16" t="s">
        <v>62</v>
      </c>
      <c r="I46" s="16" t="s">
        <v>62</v>
      </c>
      <c r="J46" s="16" t="s">
        <v>62</v>
      </c>
      <c r="K46" s="16" t="s">
        <v>62</v>
      </c>
      <c r="L46" s="4"/>
      <c r="M46" s="4"/>
      <c r="N46" s="4"/>
      <c r="O46" s="4"/>
    </row>
    <row r="47" spans="1:15" x14ac:dyDescent="0.2">
      <c r="A47" s="8" t="s">
        <v>37</v>
      </c>
      <c r="B47" s="8" t="s">
        <v>1419</v>
      </c>
      <c r="C47" s="8" t="s">
        <v>1521</v>
      </c>
      <c r="D47" s="4"/>
      <c r="E47" s="4"/>
      <c r="F47" s="4">
        <v>1197.26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8" t="s">
        <v>37</v>
      </c>
      <c r="B48" s="8" t="s">
        <v>1421</v>
      </c>
      <c r="C48" s="8" t="s">
        <v>1521</v>
      </c>
      <c r="D48" s="4"/>
      <c r="E48" s="4"/>
      <c r="F48" s="4">
        <v>1187.71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8" t="s">
        <v>37</v>
      </c>
      <c r="B49" s="8" t="s">
        <v>1422</v>
      </c>
      <c r="C49" s="8" t="s">
        <v>1521</v>
      </c>
      <c r="D49" s="4"/>
      <c r="E49" s="4"/>
      <c r="F49" s="4">
        <v>1188.73</v>
      </c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8" t="s">
        <v>37</v>
      </c>
      <c r="B50" s="8" t="s">
        <v>1423</v>
      </c>
      <c r="C50" s="8" t="s">
        <v>1521</v>
      </c>
      <c r="D50" s="4"/>
      <c r="E50" s="4"/>
      <c r="F50" s="4">
        <v>1193.24</v>
      </c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 t="s">
        <v>37</v>
      </c>
      <c r="B51" s="8" t="s">
        <v>1522</v>
      </c>
      <c r="C51" s="8" t="s">
        <v>1521</v>
      </c>
      <c r="D51" s="4"/>
      <c r="E51" s="4"/>
      <c r="F51" s="4">
        <v>1201.97</v>
      </c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 t="s">
        <v>37</v>
      </c>
      <c r="B52" s="8" t="s">
        <v>1424</v>
      </c>
      <c r="C52" s="8" t="s">
        <v>1523</v>
      </c>
      <c r="D52" s="4"/>
      <c r="E52" s="4">
        <v>292.43</v>
      </c>
      <c r="F52" s="4">
        <v>315.83999999999997</v>
      </c>
      <c r="G52" s="4">
        <v>333.82</v>
      </c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 t="s">
        <v>37</v>
      </c>
      <c r="B53" s="8" t="s">
        <v>1426</v>
      </c>
      <c r="C53" s="8" t="s">
        <v>1523</v>
      </c>
      <c r="D53" s="4"/>
      <c r="E53" s="4">
        <v>319.58999999999997</v>
      </c>
      <c r="F53" s="4">
        <v>284.66000000000003</v>
      </c>
      <c r="G53" s="4">
        <v>319.12</v>
      </c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 t="s">
        <v>37</v>
      </c>
      <c r="B54" s="8" t="s">
        <v>1427</v>
      </c>
      <c r="C54" s="8" t="s">
        <v>1523</v>
      </c>
      <c r="D54" s="4"/>
      <c r="E54" s="4">
        <v>312.41000000000003</v>
      </c>
      <c r="F54" s="4">
        <v>311.83999999999997</v>
      </c>
      <c r="G54" s="4">
        <v>310.51</v>
      </c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 t="s">
        <v>37</v>
      </c>
      <c r="B55" s="8" t="s">
        <v>1428</v>
      </c>
      <c r="C55" s="8" t="s">
        <v>1523</v>
      </c>
      <c r="D55" s="4"/>
      <c r="E55" s="4">
        <v>312.17</v>
      </c>
      <c r="F55" s="4">
        <v>313.49</v>
      </c>
      <c r="G55" s="4">
        <v>313.2</v>
      </c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 t="s">
        <v>37</v>
      </c>
      <c r="B56" s="8" t="s">
        <v>1524</v>
      </c>
      <c r="C56" s="8" t="s">
        <v>1523</v>
      </c>
      <c r="D56" s="4"/>
      <c r="E56" s="4">
        <v>312.10000000000002</v>
      </c>
      <c r="F56" s="4">
        <v>314.54000000000002</v>
      </c>
      <c r="G56" s="4">
        <v>286.49</v>
      </c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 t="s">
        <v>37</v>
      </c>
      <c r="B57" s="8" t="s">
        <v>1429</v>
      </c>
      <c r="C57" s="8" t="s">
        <v>1525</v>
      </c>
      <c r="D57" s="4"/>
      <c r="E57" s="4">
        <v>199.4</v>
      </c>
      <c r="F57" s="4">
        <v>198.78</v>
      </c>
      <c r="G57" s="4">
        <v>199.15</v>
      </c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 t="s">
        <v>37</v>
      </c>
      <c r="B58" s="8" t="s">
        <v>1431</v>
      </c>
      <c r="C58" s="8" t="s">
        <v>1525</v>
      </c>
      <c r="D58" s="4"/>
      <c r="E58" s="4">
        <v>170.63</v>
      </c>
      <c r="F58" s="4">
        <v>199.99</v>
      </c>
      <c r="G58" s="4">
        <v>197.43</v>
      </c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 t="s">
        <v>37</v>
      </c>
      <c r="B59" s="8" t="s">
        <v>1432</v>
      </c>
      <c r="C59" s="8" t="s">
        <v>1525</v>
      </c>
      <c r="D59" s="4"/>
      <c r="E59" s="4">
        <v>202.44</v>
      </c>
      <c r="F59" s="4">
        <v>170.92</v>
      </c>
      <c r="G59" s="4">
        <v>202.73</v>
      </c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 t="s">
        <v>37</v>
      </c>
      <c r="B60" s="8" t="s">
        <v>1433</v>
      </c>
      <c r="C60" s="8" t="s">
        <v>1525</v>
      </c>
      <c r="D60" s="4"/>
      <c r="E60" s="4">
        <v>198.03</v>
      </c>
      <c r="F60" s="4">
        <v>202.1</v>
      </c>
      <c r="G60" s="4">
        <v>202.82</v>
      </c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 t="s">
        <v>37</v>
      </c>
      <c r="B61" s="8" t="s">
        <v>1526</v>
      </c>
      <c r="C61" s="8" t="s">
        <v>1525</v>
      </c>
      <c r="D61" s="4"/>
      <c r="E61" s="4">
        <v>201.02</v>
      </c>
      <c r="F61" s="4">
        <v>197.62</v>
      </c>
      <c r="G61" s="4">
        <v>200.61</v>
      </c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 t="s">
        <v>37</v>
      </c>
      <c r="B62" s="8" t="s">
        <v>1527</v>
      </c>
      <c r="C62" s="8" t="s">
        <v>1528</v>
      </c>
      <c r="D62" s="4"/>
      <c r="E62" s="4">
        <v>1179.78</v>
      </c>
      <c r="F62" s="4">
        <v>1214.51</v>
      </c>
      <c r="G62" s="4">
        <v>1182.32</v>
      </c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8" t="s">
        <v>37</v>
      </c>
      <c r="B63" s="8" t="s">
        <v>1529</v>
      </c>
      <c r="C63" s="8" t="s">
        <v>1530</v>
      </c>
      <c r="D63" s="4"/>
      <c r="E63" s="4">
        <v>1177.69</v>
      </c>
      <c r="F63" s="4">
        <v>1194.57</v>
      </c>
      <c r="G63" s="4">
        <v>1202.77</v>
      </c>
      <c r="H63" s="4"/>
      <c r="I63" s="4"/>
      <c r="J63" s="4"/>
      <c r="K63" s="4"/>
      <c r="L63" s="4"/>
      <c r="M63" s="4"/>
      <c r="N63" s="4"/>
      <c r="O63" s="4"/>
    </row>
    <row r="64" spans="1:15" x14ac:dyDescent="0.2">
      <c r="A64" s="8" t="s">
        <v>37</v>
      </c>
      <c r="B64" s="8" t="s">
        <v>1531</v>
      </c>
      <c r="C64" s="8" t="s">
        <v>1532</v>
      </c>
      <c r="D64" s="4"/>
      <c r="E64" s="4">
        <v>42.32</v>
      </c>
      <c r="F64" s="4">
        <v>42.34</v>
      </c>
      <c r="G64" s="4">
        <v>41.23</v>
      </c>
      <c r="H64" s="4" t="s">
        <v>1998</v>
      </c>
      <c r="I64" s="4" t="s">
        <v>1998</v>
      </c>
      <c r="J64" s="4" t="s">
        <v>1998</v>
      </c>
      <c r="K64" s="4" t="s">
        <v>1998</v>
      </c>
      <c r="L64" s="4"/>
      <c r="M64" s="4"/>
      <c r="N64" s="4"/>
      <c r="O64" s="4"/>
    </row>
    <row r="65" spans="1:15" x14ac:dyDescent="0.2">
      <c r="A65" s="8" t="s">
        <v>37</v>
      </c>
      <c r="B65" s="8" t="s">
        <v>1533</v>
      </c>
      <c r="C65" s="8" t="s">
        <v>1534</v>
      </c>
      <c r="D65" s="4"/>
      <c r="E65" s="4">
        <v>31.73</v>
      </c>
      <c r="F65" s="4">
        <v>31.91</v>
      </c>
      <c r="G65" s="4">
        <v>31.92</v>
      </c>
      <c r="H65" s="4" t="s">
        <v>1998</v>
      </c>
      <c r="I65" s="4" t="s">
        <v>1998</v>
      </c>
      <c r="J65" s="4" t="s">
        <v>1998</v>
      </c>
      <c r="K65" s="4" t="s">
        <v>1998</v>
      </c>
      <c r="L65" s="4"/>
      <c r="M65" s="4"/>
      <c r="N65" s="4"/>
      <c r="O65" s="4"/>
    </row>
    <row r="66" spans="1:15" x14ac:dyDescent="0.2">
      <c r="A66" s="8" t="s">
        <v>37</v>
      </c>
      <c r="B66" s="8" t="s">
        <v>1535</v>
      </c>
      <c r="C66" s="8" t="s">
        <v>1536</v>
      </c>
      <c r="D66" s="4"/>
      <c r="E66" s="4">
        <v>61.06</v>
      </c>
      <c r="F66" s="4">
        <v>31.68</v>
      </c>
      <c r="G66" s="4">
        <v>32.51</v>
      </c>
      <c r="H66" s="4" t="s">
        <v>1998</v>
      </c>
      <c r="I66" s="4" t="s">
        <v>1998</v>
      </c>
      <c r="J66" s="4" t="s">
        <v>1998</v>
      </c>
      <c r="K66" s="4" t="s">
        <v>1998</v>
      </c>
      <c r="L66" s="4"/>
      <c r="M66" s="4"/>
      <c r="N66" s="4"/>
      <c r="O66" s="4"/>
    </row>
    <row r="67" spans="1:15" x14ac:dyDescent="0.2">
      <c r="A67" s="8" t="s">
        <v>37</v>
      </c>
      <c r="B67" s="8" t="s">
        <v>1537</v>
      </c>
      <c r="C67" s="8" t="s">
        <v>1538</v>
      </c>
      <c r="D67" s="4"/>
      <c r="E67" s="4">
        <v>38</v>
      </c>
      <c r="F67" s="4">
        <v>37.25</v>
      </c>
      <c r="G67" s="4">
        <v>68.709999999999994</v>
      </c>
      <c r="H67" s="4" t="s">
        <v>1998</v>
      </c>
      <c r="I67" s="4" t="s">
        <v>1998</v>
      </c>
      <c r="J67" s="4" t="s">
        <v>1998</v>
      </c>
      <c r="K67" s="4" t="s">
        <v>1998</v>
      </c>
      <c r="L67" s="4"/>
      <c r="M67" s="4"/>
      <c r="N67" s="4"/>
      <c r="O67" s="4"/>
    </row>
    <row r="68" spans="1:15" x14ac:dyDescent="0.2">
      <c r="A68" s="8" t="s">
        <v>37</v>
      </c>
      <c r="B68" s="8" t="s">
        <v>1539</v>
      </c>
      <c r="C68" s="8" t="s">
        <v>1540</v>
      </c>
      <c r="D68" s="4"/>
      <c r="E68" s="4">
        <v>46.13</v>
      </c>
      <c r="F68" s="4">
        <v>46.51</v>
      </c>
      <c r="G68" s="4">
        <v>46.73</v>
      </c>
      <c r="H68" s="4"/>
      <c r="I68" s="4"/>
      <c r="J68" s="4"/>
      <c r="K68" s="4" t="s">
        <v>64</v>
      </c>
      <c r="L68" s="4"/>
      <c r="M68" s="4"/>
      <c r="N68" s="4"/>
      <c r="O68" s="4"/>
    </row>
    <row r="69" spans="1:15" x14ac:dyDescent="0.2">
      <c r="A69" s="8" t="s">
        <v>37</v>
      </c>
      <c r="B69" s="8" t="s">
        <v>1541</v>
      </c>
      <c r="C69" s="8" t="s">
        <v>1542</v>
      </c>
      <c r="D69" s="4"/>
      <c r="E69" s="4">
        <v>47.81</v>
      </c>
      <c r="F69" s="4">
        <v>75.33</v>
      </c>
      <c r="G69" s="4">
        <v>45.94</v>
      </c>
      <c r="H69" s="4"/>
      <c r="I69" s="4"/>
      <c r="J69" s="4"/>
      <c r="K69" s="4" t="s">
        <v>64</v>
      </c>
      <c r="L69" s="4"/>
      <c r="M69" s="4"/>
      <c r="N69" s="4"/>
      <c r="O69" s="4"/>
    </row>
    <row r="70" spans="1:15" x14ac:dyDescent="0.2">
      <c r="A70" s="8" t="s">
        <v>37</v>
      </c>
      <c r="B70" s="8" t="s">
        <v>1543</v>
      </c>
      <c r="C70" s="8" t="s">
        <v>1544</v>
      </c>
      <c r="D70" s="4"/>
      <c r="E70" s="4">
        <v>47.14</v>
      </c>
      <c r="F70" s="4">
        <v>47.85</v>
      </c>
      <c r="G70" s="4">
        <v>47.91</v>
      </c>
      <c r="H70" s="4"/>
      <c r="I70" s="4"/>
      <c r="J70" s="4"/>
      <c r="K70" s="4" t="s">
        <v>64</v>
      </c>
      <c r="L70" s="4"/>
      <c r="M70" s="4"/>
      <c r="N70" s="4"/>
      <c r="O70" s="4"/>
    </row>
    <row r="71" spans="1:15" x14ac:dyDescent="0.2">
      <c r="A71" s="8" t="s">
        <v>37</v>
      </c>
      <c r="B71" s="8" t="s">
        <v>1545</v>
      </c>
      <c r="C71" s="8" t="s">
        <v>1546</v>
      </c>
      <c r="D71" s="4"/>
      <c r="E71" s="4">
        <v>48.81</v>
      </c>
      <c r="F71" s="4">
        <v>49.43</v>
      </c>
      <c r="G71" s="4">
        <v>49.83</v>
      </c>
      <c r="H71" s="4"/>
      <c r="I71" s="4"/>
      <c r="J71" s="4"/>
      <c r="K71" s="4" t="s">
        <v>64</v>
      </c>
      <c r="L71" s="4"/>
      <c r="M71" s="4"/>
      <c r="N71" s="4"/>
      <c r="O71" s="4"/>
    </row>
    <row r="72" spans="1:15" x14ac:dyDescent="0.2">
      <c r="A72" s="8" t="s">
        <v>37</v>
      </c>
      <c r="B72" s="8" t="s">
        <v>1547</v>
      </c>
      <c r="C72" s="8" t="s">
        <v>1548</v>
      </c>
      <c r="D72" s="4"/>
      <c r="E72" s="4">
        <v>28.13</v>
      </c>
      <c r="F72" s="4">
        <v>28.57</v>
      </c>
      <c r="G72" s="4">
        <v>28.81</v>
      </c>
      <c r="H72" s="4" t="s">
        <v>1998</v>
      </c>
      <c r="I72" s="4" t="s">
        <v>1998</v>
      </c>
      <c r="J72" s="4" t="s">
        <v>1998</v>
      </c>
      <c r="K72" s="4" t="s">
        <v>1998</v>
      </c>
      <c r="L72" s="4"/>
      <c r="M72" s="4"/>
      <c r="N72" s="4"/>
      <c r="O72" s="4"/>
    </row>
    <row r="73" spans="1:15" x14ac:dyDescent="0.2">
      <c r="A73" s="8" t="s">
        <v>37</v>
      </c>
      <c r="B73" s="8" t="s">
        <v>1549</v>
      </c>
      <c r="C73" s="8" t="s">
        <v>1550</v>
      </c>
      <c r="D73" s="4"/>
      <c r="E73" s="4">
        <v>61.28</v>
      </c>
      <c r="F73" s="4">
        <v>29.62</v>
      </c>
      <c r="G73" s="4">
        <v>29.69</v>
      </c>
      <c r="H73" s="4" t="s">
        <v>1998</v>
      </c>
      <c r="I73" s="4" t="s">
        <v>1998</v>
      </c>
      <c r="J73" s="4" t="s">
        <v>1998</v>
      </c>
      <c r="K73" s="4" t="s">
        <v>1998</v>
      </c>
      <c r="L73" s="4"/>
      <c r="M73" s="4"/>
      <c r="N73" s="4"/>
      <c r="O73" s="4"/>
    </row>
    <row r="74" spans="1:15" x14ac:dyDescent="0.2">
      <c r="A74" s="8" t="s">
        <v>37</v>
      </c>
      <c r="B74" s="8" t="s">
        <v>1551</v>
      </c>
      <c r="C74" s="8" t="s">
        <v>1552</v>
      </c>
      <c r="D74" s="4"/>
      <c r="E74" s="4">
        <v>27.07</v>
      </c>
      <c r="F74" s="4">
        <v>28.12</v>
      </c>
      <c r="G74" s="4">
        <v>55.87</v>
      </c>
      <c r="H74" s="4" t="s">
        <v>1998</v>
      </c>
      <c r="I74" s="4" t="s">
        <v>1998</v>
      </c>
      <c r="J74" s="4" t="s">
        <v>1998</v>
      </c>
      <c r="K74" s="4" t="s">
        <v>1998</v>
      </c>
      <c r="L74" s="4"/>
      <c r="M74" s="4"/>
      <c r="N74" s="4"/>
      <c r="O74" s="4"/>
    </row>
    <row r="75" spans="1:15" x14ac:dyDescent="0.2">
      <c r="A75" s="8" t="s">
        <v>37</v>
      </c>
      <c r="B75" s="8" t="s">
        <v>1553</v>
      </c>
      <c r="C75" s="8" t="s">
        <v>1554</v>
      </c>
      <c r="D75" s="8" t="s">
        <v>1531</v>
      </c>
      <c r="E75" s="4">
        <v>2467.7199999999998</v>
      </c>
      <c r="F75" s="4">
        <v>2474.94</v>
      </c>
      <c r="G75" s="4">
        <v>2446.9</v>
      </c>
      <c r="H75" s="4" t="s">
        <v>62</v>
      </c>
      <c r="I75" s="4" t="s">
        <v>62</v>
      </c>
      <c r="J75" s="4"/>
      <c r="K75" s="4"/>
      <c r="L75" s="4"/>
      <c r="M75" s="4"/>
      <c r="N75" s="4"/>
      <c r="O75" s="4"/>
    </row>
    <row r="76" spans="1:15" x14ac:dyDescent="0.2">
      <c r="A76" s="8" t="s">
        <v>37</v>
      </c>
      <c r="B76" s="8" t="s">
        <v>1555</v>
      </c>
      <c r="C76" s="8" t="s">
        <v>1556</v>
      </c>
      <c r="D76" s="8" t="s">
        <v>1533</v>
      </c>
      <c r="E76" s="4">
        <v>1323.18</v>
      </c>
      <c r="F76" s="4">
        <v>1356.76</v>
      </c>
      <c r="G76" s="4">
        <v>1352.16</v>
      </c>
      <c r="H76" s="4" t="s">
        <v>62</v>
      </c>
      <c r="I76" s="4" t="s">
        <v>62</v>
      </c>
      <c r="J76" s="4"/>
      <c r="K76" s="4"/>
      <c r="L76" s="4"/>
      <c r="M76" s="4"/>
      <c r="N76" s="4"/>
      <c r="O76" s="4"/>
    </row>
    <row r="77" spans="1:15" x14ac:dyDescent="0.2">
      <c r="A77" s="8" t="s">
        <v>37</v>
      </c>
      <c r="B77" s="8" t="s">
        <v>1557</v>
      </c>
      <c r="C77" s="8" t="s">
        <v>1558</v>
      </c>
      <c r="D77" s="8" t="s">
        <v>1535</v>
      </c>
      <c r="E77" s="4">
        <v>859.68</v>
      </c>
      <c r="F77" s="4">
        <v>862.36</v>
      </c>
      <c r="G77" s="4">
        <v>870.04</v>
      </c>
      <c r="H77" s="4" t="s">
        <v>62</v>
      </c>
      <c r="I77" s="4" t="s">
        <v>62</v>
      </c>
      <c r="J77" s="4"/>
      <c r="K77" s="4"/>
      <c r="L77" s="4"/>
      <c r="M77" s="4"/>
      <c r="N77" s="4"/>
      <c r="O77" s="4"/>
    </row>
    <row r="78" spans="1:15" x14ac:dyDescent="0.2">
      <c r="A78" s="8" t="s">
        <v>37</v>
      </c>
      <c r="B78" s="8" t="s">
        <v>1559</v>
      </c>
      <c r="C78" s="8" t="s">
        <v>1560</v>
      </c>
      <c r="D78" s="8" t="s">
        <v>1537</v>
      </c>
      <c r="E78" s="4">
        <v>674.75</v>
      </c>
      <c r="F78" s="4">
        <v>675.3</v>
      </c>
      <c r="G78" s="4">
        <v>673.85</v>
      </c>
      <c r="H78" s="4" t="s">
        <v>62</v>
      </c>
      <c r="I78" s="4" t="s">
        <v>62</v>
      </c>
      <c r="J78" s="4"/>
      <c r="K78" s="4"/>
      <c r="L78" s="4"/>
      <c r="M78" s="4"/>
      <c r="N78" s="4"/>
      <c r="O78" s="4"/>
    </row>
    <row r="79" spans="1:15" x14ac:dyDescent="0.2">
      <c r="A79" s="8" t="s">
        <v>37</v>
      </c>
      <c r="B79" s="8" t="s">
        <v>1561</v>
      </c>
      <c r="C79" s="8" t="s">
        <v>1562</v>
      </c>
      <c r="D79" s="4"/>
      <c r="E79" s="4">
        <v>236.39</v>
      </c>
      <c r="F79" s="4">
        <v>237.54</v>
      </c>
      <c r="G79" s="4">
        <v>236.91</v>
      </c>
      <c r="H79" s="4"/>
      <c r="I79" s="4"/>
      <c r="J79" s="4"/>
      <c r="K79" s="4"/>
      <c r="L79" s="4"/>
      <c r="M79" s="4"/>
      <c r="N79" s="4"/>
      <c r="O79" s="4"/>
    </row>
  </sheetData>
  <mergeCells count="1">
    <mergeCell ref="E3:G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7029-5577-544F-8807-2F58EE835D5F}">
  <dimension ref="A1:O107"/>
  <sheetViews>
    <sheetView topLeftCell="A27" zoomScale="150" workbookViewId="0"/>
  </sheetViews>
  <sheetFormatPr baseColWidth="10" defaultColWidth="8.83203125" defaultRowHeight="15" x14ac:dyDescent="0.2"/>
  <cols>
    <col min="1" max="1" width="18" style="21" customWidth="1"/>
    <col min="2" max="2" width="28" style="21" customWidth="1"/>
    <col min="3" max="3" width="64" style="21" customWidth="1"/>
    <col min="4" max="4" width="12.1640625" style="21" customWidth="1"/>
    <col min="5" max="5" width="10" style="21" hidden="1" customWidth="1"/>
    <col min="6" max="6" width="9" style="21" hidden="1" customWidth="1"/>
    <col min="7" max="7" width="8.1640625" style="21" hidden="1" customWidth="1"/>
    <col min="8" max="8" width="10" style="21" customWidth="1"/>
    <col min="9" max="11" width="10" customWidth="1"/>
    <col min="12" max="13" width="8" style="21" customWidth="1"/>
    <col min="14" max="14" width="10" style="21" customWidth="1"/>
    <col min="15" max="15" width="9" style="21" customWidth="1"/>
    <col min="16" max="16384" width="8.83203125" style="21"/>
  </cols>
  <sheetData>
    <row r="1" spans="1:15" x14ac:dyDescent="0.2">
      <c r="A1" s="21" t="s">
        <v>2099</v>
      </c>
    </row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SUM(E5:G61)</f>
        <v>112125.04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2042</v>
      </c>
      <c r="B5" s="8" t="s">
        <v>106</v>
      </c>
      <c r="C5" s="8" t="s">
        <v>2043</v>
      </c>
      <c r="D5" s="4"/>
      <c r="E5" s="4"/>
      <c r="F5" s="4">
        <v>1.17</v>
      </c>
      <c r="G5" s="4"/>
      <c r="H5" s="4"/>
      <c r="I5" s="4"/>
      <c r="J5" s="4" t="s">
        <v>63</v>
      </c>
      <c r="K5" s="4" t="s">
        <v>63</v>
      </c>
      <c r="L5" s="4"/>
      <c r="M5" s="4"/>
      <c r="N5" s="4"/>
      <c r="O5" s="4"/>
    </row>
    <row r="6" spans="1:15" x14ac:dyDescent="0.2">
      <c r="A6" s="8" t="s">
        <v>2042</v>
      </c>
      <c r="B6" s="8" t="s">
        <v>106</v>
      </c>
      <c r="C6" s="8" t="s">
        <v>2044</v>
      </c>
      <c r="D6" s="4"/>
      <c r="E6" s="4"/>
      <c r="F6" s="4">
        <v>3.4</v>
      </c>
      <c r="G6" s="4"/>
      <c r="H6" s="4"/>
      <c r="I6" s="4"/>
      <c r="J6" s="9"/>
      <c r="K6" s="9"/>
      <c r="L6" s="4"/>
      <c r="M6" s="4"/>
      <c r="N6" s="4"/>
      <c r="O6" s="4"/>
    </row>
    <row r="7" spans="1:15" x14ac:dyDescent="0.2">
      <c r="A7" s="8" t="s">
        <v>2042</v>
      </c>
      <c r="B7" s="8" t="s">
        <v>106</v>
      </c>
      <c r="C7" s="8" t="s">
        <v>1446</v>
      </c>
      <c r="D7" s="4"/>
      <c r="E7" s="4"/>
      <c r="F7" s="4">
        <v>2.41</v>
      </c>
      <c r="G7" s="4"/>
      <c r="H7" s="4"/>
      <c r="I7" s="4"/>
      <c r="J7" s="9" t="s">
        <v>2002</v>
      </c>
      <c r="K7" s="9" t="s">
        <v>2002</v>
      </c>
      <c r="L7" s="4"/>
      <c r="M7" s="4"/>
      <c r="N7" s="4"/>
      <c r="O7" s="4"/>
    </row>
    <row r="8" spans="1:15" x14ac:dyDescent="0.2">
      <c r="A8" s="8" t="s">
        <v>2042</v>
      </c>
      <c r="B8" s="8" t="s">
        <v>1377</v>
      </c>
      <c r="C8" s="8" t="s">
        <v>2045</v>
      </c>
      <c r="D8" s="8"/>
      <c r="E8" s="4">
        <v>75.78</v>
      </c>
      <c r="F8" s="4">
        <v>75.19</v>
      </c>
      <c r="G8" s="4">
        <v>74.98</v>
      </c>
      <c r="H8" s="4"/>
      <c r="I8" s="4"/>
      <c r="J8" s="4" t="s">
        <v>63</v>
      </c>
      <c r="K8" s="4"/>
      <c r="L8" s="4"/>
      <c r="M8" s="4"/>
      <c r="N8" s="4"/>
      <c r="O8" s="4"/>
    </row>
    <row r="9" spans="1:15" x14ac:dyDescent="0.2">
      <c r="A9" s="8" t="s">
        <v>2042</v>
      </c>
      <c r="B9" s="8" t="s">
        <v>1415</v>
      </c>
      <c r="C9" s="8" t="s">
        <v>2046</v>
      </c>
      <c r="D9" s="8"/>
      <c r="E9" s="4">
        <v>85.16</v>
      </c>
      <c r="F9" s="4">
        <v>85.3</v>
      </c>
      <c r="G9" s="4">
        <v>85.54</v>
      </c>
      <c r="H9" s="4"/>
      <c r="I9" s="4"/>
      <c r="J9" s="19"/>
      <c r="K9" s="19"/>
      <c r="L9" s="4"/>
      <c r="M9" s="4"/>
      <c r="N9" s="4"/>
      <c r="O9" s="4"/>
    </row>
    <row r="10" spans="1:15" x14ac:dyDescent="0.2">
      <c r="A10" s="8" t="s">
        <v>2042</v>
      </c>
      <c r="B10" s="8" t="s">
        <v>1417</v>
      </c>
      <c r="C10" s="8" t="s">
        <v>2047</v>
      </c>
      <c r="D10" s="8"/>
      <c r="E10" s="4">
        <v>74.36</v>
      </c>
      <c r="F10" s="4">
        <v>74.16</v>
      </c>
      <c r="G10" s="4">
        <v>73.819999999999993</v>
      </c>
      <c r="H10" s="4"/>
      <c r="I10" s="4"/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2042</v>
      </c>
      <c r="B11" s="8" t="s">
        <v>1455</v>
      </c>
      <c r="C11" s="8" t="s">
        <v>2048</v>
      </c>
      <c r="D11" s="8"/>
      <c r="E11" s="4">
        <v>39.950000000000003</v>
      </c>
      <c r="F11" s="4">
        <v>61.67</v>
      </c>
      <c r="G11" s="4">
        <v>39.69</v>
      </c>
      <c r="H11" s="4"/>
      <c r="I11" s="4"/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2042</v>
      </c>
      <c r="B12" s="8" t="s">
        <v>1457</v>
      </c>
      <c r="C12" s="8" t="s">
        <v>2049</v>
      </c>
      <c r="D12" s="8"/>
      <c r="E12" s="4">
        <v>68.930000000000007</v>
      </c>
      <c r="F12" s="4">
        <v>40.82</v>
      </c>
      <c r="G12" s="4">
        <v>64.64</v>
      </c>
      <c r="H12" s="4"/>
      <c r="I12" s="4"/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2042</v>
      </c>
      <c r="B13" s="8" t="s">
        <v>1459</v>
      </c>
      <c r="C13" s="8" t="s">
        <v>2050</v>
      </c>
      <c r="D13" s="8"/>
      <c r="E13" s="4">
        <v>42.04</v>
      </c>
      <c r="F13" s="4">
        <v>40.35</v>
      </c>
      <c r="G13" s="4">
        <v>41.37</v>
      </c>
      <c r="H13" s="4"/>
      <c r="I13" s="4"/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2042</v>
      </c>
      <c r="B14" s="8" t="s">
        <v>1461</v>
      </c>
      <c r="C14" s="8" t="s">
        <v>2051</v>
      </c>
      <c r="D14" s="8"/>
      <c r="E14" s="4">
        <v>40.51</v>
      </c>
      <c r="F14" s="4">
        <v>39.89</v>
      </c>
      <c r="G14" s="4">
        <v>41.25</v>
      </c>
      <c r="H14" s="4"/>
      <c r="I14" s="4"/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2042</v>
      </c>
      <c r="B15" s="8" t="s">
        <v>1463</v>
      </c>
      <c r="C15" s="8" t="s">
        <v>2052</v>
      </c>
      <c r="D15" s="8"/>
      <c r="E15" s="4">
        <v>40.450000000000003</v>
      </c>
      <c r="F15" s="4">
        <v>40.020000000000003</v>
      </c>
      <c r="G15" s="4">
        <v>41.16</v>
      </c>
      <c r="H15" s="4"/>
      <c r="I15" s="4"/>
      <c r="J15" s="4" t="s">
        <v>1998</v>
      </c>
      <c r="K15" s="4" t="s">
        <v>1998</v>
      </c>
      <c r="L15" s="4"/>
      <c r="M15" s="4"/>
      <c r="N15" s="4"/>
      <c r="O15" s="4"/>
    </row>
    <row r="16" spans="1:15" x14ac:dyDescent="0.2">
      <c r="A16" s="8" t="s">
        <v>2042</v>
      </c>
      <c r="B16" s="8" t="s">
        <v>1465</v>
      </c>
      <c r="C16" s="8" t="s">
        <v>2053</v>
      </c>
      <c r="D16" s="8"/>
      <c r="E16" s="4">
        <v>40.17</v>
      </c>
      <c r="F16" s="4">
        <v>41.91</v>
      </c>
      <c r="G16" s="4">
        <v>41.19</v>
      </c>
      <c r="H16" s="4"/>
      <c r="I16" s="4"/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2042</v>
      </c>
      <c r="B17" s="8" t="s">
        <v>1467</v>
      </c>
      <c r="C17" s="8" t="s">
        <v>2054</v>
      </c>
      <c r="D17" s="8"/>
      <c r="E17" s="4">
        <v>54.72</v>
      </c>
      <c r="F17" s="4">
        <v>54.67</v>
      </c>
      <c r="G17" s="4">
        <v>54.28</v>
      </c>
      <c r="H17" s="4"/>
      <c r="I17" s="4"/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2042</v>
      </c>
      <c r="B18" s="8" t="s">
        <v>1469</v>
      </c>
      <c r="C18" s="8" t="s">
        <v>2055</v>
      </c>
      <c r="D18" s="8"/>
      <c r="E18" s="4">
        <v>54.62</v>
      </c>
      <c r="F18" s="4">
        <v>77.84</v>
      </c>
      <c r="G18" s="4">
        <v>56.13</v>
      </c>
      <c r="H18" s="4"/>
      <c r="I18" s="4"/>
      <c r="J18" s="4" t="s">
        <v>1998</v>
      </c>
      <c r="K18" s="4" t="s">
        <v>1998</v>
      </c>
      <c r="L18" s="4"/>
      <c r="M18" s="4"/>
      <c r="N18" s="4"/>
      <c r="O18" s="4"/>
    </row>
    <row r="19" spans="1:15" x14ac:dyDescent="0.2">
      <c r="A19" s="8" t="s">
        <v>2042</v>
      </c>
      <c r="B19" s="8" t="s">
        <v>1471</v>
      </c>
      <c r="C19" s="8" t="s">
        <v>2056</v>
      </c>
      <c r="D19" s="8"/>
      <c r="E19" s="4">
        <v>41.66</v>
      </c>
      <c r="F19" s="4">
        <v>42.04</v>
      </c>
      <c r="G19" s="4">
        <v>66.92</v>
      </c>
      <c r="H19" s="4"/>
      <c r="I19" s="4"/>
      <c r="J19" s="4"/>
      <c r="K19" s="4" t="s">
        <v>64</v>
      </c>
      <c r="L19" s="4"/>
      <c r="M19" s="4"/>
      <c r="N19" s="4"/>
      <c r="O19" s="4"/>
    </row>
    <row r="20" spans="1:15" x14ac:dyDescent="0.2">
      <c r="A20" s="8" t="s">
        <v>2042</v>
      </c>
      <c r="B20" s="8" t="s">
        <v>1473</v>
      </c>
      <c r="C20" s="8" t="s">
        <v>2057</v>
      </c>
      <c r="D20" s="8"/>
      <c r="E20" s="4">
        <v>41.3</v>
      </c>
      <c r="F20" s="4">
        <v>41.14</v>
      </c>
      <c r="G20" s="4">
        <v>41.52</v>
      </c>
      <c r="H20" s="4"/>
      <c r="I20" s="4"/>
      <c r="J20" s="4"/>
      <c r="K20" s="4" t="s">
        <v>64</v>
      </c>
      <c r="L20" s="4"/>
      <c r="M20" s="4"/>
      <c r="N20" s="4"/>
      <c r="O20" s="4"/>
    </row>
    <row r="21" spans="1:15" x14ac:dyDescent="0.2">
      <c r="A21" s="8" t="s">
        <v>2042</v>
      </c>
      <c r="B21" s="8" t="s">
        <v>1475</v>
      </c>
      <c r="C21" s="8" t="s">
        <v>2058</v>
      </c>
      <c r="D21" s="8"/>
      <c r="E21" s="4">
        <v>40.96</v>
      </c>
      <c r="F21" s="4">
        <v>41.36</v>
      </c>
      <c r="G21" s="4">
        <v>42.56</v>
      </c>
      <c r="H21" s="4"/>
      <c r="I21" s="4"/>
      <c r="J21" s="4"/>
      <c r="K21" s="4" t="s">
        <v>64</v>
      </c>
      <c r="L21" s="4"/>
      <c r="M21" s="4"/>
      <c r="N21" s="4"/>
      <c r="O21" s="4"/>
    </row>
    <row r="22" spans="1:15" x14ac:dyDescent="0.2">
      <c r="A22" s="8" t="s">
        <v>2042</v>
      </c>
      <c r="B22" s="8" t="s">
        <v>1477</v>
      </c>
      <c r="C22" s="8" t="s">
        <v>2059</v>
      </c>
      <c r="D22" s="8"/>
      <c r="E22" s="4">
        <v>70.66</v>
      </c>
      <c r="F22" s="4">
        <v>41.13</v>
      </c>
      <c r="G22" s="4">
        <v>40.58</v>
      </c>
      <c r="H22" s="4"/>
      <c r="I22" s="4"/>
      <c r="J22" s="4"/>
      <c r="K22" s="4" t="s">
        <v>64</v>
      </c>
      <c r="L22" s="4"/>
      <c r="M22" s="4"/>
      <c r="N22" s="4"/>
      <c r="O22" s="4"/>
    </row>
    <row r="23" spans="1:15" x14ac:dyDescent="0.2">
      <c r="A23" s="8" t="s">
        <v>2042</v>
      </c>
      <c r="B23" s="8" t="s">
        <v>1479</v>
      </c>
      <c r="C23" s="8" t="s">
        <v>2060</v>
      </c>
      <c r="D23" s="8"/>
      <c r="E23" s="4">
        <v>42.07</v>
      </c>
      <c r="F23" s="4">
        <v>41.03</v>
      </c>
      <c r="G23" s="4">
        <v>40.67</v>
      </c>
      <c r="H23" s="4"/>
      <c r="I23" s="4"/>
      <c r="J23" s="4"/>
      <c r="K23" s="4" t="s">
        <v>64</v>
      </c>
      <c r="L23" s="4"/>
      <c r="M23" s="4"/>
      <c r="N23" s="4"/>
      <c r="O23" s="4"/>
    </row>
    <row r="24" spans="1:15" x14ac:dyDescent="0.2">
      <c r="A24" s="8" t="s">
        <v>2042</v>
      </c>
      <c r="B24" s="8" t="s">
        <v>1481</v>
      </c>
      <c r="C24" s="8" t="s">
        <v>2061</v>
      </c>
      <c r="D24" s="8"/>
      <c r="E24" s="4">
        <v>41.57</v>
      </c>
      <c r="F24" s="4">
        <v>42.1</v>
      </c>
      <c r="G24" s="4">
        <v>40.57</v>
      </c>
      <c r="H24" s="4"/>
      <c r="I24" s="4"/>
      <c r="J24" s="4"/>
      <c r="K24" s="4" t="s">
        <v>64</v>
      </c>
      <c r="L24" s="4"/>
      <c r="M24" s="4"/>
      <c r="N24" s="4"/>
      <c r="O24" s="4"/>
    </row>
    <row r="25" spans="1:15" x14ac:dyDescent="0.2">
      <c r="A25" s="8" t="s">
        <v>2042</v>
      </c>
      <c r="B25" s="8" t="s">
        <v>1483</v>
      </c>
      <c r="C25" s="8" t="s">
        <v>2062</v>
      </c>
      <c r="D25" s="8"/>
      <c r="E25" s="4">
        <v>43.76</v>
      </c>
      <c r="F25" s="4">
        <v>43.26</v>
      </c>
      <c r="G25" s="4">
        <v>42.74</v>
      </c>
      <c r="H25" s="4"/>
      <c r="I25" s="4"/>
      <c r="J25" s="4"/>
      <c r="K25" s="4" t="s">
        <v>64</v>
      </c>
      <c r="L25" s="4"/>
      <c r="M25" s="4"/>
      <c r="N25" s="4"/>
      <c r="O25" s="4"/>
    </row>
    <row r="26" spans="1:15" x14ac:dyDescent="0.2">
      <c r="A26" s="8" t="s">
        <v>2042</v>
      </c>
      <c r="B26" s="8" t="s">
        <v>1485</v>
      </c>
      <c r="C26" s="8" t="s">
        <v>2063</v>
      </c>
      <c r="D26" s="8"/>
      <c r="E26" s="4">
        <v>43.45</v>
      </c>
      <c r="F26" s="4">
        <v>43.37</v>
      </c>
      <c r="G26" s="4">
        <v>43.68</v>
      </c>
      <c r="H26" s="4"/>
      <c r="I26" s="4"/>
      <c r="J26" s="4"/>
      <c r="K26" s="4" t="s">
        <v>64</v>
      </c>
      <c r="L26" s="4"/>
      <c r="M26" s="4"/>
      <c r="N26" s="4"/>
      <c r="O26" s="4"/>
    </row>
    <row r="27" spans="1:15" x14ac:dyDescent="0.2">
      <c r="A27" s="8" t="s">
        <v>2042</v>
      </c>
      <c r="B27" s="8" t="s">
        <v>1391</v>
      </c>
      <c r="C27" s="8" t="s">
        <v>2064</v>
      </c>
      <c r="D27" s="8"/>
      <c r="E27" s="4">
        <v>90.94</v>
      </c>
      <c r="F27" s="4">
        <v>111.45</v>
      </c>
      <c r="G27" s="4">
        <v>124.62</v>
      </c>
      <c r="H27" s="4"/>
      <c r="I27" s="4"/>
      <c r="J27" s="4" t="s">
        <v>1998</v>
      </c>
      <c r="K27" s="4" t="s">
        <v>1998</v>
      </c>
      <c r="L27" s="4"/>
      <c r="M27" s="4"/>
      <c r="N27" s="4"/>
      <c r="O27" s="4"/>
    </row>
    <row r="28" spans="1:15" x14ac:dyDescent="0.2">
      <c r="A28" s="8" t="s">
        <v>2042</v>
      </c>
      <c r="B28" s="8" t="s">
        <v>1488</v>
      </c>
      <c r="C28" s="8" t="s">
        <v>2065</v>
      </c>
      <c r="D28" s="8"/>
      <c r="E28" s="4">
        <v>30.56</v>
      </c>
      <c r="F28" s="4">
        <v>30.81</v>
      </c>
      <c r="G28" s="4">
        <v>32.76</v>
      </c>
      <c r="H28" s="4"/>
      <c r="I28" s="4"/>
      <c r="J28" s="4" t="s">
        <v>1998</v>
      </c>
      <c r="K28" s="4" t="s">
        <v>1998</v>
      </c>
      <c r="L28" s="4"/>
      <c r="M28" s="4"/>
      <c r="N28" s="4"/>
      <c r="O28" s="4"/>
    </row>
    <row r="29" spans="1:15" x14ac:dyDescent="0.2">
      <c r="A29" s="8" t="s">
        <v>2042</v>
      </c>
      <c r="B29" s="8" t="s">
        <v>1490</v>
      </c>
      <c r="C29" s="8" t="s">
        <v>2066</v>
      </c>
      <c r="D29" s="8"/>
      <c r="E29" s="4">
        <v>31.49</v>
      </c>
      <c r="F29" s="4">
        <v>29.29</v>
      </c>
      <c r="G29" s="4">
        <v>29.36</v>
      </c>
      <c r="H29" s="4"/>
      <c r="I29" s="4"/>
      <c r="J29" s="4" t="s">
        <v>1998</v>
      </c>
      <c r="K29" s="4" t="s">
        <v>1998</v>
      </c>
      <c r="L29" s="4"/>
      <c r="M29" s="4"/>
      <c r="N29" s="4"/>
      <c r="O29" s="4"/>
    </row>
    <row r="30" spans="1:15" x14ac:dyDescent="0.2">
      <c r="A30" s="8" t="s">
        <v>2042</v>
      </c>
      <c r="B30" s="8" t="s">
        <v>1492</v>
      </c>
      <c r="C30" s="8" t="s">
        <v>2067</v>
      </c>
      <c r="D30" s="8"/>
      <c r="E30" s="4">
        <v>31.54</v>
      </c>
      <c r="F30" s="4">
        <v>31.04</v>
      </c>
      <c r="G30" s="4">
        <v>31.18</v>
      </c>
      <c r="H30" s="4"/>
      <c r="I30" s="4"/>
      <c r="J30" s="4" t="s">
        <v>1998</v>
      </c>
      <c r="K30" s="4" t="s">
        <v>1998</v>
      </c>
      <c r="L30" s="4"/>
      <c r="M30" s="4"/>
      <c r="N30" s="4"/>
      <c r="O30" s="4"/>
    </row>
    <row r="31" spans="1:15" x14ac:dyDescent="0.2">
      <c r="A31" s="8" t="s">
        <v>2042</v>
      </c>
      <c r="B31" s="8" t="s">
        <v>1494</v>
      </c>
      <c r="C31" s="8" t="s">
        <v>2068</v>
      </c>
      <c r="D31" s="8"/>
      <c r="E31" s="4">
        <v>70.58</v>
      </c>
      <c r="F31" s="4">
        <v>30.87</v>
      </c>
      <c r="G31" s="4">
        <v>30.77</v>
      </c>
      <c r="H31" s="4"/>
      <c r="I31" s="4"/>
      <c r="J31" s="4" t="s">
        <v>1998</v>
      </c>
      <c r="K31" s="4" t="s">
        <v>1998</v>
      </c>
      <c r="L31" s="4"/>
      <c r="M31" s="4"/>
      <c r="N31" s="4"/>
      <c r="O31" s="4"/>
    </row>
    <row r="32" spans="1:15" x14ac:dyDescent="0.2">
      <c r="A32" s="8" t="s">
        <v>2042</v>
      </c>
      <c r="B32" s="8" t="s">
        <v>1496</v>
      </c>
      <c r="C32" s="8" t="s">
        <v>2069</v>
      </c>
      <c r="D32" s="8"/>
      <c r="E32" s="4">
        <v>21.62</v>
      </c>
      <c r="F32" s="4">
        <v>21.07</v>
      </c>
      <c r="G32" s="4">
        <v>20.84</v>
      </c>
      <c r="H32" s="4"/>
      <c r="I32" s="4"/>
      <c r="J32" s="4" t="s">
        <v>1998</v>
      </c>
      <c r="K32" s="4" t="s">
        <v>1998</v>
      </c>
      <c r="L32" s="4"/>
      <c r="M32" s="4"/>
      <c r="N32" s="4"/>
      <c r="O32" s="4"/>
    </row>
    <row r="33" spans="1:15" x14ac:dyDescent="0.2">
      <c r="A33" s="8" t="s">
        <v>2042</v>
      </c>
      <c r="B33" s="8" t="s">
        <v>1498</v>
      </c>
      <c r="C33" s="8" t="s">
        <v>2070</v>
      </c>
      <c r="D33" s="8"/>
      <c r="E33" s="4">
        <v>20.99</v>
      </c>
      <c r="F33" s="4">
        <v>21.66</v>
      </c>
      <c r="G33" s="4">
        <v>20.71</v>
      </c>
      <c r="H33" s="4"/>
      <c r="I33" s="4"/>
      <c r="J33" s="4" t="s">
        <v>1998</v>
      </c>
      <c r="K33" s="4" t="s">
        <v>1998</v>
      </c>
      <c r="L33" s="4"/>
      <c r="M33" s="4"/>
      <c r="N33" s="4"/>
      <c r="O33" s="4"/>
    </row>
    <row r="34" spans="1:15" x14ac:dyDescent="0.2">
      <c r="A34" s="8" t="s">
        <v>2042</v>
      </c>
      <c r="B34" s="8" t="s">
        <v>1500</v>
      </c>
      <c r="C34" s="8" t="s">
        <v>2071</v>
      </c>
      <c r="D34" s="8"/>
      <c r="E34" s="4">
        <v>284.74</v>
      </c>
      <c r="F34" s="4">
        <v>286.31</v>
      </c>
      <c r="G34" s="4">
        <v>284.66000000000003</v>
      </c>
      <c r="H34" s="4"/>
      <c r="I34" s="4"/>
      <c r="J34" s="4" t="s">
        <v>1998</v>
      </c>
      <c r="K34" s="4" t="s">
        <v>1998</v>
      </c>
      <c r="L34" s="4"/>
      <c r="M34" s="4"/>
      <c r="N34" s="4"/>
      <c r="O34" s="4"/>
    </row>
    <row r="35" spans="1:15" x14ac:dyDescent="0.2">
      <c r="A35" s="8" t="s">
        <v>2042</v>
      </c>
      <c r="B35" s="8" t="s">
        <v>1502</v>
      </c>
      <c r="C35" s="8" t="s">
        <v>2072</v>
      </c>
      <c r="D35" s="8"/>
      <c r="E35" s="4">
        <v>21.78</v>
      </c>
      <c r="F35" s="4">
        <v>21.98</v>
      </c>
      <c r="G35" s="4">
        <v>21.94</v>
      </c>
      <c r="H35" s="4"/>
      <c r="I35" s="4"/>
      <c r="J35" s="4" t="s">
        <v>1998</v>
      </c>
      <c r="K35" s="4" t="s">
        <v>1998</v>
      </c>
      <c r="L35" s="4"/>
      <c r="M35" s="4"/>
      <c r="N35" s="4"/>
      <c r="O35" s="4"/>
    </row>
    <row r="36" spans="1:15" x14ac:dyDescent="0.2">
      <c r="A36" s="8" t="s">
        <v>2042</v>
      </c>
      <c r="B36" s="8" t="s">
        <v>1504</v>
      </c>
      <c r="C36" s="8" t="s">
        <v>2072</v>
      </c>
      <c r="D36" s="8"/>
      <c r="E36" s="4">
        <v>29.35</v>
      </c>
      <c r="F36" s="4">
        <v>29.61</v>
      </c>
      <c r="G36" s="4">
        <v>28.51</v>
      </c>
      <c r="H36" s="4"/>
      <c r="I36" s="4"/>
      <c r="J36" s="4" t="s">
        <v>1998</v>
      </c>
      <c r="K36" s="4" t="s">
        <v>1998</v>
      </c>
      <c r="L36" s="4"/>
      <c r="M36" s="4"/>
      <c r="N36" s="4"/>
      <c r="O36" s="4"/>
    </row>
    <row r="37" spans="1:15" x14ac:dyDescent="0.2">
      <c r="A37" s="8" t="s">
        <v>2042</v>
      </c>
      <c r="B37" s="8" t="s">
        <v>1505</v>
      </c>
      <c r="C37" s="8" t="s">
        <v>2073</v>
      </c>
      <c r="D37" s="8"/>
      <c r="E37" s="4">
        <v>7332.43</v>
      </c>
      <c r="F37" s="4">
        <v>7355.46</v>
      </c>
      <c r="G37" s="4">
        <v>7329.05</v>
      </c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8" t="s">
        <v>2042</v>
      </c>
      <c r="B38" s="8" t="s">
        <v>1507</v>
      </c>
      <c r="C38" s="8" t="s">
        <v>2074</v>
      </c>
      <c r="D38" s="8"/>
      <c r="E38" s="4">
        <v>7335.66</v>
      </c>
      <c r="F38" s="4">
        <v>7335.85</v>
      </c>
      <c r="G38" s="4">
        <v>7332.75</v>
      </c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8" t="s">
        <v>2042</v>
      </c>
      <c r="B39" s="8" t="s">
        <v>1509</v>
      </c>
      <c r="C39" s="8" t="s">
        <v>2075</v>
      </c>
      <c r="D39" s="8"/>
      <c r="E39" s="4">
        <v>3944.65</v>
      </c>
      <c r="F39" s="4">
        <v>3916.69</v>
      </c>
      <c r="G39" s="4">
        <v>3937.28</v>
      </c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8" t="s">
        <v>2042</v>
      </c>
      <c r="B40" s="8" t="s">
        <v>1511</v>
      </c>
      <c r="C40" s="8" t="s">
        <v>2076</v>
      </c>
      <c r="D40" s="8"/>
      <c r="E40" s="4">
        <v>3939.32</v>
      </c>
      <c r="F40" s="4">
        <v>3970.59</v>
      </c>
      <c r="G40" s="4">
        <v>3964.42</v>
      </c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8" t="s">
        <v>2042</v>
      </c>
      <c r="B41" s="8" t="s">
        <v>1513</v>
      </c>
      <c r="C41" s="8" t="s">
        <v>2077</v>
      </c>
      <c r="D41" s="8"/>
      <c r="E41" s="4">
        <v>2462.52</v>
      </c>
      <c r="F41" s="4">
        <v>2464.42</v>
      </c>
      <c r="G41" s="4">
        <v>2462.79</v>
      </c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8" t="s">
        <v>2042</v>
      </c>
      <c r="B42" s="8" t="s">
        <v>1515</v>
      </c>
      <c r="C42" s="8" t="s">
        <v>2078</v>
      </c>
      <c r="D42" s="8"/>
      <c r="E42" s="4">
        <v>2463.96</v>
      </c>
      <c r="F42" s="4">
        <v>2461.4</v>
      </c>
      <c r="G42" s="4">
        <v>2461.7800000000002</v>
      </c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 t="s">
        <v>2042</v>
      </c>
      <c r="B43" s="8" t="s">
        <v>1517</v>
      </c>
      <c r="C43" s="8" t="s">
        <v>2079</v>
      </c>
      <c r="D43" s="8"/>
      <c r="E43" s="4">
        <v>1917.34</v>
      </c>
      <c r="F43" s="4">
        <v>1927.23</v>
      </c>
      <c r="G43" s="4">
        <v>1916.96</v>
      </c>
      <c r="H43" s="4"/>
      <c r="I43" s="4"/>
      <c r="J43" s="16" t="s">
        <v>62</v>
      </c>
      <c r="K43" s="16" t="s">
        <v>62</v>
      </c>
      <c r="L43" s="4"/>
      <c r="M43" s="4"/>
      <c r="N43" s="4"/>
      <c r="O43" s="4"/>
    </row>
    <row r="44" spans="1:15" x14ac:dyDescent="0.2">
      <c r="A44" s="8" t="s">
        <v>2042</v>
      </c>
      <c r="B44" s="8" t="s">
        <v>1519</v>
      </c>
      <c r="C44" s="8" t="s">
        <v>2080</v>
      </c>
      <c r="D44" s="8"/>
      <c r="E44" s="4">
        <v>1925.42</v>
      </c>
      <c r="F44" s="4">
        <v>1900.49</v>
      </c>
      <c r="G44" s="4">
        <v>1895.78</v>
      </c>
      <c r="H44" s="4"/>
      <c r="I44" s="4"/>
      <c r="J44" s="16" t="s">
        <v>62</v>
      </c>
      <c r="K44" s="16" t="s">
        <v>62</v>
      </c>
      <c r="L44" s="4"/>
      <c r="M44" s="4"/>
      <c r="N44" s="4"/>
      <c r="O44" s="4"/>
    </row>
    <row r="45" spans="1:15" x14ac:dyDescent="0.2">
      <c r="A45" s="8" t="s">
        <v>2042</v>
      </c>
      <c r="B45" s="8" t="s">
        <v>1419</v>
      </c>
      <c r="C45" s="8" t="s">
        <v>2081</v>
      </c>
      <c r="D45" s="8"/>
      <c r="E45" s="4"/>
      <c r="F45" s="4">
        <v>829.22</v>
      </c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8" t="s">
        <v>2042</v>
      </c>
      <c r="B46" s="8" t="s">
        <v>1421</v>
      </c>
      <c r="C46" s="8" t="s">
        <v>2081</v>
      </c>
      <c r="D46" s="8"/>
      <c r="E46" s="4"/>
      <c r="F46" s="4">
        <v>838.6</v>
      </c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 t="s">
        <v>2042</v>
      </c>
      <c r="B47" s="8" t="s">
        <v>1422</v>
      </c>
      <c r="C47" s="8" t="s">
        <v>2081</v>
      </c>
      <c r="D47" s="8"/>
      <c r="E47" s="4"/>
      <c r="F47" s="4">
        <v>812.96</v>
      </c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8" t="s">
        <v>2042</v>
      </c>
      <c r="B48" s="8" t="s">
        <v>1423</v>
      </c>
      <c r="C48" s="8" t="s">
        <v>2081</v>
      </c>
      <c r="D48" s="8"/>
      <c r="E48" s="4"/>
      <c r="F48" s="4">
        <v>814.26</v>
      </c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8" t="s">
        <v>2042</v>
      </c>
      <c r="B49" s="8" t="s">
        <v>1522</v>
      </c>
      <c r="C49" s="8" t="s">
        <v>2081</v>
      </c>
      <c r="D49" s="8"/>
      <c r="E49" s="4"/>
      <c r="F49" s="4">
        <v>839.82</v>
      </c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8" t="s">
        <v>2042</v>
      </c>
      <c r="B50" s="8" t="s">
        <v>1424</v>
      </c>
      <c r="C50" s="8" t="s">
        <v>2082</v>
      </c>
      <c r="D50" s="8"/>
      <c r="E50" s="4">
        <v>228.24</v>
      </c>
      <c r="F50" s="4">
        <v>202.16</v>
      </c>
      <c r="G50" s="4">
        <v>229.86</v>
      </c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 t="s">
        <v>2042</v>
      </c>
      <c r="B51" s="8" t="s">
        <v>1426</v>
      </c>
      <c r="C51" s="8" t="s">
        <v>2082</v>
      </c>
      <c r="D51" s="8"/>
      <c r="E51" s="4">
        <v>200.7</v>
      </c>
      <c r="F51" s="4">
        <v>226.31</v>
      </c>
      <c r="G51" s="4">
        <v>223.61</v>
      </c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 t="s">
        <v>2042</v>
      </c>
      <c r="B52" s="8" t="s">
        <v>1427</v>
      </c>
      <c r="C52" s="8" t="s">
        <v>2082</v>
      </c>
      <c r="D52" s="8"/>
      <c r="E52" s="4">
        <v>232.14</v>
      </c>
      <c r="F52" s="4">
        <v>202.78</v>
      </c>
      <c r="G52" s="4">
        <v>203.42</v>
      </c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 t="s">
        <v>2042</v>
      </c>
      <c r="B53" s="8" t="s">
        <v>1428</v>
      </c>
      <c r="C53" s="8" t="s">
        <v>2082</v>
      </c>
      <c r="D53" s="8"/>
      <c r="E53" s="4">
        <v>222.72</v>
      </c>
      <c r="F53" s="4">
        <v>224.48</v>
      </c>
      <c r="G53" s="4">
        <v>225.1</v>
      </c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 t="s">
        <v>2042</v>
      </c>
      <c r="B54" s="8" t="s">
        <v>1524</v>
      </c>
      <c r="C54" s="8" t="s">
        <v>2082</v>
      </c>
      <c r="D54" s="8"/>
      <c r="E54" s="4">
        <v>202.58</v>
      </c>
      <c r="F54" s="4">
        <v>226.54</v>
      </c>
      <c r="G54" s="4">
        <v>200.21</v>
      </c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 t="s">
        <v>2042</v>
      </c>
      <c r="B55" s="8" t="s">
        <v>1429</v>
      </c>
      <c r="C55" s="8" t="s">
        <v>2083</v>
      </c>
      <c r="D55" s="8"/>
      <c r="E55" s="4">
        <v>162.75</v>
      </c>
      <c r="F55" s="4">
        <v>140.08000000000001</v>
      </c>
      <c r="G55" s="4">
        <v>161.1</v>
      </c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 t="s">
        <v>2042</v>
      </c>
      <c r="B56" s="8" t="s">
        <v>1431</v>
      </c>
      <c r="C56" s="8" t="s">
        <v>2083</v>
      </c>
      <c r="D56" s="8"/>
      <c r="E56" s="4">
        <v>139.96</v>
      </c>
      <c r="F56" s="4">
        <v>163.11000000000001</v>
      </c>
      <c r="G56" s="4">
        <v>140.03</v>
      </c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 t="s">
        <v>2042</v>
      </c>
      <c r="B57" s="8" t="s">
        <v>1432</v>
      </c>
      <c r="C57" s="8" t="s">
        <v>2083</v>
      </c>
      <c r="D57" s="8"/>
      <c r="E57" s="4">
        <v>163.44</v>
      </c>
      <c r="F57" s="4">
        <v>141.37</v>
      </c>
      <c r="G57" s="4">
        <v>161.99</v>
      </c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 t="s">
        <v>2042</v>
      </c>
      <c r="B58" s="8" t="s">
        <v>1433</v>
      </c>
      <c r="C58" s="8" t="s">
        <v>2083</v>
      </c>
      <c r="D58" s="8"/>
      <c r="E58" s="4">
        <v>140.26</v>
      </c>
      <c r="F58" s="4">
        <v>162.97999999999999</v>
      </c>
      <c r="G58" s="4">
        <v>139.78</v>
      </c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 t="s">
        <v>2042</v>
      </c>
      <c r="B59" s="8" t="s">
        <v>1526</v>
      </c>
      <c r="C59" s="8" t="s">
        <v>2083</v>
      </c>
      <c r="D59" s="8"/>
      <c r="E59" s="4">
        <v>139.5</v>
      </c>
      <c r="F59" s="4">
        <v>139.93</v>
      </c>
      <c r="G59" s="4">
        <v>161.07</v>
      </c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 t="s">
        <v>2042</v>
      </c>
      <c r="B60" s="8" t="s">
        <v>1527</v>
      </c>
      <c r="C60" s="8" t="s">
        <v>2084</v>
      </c>
      <c r="D60" s="8"/>
      <c r="E60" s="4">
        <v>642.04999999999995</v>
      </c>
      <c r="F60" s="4">
        <v>627.17999999999995</v>
      </c>
      <c r="G60" s="4">
        <v>613.87</v>
      </c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 t="s">
        <v>2042</v>
      </c>
      <c r="B61" s="8" t="s">
        <v>1529</v>
      </c>
      <c r="C61" s="8" t="s">
        <v>2085</v>
      </c>
      <c r="D61" s="8"/>
      <c r="E61" s="4">
        <v>614.4</v>
      </c>
      <c r="F61" s="4">
        <v>616.76</v>
      </c>
      <c r="G61" s="4">
        <v>610.80999999999995</v>
      </c>
      <c r="H61" s="4"/>
      <c r="I61" s="4"/>
      <c r="J61" s="4"/>
      <c r="K61" s="4"/>
      <c r="L61" s="4"/>
      <c r="M61" s="4"/>
      <c r="N61" s="4"/>
      <c r="O61" s="4"/>
    </row>
    <row r="62" spans="1:15" x14ac:dyDescent="0.2">
      <c r="I62" s="21"/>
      <c r="J62" s="21"/>
      <c r="K62" s="21"/>
    </row>
    <row r="63" spans="1:15" x14ac:dyDescent="0.2">
      <c r="I63" s="21"/>
      <c r="J63" s="21"/>
      <c r="K63" s="21"/>
    </row>
    <row r="64" spans="1:15" x14ac:dyDescent="0.2">
      <c r="I64" s="21"/>
      <c r="J64" s="21"/>
      <c r="K64" s="21"/>
    </row>
    <row r="65" s="21" customFormat="1" x14ac:dyDescent="0.2"/>
    <row r="66" s="21" customFormat="1" x14ac:dyDescent="0.2"/>
    <row r="67" s="21" customFormat="1" x14ac:dyDescent="0.2"/>
    <row r="68" s="21" customFormat="1" x14ac:dyDescent="0.2"/>
    <row r="69" s="21" customFormat="1" x14ac:dyDescent="0.2"/>
    <row r="70" s="21" customFormat="1" x14ac:dyDescent="0.2"/>
    <row r="71" s="21" customFormat="1" x14ac:dyDescent="0.2"/>
    <row r="72" s="21" customFormat="1" x14ac:dyDescent="0.2"/>
    <row r="73" s="21" customFormat="1" x14ac:dyDescent="0.2"/>
    <row r="74" s="21" customFormat="1" x14ac:dyDescent="0.2"/>
    <row r="75" s="21" customFormat="1" x14ac:dyDescent="0.2"/>
    <row r="76" s="21" customFormat="1" x14ac:dyDescent="0.2"/>
    <row r="77" s="21" customFormat="1" x14ac:dyDescent="0.2"/>
    <row r="78" s="21" customFormat="1" x14ac:dyDescent="0.2"/>
    <row r="79" s="21" customFormat="1" x14ac:dyDescent="0.2"/>
    <row r="80" s="21" customFormat="1" x14ac:dyDescent="0.2"/>
    <row r="81" s="21" customFormat="1" x14ac:dyDescent="0.2"/>
    <row r="82" s="21" customFormat="1" x14ac:dyDescent="0.2"/>
    <row r="83" s="21" customFormat="1" x14ac:dyDescent="0.2"/>
    <row r="84" s="21" customFormat="1" x14ac:dyDescent="0.2"/>
    <row r="85" s="21" customFormat="1" x14ac:dyDescent="0.2"/>
    <row r="86" s="21" customFormat="1" x14ac:dyDescent="0.2"/>
    <row r="87" s="21" customFormat="1" x14ac:dyDescent="0.2"/>
    <row r="88" s="21" customFormat="1" x14ac:dyDescent="0.2"/>
    <row r="89" s="21" customFormat="1" x14ac:dyDescent="0.2"/>
    <row r="90" s="21" customFormat="1" x14ac:dyDescent="0.2"/>
    <row r="91" s="21" customFormat="1" x14ac:dyDescent="0.2"/>
    <row r="92" s="21" customFormat="1" x14ac:dyDescent="0.2"/>
    <row r="93" s="21" customFormat="1" x14ac:dyDescent="0.2"/>
    <row r="94" s="21" customFormat="1" x14ac:dyDescent="0.2"/>
    <row r="95" s="21" customFormat="1" x14ac:dyDescent="0.2"/>
    <row r="96" s="21" customFormat="1" x14ac:dyDescent="0.2"/>
    <row r="97" s="21" customFormat="1" x14ac:dyDescent="0.2"/>
    <row r="98" s="21" customFormat="1" x14ac:dyDescent="0.2"/>
    <row r="99" s="21" customFormat="1" x14ac:dyDescent="0.2"/>
    <row r="100" s="21" customFormat="1" x14ac:dyDescent="0.2"/>
    <row r="101" s="21" customFormat="1" x14ac:dyDescent="0.2"/>
    <row r="102" s="21" customFormat="1" x14ac:dyDescent="0.2"/>
    <row r="103" s="21" customFormat="1" x14ac:dyDescent="0.2"/>
    <row r="104" s="21" customFormat="1" x14ac:dyDescent="0.2"/>
    <row r="105" s="21" customFormat="1" x14ac:dyDescent="0.2"/>
    <row r="106" s="21" customFormat="1" x14ac:dyDescent="0.2"/>
    <row r="107" s="21" customFormat="1" x14ac:dyDescent="0.2"/>
  </sheetData>
  <mergeCells count="1">
    <mergeCell ref="E3:G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O19"/>
  <sheetViews>
    <sheetView zoomScale="162" workbookViewId="0">
      <selection activeCell="A7" sqref="A7:B7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SUM(E5:G19)</f>
        <v>3387.23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38</v>
      </c>
      <c r="B5" s="8" t="s">
        <v>1563</v>
      </c>
      <c r="C5" s="8" t="s">
        <v>1564</v>
      </c>
      <c r="D5" s="4"/>
      <c r="E5" s="4"/>
      <c r="F5" s="4">
        <v>412.75</v>
      </c>
      <c r="G5" s="4"/>
      <c r="H5" s="4" t="s">
        <v>63</v>
      </c>
      <c r="I5" s="4"/>
      <c r="J5" s="4"/>
      <c r="K5" s="4"/>
      <c r="L5" s="4"/>
      <c r="M5" s="4"/>
      <c r="N5" s="4"/>
      <c r="O5" s="4"/>
    </row>
    <row r="6" spans="1:15" x14ac:dyDescent="0.2">
      <c r="A6" s="8" t="s">
        <v>38</v>
      </c>
      <c r="B6" s="8" t="s">
        <v>106</v>
      </c>
      <c r="C6" s="8" t="s">
        <v>1565</v>
      </c>
      <c r="D6" s="4"/>
      <c r="E6" s="4"/>
      <c r="F6" s="4">
        <v>0.24</v>
      </c>
      <c r="G6" s="4"/>
      <c r="H6" s="4" t="s">
        <v>63</v>
      </c>
      <c r="I6" s="4"/>
      <c r="J6" s="4"/>
      <c r="K6" s="9"/>
      <c r="L6" s="4"/>
      <c r="M6" s="4"/>
      <c r="N6" s="4"/>
      <c r="O6" s="4"/>
    </row>
    <row r="7" spans="1:15" x14ac:dyDescent="0.2">
      <c r="A7" s="8" t="s">
        <v>38</v>
      </c>
      <c r="B7" s="8" t="s">
        <v>106</v>
      </c>
      <c r="C7" s="8" t="s">
        <v>1566</v>
      </c>
      <c r="D7" s="4"/>
      <c r="E7" s="4"/>
      <c r="F7" s="4">
        <v>1.05</v>
      </c>
      <c r="G7" s="4"/>
      <c r="H7" s="4"/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  <row r="8" spans="1:15" x14ac:dyDescent="0.2">
      <c r="A8" s="8" t="s">
        <v>38</v>
      </c>
      <c r="B8" s="8" t="s">
        <v>1567</v>
      </c>
      <c r="C8" s="8" t="s">
        <v>1568</v>
      </c>
      <c r="D8" s="4"/>
      <c r="E8" s="4">
        <v>74.739999999999995</v>
      </c>
      <c r="F8" s="4">
        <v>107.63</v>
      </c>
      <c r="G8" s="4">
        <v>75.3</v>
      </c>
      <c r="H8" s="4" t="s">
        <v>1998</v>
      </c>
      <c r="I8" s="4" t="s">
        <v>1998</v>
      </c>
      <c r="J8" s="4" t="s">
        <v>1998</v>
      </c>
      <c r="K8" s="4" t="s">
        <v>1998</v>
      </c>
      <c r="L8" s="4"/>
      <c r="M8" s="4"/>
      <c r="N8" s="4"/>
      <c r="O8" s="4"/>
    </row>
    <row r="9" spans="1:15" x14ac:dyDescent="0.2">
      <c r="A9" s="8" t="s">
        <v>38</v>
      </c>
      <c r="B9" s="8" t="s">
        <v>1379</v>
      </c>
      <c r="C9" s="8" t="s">
        <v>1569</v>
      </c>
      <c r="D9" s="4"/>
      <c r="E9" s="4"/>
      <c r="F9" s="4">
        <v>45.36</v>
      </c>
      <c r="G9" s="4"/>
      <c r="H9" s="4" t="s">
        <v>63</v>
      </c>
      <c r="J9" s="4" t="s">
        <v>63</v>
      </c>
      <c r="K9" s="4"/>
      <c r="L9" s="4"/>
      <c r="M9" s="4"/>
      <c r="N9" s="4"/>
      <c r="O9" s="4"/>
    </row>
    <row r="10" spans="1:15" x14ac:dyDescent="0.2">
      <c r="A10" s="8" t="s">
        <v>38</v>
      </c>
      <c r="B10" s="8" t="s">
        <v>1381</v>
      </c>
      <c r="C10" s="8" t="s">
        <v>1570</v>
      </c>
      <c r="D10" s="4"/>
      <c r="E10" s="4">
        <v>59.39</v>
      </c>
      <c r="F10" s="4">
        <v>59.56</v>
      </c>
      <c r="G10" s="4">
        <v>60.09</v>
      </c>
      <c r="H10" s="4" t="s">
        <v>1998</v>
      </c>
      <c r="I10" s="4" t="s">
        <v>1998</v>
      </c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38</v>
      </c>
      <c r="B11" s="8" t="s">
        <v>1571</v>
      </c>
      <c r="C11" s="8" t="s">
        <v>1572</v>
      </c>
      <c r="D11" s="4"/>
      <c r="E11" s="4">
        <v>172.61</v>
      </c>
      <c r="F11" s="4">
        <v>200.27</v>
      </c>
      <c r="G11" s="4">
        <v>171.32</v>
      </c>
      <c r="H11" s="4" t="s">
        <v>1998</v>
      </c>
      <c r="I11" s="4" t="s">
        <v>1998</v>
      </c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38</v>
      </c>
      <c r="B12" s="8" t="s">
        <v>1573</v>
      </c>
      <c r="C12" s="8" t="s">
        <v>1574</v>
      </c>
      <c r="D12" s="4"/>
      <c r="E12" s="4">
        <v>20.059999999999999</v>
      </c>
      <c r="F12" s="4">
        <v>20.04</v>
      </c>
      <c r="G12" s="4">
        <v>20.18</v>
      </c>
      <c r="H12" s="4" t="s">
        <v>1998</v>
      </c>
      <c r="I12" s="4" t="s">
        <v>1998</v>
      </c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38</v>
      </c>
      <c r="B13" s="8" t="s">
        <v>1575</v>
      </c>
      <c r="C13" s="8" t="s">
        <v>1576</v>
      </c>
      <c r="D13" s="4"/>
      <c r="E13" s="4">
        <v>67.62</v>
      </c>
      <c r="F13" s="4">
        <v>71.5</v>
      </c>
      <c r="G13" s="4">
        <v>68.55</v>
      </c>
      <c r="H13" s="4" t="s">
        <v>1998</v>
      </c>
      <c r="I13" s="4" t="s">
        <v>1998</v>
      </c>
      <c r="J13" s="4" t="s">
        <v>1998</v>
      </c>
      <c r="K13" s="4" t="s">
        <v>1998</v>
      </c>
      <c r="L13" s="4"/>
      <c r="M13" s="4"/>
      <c r="N13" s="4"/>
      <c r="O13" s="4"/>
    </row>
    <row r="14" spans="1:15" x14ac:dyDescent="0.2">
      <c r="A14" s="8" t="s">
        <v>38</v>
      </c>
      <c r="B14" s="8" t="s">
        <v>1389</v>
      </c>
      <c r="C14" s="8" t="s">
        <v>1577</v>
      </c>
      <c r="D14" s="4"/>
      <c r="E14" s="4">
        <v>104.38</v>
      </c>
      <c r="F14" s="4">
        <v>69.430000000000007</v>
      </c>
      <c r="G14" s="4">
        <v>67.23</v>
      </c>
      <c r="H14" s="4" t="s">
        <v>1998</v>
      </c>
      <c r="I14" s="4" t="s">
        <v>1998</v>
      </c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38</v>
      </c>
      <c r="B15" s="8" t="s">
        <v>1578</v>
      </c>
      <c r="C15" s="8" t="s">
        <v>1579</v>
      </c>
      <c r="D15" s="4"/>
      <c r="E15" s="4">
        <v>47.5</v>
      </c>
      <c r="F15" s="4">
        <v>47.44</v>
      </c>
      <c r="G15" s="4">
        <v>46.36</v>
      </c>
      <c r="H15" s="19"/>
      <c r="I15" s="19"/>
      <c r="J15" s="19"/>
      <c r="K15" s="19"/>
      <c r="L15" s="4"/>
      <c r="M15" s="4"/>
      <c r="N15" s="4"/>
      <c r="O15" s="4"/>
    </row>
    <row r="16" spans="1:15" x14ac:dyDescent="0.2">
      <c r="A16" s="8" t="s">
        <v>38</v>
      </c>
      <c r="B16" s="8" t="s">
        <v>1377</v>
      </c>
      <c r="C16" s="8" t="s">
        <v>1580</v>
      </c>
      <c r="D16" s="4"/>
      <c r="E16" s="4">
        <v>272.20999999999998</v>
      </c>
      <c r="F16" s="4">
        <v>278.51</v>
      </c>
      <c r="G16" s="4">
        <v>306.73</v>
      </c>
      <c r="H16" s="4" t="s">
        <v>1998</v>
      </c>
      <c r="I16" s="4" t="s">
        <v>1998</v>
      </c>
      <c r="J16" s="4" t="s">
        <v>1998</v>
      </c>
      <c r="K16" s="4" t="s">
        <v>1998</v>
      </c>
      <c r="L16" s="4"/>
      <c r="M16" s="4"/>
      <c r="N16" s="4"/>
      <c r="O16" s="4"/>
    </row>
    <row r="17" spans="1:15" x14ac:dyDescent="0.2">
      <c r="A17" s="8" t="s">
        <v>38</v>
      </c>
      <c r="B17" s="8" t="s">
        <v>1581</v>
      </c>
      <c r="C17" s="8" t="s">
        <v>1582</v>
      </c>
      <c r="D17" s="4"/>
      <c r="E17" s="4">
        <v>28.23</v>
      </c>
      <c r="F17" s="4">
        <v>27.11</v>
      </c>
      <c r="G17" s="4">
        <v>26.96</v>
      </c>
      <c r="H17" s="4" t="s">
        <v>1998</v>
      </c>
      <c r="I17" s="4" t="s">
        <v>1998</v>
      </c>
      <c r="J17" s="4" t="s">
        <v>1998</v>
      </c>
      <c r="K17" s="4" t="s">
        <v>1998</v>
      </c>
      <c r="L17" s="4"/>
      <c r="M17" s="4"/>
      <c r="N17" s="4"/>
      <c r="O17" s="4"/>
    </row>
    <row r="18" spans="1:15" x14ac:dyDescent="0.2">
      <c r="A18" s="8" t="s">
        <v>38</v>
      </c>
      <c r="B18" s="8" t="s">
        <v>1583</v>
      </c>
      <c r="C18" s="8" t="s">
        <v>1582</v>
      </c>
      <c r="D18" s="4"/>
      <c r="E18" s="4">
        <v>32.71</v>
      </c>
      <c r="F18" s="4">
        <v>33.11</v>
      </c>
      <c r="G18" s="4">
        <v>32.770000000000003</v>
      </c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 t="s">
        <v>38</v>
      </c>
      <c r="B19" s="8" t="s">
        <v>1584</v>
      </c>
      <c r="C19" s="8" t="s">
        <v>1585</v>
      </c>
      <c r="D19" s="4"/>
      <c r="E19" s="4">
        <v>83.04</v>
      </c>
      <c r="F19" s="4">
        <v>89.85</v>
      </c>
      <c r="G19" s="4">
        <v>85.4</v>
      </c>
      <c r="H19" s="4" t="s">
        <v>62</v>
      </c>
      <c r="I19" s="4" t="s">
        <v>62</v>
      </c>
      <c r="J19" s="4" t="s">
        <v>62</v>
      </c>
      <c r="K19" s="4" t="s">
        <v>62</v>
      </c>
      <c r="L19" s="4"/>
      <c r="M19" s="4"/>
      <c r="N19" s="4"/>
      <c r="O19" s="4"/>
    </row>
  </sheetData>
  <mergeCells count="1">
    <mergeCell ref="E3:G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414A-43CC-1040-A0BF-59B2D4B7F2BB}">
  <dimension ref="A2:O30"/>
  <sheetViews>
    <sheetView zoomScale="174" workbookViewId="0">
      <selection activeCell="B6" sqref="B6"/>
    </sheetView>
  </sheetViews>
  <sheetFormatPr baseColWidth="10" defaultColWidth="8.83203125" defaultRowHeight="15" x14ac:dyDescent="0.2"/>
  <cols>
    <col min="1" max="1" width="18" style="21" customWidth="1"/>
    <col min="2" max="2" width="25.83203125" style="21" bestFit="1" customWidth="1"/>
    <col min="3" max="3" width="59" style="21" customWidth="1"/>
    <col min="4" max="4" width="13" style="21" customWidth="1"/>
    <col min="5" max="5" width="10" style="21" hidden="1" customWidth="1"/>
    <col min="6" max="7" width="8" style="21" hidden="1" customWidth="1"/>
    <col min="8" max="8" width="10" style="21" customWidth="1"/>
    <col min="9" max="11" width="10" customWidth="1"/>
    <col min="12" max="13" width="8" style="21" customWidth="1"/>
    <col min="14" max="14" width="10" style="21" customWidth="1"/>
    <col min="15" max="15" width="9" style="21" customWidth="1"/>
    <col min="16" max="16384" width="8.83203125" style="2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SUM(E8:G16)</f>
        <v>0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2086</v>
      </c>
      <c r="B5" s="23" t="s">
        <v>106</v>
      </c>
      <c r="C5" s="23" t="s">
        <v>2098</v>
      </c>
      <c r="D5" s="4"/>
      <c r="E5" s="2"/>
      <c r="F5" s="2"/>
      <c r="G5" s="2"/>
      <c r="H5" s="4"/>
      <c r="I5" s="4"/>
      <c r="J5" s="4" t="s">
        <v>63</v>
      </c>
      <c r="K5" s="4" t="s">
        <v>63</v>
      </c>
      <c r="L5" s="4"/>
      <c r="M5" s="4"/>
      <c r="N5" s="4"/>
      <c r="O5" s="4"/>
    </row>
    <row r="6" spans="1:15" x14ac:dyDescent="0.2">
      <c r="A6" s="8" t="s">
        <v>2086</v>
      </c>
      <c r="B6" s="8" t="s">
        <v>1567</v>
      </c>
      <c r="C6" s="22" t="s">
        <v>2094</v>
      </c>
      <c r="D6" s="4"/>
      <c r="E6" s="4"/>
      <c r="F6" s="4"/>
      <c r="G6" s="4"/>
      <c r="H6" s="4"/>
      <c r="I6" s="4"/>
      <c r="J6" s="4" t="s">
        <v>1998</v>
      </c>
      <c r="K6" s="4" t="s">
        <v>1998</v>
      </c>
      <c r="L6" s="4"/>
      <c r="M6" s="4"/>
      <c r="N6" s="4"/>
      <c r="O6" s="4"/>
    </row>
    <row r="7" spans="1:15" x14ac:dyDescent="0.2">
      <c r="A7" s="8" t="s">
        <v>2086</v>
      </c>
      <c r="B7" s="8" t="s">
        <v>1379</v>
      </c>
      <c r="C7" s="21" t="s">
        <v>2096</v>
      </c>
      <c r="D7" s="4"/>
      <c r="E7" s="4"/>
      <c r="F7"/>
      <c r="G7" s="4"/>
      <c r="H7" s="4"/>
      <c r="I7" s="4"/>
      <c r="J7" s="4" t="s">
        <v>63</v>
      </c>
      <c r="K7" s="21"/>
      <c r="L7" s="4"/>
      <c r="M7" s="4"/>
      <c r="N7" s="4"/>
      <c r="O7" s="4"/>
    </row>
    <row r="8" spans="1:15" x14ac:dyDescent="0.2">
      <c r="A8" s="8" t="s">
        <v>2086</v>
      </c>
      <c r="B8" s="8" t="s">
        <v>1381</v>
      </c>
      <c r="C8" s="8" t="s">
        <v>2087</v>
      </c>
      <c r="D8" s="4"/>
      <c r="E8" s="4"/>
      <c r="F8" s="4"/>
      <c r="G8" s="4"/>
      <c r="H8" s="4"/>
      <c r="I8" s="4"/>
      <c r="J8" s="4" t="s">
        <v>1998</v>
      </c>
      <c r="K8" s="4" t="s">
        <v>1998</v>
      </c>
      <c r="L8" s="4"/>
      <c r="M8" s="4"/>
      <c r="N8" s="4"/>
      <c r="O8" s="4"/>
    </row>
    <row r="9" spans="1:15" x14ac:dyDescent="0.2">
      <c r="A9" s="8" t="s">
        <v>2086</v>
      </c>
      <c r="B9" s="8" t="s">
        <v>1571</v>
      </c>
      <c r="C9" s="22" t="s">
        <v>2097</v>
      </c>
      <c r="D9" s="4"/>
      <c r="E9" s="4"/>
      <c r="F9" s="4"/>
      <c r="G9" s="4"/>
      <c r="H9" s="4"/>
      <c r="I9" s="4"/>
      <c r="J9" s="4" t="s">
        <v>1998</v>
      </c>
      <c r="K9" s="4" t="s">
        <v>1998</v>
      </c>
      <c r="L9" s="4"/>
      <c r="M9" s="4"/>
      <c r="N9" s="4"/>
      <c r="O9" s="4"/>
    </row>
    <row r="10" spans="1:15" x14ac:dyDescent="0.2">
      <c r="A10" s="8" t="s">
        <v>2086</v>
      </c>
      <c r="B10" s="8" t="s">
        <v>1573</v>
      </c>
      <c r="C10" s="8" t="s">
        <v>2088</v>
      </c>
      <c r="D10" s="4"/>
      <c r="E10" s="4"/>
      <c r="F10" s="4"/>
      <c r="G10" s="4"/>
      <c r="H10" s="4"/>
      <c r="I10" s="4"/>
      <c r="J10" s="4" t="s">
        <v>1998</v>
      </c>
      <c r="K10" s="4" t="s">
        <v>1998</v>
      </c>
      <c r="L10" s="4"/>
      <c r="M10" s="4"/>
      <c r="N10" s="4"/>
      <c r="O10" s="4"/>
    </row>
    <row r="11" spans="1:15" x14ac:dyDescent="0.2">
      <c r="A11" s="8" t="s">
        <v>2086</v>
      </c>
      <c r="B11" s="8" t="s">
        <v>1575</v>
      </c>
      <c r="C11" s="8" t="s">
        <v>2089</v>
      </c>
      <c r="D11" s="4"/>
      <c r="E11" s="4"/>
      <c r="F11" s="4"/>
      <c r="G11" s="4"/>
      <c r="H11" s="4"/>
      <c r="I11" s="4"/>
      <c r="J11" s="4" t="s">
        <v>1998</v>
      </c>
      <c r="K11" s="4" t="s">
        <v>1998</v>
      </c>
      <c r="L11" s="4"/>
      <c r="M11" s="4"/>
      <c r="N11" s="4"/>
      <c r="O11" s="4"/>
    </row>
    <row r="12" spans="1:15" x14ac:dyDescent="0.2">
      <c r="A12" s="8" t="s">
        <v>2086</v>
      </c>
      <c r="B12" s="8" t="s">
        <v>1389</v>
      </c>
      <c r="C12" s="8" t="s">
        <v>2090</v>
      </c>
      <c r="D12" s="4"/>
      <c r="E12" s="4"/>
      <c r="F12" s="4"/>
      <c r="G12" s="4"/>
      <c r="H12" s="4"/>
      <c r="I12" s="4"/>
      <c r="J12" s="4" t="s">
        <v>1998</v>
      </c>
      <c r="K12" s="4" t="s">
        <v>1998</v>
      </c>
      <c r="L12" s="4"/>
      <c r="M12" s="4"/>
      <c r="N12" s="4"/>
      <c r="O12" s="4"/>
    </row>
    <row r="13" spans="1:15" x14ac:dyDescent="0.2">
      <c r="A13" s="8" t="s">
        <v>2086</v>
      </c>
      <c r="B13" s="8" t="s">
        <v>1578</v>
      </c>
      <c r="C13" s="8" t="s">
        <v>2091</v>
      </c>
      <c r="D13" s="4"/>
      <c r="E13" s="19"/>
      <c r="F13" s="19"/>
      <c r="G13" s="19"/>
      <c r="H13" s="4"/>
      <c r="I13" s="4"/>
      <c r="J13" s="19"/>
      <c r="K13" s="19"/>
      <c r="L13" s="19"/>
      <c r="M13" s="4"/>
      <c r="N13" s="4"/>
      <c r="O13" s="4"/>
    </row>
    <row r="14" spans="1:15" x14ac:dyDescent="0.2">
      <c r="A14" s="8" t="s">
        <v>2086</v>
      </c>
      <c r="B14" s="8" t="s">
        <v>1377</v>
      </c>
      <c r="C14" s="8" t="s">
        <v>2092</v>
      </c>
      <c r="D14" s="4"/>
      <c r="E14" s="4"/>
      <c r="F14" s="4"/>
      <c r="G14" s="4"/>
      <c r="H14" s="4"/>
      <c r="I14" s="4"/>
      <c r="J14" s="4" t="s">
        <v>1998</v>
      </c>
      <c r="K14" s="4" t="s">
        <v>1998</v>
      </c>
      <c r="L14" s="4"/>
      <c r="M14" s="4"/>
      <c r="N14" s="4"/>
      <c r="O14" s="4"/>
    </row>
    <row r="15" spans="1:15" x14ac:dyDescent="0.2">
      <c r="A15" s="8" t="s">
        <v>2086</v>
      </c>
      <c r="B15" s="8" t="s">
        <v>1583</v>
      </c>
      <c r="C15" s="22" t="s">
        <v>2095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8" t="s">
        <v>2086</v>
      </c>
      <c r="B16" s="8" t="s">
        <v>1584</v>
      </c>
      <c r="C16" s="8" t="s">
        <v>2093</v>
      </c>
      <c r="D16" s="4"/>
      <c r="E16" s="4"/>
      <c r="F16" s="4"/>
      <c r="G16" s="4"/>
      <c r="H16" s="4"/>
      <c r="I16" s="4"/>
      <c r="J16" s="4" t="s">
        <v>62</v>
      </c>
      <c r="K16" s="4" t="s">
        <v>62</v>
      </c>
      <c r="L16" s="4"/>
      <c r="M16" s="4"/>
      <c r="N16" s="4"/>
      <c r="O16" s="4"/>
    </row>
    <row r="17" spans="3:11" x14ac:dyDescent="0.2">
      <c r="I17" s="21"/>
      <c r="J17" s="21"/>
      <c r="K17" s="21"/>
    </row>
    <row r="18" spans="3:11" x14ac:dyDescent="0.2">
      <c r="C18" s="22"/>
      <c r="I18" s="21"/>
      <c r="J18" s="21"/>
      <c r="K18" s="21"/>
    </row>
    <row r="19" spans="3:11" x14ac:dyDescent="0.2">
      <c r="C19" s="22"/>
      <c r="I19" s="21"/>
      <c r="J19" s="21"/>
      <c r="K19" s="21"/>
    </row>
    <row r="20" spans="3:11" x14ac:dyDescent="0.2">
      <c r="C20" s="22"/>
      <c r="I20" s="21"/>
      <c r="J20" s="21"/>
      <c r="K20" s="21"/>
    </row>
    <row r="21" spans="3:11" x14ac:dyDescent="0.2">
      <c r="C21" s="22"/>
      <c r="I21" s="21"/>
      <c r="J21" s="21"/>
      <c r="K21" s="21"/>
    </row>
    <row r="22" spans="3:11" x14ac:dyDescent="0.2">
      <c r="C22" s="22"/>
      <c r="I22" s="21"/>
      <c r="J22" s="21"/>
      <c r="K22" s="21"/>
    </row>
    <row r="23" spans="3:11" x14ac:dyDescent="0.2">
      <c r="C23" s="22"/>
    </row>
    <row r="24" spans="3:11" x14ac:dyDescent="0.2">
      <c r="C24" s="22"/>
    </row>
    <row r="25" spans="3:11" x14ac:dyDescent="0.2">
      <c r="C25" s="22"/>
    </row>
    <row r="26" spans="3:11" x14ac:dyDescent="0.2">
      <c r="C26" s="22"/>
    </row>
    <row r="27" spans="3:11" x14ac:dyDescent="0.2">
      <c r="C27" s="22"/>
    </row>
    <row r="28" spans="3:11" x14ac:dyDescent="0.2">
      <c r="C28" s="22"/>
    </row>
    <row r="29" spans="3:11" x14ac:dyDescent="0.2">
      <c r="C29" s="22"/>
    </row>
    <row r="30" spans="3:11" x14ac:dyDescent="0.2">
      <c r="C30" s="22" t="str">
        <f t="shared" ref="C30" si="0">UPPER(C17)</f>
        <v/>
      </c>
    </row>
  </sheetData>
  <mergeCells count="1">
    <mergeCell ref="E3:G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O43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61" customWidth="1"/>
    <col min="4" max="4" width="22.33203125" customWidth="1"/>
    <col min="5" max="5" width="10" hidden="1" customWidth="1"/>
    <col min="6" max="7" width="9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SUM(E5:G43)</f>
        <v>104195.69000000003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39</v>
      </c>
      <c r="B5" s="8" t="s">
        <v>1377</v>
      </c>
      <c r="C5" s="8" t="s">
        <v>1586</v>
      </c>
      <c r="D5" s="4"/>
      <c r="E5" s="4">
        <v>263.33</v>
      </c>
      <c r="F5" s="4">
        <v>263.77999999999997</v>
      </c>
      <c r="G5" s="4">
        <v>307.82</v>
      </c>
      <c r="H5" s="11" t="s">
        <v>63</v>
      </c>
      <c r="I5" s="11"/>
      <c r="J5" s="11" t="s">
        <v>63</v>
      </c>
      <c r="K5" s="11"/>
      <c r="L5" s="4"/>
      <c r="M5" s="4"/>
      <c r="N5" s="4"/>
      <c r="O5" s="4"/>
    </row>
    <row r="6" spans="1:15" x14ac:dyDescent="0.2">
      <c r="A6" s="8" t="s">
        <v>39</v>
      </c>
      <c r="B6" s="8" t="s">
        <v>1379</v>
      </c>
      <c r="C6" s="8" t="s">
        <v>1587</v>
      </c>
      <c r="D6" s="4"/>
      <c r="E6" s="4">
        <v>86.71</v>
      </c>
      <c r="F6" s="4">
        <v>54.2</v>
      </c>
      <c r="G6" s="4">
        <v>53.93</v>
      </c>
      <c r="H6" s="11" t="s">
        <v>63</v>
      </c>
      <c r="I6" s="11"/>
      <c r="J6" s="11" t="s">
        <v>63</v>
      </c>
      <c r="K6" s="11"/>
      <c r="L6" s="4"/>
      <c r="M6" s="4"/>
      <c r="N6" s="4"/>
      <c r="O6" s="4"/>
    </row>
    <row r="7" spans="1:15" x14ac:dyDescent="0.2">
      <c r="A7" s="8" t="s">
        <v>39</v>
      </c>
      <c r="B7" s="8" t="s">
        <v>1381</v>
      </c>
      <c r="C7" s="8" t="s">
        <v>1588</v>
      </c>
      <c r="D7" s="4"/>
      <c r="E7" s="4">
        <v>46.45</v>
      </c>
      <c r="F7" s="4">
        <v>45.49</v>
      </c>
      <c r="G7" s="4">
        <v>44.99</v>
      </c>
      <c r="H7" s="11"/>
      <c r="I7" s="11"/>
      <c r="J7" s="11" t="s">
        <v>64</v>
      </c>
      <c r="K7" s="11" t="s">
        <v>64</v>
      </c>
      <c r="L7" s="4"/>
      <c r="M7" s="4"/>
      <c r="N7" s="4"/>
      <c r="O7" s="4"/>
    </row>
    <row r="8" spans="1:15" x14ac:dyDescent="0.2">
      <c r="A8" s="8" t="s">
        <v>39</v>
      </c>
      <c r="B8" s="8" t="s">
        <v>1571</v>
      </c>
      <c r="C8" s="8" t="s">
        <v>1589</v>
      </c>
      <c r="D8" s="4"/>
      <c r="E8" s="4">
        <v>82.11</v>
      </c>
      <c r="F8" s="4">
        <v>114.15</v>
      </c>
      <c r="G8" s="4">
        <v>86.92</v>
      </c>
      <c r="H8" s="11" t="s">
        <v>1998</v>
      </c>
      <c r="I8" s="11" t="s">
        <v>1998</v>
      </c>
      <c r="J8" s="11" t="s">
        <v>1998</v>
      </c>
      <c r="K8" s="11" t="s">
        <v>1998</v>
      </c>
      <c r="L8" s="4"/>
      <c r="M8" s="4"/>
      <c r="N8" s="4"/>
      <c r="O8" s="4"/>
    </row>
    <row r="9" spans="1:15" x14ac:dyDescent="0.2">
      <c r="A9" s="8" t="s">
        <v>39</v>
      </c>
      <c r="B9" s="8" t="s">
        <v>1575</v>
      </c>
      <c r="C9" s="8" t="s">
        <v>1590</v>
      </c>
      <c r="D9" s="4"/>
      <c r="E9" s="4">
        <v>60.94</v>
      </c>
      <c r="F9" s="4">
        <v>61.53</v>
      </c>
      <c r="G9" s="4">
        <v>64.959999999999994</v>
      </c>
      <c r="H9" s="11" t="s">
        <v>1998</v>
      </c>
      <c r="I9" s="11" t="s">
        <v>1998</v>
      </c>
      <c r="J9" s="11" t="s">
        <v>1998</v>
      </c>
      <c r="K9" s="11" t="s">
        <v>1998</v>
      </c>
      <c r="L9" s="4"/>
      <c r="M9" s="4"/>
      <c r="N9" s="4"/>
      <c r="O9" s="4"/>
    </row>
    <row r="10" spans="1:15" x14ac:dyDescent="0.2">
      <c r="A10" s="8" t="s">
        <v>39</v>
      </c>
      <c r="B10" s="8" t="s">
        <v>1387</v>
      </c>
      <c r="C10" s="8" t="s">
        <v>1591</v>
      </c>
      <c r="D10" s="4"/>
      <c r="E10" s="4">
        <v>45.78</v>
      </c>
      <c r="F10" s="4">
        <v>46.11</v>
      </c>
      <c r="G10" s="4">
        <v>46.94</v>
      </c>
      <c r="H10" s="11" t="s">
        <v>1998</v>
      </c>
      <c r="I10" s="11" t="s">
        <v>1998</v>
      </c>
      <c r="J10" s="11" t="s">
        <v>1998</v>
      </c>
      <c r="K10" s="11" t="s">
        <v>1998</v>
      </c>
      <c r="L10" s="4"/>
      <c r="M10" s="4"/>
      <c r="N10" s="4"/>
      <c r="O10" s="4"/>
    </row>
    <row r="11" spans="1:15" x14ac:dyDescent="0.2">
      <c r="A11" s="8" t="s">
        <v>39</v>
      </c>
      <c r="B11" s="8" t="s">
        <v>1389</v>
      </c>
      <c r="C11" s="8" t="s">
        <v>1592</v>
      </c>
      <c r="D11" s="4"/>
      <c r="E11" s="4">
        <v>60</v>
      </c>
      <c r="F11" s="4">
        <v>61.12</v>
      </c>
      <c r="G11" s="4">
        <v>94.82</v>
      </c>
      <c r="H11" s="11" t="s">
        <v>1998</v>
      </c>
      <c r="I11" s="11" t="s">
        <v>1998</v>
      </c>
      <c r="J11" s="11" t="s">
        <v>1998</v>
      </c>
      <c r="K11" s="11" t="s">
        <v>1998</v>
      </c>
      <c r="L11" s="4"/>
      <c r="M11" s="4"/>
      <c r="N11" s="4"/>
      <c r="O11" s="4"/>
    </row>
    <row r="12" spans="1:15" x14ac:dyDescent="0.2">
      <c r="A12" s="8" t="s">
        <v>39</v>
      </c>
      <c r="B12" s="8" t="s">
        <v>1391</v>
      </c>
      <c r="C12" s="8" t="s">
        <v>1593</v>
      </c>
      <c r="D12" s="4"/>
      <c r="E12" s="4">
        <v>71.650000000000006</v>
      </c>
      <c r="F12" s="4">
        <v>67.89</v>
      </c>
      <c r="G12" s="4">
        <v>68.8</v>
      </c>
      <c r="H12" s="11" t="s">
        <v>1998</v>
      </c>
      <c r="I12" s="11" t="s">
        <v>1998</v>
      </c>
      <c r="J12" s="11" t="s">
        <v>1998</v>
      </c>
      <c r="K12" s="11" t="s">
        <v>1998</v>
      </c>
      <c r="L12" s="4"/>
      <c r="M12" s="4"/>
      <c r="N12" s="4"/>
      <c r="O12" s="4"/>
    </row>
    <row r="13" spans="1:15" x14ac:dyDescent="0.2">
      <c r="A13" s="8" t="s">
        <v>39</v>
      </c>
      <c r="B13" s="8" t="s">
        <v>1393</v>
      </c>
      <c r="C13" s="8" t="s">
        <v>1594</v>
      </c>
      <c r="D13" s="4"/>
      <c r="E13" s="4">
        <v>76.099999999999994</v>
      </c>
      <c r="F13" s="4">
        <v>39.21</v>
      </c>
      <c r="G13" s="4">
        <v>39.54</v>
      </c>
      <c r="H13" s="11" t="s">
        <v>1998</v>
      </c>
      <c r="I13" s="11" t="s">
        <v>1998</v>
      </c>
      <c r="J13" s="11" t="s">
        <v>1998</v>
      </c>
      <c r="K13" s="11" t="s">
        <v>1998</v>
      </c>
      <c r="L13" s="4"/>
      <c r="M13" s="4"/>
      <c r="N13" s="4"/>
      <c r="O13" s="4"/>
    </row>
    <row r="14" spans="1:15" x14ac:dyDescent="0.2">
      <c r="A14" s="8" t="s">
        <v>39</v>
      </c>
      <c r="B14" s="8" t="s">
        <v>1595</v>
      </c>
      <c r="C14" s="8" t="s">
        <v>1596</v>
      </c>
      <c r="D14" s="4"/>
      <c r="E14" s="4">
        <v>50.76</v>
      </c>
      <c r="F14" s="4">
        <v>88.11</v>
      </c>
      <c r="G14" s="4">
        <v>49.03</v>
      </c>
      <c r="H14" s="11" t="s">
        <v>1998</v>
      </c>
      <c r="I14" s="11" t="s">
        <v>1998</v>
      </c>
      <c r="J14" s="11" t="s">
        <v>1998</v>
      </c>
      <c r="K14" s="11" t="s">
        <v>1998</v>
      </c>
      <c r="L14" s="4"/>
      <c r="M14" s="4"/>
      <c r="N14" s="4"/>
      <c r="O14" s="4"/>
    </row>
    <row r="15" spans="1:15" x14ac:dyDescent="0.2">
      <c r="A15" s="8" t="s">
        <v>39</v>
      </c>
      <c r="B15" s="8" t="s">
        <v>1597</v>
      </c>
      <c r="C15" s="8" t="s">
        <v>1598</v>
      </c>
      <c r="D15" s="4"/>
      <c r="E15" s="4">
        <v>49.25</v>
      </c>
      <c r="F15" s="4">
        <v>50.1</v>
      </c>
      <c r="G15" s="4">
        <v>48.18</v>
      </c>
      <c r="H15" s="11" t="s">
        <v>1998</v>
      </c>
      <c r="I15" s="11" t="s">
        <v>1998</v>
      </c>
      <c r="J15" s="11" t="s">
        <v>1998</v>
      </c>
      <c r="K15" s="11" t="s">
        <v>1998</v>
      </c>
      <c r="L15" s="4"/>
      <c r="M15" s="4"/>
      <c r="N15" s="4"/>
      <c r="O15" s="4"/>
    </row>
    <row r="16" spans="1:15" x14ac:dyDescent="0.2">
      <c r="A16" s="8" t="s">
        <v>39</v>
      </c>
      <c r="B16" s="8" t="s">
        <v>1599</v>
      </c>
      <c r="C16" s="8" t="s">
        <v>1600</v>
      </c>
      <c r="D16" s="4"/>
      <c r="E16" s="4">
        <v>51.4</v>
      </c>
      <c r="F16" s="4">
        <v>50.86</v>
      </c>
      <c r="G16" s="4">
        <v>51.37</v>
      </c>
      <c r="H16" s="11" t="s">
        <v>1998</v>
      </c>
      <c r="I16" s="11" t="s">
        <v>1998</v>
      </c>
      <c r="J16" s="11" t="s">
        <v>1998</v>
      </c>
      <c r="K16" s="11" t="s">
        <v>1998</v>
      </c>
      <c r="L16" s="4"/>
      <c r="M16" s="4"/>
      <c r="N16" s="4"/>
      <c r="O16" s="4"/>
    </row>
    <row r="17" spans="1:15" x14ac:dyDescent="0.2">
      <c r="A17" s="8" t="s">
        <v>39</v>
      </c>
      <c r="B17" s="8" t="s">
        <v>1601</v>
      </c>
      <c r="C17" s="8" t="s">
        <v>1602</v>
      </c>
      <c r="D17" s="4"/>
      <c r="E17" s="4">
        <v>50.56</v>
      </c>
      <c r="F17" s="4">
        <v>50.63</v>
      </c>
      <c r="G17" s="4">
        <v>51.9</v>
      </c>
      <c r="H17" s="11" t="s">
        <v>1998</v>
      </c>
      <c r="I17" s="11" t="s">
        <v>1998</v>
      </c>
      <c r="J17" s="11" t="s">
        <v>1998</v>
      </c>
      <c r="K17" s="11" t="s">
        <v>1998</v>
      </c>
      <c r="L17" s="4"/>
      <c r="M17" s="4"/>
      <c r="N17" s="4"/>
      <c r="O17" s="4"/>
    </row>
    <row r="18" spans="1:15" x14ac:dyDescent="0.2">
      <c r="A18" s="8" t="s">
        <v>39</v>
      </c>
      <c r="B18" s="8" t="s">
        <v>1603</v>
      </c>
      <c r="C18" s="8" t="s">
        <v>1604</v>
      </c>
      <c r="D18" s="4"/>
      <c r="E18" s="4">
        <v>65.22</v>
      </c>
      <c r="F18" s="4">
        <v>64.88</v>
      </c>
      <c r="G18" s="4">
        <v>97.08</v>
      </c>
      <c r="H18" s="11" t="s">
        <v>1998</v>
      </c>
      <c r="I18" s="11" t="s">
        <v>1998</v>
      </c>
      <c r="J18" s="11" t="s">
        <v>1998</v>
      </c>
      <c r="K18" s="11" t="s">
        <v>1998</v>
      </c>
      <c r="L18" s="4"/>
      <c r="M18" s="4"/>
      <c r="N18" s="4"/>
      <c r="O18" s="4"/>
    </row>
    <row r="19" spans="1:15" x14ac:dyDescent="0.2">
      <c r="A19" s="8" t="s">
        <v>39</v>
      </c>
      <c r="B19" s="8" t="s">
        <v>1605</v>
      </c>
      <c r="C19" s="8" t="s">
        <v>1606</v>
      </c>
      <c r="D19" s="4"/>
      <c r="E19" s="4">
        <v>139.41999999999999</v>
      </c>
      <c r="F19" s="4">
        <v>107.43</v>
      </c>
      <c r="G19" s="4">
        <v>107.94</v>
      </c>
      <c r="H19" s="11" t="s">
        <v>1998</v>
      </c>
      <c r="I19" s="11" t="s">
        <v>1998</v>
      </c>
      <c r="J19" s="11" t="s">
        <v>1998</v>
      </c>
      <c r="K19" s="11" t="s">
        <v>1998</v>
      </c>
      <c r="L19" s="4"/>
      <c r="M19" s="4"/>
      <c r="N19" s="4"/>
      <c r="O19" s="4"/>
    </row>
    <row r="20" spans="1:15" x14ac:dyDescent="0.2">
      <c r="A20" s="8" t="s">
        <v>39</v>
      </c>
      <c r="B20" s="8" t="s">
        <v>1607</v>
      </c>
      <c r="C20" s="8" t="s">
        <v>1608</v>
      </c>
      <c r="D20" s="4"/>
      <c r="E20" s="4">
        <v>106.99</v>
      </c>
      <c r="F20" s="4">
        <v>138.24</v>
      </c>
      <c r="G20" s="4">
        <v>106.59</v>
      </c>
      <c r="H20" s="11" t="s">
        <v>1998</v>
      </c>
      <c r="I20" s="11" t="s">
        <v>1998</v>
      </c>
      <c r="J20" s="11" t="s">
        <v>1998</v>
      </c>
      <c r="K20" s="11" t="s">
        <v>1998</v>
      </c>
      <c r="L20" s="4"/>
      <c r="M20" s="4"/>
      <c r="N20" s="4"/>
      <c r="O20" s="4"/>
    </row>
    <row r="21" spans="1:15" x14ac:dyDescent="0.2">
      <c r="A21" s="8" t="s">
        <v>39</v>
      </c>
      <c r="B21" s="8" t="s">
        <v>1609</v>
      </c>
      <c r="C21" s="8" t="s">
        <v>1610</v>
      </c>
      <c r="D21" s="4"/>
      <c r="E21" s="4">
        <v>35.72</v>
      </c>
      <c r="F21" s="4">
        <v>36.25</v>
      </c>
      <c r="G21" s="4">
        <v>35.64</v>
      </c>
      <c r="H21" s="11"/>
      <c r="I21" s="11"/>
      <c r="J21" s="11"/>
      <c r="K21" s="11" t="s">
        <v>64</v>
      </c>
      <c r="L21" s="4"/>
      <c r="M21" s="4"/>
      <c r="N21" s="4"/>
      <c r="O21" s="4"/>
    </row>
    <row r="22" spans="1:15" x14ac:dyDescent="0.2">
      <c r="A22" s="8" t="s">
        <v>39</v>
      </c>
      <c r="B22" s="8" t="s">
        <v>1611</v>
      </c>
      <c r="C22" s="8" t="s">
        <v>1612</v>
      </c>
      <c r="D22" s="4"/>
      <c r="E22" s="4">
        <v>40.479999999999997</v>
      </c>
      <c r="F22" s="4">
        <v>40.54</v>
      </c>
      <c r="G22" s="4">
        <v>40.54</v>
      </c>
      <c r="H22" s="11"/>
      <c r="I22" s="11"/>
      <c r="J22" s="11"/>
      <c r="K22" s="11" t="s">
        <v>64</v>
      </c>
      <c r="L22" s="4"/>
      <c r="M22" s="4"/>
      <c r="N22" s="4"/>
      <c r="O22" s="4"/>
    </row>
    <row r="23" spans="1:15" x14ac:dyDescent="0.2">
      <c r="A23" s="8" t="s">
        <v>39</v>
      </c>
      <c r="B23" s="8" t="s">
        <v>1613</v>
      </c>
      <c r="C23" s="8" t="s">
        <v>1614</v>
      </c>
      <c r="D23" s="4"/>
      <c r="E23" s="4">
        <v>40.97</v>
      </c>
      <c r="F23" s="4">
        <v>40.47</v>
      </c>
      <c r="G23" s="4">
        <v>40.9</v>
      </c>
      <c r="H23" s="11"/>
      <c r="I23" s="11"/>
      <c r="J23" s="11"/>
      <c r="K23" s="11" t="s">
        <v>64</v>
      </c>
      <c r="L23" s="4"/>
      <c r="M23" s="4"/>
      <c r="N23" s="4"/>
      <c r="O23" s="4"/>
    </row>
    <row r="24" spans="1:15" x14ac:dyDescent="0.2">
      <c r="A24" s="8" t="s">
        <v>39</v>
      </c>
      <c r="B24" s="8" t="s">
        <v>1615</v>
      </c>
      <c r="C24" s="8" t="s">
        <v>1616</v>
      </c>
      <c r="D24" s="4"/>
      <c r="E24" s="4">
        <v>82.44</v>
      </c>
      <c r="F24" s="4">
        <v>82.68</v>
      </c>
      <c r="G24" s="4">
        <v>84.19</v>
      </c>
      <c r="H24" s="11"/>
      <c r="I24" s="11"/>
      <c r="J24" s="11"/>
      <c r="K24" s="11" t="s">
        <v>64</v>
      </c>
      <c r="L24" s="4"/>
      <c r="M24" s="4"/>
      <c r="N24" s="4"/>
      <c r="O24" s="4"/>
    </row>
    <row r="25" spans="1:15" x14ac:dyDescent="0.2">
      <c r="A25" s="8" t="s">
        <v>39</v>
      </c>
      <c r="B25" s="8" t="s">
        <v>1617</v>
      </c>
      <c r="C25" s="8" t="s">
        <v>1618</v>
      </c>
      <c r="D25" s="4"/>
      <c r="E25" s="4">
        <v>107.6</v>
      </c>
      <c r="F25" s="4">
        <v>108.19</v>
      </c>
      <c r="G25" s="4">
        <v>138.72</v>
      </c>
      <c r="H25" s="11"/>
      <c r="I25" s="11"/>
      <c r="J25" s="11"/>
      <c r="K25" s="11" t="s">
        <v>64</v>
      </c>
      <c r="L25" s="4"/>
      <c r="M25" s="4"/>
      <c r="N25" s="4"/>
      <c r="O25" s="4"/>
    </row>
    <row r="26" spans="1:15" x14ac:dyDescent="0.2">
      <c r="A26" s="8" t="s">
        <v>39</v>
      </c>
      <c r="B26" s="8" t="s">
        <v>1415</v>
      </c>
      <c r="C26" s="8" t="s">
        <v>1619</v>
      </c>
      <c r="D26" s="4"/>
      <c r="E26" s="4">
        <v>67.36</v>
      </c>
      <c r="F26" s="4">
        <v>68.23</v>
      </c>
      <c r="G26" s="4">
        <v>66.650000000000006</v>
      </c>
      <c r="H26" s="20"/>
      <c r="I26" s="20"/>
      <c r="J26" s="20"/>
      <c r="K26" s="20"/>
      <c r="L26" s="4"/>
      <c r="M26" s="4"/>
      <c r="N26" s="4"/>
      <c r="O26" s="4"/>
    </row>
    <row r="27" spans="1:15" x14ac:dyDescent="0.2">
      <c r="A27" s="8" t="s">
        <v>39</v>
      </c>
      <c r="B27" s="8" t="s">
        <v>1417</v>
      </c>
      <c r="C27" s="8" t="s">
        <v>1620</v>
      </c>
      <c r="D27" s="4"/>
      <c r="E27" s="4">
        <v>97.98</v>
      </c>
      <c r="F27" s="4">
        <v>67.08</v>
      </c>
      <c r="G27" s="4">
        <v>66.78</v>
      </c>
      <c r="H27" s="11" t="s">
        <v>1998</v>
      </c>
      <c r="I27" s="11" t="s">
        <v>1998</v>
      </c>
      <c r="J27" s="11" t="s">
        <v>1998</v>
      </c>
      <c r="K27" s="11" t="s">
        <v>1998</v>
      </c>
      <c r="L27" s="4"/>
      <c r="M27" s="4"/>
      <c r="N27" s="4"/>
      <c r="O27" s="4"/>
    </row>
    <row r="28" spans="1:15" x14ac:dyDescent="0.2">
      <c r="A28" s="8" t="s">
        <v>39</v>
      </c>
      <c r="B28" s="8" t="s">
        <v>1621</v>
      </c>
      <c r="C28" s="8" t="s">
        <v>1622</v>
      </c>
      <c r="D28" s="12" t="s">
        <v>1417</v>
      </c>
      <c r="E28" s="4">
        <v>808.26</v>
      </c>
      <c r="F28" s="4">
        <v>839.94</v>
      </c>
      <c r="G28" s="4">
        <v>815.77</v>
      </c>
      <c r="H28" s="11"/>
      <c r="I28" s="11"/>
      <c r="J28" s="11"/>
      <c r="K28" s="11"/>
      <c r="L28" s="4"/>
      <c r="M28" s="4"/>
      <c r="N28" s="4"/>
      <c r="O28" s="4"/>
    </row>
    <row r="29" spans="1:15" x14ac:dyDescent="0.2">
      <c r="A29" s="8" t="s">
        <v>39</v>
      </c>
      <c r="B29" s="8" t="s">
        <v>1623</v>
      </c>
      <c r="C29" s="8" t="s">
        <v>1624</v>
      </c>
      <c r="D29" s="4"/>
      <c r="E29" s="4">
        <v>136.19999999999999</v>
      </c>
      <c r="F29" s="4">
        <v>103.18</v>
      </c>
      <c r="G29" s="4">
        <v>135.63</v>
      </c>
      <c r="H29" s="11"/>
      <c r="I29" s="11"/>
      <c r="J29" s="11"/>
      <c r="K29" s="11"/>
      <c r="L29" s="4"/>
      <c r="M29" s="4"/>
      <c r="N29" s="4"/>
      <c r="O29" s="4"/>
    </row>
    <row r="30" spans="1:15" x14ac:dyDescent="0.2">
      <c r="A30" s="8" t="s">
        <v>39</v>
      </c>
      <c r="B30" s="8" t="s">
        <v>1625</v>
      </c>
      <c r="C30" s="8" t="s">
        <v>1626</v>
      </c>
      <c r="D30" s="12" t="s">
        <v>1595</v>
      </c>
      <c r="E30" s="4">
        <v>1790.56</v>
      </c>
      <c r="F30" s="4">
        <v>1763.66</v>
      </c>
      <c r="G30" s="4">
        <v>1606.86</v>
      </c>
      <c r="H30" s="16"/>
      <c r="I30" s="16"/>
      <c r="J30" s="11"/>
      <c r="K30" s="11"/>
      <c r="L30" s="4"/>
      <c r="M30" s="4"/>
      <c r="N30" s="4"/>
      <c r="O30" s="4"/>
    </row>
    <row r="31" spans="1:15" x14ac:dyDescent="0.2">
      <c r="A31" s="8" t="s">
        <v>39</v>
      </c>
      <c r="B31" s="8" t="s">
        <v>1627</v>
      </c>
      <c r="C31" s="8" t="s">
        <v>1628</v>
      </c>
      <c r="D31" s="12" t="s">
        <v>1599</v>
      </c>
      <c r="E31" s="4">
        <v>1573.51</v>
      </c>
      <c r="F31" s="4">
        <v>1628.11</v>
      </c>
      <c r="G31" s="4">
        <v>1796.96</v>
      </c>
      <c r="H31" s="16"/>
      <c r="I31" s="16"/>
      <c r="J31" s="11"/>
      <c r="K31" s="11"/>
      <c r="L31" s="4"/>
      <c r="M31" s="4"/>
      <c r="N31" s="4"/>
      <c r="O31" s="4"/>
    </row>
    <row r="32" spans="1:15" x14ac:dyDescent="0.2">
      <c r="A32" s="8" t="s">
        <v>39</v>
      </c>
      <c r="B32" s="8" t="s">
        <v>1629</v>
      </c>
      <c r="C32" s="8" t="s">
        <v>1630</v>
      </c>
      <c r="D32" s="12" t="s">
        <v>1601</v>
      </c>
      <c r="E32" s="4">
        <v>1808.12</v>
      </c>
      <c r="F32" s="4">
        <v>1748.98</v>
      </c>
      <c r="G32" s="4">
        <v>1628.73</v>
      </c>
      <c r="H32" s="16"/>
      <c r="I32" s="16"/>
      <c r="J32" s="11"/>
      <c r="K32" s="11"/>
      <c r="L32" s="4"/>
      <c r="M32" s="4"/>
      <c r="N32" s="4"/>
      <c r="O32" s="4"/>
    </row>
    <row r="33" spans="1:15" x14ac:dyDescent="0.2">
      <c r="A33" s="8" t="s">
        <v>39</v>
      </c>
      <c r="B33" s="8" t="s">
        <v>1631</v>
      </c>
      <c r="C33" s="8" t="s">
        <v>1632</v>
      </c>
      <c r="D33" s="12" t="s">
        <v>1605</v>
      </c>
      <c r="E33" s="4">
        <v>1692.66</v>
      </c>
      <c r="F33" s="4">
        <v>1699.42</v>
      </c>
      <c r="G33" s="4">
        <v>1970.74</v>
      </c>
      <c r="H33" s="16"/>
      <c r="I33" s="16"/>
      <c r="J33" s="11"/>
      <c r="K33" s="11"/>
      <c r="L33" s="4"/>
      <c r="M33" s="4"/>
      <c r="N33" s="4"/>
      <c r="O33" s="4"/>
    </row>
    <row r="34" spans="1:15" x14ac:dyDescent="0.2">
      <c r="A34" s="8" t="s">
        <v>39</v>
      </c>
      <c r="B34" s="8" t="s">
        <v>1633</v>
      </c>
      <c r="C34" s="8" t="s">
        <v>1634</v>
      </c>
      <c r="D34" s="14"/>
      <c r="E34" s="15">
        <v>1925.27</v>
      </c>
      <c r="F34" s="15">
        <v>1839.04</v>
      </c>
      <c r="G34" s="15">
        <v>1981.88</v>
      </c>
      <c r="H34" s="16" t="s">
        <v>62</v>
      </c>
      <c r="I34" s="16" t="s">
        <v>62</v>
      </c>
      <c r="J34" s="16" t="s">
        <v>62</v>
      </c>
      <c r="K34" s="16" t="s">
        <v>62</v>
      </c>
      <c r="L34" s="4"/>
      <c r="M34" s="4"/>
      <c r="N34" s="4"/>
      <c r="O34" s="4"/>
    </row>
    <row r="35" spans="1:15" x14ac:dyDescent="0.2">
      <c r="A35" s="8" t="s">
        <v>39</v>
      </c>
      <c r="B35" s="8" t="s">
        <v>1635</v>
      </c>
      <c r="C35" s="8" t="s">
        <v>1636</v>
      </c>
      <c r="D35" s="4"/>
      <c r="E35" s="4">
        <v>6602.92</v>
      </c>
      <c r="F35" s="4">
        <v>6431.45</v>
      </c>
      <c r="G35" s="4">
        <v>6859.22</v>
      </c>
      <c r="H35" s="11"/>
      <c r="I35" s="11"/>
      <c r="J35" s="11"/>
      <c r="K35" s="11"/>
      <c r="L35" s="4"/>
      <c r="M35" s="4"/>
      <c r="N35" s="4"/>
      <c r="O35" s="4"/>
    </row>
    <row r="36" spans="1:15" x14ac:dyDescent="0.2">
      <c r="A36" s="8" t="s">
        <v>39</v>
      </c>
      <c r="B36" s="8" t="s">
        <v>1635</v>
      </c>
      <c r="C36" s="8" t="s">
        <v>1637</v>
      </c>
      <c r="D36" s="4"/>
      <c r="E36" s="4">
        <v>6678.82</v>
      </c>
      <c r="F36" s="4">
        <v>6477.5</v>
      </c>
      <c r="G36" s="4">
        <v>6868.96</v>
      </c>
      <c r="H36" s="11"/>
      <c r="I36" s="11"/>
      <c r="J36" s="11"/>
      <c r="K36" s="11"/>
      <c r="L36" s="4"/>
      <c r="M36" s="4"/>
      <c r="N36" s="4"/>
      <c r="O36" s="4"/>
    </row>
    <row r="37" spans="1:15" x14ac:dyDescent="0.2">
      <c r="A37" s="8" t="s">
        <v>39</v>
      </c>
      <c r="B37" s="8" t="s">
        <v>1635</v>
      </c>
      <c r="C37" s="8" t="s">
        <v>1638</v>
      </c>
      <c r="D37" s="4"/>
      <c r="E37" s="4">
        <v>6735.49</v>
      </c>
      <c r="F37" s="4">
        <v>6549.18</v>
      </c>
      <c r="G37" s="4">
        <v>6953.45</v>
      </c>
      <c r="H37" s="11"/>
      <c r="I37" s="11"/>
      <c r="J37" s="11"/>
      <c r="K37" s="11"/>
      <c r="L37" s="4"/>
      <c r="M37" s="4"/>
      <c r="N37" s="4"/>
      <c r="O37" s="4"/>
    </row>
    <row r="38" spans="1:15" x14ac:dyDescent="0.2">
      <c r="A38" s="8" t="s">
        <v>39</v>
      </c>
      <c r="B38" s="8" t="s">
        <v>1424</v>
      </c>
      <c r="C38" s="8" t="s">
        <v>1639</v>
      </c>
      <c r="D38" s="4"/>
      <c r="E38" s="4">
        <v>1949.3</v>
      </c>
      <c r="F38" s="4">
        <v>1943.23</v>
      </c>
      <c r="G38" s="4">
        <v>1981.72</v>
      </c>
      <c r="H38" s="11"/>
      <c r="I38" s="11"/>
      <c r="J38" s="11"/>
      <c r="K38" s="11"/>
      <c r="L38" s="4"/>
      <c r="M38" s="4"/>
      <c r="N38" s="4"/>
      <c r="O38" s="4"/>
    </row>
    <row r="39" spans="1:15" x14ac:dyDescent="0.2">
      <c r="A39" s="8" t="s">
        <v>39</v>
      </c>
      <c r="B39" s="8" t="s">
        <v>1426</v>
      </c>
      <c r="C39" s="8" t="s">
        <v>1639</v>
      </c>
      <c r="D39" s="4"/>
      <c r="E39" s="4">
        <v>315.23</v>
      </c>
      <c r="F39" s="4">
        <v>318.58</v>
      </c>
      <c r="G39" s="4">
        <v>285.42</v>
      </c>
      <c r="H39" s="11"/>
      <c r="I39" s="11"/>
      <c r="J39" s="11"/>
      <c r="K39" s="11"/>
      <c r="L39" s="4"/>
      <c r="M39" s="4"/>
      <c r="N39" s="4"/>
      <c r="O39" s="4"/>
    </row>
    <row r="40" spans="1:15" x14ac:dyDescent="0.2">
      <c r="A40" s="8" t="s">
        <v>39</v>
      </c>
      <c r="B40" s="8" t="s">
        <v>1427</v>
      </c>
      <c r="C40" s="8" t="s">
        <v>1639</v>
      </c>
      <c r="D40" s="4"/>
      <c r="E40" s="4">
        <v>315.74</v>
      </c>
      <c r="F40" s="4">
        <v>315.76</v>
      </c>
      <c r="G40" s="4">
        <v>315.61</v>
      </c>
      <c r="H40" s="11"/>
      <c r="I40" s="11"/>
      <c r="J40" s="11"/>
      <c r="K40" s="11"/>
      <c r="L40" s="4"/>
      <c r="M40" s="4"/>
      <c r="N40" s="4"/>
      <c r="O40" s="4"/>
    </row>
    <row r="41" spans="1:15" x14ac:dyDescent="0.2">
      <c r="A41" s="8" t="s">
        <v>39</v>
      </c>
      <c r="B41" s="8" t="s">
        <v>1429</v>
      </c>
      <c r="C41" s="8" t="s">
        <v>1640</v>
      </c>
      <c r="D41" s="4"/>
      <c r="E41" s="4">
        <v>174.07</v>
      </c>
      <c r="F41" s="4">
        <v>173.34</v>
      </c>
      <c r="G41" s="4">
        <v>203.11</v>
      </c>
      <c r="H41" s="11"/>
      <c r="I41" s="11"/>
      <c r="J41" s="11"/>
      <c r="K41" s="11"/>
      <c r="L41" s="4"/>
      <c r="M41" s="4"/>
      <c r="N41" s="4"/>
      <c r="O41" s="4"/>
    </row>
    <row r="42" spans="1:15" x14ac:dyDescent="0.2">
      <c r="A42" s="8" t="s">
        <v>39</v>
      </c>
      <c r="B42" s="8" t="s">
        <v>1431</v>
      </c>
      <c r="C42" s="8" t="s">
        <v>1640</v>
      </c>
      <c r="D42" s="4"/>
      <c r="E42" s="4">
        <v>206.32</v>
      </c>
      <c r="F42" s="4">
        <v>203.1</v>
      </c>
      <c r="G42" s="4">
        <v>173.42</v>
      </c>
      <c r="H42" s="11"/>
      <c r="I42" s="11"/>
      <c r="J42" s="11"/>
      <c r="K42" s="11"/>
      <c r="L42" s="4"/>
      <c r="M42" s="4"/>
      <c r="N42" s="4"/>
      <c r="O42" s="4"/>
    </row>
    <row r="43" spans="1:15" x14ac:dyDescent="0.2">
      <c r="A43" s="8" t="s">
        <v>39</v>
      </c>
      <c r="B43" s="8" t="s">
        <v>1432</v>
      </c>
      <c r="C43" s="8" t="s">
        <v>1640</v>
      </c>
      <c r="D43" s="4"/>
      <c r="E43" s="4">
        <v>173.49</v>
      </c>
      <c r="F43" s="4">
        <v>173.77</v>
      </c>
      <c r="G43" s="4">
        <v>203.39</v>
      </c>
      <c r="H43" s="11"/>
      <c r="I43" s="11"/>
      <c r="J43" s="11"/>
      <c r="K43" s="11"/>
      <c r="L43" s="4"/>
      <c r="M43" s="4"/>
      <c r="N43" s="4"/>
      <c r="O43" s="4"/>
    </row>
  </sheetData>
  <mergeCells count="1">
    <mergeCell ref="E3:G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O7"/>
  <sheetViews>
    <sheetView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3" width="54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SUM(E5:G7)</f>
        <v>62.129999999999995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40</v>
      </c>
      <c r="B5" s="8" t="s">
        <v>1641</v>
      </c>
      <c r="C5" s="8" t="s">
        <v>1642</v>
      </c>
      <c r="D5" s="4"/>
      <c r="E5" s="4"/>
      <c r="F5" s="4">
        <v>61.05</v>
      </c>
      <c r="G5" s="4"/>
      <c r="H5" s="4" t="s">
        <v>63</v>
      </c>
      <c r="I5" s="4" t="s">
        <v>63</v>
      </c>
      <c r="J5" s="4" t="s">
        <v>63</v>
      </c>
      <c r="K5" s="4" t="s">
        <v>63</v>
      </c>
      <c r="L5" s="4"/>
      <c r="M5" s="4"/>
      <c r="N5" s="4"/>
      <c r="O5" s="4"/>
    </row>
    <row r="6" spans="1:15" x14ac:dyDescent="0.2">
      <c r="A6" s="8" t="s">
        <v>40</v>
      </c>
      <c r="B6" s="8" t="s">
        <v>106</v>
      </c>
      <c r="C6" s="8" t="s">
        <v>1643</v>
      </c>
      <c r="D6" s="4"/>
      <c r="E6" s="4"/>
      <c r="F6" s="4">
        <v>0.33</v>
      </c>
      <c r="G6" s="4"/>
      <c r="H6" s="4" t="s">
        <v>63</v>
      </c>
      <c r="I6" s="4"/>
      <c r="J6" s="4"/>
      <c r="K6" s="4"/>
      <c r="L6" s="4"/>
      <c r="M6" s="4"/>
      <c r="N6" s="4"/>
      <c r="O6" s="4"/>
    </row>
    <row r="7" spans="1:15" x14ac:dyDescent="0.2">
      <c r="A7" s="8" t="s">
        <v>40</v>
      </c>
      <c r="B7" s="8" t="s">
        <v>106</v>
      </c>
      <c r="C7" s="8" t="s">
        <v>1644</v>
      </c>
      <c r="D7" s="4"/>
      <c r="E7" s="4"/>
      <c r="F7" s="4">
        <v>0.75</v>
      </c>
      <c r="G7" s="4"/>
      <c r="H7" s="4"/>
      <c r="I7" s="4" t="s">
        <v>63</v>
      </c>
      <c r="J7" s="4" t="s">
        <v>63</v>
      </c>
      <c r="K7" s="4" t="s">
        <v>63</v>
      </c>
      <c r="L7" s="4"/>
      <c r="M7" s="4"/>
      <c r="N7" s="4"/>
      <c r="O7" s="4"/>
    </row>
  </sheetData>
  <mergeCells count="1">
    <mergeCell ref="E3:G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O6"/>
  <sheetViews>
    <sheetView workbookViewId="0"/>
  </sheetViews>
  <sheetFormatPr baseColWidth="10" defaultColWidth="8.83203125" defaultRowHeight="15" x14ac:dyDescent="0.2"/>
  <cols>
    <col min="1" max="1" width="18" customWidth="1"/>
    <col min="2" max="2" width="22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SUM(E5:G6)</f>
        <v>175.08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41</v>
      </c>
      <c r="B5" s="8" t="s">
        <v>1645</v>
      </c>
      <c r="C5" s="8" t="s">
        <v>1646</v>
      </c>
      <c r="D5" s="4"/>
      <c r="E5" s="4"/>
      <c r="F5" s="4">
        <v>52.15</v>
      </c>
      <c r="G5" s="4"/>
      <c r="H5" s="4" t="s">
        <v>63</v>
      </c>
      <c r="I5" s="4"/>
      <c r="J5" s="4" t="s">
        <v>63</v>
      </c>
      <c r="K5" s="4" t="s">
        <v>63</v>
      </c>
      <c r="L5" s="4"/>
      <c r="M5" s="4"/>
      <c r="N5" s="4"/>
      <c r="O5" s="4"/>
    </row>
    <row r="6" spans="1:15" x14ac:dyDescent="0.2">
      <c r="A6" s="8" t="s">
        <v>41</v>
      </c>
      <c r="B6" s="8" t="s">
        <v>1647</v>
      </c>
      <c r="C6" s="8" t="s">
        <v>1648</v>
      </c>
      <c r="D6" s="4"/>
      <c r="E6" s="4">
        <v>43.81</v>
      </c>
      <c r="F6" s="4">
        <v>35.19</v>
      </c>
      <c r="G6" s="4">
        <v>43.93</v>
      </c>
      <c r="H6" s="4" t="s">
        <v>63</v>
      </c>
      <c r="I6" s="4"/>
      <c r="J6" s="4" t="s">
        <v>63</v>
      </c>
      <c r="K6" s="4" t="s">
        <v>63</v>
      </c>
      <c r="L6" s="4"/>
      <c r="M6" s="4"/>
      <c r="N6" s="4"/>
      <c r="O6" s="4"/>
    </row>
  </sheetData>
  <mergeCells count="1">
    <mergeCell ref="E3:G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O34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SUM(E5:G34)</f>
        <v>3900.8800000000006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42</v>
      </c>
      <c r="B5" s="8" t="s">
        <v>1649</v>
      </c>
      <c r="C5" s="8" t="s">
        <v>1650</v>
      </c>
      <c r="D5" s="4"/>
      <c r="E5" s="4">
        <v>150.82</v>
      </c>
      <c r="F5" s="4">
        <v>107.39</v>
      </c>
      <c r="G5" s="4">
        <v>146.07</v>
      </c>
      <c r="H5" s="4" t="s">
        <v>1999</v>
      </c>
      <c r="I5" s="4" t="s">
        <v>64</v>
      </c>
      <c r="J5" s="4" t="s">
        <v>1999</v>
      </c>
      <c r="K5" s="4" t="s">
        <v>64</v>
      </c>
      <c r="L5" s="4"/>
      <c r="M5" s="4"/>
      <c r="N5" s="4"/>
      <c r="O5" s="4"/>
    </row>
    <row r="6" spans="1:15" x14ac:dyDescent="0.2">
      <c r="A6" s="8" t="s">
        <v>42</v>
      </c>
      <c r="B6" s="8" t="s">
        <v>1651</v>
      </c>
      <c r="C6" s="8" t="s">
        <v>1652</v>
      </c>
      <c r="D6" s="4"/>
      <c r="E6" s="4">
        <v>39.74</v>
      </c>
      <c r="F6" s="4">
        <v>38.83</v>
      </c>
      <c r="G6" s="4">
        <v>38.770000000000003</v>
      </c>
      <c r="H6" s="4" t="s">
        <v>1999</v>
      </c>
      <c r="I6" s="4" t="s">
        <v>62</v>
      </c>
      <c r="J6" s="4" t="s">
        <v>1999</v>
      </c>
      <c r="K6" s="4" t="s">
        <v>1999</v>
      </c>
      <c r="L6" s="4"/>
      <c r="M6" s="4"/>
      <c r="N6" s="4"/>
      <c r="O6" s="4"/>
    </row>
    <row r="7" spans="1:15" x14ac:dyDescent="0.2">
      <c r="A7" s="8" t="s">
        <v>42</v>
      </c>
      <c r="B7" s="8" t="s">
        <v>1653</v>
      </c>
      <c r="C7" s="8" t="s">
        <v>1654</v>
      </c>
      <c r="D7" s="4"/>
      <c r="E7" s="4">
        <v>27.09</v>
      </c>
      <c r="F7" s="4">
        <v>62.9</v>
      </c>
      <c r="G7" s="4">
        <v>26.3</v>
      </c>
      <c r="H7" s="4" t="s">
        <v>1998</v>
      </c>
      <c r="I7" s="4" t="s">
        <v>1998</v>
      </c>
      <c r="J7" s="4" t="s">
        <v>1998</v>
      </c>
      <c r="K7" s="4" t="s">
        <v>1998</v>
      </c>
      <c r="L7" s="4"/>
      <c r="M7" s="4"/>
      <c r="N7" s="4"/>
      <c r="O7" s="4"/>
    </row>
    <row r="8" spans="1:15" x14ac:dyDescent="0.2">
      <c r="A8" s="8" t="s">
        <v>42</v>
      </c>
      <c r="B8" s="8" t="s">
        <v>1655</v>
      </c>
      <c r="C8" s="8" t="s">
        <v>1656</v>
      </c>
      <c r="D8" s="4"/>
      <c r="E8" s="4">
        <v>21.51</v>
      </c>
      <c r="F8" s="4">
        <v>21.44</v>
      </c>
      <c r="G8" s="4">
        <v>21.08</v>
      </c>
      <c r="H8" s="4" t="s">
        <v>1998</v>
      </c>
      <c r="I8" s="4" t="s">
        <v>1998</v>
      </c>
      <c r="J8" s="4" t="s">
        <v>1998</v>
      </c>
      <c r="K8" s="4" t="s">
        <v>1998</v>
      </c>
      <c r="L8" s="4"/>
      <c r="M8" s="4"/>
      <c r="N8" s="4"/>
      <c r="O8" s="4"/>
    </row>
    <row r="9" spans="1:15" x14ac:dyDescent="0.2">
      <c r="A9" s="8" t="s">
        <v>42</v>
      </c>
      <c r="B9" s="8" t="s">
        <v>1657</v>
      </c>
      <c r="C9" s="8" t="s">
        <v>1658</v>
      </c>
      <c r="D9" s="4"/>
      <c r="E9" s="4">
        <v>63.98</v>
      </c>
      <c r="F9" s="4">
        <v>64.03</v>
      </c>
      <c r="G9" s="4">
        <v>63.57</v>
      </c>
      <c r="H9" s="4"/>
      <c r="I9" s="4"/>
      <c r="J9" s="4"/>
      <c r="K9" s="4" t="s">
        <v>62</v>
      </c>
      <c r="L9" s="4"/>
      <c r="M9" s="4"/>
      <c r="N9" s="4"/>
      <c r="O9" s="4"/>
    </row>
    <row r="10" spans="1:15" x14ac:dyDescent="0.2">
      <c r="A10" s="8" t="s">
        <v>42</v>
      </c>
      <c r="B10" s="8" t="s">
        <v>1659</v>
      </c>
      <c r="C10" s="8" t="s">
        <v>1658</v>
      </c>
      <c r="D10" s="4"/>
      <c r="E10" s="4">
        <v>37.19</v>
      </c>
      <c r="F10" s="4">
        <v>36.99</v>
      </c>
      <c r="G10" s="4">
        <v>37.06</v>
      </c>
      <c r="H10" s="4"/>
      <c r="I10" s="4"/>
      <c r="J10" s="4"/>
      <c r="K10" s="4" t="s">
        <v>62</v>
      </c>
      <c r="L10" s="4"/>
      <c r="M10" s="4"/>
      <c r="N10" s="4"/>
      <c r="O10" s="4"/>
    </row>
    <row r="11" spans="1:15" x14ac:dyDescent="0.2">
      <c r="A11" s="8" t="s">
        <v>42</v>
      </c>
      <c r="B11" s="8" t="s">
        <v>1660</v>
      </c>
      <c r="C11" s="8" t="s">
        <v>1661</v>
      </c>
      <c r="D11" s="4"/>
      <c r="E11" s="4">
        <v>56</v>
      </c>
      <c r="F11" s="4">
        <v>56.66</v>
      </c>
      <c r="G11" s="4">
        <v>56.17</v>
      </c>
      <c r="H11" s="4"/>
      <c r="I11" s="4"/>
      <c r="J11" s="4"/>
      <c r="K11" s="4" t="s">
        <v>62</v>
      </c>
      <c r="L11" s="4"/>
      <c r="M11" s="4"/>
      <c r="N11" s="4"/>
      <c r="O11" s="4"/>
    </row>
    <row r="12" spans="1:15" x14ac:dyDescent="0.2">
      <c r="A12" s="8" t="s">
        <v>42</v>
      </c>
      <c r="B12" s="8" t="s">
        <v>1662</v>
      </c>
      <c r="C12" s="8" t="s">
        <v>1661</v>
      </c>
      <c r="D12" s="4"/>
      <c r="E12" s="4">
        <v>37.03</v>
      </c>
      <c r="F12" s="4">
        <v>37.31</v>
      </c>
      <c r="G12" s="4">
        <v>36.85</v>
      </c>
      <c r="H12" s="4"/>
      <c r="I12" s="4"/>
      <c r="J12" s="4"/>
      <c r="K12" s="4" t="s">
        <v>62</v>
      </c>
      <c r="L12" s="4"/>
      <c r="M12" s="4"/>
      <c r="N12" s="4"/>
      <c r="O12" s="4"/>
    </row>
    <row r="13" spans="1:15" x14ac:dyDescent="0.2">
      <c r="A13" s="8" t="s">
        <v>42</v>
      </c>
      <c r="B13" s="8" t="s">
        <v>1663</v>
      </c>
      <c r="C13" s="8" t="s">
        <v>1664</v>
      </c>
      <c r="D13" s="4"/>
      <c r="E13" s="4">
        <v>35.99</v>
      </c>
      <c r="F13" s="4">
        <v>36.33</v>
      </c>
      <c r="G13" s="4">
        <v>36.340000000000003</v>
      </c>
      <c r="H13" s="4"/>
      <c r="I13" s="4"/>
      <c r="J13" s="4"/>
      <c r="K13" s="4" t="s">
        <v>64</v>
      </c>
      <c r="L13" s="4"/>
      <c r="M13" s="4"/>
      <c r="N13" s="4"/>
      <c r="O13" s="4"/>
    </row>
    <row r="14" spans="1:15" x14ac:dyDescent="0.2">
      <c r="A14" s="8" t="s">
        <v>42</v>
      </c>
      <c r="B14" s="8" t="s">
        <v>1665</v>
      </c>
      <c r="C14" s="8" t="s">
        <v>1666</v>
      </c>
      <c r="D14" s="4"/>
      <c r="E14" s="4">
        <v>32.450000000000003</v>
      </c>
      <c r="F14" s="4">
        <v>32.51</v>
      </c>
      <c r="G14" s="4">
        <v>33.520000000000003</v>
      </c>
      <c r="H14" s="4"/>
      <c r="I14" s="4"/>
      <c r="J14" s="4" t="s">
        <v>62</v>
      </c>
      <c r="K14" s="4" t="s">
        <v>62</v>
      </c>
      <c r="L14" s="4"/>
      <c r="M14" s="4"/>
      <c r="N14" s="4"/>
      <c r="O14" s="4"/>
    </row>
    <row r="15" spans="1:15" x14ac:dyDescent="0.2">
      <c r="A15" s="8" t="s">
        <v>42</v>
      </c>
      <c r="B15" s="8" t="s">
        <v>1667</v>
      </c>
      <c r="C15" s="8" t="s">
        <v>1668</v>
      </c>
      <c r="D15" s="4"/>
      <c r="E15" s="4">
        <v>23.25</v>
      </c>
      <c r="F15" s="4">
        <v>26.14</v>
      </c>
      <c r="G15" s="4">
        <v>23.64</v>
      </c>
      <c r="H15" s="4"/>
      <c r="I15" s="4" t="s">
        <v>62</v>
      </c>
      <c r="J15" s="4"/>
      <c r="K15" s="4"/>
      <c r="L15" s="4"/>
      <c r="M15" s="4"/>
      <c r="N15" s="4"/>
      <c r="O15" s="4"/>
    </row>
    <row r="16" spans="1:15" x14ac:dyDescent="0.2">
      <c r="A16" s="8" t="s">
        <v>42</v>
      </c>
      <c r="B16" s="8" t="s">
        <v>1669</v>
      </c>
      <c r="C16" s="8" t="s">
        <v>1670</v>
      </c>
      <c r="D16" s="4"/>
      <c r="E16" s="4">
        <v>20.11</v>
      </c>
      <c r="F16" s="4">
        <v>20.239999999999998</v>
      </c>
      <c r="G16" s="4">
        <v>20.37</v>
      </c>
      <c r="H16" s="4"/>
      <c r="I16" s="4" t="s">
        <v>62</v>
      </c>
      <c r="J16" s="4"/>
      <c r="K16" s="4"/>
      <c r="L16" s="4"/>
      <c r="M16" s="4"/>
      <c r="N16" s="4"/>
      <c r="O16" s="4"/>
    </row>
    <row r="17" spans="1:15" x14ac:dyDescent="0.2">
      <c r="A17" s="8" t="s">
        <v>42</v>
      </c>
      <c r="B17" s="8" t="s">
        <v>1671</v>
      </c>
      <c r="C17" s="8" t="s">
        <v>1672</v>
      </c>
      <c r="D17" s="4"/>
      <c r="E17" s="4">
        <v>17.03</v>
      </c>
      <c r="F17" s="4">
        <v>17.04</v>
      </c>
      <c r="G17" s="4">
        <v>17.11</v>
      </c>
      <c r="H17" s="4"/>
      <c r="I17" s="4" t="s">
        <v>62</v>
      </c>
      <c r="J17" s="4"/>
      <c r="K17" s="4"/>
      <c r="L17" s="4"/>
      <c r="M17" s="4"/>
      <c r="N17" s="4"/>
      <c r="O17" s="4"/>
    </row>
    <row r="18" spans="1:15" x14ac:dyDescent="0.2">
      <c r="A18" s="8" t="s">
        <v>42</v>
      </c>
      <c r="B18" s="8" t="s">
        <v>1673</v>
      </c>
      <c r="C18" s="8" t="s">
        <v>1674</v>
      </c>
      <c r="D18" s="4"/>
      <c r="E18" s="4">
        <v>16.579999999999998</v>
      </c>
      <c r="F18" s="4">
        <v>16.59</v>
      </c>
      <c r="G18" s="4">
        <v>16.61</v>
      </c>
      <c r="H18" s="4"/>
      <c r="I18" s="4" t="s">
        <v>62</v>
      </c>
      <c r="J18" s="4"/>
      <c r="K18" s="4"/>
      <c r="L18" s="4"/>
      <c r="M18" s="4"/>
      <c r="N18" s="4"/>
      <c r="O18" s="4"/>
    </row>
    <row r="19" spans="1:15" x14ac:dyDescent="0.2">
      <c r="A19" s="8" t="s">
        <v>42</v>
      </c>
      <c r="B19" s="8" t="s">
        <v>1675</v>
      </c>
      <c r="C19" s="8" t="s">
        <v>1676</v>
      </c>
      <c r="D19" s="4"/>
      <c r="E19" s="4">
        <v>78.790000000000006</v>
      </c>
      <c r="F19" s="4">
        <v>79.16</v>
      </c>
      <c r="G19" s="4">
        <v>78.87</v>
      </c>
      <c r="H19" s="4"/>
      <c r="I19" s="4" t="s">
        <v>62</v>
      </c>
      <c r="J19" s="4"/>
      <c r="K19" s="4"/>
      <c r="L19" s="4"/>
      <c r="M19" s="4"/>
      <c r="N19" s="4"/>
      <c r="O19" s="4"/>
    </row>
    <row r="20" spans="1:15" x14ac:dyDescent="0.2">
      <c r="A20" s="8" t="s">
        <v>42</v>
      </c>
      <c r="B20" s="8" t="s">
        <v>1677</v>
      </c>
      <c r="C20" s="8" t="s">
        <v>1678</v>
      </c>
      <c r="D20" s="4"/>
      <c r="E20" s="4">
        <v>42.2</v>
      </c>
      <c r="F20" s="4">
        <v>43.26</v>
      </c>
      <c r="G20" s="4">
        <v>42.98</v>
      </c>
      <c r="H20" s="4"/>
      <c r="I20" s="4" t="s">
        <v>62</v>
      </c>
      <c r="J20" s="4"/>
      <c r="K20" s="4"/>
      <c r="L20" s="4"/>
      <c r="M20" s="4"/>
      <c r="N20" s="4"/>
      <c r="O20" s="4"/>
    </row>
    <row r="21" spans="1:15" x14ac:dyDescent="0.2">
      <c r="A21" s="8" t="s">
        <v>42</v>
      </c>
      <c r="B21" s="8" t="s">
        <v>1679</v>
      </c>
      <c r="C21" s="8" t="s">
        <v>1680</v>
      </c>
      <c r="D21" s="4"/>
      <c r="E21" s="4">
        <v>18.05</v>
      </c>
      <c r="F21" s="4">
        <v>18.04</v>
      </c>
      <c r="G21" s="4">
        <v>18.03</v>
      </c>
      <c r="H21" s="4"/>
      <c r="I21" s="4" t="s">
        <v>62</v>
      </c>
      <c r="J21" s="4"/>
      <c r="K21" s="4"/>
      <c r="L21" s="4"/>
      <c r="M21" s="4"/>
      <c r="N21" s="4"/>
      <c r="O21" s="4"/>
    </row>
    <row r="22" spans="1:15" x14ac:dyDescent="0.2">
      <c r="A22" s="8" t="s">
        <v>42</v>
      </c>
      <c r="B22" s="8" t="s">
        <v>1681</v>
      </c>
      <c r="C22" s="8" t="s">
        <v>1682</v>
      </c>
      <c r="D22" s="4"/>
      <c r="E22" s="4">
        <v>21.3</v>
      </c>
      <c r="F22" s="4">
        <v>21.01</v>
      </c>
      <c r="G22" s="4">
        <v>20.95</v>
      </c>
      <c r="H22" s="4"/>
      <c r="I22" s="4" t="s">
        <v>62</v>
      </c>
      <c r="J22" s="4"/>
      <c r="K22" s="4"/>
      <c r="L22" s="4"/>
      <c r="M22" s="4"/>
      <c r="N22" s="4"/>
      <c r="O22" s="4"/>
    </row>
    <row r="23" spans="1:15" x14ac:dyDescent="0.2">
      <c r="A23" s="8" t="s">
        <v>42</v>
      </c>
      <c r="B23" s="8" t="s">
        <v>1683</v>
      </c>
      <c r="C23" s="8" t="s">
        <v>1684</v>
      </c>
      <c r="D23" s="4"/>
      <c r="E23" s="4">
        <v>21.16</v>
      </c>
      <c r="F23" s="4">
        <v>20.86</v>
      </c>
      <c r="G23" s="4">
        <v>20.8</v>
      </c>
      <c r="H23" s="4"/>
      <c r="I23" s="4" t="s">
        <v>62</v>
      </c>
      <c r="J23" s="4"/>
      <c r="K23" s="4"/>
      <c r="L23" s="4"/>
      <c r="M23" s="4"/>
      <c r="N23" s="4"/>
      <c r="O23" s="4"/>
    </row>
    <row r="24" spans="1:15" x14ac:dyDescent="0.2">
      <c r="A24" s="8" t="s">
        <v>42</v>
      </c>
      <c r="B24" s="8" t="s">
        <v>1685</v>
      </c>
      <c r="C24" s="8" t="s">
        <v>1686</v>
      </c>
      <c r="D24" s="4"/>
      <c r="E24" s="4">
        <v>19.989999999999998</v>
      </c>
      <c r="F24" s="4">
        <v>19.579999999999998</v>
      </c>
      <c r="G24" s="4">
        <v>19.63</v>
      </c>
      <c r="H24" s="4"/>
      <c r="I24" s="4" t="s">
        <v>62</v>
      </c>
      <c r="J24" s="4"/>
      <c r="K24" s="4"/>
      <c r="L24" s="4"/>
      <c r="M24" s="4"/>
      <c r="N24" s="4"/>
      <c r="O24" s="4"/>
    </row>
    <row r="25" spans="1:15" x14ac:dyDescent="0.2">
      <c r="A25" s="8" t="s">
        <v>42</v>
      </c>
      <c r="B25" s="8" t="s">
        <v>1687</v>
      </c>
      <c r="C25" s="8" t="s">
        <v>1688</v>
      </c>
      <c r="D25" s="4"/>
      <c r="E25" s="4">
        <v>22.07</v>
      </c>
      <c r="F25" s="4">
        <v>22.05</v>
      </c>
      <c r="G25" s="4">
        <v>24.32</v>
      </c>
      <c r="H25" s="4"/>
      <c r="I25" s="4"/>
      <c r="J25" s="4"/>
      <c r="K25" s="4" t="s">
        <v>62</v>
      </c>
      <c r="L25" s="4"/>
      <c r="M25" s="4"/>
      <c r="N25" s="4"/>
      <c r="O25" s="4"/>
    </row>
    <row r="26" spans="1:15" x14ac:dyDescent="0.2">
      <c r="A26" s="8" t="s">
        <v>42</v>
      </c>
      <c r="B26" s="8" t="s">
        <v>1689</v>
      </c>
      <c r="C26" s="8" t="s">
        <v>1690</v>
      </c>
      <c r="D26" s="4"/>
      <c r="E26" s="4">
        <v>65.37</v>
      </c>
      <c r="F26" s="4">
        <v>37.49</v>
      </c>
      <c r="G26" s="4">
        <v>71.7</v>
      </c>
      <c r="H26" s="4"/>
      <c r="I26" s="4"/>
      <c r="J26" s="4"/>
      <c r="K26" s="4" t="s">
        <v>62</v>
      </c>
      <c r="L26" s="4"/>
      <c r="M26" s="4"/>
      <c r="N26" s="4"/>
      <c r="O26" s="4"/>
    </row>
    <row r="27" spans="1:15" x14ac:dyDescent="0.2">
      <c r="A27" s="8" t="s">
        <v>42</v>
      </c>
      <c r="B27" s="8" t="s">
        <v>1691</v>
      </c>
      <c r="C27" s="8" t="s">
        <v>1692</v>
      </c>
      <c r="D27" s="4"/>
      <c r="E27" s="4">
        <v>40.92</v>
      </c>
      <c r="F27" s="4">
        <v>71.099999999999994</v>
      </c>
      <c r="G27" s="4">
        <v>37.83</v>
      </c>
      <c r="H27" s="4"/>
      <c r="I27" s="4"/>
      <c r="J27" s="4"/>
      <c r="K27" s="4" t="s">
        <v>62</v>
      </c>
      <c r="L27" s="4"/>
      <c r="M27" s="4"/>
      <c r="N27" s="4"/>
      <c r="O27" s="4"/>
    </row>
    <row r="28" spans="1:15" x14ac:dyDescent="0.2">
      <c r="A28" s="8" t="s">
        <v>42</v>
      </c>
      <c r="B28" s="8" t="s">
        <v>1693</v>
      </c>
      <c r="C28" s="8" t="s">
        <v>1694</v>
      </c>
      <c r="D28" s="4"/>
      <c r="E28" s="4">
        <v>22.34</v>
      </c>
      <c r="F28" s="4">
        <v>22.51</v>
      </c>
      <c r="G28" s="4">
        <v>22.26</v>
      </c>
      <c r="H28" s="4"/>
      <c r="I28" s="4"/>
      <c r="J28" s="4"/>
      <c r="K28" s="4" t="s">
        <v>62</v>
      </c>
      <c r="L28" s="4"/>
      <c r="M28" s="4"/>
      <c r="N28" s="4"/>
      <c r="O28" s="4"/>
    </row>
    <row r="29" spans="1:15" x14ac:dyDescent="0.2">
      <c r="A29" s="8" t="s">
        <v>42</v>
      </c>
      <c r="B29" s="8" t="s">
        <v>1695</v>
      </c>
      <c r="C29" s="8" t="s">
        <v>1696</v>
      </c>
      <c r="D29" s="4"/>
      <c r="E29" s="4">
        <v>29.4</v>
      </c>
      <c r="F29" s="4">
        <v>29.32</v>
      </c>
      <c r="G29" s="4">
        <v>29.45</v>
      </c>
      <c r="H29" s="4"/>
      <c r="I29" s="4"/>
      <c r="J29" s="4"/>
      <c r="K29" s="4" t="s">
        <v>62</v>
      </c>
      <c r="L29" s="4"/>
      <c r="M29" s="4"/>
      <c r="N29" s="4"/>
      <c r="O29" s="4"/>
    </row>
    <row r="30" spans="1:15" x14ac:dyDescent="0.2">
      <c r="A30" s="8" t="s">
        <v>42</v>
      </c>
      <c r="B30" s="8" t="s">
        <v>1697</v>
      </c>
      <c r="C30" s="8" t="s">
        <v>1698</v>
      </c>
      <c r="D30" s="4"/>
      <c r="E30" s="4">
        <v>29.13</v>
      </c>
      <c r="F30" s="4">
        <v>29.03</v>
      </c>
      <c r="G30" s="4">
        <v>29.42</v>
      </c>
      <c r="H30" s="4"/>
      <c r="I30" s="4"/>
      <c r="J30" s="4"/>
      <c r="K30" s="4" t="s">
        <v>62</v>
      </c>
      <c r="L30" s="4"/>
      <c r="M30" s="4"/>
      <c r="N30" s="4"/>
      <c r="O30" s="4"/>
    </row>
    <row r="31" spans="1:15" x14ac:dyDescent="0.2">
      <c r="A31" s="8" t="s">
        <v>42</v>
      </c>
      <c r="B31" s="8" t="s">
        <v>1699</v>
      </c>
      <c r="C31" s="8" t="s">
        <v>1700</v>
      </c>
      <c r="D31" s="4"/>
      <c r="E31" s="4">
        <v>52.87</v>
      </c>
      <c r="F31" s="4">
        <v>52.75</v>
      </c>
      <c r="G31" s="4">
        <v>53.83</v>
      </c>
      <c r="H31" s="4"/>
      <c r="I31" s="4"/>
      <c r="J31" s="4"/>
      <c r="K31" s="4" t="s">
        <v>62</v>
      </c>
      <c r="L31" s="4"/>
      <c r="M31" s="4"/>
      <c r="N31" s="4"/>
      <c r="O31" s="4"/>
    </row>
    <row r="32" spans="1:15" x14ac:dyDescent="0.2">
      <c r="A32" s="8" t="s">
        <v>42</v>
      </c>
      <c r="B32" s="8" t="s">
        <v>1701</v>
      </c>
      <c r="C32" s="8" t="s">
        <v>1702</v>
      </c>
      <c r="D32" s="4"/>
      <c r="E32" s="4">
        <v>52.37</v>
      </c>
      <c r="F32" s="4">
        <v>52.38</v>
      </c>
      <c r="G32" s="4">
        <v>52.67</v>
      </c>
      <c r="H32" s="4"/>
      <c r="I32" s="4"/>
      <c r="J32" s="4"/>
      <c r="K32" s="4" t="s">
        <v>62</v>
      </c>
      <c r="L32" s="4"/>
      <c r="M32" s="4"/>
      <c r="N32" s="4"/>
      <c r="O32" s="4"/>
    </row>
    <row r="33" spans="1:15" x14ac:dyDescent="0.2">
      <c r="A33" s="8" t="s">
        <v>42</v>
      </c>
      <c r="B33" s="8" t="s">
        <v>1703</v>
      </c>
      <c r="C33" s="8" t="s">
        <v>1704</v>
      </c>
      <c r="D33" s="4"/>
      <c r="E33" s="4">
        <v>26.73</v>
      </c>
      <c r="F33" s="4">
        <v>27.43</v>
      </c>
      <c r="G33" s="4">
        <v>26.9</v>
      </c>
      <c r="H33" s="4" t="s">
        <v>62</v>
      </c>
      <c r="I33" s="4" t="s">
        <v>62</v>
      </c>
      <c r="J33" s="4" t="s">
        <v>62</v>
      </c>
      <c r="K33" s="4" t="s">
        <v>62</v>
      </c>
      <c r="L33" s="4"/>
      <c r="M33" s="4"/>
      <c r="N33" s="4"/>
      <c r="O33" s="4"/>
    </row>
    <row r="34" spans="1:15" x14ac:dyDescent="0.2">
      <c r="A34" s="8" t="s">
        <v>42</v>
      </c>
      <c r="B34" s="8" t="s">
        <v>1705</v>
      </c>
      <c r="C34" s="8" t="s">
        <v>1706</v>
      </c>
      <c r="D34" s="4"/>
      <c r="E34" s="4">
        <v>111.6</v>
      </c>
      <c r="F34" s="4">
        <v>313.95999999999998</v>
      </c>
      <c r="G34" s="4">
        <v>110.39</v>
      </c>
      <c r="H34" s="4" t="s">
        <v>62</v>
      </c>
      <c r="I34" s="4" t="s">
        <v>62</v>
      </c>
      <c r="J34" s="4" t="s">
        <v>62</v>
      </c>
      <c r="K34" s="4" t="s">
        <v>62</v>
      </c>
      <c r="L34" s="4"/>
      <c r="M34" s="4"/>
      <c r="N34" s="4"/>
      <c r="O34" s="4"/>
    </row>
  </sheetData>
  <mergeCells count="1">
    <mergeCell ref="E3:G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O150"/>
  <sheetViews>
    <sheetView topLeftCell="A4" zoomScale="150" workbookViewId="0">
      <selection activeCell="C38" sqref="C38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63" customWidth="1"/>
    <col min="4" max="4" width="13" hidden="1" customWidth="1"/>
    <col min="5" max="5" width="10" hidden="1" customWidth="1"/>
    <col min="6" max="7" width="9" hidden="1" customWidth="1"/>
    <col min="8" max="11" width="10" customWidth="1"/>
    <col min="12" max="13" width="8" customWidth="1"/>
    <col min="14" max="14" width="10" customWidth="1"/>
    <col min="15" max="15" width="9" customWidth="1"/>
  </cols>
  <sheetData>
    <row r="2" spans="1:15" ht="21" x14ac:dyDescent="0.2">
      <c r="A2" s="1" t="s">
        <v>55</v>
      </c>
      <c r="B2" s="6"/>
      <c r="C2" s="6"/>
      <c r="D2" s="6" t="s">
        <v>56</v>
      </c>
      <c r="E2" s="6"/>
      <c r="F2" s="6">
        <f>SUM(E5:G150)</f>
        <v>238398.78999999983</v>
      </c>
      <c r="G2" s="6"/>
    </row>
    <row r="3" spans="1:15" x14ac:dyDescent="0.2">
      <c r="A3" s="2"/>
      <c r="B3" s="2"/>
      <c r="C3" s="2"/>
      <c r="D3" s="2"/>
      <c r="E3" s="25" t="s">
        <v>57</v>
      </c>
      <c r="F3" s="25"/>
      <c r="G3" s="25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1995</v>
      </c>
      <c r="J4" s="2" t="s">
        <v>1996</v>
      </c>
      <c r="K4" s="2" t="s">
        <v>1997</v>
      </c>
      <c r="L4" s="2" t="s">
        <v>66</v>
      </c>
      <c r="M4" s="2" t="s">
        <v>67</v>
      </c>
      <c r="N4" s="2" t="s">
        <v>68</v>
      </c>
      <c r="O4" s="2" t="s">
        <v>69</v>
      </c>
    </row>
    <row r="5" spans="1:15" x14ac:dyDescent="0.2">
      <c r="A5" s="8" t="s">
        <v>53</v>
      </c>
      <c r="B5" s="8" t="s">
        <v>106</v>
      </c>
      <c r="C5" s="8" t="s">
        <v>790</v>
      </c>
      <c r="D5" s="4"/>
      <c r="E5" s="4"/>
      <c r="F5" s="4">
        <v>199.57</v>
      </c>
      <c r="G5" s="4"/>
      <c r="H5" s="4" t="s">
        <v>2001</v>
      </c>
      <c r="I5" s="4" t="s">
        <v>2001</v>
      </c>
      <c r="J5" s="4" t="s">
        <v>2001</v>
      </c>
      <c r="K5" s="4" t="s">
        <v>2001</v>
      </c>
      <c r="L5" s="4"/>
      <c r="M5" s="4"/>
      <c r="N5" s="4"/>
      <c r="O5" s="4"/>
    </row>
    <row r="6" spans="1:15" x14ac:dyDescent="0.2">
      <c r="A6" s="8" t="s">
        <v>53</v>
      </c>
      <c r="B6" s="8" t="s">
        <v>106</v>
      </c>
      <c r="C6" s="8" t="s">
        <v>791</v>
      </c>
      <c r="D6" s="4"/>
      <c r="E6" s="4"/>
      <c r="F6" s="4">
        <v>162.21</v>
      </c>
      <c r="G6" s="4"/>
      <c r="H6" s="4" t="s">
        <v>2001</v>
      </c>
      <c r="I6" s="4" t="s">
        <v>2001</v>
      </c>
      <c r="J6" s="4" t="s">
        <v>2001</v>
      </c>
      <c r="K6" s="4" t="s">
        <v>2001</v>
      </c>
      <c r="L6" s="4"/>
      <c r="M6" s="4"/>
      <c r="N6" s="4"/>
      <c r="O6" s="4"/>
    </row>
    <row r="7" spans="1:15" x14ac:dyDescent="0.2">
      <c r="A7" s="8" t="s">
        <v>53</v>
      </c>
      <c r="B7" s="8" t="s">
        <v>1707</v>
      </c>
      <c r="C7" s="8" t="s">
        <v>1708</v>
      </c>
      <c r="D7" s="4"/>
      <c r="E7" s="4"/>
      <c r="F7" s="4">
        <v>473.09</v>
      </c>
      <c r="G7" s="4"/>
      <c r="H7" s="4" t="s">
        <v>63</v>
      </c>
      <c r="I7" s="4"/>
      <c r="J7" s="4"/>
      <c r="K7" s="4"/>
      <c r="L7" s="4"/>
      <c r="M7" s="4"/>
      <c r="N7" s="4"/>
      <c r="O7" s="4"/>
    </row>
    <row r="8" spans="1:15" x14ac:dyDescent="0.2">
      <c r="A8" s="8" t="s">
        <v>53</v>
      </c>
      <c r="B8" s="8" t="s">
        <v>1709</v>
      </c>
      <c r="C8" s="8" t="s">
        <v>1710</v>
      </c>
      <c r="D8" s="4"/>
      <c r="E8" s="4">
        <v>44.23</v>
      </c>
      <c r="F8" s="4">
        <v>42.28</v>
      </c>
      <c r="G8" s="4">
        <v>43.27</v>
      </c>
      <c r="H8" s="4" t="s">
        <v>2003</v>
      </c>
      <c r="I8" s="4" t="s">
        <v>2004</v>
      </c>
      <c r="J8" s="4" t="s">
        <v>2004</v>
      </c>
      <c r="K8" s="4" t="s">
        <v>2004</v>
      </c>
      <c r="L8" s="4"/>
      <c r="M8" s="4"/>
      <c r="N8" s="4"/>
      <c r="O8" s="4"/>
    </row>
    <row r="9" spans="1:15" x14ac:dyDescent="0.2">
      <c r="A9" s="8" t="s">
        <v>53</v>
      </c>
      <c r="B9" s="8" t="s">
        <v>1711</v>
      </c>
      <c r="C9" s="8" t="s">
        <v>1712</v>
      </c>
      <c r="D9" s="4"/>
      <c r="E9" s="4">
        <v>41.42</v>
      </c>
      <c r="F9" s="4">
        <v>40.33</v>
      </c>
      <c r="G9" s="4">
        <v>42.9</v>
      </c>
      <c r="H9" s="4" t="s">
        <v>2003</v>
      </c>
      <c r="I9" s="4" t="s">
        <v>2004</v>
      </c>
      <c r="J9" s="4" t="s">
        <v>2004</v>
      </c>
      <c r="K9" s="4" t="s">
        <v>2004</v>
      </c>
      <c r="L9" s="4"/>
      <c r="M9" s="4"/>
      <c r="N9" s="4"/>
      <c r="O9" s="4"/>
    </row>
    <row r="10" spans="1:15" x14ac:dyDescent="0.2">
      <c r="A10" s="8" t="s">
        <v>53</v>
      </c>
      <c r="B10" s="8" t="s">
        <v>1713</v>
      </c>
      <c r="C10" s="8" t="s">
        <v>1714</v>
      </c>
      <c r="D10" s="4"/>
      <c r="E10" s="4">
        <v>72.989999999999995</v>
      </c>
      <c r="F10" s="4">
        <v>41.18</v>
      </c>
      <c r="G10" s="4">
        <v>42.28</v>
      </c>
      <c r="H10" s="4" t="s">
        <v>2003</v>
      </c>
      <c r="I10" s="4" t="s">
        <v>2004</v>
      </c>
      <c r="J10" s="4" t="s">
        <v>2004</v>
      </c>
      <c r="K10" s="4" t="s">
        <v>2004</v>
      </c>
      <c r="L10" s="4"/>
      <c r="M10" s="4"/>
      <c r="N10" s="4"/>
      <c r="O10" s="4"/>
    </row>
    <row r="11" spans="1:15" x14ac:dyDescent="0.2">
      <c r="A11" s="8" t="s">
        <v>53</v>
      </c>
      <c r="B11" s="8" t="s">
        <v>1715</v>
      </c>
      <c r="C11" s="8" t="s">
        <v>1716</v>
      </c>
      <c r="D11" s="4"/>
      <c r="E11" s="4">
        <v>41.94</v>
      </c>
      <c r="F11" s="4">
        <v>39.229999999999997</v>
      </c>
      <c r="G11" s="4">
        <v>74.010000000000005</v>
      </c>
      <c r="H11" s="4" t="s">
        <v>2003</v>
      </c>
      <c r="I11" s="4" t="s">
        <v>2004</v>
      </c>
      <c r="J11" s="4" t="s">
        <v>2004</v>
      </c>
      <c r="K11" s="4" t="s">
        <v>2004</v>
      </c>
      <c r="L11" s="4"/>
      <c r="M11" s="4"/>
      <c r="N11" s="4"/>
      <c r="O11" s="4"/>
    </row>
    <row r="12" spans="1:15" x14ac:dyDescent="0.2">
      <c r="A12" s="8" t="s">
        <v>53</v>
      </c>
      <c r="B12" s="8" t="s">
        <v>1717</v>
      </c>
      <c r="C12" s="8" t="s">
        <v>1718</v>
      </c>
      <c r="D12" s="4"/>
      <c r="E12" s="4">
        <v>42.76</v>
      </c>
      <c r="F12" s="4">
        <v>77.900000000000006</v>
      </c>
      <c r="G12" s="4">
        <v>47.66</v>
      </c>
      <c r="H12" s="4" t="s">
        <v>2003</v>
      </c>
      <c r="I12" s="4" t="s">
        <v>2004</v>
      </c>
      <c r="J12" s="4" t="s">
        <v>2004</v>
      </c>
      <c r="K12" s="4" t="s">
        <v>2004</v>
      </c>
      <c r="L12" s="4"/>
      <c r="M12" s="4"/>
      <c r="N12" s="4"/>
      <c r="O12" s="4"/>
    </row>
    <row r="13" spans="1:15" x14ac:dyDescent="0.2">
      <c r="A13" s="8" t="s">
        <v>53</v>
      </c>
      <c r="B13" s="8" t="s">
        <v>1719</v>
      </c>
      <c r="C13" s="8" t="s">
        <v>1720</v>
      </c>
      <c r="D13" s="4"/>
      <c r="E13" s="4">
        <v>42.38</v>
      </c>
      <c r="F13" s="4">
        <v>43.71</v>
      </c>
      <c r="G13" s="4">
        <v>44.31</v>
      </c>
      <c r="H13" s="4" t="s">
        <v>2003</v>
      </c>
      <c r="I13" s="4" t="s">
        <v>2004</v>
      </c>
      <c r="J13" s="4" t="s">
        <v>2004</v>
      </c>
      <c r="K13" s="4" t="s">
        <v>2004</v>
      </c>
      <c r="L13" s="4"/>
      <c r="M13" s="4"/>
      <c r="N13" s="4"/>
      <c r="O13" s="4"/>
    </row>
    <row r="14" spans="1:15" x14ac:dyDescent="0.2">
      <c r="A14" s="8" t="s">
        <v>53</v>
      </c>
      <c r="B14" s="8" t="s">
        <v>1721</v>
      </c>
      <c r="C14" s="8" t="s">
        <v>1722</v>
      </c>
      <c r="D14" s="4"/>
      <c r="E14" s="4">
        <v>77.47</v>
      </c>
      <c r="F14" s="4">
        <v>42.1</v>
      </c>
      <c r="G14" s="4">
        <v>44.6</v>
      </c>
      <c r="H14" s="4" t="s">
        <v>2003</v>
      </c>
      <c r="I14" s="4" t="s">
        <v>2004</v>
      </c>
      <c r="J14" s="4" t="s">
        <v>2004</v>
      </c>
      <c r="K14" s="4" t="s">
        <v>2004</v>
      </c>
      <c r="L14" s="4"/>
      <c r="M14" s="4"/>
      <c r="N14" s="4"/>
      <c r="O14" s="4"/>
    </row>
    <row r="15" spans="1:15" x14ac:dyDescent="0.2">
      <c r="A15" s="8" t="s">
        <v>53</v>
      </c>
      <c r="B15" s="8" t="s">
        <v>1723</v>
      </c>
      <c r="C15" s="8" t="s">
        <v>1724</v>
      </c>
      <c r="D15" s="4"/>
      <c r="E15" s="4">
        <v>44.23</v>
      </c>
      <c r="F15" s="4">
        <v>43.37</v>
      </c>
      <c r="G15" s="4">
        <v>79.41</v>
      </c>
      <c r="H15" s="4" t="s">
        <v>2003</v>
      </c>
      <c r="I15" s="4" t="s">
        <v>2004</v>
      </c>
      <c r="J15" s="4" t="s">
        <v>2004</v>
      </c>
      <c r="K15" s="4" t="s">
        <v>2004</v>
      </c>
      <c r="L15" s="4"/>
      <c r="M15" s="4"/>
      <c r="N15" s="4"/>
      <c r="O15" s="4"/>
    </row>
    <row r="16" spans="1:15" x14ac:dyDescent="0.2">
      <c r="A16" s="8" t="s">
        <v>53</v>
      </c>
      <c r="B16" s="8" t="s">
        <v>1725</v>
      </c>
      <c r="C16" s="8" t="s">
        <v>1726</v>
      </c>
      <c r="D16" s="4"/>
      <c r="E16" s="4">
        <v>44.58</v>
      </c>
      <c r="F16" s="4">
        <v>74.069999999999993</v>
      </c>
      <c r="G16" s="4">
        <v>44.92</v>
      </c>
      <c r="H16" s="4" t="s">
        <v>2003</v>
      </c>
      <c r="I16" s="4" t="s">
        <v>2004</v>
      </c>
      <c r="J16" s="4" t="s">
        <v>2004</v>
      </c>
      <c r="K16" s="4" t="s">
        <v>2004</v>
      </c>
      <c r="L16" s="4"/>
      <c r="M16" s="4"/>
      <c r="N16" s="4"/>
      <c r="O16" s="4"/>
    </row>
    <row r="17" spans="1:15" x14ac:dyDescent="0.2">
      <c r="A17" s="8" t="s">
        <v>53</v>
      </c>
      <c r="B17" s="8" t="s">
        <v>1727</v>
      </c>
      <c r="C17" s="8" t="s">
        <v>1728</v>
      </c>
      <c r="D17" s="4"/>
      <c r="E17" s="4">
        <v>43.94</v>
      </c>
      <c r="F17" s="4">
        <v>43.32</v>
      </c>
      <c r="G17" s="4">
        <v>45.34</v>
      </c>
      <c r="H17" s="4" t="s">
        <v>2005</v>
      </c>
      <c r="I17" s="4" t="s">
        <v>2006</v>
      </c>
      <c r="J17" s="4" t="s">
        <v>2006</v>
      </c>
      <c r="K17" s="4" t="s">
        <v>2006</v>
      </c>
      <c r="L17" s="4"/>
      <c r="M17" s="4"/>
      <c r="N17" s="4"/>
      <c r="O17" s="4"/>
    </row>
    <row r="18" spans="1:15" x14ac:dyDescent="0.2">
      <c r="A18" s="8" t="s">
        <v>53</v>
      </c>
      <c r="B18" s="8" t="s">
        <v>1729</v>
      </c>
      <c r="C18" s="8" t="s">
        <v>1730</v>
      </c>
      <c r="D18" s="4"/>
      <c r="E18" s="4">
        <v>79.92</v>
      </c>
      <c r="F18" s="4">
        <v>46.93</v>
      </c>
      <c r="G18" s="4">
        <v>80.22</v>
      </c>
      <c r="H18" s="4" t="s">
        <v>2003</v>
      </c>
      <c r="I18" s="4" t="s">
        <v>2004</v>
      </c>
      <c r="J18" s="4" t="s">
        <v>2004</v>
      </c>
      <c r="K18" s="4" t="s">
        <v>2004</v>
      </c>
      <c r="L18" s="4"/>
      <c r="M18" s="4"/>
      <c r="N18" s="4"/>
      <c r="O18" s="4"/>
    </row>
    <row r="19" spans="1:15" x14ac:dyDescent="0.2">
      <c r="A19" s="8" t="s">
        <v>53</v>
      </c>
      <c r="B19" s="8" t="s">
        <v>1731</v>
      </c>
      <c r="C19" s="8" t="s">
        <v>1732</v>
      </c>
      <c r="D19" s="4"/>
      <c r="E19" s="4">
        <v>48.93</v>
      </c>
      <c r="F19" s="4">
        <v>46.35</v>
      </c>
      <c r="G19" s="4">
        <v>50.05</v>
      </c>
      <c r="H19" s="4" t="s">
        <v>2003</v>
      </c>
      <c r="I19" s="4" t="s">
        <v>2004</v>
      </c>
      <c r="J19" s="4" t="s">
        <v>2004</v>
      </c>
      <c r="K19" s="4" t="s">
        <v>2004</v>
      </c>
      <c r="L19" s="4"/>
      <c r="M19" s="4"/>
      <c r="N19" s="4"/>
      <c r="O19" s="4"/>
    </row>
    <row r="20" spans="1:15" x14ac:dyDescent="0.2">
      <c r="A20" s="8" t="s">
        <v>53</v>
      </c>
      <c r="B20" s="8" t="s">
        <v>1733</v>
      </c>
      <c r="C20" s="8" t="s">
        <v>1734</v>
      </c>
      <c r="D20" s="4"/>
      <c r="E20" s="4">
        <v>47.41</v>
      </c>
      <c r="F20" s="4">
        <v>81.39</v>
      </c>
      <c r="G20" s="4">
        <v>49.07</v>
      </c>
      <c r="H20" s="4" t="s">
        <v>2003</v>
      </c>
      <c r="I20" s="4" t="s">
        <v>2004</v>
      </c>
      <c r="J20" s="4" t="s">
        <v>2004</v>
      </c>
      <c r="K20" s="4" t="s">
        <v>2004</v>
      </c>
      <c r="L20" s="4"/>
      <c r="M20" s="4"/>
      <c r="N20" s="4"/>
      <c r="O20" s="4"/>
    </row>
    <row r="21" spans="1:15" x14ac:dyDescent="0.2">
      <c r="A21" s="8" t="s">
        <v>53</v>
      </c>
      <c r="B21" s="8" t="s">
        <v>1735</v>
      </c>
      <c r="C21" s="8" t="s">
        <v>1736</v>
      </c>
      <c r="D21" s="4"/>
      <c r="E21" s="4">
        <v>77.02</v>
      </c>
      <c r="F21" s="4">
        <v>47.36</v>
      </c>
      <c r="G21" s="4">
        <v>49.42</v>
      </c>
      <c r="H21" s="4" t="s">
        <v>2003</v>
      </c>
      <c r="I21" s="4" t="s">
        <v>2004</v>
      </c>
      <c r="J21" s="4" t="s">
        <v>2004</v>
      </c>
      <c r="K21" s="4" t="s">
        <v>2004</v>
      </c>
      <c r="L21" s="4"/>
      <c r="M21" s="4"/>
      <c r="N21" s="4"/>
      <c r="O21" s="4"/>
    </row>
    <row r="22" spans="1:15" x14ac:dyDescent="0.2">
      <c r="A22" s="8" t="s">
        <v>53</v>
      </c>
      <c r="B22" s="8" t="s">
        <v>1737</v>
      </c>
      <c r="C22" s="8" t="s">
        <v>1738</v>
      </c>
      <c r="D22" s="4"/>
      <c r="E22" s="4">
        <v>51.62</v>
      </c>
      <c r="F22" s="4">
        <v>51.04</v>
      </c>
      <c r="G22" s="4">
        <v>86.29</v>
      </c>
      <c r="H22" s="4" t="s">
        <v>2003</v>
      </c>
      <c r="I22" s="4" t="s">
        <v>2004</v>
      </c>
      <c r="J22" s="4" t="s">
        <v>2004</v>
      </c>
      <c r="K22" s="4" t="s">
        <v>2004</v>
      </c>
      <c r="L22" s="4"/>
      <c r="M22" s="4"/>
      <c r="N22" s="4"/>
      <c r="O22" s="4"/>
    </row>
    <row r="23" spans="1:15" x14ac:dyDescent="0.2">
      <c r="A23" s="8" t="s">
        <v>53</v>
      </c>
      <c r="B23" s="8" t="s">
        <v>1739</v>
      </c>
      <c r="C23" s="8" t="s">
        <v>1740</v>
      </c>
      <c r="D23" s="4"/>
      <c r="E23" s="4">
        <v>49.82</v>
      </c>
      <c r="F23" s="4">
        <v>78.42</v>
      </c>
      <c r="G23" s="4">
        <v>53.41</v>
      </c>
      <c r="H23" s="4" t="s">
        <v>2003</v>
      </c>
      <c r="I23" s="4" t="s">
        <v>2004</v>
      </c>
      <c r="J23" s="4" t="s">
        <v>2004</v>
      </c>
      <c r="K23" s="4" t="s">
        <v>2004</v>
      </c>
      <c r="L23" s="4"/>
      <c r="M23" s="4"/>
      <c r="N23" s="4"/>
      <c r="O23" s="4"/>
    </row>
    <row r="24" spans="1:15" x14ac:dyDescent="0.2">
      <c r="A24" s="8" t="s">
        <v>53</v>
      </c>
      <c r="B24" s="8" t="s">
        <v>1741</v>
      </c>
      <c r="C24" s="8" t="s">
        <v>1742</v>
      </c>
      <c r="D24" s="4"/>
      <c r="E24" s="4">
        <v>83.74</v>
      </c>
      <c r="F24" s="4">
        <v>49.77</v>
      </c>
      <c r="G24" s="4">
        <v>83.1</v>
      </c>
      <c r="H24" s="4" t="s">
        <v>2003</v>
      </c>
      <c r="I24" s="4" t="s">
        <v>2004</v>
      </c>
      <c r="J24" s="4" t="s">
        <v>2004</v>
      </c>
      <c r="K24" s="4" t="s">
        <v>2004</v>
      </c>
      <c r="L24" s="4"/>
      <c r="M24" s="4"/>
      <c r="N24" s="4"/>
      <c r="O24" s="4"/>
    </row>
    <row r="25" spans="1:15" x14ac:dyDescent="0.2">
      <c r="A25" s="8" t="s">
        <v>53</v>
      </c>
      <c r="B25" s="8" t="s">
        <v>1743</v>
      </c>
      <c r="C25" s="8" t="s">
        <v>1744</v>
      </c>
      <c r="D25" s="4"/>
      <c r="E25" s="4">
        <v>51.98</v>
      </c>
      <c r="F25" s="4">
        <v>48.66</v>
      </c>
      <c r="G25" s="4">
        <v>52.15</v>
      </c>
      <c r="H25" s="4" t="s">
        <v>2003</v>
      </c>
      <c r="I25" s="4" t="s">
        <v>2004</v>
      </c>
      <c r="J25" s="4" t="s">
        <v>2004</v>
      </c>
      <c r="K25" s="4" t="s">
        <v>2004</v>
      </c>
      <c r="L25" s="4"/>
      <c r="M25" s="4"/>
      <c r="N25" s="4"/>
      <c r="O25" s="4"/>
    </row>
    <row r="26" spans="1:15" x14ac:dyDescent="0.2">
      <c r="A26" s="8" t="s">
        <v>53</v>
      </c>
      <c r="B26" s="8" t="s">
        <v>1745</v>
      </c>
      <c r="C26" s="8" t="s">
        <v>1746</v>
      </c>
      <c r="D26" s="4"/>
      <c r="E26" s="4">
        <v>84.43</v>
      </c>
      <c r="F26" s="4">
        <v>77.959999999999994</v>
      </c>
      <c r="G26" s="4">
        <v>84.8</v>
      </c>
      <c r="H26" s="4" t="s">
        <v>2003</v>
      </c>
      <c r="I26" s="4" t="s">
        <v>2004</v>
      </c>
      <c r="J26" s="4" t="s">
        <v>2004</v>
      </c>
      <c r="K26" s="4" t="s">
        <v>2004</v>
      </c>
      <c r="L26" s="4"/>
      <c r="M26" s="4"/>
      <c r="N26" s="4"/>
      <c r="O26" s="4"/>
    </row>
    <row r="27" spans="1:15" x14ac:dyDescent="0.2">
      <c r="A27" s="8" t="s">
        <v>53</v>
      </c>
      <c r="B27" s="8" t="s">
        <v>1747</v>
      </c>
      <c r="C27" s="8" t="s">
        <v>1748</v>
      </c>
      <c r="D27" s="4"/>
      <c r="E27" s="4">
        <v>53.87</v>
      </c>
      <c r="F27" s="4">
        <v>48.6</v>
      </c>
      <c r="G27" s="4">
        <v>51.4</v>
      </c>
      <c r="H27" s="4" t="s">
        <v>2005</v>
      </c>
      <c r="I27" s="4" t="s">
        <v>2006</v>
      </c>
      <c r="J27" s="4" t="s">
        <v>2006</v>
      </c>
      <c r="K27" s="4" t="s">
        <v>2006</v>
      </c>
      <c r="L27" s="4"/>
      <c r="M27" s="4"/>
      <c r="N27" s="4"/>
      <c r="O27" s="4"/>
    </row>
    <row r="28" spans="1:15" x14ac:dyDescent="0.2">
      <c r="A28" s="8" t="s">
        <v>53</v>
      </c>
      <c r="B28" s="8" t="s">
        <v>1749</v>
      </c>
      <c r="C28" s="8" t="s">
        <v>1750</v>
      </c>
      <c r="D28" s="4"/>
      <c r="E28" s="4">
        <v>48.07</v>
      </c>
      <c r="F28" s="4">
        <v>44.07</v>
      </c>
      <c r="G28" s="4">
        <v>46.41</v>
      </c>
      <c r="H28" s="4" t="s">
        <v>2003</v>
      </c>
      <c r="I28" s="4" t="s">
        <v>2004</v>
      </c>
      <c r="J28" s="4" t="s">
        <v>2004</v>
      </c>
      <c r="K28" s="4" t="s">
        <v>2004</v>
      </c>
      <c r="L28" s="4"/>
      <c r="M28" s="4"/>
      <c r="N28" s="4"/>
      <c r="O28" s="4"/>
    </row>
    <row r="29" spans="1:15" x14ac:dyDescent="0.2">
      <c r="A29" s="8" t="s">
        <v>53</v>
      </c>
      <c r="B29" s="8" t="s">
        <v>1751</v>
      </c>
      <c r="C29" s="8" t="s">
        <v>1752</v>
      </c>
      <c r="D29" s="4"/>
      <c r="E29" s="4">
        <v>48.02</v>
      </c>
      <c r="F29" s="4">
        <v>74.010000000000005</v>
      </c>
      <c r="G29" s="4">
        <v>48.58</v>
      </c>
      <c r="H29" s="4" t="s">
        <v>2003</v>
      </c>
      <c r="I29" s="4" t="s">
        <v>2004</v>
      </c>
      <c r="J29" s="4" t="s">
        <v>2004</v>
      </c>
      <c r="K29" s="4" t="s">
        <v>2004</v>
      </c>
      <c r="L29" s="4"/>
      <c r="M29" s="4"/>
      <c r="N29" s="4"/>
      <c r="O29" s="4"/>
    </row>
    <row r="30" spans="1:15" x14ac:dyDescent="0.2">
      <c r="A30" s="8" t="s">
        <v>53</v>
      </c>
      <c r="B30" s="8" t="s">
        <v>1753</v>
      </c>
      <c r="C30" s="8" t="s">
        <v>1754</v>
      </c>
      <c r="D30" s="4"/>
      <c r="E30" s="4">
        <v>46.99</v>
      </c>
      <c r="F30" s="4">
        <v>44.43</v>
      </c>
      <c r="G30" s="4">
        <v>76.39</v>
      </c>
      <c r="H30" s="4" t="s">
        <v>2003</v>
      </c>
      <c r="I30" s="4" t="s">
        <v>2004</v>
      </c>
      <c r="J30" s="4" t="s">
        <v>2004</v>
      </c>
      <c r="K30" s="4" t="s">
        <v>2004</v>
      </c>
      <c r="L30" s="4"/>
      <c r="M30" s="4"/>
      <c r="N30" s="4"/>
      <c r="O30" s="4"/>
    </row>
    <row r="31" spans="1:15" x14ac:dyDescent="0.2">
      <c r="A31" s="8" t="s">
        <v>53</v>
      </c>
      <c r="B31" s="8" t="s">
        <v>1755</v>
      </c>
      <c r="C31" s="8" t="s">
        <v>1756</v>
      </c>
      <c r="D31" s="4"/>
      <c r="E31" s="4">
        <v>80.34</v>
      </c>
      <c r="F31" s="4">
        <v>42.75</v>
      </c>
      <c r="G31" s="4">
        <v>46.52</v>
      </c>
      <c r="H31" s="4" t="s">
        <v>2003</v>
      </c>
      <c r="I31" s="4" t="s">
        <v>2004</v>
      </c>
      <c r="J31" s="4" t="s">
        <v>2004</v>
      </c>
      <c r="K31" s="4" t="s">
        <v>2004</v>
      </c>
      <c r="L31" s="4"/>
      <c r="M31" s="4"/>
      <c r="N31" s="4"/>
      <c r="O31" s="4"/>
    </row>
    <row r="32" spans="1:15" x14ac:dyDescent="0.2">
      <c r="A32" s="8" t="s">
        <v>53</v>
      </c>
      <c r="B32" s="8" t="s">
        <v>1757</v>
      </c>
      <c r="C32" s="8" t="s">
        <v>1758</v>
      </c>
      <c r="D32" s="4"/>
      <c r="E32" s="4">
        <v>52.49</v>
      </c>
      <c r="F32" s="4">
        <v>44.68</v>
      </c>
      <c r="G32" s="4">
        <v>47.5</v>
      </c>
      <c r="H32" s="4" t="s">
        <v>2003</v>
      </c>
      <c r="I32" s="4" t="s">
        <v>2004</v>
      </c>
      <c r="J32" s="4" t="s">
        <v>2004</v>
      </c>
      <c r="K32" s="4" t="s">
        <v>2004</v>
      </c>
      <c r="L32" s="4"/>
      <c r="M32" s="4"/>
      <c r="N32" s="4"/>
      <c r="O32" s="4"/>
    </row>
    <row r="33" spans="1:15" x14ac:dyDescent="0.2">
      <c r="A33" s="8" t="s">
        <v>53</v>
      </c>
      <c r="B33" s="8" t="s">
        <v>1759</v>
      </c>
      <c r="C33" s="8" t="s">
        <v>1760</v>
      </c>
      <c r="D33" s="4"/>
      <c r="E33" s="4">
        <v>49.36</v>
      </c>
      <c r="F33" s="4">
        <v>78.77</v>
      </c>
      <c r="G33" s="4">
        <v>79.040000000000006</v>
      </c>
      <c r="H33" s="4" t="s">
        <v>2003</v>
      </c>
      <c r="I33" s="4" t="s">
        <v>2004</v>
      </c>
      <c r="J33" s="4" t="s">
        <v>2004</v>
      </c>
      <c r="K33" s="4" t="s">
        <v>2004</v>
      </c>
      <c r="L33" s="4"/>
      <c r="M33" s="4"/>
      <c r="N33" s="4"/>
      <c r="O33" s="4"/>
    </row>
    <row r="34" spans="1:15" x14ac:dyDescent="0.2">
      <c r="A34" s="8" t="s">
        <v>53</v>
      </c>
      <c r="B34" s="8" t="s">
        <v>1761</v>
      </c>
      <c r="C34" s="8" t="s">
        <v>1762</v>
      </c>
      <c r="D34" s="4"/>
      <c r="E34" s="4">
        <v>83.15</v>
      </c>
      <c r="F34" s="4">
        <v>45.61</v>
      </c>
      <c r="G34" s="4">
        <v>48.67</v>
      </c>
      <c r="H34" s="4" t="s">
        <v>2003</v>
      </c>
      <c r="I34" s="4" t="s">
        <v>2004</v>
      </c>
      <c r="J34" s="4" t="s">
        <v>2004</v>
      </c>
      <c r="K34" s="4" t="s">
        <v>2004</v>
      </c>
      <c r="L34" s="4"/>
      <c r="M34" s="4"/>
      <c r="N34" s="4"/>
      <c r="O34" s="4"/>
    </row>
    <row r="35" spans="1:15" x14ac:dyDescent="0.2">
      <c r="A35" s="8" t="s">
        <v>53</v>
      </c>
      <c r="B35" s="8" t="s">
        <v>1763</v>
      </c>
      <c r="C35" s="8" t="s">
        <v>1764</v>
      </c>
      <c r="D35" s="4"/>
      <c r="E35" s="4">
        <v>47.43</v>
      </c>
      <c r="F35" s="4">
        <v>45.05</v>
      </c>
      <c r="G35" s="4">
        <v>47.75</v>
      </c>
      <c r="H35" s="4" t="s">
        <v>2003</v>
      </c>
      <c r="I35" s="4" t="s">
        <v>2004</v>
      </c>
      <c r="J35" s="4" t="s">
        <v>2004</v>
      </c>
      <c r="K35" s="4" t="s">
        <v>2004</v>
      </c>
      <c r="L35" s="4"/>
      <c r="M35" s="4"/>
      <c r="N35" s="4"/>
      <c r="O35" s="4"/>
    </row>
    <row r="36" spans="1:15" x14ac:dyDescent="0.2">
      <c r="A36" s="8" t="s">
        <v>53</v>
      </c>
      <c r="B36" s="8" t="s">
        <v>1765</v>
      </c>
      <c r="C36" s="8" t="s">
        <v>1766</v>
      </c>
      <c r="D36" s="4"/>
      <c r="E36" s="4">
        <v>49.39</v>
      </c>
      <c r="F36" s="4">
        <v>77.89</v>
      </c>
      <c r="G36" s="4">
        <v>79.75</v>
      </c>
      <c r="H36" s="4" t="s">
        <v>2003</v>
      </c>
      <c r="I36" s="4" t="s">
        <v>2004</v>
      </c>
      <c r="J36" s="4" t="s">
        <v>2004</v>
      </c>
      <c r="K36" s="4" t="s">
        <v>2004</v>
      </c>
      <c r="L36" s="4"/>
      <c r="M36" s="4"/>
      <c r="N36" s="4"/>
      <c r="O36" s="4"/>
    </row>
    <row r="37" spans="1:15" x14ac:dyDescent="0.2">
      <c r="A37" s="8" t="s">
        <v>53</v>
      </c>
      <c r="B37" s="8" t="s">
        <v>1767</v>
      </c>
      <c r="C37" s="8" t="s">
        <v>1768</v>
      </c>
      <c r="D37" s="4"/>
      <c r="E37" s="4">
        <v>77.42</v>
      </c>
      <c r="F37" s="4">
        <v>46.36</v>
      </c>
      <c r="G37" s="4">
        <v>48.32</v>
      </c>
      <c r="H37" s="4" t="s">
        <v>2005</v>
      </c>
      <c r="I37" s="4" t="s">
        <v>2006</v>
      </c>
      <c r="J37" s="4" t="s">
        <v>2006</v>
      </c>
      <c r="K37" s="4" t="s">
        <v>2006</v>
      </c>
      <c r="L37" s="4"/>
      <c r="M37" s="4"/>
      <c r="N37" s="4"/>
      <c r="O37" s="4"/>
    </row>
    <row r="38" spans="1:15" x14ac:dyDescent="0.2">
      <c r="A38" s="8" t="s">
        <v>53</v>
      </c>
      <c r="B38" s="8" t="s">
        <v>1769</v>
      </c>
      <c r="C38" s="8" t="s">
        <v>1770</v>
      </c>
      <c r="D38" s="4"/>
      <c r="E38" s="4">
        <v>43.51</v>
      </c>
      <c r="F38" s="4">
        <v>41.38</v>
      </c>
      <c r="G38" s="4">
        <v>47.42</v>
      </c>
      <c r="H38" s="4" t="s">
        <v>2005</v>
      </c>
      <c r="I38" s="4" t="s">
        <v>2006</v>
      </c>
      <c r="J38" s="4" t="s">
        <v>2006</v>
      </c>
      <c r="K38" s="4" t="s">
        <v>2006</v>
      </c>
      <c r="L38" s="4"/>
      <c r="M38" s="4"/>
      <c r="N38" s="4"/>
      <c r="O38" s="4"/>
    </row>
    <row r="39" spans="1:15" x14ac:dyDescent="0.2">
      <c r="A39" s="8" t="s">
        <v>53</v>
      </c>
      <c r="B39" s="8" t="s">
        <v>1771</v>
      </c>
      <c r="C39" s="8" t="s">
        <v>1772</v>
      </c>
      <c r="D39" s="4"/>
      <c r="E39" s="4">
        <v>59.52</v>
      </c>
      <c r="F39" s="4">
        <v>88.22</v>
      </c>
      <c r="G39" s="4">
        <v>90.28</v>
      </c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8" t="s">
        <v>53</v>
      </c>
      <c r="B40" s="8" t="s">
        <v>1773</v>
      </c>
      <c r="C40" s="8" t="s">
        <v>1774</v>
      </c>
      <c r="D40" s="4"/>
      <c r="E40" s="4">
        <v>59.91</v>
      </c>
      <c r="F40" s="4">
        <v>58.74</v>
      </c>
      <c r="G40" s="4">
        <v>59.75</v>
      </c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8" t="s">
        <v>53</v>
      </c>
      <c r="B41" s="8" t="s">
        <v>1775</v>
      </c>
      <c r="C41" s="8" t="s">
        <v>1776</v>
      </c>
      <c r="D41" s="4"/>
      <c r="E41" s="4">
        <v>90.85</v>
      </c>
      <c r="F41" s="4">
        <v>57.82</v>
      </c>
      <c r="G41" s="4">
        <v>59.43</v>
      </c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8" t="s">
        <v>53</v>
      </c>
      <c r="B42" s="8" t="s">
        <v>1777</v>
      </c>
      <c r="C42" s="8" t="s">
        <v>1778</v>
      </c>
      <c r="D42" s="4"/>
      <c r="E42" s="4">
        <v>77.41</v>
      </c>
      <c r="F42" s="4">
        <v>73.87</v>
      </c>
      <c r="G42" s="4">
        <v>80.87</v>
      </c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 t="s">
        <v>53</v>
      </c>
      <c r="B43" s="8" t="s">
        <v>1779</v>
      </c>
      <c r="C43" s="8" t="s">
        <v>1780</v>
      </c>
      <c r="D43" s="4"/>
      <c r="E43" s="4">
        <v>76.760000000000005</v>
      </c>
      <c r="F43" s="4">
        <v>73.430000000000007</v>
      </c>
      <c r="G43" s="4">
        <v>109.39</v>
      </c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8" t="s">
        <v>53</v>
      </c>
      <c r="B44" s="8" t="s">
        <v>1781</v>
      </c>
      <c r="C44" s="8" t="s">
        <v>1782</v>
      </c>
      <c r="D44" s="4"/>
      <c r="E44" s="4">
        <v>109.16</v>
      </c>
      <c r="F44" s="4">
        <v>106.03</v>
      </c>
      <c r="G44" s="4">
        <v>76.58</v>
      </c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 t="s">
        <v>53</v>
      </c>
      <c r="B45" s="8" t="s">
        <v>1783</v>
      </c>
      <c r="C45" s="8" t="s">
        <v>1784</v>
      </c>
      <c r="D45" s="4"/>
      <c r="E45" s="4">
        <v>73.19</v>
      </c>
      <c r="F45" s="4">
        <v>71.44</v>
      </c>
      <c r="G45" s="4">
        <v>72.86</v>
      </c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8" t="s">
        <v>53</v>
      </c>
      <c r="B46" s="8" t="s">
        <v>1785</v>
      </c>
      <c r="C46" s="8" t="s">
        <v>1786</v>
      </c>
      <c r="D46" s="4"/>
      <c r="E46" s="4">
        <v>72.45</v>
      </c>
      <c r="F46" s="4">
        <v>70.63</v>
      </c>
      <c r="G46" s="4">
        <v>72.42</v>
      </c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 t="s">
        <v>53</v>
      </c>
      <c r="B47" s="8" t="s">
        <v>1787</v>
      </c>
      <c r="C47" s="8" t="s">
        <v>1788</v>
      </c>
      <c r="D47" s="4"/>
      <c r="E47" s="4">
        <v>78.58</v>
      </c>
      <c r="F47" s="4">
        <v>69.83</v>
      </c>
      <c r="G47" s="4">
        <v>104.42</v>
      </c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8" t="s">
        <v>53</v>
      </c>
      <c r="B48" s="8" t="s">
        <v>1789</v>
      </c>
      <c r="C48" s="8" t="s">
        <v>1790</v>
      </c>
      <c r="D48" s="4"/>
      <c r="E48" s="4">
        <v>107.59</v>
      </c>
      <c r="F48" s="4">
        <v>101.38</v>
      </c>
      <c r="G48" s="4">
        <v>72.81</v>
      </c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8" t="s">
        <v>53</v>
      </c>
      <c r="B49" s="8" t="s">
        <v>1791</v>
      </c>
      <c r="C49" s="8" t="s">
        <v>1792</v>
      </c>
      <c r="D49" s="4"/>
      <c r="E49" s="4">
        <v>112.62</v>
      </c>
      <c r="F49" s="4">
        <v>108.92</v>
      </c>
      <c r="G49" s="4">
        <v>111.84</v>
      </c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8" t="s">
        <v>53</v>
      </c>
      <c r="B50" s="8" t="s">
        <v>1793</v>
      </c>
      <c r="C50" s="8" t="s">
        <v>1794</v>
      </c>
      <c r="D50" s="4"/>
      <c r="E50" s="4">
        <v>114.64</v>
      </c>
      <c r="F50" s="4">
        <v>112.88</v>
      </c>
      <c r="G50" s="4">
        <v>146.76</v>
      </c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 t="s">
        <v>53</v>
      </c>
      <c r="B51" s="8" t="s">
        <v>1795</v>
      </c>
      <c r="C51" s="8" t="s">
        <v>1796</v>
      </c>
      <c r="D51" s="4"/>
      <c r="E51" s="4">
        <v>115.55</v>
      </c>
      <c r="F51" s="4">
        <v>142.66999999999999</v>
      </c>
      <c r="G51" s="4">
        <v>114.69</v>
      </c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 t="s">
        <v>53</v>
      </c>
      <c r="B52" s="8" t="s">
        <v>1797</v>
      </c>
      <c r="C52" s="8" t="s">
        <v>1798</v>
      </c>
      <c r="D52" s="4"/>
      <c r="E52" s="4">
        <v>143.47</v>
      </c>
      <c r="F52" s="4">
        <v>107.11</v>
      </c>
      <c r="G52" s="4">
        <v>109.98</v>
      </c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 t="s">
        <v>53</v>
      </c>
      <c r="B53" s="8" t="s">
        <v>1799</v>
      </c>
      <c r="C53" s="8" t="s">
        <v>1800</v>
      </c>
      <c r="D53" s="4"/>
      <c r="E53" s="4">
        <v>110.96</v>
      </c>
      <c r="F53" s="4">
        <v>109.67</v>
      </c>
      <c r="G53" s="4">
        <v>111.74</v>
      </c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 t="s">
        <v>53</v>
      </c>
      <c r="B54" s="8" t="s">
        <v>1801</v>
      </c>
      <c r="C54" s="8" t="s">
        <v>1802</v>
      </c>
      <c r="D54" s="4"/>
      <c r="E54" s="4">
        <v>109.95</v>
      </c>
      <c r="F54" s="4">
        <v>139.11000000000001</v>
      </c>
      <c r="G54" s="4">
        <v>114.43</v>
      </c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 t="s">
        <v>53</v>
      </c>
      <c r="B55" s="8" t="s">
        <v>1803</v>
      </c>
      <c r="C55" s="8" t="s">
        <v>1804</v>
      </c>
      <c r="D55" s="4"/>
      <c r="E55" s="4">
        <v>2959.35</v>
      </c>
      <c r="F55" s="4">
        <v>2931.7</v>
      </c>
      <c r="G55" s="4">
        <v>2992.35</v>
      </c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 t="s">
        <v>53</v>
      </c>
      <c r="B56" s="8" t="s">
        <v>1805</v>
      </c>
      <c r="C56" s="8" t="s">
        <v>1806</v>
      </c>
      <c r="D56" s="4"/>
      <c r="E56" s="4">
        <v>2909.27</v>
      </c>
      <c r="F56" s="4">
        <v>2930.65</v>
      </c>
      <c r="G56" s="4">
        <v>2961.71</v>
      </c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 t="s">
        <v>53</v>
      </c>
      <c r="B57" s="8" t="s">
        <v>1807</v>
      </c>
      <c r="C57" s="8" t="s">
        <v>1808</v>
      </c>
      <c r="D57" s="4"/>
      <c r="E57" s="4">
        <v>3712.35</v>
      </c>
      <c r="F57" s="4">
        <v>3658.32</v>
      </c>
      <c r="G57" s="4">
        <v>3733.59</v>
      </c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 t="s">
        <v>53</v>
      </c>
      <c r="B58" s="8" t="s">
        <v>1809</v>
      </c>
      <c r="C58" s="8" t="s">
        <v>1810</v>
      </c>
      <c r="D58" s="4"/>
      <c r="E58" s="4">
        <v>2941.47</v>
      </c>
      <c r="F58" s="4">
        <v>2946.27</v>
      </c>
      <c r="G58" s="4">
        <v>2964.74</v>
      </c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 t="s">
        <v>53</v>
      </c>
      <c r="B59" s="8" t="s">
        <v>1811</v>
      </c>
      <c r="C59" s="8" t="s">
        <v>1812</v>
      </c>
      <c r="D59" s="4"/>
      <c r="E59" s="4">
        <v>3561.3</v>
      </c>
      <c r="F59" s="4">
        <v>3514.63</v>
      </c>
      <c r="G59" s="4">
        <v>3533.38</v>
      </c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 t="s">
        <v>53</v>
      </c>
      <c r="B60" s="8" t="s">
        <v>1813</v>
      </c>
      <c r="C60" s="8" t="s">
        <v>1814</v>
      </c>
      <c r="D60" s="4"/>
      <c r="E60" s="4">
        <v>3531.94</v>
      </c>
      <c r="F60" s="4">
        <v>3491.3</v>
      </c>
      <c r="G60" s="4">
        <v>3548.85</v>
      </c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 t="s">
        <v>53</v>
      </c>
      <c r="B61" s="8" t="s">
        <v>1815</v>
      </c>
      <c r="C61" s="8" t="s">
        <v>1816</v>
      </c>
      <c r="D61" s="4"/>
      <c r="E61" s="4">
        <v>3628.4</v>
      </c>
      <c r="F61" s="4">
        <v>3496.98</v>
      </c>
      <c r="G61" s="4">
        <v>3577.95</v>
      </c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 t="s">
        <v>53</v>
      </c>
      <c r="B62" s="8" t="s">
        <v>1817</v>
      </c>
      <c r="C62" s="8" t="s">
        <v>1818</v>
      </c>
      <c r="D62" s="4"/>
      <c r="E62" s="4">
        <v>3617.94</v>
      </c>
      <c r="F62" s="4">
        <v>3500.76</v>
      </c>
      <c r="G62" s="4">
        <v>3545.35</v>
      </c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8" t="s">
        <v>53</v>
      </c>
      <c r="B63" s="8" t="s">
        <v>1819</v>
      </c>
      <c r="C63" s="8" t="s">
        <v>1820</v>
      </c>
      <c r="D63" s="4"/>
      <c r="E63" s="4">
        <v>3984.01</v>
      </c>
      <c r="F63" s="4">
        <v>3807.84</v>
      </c>
      <c r="G63" s="4">
        <v>3886.34</v>
      </c>
      <c r="H63" s="4"/>
      <c r="I63" s="4"/>
      <c r="J63" s="4"/>
      <c r="K63" s="4"/>
      <c r="L63" s="4"/>
      <c r="M63" s="4"/>
      <c r="N63" s="4"/>
      <c r="O63" s="4"/>
    </row>
    <row r="64" spans="1:15" x14ac:dyDescent="0.2">
      <c r="A64" s="8" t="s">
        <v>53</v>
      </c>
      <c r="B64" s="8" t="s">
        <v>1821</v>
      </c>
      <c r="C64" s="8" t="s">
        <v>1822</v>
      </c>
      <c r="D64" s="4"/>
      <c r="E64" s="4">
        <v>3884.66</v>
      </c>
      <c r="F64" s="4">
        <v>3840.51</v>
      </c>
      <c r="G64" s="4">
        <v>3929.48</v>
      </c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8" t="s">
        <v>53</v>
      </c>
      <c r="B65" s="8" t="s">
        <v>1823</v>
      </c>
      <c r="C65" s="8" t="s">
        <v>1824</v>
      </c>
      <c r="D65" s="4"/>
      <c r="E65" s="4">
        <v>2824.51</v>
      </c>
      <c r="F65" s="4">
        <v>2794.33</v>
      </c>
      <c r="G65" s="4">
        <v>2824.1</v>
      </c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8" t="s">
        <v>53</v>
      </c>
      <c r="B66" s="8" t="s">
        <v>1825</v>
      </c>
      <c r="C66" s="8" t="s">
        <v>1826</v>
      </c>
      <c r="D66" s="4"/>
      <c r="E66" s="4">
        <v>2834.54</v>
      </c>
      <c r="F66" s="4">
        <v>2815.28</v>
      </c>
      <c r="G66" s="4">
        <v>2827.33</v>
      </c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 t="s">
        <v>53</v>
      </c>
      <c r="B67" s="8" t="s">
        <v>1827</v>
      </c>
      <c r="C67" s="8" t="s">
        <v>1828</v>
      </c>
      <c r="D67" s="4"/>
      <c r="E67" s="4">
        <v>3574.04</v>
      </c>
      <c r="F67" s="4">
        <v>3570.12</v>
      </c>
      <c r="G67" s="4">
        <v>3627.52</v>
      </c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 t="s">
        <v>53</v>
      </c>
      <c r="B68" s="8" t="s">
        <v>1829</v>
      </c>
      <c r="C68" s="8" t="s">
        <v>1830</v>
      </c>
      <c r="D68" s="4"/>
      <c r="E68" s="4">
        <v>2851.1</v>
      </c>
      <c r="F68" s="4">
        <v>2817.4</v>
      </c>
      <c r="G68" s="4">
        <v>2853.21</v>
      </c>
      <c r="H68" s="4"/>
      <c r="I68" s="4"/>
      <c r="J68" s="4"/>
      <c r="K68" s="4"/>
      <c r="L68" s="4"/>
      <c r="M68" s="4"/>
      <c r="N68" s="4"/>
      <c r="O68" s="4"/>
    </row>
    <row r="69" spans="1:15" x14ac:dyDescent="0.2">
      <c r="A69" s="8" t="s">
        <v>53</v>
      </c>
      <c r="B69" s="8" t="s">
        <v>1831</v>
      </c>
      <c r="C69" s="8" t="s">
        <v>1832</v>
      </c>
      <c r="D69" s="4"/>
      <c r="E69" s="4">
        <v>3411.88</v>
      </c>
      <c r="F69" s="4">
        <v>3368.46</v>
      </c>
      <c r="G69" s="4">
        <v>3450.32</v>
      </c>
      <c r="H69" s="4"/>
      <c r="I69" s="4"/>
      <c r="J69" s="4"/>
      <c r="K69" s="4"/>
      <c r="L69" s="4"/>
      <c r="M69" s="4"/>
      <c r="N69" s="4"/>
      <c r="O69" s="4"/>
    </row>
    <row r="70" spans="1:15" x14ac:dyDescent="0.2">
      <c r="A70" s="8" t="s">
        <v>53</v>
      </c>
      <c r="B70" s="8" t="s">
        <v>1833</v>
      </c>
      <c r="C70" s="8" t="s">
        <v>1834</v>
      </c>
      <c r="D70" s="4"/>
      <c r="E70" s="4">
        <v>3431.51</v>
      </c>
      <c r="F70" s="4">
        <v>3400.45</v>
      </c>
      <c r="G70" s="4">
        <v>3445.48</v>
      </c>
      <c r="H70" s="4"/>
      <c r="I70" s="4"/>
      <c r="J70" s="4"/>
      <c r="K70" s="4"/>
      <c r="L70" s="4"/>
      <c r="M70" s="4"/>
      <c r="N70" s="4"/>
      <c r="O70" s="4"/>
    </row>
    <row r="71" spans="1:15" x14ac:dyDescent="0.2">
      <c r="A71" s="8" t="s">
        <v>53</v>
      </c>
      <c r="B71" s="8" t="s">
        <v>1835</v>
      </c>
      <c r="C71" s="8" t="s">
        <v>1836</v>
      </c>
      <c r="D71" s="4"/>
      <c r="E71" s="4">
        <v>3430.95</v>
      </c>
      <c r="F71" s="4">
        <v>3388.72</v>
      </c>
      <c r="G71" s="4">
        <v>3476.85</v>
      </c>
      <c r="H71" s="4"/>
      <c r="I71" s="4"/>
      <c r="J71" s="4"/>
      <c r="K71" s="4"/>
      <c r="L71" s="4"/>
      <c r="M71" s="4"/>
      <c r="N71" s="4"/>
      <c r="O71" s="4"/>
    </row>
    <row r="72" spans="1:15" x14ac:dyDescent="0.2">
      <c r="A72" s="8" t="s">
        <v>53</v>
      </c>
      <c r="B72" s="8" t="s">
        <v>1837</v>
      </c>
      <c r="C72" s="8" t="s">
        <v>1838</v>
      </c>
      <c r="D72" s="4"/>
      <c r="E72" s="4">
        <v>3429.79</v>
      </c>
      <c r="F72" s="4">
        <v>3397.07</v>
      </c>
      <c r="G72" s="4">
        <v>3456.94</v>
      </c>
      <c r="H72" s="4"/>
      <c r="I72" s="4"/>
      <c r="J72" s="4"/>
      <c r="K72" s="4"/>
      <c r="L72" s="4"/>
      <c r="M72" s="4"/>
      <c r="N72" s="4"/>
      <c r="O72" s="4"/>
    </row>
    <row r="73" spans="1:15" x14ac:dyDescent="0.2">
      <c r="A73" s="8" t="s">
        <v>53</v>
      </c>
      <c r="B73" s="8" t="s">
        <v>1839</v>
      </c>
      <c r="C73" s="8" t="s">
        <v>1840</v>
      </c>
      <c r="D73" s="4"/>
      <c r="E73" s="4">
        <v>3733.24</v>
      </c>
      <c r="F73" s="4">
        <v>3696.95</v>
      </c>
      <c r="G73" s="4">
        <v>3751.03</v>
      </c>
      <c r="H73" s="4"/>
      <c r="I73" s="4"/>
      <c r="J73" s="4"/>
      <c r="K73" s="4"/>
      <c r="L73" s="4"/>
      <c r="M73" s="4"/>
      <c r="N73" s="4"/>
      <c r="O73" s="4"/>
    </row>
    <row r="74" spans="1:15" x14ac:dyDescent="0.2">
      <c r="A74" s="8" t="s">
        <v>53</v>
      </c>
      <c r="B74" s="8" t="s">
        <v>1841</v>
      </c>
      <c r="C74" s="8" t="s">
        <v>1842</v>
      </c>
      <c r="D74" s="4"/>
      <c r="E74" s="4">
        <v>3762.44</v>
      </c>
      <c r="F74" s="4">
        <v>3732.46</v>
      </c>
      <c r="G74" s="4">
        <v>3787</v>
      </c>
      <c r="H74" s="4"/>
      <c r="I74" s="4"/>
      <c r="J74" s="4"/>
      <c r="K74" s="4"/>
      <c r="L74" s="4"/>
      <c r="M74" s="4"/>
      <c r="N74" s="4"/>
      <c r="O74" s="4"/>
    </row>
    <row r="75" spans="1:15" x14ac:dyDescent="0.2">
      <c r="A75" s="8" t="s">
        <v>53</v>
      </c>
      <c r="B75" s="8" t="s">
        <v>1843</v>
      </c>
      <c r="C75" s="8" t="s">
        <v>1844</v>
      </c>
      <c r="D75" s="4"/>
      <c r="E75" s="4">
        <v>43.47</v>
      </c>
      <c r="F75" s="4">
        <v>38.869999999999997</v>
      </c>
      <c r="G75" s="4">
        <v>40.130000000000003</v>
      </c>
      <c r="H75" s="4" t="s">
        <v>1998</v>
      </c>
      <c r="I75" s="4" t="s">
        <v>1998</v>
      </c>
      <c r="J75" s="4" t="s">
        <v>1998</v>
      </c>
      <c r="K75" s="4" t="s">
        <v>1998</v>
      </c>
      <c r="L75" s="4"/>
      <c r="M75" s="4"/>
      <c r="N75" s="4"/>
      <c r="O75" s="4"/>
    </row>
    <row r="76" spans="1:15" x14ac:dyDescent="0.2">
      <c r="A76" s="8" t="s">
        <v>53</v>
      </c>
      <c r="B76" s="8" t="s">
        <v>1845</v>
      </c>
      <c r="C76" s="8" t="s">
        <v>1846</v>
      </c>
      <c r="D76" s="4"/>
      <c r="E76" s="4">
        <v>38.549999999999997</v>
      </c>
      <c r="F76" s="4">
        <v>36.61</v>
      </c>
      <c r="G76" s="4">
        <v>46.2</v>
      </c>
      <c r="H76" s="4" t="s">
        <v>1998</v>
      </c>
      <c r="I76" s="4" t="s">
        <v>1998</v>
      </c>
      <c r="J76" s="4" t="s">
        <v>1998</v>
      </c>
      <c r="K76" s="4" t="s">
        <v>1998</v>
      </c>
      <c r="L76" s="4"/>
      <c r="M76" s="4"/>
      <c r="N76" s="4"/>
      <c r="O76" s="4"/>
    </row>
    <row r="77" spans="1:15" x14ac:dyDescent="0.2">
      <c r="A77" s="8" t="s">
        <v>53</v>
      </c>
      <c r="B77" s="8" t="s">
        <v>1847</v>
      </c>
      <c r="C77" s="8" t="s">
        <v>1848</v>
      </c>
      <c r="D77" s="4"/>
      <c r="E77" s="4">
        <v>38.42</v>
      </c>
      <c r="F77" s="4">
        <v>37.43</v>
      </c>
      <c r="G77" s="4">
        <v>38.71</v>
      </c>
      <c r="H77" s="4" t="s">
        <v>1998</v>
      </c>
      <c r="I77" s="4" t="s">
        <v>1998</v>
      </c>
      <c r="J77" s="4" t="s">
        <v>1998</v>
      </c>
      <c r="K77" s="4" t="s">
        <v>1998</v>
      </c>
      <c r="L77" s="4"/>
      <c r="M77" s="4"/>
      <c r="N77" s="4"/>
      <c r="O77" s="4"/>
    </row>
    <row r="78" spans="1:15" x14ac:dyDescent="0.2">
      <c r="A78" s="8" t="s">
        <v>53</v>
      </c>
      <c r="B78" s="8" t="s">
        <v>1849</v>
      </c>
      <c r="C78" s="8" t="s">
        <v>1850</v>
      </c>
      <c r="D78" s="4"/>
      <c r="E78" s="4">
        <v>67.78</v>
      </c>
      <c r="F78" s="4">
        <v>66.56</v>
      </c>
      <c r="G78" s="4">
        <v>69.08</v>
      </c>
      <c r="H78" s="4" t="s">
        <v>1998</v>
      </c>
      <c r="I78" s="4" t="s">
        <v>1998</v>
      </c>
      <c r="J78" s="4" t="s">
        <v>1998</v>
      </c>
      <c r="K78" s="4" t="s">
        <v>1998</v>
      </c>
      <c r="L78" s="4"/>
      <c r="M78" s="4"/>
      <c r="N78" s="4"/>
      <c r="O78" s="4"/>
    </row>
    <row r="79" spans="1:15" x14ac:dyDescent="0.2">
      <c r="A79" s="8" t="s">
        <v>53</v>
      </c>
      <c r="B79" s="8" t="s">
        <v>1851</v>
      </c>
      <c r="C79" s="8" t="s">
        <v>1852</v>
      </c>
      <c r="D79" s="4"/>
      <c r="E79" s="4">
        <v>43.2</v>
      </c>
      <c r="F79" s="4">
        <v>40.630000000000003</v>
      </c>
      <c r="G79" s="4">
        <v>43.53</v>
      </c>
      <c r="H79" s="4" t="s">
        <v>1998</v>
      </c>
      <c r="I79" s="4" t="s">
        <v>1998</v>
      </c>
      <c r="J79" s="4" t="s">
        <v>1998</v>
      </c>
      <c r="K79" s="4" t="s">
        <v>1998</v>
      </c>
      <c r="L79" s="4"/>
      <c r="M79" s="4"/>
      <c r="N79" s="4"/>
      <c r="O79" s="4"/>
    </row>
    <row r="80" spans="1:15" x14ac:dyDescent="0.2">
      <c r="A80" s="8" t="s">
        <v>53</v>
      </c>
      <c r="B80" s="8" t="s">
        <v>1853</v>
      </c>
      <c r="C80" s="8" t="s">
        <v>1854</v>
      </c>
      <c r="D80" s="4"/>
      <c r="E80" s="4">
        <v>40.450000000000003</v>
      </c>
      <c r="F80" s="4">
        <v>38.58</v>
      </c>
      <c r="G80" s="4">
        <v>40.119999999999997</v>
      </c>
      <c r="H80" s="4" t="s">
        <v>1998</v>
      </c>
      <c r="I80" s="4" t="s">
        <v>1998</v>
      </c>
      <c r="J80" s="4" t="s">
        <v>1998</v>
      </c>
      <c r="K80" s="4" t="s">
        <v>1998</v>
      </c>
      <c r="L80" s="4"/>
      <c r="M80" s="4"/>
      <c r="N80" s="4"/>
      <c r="O80" s="4"/>
    </row>
    <row r="81" spans="1:15" x14ac:dyDescent="0.2">
      <c r="A81" s="8" t="s">
        <v>53</v>
      </c>
      <c r="B81" s="8" t="s">
        <v>1855</v>
      </c>
      <c r="C81" s="8" t="s">
        <v>1856</v>
      </c>
      <c r="D81" s="4"/>
      <c r="E81" s="4">
        <v>40.44</v>
      </c>
      <c r="F81" s="4">
        <v>38.44</v>
      </c>
      <c r="G81" s="4">
        <v>40.57</v>
      </c>
      <c r="H81" s="4" t="s">
        <v>1998</v>
      </c>
      <c r="I81" s="4" t="s">
        <v>1998</v>
      </c>
      <c r="J81" s="4" t="s">
        <v>1998</v>
      </c>
      <c r="K81" s="4" t="s">
        <v>1998</v>
      </c>
      <c r="L81" s="4"/>
      <c r="M81" s="4"/>
      <c r="N81" s="4"/>
      <c r="O81" s="4"/>
    </row>
    <row r="82" spans="1:15" x14ac:dyDescent="0.2">
      <c r="A82" s="8" t="s">
        <v>53</v>
      </c>
      <c r="B82" s="8" t="s">
        <v>1857</v>
      </c>
      <c r="C82" s="8" t="s">
        <v>1858</v>
      </c>
      <c r="D82" s="4"/>
      <c r="E82" s="4">
        <v>72.02</v>
      </c>
      <c r="F82" s="4">
        <v>69.150000000000006</v>
      </c>
      <c r="G82" s="4">
        <v>71.349999999999994</v>
      </c>
      <c r="H82" s="4" t="s">
        <v>1998</v>
      </c>
      <c r="I82" s="4" t="s">
        <v>1998</v>
      </c>
      <c r="J82" s="4" t="s">
        <v>1998</v>
      </c>
      <c r="K82" s="4" t="s">
        <v>1998</v>
      </c>
      <c r="L82" s="4"/>
      <c r="M82" s="4"/>
      <c r="N82" s="4"/>
      <c r="O82" s="4"/>
    </row>
    <row r="83" spans="1:15" x14ac:dyDescent="0.2">
      <c r="A83" s="8" t="s">
        <v>53</v>
      </c>
      <c r="B83" s="8" t="s">
        <v>1859</v>
      </c>
      <c r="C83" s="8" t="s">
        <v>1860</v>
      </c>
      <c r="D83" s="4"/>
      <c r="E83" s="4">
        <v>40.79</v>
      </c>
      <c r="F83" s="4">
        <v>39.42</v>
      </c>
      <c r="G83" s="4">
        <v>42.89</v>
      </c>
      <c r="H83" s="4" t="s">
        <v>1998</v>
      </c>
      <c r="I83" s="4" t="s">
        <v>1998</v>
      </c>
      <c r="J83" s="4" t="s">
        <v>1998</v>
      </c>
      <c r="K83" s="4" t="s">
        <v>1998</v>
      </c>
      <c r="L83" s="4"/>
      <c r="M83" s="4"/>
      <c r="N83" s="4"/>
      <c r="O83" s="4"/>
    </row>
    <row r="84" spans="1:15" x14ac:dyDescent="0.2">
      <c r="A84" s="8" t="s">
        <v>53</v>
      </c>
      <c r="B84" s="8" t="s">
        <v>1861</v>
      </c>
      <c r="C84" s="8" t="s">
        <v>1862</v>
      </c>
      <c r="D84" s="4"/>
      <c r="E84" s="4">
        <v>40.43</v>
      </c>
      <c r="F84" s="4">
        <v>39.85</v>
      </c>
      <c r="G84" s="4">
        <v>41.28</v>
      </c>
      <c r="H84" s="4" t="s">
        <v>1998</v>
      </c>
      <c r="I84" s="4" t="s">
        <v>1998</v>
      </c>
      <c r="J84" s="4" t="s">
        <v>1998</v>
      </c>
      <c r="K84" s="4" t="s">
        <v>1998</v>
      </c>
      <c r="L84" s="4"/>
      <c r="M84" s="4"/>
      <c r="N84" s="4"/>
      <c r="O84" s="4"/>
    </row>
    <row r="85" spans="1:15" x14ac:dyDescent="0.2">
      <c r="A85" s="8" t="s">
        <v>53</v>
      </c>
      <c r="B85" s="8" t="s">
        <v>1863</v>
      </c>
      <c r="C85" s="8" t="s">
        <v>1864</v>
      </c>
      <c r="D85" s="4"/>
      <c r="E85" s="4">
        <v>34.71</v>
      </c>
      <c r="F85" s="4">
        <v>34.54</v>
      </c>
      <c r="G85" s="4">
        <v>35.840000000000003</v>
      </c>
      <c r="H85" s="4" t="s">
        <v>1998</v>
      </c>
      <c r="I85" s="4" t="s">
        <v>1998</v>
      </c>
      <c r="J85" s="4" t="s">
        <v>1998</v>
      </c>
      <c r="K85" s="4" t="s">
        <v>1998</v>
      </c>
      <c r="L85" s="4"/>
      <c r="M85" s="4"/>
      <c r="N85" s="4"/>
      <c r="O85" s="4"/>
    </row>
    <row r="86" spans="1:15" x14ac:dyDescent="0.2">
      <c r="A86" s="8" t="s">
        <v>53</v>
      </c>
      <c r="B86" s="8" t="s">
        <v>1865</v>
      </c>
      <c r="C86" s="8" t="s">
        <v>1866</v>
      </c>
      <c r="D86" s="4"/>
      <c r="E86" s="4">
        <v>34.39</v>
      </c>
      <c r="F86" s="4">
        <v>33.64</v>
      </c>
      <c r="G86" s="4">
        <v>36.04</v>
      </c>
      <c r="H86" s="4" t="s">
        <v>1998</v>
      </c>
      <c r="I86" s="4" t="s">
        <v>1998</v>
      </c>
      <c r="J86" s="4" t="s">
        <v>1998</v>
      </c>
      <c r="K86" s="4" t="s">
        <v>1998</v>
      </c>
      <c r="L86" s="4"/>
      <c r="M86" s="4"/>
      <c r="N86" s="4"/>
      <c r="O86" s="4"/>
    </row>
    <row r="87" spans="1:15" x14ac:dyDescent="0.2">
      <c r="A87" s="8" t="s">
        <v>53</v>
      </c>
      <c r="B87" s="8" t="s">
        <v>1867</v>
      </c>
      <c r="C87" s="8" t="s">
        <v>1868</v>
      </c>
      <c r="D87" s="4"/>
      <c r="E87" s="4">
        <v>37.19</v>
      </c>
      <c r="F87" s="4">
        <v>66.36</v>
      </c>
      <c r="G87" s="4">
        <v>35.46</v>
      </c>
      <c r="H87" s="4" t="s">
        <v>1998</v>
      </c>
      <c r="I87" s="4" t="s">
        <v>1998</v>
      </c>
      <c r="J87" s="4" t="s">
        <v>1998</v>
      </c>
      <c r="K87" s="4" t="s">
        <v>1998</v>
      </c>
      <c r="L87" s="4"/>
      <c r="M87" s="4"/>
      <c r="N87" s="4"/>
      <c r="O87" s="4"/>
    </row>
    <row r="88" spans="1:15" x14ac:dyDescent="0.2">
      <c r="A88" s="8" t="s">
        <v>53</v>
      </c>
      <c r="B88" s="8" t="s">
        <v>1869</v>
      </c>
      <c r="C88" s="8" t="s">
        <v>1870</v>
      </c>
      <c r="D88" s="4"/>
      <c r="E88" s="4">
        <v>65.67</v>
      </c>
      <c r="F88" s="4">
        <v>35.94</v>
      </c>
      <c r="G88" s="4">
        <v>69.36</v>
      </c>
      <c r="H88" s="4" t="s">
        <v>1998</v>
      </c>
      <c r="I88" s="4" t="s">
        <v>1998</v>
      </c>
      <c r="J88" s="4" t="s">
        <v>1998</v>
      </c>
      <c r="K88" s="4" t="s">
        <v>1998</v>
      </c>
      <c r="L88" s="4"/>
      <c r="M88" s="4"/>
      <c r="N88" s="4"/>
      <c r="O88" s="4"/>
    </row>
    <row r="89" spans="1:15" x14ac:dyDescent="0.2">
      <c r="A89" s="8" t="s">
        <v>53</v>
      </c>
      <c r="B89" s="8" t="s">
        <v>1871</v>
      </c>
      <c r="C89" s="8" t="s">
        <v>1872</v>
      </c>
      <c r="D89" s="4"/>
      <c r="E89" s="4">
        <v>39.090000000000003</v>
      </c>
      <c r="F89" s="4">
        <v>35.76</v>
      </c>
      <c r="G89" s="4">
        <v>40.69</v>
      </c>
      <c r="H89" s="4" t="s">
        <v>1998</v>
      </c>
      <c r="I89" s="4" t="s">
        <v>1998</v>
      </c>
      <c r="J89" s="4" t="s">
        <v>1998</v>
      </c>
      <c r="K89" s="4" t="s">
        <v>1998</v>
      </c>
      <c r="L89" s="4"/>
      <c r="M89" s="4"/>
      <c r="N89" s="4"/>
      <c r="O89" s="4"/>
    </row>
    <row r="90" spans="1:15" x14ac:dyDescent="0.2">
      <c r="A90" s="8" t="s">
        <v>53</v>
      </c>
      <c r="B90" s="8" t="s">
        <v>1873</v>
      </c>
      <c r="C90" s="8" t="s">
        <v>1874</v>
      </c>
      <c r="D90" s="4"/>
      <c r="E90" s="4">
        <v>37.07</v>
      </c>
      <c r="F90" s="4">
        <v>35.54</v>
      </c>
      <c r="G90" s="4">
        <v>38.770000000000003</v>
      </c>
      <c r="H90" s="4" t="s">
        <v>1998</v>
      </c>
      <c r="I90" s="4" t="s">
        <v>1998</v>
      </c>
      <c r="J90" s="4" t="s">
        <v>1998</v>
      </c>
      <c r="K90" s="4" t="s">
        <v>1998</v>
      </c>
      <c r="L90" s="4"/>
      <c r="M90" s="4"/>
      <c r="N90" s="4"/>
      <c r="O90" s="4"/>
    </row>
    <row r="91" spans="1:15" x14ac:dyDescent="0.2">
      <c r="A91" s="8" t="s">
        <v>53</v>
      </c>
      <c r="B91" s="8" t="s">
        <v>1875</v>
      </c>
      <c r="C91" s="8" t="s">
        <v>1876</v>
      </c>
      <c r="D91" s="4"/>
      <c r="E91" s="4">
        <v>36.869999999999997</v>
      </c>
      <c r="F91" s="4">
        <v>35.46</v>
      </c>
      <c r="G91" s="4">
        <v>37.58</v>
      </c>
      <c r="H91" s="4" t="s">
        <v>1998</v>
      </c>
      <c r="I91" s="4" t="s">
        <v>1998</v>
      </c>
      <c r="J91" s="4" t="s">
        <v>1998</v>
      </c>
      <c r="K91" s="4" t="s">
        <v>1998</v>
      </c>
      <c r="L91" s="4"/>
      <c r="M91" s="4"/>
      <c r="N91" s="4"/>
      <c r="O91" s="4"/>
    </row>
    <row r="92" spans="1:15" x14ac:dyDescent="0.2">
      <c r="A92" s="8" t="s">
        <v>53</v>
      </c>
      <c r="B92" s="8" t="s">
        <v>1877</v>
      </c>
      <c r="C92" s="8" t="s">
        <v>1878</v>
      </c>
      <c r="D92" s="4"/>
      <c r="E92" s="4">
        <v>36.71</v>
      </c>
      <c r="F92" s="4">
        <v>35.18</v>
      </c>
      <c r="G92" s="4">
        <v>37.39</v>
      </c>
      <c r="H92" s="4" t="s">
        <v>1998</v>
      </c>
      <c r="I92" s="4" t="s">
        <v>1998</v>
      </c>
      <c r="J92" s="4" t="s">
        <v>1998</v>
      </c>
      <c r="K92" s="4" t="s">
        <v>1998</v>
      </c>
      <c r="L92" s="4"/>
      <c r="M92" s="4"/>
      <c r="N92" s="4"/>
      <c r="O92" s="4"/>
    </row>
    <row r="93" spans="1:15" x14ac:dyDescent="0.2">
      <c r="A93" s="8" t="s">
        <v>53</v>
      </c>
      <c r="B93" s="8" t="s">
        <v>1879</v>
      </c>
      <c r="C93" s="8" t="s">
        <v>1880</v>
      </c>
      <c r="D93" s="4"/>
      <c r="E93" s="4">
        <v>67.61</v>
      </c>
      <c r="F93" s="4">
        <v>35.39</v>
      </c>
      <c r="G93" s="4">
        <v>68.94</v>
      </c>
      <c r="H93" s="4" t="s">
        <v>1998</v>
      </c>
      <c r="I93" s="4" t="s">
        <v>1998</v>
      </c>
      <c r="J93" s="4" t="s">
        <v>1998</v>
      </c>
      <c r="K93" s="4" t="s">
        <v>1998</v>
      </c>
      <c r="L93" s="4"/>
      <c r="M93" s="4"/>
      <c r="N93" s="4"/>
      <c r="O93" s="4"/>
    </row>
    <row r="94" spans="1:15" x14ac:dyDescent="0.2">
      <c r="A94" s="8" t="s">
        <v>53</v>
      </c>
      <c r="B94" s="8" t="s">
        <v>1881</v>
      </c>
      <c r="C94" s="8" t="s">
        <v>1882</v>
      </c>
      <c r="D94" s="4"/>
      <c r="E94" s="4">
        <v>37.130000000000003</v>
      </c>
      <c r="F94" s="4">
        <v>68.45</v>
      </c>
      <c r="G94" s="4">
        <v>40.57</v>
      </c>
      <c r="H94" s="4" t="s">
        <v>1998</v>
      </c>
      <c r="I94" s="4" t="s">
        <v>1998</v>
      </c>
      <c r="J94" s="4" t="s">
        <v>1998</v>
      </c>
      <c r="K94" s="4" t="s">
        <v>1998</v>
      </c>
      <c r="L94" s="4"/>
      <c r="M94" s="4"/>
      <c r="N94" s="4"/>
      <c r="O94" s="4"/>
    </row>
    <row r="95" spans="1:15" x14ac:dyDescent="0.2">
      <c r="A95" s="8" t="s">
        <v>53</v>
      </c>
      <c r="B95" s="8" t="s">
        <v>1883</v>
      </c>
      <c r="C95" s="8" t="s">
        <v>1884</v>
      </c>
      <c r="D95" s="4"/>
      <c r="E95" s="4">
        <v>53.35</v>
      </c>
      <c r="F95" s="4">
        <v>52.42</v>
      </c>
      <c r="G95" s="4">
        <v>54.62</v>
      </c>
      <c r="H95" s="4" t="s">
        <v>1998</v>
      </c>
      <c r="I95" s="4" t="s">
        <v>1998</v>
      </c>
      <c r="J95" s="4" t="s">
        <v>1998</v>
      </c>
      <c r="K95" s="4" t="s">
        <v>1998</v>
      </c>
      <c r="L95" s="4"/>
      <c r="M95" s="4"/>
      <c r="N95" s="4"/>
      <c r="O95" s="4"/>
    </row>
    <row r="96" spans="1:15" x14ac:dyDescent="0.2">
      <c r="A96" s="8" t="s">
        <v>53</v>
      </c>
      <c r="B96" s="8" t="s">
        <v>1885</v>
      </c>
      <c r="C96" s="8" t="s">
        <v>1886</v>
      </c>
      <c r="D96" s="4"/>
      <c r="E96" s="4">
        <v>74.44</v>
      </c>
      <c r="F96" s="4">
        <v>42.97</v>
      </c>
      <c r="G96" s="4">
        <v>72.45</v>
      </c>
      <c r="H96" s="4" t="s">
        <v>1998</v>
      </c>
      <c r="I96" s="4" t="s">
        <v>1998</v>
      </c>
      <c r="J96" s="4" t="s">
        <v>1998</v>
      </c>
      <c r="K96" s="4" t="s">
        <v>1998</v>
      </c>
      <c r="L96" s="4"/>
      <c r="M96" s="4"/>
      <c r="N96" s="4"/>
      <c r="O96" s="4"/>
    </row>
    <row r="97" spans="1:15" x14ac:dyDescent="0.2">
      <c r="A97" s="8" t="s">
        <v>53</v>
      </c>
      <c r="B97" s="8" t="s">
        <v>1887</v>
      </c>
      <c r="C97" s="8" t="s">
        <v>1888</v>
      </c>
      <c r="D97" s="4"/>
      <c r="E97" s="4">
        <v>42.47</v>
      </c>
      <c r="F97" s="4">
        <v>68.62</v>
      </c>
      <c r="G97" s="4">
        <v>43.11</v>
      </c>
      <c r="H97" s="4" t="s">
        <v>1998</v>
      </c>
      <c r="I97" s="4" t="s">
        <v>1998</v>
      </c>
      <c r="J97" s="4" t="s">
        <v>1998</v>
      </c>
      <c r="K97" s="4" t="s">
        <v>1998</v>
      </c>
      <c r="L97" s="4"/>
      <c r="M97" s="4"/>
      <c r="N97" s="4"/>
      <c r="O97" s="4"/>
    </row>
    <row r="98" spans="1:15" x14ac:dyDescent="0.2">
      <c r="A98" s="8" t="s">
        <v>53</v>
      </c>
      <c r="B98" s="8" t="s">
        <v>1889</v>
      </c>
      <c r="C98" s="8" t="s">
        <v>1890</v>
      </c>
      <c r="D98" s="4"/>
      <c r="E98" s="4">
        <v>268.52</v>
      </c>
      <c r="F98" s="4">
        <v>288.20999999999998</v>
      </c>
      <c r="G98" s="4">
        <v>296.06</v>
      </c>
      <c r="H98" s="4" t="s">
        <v>1998</v>
      </c>
      <c r="I98" s="4" t="s">
        <v>1998</v>
      </c>
      <c r="J98" s="4"/>
      <c r="K98" s="4"/>
      <c r="L98" s="4"/>
      <c r="M98" s="4"/>
      <c r="N98" s="4"/>
      <c r="O98" s="4"/>
    </row>
    <row r="99" spans="1:15" x14ac:dyDescent="0.2">
      <c r="A99" s="8" t="s">
        <v>53</v>
      </c>
      <c r="B99" s="8" t="s">
        <v>1891</v>
      </c>
      <c r="C99" s="8" t="s">
        <v>1892</v>
      </c>
      <c r="D99" s="4"/>
      <c r="E99" s="4">
        <v>51.64</v>
      </c>
      <c r="F99" s="4">
        <v>51.44</v>
      </c>
      <c r="G99" s="4">
        <v>51.9</v>
      </c>
      <c r="H99" s="4" t="s">
        <v>1998</v>
      </c>
      <c r="I99" s="4" t="s">
        <v>1998</v>
      </c>
      <c r="J99" s="4"/>
      <c r="K99" s="4"/>
      <c r="L99" s="4"/>
      <c r="M99" s="4"/>
      <c r="N99" s="4"/>
      <c r="O99" s="4"/>
    </row>
    <row r="100" spans="1:15" x14ac:dyDescent="0.2">
      <c r="A100" s="8" t="s">
        <v>53</v>
      </c>
      <c r="B100" s="8" t="s">
        <v>1893</v>
      </c>
      <c r="C100" s="8" t="s">
        <v>1894</v>
      </c>
      <c r="D100" s="4"/>
      <c r="E100" s="4">
        <v>52.49</v>
      </c>
      <c r="F100" s="4">
        <v>52.01</v>
      </c>
      <c r="G100" s="4">
        <v>52.59</v>
      </c>
      <c r="H100" s="4" t="s">
        <v>1998</v>
      </c>
      <c r="I100" s="4" t="s">
        <v>1998</v>
      </c>
      <c r="J100" s="4"/>
      <c r="K100" s="4"/>
      <c r="L100" s="4"/>
      <c r="M100" s="4"/>
      <c r="N100" s="4"/>
      <c r="O100" s="4"/>
    </row>
    <row r="101" spans="1:15" x14ac:dyDescent="0.2">
      <c r="A101" s="8" t="s">
        <v>53</v>
      </c>
      <c r="B101" s="8" t="s">
        <v>1895</v>
      </c>
      <c r="C101" s="8" t="s">
        <v>1896</v>
      </c>
      <c r="D101" s="4"/>
      <c r="E101" s="4">
        <v>466.3</v>
      </c>
      <c r="F101" s="4">
        <v>2546.88</v>
      </c>
      <c r="G101" s="4">
        <v>420.77</v>
      </c>
      <c r="H101" s="4"/>
      <c r="I101" s="4"/>
      <c r="J101" s="4"/>
      <c r="K101" s="4"/>
      <c r="L101" s="4" t="s">
        <v>1998</v>
      </c>
      <c r="M101" s="4"/>
      <c r="N101" s="4"/>
      <c r="O101" s="4"/>
    </row>
    <row r="102" spans="1:15" x14ac:dyDescent="0.2">
      <c r="A102" s="8" t="s">
        <v>53</v>
      </c>
      <c r="B102" s="8" t="s">
        <v>1897</v>
      </c>
      <c r="C102" s="8" t="s">
        <v>1898</v>
      </c>
      <c r="D102" s="4"/>
      <c r="E102" s="4">
        <v>476.02</v>
      </c>
      <c r="F102" s="4">
        <v>509.68</v>
      </c>
      <c r="G102" s="4">
        <v>527.21</v>
      </c>
      <c r="H102" s="4"/>
      <c r="I102" s="4"/>
      <c r="J102" s="4"/>
      <c r="K102" s="4"/>
      <c r="L102" s="4" t="s">
        <v>1998</v>
      </c>
      <c r="M102" s="4"/>
      <c r="N102" s="4"/>
      <c r="O102" s="4"/>
    </row>
    <row r="103" spans="1:15" x14ac:dyDescent="0.2">
      <c r="A103" s="8" t="s">
        <v>53</v>
      </c>
      <c r="B103" s="8" t="s">
        <v>1899</v>
      </c>
      <c r="C103" s="8" t="s">
        <v>1900</v>
      </c>
      <c r="D103" s="4"/>
      <c r="E103" s="4">
        <v>1225.67</v>
      </c>
      <c r="F103" s="4">
        <v>1231.74</v>
      </c>
      <c r="G103" s="4">
        <v>1217.78</v>
      </c>
      <c r="H103" s="4"/>
      <c r="I103" s="4"/>
      <c r="J103" s="4"/>
      <c r="K103" s="4"/>
      <c r="L103" s="4" t="s">
        <v>1998</v>
      </c>
      <c r="M103" s="4"/>
      <c r="N103" s="4"/>
      <c r="O103" s="4"/>
    </row>
    <row r="104" spans="1:15" x14ac:dyDescent="0.2">
      <c r="A104" s="8" t="s">
        <v>53</v>
      </c>
      <c r="B104" s="8" t="s">
        <v>1901</v>
      </c>
      <c r="C104" s="8" t="s">
        <v>1902</v>
      </c>
      <c r="D104" s="4"/>
      <c r="E104" s="4">
        <v>164.19</v>
      </c>
      <c r="F104" s="4">
        <v>170.86</v>
      </c>
      <c r="G104" s="4">
        <v>168.73</v>
      </c>
      <c r="H104" s="4" t="s">
        <v>63</v>
      </c>
      <c r="I104" s="4" t="s">
        <v>63</v>
      </c>
      <c r="J104" s="4" t="s">
        <v>63</v>
      </c>
      <c r="K104" s="4" t="s">
        <v>63</v>
      </c>
      <c r="L104" s="4"/>
      <c r="M104" s="4"/>
      <c r="N104" s="4"/>
      <c r="O104" s="4"/>
    </row>
    <row r="105" spans="1:15" x14ac:dyDescent="0.2">
      <c r="A105" s="8" t="s">
        <v>53</v>
      </c>
      <c r="B105" s="8" t="s">
        <v>1903</v>
      </c>
      <c r="C105" s="8" t="s">
        <v>1904</v>
      </c>
      <c r="D105" s="4"/>
      <c r="E105" s="4">
        <v>38.340000000000003</v>
      </c>
      <c r="F105" s="4">
        <v>37.950000000000003</v>
      </c>
      <c r="G105" s="4">
        <v>38.44</v>
      </c>
      <c r="H105" s="4" t="s">
        <v>1998</v>
      </c>
      <c r="I105" s="4" t="s">
        <v>1998</v>
      </c>
      <c r="J105" s="4" t="s">
        <v>1998</v>
      </c>
      <c r="K105" s="4" t="s">
        <v>1998</v>
      </c>
      <c r="L105" s="4"/>
      <c r="M105" s="4"/>
      <c r="N105" s="4"/>
      <c r="O105" s="4"/>
    </row>
    <row r="106" spans="1:15" x14ac:dyDescent="0.2">
      <c r="A106" s="8" t="s">
        <v>53</v>
      </c>
      <c r="B106" s="8" t="s">
        <v>1905</v>
      </c>
      <c r="C106" s="8" t="s">
        <v>1906</v>
      </c>
      <c r="D106" s="4"/>
      <c r="E106" s="4">
        <v>86.1</v>
      </c>
      <c r="F106" s="4">
        <v>49.48</v>
      </c>
      <c r="G106" s="4">
        <v>52.08</v>
      </c>
      <c r="H106" s="4" t="s">
        <v>63</v>
      </c>
      <c r="I106" s="4"/>
      <c r="J106" s="4"/>
      <c r="K106" s="4"/>
      <c r="L106" s="4"/>
      <c r="M106" s="4"/>
      <c r="N106" s="4"/>
      <c r="O106" s="4"/>
    </row>
    <row r="107" spans="1:15" x14ac:dyDescent="0.2">
      <c r="A107" s="8" t="s">
        <v>53</v>
      </c>
      <c r="B107" s="8" t="s">
        <v>1907</v>
      </c>
      <c r="C107" s="8" t="s">
        <v>1908</v>
      </c>
      <c r="D107" s="4"/>
      <c r="E107" s="4">
        <v>300.63</v>
      </c>
      <c r="F107" s="4">
        <v>294.13</v>
      </c>
      <c r="G107" s="4">
        <v>299.77</v>
      </c>
      <c r="H107" s="4" t="s">
        <v>63</v>
      </c>
      <c r="I107" s="4"/>
      <c r="J107" s="4"/>
      <c r="K107" s="4"/>
      <c r="L107" s="4"/>
      <c r="M107" s="4"/>
      <c r="N107" s="4"/>
      <c r="O107" s="4"/>
    </row>
    <row r="108" spans="1:15" x14ac:dyDescent="0.2">
      <c r="A108" s="8" t="s">
        <v>53</v>
      </c>
      <c r="B108" s="8" t="s">
        <v>1909</v>
      </c>
      <c r="C108" s="8" t="s">
        <v>1910</v>
      </c>
      <c r="D108" s="4"/>
      <c r="E108" s="4">
        <v>37.54</v>
      </c>
      <c r="F108" s="4">
        <v>34.950000000000003</v>
      </c>
      <c r="G108" s="4">
        <v>37.06</v>
      </c>
      <c r="H108" s="4"/>
      <c r="I108" s="4"/>
      <c r="J108" s="4"/>
      <c r="K108" s="4"/>
      <c r="L108" s="4" t="s">
        <v>1998</v>
      </c>
      <c r="M108" s="4"/>
      <c r="N108" s="4"/>
      <c r="O108" s="4"/>
    </row>
    <row r="109" spans="1:15" x14ac:dyDescent="0.2">
      <c r="A109" s="8" t="s">
        <v>53</v>
      </c>
      <c r="B109" s="8" t="s">
        <v>1911</v>
      </c>
      <c r="C109" s="8" t="s">
        <v>1912</v>
      </c>
      <c r="D109" s="4"/>
      <c r="E109" s="4">
        <v>70.77</v>
      </c>
      <c r="F109" s="4">
        <v>39.42</v>
      </c>
      <c r="G109" s="4">
        <v>73.37</v>
      </c>
      <c r="H109" s="4"/>
      <c r="I109" s="4"/>
      <c r="J109" s="4"/>
      <c r="K109" s="4"/>
      <c r="L109" s="4" t="s">
        <v>1998</v>
      </c>
      <c r="M109" s="4"/>
      <c r="N109" s="4"/>
      <c r="O109" s="4"/>
    </row>
    <row r="110" spans="1:15" x14ac:dyDescent="0.2">
      <c r="A110" s="8" t="s">
        <v>53</v>
      </c>
      <c r="B110" s="8" t="s">
        <v>1913</v>
      </c>
      <c r="C110" s="8" t="s">
        <v>1914</v>
      </c>
      <c r="D110" s="4"/>
      <c r="E110" s="4">
        <v>50.71</v>
      </c>
      <c r="F110" s="4">
        <v>81.11</v>
      </c>
      <c r="G110" s="4">
        <v>50.13</v>
      </c>
      <c r="H110" s="4"/>
      <c r="I110" s="4"/>
      <c r="J110" s="4"/>
      <c r="K110" s="4"/>
      <c r="L110" s="4" t="s">
        <v>1998</v>
      </c>
      <c r="M110" s="4"/>
      <c r="N110" s="4"/>
      <c r="O110" s="4"/>
    </row>
    <row r="111" spans="1:15" x14ac:dyDescent="0.2">
      <c r="A111" s="8" t="s">
        <v>53</v>
      </c>
      <c r="B111" s="8" t="s">
        <v>1915</v>
      </c>
      <c r="C111" s="8" t="s">
        <v>1916</v>
      </c>
      <c r="D111" s="4"/>
      <c r="E111" s="4">
        <v>49.43</v>
      </c>
      <c r="F111" s="4">
        <v>49.15</v>
      </c>
      <c r="G111" s="4">
        <v>49.91</v>
      </c>
      <c r="H111" s="4"/>
      <c r="I111" s="4"/>
      <c r="J111" s="4"/>
      <c r="K111" s="4"/>
      <c r="L111" s="4" t="s">
        <v>1998</v>
      </c>
      <c r="M111" s="4"/>
      <c r="N111" s="4"/>
      <c r="O111" s="4"/>
    </row>
    <row r="112" spans="1:15" x14ac:dyDescent="0.2">
      <c r="A112" s="8" t="s">
        <v>53</v>
      </c>
      <c r="B112" s="8" t="s">
        <v>1917</v>
      </c>
      <c r="C112" s="8" t="s">
        <v>1918</v>
      </c>
      <c r="D112" s="4"/>
      <c r="E112" s="4">
        <v>51.84</v>
      </c>
      <c r="F112" s="4">
        <v>48.34</v>
      </c>
      <c r="G112" s="4">
        <v>83.04</v>
      </c>
      <c r="H112" s="4"/>
      <c r="I112" s="4"/>
      <c r="J112" s="4"/>
      <c r="K112" s="4"/>
      <c r="L112" s="4" t="s">
        <v>1998</v>
      </c>
      <c r="M112" s="4"/>
      <c r="N112" s="4"/>
      <c r="O112" s="4"/>
    </row>
    <row r="113" spans="1:15" x14ac:dyDescent="0.2">
      <c r="A113" s="8" t="s">
        <v>53</v>
      </c>
      <c r="B113" s="8" t="s">
        <v>1919</v>
      </c>
      <c r="C113" s="8" t="s">
        <v>1920</v>
      </c>
      <c r="D113" s="4"/>
      <c r="E113" s="4">
        <v>92.66</v>
      </c>
      <c r="F113" s="4">
        <v>83.6</v>
      </c>
      <c r="G113" s="4">
        <v>50.11</v>
      </c>
      <c r="H113" s="4"/>
      <c r="I113" s="4"/>
      <c r="J113" s="4"/>
      <c r="K113" s="4"/>
      <c r="L113" s="4" t="s">
        <v>1998</v>
      </c>
      <c r="M113" s="4"/>
      <c r="N113" s="4"/>
      <c r="O113" s="4"/>
    </row>
    <row r="114" spans="1:15" x14ac:dyDescent="0.2">
      <c r="A114" s="8" t="s">
        <v>53</v>
      </c>
      <c r="B114" s="8" t="s">
        <v>1921</v>
      </c>
      <c r="C114" s="8" t="s">
        <v>1922</v>
      </c>
      <c r="D114" s="4"/>
      <c r="E114" s="4">
        <v>55.86</v>
      </c>
      <c r="F114" s="4">
        <v>50.72</v>
      </c>
      <c r="G114" s="4">
        <v>54.97</v>
      </c>
      <c r="H114" s="4"/>
      <c r="I114" s="4"/>
      <c r="J114" s="4"/>
      <c r="K114" s="4"/>
      <c r="L114" s="4" t="s">
        <v>1998</v>
      </c>
      <c r="M114" s="4"/>
      <c r="N114" s="4"/>
      <c r="O114" s="4"/>
    </row>
    <row r="115" spans="1:15" x14ac:dyDescent="0.2">
      <c r="A115" s="8" t="s">
        <v>53</v>
      </c>
      <c r="B115" s="8" t="s">
        <v>1923</v>
      </c>
      <c r="C115" s="8" t="s">
        <v>1924</v>
      </c>
      <c r="D115" s="4"/>
      <c r="E115" s="4">
        <v>82.38</v>
      </c>
      <c r="F115" s="4">
        <v>49.74</v>
      </c>
      <c r="G115" s="4">
        <v>81.58</v>
      </c>
      <c r="H115" s="4"/>
      <c r="I115" s="4"/>
      <c r="J115" s="4"/>
      <c r="K115" s="4"/>
      <c r="L115" s="4" t="s">
        <v>1998</v>
      </c>
      <c r="M115" s="4"/>
      <c r="N115" s="4"/>
      <c r="O115" s="4"/>
    </row>
    <row r="116" spans="1:15" x14ac:dyDescent="0.2">
      <c r="A116" s="8" t="s">
        <v>53</v>
      </c>
      <c r="B116" s="8" t="s">
        <v>1925</v>
      </c>
      <c r="C116" s="8" t="s">
        <v>1926</v>
      </c>
      <c r="D116" s="4"/>
      <c r="E116" s="4">
        <v>52.25</v>
      </c>
      <c r="F116" s="4">
        <v>78.900000000000006</v>
      </c>
      <c r="G116" s="4">
        <v>52.16</v>
      </c>
      <c r="H116" s="4"/>
      <c r="I116" s="4"/>
      <c r="J116" s="4"/>
      <c r="K116" s="4"/>
      <c r="L116" s="4" t="s">
        <v>1998</v>
      </c>
      <c r="M116" s="4"/>
      <c r="N116" s="4"/>
      <c r="O116" s="4"/>
    </row>
    <row r="117" spans="1:15" x14ac:dyDescent="0.2">
      <c r="A117" s="8" t="s">
        <v>53</v>
      </c>
      <c r="B117" s="8" t="s">
        <v>1927</v>
      </c>
      <c r="C117" s="8" t="s">
        <v>1928</v>
      </c>
      <c r="D117" s="4"/>
      <c r="E117" s="4">
        <v>51.3</v>
      </c>
      <c r="F117" s="4">
        <v>50.74</v>
      </c>
      <c r="G117" s="4">
        <v>80.44</v>
      </c>
      <c r="H117" s="4"/>
      <c r="I117" s="4"/>
      <c r="J117" s="4"/>
      <c r="K117" s="4"/>
      <c r="L117" s="4" t="s">
        <v>1998</v>
      </c>
      <c r="M117" s="4"/>
      <c r="N117" s="4"/>
      <c r="O117" s="4"/>
    </row>
    <row r="118" spans="1:15" x14ac:dyDescent="0.2">
      <c r="A118" s="8" t="s">
        <v>53</v>
      </c>
      <c r="B118" s="8" t="s">
        <v>1929</v>
      </c>
      <c r="C118" s="8" t="s">
        <v>1930</v>
      </c>
      <c r="D118" s="4"/>
      <c r="E118" s="4">
        <v>80.81</v>
      </c>
      <c r="F118" s="4">
        <v>80.349999999999994</v>
      </c>
      <c r="G118" s="4">
        <v>51.67</v>
      </c>
      <c r="H118" s="4"/>
      <c r="I118" s="4"/>
      <c r="J118" s="4"/>
      <c r="K118" s="4"/>
      <c r="L118" s="4" t="s">
        <v>1998</v>
      </c>
      <c r="M118" s="4"/>
      <c r="N118" s="4"/>
      <c r="O118" s="4"/>
    </row>
    <row r="119" spans="1:15" x14ac:dyDescent="0.2">
      <c r="A119" s="8" t="s">
        <v>53</v>
      </c>
      <c r="B119" s="8" t="s">
        <v>1931</v>
      </c>
      <c r="C119" s="8" t="s">
        <v>1932</v>
      </c>
      <c r="D119" s="4"/>
      <c r="E119" s="4">
        <v>75.569999999999993</v>
      </c>
      <c r="F119" s="4">
        <v>75.34</v>
      </c>
      <c r="G119" s="4">
        <v>75.900000000000006</v>
      </c>
      <c r="H119" s="4"/>
      <c r="I119" s="4"/>
      <c r="J119" s="4"/>
      <c r="K119" s="4"/>
      <c r="L119" s="4" t="s">
        <v>1998</v>
      </c>
      <c r="M119" s="4"/>
      <c r="N119" s="4"/>
      <c r="O119" s="4"/>
    </row>
    <row r="120" spans="1:15" x14ac:dyDescent="0.2">
      <c r="A120" s="8" t="s">
        <v>53</v>
      </c>
      <c r="B120" s="8" t="s">
        <v>1933</v>
      </c>
      <c r="C120" s="8" t="s">
        <v>1934</v>
      </c>
      <c r="D120" s="4"/>
      <c r="E120" s="4">
        <v>109.36</v>
      </c>
      <c r="F120" s="4">
        <v>79.349999999999994</v>
      </c>
      <c r="G120" s="4">
        <v>112.13</v>
      </c>
      <c r="H120" s="4"/>
      <c r="I120" s="4"/>
      <c r="J120" s="4"/>
      <c r="K120" s="4"/>
      <c r="L120" s="4" t="s">
        <v>1998</v>
      </c>
      <c r="M120" s="4"/>
      <c r="N120" s="4"/>
      <c r="O120" s="4"/>
    </row>
    <row r="121" spans="1:15" x14ac:dyDescent="0.2">
      <c r="A121" s="8" t="s">
        <v>53</v>
      </c>
      <c r="B121" s="8" t="s">
        <v>1935</v>
      </c>
      <c r="C121" s="8" t="s">
        <v>1936</v>
      </c>
      <c r="D121" s="4"/>
      <c r="E121" s="4">
        <v>79.97</v>
      </c>
      <c r="F121" s="4">
        <v>109.68</v>
      </c>
      <c r="G121" s="4">
        <v>81.66</v>
      </c>
      <c r="H121" s="4"/>
      <c r="I121" s="4"/>
      <c r="J121" s="4"/>
      <c r="K121" s="4"/>
      <c r="L121" s="4" t="s">
        <v>1998</v>
      </c>
      <c r="M121" s="4"/>
      <c r="N121" s="4"/>
      <c r="O121" s="4"/>
    </row>
    <row r="122" spans="1:15" x14ac:dyDescent="0.2">
      <c r="A122" s="8" t="s">
        <v>53</v>
      </c>
      <c r="B122" s="8" t="s">
        <v>1937</v>
      </c>
      <c r="C122" s="8" t="s">
        <v>1938</v>
      </c>
      <c r="D122" s="4"/>
      <c r="E122" s="4">
        <v>79.03</v>
      </c>
      <c r="F122" s="4">
        <v>77.430000000000007</v>
      </c>
      <c r="G122" s="4">
        <v>80.2</v>
      </c>
      <c r="H122" s="4"/>
      <c r="I122" s="4"/>
      <c r="J122" s="4"/>
      <c r="K122" s="4"/>
      <c r="L122" s="4" t="s">
        <v>1998</v>
      </c>
      <c r="M122" s="4"/>
      <c r="N122" s="4"/>
      <c r="O122" s="4"/>
    </row>
    <row r="123" spans="1:15" x14ac:dyDescent="0.2">
      <c r="A123" s="8" t="s">
        <v>53</v>
      </c>
      <c r="B123" s="8" t="s">
        <v>1939</v>
      </c>
      <c r="C123" s="8" t="s">
        <v>1940</v>
      </c>
      <c r="D123" s="4"/>
      <c r="E123" s="4">
        <v>110.59</v>
      </c>
      <c r="F123" s="4">
        <v>106.78</v>
      </c>
      <c r="G123" s="4">
        <v>107.83</v>
      </c>
      <c r="H123" s="4"/>
      <c r="I123" s="4"/>
      <c r="J123" s="4"/>
      <c r="K123" s="4"/>
      <c r="L123" s="4" t="s">
        <v>1998</v>
      </c>
      <c r="M123" s="4"/>
      <c r="N123" s="4"/>
      <c r="O123" s="4"/>
    </row>
    <row r="124" spans="1:15" x14ac:dyDescent="0.2">
      <c r="A124" s="8" t="s">
        <v>53</v>
      </c>
      <c r="B124" s="8" t="s">
        <v>1941</v>
      </c>
      <c r="C124" s="8" t="s">
        <v>1942</v>
      </c>
      <c r="D124" s="4"/>
      <c r="E124" s="4">
        <v>78.349999999999994</v>
      </c>
      <c r="F124" s="4">
        <v>77.98</v>
      </c>
      <c r="G124" s="4">
        <v>79.08</v>
      </c>
      <c r="H124" s="4"/>
      <c r="I124" s="4"/>
      <c r="J124" s="4"/>
      <c r="K124" s="4"/>
      <c r="L124" s="4" t="s">
        <v>1998</v>
      </c>
      <c r="M124" s="4"/>
      <c r="N124" s="4"/>
      <c r="O124" s="4"/>
    </row>
    <row r="125" spans="1:15" x14ac:dyDescent="0.2">
      <c r="A125" s="8" t="s">
        <v>53</v>
      </c>
      <c r="B125" s="8" t="s">
        <v>1943</v>
      </c>
      <c r="C125" s="8" t="s">
        <v>1944</v>
      </c>
      <c r="D125" s="4"/>
      <c r="E125" s="4">
        <v>108.37</v>
      </c>
      <c r="F125" s="4">
        <v>77.34</v>
      </c>
      <c r="G125" s="4">
        <v>109.11</v>
      </c>
      <c r="H125" s="4"/>
      <c r="I125" s="4"/>
      <c r="J125" s="4"/>
      <c r="K125" s="4"/>
      <c r="L125" s="4" t="s">
        <v>1998</v>
      </c>
      <c r="M125" s="4"/>
      <c r="N125" s="4"/>
      <c r="O125" s="4"/>
    </row>
    <row r="126" spans="1:15" x14ac:dyDescent="0.2">
      <c r="A126" s="8" t="s">
        <v>53</v>
      </c>
      <c r="B126" s="8" t="s">
        <v>1945</v>
      </c>
      <c r="C126" s="8" t="s">
        <v>1946</v>
      </c>
      <c r="D126" s="4"/>
      <c r="E126" s="4">
        <v>72.709999999999994</v>
      </c>
      <c r="F126" s="4">
        <v>102.8</v>
      </c>
      <c r="G126" s="4">
        <v>73.239999999999995</v>
      </c>
      <c r="H126" s="4"/>
      <c r="I126" s="4"/>
      <c r="J126" s="4"/>
      <c r="K126" s="4"/>
      <c r="L126" s="4" t="s">
        <v>1998</v>
      </c>
      <c r="M126" s="4"/>
      <c r="N126" s="4"/>
      <c r="O126" s="4"/>
    </row>
    <row r="127" spans="1:15" x14ac:dyDescent="0.2">
      <c r="A127" s="8" t="s">
        <v>53</v>
      </c>
      <c r="B127" s="8" t="s">
        <v>1947</v>
      </c>
      <c r="C127" s="8" t="s">
        <v>1948</v>
      </c>
      <c r="D127" s="4"/>
      <c r="E127" s="4">
        <v>74.98</v>
      </c>
      <c r="F127" s="4">
        <v>74.61</v>
      </c>
      <c r="G127" s="4">
        <v>75.099999999999994</v>
      </c>
      <c r="H127" s="4"/>
      <c r="I127" s="4"/>
      <c r="J127" s="4"/>
      <c r="K127" s="4"/>
      <c r="L127" s="4" t="s">
        <v>1998</v>
      </c>
      <c r="M127" s="4"/>
      <c r="N127" s="4"/>
      <c r="O127" s="4"/>
    </row>
    <row r="128" spans="1:15" x14ac:dyDescent="0.2">
      <c r="A128" s="8" t="s">
        <v>53</v>
      </c>
      <c r="B128" s="8" t="s">
        <v>1949</v>
      </c>
      <c r="C128" s="8" t="s">
        <v>1950</v>
      </c>
      <c r="D128" s="4"/>
      <c r="E128" s="4">
        <v>75.19</v>
      </c>
      <c r="F128" s="4">
        <v>73.849999999999994</v>
      </c>
      <c r="G128" s="4">
        <v>107.61</v>
      </c>
      <c r="H128" s="4"/>
      <c r="I128" s="4"/>
      <c r="J128" s="4"/>
      <c r="K128" s="4"/>
      <c r="L128" s="4" t="s">
        <v>1998</v>
      </c>
      <c r="M128" s="4"/>
      <c r="N128" s="4"/>
      <c r="O128" s="4"/>
    </row>
    <row r="129" spans="1:15" x14ac:dyDescent="0.2">
      <c r="A129" s="8" t="s">
        <v>53</v>
      </c>
      <c r="B129" s="8" t="s">
        <v>1951</v>
      </c>
      <c r="C129" s="8" t="s">
        <v>1952</v>
      </c>
      <c r="D129" s="4"/>
      <c r="E129" s="4">
        <v>104.58</v>
      </c>
      <c r="F129" s="4">
        <v>106.73</v>
      </c>
      <c r="G129" s="4">
        <v>74.75</v>
      </c>
      <c r="H129" s="4"/>
      <c r="I129" s="4"/>
      <c r="J129" s="4"/>
      <c r="K129" s="4"/>
      <c r="L129" s="4" t="s">
        <v>1998</v>
      </c>
      <c r="M129" s="4"/>
      <c r="N129" s="4"/>
      <c r="O129" s="4"/>
    </row>
    <row r="130" spans="1:15" x14ac:dyDescent="0.2">
      <c r="A130" s="8" t="s">
        <v>53</v>
      </c>
      <c r="B130" s="8" t="s">
        <v>1953</v>
      </c>
      <c r="C130" s="8" t="s">
        <v>1954</v>
      </c>
      <c r="D130" s="4"/>
      <c r="E130" s="4">
        <v>74.14</v>
      </c>
      <c r="F130" s="4">
        <v>75</v>
      </c>
      <c r="G130" s="4">
        <v>74.63</v>
      </c>
      <c r="H130" s="4"/>
      <c r="I130" s="4"/>
      <c r="J130" s="4"/>
      <c r="K130" s="4"/>
      <c r="L130" s="4" t="s">
        <v>1998</v>
      </c>
      <c r="M130" s="4"/>
      <c r="N130" s="4"/>
      <c r="O130" s="4"/>
    </row>
    <row r="131" spans="1:15" x14ac:dyDescent="0.2">
      <c r="A131" s="8" t="s">
        <v>53</v>
      </c>
      <c r="B131" s="8" t="s">
        <v>1955</v>
      </c>
      <c r="C131" s="8" t="s">
        <v>1956</v>
      </c>
      <c r="D131" s="4"/>
      <c r="E131" s="4">
        <v>109.06</v>
      </c>
      <c r="F131" s="4">
        <v>74.349999999999994</v>
      </c>
      <c r="G131" s="4">
        <v>104.44</v>
      </c>
      <c r="H131" s="4"/>
      <c r="I131" s="4"/>
      <c r="J131" s="4"/>
      <c r="K131" s="4"/>
      <c r="L131" s="4" t="s">
        <v>1998</v>
      </c>
      <c r="M131" s="4"/>
      <c r="N131" s="4"/>
      <c r="O131" s="4"/>
    </row>
    <row r="132" spans="1:15" x14ac:dyDescent="0.2">
      <c r="A132" s="8" t="s">
        <v>53</v>
      </c>
      <c r="B132" s="8" t="s">
        <v>1957</v>
      </c>
      <c r="C132" s="8" t="s">
        <v>1958</v>
      </c>
      <c r="D132" s="4"/>
      <c r="E132" s="4">
        <v>75.86</v>
      </c>
      <c r="F132" s="4">
        <v>105.12</v>
      </c>
      <c r="G132" s="4">
        <v>75.16</v>
      </c>
      <c r="H132" s="4"/>
      <c r="I132" s="4"/>
      <c r="J132" s="4"/>
      <c r="K132" s="4"/>
      <c r="L132" s="4" t="s">
        <v>1998</v>
      </c>
      <c r="M132" s="4"/>
      <c r="N132" s="4"/>
      <c r="O132" s="4"/>
    </row>
    <row r="133" spans="1:15" x14ac:dyDescent="0.2">
      <c r="A133" s="8" t="s">
        <v>53</v>
      </c>
      <c r="B133" s="8" t="s">
        <v>1959</v>
      </c>
      <c r="C133" s="8" t="s">
        <v>1960</v>
      </c>
      <c r="D133" s="4"/>
      <c r="E133" s="4">
        <v>73.37</v>
      </c>
      <c r="F133" s="4">
        <v>72.25</v>
      </c>
      <c r="G133" s="4">
        <v>72.61</v>
      </c>
      <c r="H133" s="4"/>
      <c r="I133" s="4"/>
      <c r="J133" s="4"/>
      <c r="K133" s="4"/>
      <c r="L133" s="4" t="s">
        <v>1998</v>
      </c>
      <c r="M133" s="4"/>
      <c r="N133" s="4"/>
      <c r="O133" s="4"/>
    </row>
    <row r="134" spans="1:15" x14ac:dyDescent="0.2">
      <c r="A134" s="8" t="s">
        <v>53</v>
      </c>
      <c r="B134" s="8" t="s">
        <v>1961</v>
      </c>
      <c r="C134" s="8" t="s">
        <v>1962</v>
      </c>
      <c r="D134" s="4"/>
      <c r="E134" s="4">
        <v>72.8</v>
      </c>
      <c r="F134" s="4">
        <v>70.55</v>
      </c>
      <c r="G134" s="4">
        <v>74.5</v>
      </c>
      <c r="H134" s="4"/>
      <c r="I134" s="4"/>
      <c r="J134" s="4"/>
      <c r="K134" s="4"/>
      <c r="L134" s="4" t="s">
        <v>1998</v>
      </c>
      <c r="M134" s="4"/>
      <c r="N134" s="4"/>
      <c r="O134" s="4"/>
    </row>
    <row r="135" spans="1:15" x14ac:dyDescent="0.2">
      <c r="A135" s="8" t="s">
        <v>53</v>
      </c>
      <c r="B135" s="8" t="s">
        <v>1963</v>
      </c>
      <c r="C135" s="8" t="s">
        <v>1964</v>
      </c>
      <c r="D135" s="4"/>
      <c r="E135" s="4">
        <v>103.92</v>
      </c>
      <c r="F135" s="4">
        <v>69.64</v>
      </c>
      <c r="G135" s="4">
        <v>104.66</v>
      </c>
      <c r="H135" s="4"/>
      <c r="I135" s="4"/>
      <c r="J135" s="4"/>
      <c r="K135" s="4"/>
      <c r="L135" s="4" t="s">
        <v>1998</v>
      </c>
      <c r="M135" s="4"/>
      <c r="N135" s="4"/>
      <c r="O135" s="4"/>
    </row>
    <row r="136" spans="1:15" x14ac:dyDescent="0.2">
      <c r="A136" s="8" t="s">
        <v>53</v>
      </c>
      <c r="B136" s="8" t="s">
        <v>1965</v>
      </c>
      <c r="C136" s="8" t="s">
        <v>1966</v>
      </c>
      <c r="D136" s="4"/>
      <c r="E136" s="4">
        <v>72.010000000000005</v>
      </c>
      <c r="F136" s="4">
        <v>100.75</v>
      </c>
      <c r="G136" s="4">
        <v>71.489999999999995</v>
      </c>
      <c r="H136" s="4"/>
      <c r="I136" s="4"/>
      <c r="J136" s="4"/>
      <c r="K136" s="4"/>
      <c r="L136" s="4" t="s">
        <v>1998</v>
      </c>
      <c r="M136" s="4"/>
      <c r="N136" s="4"/>
      <c r="O136" s="4"/>
    </row>
    <row r="137" spans="1:15" x14ac:dyDescent="0.2">
      <c r="A137" s="8" t="s">
        <v>53</v>
      </c>
      <c r="B137" s="8" t="s">
        <v>1967</v>
      </c>
      <c r="C137" s="8" t="s">
        <v>1968</v>
      </c>
      <c r="D137" s="4"/>
      <c r="E137" s="4">
        <v>74.37</v>
      </c>
      <c r="F137" s="4">
        <v>77.239999999999995</v>
      </c>
      <c r="G137" s="4">
        <v>74.64</v>
      </c>
      <c r="H137" s="4"/>
      <c r="I137" s="4"/>
      <c r="J137" s="4"/>
      <c r="K137" s="4"/>
      <c r="L137" s="4" t="s">
        <v>1998</v>
      </c>
      <c r="M137" s="4"/>
      <c r="N137" s="4"/>
      <c r="O137" s="4"/>
    </row>
    <row r="138" spans="1:15" x14ac:dyDescent="0.2">
      <c r="A138" s="8" t="s">
        <v>53</v>
      </c>
      <c r="B138" s="8" t="s">
        <v>1969</v>
      </c>
      <c r="C138" s="8" t="s">
        <v>1970</v>
      </c>
      <c r="D138" s="4"/>
      <c r="E138" s="4">
        <v>104.96</v>
      </c>
      <c r="F138" s="4">
        <v>73.83</v>
      </c>
      <c r="G138" s="4">
        <v>108.71</v>
      </c>
      <c r="H138" s="4"/>
      <c r="I138" s="4"/>
      <c r="J138" s="4"/>
      <c r="K138" s="4"/>
      <c r="L138" s="4" t="s">
        <v>1998</v>
      </c>
      <c r="M138" s="4"/>
      <c r="N138" s="4"/>
      <c r="O138" s="4"/>
    </row>
    <row r="139" spans="1:15" x14ac:dyDescent="0.2">
      <c r="A139" s="8" t="s">
        <v>53</v>
      </c>
      <c r="B139" s="8" t="s">
        <v>1971</v>
      </c>
      <c r="C139" s="8" t="s">
        <v>1972</v>
      </c>
      <c r="D139" s="4"/>
      <c r="E139" s="4">
        <v>74.959999999999994</v>
      </c>
      <c r="F139" s="4">
        <v>103.18</v>
      </c>
      <c r="G139" s="4">
        <v>73.11</v>
      </c>
      <c r="H139" s="4"/>
      <c r="I139" s="4"/>
      <c r="J139" s="4"/>
      <c r="K139" s="4"/>
      <c r="L139" s="4" t="s">
        <v>1998</v>
      </c>
      <c r="M139" s="4"/>
      <c r="N139" s="4"/>
      <c r="O139" s="4"/>
    </row>
    <row r="140" spans="1:15" x14ac:dyDescent="0.2">
      <c r="A140" s="8" t="s">
        <v>53</v>
      </c>
      <c r="B140" s="8" t="s">
        <v>1973</v>
      </c>
      <c r="C140" s="8" t="s">
        <v>1974</v>
      </c>
      <c r="D140" s="4"/>
      <c r="E140" s="4">
        <v>74.86</v>
      </c>
      <c r="F140" s="4">
        <v>73.09</v>
      </c>
      <c r="G140" s="4">
        <v>72.84</v>
      </c>
      <c r="H140" s="4"/>
      <c r="I140" s="4"/>
      <c r="J140" s="4"/>
      <c r="K140" s="4"/>
      <c r="L140" s="4" t="s">
        <v>1998</v>
      </c>
      <c r="M140" s="4"/>
      <c r="N140" s="4"/>
      <c r="O140" s="4"/>
    </row>
    <row r="141" spans="1:15" x14ac:dyDescent="0.2">
      <c r="A141" s="8" t="s">
        <v>53</v>
      </c>
      <c r="B141" s="8" t="s">
        <v>1975</v>
      </c>
      <c r="C141" s="8" t="s">
        <v>1976</v>
      </c>
      <c r="D141" s="4"/>
      <c r="E141" s="4">
        <v>107</v>
      </c>
      <c r="F141" s="4">
        <v>73.52</v>
      </c>
      <c r="G141" s="4">
        <v>104.12</v>
      </c>
      <c r="H141" s="4"/>
      <c r="I141" s="4"/>
      <c r="J141" s="4"/>
      <c r="K141" s="4"/>
      <c r="L141" s="4" t="s">
        <v>1998</v>
      </c>
      <c r="M141" s="4"/>
      <c r="N141" s="4"/>
      <c r="O141" s="4"/>
    </row>
    <row r="142" spans="1:15" x14ac:dyDescent="0.2">
      <c r="A142" s="8" t="s">
        <v>53</v>
      </c>
      <c r="B142" s="8" t="s">
        <v>1977</v>
      </c>
      <c r="C142" s="8" t="s">
        <v>1978</v>
      </c>
      <c r="D142" s="4"/>
      <c r="E142" s="4">
        <v>74.709999999999994</v>
      </c>
      <c r="F142" s="4">
        <v>103.95</v>
      </c>
      <c r="G142" s="4">
        <v>73.23</v>
      </c>
      <c r="H142" s="4"/>
      <c r="I142" s="4"/>
      <c r="J142" s="4"/>
      <c r="K142" s="4"/>
      <c r="L142" s="4" t="s">
        <v>1998</v>
      </c>
      <c r="M142" s="4"/>
      <c r="N142" s="4"/>
      <c r="O142" s="4"/>
    </row>
    <row r="143" spans="1:15" x14ac:dyDescent="0.2">
      <c r="A143" s="8" t="s">
        <v>53</v>
      </c>
      <c r="B143" s="8" t="s">
        <v>1979</v>
      </c>
      <c r="C143" s="8" t="s">
        <v>1980</v>
      </c>
      <c r="D143" s="4"/>
      <c r="E143" s="4">
        <v>93.37</v>
      </c>
      <c r="F143" s="4">
        <v>60.21</v>
      </c>
      <c r="G143" s="4">
        <v>60.81</v>
      </c>
      <c r="H143" s="4"/>
      <c r="I143" s="4"/>
      <c r="J143" s="4"/>
      <c r="K143" s="4"/>
      <c r="L143" s="4" t="s">
        <v>1998</v>
      </c>
      <c r="M143" s="4"/>
      <c r="N143" s="4"/>
      <c r="O143" s="4"/>
    </row>
    <row r="144" spans="1:15" x14ac:dyDescent="0.2">
      <c r="A144" s="8" t="s">
        <v>53</v>
      </c>
      <c r="B144" s="8" t="s">
        <v>1981</v>
      </c>
      <c r="C144" s="8" t="s">
        <v>1982</v>
      </c>
      <c r="D144" s="4"/>
      <c r="E144" s="4">
        <v>61.85</v>
      </c>
      <c r="F144" s="4">
        <v>90.32</v>
      </c>
      <c r="G144" s="4">
        <v>92.25</v>
      </c>
      <c r="H144" s="4"/>
      <c r="I144" s="4"/>
      <c r="J144" s="4"/>
      <c r="K144" s="4"/>
      <c r="L144" s="4" t="s">
        <v>1998</v>
      </c>
      <c r="M144" s="4"/>
      <c r="N144" s="4"/>
      <c r="O144" s="4"/>
    </row>
    <row r="145" spans="1:15" x14ac:dyDescent="0.2">
      <c r="A145" s="8" t="s">
        <v>53</v>
      </c>
      <c r="B145" s="8" t="s">
        <v>1983</v>
      </c>
      <c r="C145" s="8" t="s">
        <v>1984</v>
      </c>
      <c r="D145" s="4"/>
      <c r="E145" s="4">
        <v>97.17</v>
      </c>
      <c r="F145" s="4">
        <v>92.84</v>
      </c>
      <c r="G145" s="4">
        <v>97.25</v>
      </c>
      <c r="H145" s="4"/>
      <c r="I145" s="4"/>
      <c r="J145" s="4"/>
      <c r="K145" s="4"/>
      <c r="L145" s="4" t="s">
        <v>1998</v>
      </c>
      <c r="M145" s="4"/>
      <c r="N145" s="4"/>
      <c r="O145" s="4"/>
    </row>
    <row r="146" spans="1:15" x14ac:dyDescent="0.2">
      <c r="A146" s="8" t="s">
        <v>53</v>
      </c>
      <c r="B146" s="8" t="s">
        <v>1985</v>
      </c>
      <c r="C146" s="8" t="s">
        <v>1986</v>
      </c>
      <c r="D146" s="4"/>
      <c r="E146" s="4">
        <v>63.17</v>
      </c>
      <c r="F146" s="4">
        <v>60.95</v>
      </c>
      <c r="G146" s="4">
        <v>62.63</v>
      </c>
      <c r="H146" s="4"/>
      <c r="I146" s="4"/>
      <c r="J146" s="4"/>
      <c r="K146" s="4"/>
      <c r="L146" s="4" t="s">
        <v>1998</v>
      </c>
      <c r="M146" s="4"/>
      <c r="N146" s="4"/>
      <c r="O146" s="4"/>
    </row>
    <row r="147" spans="1:15" x14ac:dyDescent="0.2">
      <c r="A147" s="8" t="s">
        <v>53</v>
      </c>
      <c r="B147" s="8" t="s">
        <v>1987</v>
      </c>
      <c r="C147" s="8" t="s">
        <v>1988</v>
      </c>
      <c r="D147" s="4"/>
      <c r="E147" s="4">
        <v>66.28</v>
      </c>
      <c r="F147" s="4">
        <v>94.76</v>
      </c>
      <c r="G147" s="4">
        <v>91.47</v>
      </c>
      <c r="H147" s="4"/>
      <c r="I147" s="4"/>
      <c r="J147" s="4"/>
      <c r="K147" s="4"/>
      <c r="L147" s="4" t="s">
        <v>1998</v>
      </c>
      <c r="M147" s="4"/>
      <c r="N147" s="4"/>
      <c r="O147" s="4"/>
    </row>
    <row r="148" spans="1:15" x14ac:dyDescent="0.2">
      <c r="A148" s="8" t="s">
        <v>53</v>
      </c>
      <c r="B148" s="8" t="s">
        <v>1989</v>
      </c>
      <c r="C148" s="8" t="s">
        <v>1990</v>
      </c>
      <c r="D148" s="4"/>
      <c r="E148" s="4">
        <v>98.15</v>
      </c>
      <c r="F148" s="4">
        <v>92.76</v>
      </c>
      <c r="G148" s="4">
        <v>91.66</v>
      </c>
      <c r="H148" s="4"/>
      <c r="I148" s="4"/>
      <c r="J148" s="4"/>
      <c r="K148" s="4"/>
      <c r="L148" s="4" t="s">
        <v>1998</v>
      </c>
      <c r="M148" s="4"/>
      <c r="N148" s="4"/>
      <c r="O148" s="4"/>
    </row>
    <row r="149" spans="1:15" x14ac:dyDescent="0.2">
      <c r="A149" s="8" t="s">
        <v>53</v>
      </c>
      <c r="B149" s="8" t="s">
        <v>1991</v>
      </c>
      <c r="C149" s="8" t="s">
        <v>1992</v>
      </c>
      <c r="D149" s="4"/>
      <c r="E149" s="4">
        <v>99.87</v>
      </c>
      <c r="F149" s="4">
        <v>61.05</v>
      </c>
      <c r="G149" s="4">
        <v>63.28</v>
      </c>
      <c r="H149" s="4"/>
      <c r="I149" s="4"/>
      <c r="J149" s="4"/>
      <c r="K149" s="4"/>
      <c r="L149" s="4" t="s">
        <v>1998</v>
      </c>
      <c r="M149" s="4"/>
      <c r="N149" s="4"/>
      <c r="O149" s="4"/>
    </row>
    <row r="150" spans="1:15" x14ac:dyDescent="0.2">
      <c r="A150" s="8" t="s">
        <v>53</v>
      </c>
      <c r="B150" s="8" t="s">
        <v>1993</v>
      </c>
      <c r="C150" s="8" t="s">
        <v>1994</v>
      </c>
      <c r="D150" s="4"/>
      <c r="E150" s="4">
        <v>34.33</v>
      </c>
      <c r="F150" s="4">
        <v>34.340000000000003</v>
      </c>
      <c r="G150" s="4">
        <v>34.159999999999997</v>
      </c>
      <c r="H150" s="4"/>
      <c r="I150" s="4"/>
      <c r="J150" s="4"/>
      <c r="K150" s="4"/>
      <c r="L150" s="4" t="s">
        <v>1998</v>
      </c>
      <c r="M150" s="4"/>
      <c r="N150" s="4"/>
      <c r="O150" s="4"/>
    </row>
  </sheetData>
  <mergeCells count="1"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Version History</vt:lpstr>
      <vt:lpstr>TTR Summary</vt:lpstr>
      <vt:lpstr>IO_JTAG</vt:lpstr>
      <vt:lpstr>ADCDFT</vt:lpstr>
      <vt:lpstr>MTRICTS</vt:lpstr>
      <vt:lpstr>NTSE</vt:lpstr>
      <vt:lpstr>NTSR</vt:lpstr>
      <vt:lpstr>MISC</vt:lpstr>
      <vt:lpstr>FRO</vt:lpstr>
      <vt:lpstr>CPLL</vt:lpstr>
      <vt:lpstr>ADCLK</vt:lpstr>
      <vt:lpstr>LAPLL</vt:lpstr>
      <vt:lpstr>PCIEREFGEN</vt:lpstr>
      <vt:lpstr>PCIE5CMN</vt:lpstr>
      <vt:lpstr>ACIPHYCMN</vt:lpstr>
      <vt:lpstr>ACIOPHYCMN</vt:lpstr>
      <vt:lpstr>LPDPTXCMN</vt:lpstr>
      <vt:lpstr>AMPCMN</vt:lpstr>
      <vt:lpstr>PCIEREFPLL</vt:lpstr>
      <vt:lpstr>PCIEPLL</vt:lpstr>
      <vt:lpstr>CIOCIOPLL</vt:lpstr>
      <vt:lpstr>CIODPPLL</vt:lpstr>
      <vt:lpstr>LPDPDPPLL</vt:lpstr>
      <vt:lpstr>LPDDRPLL</vt:lpstr>
      <vt:lpstr>HSCSAROSC</vt:lpstr>
      <vt:lpstr>ULPPLL</vt:lpstr>
      <vt:lpstr>FLPPLL</vt:lpstr>
      <vt:lpstr>SEPVMC</vt:lpstr>
      <vt:lpstr>SEPF2M</vt:lpstr>
      <vt:lpstr>MIDBIASLDO</vt:lpstr>
      <vt:lpstr>ADC</vt:lpstr>
      <vt:lpstr>ACIOPHY</vt:lpstr>
      <vt:lpstr>ACIPHY</vt:lpstr>
      <vt:lpstr>ACIPHY_LITE</vt:lpstr>
      <vt:lpstr>LPDPTX</vt:lpstr>
      <vt:lpstr>LPDPTX_LITE</vt:lpstr>
      <vt:lpstr>PCIE5</vt:lpstr>
      <vt:lpstr>NTSX</vt:lpstr>
      <vt:lpstr>PCIEREFBUF</vt:lpstr>
      <vt:lpstr>USB</vt:lpstr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Raghavan Sriperambhudur</cp:lastModifiedBy>
  <dcterms:created xsi:type="dcterms:W3CDTF">2025-05-28T21:27:49Z</dcterms:created>
  <dcterms:modified xsi:type="dcterms:W3CDTF">2025-06-20T18:39:59Z</dcterms:modified>
</cp:coreProperties>
</file>