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oby/Desktop/BORNEO/V04A/"/>
    </mc:Choice>
  </mc:AlternateContent>
  <xr:revisionPtr revIDLastSave="0" documentId="8_{A12DC0CA-4C02-F240-B3BB-EA7FFC48B110}" xr6:coauthVersionLast="47" xr6:coauthVersionMax="47" xr10:uidLastSave="{00000000-0000-0000-0000-000000000000}"/>
  <bookViews>
    <workbookView xWindow="10520" yWindow="500" windowWidth="40680" windowHeight="27200" xr2:uid="{78B410F3-246B-B647-87F3-7E3F5A402DDA}"/>
  </bookViews>
  <sheets>
    <sheet name="Revision" sheetId="2" r:id="rId1"/>
    <sheet name="preflow" sheetId="13" r:id="rId2"/>
    <sheet name="BV" sheetId="7" r:id="rId3"/>
    <sheet name="HBV" sheetId="11" r:id="rId4"/>
    <sheet name="PBC" sheetId="12" r:id="rId5"/>
  </sheets>
  <definedNames>
    <definedName name="_xlnm._FilterDatabase" localSheetId="2" hidden="1">BV!$A$1:$L$218</definedName>
    <definedName name="_xlnm._FilterDatabase" localSheetId="3" hidden="1">HBV!$A$1:$L$26</definedName>
    <definedName name="_xlnm._FilterDatabase" localSheetId="4" hidden="1">PBC!$A$1:$L$36</definedName>
    <definedName name="_xlnm._FilterDatabase" localSheetId="1" hidden="1">preflow!$A$1:$L$2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9" i="7" l="1"/>
  <c r="L88" i="7"/>
  <c r="L82" i="7"/>
  <c r="L81" i="7"/>
  <c r="L75" i="7"/>
  <c r="L74" i="7"/>
  <c r="L68" i="7"/>
  <c r="L67" i="7"/>
  <c r="L61" i="7"/>
  <c r="L60" i="7"/>
  <c r="L54" i="7"/>
  <c r="L53" i="7"/>
  <c r="L47" i="7"/>
  <c r="L46" i="7"/>
  <c r="L40" i="7"/>
  <c r="L39" i="7"/>
  <c r="L33" i="7"/>
  <c r="L32" i="7"/>
  <c r="L86" i="7"/>
  <c r="L85" i="7"/>
  <c r="L79" i="7"/>
  <c r="L78" i="7"/>
  <c r="L72" i="7"/>
  <c r="L71" i="7"/>
  <c r="L65" i="7"/>
  <c r="L64" i="7"/>
  <c r="L58" i="7"/>
  <c r="L57" i="7"/>
  <c r="L51" i="7"/>
  <c r="L50" i="7"/>
  <c r="L44" i="7"/>
  <c r="L43" i="7"/>
  <c r="L37" i="7"/>
  <c r="L36" i="7"/>
  <c r="L30" i="7"/>
  <c r="L29" i="7"/>
  <c r="L26" i="7"/>
  <c r="L25" i="7"/>
  <c r="L23" i="7"/>
  <c r="L22" i="7"/>
  <c r="L28" i="12"/>
  <c r="L29" i="12"/>
  <c r="L30" i="12"/>
  <c r="L31" i="12"/>
  <c r="L32" i="12"/>
  <c r="L33" i="12"/>
  <c r="L34" i="12"/>
  <c r="L35" i="12"/>
  <c r="L36" i="12"/>
  <c r="L115" i="7" l="1"/>
  <c r="L114" i="7"/>
  <c r="L113" i="7"/>
  <c r="L112" i="7"/>
  <c r="L3" i="12"/>
  <c r="L87" i="7"/>
  <c r="L84" i="7"/>
  <c r="L83" i="7"/>
  <c r="L31" i="7"/>
  <c r="L28" i="7"/>
  <c r="L27" i="7"/>
  <c r="L4" i="12"/>
  <c r="L25" i="11" l="1"/>
  <c r="L10" i="12"/>
  <c r="L8" i="12"/>
  <c r="L17" i="11"/>
  <c r="L21" i="11"/>
  <c r="L24" i="11"/>
  <c r="L19" i="11"/>
  <c r="L18" i="11"/>
  <c r="L16" i="11"/>
  <c r="L15" i="11"/>
  <c r="L14" i="11"/>
  <c r="L13" i="11"/>
  <c r="L9" i="11" l="1"/>
  <c r="L161" i="7"/>
  <c r="L10" i="11"/>
  <c r="L95" i="7"/>
  <c r="L94" i="7"/>
  <c r="L93" i="7"/>
  <c r="L92" i="7"/>
  <c r="L91" i="7"/>
  <c r="L90" i="7"/>
  <c r="L27" i="12"/>
  <c r="L26" i="12"/>
  <c r="L9" i="12"/>
  <c r="L6" i="12"/>
  <c r="L23" i="11"/>
  <c r="L19" i="12"/>
  <c r="L107" i="7"/>
  <c r="L106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105" i="7"/>
  <c r="L104" i="7"/>
  <c r="L25" i="12" l="1"/>
  <c r="L24" i="12"/>
  <c r="L23" i="12"/>
  <c r="L22" i="12"/>
  <c r="L21" i="12"/>
  <c r="L20" i="12"/>
  <c r="L18" i="12"/>
  <c r="L17" i="12"/>
  <c r="L16" i="12"/>
  <c r="L15" i="12"/>
  <c r="L14" i="12"/>
  <c r="L13" i="12"/>
  <c r="L12" i="12"/>
  <c r="L11" i="12"/>
  <c r="L7" i="12"/>
  <c r="L5" i="12"/>
  <c r="L2" i="12"/>
  <c r="L6" i="11" l="1"/>
  <c r="L158" i="7"/>
  <c r="L162" i="7" l="1"/>
  <c r="L99" i="7"/>
  <c r="L98" i="7"/>
  <c r="L80" i="7"/>
  <c r="L77" i="7"/>
  <c r="L76" i="7"/>
  <c r="L19" i="7" l="1"/>
  <c r="L15" i="7"/>
  <c r="L11" i="7"/>
  <c r="L6" i="7"/>
  <c r="L26" i="11" l="1"/>
  <c r="L22" i="11"/>
  <c r="L20" i="11"/>
  <c r="L12" i="11"/>
  <c r="L11" i="11"/>
  <c r="L8" i="11"/>
  <c r="L7" i="11"/>
  <c r="L5" i="11"/>
  <c r="L4" i="11"/>
  <c r="L3" i="11"/>
  <c r="L2" i="11"/>
  <c r="L198" i="7"/>
  <c r="L197" i="7"/>
  <c r="L196" i="7"/>
  <c r="L195" i="7"/>
  <c r="L194" i="7"/>
  <c r="L193" i="7"/>
  <c r="L192" i="7"/>
  <c r="L191" i="7"/>
  <c r="L186" i="7"/>
  <c r="L185" i="7"/>
  <c r="L184" i="7"/>
  <c r="L183" i="7"/>
  <c r="L182" i="7"/>
  <c r="L181" i="7"/>
  <c r="L180" i="7"/>
  <c r="L179" i="7"/>
  <c r="L174" i="7"/>
  <c r="L173" i="7"/>
  <c r="L172" i="7"/>
  <c r="L171" i="7"/>
  <c r="L170" i="7"/>
  <c r="L169" i="7"/>
  <c r="L168" i="7"/>
  <c r="L167" i="7"/>
  <c r="L206" i="7"/>
  <c r="L205" i="7"/>
  <c r="L204" i="7"/>
  <c r="L203" i="7"/>
  <c r="L202" i="7"/>
  <c r="L201" i="7"/>
  <c r="L200" i="7"/>
  <c r="L199" i="7"/>
  <c r="L190" i="7"/>
  <c r="L189" i="7"/>
  <c r="L188" i="7"/>
  <c r="L187" i="7"/>
  <c r="L178" i="7"/>
  <c r="L177" i="7"/>
  <c r="L176" i="7"/>
  <c r="L175" i="7"/>
  <c r="L166" i="7"/>
  <c r="L165" i="7"/>
  <c r="L164" i="7"/>
  <c r="L163" i="7"/>
  <c r="L160" i="7"/>
  <c r="L159" i="7"/>
  <c r="L157" i="7"/>
  <c r="L156" i="7"/>
  <c r="L155" i="7"/>
  <c r="L154" i="7"/>
  <c r="L153" i="7"/>
  <c r="L152" i="7"/>
  <c r="L149" i="7"/>
  <c r="L148" i="7"/>
  <c r="L147" i="7"/>
  <c r="L146" i="7"/>
  <c r="L143" i="7"/>
  <c r="L142" i="7"/>
  <c r="L151" i="7"/>
  <c r="L150" i="7"/>
  <c r="L145" i="7"/>
  <c r="L144" i="7"/>
  <c r="L141" i="7"/>
  <c r="L140" i="7"/>
  <c r="L139" i="7"/>
  <c r="L138" i="7"/>
  <c r="L135" i="7"/>
  <c r="L134" i="7"/>
  <c r="L133" i="7"/>
  <c r="L132" i="7"/>
  <c r="L131" i="7"/>
  <c r="L130" i="7"/>
  <c r="L129" i="7"/>
  <c r="L128" i="7"/>
  <c r="L125" i="7"/>
  <c r="L124" i="7"/>
  <c r="L123" i="7"/>
  <c r="L122" i="7"/>
  <c r="L121" i="7"/>
  <c r="L120" i="7"/>
  <c r="L117" i="7"/>
  <c r="L116" i="7"/>
  <c r="L127" i="7"/>
  <c r="L126" i="7"/>
  <c r="L119" i="7"/>
  <c r="L118" i="7"/>
  <c r="L111" i="7"/>
  <c r="L110" i="7"/>
  <c r="L137" i="7"/>
  <c r="L136" i="7"/>
  <c r="L109" i="7"/>
  <c r="L108" i="7"/>
  <c r="L103" i="7"/>
  <c r="L102" i="7"/>
  <c r="L101" i="7"/>
  <c r="L100" i="7"/>
  <c r="L97" i="7"/>
  <c r="L96" i="7"/>
  <c r="L73" i="7"/>
  <c r="L70" i="7"/>
  <c r="L69" i="7"/>
  <c r="L66" i="7"/>
  <c r="L63" i="7"/>
  <c r="L62" i="7"/>
  <c r="L52" i="7"/>
  <c r="L49" i="7"/>
  <c r="L48" i="7"/>
  <c r="L45" i="7"/>
  <c r="L42" i="7"/>
  <c r="L41" i="7"/>
  <c r="L59" i="7"/>
  <c r="L56" i="7"/>
  <c r="L55" i="7"/>
  <c r="L38" i="7"/>
  <c r="L35" i="7"/>
  <c r="L34" i="7"/>
  <c r="L24" i="7"/>
  <c r="L21" i="7"/>
  <c r="L20" i="7"/>
  <c r="L18" i="7"/>
  <c r="L17" i="7"/>
  <c r="L16" i="7"/>
  <c r="L14" i="7"/>
  <c r="L13" i="7"/>
  <c r="L12" i="7"/>
  <c r="L10" i="7"/>
  <c r="L9" i="7"/>
  <c r="L8" i="7"/>
  <c r="L7" i="7"/>
  <c r="L5" i="7"/>
  <c r="L4" i="7"/>
  <c r="L3" i="7"/>
  <c r="L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tc={791D783D-4BDF-2347-8CEE-4B391EA5A4E0}</author>
    <author>tc={6C7E95ED-B06E-3340-B311-61639660D375}</author>
    <author>tc={2F68822E-AAD0-4042-876F-018495437664}</author>
    <author>tc={7E1AEF66-AB79-9D4A-BDA3-129A3C848443}</author>
    <author>tc={8BF2ACF9-546F-7940-860B-E002B234140D}</author>
  </authors>
  <commentList>
    <comment ref="A1" authorId="0" shapeId="0" xr:uid="{791D783D-4BDF-2347-8CEE-4B391EA5A4E0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6C7E95ED-B06E-3340-B311-61639660D375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2F68822E-AAD0-4042-876F-018495437664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7E1AEF66-AB79-9D4A-BDA3-129A3C848443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8BF2ACF9-546F-7940-860B-E002B234140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tc={CA1C6AC1-B6D5-4D48-AEAB-5674673060A6}</author>
    <author>tc={87ADF591-9FC7-FD4E-B2C5-11ECA6E2B45B}</author>
    <author>tc={DD44A62E-9BDB-CA49-B45F-2B4DE74695F3}</author>
    <author>tc={7C9A7B21-1E9B-0749-B0FC-870DA47B30C2}</author>
    <author>tc={2840B0EA-702B-6C41-BD86-C313580C92D0}</author>
  </authors>
  <commentList>
    <comment ref="A1" authorId="0" shapeId="0" xr:uid="{CA1C6AC1-B6D5-4D48-AEAB-5674673060A6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87ADF591-9FC7-FD4E-B2C5-11ECA6E2B45B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DD44A62E-9BDB-CA49-B45F-2B4DE74695F3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7C9A7B21-1E9B-0749-B0FC-870DA47B30C2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2840B0EA-702B-6C41-BD86-C313580C92D0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tc={EFB5306B-F9E9-CF44-AAF0-FBE2D697161C}</author>
    <author>tc={33B722BA-9025-7A48-963A-755DAE82C1F7}</author>
    <author>tc={D9DF3235-31FD-8046-A57B-9016D2D388D6}</author>
    <author>tc={3F609DAD-D97C-EF4E-993C-939A53F34BBB}</author>
    <author>tc={38744B11-E8E0-754E-B60B-A8367BCAB71B}</author>
  </authors>
  <commentList>
    <comment ref="A1" authorId="0" shapeId="0" xr:uid="{EFB5306B-F9E9-CF44-AAF0-FBE2D697161C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33B722BA-9025-7A48-963A-755DAE82C1F7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D9DF3235-31FD-8046-A57B-9016D2D388D6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3F609DAD-D97C-EF4E-993C-939A53F34BBB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38744B11-E8E0-754E-B60B-A8367BCAB71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tc={A3D49017-5991-A94B-BA97-115034751D76}</author>
    <author>tc={4B9F0448-AADE-EC40-81C5-B24ECC776E42}</author>
    <author>tc={050FE8B8-129E-1C4A-B08C-EDDEAF28715A}</author>
    <author>tc={C1DD1B37-47C0-D84C-B573-BEE1753451A6}</author>
    <author>tc={4157022E-40D6-1945-B9E3-C98A28F45914}</author>
  </authors>
  <commentList>
    <comment ref="A1" authorId="0" shapeId="0" xr:uid="{A3D49017-5991-A94B-BA97-115034751D76}">
      <text>
        <t>[Threaded comment]
Your version of Excel allows you to read this threaded comment; however, any edits to it will get removed if the file is opened in a newer version of Excel. Learn more: https://go.microsoft.com/fwlink/?linkid=870924
Comment:
    Type must match: BV, HBV, or PBV.</t>
      </text>
    </comment>
    <comment ref="B1" authorId="1" shapeId="0" xr:uid="{4B9F0448-AADE-EC40-81C5-B24ECC776E42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one of:
1) Bincut Performance Mode
2) PBC Performance Mode</t>
      </text>
    </comment>
    <comment ref="C1" authorId="2" shapeId="0" xr:uid="{050FE8B8-129E-1C4A-B08C-EDDEAF28715A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match TestPlan / Instance_sheet / Sub Flow.
Blank cells mean no content to run.</t>
      </text>
    </comment>
    <comment ref="E1" authorId="3" shapeId="0" xr:uid="{C1DD1B37-47C0-D84C-B573-BEE1753451A6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each insertion, include a column.  “TRUE” means to run this row at this insertion.  Blank means not tested.  Use “Interpolate” if performance mode is interpolated.</t>
      </text>
    </comment>
    <comment ref="L1" authorId="4" shapeId="0" xr:uid="{4157022E-40D6-1945-B9E3-C98A28F4591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a number used for sorting and organizing rows.  It is NOT used to control flow sequence.</t>
      </text>
    </comment>
  </commentList>
</comments>
</file>

<file path=xl/sharedStrings.xml><?xml version="1.0" encoding="utf-8"?>
<sst xmlns="http://schemas.openxmlformats.org/spreadsheetml/2006/main" count="2083" uniqueCount="447">
  <si>
    <t>Performance Mode</t>
  </si>
  <si>
    <t>MS001</t>
  </si>
  <si>
    <t>MS002</t>
  </si>
  <si>
    <t>MS003</t>
  </si>
  <si>
    <t>MD001</t>
  </si>
  <si>
    <t>MD002</t>
  </si>
  <si>
    <t>MD003</t>
  </si>
  <si>
    <t>MD004</t>
  </si>
  <si>
    <t>MD005</t>
  </si>
  <si>
    <t>MI001</t>
  </si>
  <si>
    <t>MI002</t>
  </si>
  <si>
    <t>MI003</t>
  </si>
  <si>
    <t>MG001</t>
  </si>
  <si>
    <t>MG002</t>
  </si>
  <si>
    <t>MG003</t>
  </si>
  <si>
    <t>MG004</t>
  </si>
  <si>
    <t>MG005</t>
  </si>
  <si>
    <t>MG006</t>
  </si>
  <si>
    <t>MG007</t>
  </si>
  <si>
    <t>MG008</t>
  </si>
  <si>
    <t>ME001</t>
  </si>
  <si>
    <t>ME002</t>
  </si>
  <si>
    <t>ME003</t>
  </si>
  <si>
    <t>ME004</t>
  </si>
  <si>
    <t>ME005</t>
  </si>
  <si>
    <t>MP001</t>
  </si>
  <si>
    <t>MP002</t>
  </si>
  <si>
    <t>MP003</t>
  </si>
  <si>
    <t>MP004</t>
  </si>
  <si>
    <t>MP005</t>
  </si>
  <si>
    <t>MP006</t>
  </si>
  <si>
    <t>MP007</t>
  </si>
  <si>
    <t>MP008</t>
  </si>
  <si>
    <t>MP009</t>
  </si>
  <si>
    <t>MP00A</t>
  </si>
  <si>
    <t>MP00B</t>
  </si>
  <si>
    <t>MP00C</t>
  </si>
  <si>
    <t>MP00D</t>
  </si>
  <si>
    <t>Author</t>
  </si>
  <si>
    <t>Date</t>
  </si>
  <si>
    <t>Change Description</t>
  </si>
  <si>
    <t>CP1</t>
  </si>
  <si>
    <t>CP2</t>
  </si>
  <si>
    <t>ME006</t>
  </si>
  <si>
    <t>ME007</t>
  </si>
  <si>
    <t>Program</t>
  </si>
  <si>
    <t>Silicon</t>
  </si>
  <si>
    <t>A0</t>
  </si>
  <si>
    <t>MD006</t>
  </si>
  <si>
    <t>MS004</t>
  </si>
  <si>
    <t>MG009</t>
  </si>
  <si>
    <t>FT1</t>
  </si>
  <si>
    <t>FT2</t>
  </si>
  <si>
    <t>comment</t>
  </si>
  <si>
    <t>MS001_SRT_PBC</t>
  </si>
  <si>
    <t>PBC</t>
  </si>
  <si>
    <t>Index</t>
  </si>
  <si>
    <t>MD007</t>
  </si>
  <si>
    <t>MG00C</t>
  </si>
  <si>
    <t>MG00A</t>
  </si>
  <si>
    <t>MG00B</t>
  </si>
  <si>
    <t>blue</t>
  </si>
  <si>
    <t>orange</t>
  </si>
  <si>
    <t>yellow</t>
  </si>
  <si>
    <t>Color</t>
  </si>
  <si>
    <t>Low Mode</t>
  </si>
  <si>
    <t>High Mode</t>
  </si>
  <si>
    <t>Mid Mode</t>
  </si>
  <si>
    <t>Low Mode - 59N SP1 SP3 SP5 LATR</t>
  </si>
  <si>
    <t>High Mode - LATR</t>
  </si>
  <si>
    <t>Mid Mode - LATR</t>
  </si>
  <si>
    <t>Low Mode - 59N SP1 SP3 SP4 SP5 LATR</t>
  </si>
  <si>
    <t>SRT + NRT</t>
  </si>
  <si>
    <t>SubFlow</t>
  </si>
  <si>
    <t>MS001_SSBI_PBC</t>
  </si>
  <si>
    <t>MS001_Domain_PBC</t>
  </si>
  <si>
    <t>MP001_CEXTEST_PBC</t>
  </si>
  <si>
    <t>ME001_CEXTEST_PBC</t>
  </si>
  <si>
    <t>Low Mode - UNC TD Low/High Modes only</t>
  </si>
  <si>
    <t>High Mode - UNC TD Low/High Modes only</t>
  </si>
  <si>
    <t>MD008</t>
  </si>
  <si>
    <t>MG00D</t>
  </si>
  <si>
    <t>MS001_CXT_PBC</t>
  </si>
  <si>
    <t>Enable</t>
  </si>
  <si>
    <t>none</t>
  </si>
  <si>
    <t>MSX001 SOC TD</t>
  </si>
  <si>
    <t>MSX001 SOC BIST</t>
  </si>
  <si>
    <t>MS001_GPU</t>
  </si>
  <si>
    <t>MSX001 GPU TD</t>
  </si>
  <si>
    <t>MSX001 GPU BIST</t>
  </si>
  <si>
    <t>MSX003 SOC TD</t>
  </si>
  <si>
    <t>MS003_GPU</t>
  </si>
  <si>
    <t>MSX003 GPU TD</t>
  </si>
  <si>
    <t>MSX003 SOC BIST</t>
  </si>
  <si>
    <t>MSX002 SOC TD</t>
  </si>
  <si>
    <t>MS002_GPU</t>
  </si>
  <si>
    <t>MSX002 GPU TD</t>
  </si>
  <si>
    <t>MSX002 SOC BIST</t>
  </si>
  <si>
    <t>MSX004 SOC TD</t>
  </si>
  <si>
    <t>MS004_GPU</t>
  </si>
  <si>
    <t>MSX004 GPU TD</t>
  </si>
  <si>
    <t>MDX001 SOC TD</t>
  </si>
  <si>
    <t>MDX001 SOC BIST</t>
  </si>
  <si>
    <t>MDX001 HIP</t>
  </si>
  <si>
    <t>MDX008 SOC TD</t>
  </si>
  <si>
    <t>MDX008 SOC BIST</t>
  </si>
  <si>
    <t>MDX008 HIP</t>
  </si>
  <si>
    <t>MDX002 SOC TD</t>
  </si>
  <si>
    <t>MDX002 SOC BIST</t>
  </si>
  <si>
    <t>MDX002 HIP</t>
  </si>
  <si>
    <t>MDX005 SOC TD</t>
  </si>
  <si>
    <t>MDX005 SOC BIST</t>
  </si>
  <si>
    <t>MDX005 HIP</t>
  </si>
  <si>
    <t>MDX003 SOC TD</t>
  </si>
  <si>
    <t>MDX003 SOC BIST</t>
  </si>
  <si>
    <t>MDX003 HIP</t>
  </si>
  <si>
    <t>MDX004 SOC TD</t>
  </si>
  <si>
    <t>MDX004 SOC BIST</t>
  </si>
  <si>
    <t>MDX004 HIP</t>
  </si>
  <si>
    <t>MDX006 SOC TD</t>
  </si>
  <si>
    <t>MDX006 SOC BIST</t>
  </si>
  <si>
    <t>MDX006 HIP</t>
  </si>
  <si>
    <t>MDX007 SOC TD</t>
  </si>
  <si>
    <t>MDX007 SOC BIST</t>
  </si>
  <si>
    <t>MDX007 HIP</t>
  </si>
  <si>
    <t>MIX001 SOC TD</t>
  </si>
  <si>
    <t>MIX001 SOC BIST</t>
  </si>
  <si>
    <t>MIX002 SOC TD</t>
  </si>
  <si>
    <t>MIX002 SOC BIST</t>
  </si>
  <si>
    <t>MIX003 SOC TD</t>
  </si>
  <si>
    <t>MIX003 SOC BIST</t>
  </si>
  <si>
    <t>MGX001 GPU TD</t>
  </si>
  <si>
    <t>MGX001 GPU BIST</t>
  </si>
  <si>
    <t>MGX00C GPU TD</t>
  </si>
  <si>
    <t>MGX00C GPU BIST</t>
  </si>
  <si>
    <t>MGX00D GPU TD</t>
  </si>
  <si>
    <t>MGX00D GPU BIST</t>
  </si>
  <si>
    <t>MGX003 GPU TD</t>
  </si>
  <si>
    <t>MGX003 GPU BIST</t>
  </si>
  <si>
    <t>MGX007 GPU TD</t>
  </si>
  <si>
    <t>MGX007 GPU BIST</t>
  </si>
  <si>
    <t>MGX002 GPU TD</t>
  </si>
  <si>
    <t>MGX002 GPU BIST</t>
  </si>
  <si>
    <t>MGX004 GPU TD</t>
  </si>
  <si>
    <t>MGX004 GPU BIST</t>
  </si>
  <si>
    <t>MGX005 GPU TD</t>
  </si>
  <si>
    <t>MGX005 GPU BIST</t>
  </si>
  <si>
    <t>MGX006 GPU TD</t>
  </si>
  <si>
    <t>MGX006 GPU BIST</t>
  </si>
  <si>
    <t>MGX008 GPU TD</t>
  </si>
  <si>
    <t>MGX008 GPU BIST</t>
  </si>
  <si>
    <t>MGX009 GPU TD</t>
  </si>
  <si>
    <t>MGX009 GPU BIST</t>
  </si>
  <si>
    <t>MGX00A GPU TD</t>
  </si>
  <si>
    <t>MGX00A GPU BIST</t>
  </si>
  <si>
    <t>MGX00B GPU TD</t>
  </si>
  <si>
    <t>MGX00B GPU BIST</t>
  </si>
  <si>
    <t>MEX001 CPU TD</t>
  </si>
  <si>
    <t>ME001_CXD</t>
  </si>
  <si>
    <t>MEX001 CPU BIST</t>
  </si>
  <si>
    <t>MEX007 CPU BIST</t>
  </si>
  <si>
    <t>MEX003 CPU TD</t>
  </si>
  <si>
    <t>MEX003 CPU BIST</t>
  </si>
  <si>
    <t>MEX006 CPU TD</t>
  </si>
  <si>
    <t>MEX006 CPU BIST</t>
  </si>
  <si>
    <t>MEX002 CPU TD</t>
  </si>
  <si>
    <t>MEX002 CPU BIST</t>
  </si>
  <si>
    <t>MEX004 CPU TD</t>
  </si>
  <si>
    <t>MEX004 CPU BIST</t>
  </si>
  <si>
    <t>MEX005 CPU TD</t>
  </si>
  <si>
    <t>MEX005 CPU BIST</t>
  </si>
  <si>
    <t>MPX001 CPU TD</t>
  </si>
  <si>
    <t>MPX001 SOC TD</t>
  </si>
  <si>
    <t>MP001_CXD</t>
  </si>
  <si>
    <t>MPX001 CPU BIST</t>
  </si>
  <si>
    <t>MPX001 SOC BIST</t>
  </si>
  <si>
    <t>MPX00D SOC TD</t>
  </si>
  <si>
    <t>MPX00D SOC BIST</t>
  </si>
  <si>
    <t>MPX002 CPU TD</t>
  </si>
  <si>
    <t>MPX002 SOC TD</t>
  </si>
  <si>
    <t>MPX002 CPU BIST</t>
  </si>
  <si>
    <t>MPX002 SOC BIST</t>
  </si>
  <si>
    <t>MPX005 CPU TD</t>
  </si>
  <si>
    <t>MPX005 SOC TD</t>
  </si>
  <si>
    <t>MPX005 CPU BIST</t>
  </si>
  <si>
    <t>MPX005 SOC BIST</t>
  </si>
  <si>
    <t>MPX008 CPU TD</t>
  </si>
  <si>
    <t>MPX008 SOC TD</t>
  </si>
  <si>
    <t>MPX008 CPU BIST</t>
  </si>
  <si>
    <t>MPX008 SOC BIST</t>
  </si>
  <si>
    <t>MPX00B CPU TD</t>
  </si>
  <si>
    <t>MPX00B SOC TD</t>
  </si>
  <si>
    <t>MPX00B CPU BIST</t>
  </si>
  <si>
    <t>MPX00B SOC BIST</t>
  </si>
  <si>
    <t>MPX00C CPU TD</t>
  </si>
  <si>
    <t>MPX00C SOC TD</t>
  </si>
  <si>
    <t>MPX00C CPU BIST</t>
  </si>
  <si>
    <t>MPX00C SOC BIST</t>
  </si>
  <si>
    <t>MPX003 CPU TD</t>
  </si>
  <si>
    <t>MPX003 SOC TD</t>
  </si>
  <si>
    <t>MPX003 CPU BIST</t>
  </si>
  <si>
    <t>MPX003 SOC BIST</t>
  </si>
  <si>
    <t>MPX004 CPU TD</t>
  </si>
  <si>
    <t>MPX004 SOC TD</t>
  </si>
  <si>
    <t>MPX004 CPU BIST</t>
  </si>
  <si>
    <t>MPX004 SOC BIST</t>
  </si>
  <si>
    <t>MPX006 CPU TD</t>
  </si>
  <si>
    <t>MPX006 SOC TD</t>
  </si>
  <si>
    <t>MPX006 CPU BIST</t>
  </si>
  <si>
    <t>MPX006 SOC BIST</t>
  </si>
  <si>
    <t>MPX007 CPU TD</t>
  </si>
  <si>
    <t>MPX007 SOC TD</t>
  </si>
  <si>
    <t>MPX007 CPU BIST</t>
  </si>
  <si>
    <t>MPX007 SOC BIST</t>
  </si>
  <si>
    <t>MPX009 CPU TD</t>
  </si>
  <si>
    <t>MPX009 SOC TD</t>
  </si>
  <si>
    <t>MPX009 CPU BIST</t>
  </si>
  <si>
    <t>MPX009 SOC BIST</t>
  </si>
  <si>
    <t>MPX00A CPU TD</t>
  </si>
  <si>
    <t>MPX00A SOC TD</t>
  </si>
  <si>
    <t>MPX00A CPU BIST</t>
  </si>
  <si>
    <t>MPX00A SOC BIST</t>
  </si>
  <si>
    <t>MEX007 CPU BIST LATR HBV</t>
  </si>
  <si>
    <t>MGX00D GPU TD HBV</t>
  </si>
  <si>
    <t>MSX001 BIST SRT PBC</t>
  </si>
  <si>
    <t>MSX001 SOC TD CUX PBC</t>
  </si>
  <si>
    <t>MSX001 SOC TD CXT PBC</t>
  </si>
  <si>
    <t>MPX001 TD CEXTEST PBC</t>
  </si>
  <si>
    <t>MEX001 TD CEXTEST PBC</t>
  </si>
  <si>
    <t>Type</t>
  </si>
  <si>
    <t>BV</t>
  </si>
  <si>
    <t>HBV</t>
  </si>
  <si>
    <t>TRUE</t>
  </si>
  <si>
    <t/>
  </si>
  <si>
    <t>PRE</t>
  </si>
  <si>
    <t>MS001_CPU</t>
  </si>
  <si>
    <t>MS003_CPU</t>
  </si>
  <si>
    <t>MSX003 CPU TD DOMAIN</t>
  </si>
  <si>
    <t>MS002_CPU</t>
  </si>
  <si>
    <t>MSX002 CPU TD DOMAIN</t>
  </si>
  <si>
    <t>MS004_CPU</t>
  </si>
  <si>
    <t>MSX004 CPU TD DOMAIN</t>
  </si>
  <si>
    <t>MD009</t>
  </si>
  <si>
    <t>MDX009 SOC TD</t>
  </si>
  <si>
    <t>MDX009 SOC BIST</t>
  </si>
  <si>
    <t>MDX009 HIP</t>
  </si>
  <si>
    <t>MI004</t>
  </si>
  <si>
    <t>MIX004 SOC TD</t>
  </si>
  <si>
    <t>MPX00E CPU TD</t>
  </si>
  <si>
    <t>MPX00K CPU TD</t>
  </si>
  <si>
    <t>POR TOP mode - 1P pattern</t>
  </si>
  <si>
    <t>High Mode - LATR only</t>
  </si>
  <si>
    <t>Revision</t>
  </si>
  <si>
    <t>MPX00E CPU BIST</t>
  </si>
  <si>
    <t>MD009_SSBI_PBC</t>
  </si>
  <si>
    <t>V01A</t>
  </si>
  <si>
    <t>MSX001 CPU TD DOMAIN</t>
  </si>
  <si>
    <t>Toby</t>
  </si>
  <si>
    <t>Copied from Komodo V04A.</t>
  </si>
  <si>
    <r>
      <t xml:space="preserve">File cleanup for Borneo A0 V01A.  </t>
    </r>
    <r>
      <rPr>
        <sz val="10"/>
        <color rgb="FFFF0000"/>
        <rFont val="Courier New"/>
        <family val="1"/>
      </rPr>
      <t>Content is still from Komodo.</t>
    </r>
  </si>
  <si>
    <t>Yuhsuan</t>
  </si>
  <si>
    <t>MSX004 GPU BIST</t>
  </si>
  <si>
    <t>MS004_SFT_PBC</t>
  </si>
  <si>
    <t>MS004_CXT_PBC</t>
  </si>
  <si>
    <t>MSX004 SOC TD CXT PBC</t>
  </si>
  <si>
    <t>ME007_CEXTEST_PBC</t>
  </si>
  <si>
    <t>MEX007 TD CEXTEST PBC</t>
  </si>
  <si>
    <t>MS004_TD_PBC</t>
  </si>
  <si>
    <t>ME007_WUS_PBC</t>
  </si>
  <si>
    <t>ME007_24N_PBC</t>
  </si>
  <si>
    <t>MEX007 BIST WUS PBC</t>
  </si>
  <si>
    <t>MEX007 BIST 24N PBC</t>
  </si>
  <si>
    <t>MSX004 BIST SFT PBC</t>
  </si>
  <si>
    <t>MS004_Domain_PBC</t>
  </si>
  <si>
    <t>MEX007 CPU TD HBV</t>
  </si>
  <si>
    <t>MEX007 TD CEXTEST HBV</t>
  </si>
  <si>
    <t>MDX009 HIP HBV</t>
  </si>
  <si>
    <t>MSX004 SOC TD HBV</t>
  </si>
  <si>
    <t>MPX00H CPU TD HBV</t>
  </si>
  <si>
    <t>MPX00H SOC TD HBV</t>
  </si>
  <si>
    <t>MPX00H TD CEXTEST HBV</t>
  </si>
  <si>
    <t>MPX00K CPU TD HBV</t>
  </si>
  <si>
    <t>STR version</t>
  </si>
  <si>
    <t>MI005</t>
  </si>
  <si>
    <t>MIX005 SOC TD</t>
  </si>
  <si>
    <t>MIX005 SOC BIST</t>
  </si>
  <si>
    <t>High Mode - 59N SP1 SP3 SP5 LATR</t>
  </si>
  <si>
    <t>MEX007 CPU TD</t>
  </si>
  <si>
    <t>MP00G</t>
  </si>
  <si>
    <t>MP00G_CEXTEST_PBC</t>
  </si>
  <si>
    <t>MPX00H TD CEXTEST PBC</t>
  </si>
  <si>
    <t>MP00G_WUS_PBC</t>
  </si>
  <si>
    <t>MP00G_24N_PBC</t>
  </si>
  <si>
    <t>MPX00H BIST WUS PBC</t>
  </si>
  <si>
    <t>MPX00H BIST 24N PBC</t>
  </si>
  <si>
    <t>MPX00H CPU TD</t>
  </si>
  <si>
    <t>MPX00H SOC TD</t>
  </si>
  <si>
    <t>MPX00H SOC BIST</t>
  </si>
  <si>
    <t>MP00E</t>
  </si>
  <si>
    <t>MP00F</t>
  </si>
  <si>
    <t>MPX00D CPU TD</t>
  </si>
  <si>
    <t>MPX00D CPU BIST</t>
  </si>
  <si>
    <t>MPX00E SOC TD</t>
  </si>
  <si>
    <t>MPX00E SOC BIST</t>
  </si>
  <si>
    <t>MPX00F CPU TD</t>
  </si>
  <si>
    <t>MPX00F SOC TD</t>
  </si>
  <si>
    <t>MPX00F CPU BIST</t>
  </si>
  <si>
    <t>MPX00F SOC BIST</t>
  </si>
  <si>
    <t>MA001</t>
  </si>
  <si>
    <t>MAX001 SOC TD</t>
  </si>
  <si>
    <t>MAX001 SOC BIST</t>
  </si>
  <si>
    <t>MAd Mode</t>
  </si>
  <si>
    <t>MA002</t>
  </si>
  <si>
    <t>MAX002 SOC TD</t>
  </si>
  <si>
    <t>MAX002 SOC BIST</t>
  </si>
  <si>
    <t>MA003</t>
  </si>
  <si>
    <t>MAX003 SOC TD</t>
  </si>
  <si>
    <t>MAX003 SOC BIST</t>
  </si>
  <si>
    <t>ML001</t>
  </si>
  <si>
    <t>MLX001 SOC TD</t>
  </si>
  <si>
    <t>MLX001 SOC BIST</t>
  </si>
  <si>
    <t>Remove MG00E/MG00F</t>
  </si>
  <si>
    <t>MP00K</t>
  </si>
  <si>
    <t>Change MP00G to MP00K for HBV</t>
  </si>
  <si>
    <t>MSD092 SOC SBST HBV</t>
  </si>
  <si>
    <t>MSD011 SOC SBST PBC</t>
  </si>
  <si>
    <t>MSD034 SOC SBST PBC</t>
  </si>
  <si>
    <t>MDX092 SOC SBST PBC</t>
  </si>
  <si>
    <t>MS004_SSBI_PBC</t>
  </si>
  <si>
    <t>Update BMS to use INIT naming: DOMAIN, SBIST, etc. Updated insertions as well</t>
  </si>
  <si>
    <t>FT3</t>
  </si>
  <si>
    <t>Added FT3.  Removed non-PROD insertions.  Now have only CP1, CP2, FT1, FT2, and FT3.</t>
  </si>
  <si>
    <t>MSE024 CPU TD DOMAIN HBV</t>
  </si>
  <si>
    <t>MSP014 CPU TD DOMAIN HBV</t>
  </si>
  <si>
    <t>MSE024 DOMAIN1</t>
  </si>
  <si>
    <t>MSP014 DOMAIN1</t>
  </si>
  <si>
    <t>MSE011 CPU TD DOMAIN PBC</t>
  </si>
  <si>
    <t>MSP011 CPU TD DOMAIN PBC</t>
  </si>
  <si>
    <t>MSE024 CPU TD DOMAIN PBC</t>
  </si>
  <si>
    <t>MSP014 CPU TD DOMAIN PBC</t>
  </si>
  <si>
    <t>MSE011 ALL DOMAIN</t>
  </si>
  <si>
    <t>MSP011 ALL DOMAIN</t>
  </si>
  <si>
    <t>Removed from BMS since these modes don't exist: MDS059 SOC SBST and MDS039 SOC SBST.</t>
  </si>
  <si>
    <t>MSX004 SOC BIST</t>
  </si>
  <si>
    <t>[1] SSBBIST for HBV/PBC only [2] Change PCPU high mode mbist to MP00J and remove 1P [3] Take out MRCL for SOC BIST / TD</t>
  </si>
  <si>
    <t>PBC: Added MFX001 SOC TD and MRX001 SOC TD.</t>
  </si>
  <si>
    <r>
      <rPr>
        <sz val="10"/>
        <rFont val="Arial"/>
        <family val="1"/>
        <charset val="204"/>
      </rPr>
      <t>BV: Removed "Set_E1_Voltage	F_GFX0_X_GFXALL" since Borneo doesn't have no-GFX harvest option.</t>
    </r>
    <r>
      <rPr>
        <sz val="10"/>
        <rFont val="Arial"/>
        <family val="1"/>
        <charset val="204"/>
      </rPr>
      <t xml:space="preserve">
HBV/PBC: Split DOMAIN to 2 rows.</t>
    </r>
  </si>
  <si>
    <r>
      <t xml:space="preserve">BV: removed "TRUE" from these modes since they don't exist: MDS059 SOC SBST and MDS039 SOC SBST.  </t>
    </r>
    <r>
      <rPr>
        <b/>
        <sz val="10"/>
        <color rgb="FFFF0000"/>
        <rFont val="Arial"/>
        <family val="1"/>
        <charset val="204"/>
      </rPr>
      <t>TODO: check with PE.</t>
    </r>
  </si>
  <si>
    <t>PBC: add suffix "PBC": MF001_SOC_TD_PBC, MFX001 SOC TD PBC, MR001_SOC_TD_PBC, MRX001 SOC TD PBC.</t>
  </si>
  <si>
    <t>Added 5/31, Cleared 6/3</t>
  </si>
  <si>
    <t>PBC: cleared "MFX001 SOC TD PBC" and "MRX001 SOC TD PBC".</t>
  </si>
  <si>
    <t>Change to Exclusive checkout.</t>
  </si>
  <si>
    <t>Move MA ahead of MI to be aligned with bin cut</t>
  </si>
  <si>
    <t>Remove duplicated MS004 TD, and add missing MG001/MP001 TD on CP2</t>
  </si>
  <si>
    <t>High Mode - LATRNAMX</t>
  </si>
  <si>
    <t>Move MP00J LATRNAMX to HBV due to BV failure at CP2</t>
  </si>
  <si>
    <t>MPX00H CPU BIST LATR</t>
  </si>
  <si>
    <t>High Mode - 59N SP1 SP3 SP4 SP5</t>
  </si>
  <si>
    <t>MPX00H CPU BIST LATR HBV</t>
  </si>
  <si>
    <t>MPX00J CPU BIST LATRNAMX HBV</t>
  </si>
  <si>
    <t>Move MP00H LATR to HBV due to BV failure at CP2. Remove MP00H LATR and MP00J LATRNAMX from FT2 as well</t>
  </si>
  <si>
    <t>MAX003 SOC TD HBV</t>
  </si>
  <si>
    <t>MIX005 SOC TD HBV</t>
  </si>
  <si>
    <t>MLX001 SOC TD HBV</t>
  </si>
  <si>
    <t>CFND</t>
  </si>
  <si>
    <t>MDX009 SOC TD HBV</t>
  </si>
  <si>
    <t>MSD071 SOC SBST HBV</t>
  </si>
  <si>
    <t>Include the perf modes of SOC TD for HBV</t>
  </si>
  <si>
    <t>MSE024_MSP014 CPU TD DOMAIN HBV</t>
  </si>
  <si>
    <t>MSE024 MSP014 DOMAIN1</t>
  </si>
  <si>
    <t>MSD071_MSD092 SOC SBST HBV</t>
  </si>
  <si>
    <t>SBST</t>
  </si>
  <si>
    <t>MSX004_MAX003_MIX005_MLX001_MDX009 SOC TD HBV</t>
  </si>
  <si>
    <t>MSE011 MSP011 ALL DOMAIN</t>
  </si>
  <si>
    <t>MSE024_MSP014 CPU TD DOMAIN PBC</t>
  </si>
  <si>
    <t>MSE011_MSP011 CPU TD DOMAIN PBC</t>
  </si>
  <si>
    <t>MF001_SOC_TD_PBC</t>
  </si>
  <si>
    <t>MFX001 SOC TD PBC</t>
  </si>
  <si>
    <t>MR001_SOC_TD_PBC</t>
  </si>
  <si>
    <t>MRX001 SOC TD PBC</t>
  </si>
  <si>
    <t>HBV/PBC: combine some rows for TTR.</t>
  </si>
  <si>
    <t>BV: Copy CP1 to FT1 for evaluation only.  To be removed before V01A FT1 release.</t>
  </si>
  <si>
    <t>MPX00J CPU BIST LATRNAMX</t>
  </si>
  <si>
    <t>MPX00J CPU BIST 59NSP1345</t>
  </si>
  <si>
    <t>BV: Clarify SubFlow names for MPX00J CPU BIST 59NSP1345 and MPX00J CPU BIST LATRNAMX.</t>
  </si>
  <si>
    <t>6/11: Changed typo from TD to BIST.</t>
  </si>
  <si>
    <t>BV: MIX004 SOC BIST: Changed typo from TD to BIST.
HBV: Added MS001_Domain_HBV and MS004_Domain_HBV.</t>
  </si>
  <si>
    <t>HBV: REMOVED MS001_Domain_HBV and MS004_Domain_HBV.  It was duplicate.
PBC: Set MSE011_MSP011 CPU TD DOMAIN PBC to true.</t>
  </si>
  <si>
    <t>MRX001 SOC TD HBV</t>
  </si>
  <si>
    <t>CPMF</t>
  </si>
  <si>
    <t>HBV: add MRX001 SOC TD HBV.</t>
  </si>
  <si>
    <t>MSX004 GPU TD HBV</t>
  </si>
  <si>
    <t>HBV: Correct CFND to "MSX004 GPU TD HBV".
PBC: Add MR001_SOC_TD_PBC / MRX001 SOC TD PBC at CP2/FT1.</t>
  </si>
  <si>
    <t>V02A</t>
  </si>
  <si>
    <t>Copied from V01A #27</t>
  </si>
  <si>
    <t>Update Revision sheet for V02A.</t>
  </si>
  <si>
    <t>V03A</t>
  </si>
  <si>
    <t>BV/HBV: Temporarily removed HIP to support Autogen.</t>
  </si>
  <si>
    <t>Copied from V02A #2.</t>
  </si>
  <si>
    <t>7/8: split out ANE</t>
  </si>
  <si>
    <t>7/8: new for ANE.</t>
  </si>
  <si>
    <t>MP00H_SFT_PBC</t>
  </si>
  <si>
    <t>MPX00H BIST SFT PBC</t>
  </si>
  <si>
    <t>PBC: MP00H_SFT_PBC: Split out for ANE to dedicated condition.</t>
  </si>
  <si>
    <t>MD00A</t>
  </si>
  <si>
    <t>MDX00A SOC TD</t>
  </si>
  <si>
    <t>MDX00A SOC BIST</t>
  </si>
  <si>
    <t>MDX00A HIP</t>
  </si>
  <si>
    <t>MP001_SFT_PBC</t>
  </si>
  <si>
    <t>MPX001 BIST SFT PBC</t>
  </si>
  <si>
    <t>7/9: new for ANE.</t>
  </si>
  <si>
    <t>[1] Add MD00A in BV [2] Split out MPX001 BIST SFT PBC</t>
  </si>
  <si>
    <t>7/13: HIP back for V03A.</t>
  </si>
  <si>
    <t>BV/HBV: HIP back to TRUE for V03A.</t>
  </si>
  <si>
    <t>MG00E</t>
  </si>
  <si>
    <t>MGX00E GPU TD</t>
  </si>
  <si>
    <t>MGX00E GPU BIST</t>
  </si>
  <si>
    <t>MG00F</t>
  </si>
  <si>
    <t>MGX00F GPU TD</t>
  </si>
  <si>
    <t>MGX00F GPU BIST</t>
  </si>
  <si>
    <t>7/13: added for V03A</t>
  </si>
  <si>
    <t>BV: addes MG00E and MG00F.</t>
  </si>
  <si>
    <t>Yash</t>
  </si>
  <si>
    <t>Updated BMS for PBC for AMP ILB.ELB</t>
  </si>
  <si>
    <t>MD001_ELB_PBC</t>
  </si>
  <si>
    <t>MD001_ILB_PBC</t>
  </si>
  <si>
    <t>MD002_ELB_PBC</t>
  </si>
  <si>
    <t>MD003_ELB_PBC</t>
  </si>
  <si>
    <t>MD003_HBV_ELB_PBC</t>
  </si>
  <si>
    <t>MD009_ILB_PBC</t>
  </si>
  <si>
    <t>MD009_HBV_ILB_PBC</t>
  </si>
  <si>
    <t>MD00A_ILB_PBC</t>
  </si>
  <si>
    <t>MD00A_HBV_ILB_PBC</t>
  </si>
  <si>
    <t>Remove bin check on CP2</t>
  </si>
  <si>
    <t>Move CPU CEXTEST from BV to PBC</t>
  </si>
  <si>
    <t>Remove CEXTEST from HBV</t>
  </si>
  <si>
    <t>MIX004 SOC BIST</t>
  </si>
  <si>
    <t>Flow_nWire_Default_Disable</t>
  </si>
  <si>
    <t>Relay_On_HARDIP</t>
  </si>
  <si>
    <t>Relay_Off_HARDIP</t>
  </si>
  <si>
    <t>Flow_nWire_Default_Enable</t>
  </si>
  <si>
    <t>9/18: Added for 100% Autogen</t>
  </si>
  <si>
    <t>Copied from V03A #10.</t>
  </si>
  <si>
    <t>BV: Added Flow_nWire_Default_Enable/Disable and Relay_On/Off_HARDIP for 100% Autogen.  Updated colors.</t>
  </si>
  <si>
    <t>9/29: Added in FT.</t>
  </si>
  <si>
    <t>PBC: set FT to true for: MS001_CXT_PBC and MS004_CXT_PBC.</t>
  </si>
  <si>
    <t>V04A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</si>
</sst>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3" x14ac:knownFonts="1">
    <font>
      <sz val="10"/>
      <name val="Arial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ourier New"/>
      <family val="1"/>
    </font>
    <font>
      <sz val="10"/>
      <name val="Courier New"/>
      <family val="1"/>
    </font>
    <font>
      <sz val="8"/>
      <name val="Arial"/>
      <family val="2"/>
    </font>
    <font>
      <sz val="10"/>
      <color rgb="FFFF0000"/>
      <name val="Courier New"/>
      <family val="1"/>
    </font>
    <font>
      <b/>
      <sz val="12"/>
      <name val="Courier New"/>
      <family val="1"/>
    </font>
    <font>
      <sz val="12"/>
      <color rgb="FF7030A0"/>
      <name val="Courier New"/>
      <family val="1"/>
    </font>
    <font>
      <sz val="10"/>
      <name val="Arial"/>
      <family val="1"/>
      <charset val="204"/>
    </font>
    <font>
      <b/>
      <sz val="10"/>
      <color rgb="FFFF0000"/>
      <name val="Arial"/>
      <family val="1"/>
      <charset val="204"/>
    </font>
    <font>
      <b/>
      <sz val="12"/>
      <color theme="5" tint="-0.249977111117893"/>
      <name val="Courier New"/>
      <family val="1"/>
    </font>
    <font>
      <b/>
      <sz val="12"/>
      <color rgb="FF0432FF"/>
      <name val="Courier New"/>
      <family val="1"/>
    </font>
    <font>
      <b/>
      <sz val="10"/>
      <color rgb="FF0432FF"/>
      <name val="Courier New"/>
      <family val="1"/>
    </font>
    <font>
      <b/>
      <sz val="12"/>
      <color rgb="FFFF0000"/>
      <name val="Courier New"/>
      <family val="1"/>
    </font>
    <font>
      <b/>
      <sz val="10"/>
      <color rgb="FFFF0000"/>
      <name val="Courier New"/>
      <family val="1"/>
    </font>
    <font>
      <b/>
      <sz val="12"/>
      <color rgb="FF7030A0"/>
      <name val="Courier New"/>
      <family val="1"/>
    </font>
    <font>
      <b/>
      <sz val="10"/>
      <color rgb="FF7030A0"/>
      <name val="Courier New"/>
      <family val="1"/>
    </font>
    <font>
      <sz val="10"/>
      <name val="Arial"/>
      <family val="2"/>
    </font>
    <font>
      <sz val="12"/>
      <color rgb="FF9C5700"/>
      <name val="Calibri"/>
      <family val="2"/>
      <scheme val="minor"/>
    </font>
    <font>
      <sz val="12"/>
      <color rgb="FF9C5700"/>
      <name val="Courier New"/>
      <family val="1"/>
    </font>
    <font>
      <b/>
      <sz val="10"/>
      <name val="Courier New"/>
      <family val="1"/>
    </font>
  </fonts>
  <fills count="9">
    <fill>
      <patternFill patternType="none"/>
    </fill>
    <fill>
      <patternFill patternType="gray125"/>
    </fill>
    <fill>
      <patternFill patternType="solid">
        <fgColor rgb="FFFFF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FA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20" fillId="8" borderId="0" applyNumberFormat="0" applyBorder="0" applyAlignment="0" applyProtection="0"/>
  </cellStyleXfs>
  <cellXfs count="152">
    <xf numFmtId="0" fontId="0" fillId="0" borderId="0" xfId="0"/>
    <xf numFmtId="0" fontId="4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left" vertical="top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 vertical="top"/>
    </xf>
    <xf numFmtId="164" fontId="5" fillId="0" borderId="0" xfId="0" applyNumberFormat="1" applyFont="1" applyFill="1" applyAlignment="1">
      <alignment horizontal="center" vertical="top"/>
    </xf>
    <xf numFmtId="164" fontId="5" fillId="0" borderId="0" xfId="0" applyNumberFormat="1" applyFont="1" applyFill="1" applyAlignment="1">
      <alignment horizontal="right" vertical="top"/>
    </xf>
    <xf numFmtId="0" fontId="5" fillId="0" borderId="0" xfId="0" applyFont="1" applyFill="1" applyAlignment="1">
      <alignment horizontal="left" vertical="top"/>
    </xf>
    <xf numFmtId="0" fontId="4" fillId="0" borderId="1" xfId="0" applyFont="1" applyFill="1" applyBorder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 vertical="top"/>
    </xf>
    <xf numFmtId="0" fontId="4" fillId="0" borderId="0" xfId="0" applyFont="1" applyFill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left"/>
    </xf>
    <xf numFmtId="0" fontId="4" fillId="0" borderId="1" xfId="2" applyFont="1" applyBorder="1" applyAlignment="1">
      <alignment horizontal="left" vertical="top"/>
    </xf>
    <xf numFmtId="0" fontId="4" fillId="0" borderId="1" xfId="2" applyFont="1" applyBorder="1" applyAlignment="1">
      <alignment horizontal="left" vertical="center"/>
    </xf>
    <xf numFmtId="0" fontId="4" fillId="0" borderId="2" xfId="2" applyFont="1" applyBorder="1" applyAlignment="1">
      <alignment horizontal="left" vertical="top"/>
    </xf>
    <xf numFmtId="0" fontId="4" fillId="0" borderId="2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3" borderId="1" xfId="2" applyFont="1" applyFill="1" applyBorder="1" applyAlignment="1">
      <alignment horizontal="left" vertical="top"/>
    </xf>
    <xf numFmtId="0" fontId="4" fillId="0" borderId="2" xfId="2" applyFont="1" applyBorder="1" applyAlignment="1">
      <alignment horizontal="left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center" vertical="top"/>
    </xf>
    <xf numFmtId="0" fontId="8" fillId="0" borderId="3" xfId="2" applyFont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/>
    </xf>
    <xf numFmtId="0" fontId="8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9" fillId="0" borderId="1" xfId="2" applyFont="1" applyBorder="1" applyAlignment="1">
      <alignment horizontal="left" vertical="top"/>
    </xf>
    <xf numFmtId="0" fontId="9" fillId="0" borderId="2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left"/>
    </xf>
    <xf numFmtId="0" fontId="9" fillId="0" borderId="0" xfId="0" applyFont="1" applyFill="1"/>
    <xf numFmtId="0" fontId="5" fillId="0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/>
    </xf>
    <xf numFmtId="0" fontId="12" fillId="5" borderId="1" xfId="0" applyFont="1" applyFill="1" applyBorder="1" applyAlignment="1">
      <alignment horizontal="left" vertical="top"/>
    </xf>
    <xf numFmtId="0" fontId="12" fillId="5" borderId="1" xfId="0" applyFont="1" applyFill="1" applyBorder="1" applyAlignment="1">
      <alignment horizontal="center" vertical="top"/>
    </xf>
    <xf numFmtId="0" fontId="12" fillId="5" borderId="1" xfId="0" applyFont="1" applyFill="1" applyBorder="1" applyAlignment="1">
      <alignment horizontal="left"/>
    </xf>
    <xf numFmtId="0" fontId="8" fillId="0" borderId="1" xfId="2" applyFont="1" applyBorder="1" applyAlignment="1">
      <alignment horizontal="left" vertical="top"/>
    </xf>
    <xf numFmtId="0" fontId="13" fillId="0" borderId="0" xfId="0" applyFont="1" applyFill="1"/>
    <xf numFmtId="0" fontId="9" fillId="0" borderId="5" xfId="0" applyFont="1" applyFill="1" applyBorder="1" applyAlignment="1">
      <alignment vertical="center"/>
    </xf>
    <xf numFmtId="0" fontId="9" fillId="0" borderId="6" xfId="2" applyFont="1" applyBorder="1" applyAlignment="1">
      <alignment horizontal="left" vertical="top"/>
    </xf>
    <xf numFmtId="0" fontId="9" fillId="0" borderId="6" xfId="0" applyFont="1" applyFill="1" applyBorder="1" applyAlignment="1">
      <alignment horizontal="center" vertical="top"/>
    </xf>
    <xf numFmtId="0" fontId="9" fillId="0" borderId="6" xfId="0" applyFont="1" applyFill="1" applyBorder="1" applyAlignment="1">
      <alignment horizontal="left"/>
    </xf>
    <xf numFmtId="0" fontId="9" fillId="0" borderId="7" xfId="0" applyFont="1" applyFill="1" applyBorder="1" applyAlignment="1">
      <alignment horizontal="center" vertical="top"/>
    </xf>
    <xf numFmtId="0" fontId="9" fillId="0" borderId="8" xfId="0" applyFont="1" applyFill="1" applyBorder="1" applyAlignment="1">
      <alignment vertical="center"/>
    </xf>
    <xf numFmtId="0" fontId="9" fillId="0" borderId="9" xfId="0" applyFont="1" applyFill="1" applyBorder="1" applyAlignment="1">
      <alignment horizontal="center" vertical="top"/>
    </xf>
    <xf numFmtId="0" fontId="13" fillId="0" borderId="10" xfId="0" applyFont="1" applyFill="1" applyBorder="1" applyAlignment="1">
      <alignment vertical="center"/>
    </xf>
    <xf numFmtId="0" fontId="13" fillId="0" borderId="3" xfId="2" applyFont="1" applyBorder="1" applyAlignment="1">
      <alignment horizontal="left" vertical="top"/>
    </xf>
    <xf numFmtId="0" fontId="13" fillId="0" borderId="11" xfId="0" applyFont="1" applyFill="1" applyBorder="1" applyAlignment="1">
      <alignment horizontal="center" vertical="top"/>
    </xf>
    <xf numFmtId="0" fontId="13" fillId="0" borderId="3" xfId="0" applyFont="1" applyFill="1" applyBorder="1" applyAlignment="1">
      <alignment horizontal="center" vertical="top"/>
    </xf>
    <xf numFmtId="0" fontId="13" fillId="0" borderId="3" xfId="0" applyFont="1" applyFill="1" applyBorder="1" applyAlignment="1">
      <alignment horizontal="left"/>
    </xf>
    <xf numFmtId="0" fontId="13" fillId="0" borderId="12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vertical="center"/>
    </xf>
    <xf numFmtId="0" fontId="4" fillId="0" borderId="4" xfId="2" applyFont="1" applyBorder="1" applyAlignment="1">
      <alignment horizontal="left" vertical="top"/>
    </xf>
    <xf numFmtId="0" fontId="4" fillId="0" borderId="4" xfId="0" applyFont="1" applyFill="1" applyBorder="1" applyAlignment="1">
      <alignment horizontal="center" vertical="top"/>
    </xf>
    <xf numFmtId="0" fontId="4" fillId="0" borderId="4" xfId="0" applyFont="1" applyFill="1" applyBorder="1" applyAlignment="1">
      <alignment horizontal="left"/>
    </xf>
    <xf numFmtId="0" fontId="4" fillId="0" borderId="5" xfId="0" applyFont="1" applyFill="1" applyBorder="1" applyAlignment="1">
      <alignment vertical="center"/>
    </xf>
    <xf numFmtId="0" fontId="4" fillId="0" borderId="6" xfId="2" applyFont="1" applyBorder="1" applyAlignment="1">
      <alignment horizontal="left" vertical="top"/>
    </xf>
    <xf numFmtId="0" fontId="8" fillId="0" borderId="6" xfId="2" applyFont="1" applyBorder="1" applyAlignment="1">
      <alignment horizontal="left" vertical="top"/>
    </xf>
    <xf numFmtId="0" fontId="4" fillId="0" borderId="6" xfId="0" applyFont="1" applyFill="1" applyBorder="1" applyAlignment="1">
      <alignment horizontal="center" vertical="top"/>
    </xf>
    <xf numFmtId="0" fontId="4" fillId="0" borderId="6" xfId="0" applyFont="1" applyFill="1" applyBorder="1" applyAlignment="1">
      <alignment horizontal="left"/>
    </xf>
    <xf numFmtId="0" fontId="4" fillId="0" borderId="7" xfId="0" applyFont="1" applyFill="1" applyBorder="1" applyAlignment="1">
      <alignment horizontal="center" vertical="top"/>
    </xf>
    <xf numFmtId="0" fontId="4" fillId="0" borderId="8" xfId="0" applyFont="1" applyFill="1" applyBorder="1" applyAlignment="1">
      <alignment vertical="center"/>
    </xf>
    <xf numFmtId="0" fontId="4" fillId="0" borderId="9" xfId="0" applyFont="1" applyFill="1" applyBorder="1" applyAlignment="1">
      <alignment horizontal="center" vertical="top"/>
    </xf>
    <xf numFmtId="0" fontId="4" fillId="0" borderId="6" xfId="0" applyFont="1" applyFill="1" applyBorder="1" applyAlignment="1">
      <alignment horizontal="left" vertical="top"/>
    </xf>
    <xf numFmtId="0" fontId="4" fillId="0" borderId="0" xfId="0" applyFont="1" applyFill="1" applyBorder="1"/>
    <xf numFmtId="0" fontId="4" fillId="0" borderId="10" xfId="0" applyFont="1" applyFill="1" applyBorder="1" applyAlignment="1">
      <alignment vertical="center"/>
    </xf>
    <xf numFmtId="0" fontId="4" fillId="0" borderId="3" xfId="2" applyFont="1" applyBorder="1" applyAlignment="1">
      <alignment horizontal="left" vertical="top"/>
    </xf>
    <xf numFmtId="0" fontId="4" fillId="0" borderId="3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left"/>
    </xf>
    <xf numFmtId="0" fontId="12" fillId="5" borderId="10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left" vertical="top"/>
    </xf>
    <xf numFmtId="0" fontId="12" fillId="5" borderId="3" xfId="0" applyFont="1" applyFill="1" applyBorder="1" applyAlignment="1">
      <alignment horizontal="center" vertical="top"/>
    </xf>
    <xf numFmtId="0" fontId="12" fillId="5" borderId="3" xfId="0" applyFont="1" applyFill="1" applyBorder="1" applyAlignment="1">
      <alignment horizontal="left"/>
    </xf>
    <xf numFmtId="0" fontId="4" fillId="0" borderId="14" xfId="0" applyFont="1" applyFill="1" applyBorder="1" applyAlignment="1">
      <alignment vertical="center"/>
    </xf>
    <xf numFmtId="0" fontId="4" fillId="0" borderId="15" xfId="2" applyFont="1" applyBorder="1" applyAlignment="1">
      <alignment horizontal="left" vertical="top"/>
    </xf>
    <xf numFmtId="0" fontId="4" fillId="0" borderId="15" xfId="0" applyFont="1" applyFill="1" applyBorder="1" applyAlignment="1">
      <alignment horizontal="center" vertical="top"/>
    </xf>
    <xf numFmtId="0" fontId="4" fillId="0" borderId="15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center" vertical="top"/>
    </xf>
    <xf numFmtId="0" fontId="13" fillId="0" borderId="0" xfId="0" applyFont="1" applyFill="1" applyBorder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12" fillId="5" borderId="8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top"/>
    </xf>
    <xf numFmtId="0" fontId="4" fillId="0" borderId="12" xfId="0" applyFont="1" applyFill="1" applyBorder="1" applyAlignment="1">
      <alignment horizontal="center" vertical="top"/>
    </xf>
    <xf numFmtId="0" fontId="8" fillId="0" borderId="16" xfId="0" applyFont="1" applyFill="1" applyBorder="1" applyAlignment="1">
      <alignment horizontal="center" vertical="top"/>
    </xf>
    <xf numFmtId="0" fontId="8" fillId="0" borderId="17" xfId="2" applyFont="1" applyBorder="1" applyAlignment="1">
      <alignment horizontal="left" vertical="top" wrapText="1"/>
    </xf>
    <xf numFmtId="0" fontId="8" fillId="0" borderId="17" xfId="0" applyFont="1" applyFill="1" applyBorder="1" applyAlignment="1">
      <alignment horizontal="left" vertical="top"/>
    </xf>
    <xf numFmtId="0" fontId="8" fillId="0" borderId="17" xfId="0" applyFont="1" applyFill="1" applyBorder="1" applyAlignment="1">
      <alignment horizontal="center"/>
    </xf>
    <xf numFmtId="0" fontId="8" fillId="0" borderId="17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center" vertical="top"/>
    </xf>
    <xf numFmtId="0" fontId="4" fillId="0" borderId="3" xfId="0" applyFont="1" applyFill="1" applyBorder="1" applyAlignment="1">
      <alignment horizontal="left" vertical="top"/>
    </xf>
    <xf numFmtId="0" fontId="12" fillId="5" borderId="12" xfId="0" applyFont="1" applyFill="1" applyBorder="1" applyAlignment="1">
      <alignment horizontal="center" vertical="top"/>
    </xf>
    <xf numFmtId="0" fontId="4" fillId="0" borderId="19" xfId="0" applyFont="1" applyFill="1" applyBorder="1" applyAlignment="1">
      <alignment horizontal="center" vertical="top"/>
    </xf>
    <xf numFmtId="0" fontId="9" fillId="0" borderId="22" xfId="0" applyFont="1" applyFill="1" applyBorder="1" applyAlignment="1">
      <alignment vertical="center"/>
    </xf>
    <xf numFmtId="0" fontId="9" fillId="0" borderId="23" xfId="0" applyFont="1" applyFill="1" applyBorder="1" applyAlignment="1">
      <alignment vertical="center"/>
    </xf>
    <xf numFmtId="0" fontId="13" fillId="0" borderId="23" xfId="0" applyFont="1" applyFill="1" applyBorder="1" applyAlignment="1">
      <alignment vertical="center"/>
    </xf>
    <xf numFmtId="0" fontId="9" fillId="0" borderId="5" xfId="2" applyFont="1" applyBorder="1" applyAlignment="1">
      <alignment horizontal="left" vertical="top"/>
    </xf>
    <xf numFmtId="0" fontId="9" fillId="0" borderId="8" xfId="2" applyFont="1" applyBorder="1" applyAlignment="1">
      <alignment horizontal="left" vertical="top"/>
    </xf>
    <xf numFmtId="0" fontId="13" fillId="0" borderId="10" xfId="2" applyFont="1" applyBorder="1" applyAlignment="1">
      <alignment horizontal="left" vertical="top"/>
    </xf>
    <xf numFmtId="0" fontId="14" fillId="0" borderId="0" xfId="0" applyFont="1" applyFill="1" applyAlignment="1">
      <alignment horizontal="left" vertical="top"/>
    </xf>
    <xf numFmtId="0" fontId="13" fillId="0" borderId="1" xfId="0" applyFont="1" applyFill="1" applyBorder="1" applyAlignment="1">
      <alignment horizontal="center" vertical="center"/>
    </xf>
    <xf numFmtId="0" fontId="15" fillId="0" borderId="1" xfId="2" applyFont="1" applyBorder="1" applyAlignment="1">
      <alignment horizontal="left" vertical="center"/>
    </xf>
    <xf numFmtId="0" fontId="16" fillId="0" borderId="0" xfId="0" applyFont="1" applyFill="1" applyAlignment="1">
      <alignment horizontal="left" vertical="top"/>
    </xf>
    <xf numFmtId="0" fontId="16" fillId="0" borderId="0" xfId="0" applyFont="1" applyFill="1" applyAlignment="1">
      <alignment horizontal="left" vertical="top" wrapText="1"/>
    </xf>
    <xf numFmtId="0" fontId="15" fillId="0" borderId="11" xfId="0" applyFont="1" applyFill="1" applyBorder="1" applyAlignment="1">
      <alignment horizontal="center" vertical="top"/>
    </xf>
    <xf numFmtId="0" fontId="17" fillId="0" borderId="10" xfId="0" applyFont="1" applyFill="1" applyBorder="1" applyAlignment="1">
      <alignment vertical="center"/>
    </xf>
    <xf numFmtId="0" fontId="17" fillId="0" borderId="3" xfId="2" applyFont="1" applyBorder="1" applyAlignment="1">
      <alignment horizontal="left" vertical="top"/>
    </xf>
    <xf numFmtId="0" fontId="17" fillId="0" borderId="3" xfId="0" applyFont="1" applyFill="1" applyBorder="1" applyAlignment="1">
      <alignment horizontal="center" vertical="top"/>
    </xf>
    <xf numFmtId="0" fontId="17" fillId="0" borderId="3" xfId="0" applyFont="1" applyFill="1" applyBorder="1" applyAlignment="1">
      <alignment horizontal="left"/>
    </xf>
    <xf numFmtId="0" fontId="17" fillId="0" borderId="12" xfId="0" applyFont="1" applyFill="1" applyBorder="1" applyAlignment="1">
      <alignment horizontal="center" vertical="top"/>
    </xf>
    <xf numFmtId="0" fontId="17" fillId="0" borderId="0" xfId="0" applyFont="1" applyFill="1" applyBorder="1"/>
    <xf numFmtId="0" fontId="18" fillId="0" borderId="0" xfId="0" applyFont="1" applyFill="1" applyAlignment="1">
      <alignment horizontal="left" vertical="top"/>
    </xf>
    <xf numFmtId="0" fontId="19" fillId="6" borderId="0" xfId="0" applyFont="1" applyFill="1"/>
    <xf numFmtId="0" fontId="15" fillId="0" borderId="1" xfId="0" applyFont="1" applyFill="1" applyBorder="1" applyAlignment="1">
      <alignment horizontal="center" vertical="top"/>
    </xf>
    <xf numFmtId="0" fontId="17" fillId="0" borderId="4" xfId="0" applyFont="1" applyFill="1" applyBorder="1" applyAlignment="1">
      <alignment vertical="center"/>
    </xf>
    <xf numFmtId="0" fontId="17" fillId="0" borderId="4" xfId="2" applyFont="1" applyBorder="1" applyAlignment="1">
      <alignment horizontal="left" vertical="top"/>
    </xf>
    <xf numFmtId="0" fontId="17" fillId="0" borderId="13" xfId="0" applyFont="1" applyFill="1" applyBorder="1" applyAlignment="1">
      <alignment horizontal="center" vertical="top"/>
    </xf>
    <xf numFmtId="0" fontId="17" fillId="0" borderId="4" xfId="0" applyFont="1" applyFill="1" applyBorder="1" applyAlignment="1">
      <alignment horizontal="center" vertical="top"/>
    </xf>
    <xf numFmtId="0" fontId="17" fillId="0" borderId="4" xfId="0" applyFont="1" applyFill="1" applyBorder="1" applyAlignment="1">
      <alignment horizontal="left"/>
    </xf>
    <xf numFmtId="0" fontId="17" fillId="0" borderId="0" xfId="0" applyFont="1" applyFill="1"/>
    <xf numFmtId="0" fontId="13" fillId="0" borderId="1" xfId="0" applyFont="1" applyFill="1" applyBorder="1" applyAlignment="1">
      <alignment vertical="center"/>
    </xf>
    <xf numFmtId="0" fontId="13" fillId="2" borderId="1" xfId="2" applyFont="1" applyFill="1" applyBorder="1" applyAlignment="1">
      <alignment horizontal="left" vertical="center"/>
    </xf>
    <xf numFmtId="0" fontId="13" fillId="0" borderId="1" xfId="2" applyFont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vertical="center"/>
    </xf>
    <xf numFmtId="0" fontId="13" fillId="0" borderId="11" xfId="2" applyFont="1" applyBorder="1" applyAlignment="1">
      <alignment horizontal="left" vertical="top"/>
    </xf>
    <xf numFmtId="0" fontId="13" fillId="7" borderId="11" xfId="0" applyFont="1" applyFill="1" applyBorder="1" applyAlignment="1">
      <alignment horizontal="center" vertical="top"/>
    </xf>
    <xf numFmtId="0" fontId="13" fillId="0" borderId="11" xfId="0" applyFont="1" applyFill="1" applyBorder="1" applyAlignment="1">
      <alignment horizontal="left"/>
    </xf>
    <xf numFmtId="0" fontId="13" fillId="0" borderId="21" xfId="0" applyFont="1" applyFill="1" applyBorder="1" applyAlignment="1">
      <alignment horizontal="center" vertical="top"/>
    </xf>
    <xf numFmtId="0" fontId="15" fillId="0" borderId="1" xfId="0" applyFont="1" applyFill="1" applyBorder="1" applyAlignment="1">
      <alignment horizontal="center" vertical="center"/>
    </xf>
    <xf numFmtId="0" fontId="21" fillId="8" borderId="1" xfId="4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center" vertical="center"/>
    </xf>
    <xf numFmtId="0" fontId="4" fillId="0" borderId="3" xfId="2" applyFont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/>
    </xf>
    <xf numFmtId="0" fontId="15" fillId="2" borderId="1" xfId="2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5" fillId="0" borderId="0" xfId="0" applyFont="1" applyFill="1"/>
    <xf numFmtId="0" fontId="13" fillId="0" borderId="2" xfId="0" applyFont="1" applyFill="1" applyBorder="1" applyAlignment="1">
      <alignment horizontal="left" vertical="center"/>
    </xf>
    <xf numFmtId="0" fontId="15" fillId="0" borderId="2" xfId="0" applyFont="1" applyFill="1" applyBorder="1" applyAlignment="1">
      <alignment horizontal="left" vertical="center"/>
    </xf>
    <xf numFmtId="0" fontId="22" fillId="0" borderId="0" xfId="0" applyFont="1" applyFill="1" applyAlignment="1">
      <alignment horizontal="left" vertical="top"/>
    </xf>
    <xf numFmtId="0" fontId="13" fillId="0" borderId="1" xfId="0" applyFont="1" applyFill="1" applyBorder="1" applyAlignment="1">
      <alignment horizontal="center" vertical="top"/>
    </xf>
    <xf numFmtId="0" fontId="13" fillId="0" borderId="1" xfId="0" applyFont="1" applyFill="1" applyBorder="1" applyAlignment="1">
      <alignment horizontal="left"/>
    </xf>
  </cellXfs>
  <cellStyles count="5">
    <cellStyle name="Neutral" xfId="4" builtinId="28"/>
    <cellStyle name="Normal" xfId="0" builtinId="0"/>
    <cellStyle name="Normal 2" xfId="3" xr:uid="{91896625-3023-5444-B7D4-DAC4A9919D98}"/>
    <cellStyle name="Normal 2 2" xfId="1" xr:uid="{7D6948FE-6011-0446-B058-8C0AAFB4AC66}"/>
    <cellStyle name="Normal 2 2 2" xfId="2" xr:uid="{41583FE5-57CF-974F-BBA6-EB19A0D29862}"/>
  </cellStyles>
  <dxfs count="130"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1"/>
        <scheme val="none"/>
      </font>
      <numFmt numFmtId="164" formatCode="[$-F800]dddd\,\ mmmm\ dd\,\ yyyy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1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0432FF"/>
      <color rgb="FFD9E2F2"/>
      <color rgb="FFFFFFFF"/>
      <color rgb="FFFFFC00"/>
      <color rgb="FF00FA00"/>
      <color rgb="FFFF40FF"/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by McPheeters" id="{AC306AA3-F91D-7A40-BA54-D20D4112BE48}" userId="S::tmcpheeters@apple.com::ea164c1c-a960-4a66-bbdc-2aa32855cb89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B436DD-4D26-AA4F-B8AC-78D10018D750}" name="Table13" displayName="Table13" ref="A1:F43" totalsRowShown="0" headerRowDxfId="129" dataDxfId="128">
  <tableColumns count="6">
    <tableColumn id="6" xr3:uid="{6B803A9C-6EC5-3642-8DCF-C173A5A35A34}" name="Silicon" dataDxfId="127"/>
    <tableColumn id="7" xr3:uid="{B73389A5-2331-7840-83AD-E651059BB251}" name="Program" dataDxfId="126"/>
    <tableColumn id="2" xr3:uid="{5189E919-7301-E84D-A5F6-CE6836318C1E}" name="Revision" dataDxfId="125"/>
    <tableColumn id="3" xr3:uid="{3EA8E8FF-222F-3547-AF35-4148D997F218}" name="Date" dataDxfId="124"/>
    <tableColumn id="4" xr3:uid="{6CC97D54-AD49-204B-80D4-CB6AE26B3D15}" name="Author" dataDxfId="123"/>
    <tableColumn id="5" xr3:uid="{56AE450A-EF4B-F34E-916D-F90C1A9564A2}" name="Change Description" dataDxfId="12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791D783D-4BDF-2347-8CEE-4B391EA5A4E0}">
    <text>Type must match: BV, HBV, or PBV.</text>
  </threadedComment>
  <threadedComment ref="B1" dT="2024-01-29T23:45:55.10" personId="{AC306AA3-F91D-7A40-BA54-D20D4112BE48}" id="{6C7E95ED-B06E-3340-B311-61639660D375}">
    <text>Must match one of:
1) Bincut Performance Mode
2) PBC Performance Mode</text>
  </threadedComment>
  <threadedComment ref="C1" dT="2024-01-29T23:46:42.33" personId="{AC306AA3-F91D-7A40-BA54-D20D4112BE48}" id="{2F68822E-AAD0-4042-876F-018495437664}">
    <text>Must match TestPlan / Instance_sheet / Sub Flow.
Blank cells mean no content to run.</text>
  </threadedComment>
  <threadedComment ref="E1" dT="2024-01-29T23:52:40.13" personId="{AC306AA3-F91D-7A40-BA54-D20D4112BE48}" id="{7E1AEF66-AB79-9D4A-BDA3-129A3C848443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8BF2ACF9-546F-7940-860B-E002B234140D}">
    <text>This is a number used for sorting and organizing rows.  It is NOT used to control flow sequence.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CA1C6AC1-B6D5-4D48-AEAB-5674673060A6}">
    <text>Type must match: BV, HBV, or PBV.</text>
  </threadedComment>
  <threadedComment ref="B1" dT="2024-01-29T23:45:55.10" personId="{AC306AA3-F91D-7A40-BA54-D20D4112BE48}" id="{87ADF591-9FC7-FD4E-B2C5-11ECA6E2B45B}">
    <text>Must match one of:
1) Bincut Performance Mode
2) PBC Performance Mode</text>
  </threadedComment>
  <threadedComment ref="C1" dT="2024-01-29T23:46:42.33" personId="{AC306AA3-F91D-7A40-BA54-D20D4112BE48}" id="{DD44A62E-9BDB-CA49-B45F-2B4DE74695F3}">
    <text>Must match TestPlan / Instance_sheet / Sub Flow.
Blank cells mean no content to run.</text>
  </threadedComment>
  <threadedComment ref="E1" dT="2024-01-29T23:52:40.13" personId="{AC306AA3-F91D-7A40-BA54-D20D4112BE48}" id="{7C9A7B21-1E9B-0749-B0FC-870DA47B30C2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2840B0EA-702B-6C41-BD86-C313580C92D0}">
    <text>This is a number used for sorting and organizing rows.  It is NOT used to control flow sequence.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EFB5306B-F9E9-CF44-AAF0-FBE2D697161C}">
    <text>Type must match: BV, HBV, or PBV.</text>
  </threadedComment>
  <threadedComment ref="B1" dT="2024-01-29T23:45:55.10" personId="{AC306AA3-F91D-7A40-BA54-D20D4112BE48}" id="{33B722BA-9025-7A48-963A-755DAE82C1F7}">
    <text>Must match one of:
1) Bincut Performance Mode
2) PBC Performance Mode</text>
  </threadedComment>
  <threadedComment ref="C1" dT="2024-01-29T23:46:42.33" personId="{AC306AA3-F91D-7A40-BA54-D20D4112BE48}" id="{D9DF3235-31FD-8046-A57B-9016D2D388D6}">
    <text>Must match TestPlan / Instance_sheet / Sub Flow.
Blank cells mean no content to run.</text>
  </threadedComment>
  <threadedComment ref="E1" dT="2024-01-29T23:52:40.13" personId="{AC306AA3-F91D-7A40-BA54-D20D4112BE48}" id="{3F609DAD-D97C-EF4E-993C-939A53F34BBB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38744B11-E8E0-754E-B60B-A8367BCAB71B}">
    <text>This is a number used for sorting and organizing rows.  It is NOT used to control flow sequence.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A1" dT="2024-01-29T23:48:01.85" personId="{AC306AA3-F91D-7A40-BA54-D20D4112BE48}" id="{A3D49017-5991-A94B-BA97-115034751D76}">
    <text>Type must match: BV, HBV, or PBV.</text>
  </threadedComment>
  <threadedComment ref="B1" dT="2024-01-29T23:45:55.10" personId="{AC306AA3-F91D-7A40-BA54-D20D4112BE48}" id="{4B9F0448-AADE-EC40-81C5-B24ECC776E42}">
    <text>Must match one of:
1) Bincut Performance Mode
2) PBC Performance Mode</text>
  </threadedComment>
  <threadedComment ref="C1" dT="2024-01-29T23:46:42.33" personId="{AC306AA3-F91D-7A40-BA54-D20D4112BE48}" id="{050FE8B8-129E-1C4A-B08C-EDDEAF28715A}">
    <text>Must match TestPlan / Instance_sheet / Sub Flow.
Blank cells mean no content to run.</text>
  </threadedComment>
  <threadedComment ref="E1" dT="2024-01-29T23:52:40.13" personId="{AC306AA3-F91D-7A40-BA54-D20D4112BE48}" id="{C1DD1B37-47C0-D84C-B573-BEE1753451A6}">
    <text>For each insertion, include a column.  “TRUE” means to run this row at this insertion.  Blank means not tested.  Use “Interpolate” if performance mode is interpolated.</text>
  </threadedComment>
  <threadedComment ref="L1" dT="2024-01-29T23:50:14.56" personId="{AC306AA3-F91D-7A40-BA54-D20D4112BE48}" id="{4157022E-40D6-1945-B9E3-C98A28F45914}">
    <text>This is a number used for sorting and organizing rows.  It is NOT used to control flow sequence.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01F03-2158-C044-9847-3D61853EE7D8}">
  <dimension ref="A1:F43"/>
  <sheetViews>
    <sheetView tabSelected="1" zoomScaleNormal="100" workbookViewId="0">
      <selection activeCell="F45" sqref="F45"/>
    </sheetView>
  </sheetViews>
  <sheetFormatPr baseColWidth="10" defaultRowHeight="14" x14ac:dyDescent="0.15"/>
  <cols>
    <col min="1" max="1" width="8.5" style="5" customWidth="1"/>
    <col min="2" max="2" width="9.5" style="5" bestFit="1" customWidth="1"/>
    <col min="3" max="3" width="19.33203125" style="5" bestFit="1" customWidth="1"/>
    <col min="4" max="4" width="29.6640625" style="7" bestFit="1" customWidth="1"/>
    <col min="5" max="5" width="11.1640625" style="5" bestFit="1" customWidth="1"/>
    <col min="6" max="6" width="143.33203125" style="8" bestFit="1" customWidth="1"/>
    <col min="7" max="16384" width="10.83203125" style="5"/>
  </cols>
  <sheetData>
    <row r="1" spans="1:6" x14ac:dyDescent="0.15">
      <c r="A1" s="5" t="s">
        <v>46</v>
      </c>
      <c r="B1" s="5" t="s">
        <v>45</v>
      </c>
      <c r="C1" s="5" t="s">
        <v>252</v>
      </c>
      <c r="D1" s="6" t="s">
        <v>39</v>
      </c>
      <c r="E1" s="5" t="s">
        <v>38</v>
      </c>
      <c r="F1" s="5" t="s">
        <v>40</v>
      </c>
    </row>
    <row r="2" spans="1:6" x14ac:dyDescent="0.15">
      <c r="A2" s="5" t="s">
        <v>47</v>
      </c>
      <c r="B2" s="5" t="s">
        <v>255</v>
      </c>
      <c r="C2" s="5">
        <v>1</v>
      </c>
      <c r="D2" s="7">
        <v>45769</v>
      </c>
      <c r="E2" s="5" t="s">
        <v>257</v>
      </c>
      <c r="F2" s="8" t="s">
        <v>258</v>
      </c>
    </row>
    <row r="3" spans="1:6" x14ac:dyDescent="0.15">
      <c r="A3" s="5" t="s">
        <v>47</v>
      </c>
      <c r="B3" s="5" t="s">
        <v>255</v>
      </c>
      <c r="C3" s="5">
        <v>1</v>
      </c>
      <c r="D3" s="7">
        <v>45769</v>
      </c>
      <c r="E3" s="5" t="s">
        <v>257</v>
      </c>
      <c r="F3" s="8" t="s">
        <v>259</v>
      </c>
    </row>
    <row r="4" spans="1:6" x14ac:dyDescent="0.15">
      <c r="A4" s="5" t="s">
        <v>47</v>
      </c>
      <c r="B4" s="5" t="s">
        <v>255</v>
      </c>
      <c r="C4" s="5">
        <v>3</v>
      </c>
      <c r="D4" s="7">
        <v>45776</v>
      </c>
      <c r="E4" s="5" t="s">
        <v>260</v>
      </c>
      <c r="F4" s="8" t="s">
        <v>282</v>
      </c>
    </row>
    <row r="5" spans="1:6" x14ac:dyDescent="0.15">
      <c r="A5" s="5" t="s">
        <v>47</v>
      </c>
      <c r="B5" s="5" t="s">
        <v>255</v>
      </c>
      <c r="C5" s="5">
        <v>4</v>
      </c>
      <c r="D5" s="7">
        <v>45776</v>
      </c>
      <c r="E5" s="5" t="s">
        <v>260</v>
      </c>
      <c r="F5" s="8" t="s">
        <v>321</v>
      </c>
    </row>
    <row r="6" spans="1:6" x14ac:dyDescent="0.15">
      <c r="A6" s="5" t="s">
        <v>47</v>
      </c>
      <c r="B6" s="5" t="s">
        <v>255</v>
      </c>
      <c r="C6" s="5">
        <v>5</v>
      </c>
      <c r="D6" s="7">
        <v>45784</v>
      </c>
      <c r="E6" s="5" t="s">
        <v>260</v>
      </c>
      <c r="F6" s="8" t="s">
        <v>323</v>
      </c>
    </row>
    <row r="7" spans="1:6" x14ac:dyDescent="0.15">
      <c r="A7" s="5" t="s">
        <v>47</v>
      </c>
      <c r="B7" s="5" t="s">
        <v>255</v>
      </c>
      <c r="C7" s="5">
        <v>6</v>
      </c>
      <c r="D7" s="7">
        <v>45789</v>
      </c>
      <c r="E7" s="5" t="s">
        <v>260</v>
      </c>
      <c r="F7" s="8" t="s">
        <v>329</v>
      </c>
    </row>
    <row r="8" spans="1:6" x14ac:dyDescent="0.15">
      <c r="A8" s="5" t="s">
        <v>47</v>
      </c>
      <c r="B8" s="5" t="s">
        <v>255</v>
      </c>
      <c r="C8" s="5">
        <v>7</v>
      </c>
      <c r="D8" s="7">
        <v>45789</v>
      </c>
      <c r="E8" s="5" t="s">
        <v>257</v>
      </c>
      <c r="F8" s="8" t="s">
        <v>331</v>
      </c>
    </row>
    <row r="9" spans="1:6" ht="28" x14ac:dyDescent="0.15">
      <c r="A9" s="5" t="s">
        <v>47</v>
      </c>
      <c r="B9" s="5" t="s">
        <v>255</v>
      </c>
      <c r="C9" s="5">
        <v>8</v>
      </c>
      <c r="D9" s="7">
        <v>45789</v>
      </c>
      <c r="E9" s="5" t="s">
        <v>257</v>
      </c>
      <c r="F9" s="37" t="s">
        <v>346</v>
      </c>
    </row>
    <row r="10" spans="1:6" x14ac:dyDescent="0.15">
      <c r="A10" s="5" t="s">
        <v>47</v>
      </c>
      <c r="B10" s="5" t="s">
        <v>255</v>
      </c>
      <c r="C10" s="5">
        <v>9</v>
      </c>
      <c r="D10" s="7">
        <v>45791</v>
      </c>
      <c r="E10" s="5" t="s">
        <v>257</v>
      </c>
      <c r="F10" s="8" t="s">
        <v>347</v>
      </c>
    </row>
    <row r="11" spans="1:6" ht="15" x14ac:dyDescent="0.15">
      <c r="A11" s="5" t="s">
        <v>47</v>
      </c>
      <c r="B11" s="5" t="s">
        <v>255</v>
      </c>
      <c r="C11" s="5">
        <v>10</v>
      </c>
      <c r="D11" s="7">
        <v>45792</v>
      </c>
      <c r="E11" s="5" t="s">
        <v>257</v>
      </c>
      <c r="F11" s="37" t="s">
        <v>342</v>
      </c>
    </row>
    <row r="12" spans="1:6" x14ac:dyDescent="0.15">
      <c r="A12" s="5" t="s">
        <v>47</v>
      </c>
      <c r="B12" s="5" t="s">
        <v>255</v>
      </c>
      <c r="C12" s="5">
        <v>11</v>
      </c>
      <c r="D12" s="7">
        <v>45792</v>
      </c>
      <c r="E12" s="5" t="s">
        <v>260</v>
      </c>
      <c r="F12" s="8" t="s">
        <v>344</v>
      </c>
    </row>
    <row r="13" spans="1:6" x14ac:dyDescent="0.15">
      <c r="A13" s="5" t="s">
        <v>47</v>
      </c>
      <c r="B13" s="5" t="s">
        <v>255</v>
      </c>
      <c r="C13" s="5">
        <v>12</v>
      </c>
      <c r="D13" s="7">
        <v>45796</v>
      </c>
      <c r="E13" s="5" t="s">
        <v>257</v>
      </c>
      <c r="F13" s="8" t="s">
        <v>351</v>
      </c>
    </row>
    <row r="14" spans="1:6" x14ac:dyDescent="0.15">
      <c r="A14" s="5" t="s">
        <v>47</v>
      </c>
      <c r="B14" s="5" t="s">
        <v>255</v>
      </c>
      <c r="C14" s="5">
        <v>13</v>
      </c>
      <c r="D14" s="7">
        <v>45808</v>
      </c>
      <c r="E14" s="5" t="s">
        <v>257</v>
      </c>
      <c r="F14" s="38" t="s">
        <v>345</v>
      </c>
    </row>
    <row r="15" spans="1:6" x14ac:dyDescent="0.15">
      <c r="A15" s="5" t="s">
        <v>47</v>
      </c>
      <c r="B15" s="5" t="s">
        <v>255</v>
      </c>
      <c r="C15" s="5">
        <v>14</v>
      </c>
      <c r="D15" s="7">
        <v>45809</v>
      </c>
      <c r="E15" s="5" t="s">
        <v>257</v>
      </c>
      <c r="F15" s="8" t="s">
        <v>348</v>
      </c>
    </row>
    <row r="16" spans="1:6" ht="15" x14ac:dyDescent="0.15">
      <c r="A16" s="5" t="s">
        <v>47</v>
      </c>
      <c r="B16" s="5" t="s">
        <v>255</v>
      </c>
      <c r="C16" s="5">
        <v>15</v>
      </c>
      <c r="D16" s="7">
        <v>45809</v>
      </c>
      <c r="E16" s="5" t="s">
        <v>257</v>
      </c>
      <c r="F16" s="37" t="s">
        <v>350</v>
      </c>
    </row>
    <row r="17" spans="1:6" x14ac:dyDescent="0.15">
      <c r="A17" s="5" t="s">
        <v>47</v>
      </c>
      <c r="B17" s="5" t="s">
        <v>255</v>
      </c>
      <c r="C17" s="5">
        <v>16</v>
      </c>
      <c r="D17" s="7">
        <v>45811</v>
      </c>
      <c r="E17" s="5" t="s">
        <v>260</v>
      </c>
      <c r="F17" s="8" t="s">
        <v>352</v>
      </c>
    </row>
    <row r="18" spans="1:6" x14ac:dyDescent="0.15">
      <c r="A18" s="5" t="s">
        <v>47</v>
      </c>
      <c r="B18" s="5" t="s">
        <v>255</v>
      </c>
      <c r="C18" s="5">
        <v>17</v>
      </c>
      <c r="D18" s="7">
        <v>45813</v>
      </c>
      <c r="E18" s="5" t="s">
        <v>260</v>
      </c>
      <c r="F18" s="8" t="s">
        <v>353</v>
      </c>
    </row>
    <row r="19" spans="1:6" x14ac:dyDescent="0.15">
      <c r="A19" s="5" t="s">
        <v>47</v>
      </c>
      <c r="B19" s="5" t="s">
        <v>255</v>
      </c>
      <c r="C19" s="5">
        <v>18</v>
      </c>
      <c r="D19" s="7">
        <v>45814</v>
      </c>
      <c r="E19" s="5" t="s">
        <v>260</v>
      </c>
      <c r="F19" s="8" t="s">
        <v>355</v>
      </c>
    </row>
    <row r="20" spans="1:6" x14ac:dyDescent="0.15">
      <c r="A20" s="5" t="s">
        <v>47</v>
      </c>
      <c r="B20" s="5" t="s">
        <v>255</v>
      </c>
      <c r="C20" s="5">
        <v>19</v>
      </c>
      <c r="D20" s="7">
        <v>45815</v>
      </c>
      <c r="E20" s="5" t="s">
        <v>260</v>
      </c>
      <c r="F20" s="8" t="s">
        <v>360</v>
      </c>
    </row>
    <row r="21" spans="1:6" x14ac:dyDescent="0.15">
      <c r="A21" s="5" t="s">
        <v>47</v>
      </c>
      <c r="B21" s="5" t="s">
        <v>255</v>
      </c>
      <c r="C21" s="5">
        <v>20</v>
      </c>
      <c r="D21" s="7">
        <v>45817</v>
      </c>
      <c r="E21" s="5" t="s">
        <v>260</v>
      </c>
      <c r="F21" s="8" t="s">
        <v>367</v>
      </c>
    </row>
    <row r="22" spans="1:6" x14ac:dyDescent="0.15">
      <c r="A22" s="5" t="s">
        <v>47</v>
      </c>
      <c r="B22" s="5" t="s">
        <v>255</v>
      </c>
      <c r="C22" s="5">
        <v>21</v>
      </c>
      <c r="D22" s="7">
        <v>45817</v>
      </c>
      <c r="E22" s="5" t="s">
        <v>257</v>
      </c>
      <c r="F22" s="107" t="s">
        <v>380</v>
      </c>
    </row>
    <row r="23" spans="1:6" x14ac:dyDescent="0.15">
      <c r="A23" s="5" t="s">
        <v>47</v>
      </c>
      <c r="B23" s="5" t="s">
        <v>255</v>
      </c>
      <c r="C23" s="5">
        <v>22</v>
      </c>
      <c r="D23" s="7">
        <v>45817</v>
      </c>
      <c r="E23" s="5" t="s">
        <v>257</v>
      </c>
      <c r="F23" s="8" t="s">
        <v>381</v>
      </c>
    </row>
    <row r="24" spans="1:6" x14ac:dyDescent="0.15">
      <c r="A24" s="5" t="s">
        <v>47</v>
      </c>
      <c r="B24" s="5" t="s">
        <v>255</v>
      </c>
      <c r="C24" s="5">
        <v>23</v>
      </c>
      <c r="D24" s="7">
        <v>45818</v>
      </c>
      <c r="E24" s="5" t="s">
        <v>257</v>
      </c>
      <c r="F24" s="110" t="s">
        <v>384</v>
      </c>
    </row>
    <row r="25" spans="1:6" ht="30" x14ac:dyDescent="0.15">
      <c r="A25" s="5" t="s">
        <v>47</v>
      </c>
      <c r="B25" s="5" t="s">
        <v>255</v>
      </c>
      <c r="C25" s="5">
        <v>24</v>
      </c>
      <c r="D25" s="7">
        <v>45819</v>
      </c>
      <c r="E25" s="5" t="s">
        <v>257</v>
      </c>
      <c r="F25" s="111" t="s">
        <v>386</v>
      </c>
    </row>
    <row r="26" spans="1:6" ht="30" x14ac:dyDescent="0.15">
      <c r="A26" s="5" t="s">
        <v>47</v>
      </c>
      <c r="B26" s="5" t="s">
        <v>255</v>
      </c>
      <c r="C26" s="5">
        <v>25</v>
      </c>
      <c r="D26" s="7">
        <v>45819</v>
      </c>
      <c r="E26" s="5" t="s">
        <v>257</v>
      </c>
      <c r="F26" s="37" t="s">
        <v>387</v>
      </c>
    </row>
    <row r="27" spans="1:6" x14ac:dyDescent="0.15">
      <c r="A27" s="5" t="s">
        <v>47</v>
      </c>
      <c r="B27" s="5" t="s">
        <v>255</v>
      </c>
      <c r="C27" s="5">
        <v>26</v>
      </c>
      <c r="D27" s="7">
        <v>45819</v>
      </c>
      <c r="E27" s="5" t="s">
        <v>257</v>
      </c>
      <c r="F27" s="119" t="s">
        <v>390</v>
      </c>
    </row>
    <row r="28" spans="1:6" ht="30" x14ac:dyDescent="0.15">
      <c r="A28" s="5" t="s">
        <v>47</v>
      </c>
      <c r="B28" s="5" t="s">
        <v>255</v>
      </c>
      <c r="C28" s="5">
        <v>27</v>
      </c>
      <c r="D28" s="7">
        <v>45820</v>
      </c>
      <c r="E28" s="5" t="s">
        <v>257</v>
      </c>
      <c r="F28" s="37" t="s">
        <v>392</v>
      </c>
    </row>
    <row r="29" spans="1:6" x14ac:dyDescent="0.15">
      <c r="A29" s="5" t="s">
        <v>47</v>
      </c>
      <c r="B29" s="5" t="s">
        <v>393</v>
      </c>
      <c r="C29" s="5">
        <v>1</v>
      </c>
      <c r="D29" s="7">
        <v>45830</v>
      </c>
      <c r="E29" s="5" t="s">
        <v>257</v>
      </c>
      <c r="F29" s="8" t="s">
        <v>394</v>
      </c>
    </row>
    <row r="30" spans="1:6" x14ac:dyDescent="0.15">
      <c r="A30" s="5" t="s">
        <v>47</v>
      </c>
      <c r="B30" s="5" t="s">
        <v>393</v>
      </c>
      <c r="C30" s="5">
        <v>2</v>
      </c>
      <c r="D30" s="7">
        <v>45830</v>
      </c>
      <c r="E30" s="5" t="s">
        <v>257</v>
      </c>
      <c r="F30" s="8" t="s">
        <v>395</v>
      </c>
    </row>
    <row r="31" spans="1:6" x14ac:dyDescent="0.15">
      <c r="A31" s="5" t="s">
        <v>47</v>
      </c>
      <c r="B31" s="5" t="s">
        <v>396</v>
      </c>
      <c r="C31" s="5">
        <v>1</v>
      </c>
      <c r="D31" s="7">
        <v>45840</v>
      </c>
      <c r="E31" s="5" t="s">
        <v>257</v>
      </c>
      <c r="F31" s="8" t="s">
        <v>398</v>
      </c>
    </row>
    <row r="32" spans="1:6" x14ac:dyDescent="0.15">
      <c r="A32" s="5" t="s">
        <v>47</v>
      </c>
      <c r="B32" s="5" t="s">
        <v>396</v>
      </c>
      <c r="C32" s="5">
        <v>2</v>
      </c>
      <c r="D32" s="7">
        <v>45841</v>
      </c>
      <c r="E32" s="5" t="s">
        <v>257</v>
      </c>
      <c r="F32" s="8" t="s">
        <v>397</v>
      </c>
    </row>
    <row r="33" spans="1:6" x14ac:dyDescent="0.15">
      <c r="A33" s="5" t="s">
        <v>47</v>
      </c>
      <c r="B33" s="5" t="s">
        <v>396</v>
      </c>
      <c r="C33" s="5">
        <v>3</v>
      </c>
      <c r="D33" s="7">
        <v>45846</v>
      </c>
      <c r="E33" s="5" t="s">
        <v>257</v>
      </c>
      <c r="F33" s="119" t="s">
        <v>403</v>
      </c>
    </row>
    <row r="34" spans="1:6" x14ac:dyDescent="0.15">
      <c r="A34" s="5" t="s">
        <v>47</v>
      </c>
      <c r="B34" s="5" t="s">
        <v>396</v>
      </c>
      <c r="C34" s="5">
        <v>4</v>
      </c>
      <c r="D34" s="7">
        <v>45847</v>
      </c>
      <c r="E34" s="5" t="s">
        <v>260</v>
      </c>
      <c r="F34" s="8" t="s">
        <v>411</v>
      </c>
    </row>
    <row r="35" spans="1:6" x14ac:dyDescent="0.15">
      <c r="A35" s="5" t="s">
        <v>47</v>
      </c>
      <c r="B35" s="5" t="s">
        <v>396</v>
      </c>
      <c r="C35" s="5">
        <v>5</v>
      </c>
      <c r="D35" s="7">
        <v>45851</v>
      </c>
      <c r="E35" s="5" t="s">
        <v>257</v>
      </c>
      <c r="F35" s="8" t="s">
        <v>413</v>
      </c>
    </row>
    <row r="36" spans="1:6" ht="15" x14ac:dyDescent="0.15">
      <c r="A36" s="5" t="s">
        <v>47</v>
      </c>
      <c r="B36" s="5" t="s">
        <v>396</v>
      </c>
      <c r="C36" s="5">
        <v>6</v>
      </c>
      <c r="D36" s="7">
        <v>45851</v>
      </c>
      <c r="E36" s="5" t="s">
        <v>257</v>
      </c>
      <c r="F36" s="37" t="s">
        <v>421</v>
      </c>
    </row>
    <row r="37" spans="1:6" ht="15" x14ac:dyDescent="0.15">
      <c r="A37" s="5" t="s">
        <v>47</v>
      </c>
      <c r="B37" s="5" t="s">
        <v>396</v>
      </c>
      <c r="C37" s="5">
        <v>7</v>
      </c>
      <c r="D37" s="7">
        <v>45852</v>
      </c>
      <c r="E37" s="5" t="s">
        <v>422</v>
      </c>
      <c r="F37" s="37" t="s">
        <v>423</v>
      </c>
    </row>
    <row r="38" spans="1:6" x14ac:dyDescent="0.15">
      <c r="A38" s="5" t="s">
        <v>47</v>
      </c>
      <c r="B38" s="5" t="s">
        <v>396</v>
      </c>
      <c r="C38" s="5">
        <v>8</v>
      </c>
      <c r="D38" s="7">
        <v>45860</v>
      </c>
      <c r="E38" s="5" t="s">
        <v>260</v>
      </c>
      <c r="F38" s="8" t="s">
        <v>433</v>
      </c>
    </row>
    <row r="39" spans="1:6" x14ac:dyDescent="0.15">
      <c r="A39" s="5" t="s">
        <v>47</v>
      </c>
      <c r="B39" s="5" t="s">
        <v>396</v>
      </c>
      <c r="C39" s="5">
        <v>9</v>
      </c>
      <c r="D39" s="7">
        <v>45881</v>
      </c>
      <c r="E39" s="5" t="s">
        <v>260</v>
      </c>
      <c r="F39" s="8" t="s">
        <v>434</v>
      </c>
    </row>
    <row r="40" spans="1:6" x14ac:dyDescent="0.15">
      <c r="A40" s="5" t="s">
        <v>47</v>
      </c>
      <c r="B40" s="5" t="s">
        <v>396</v>
      </c>
      <c r="C40" s="5">
        <v>10</v>
      </c>
      <c r="D40" s="7">
        <v>45895</v>
      </c>
      <c r="E40" s="5" t="s">
        <v>260</v>
      </c>
      <c r="F40" s="8" t="s">
        <v>435</v>
      </c>
    </row>
    <row r="41" spans="1:6" x14ac:dyDescent="0.15">
      <c r="A41" s="5" t="s">
        <v>47</v>
      </c>
      <c r="B41" s="5" t="s">
        <v>446</v>
      </c>
      <c r="C41" s="5">
        <v>1</v>
      </c>
      <c r="D41" s="7">
        <v>45900</v>
      </c>
      <c r="E41" s="5" t="s">
        <v>257</v>
      </c>
      <c r="F41" s="8" t="s">
        <v>442</v>
      </c>
    </row>
    <row r="42" spans="1:6" x14ac:dyDescent="0.15">
      <c r="A42" s="5" t="s">
        <v>47</v>
      </c>
      <c r="B42" s="5" t="s">
        <v>446</v>
      </c>
      <c r="C42" s="5">
        <v>2</v>
      </c>
      <c r="D42" s="7">
        <v>45918</v>
      </c>
      <c r="E42" s="5" t="s">
        <v>257</v>
      </c>
      <c r="F42" s="149" t="s">
        <v>443</v>
      </c>
    </row>
    <row r="43" spans="1:6" x14ac:dyDescent="0.15">
      <c r="A43" s="5" t="s">
        <v>47</v>
      </c>
      <c r="B43" s="5" t="s">
        <v>446</v>
      </c>
      <c r="C43" s="5">
        <v>3</v>
      </c>
      <c r="D43" s="7">
        <v>45929</v>
      </c>
      <c r="E43" s="5" t="s">
        <v>257</v>
      </c>
      <c r="F43" s="107" t="s">
        <v>445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7A3C-58EE-0B40-AE7F-E42D92A4F524}">
  <dimension ref="A1:L2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J32" sqref="J32"/>
    </sheetView>
  </sheetViews>
  <sheetFormatPr baseColWidth="10" defaultColWidth="10.83203125" defaultRowHeight="17" x14ac:dyDescent="0.25"/>
  <cols>
    <col min="1" max="1" width="5.83203125" style="12" bestFit="1" customWidth="1"/>
    <col min="2" max="2" width="20" style="1" bestFit="1" customWidth="1"/>
    <col min="3" max="3" width="9.33203125" style="1" bestFit="1" customWidth="1"/>
    <col min="4" max="4" width="8.1640625" style="1" bestFit="1" customWidth="1"/>
    <col min="5" max="9" width="4.6640625" style="4" bestFit="1" customWidth="1"/>
    <col min="10" max="10" width="9.33203125" style="3" bestFit="1" customWidth="1"/>
    <col min="11" max="11" width="7" style="3" bestFit="1" customWidth="1"/>
    <col min="12" max="12" width="7" style="12" bestFit="1" customWidth="1"/>
    <col min="13" max="16384" width="10.83203125" style="3"/>
  </cols>
  <sheetData>
    <row r="1" spans="1:12" s="31" customFormat="1" ht="17" customHeight="1" thickBot="1" x14ac:dyDescent="0.3">
      <c r="A1" s="26" t="s">
        <v>229</v>
      </c>
      <c r="B1" s="27" t="s">
        <v>0</v>
      </c>
      <c r="C1" s="28" t="s">
        <v>73</v>
      </c>
      <c r="D1" s="28" t="s">
        <v>83</v>
      </c>
      <c r="E1" s="29" t="s">
        <v>41</v>
      </c>
      <c r="F1" s="29" t="s">
        <v>42</v>
      </c>
      <c r="G1" s="29" t="s">
        <v>51</v>
      </c>
      <c r="H1" s="29" t="s">
        <v>52</v>
      </c>
      <c r="I1" s="29" t="s">
        <v>330</v>
      </c>
      <c r="J1" s="30" t="s">
        <v>53</v>
      </c>
      <c r="K1" s="30" t="s">
        <v>64</v>
      </c>
      <c r="L1" s="26" t="s">
        <v>56</v>
      </c>
    </row>
    <row r="2" spans="1:12" x14ac:dyDescent="0.25">
      <c r="A2" s="18" t="s">
        <v>234</v>
      </c>
      <c r="B2" s="17"/>
      <c r="C2" s="17"/>
      <c r="D2" s="17"/>
      <c r="E2" s="13"/>
      <c r="F2" s="13"/>
      <c r="G2" s="13"/>
      <c r="H2" s="13"/>
      <c r="I2" s="13"/>
      <c r="J2" s="14"/>
      <c r="K2" s="14"/>
      <c r="L2" s="13"/>
    </row>
  </sheetData>
  <conditionalFormatting sqref="A2:L2">
    <cfRule type="expression" dxfId="121" priority="224" stopIfTrue="1">
      <formula>$K2="None"</formula>
    </cfRule>
    <cfRule type="expression" dxfId="120" priority="225" stopIfTrue="1">
      <formula>$K2="orange"</formula>
    </cfRule>
    <cfRule type="expression" dxfId="119" priority="226" stopIfTrue="1">
      <formula>$K2="blue"</formula>
    </cfRule>
    <cfRule type="expression" dxfId="118" priority="227" stopIfTrue="1">
      <formula>$K2="yellow"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DA12-38C8-BC47-9718-A62B95BA6314}">
  <dimension ref="A1:L218"/>
  <sheetViews>
    <sheetView zoomScale="140" zoomScaleNormal="14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41" sqref="C41"/>
    </sheetView>
  </sheetViews>
  <sheetFormatPr baseColWidth="10" defaultColWidth="10.83203125" defaultRowHeight="17" x14ac:dyDescent="0.25"/>
  <cols>
    <col min="1" max="1" width="10.83203125" style="12" bestFit="1" customWidth="1"/>
    <col min="2" max="2" width="22.5" style="1" bestFit="1" customWidth="1"/>
    <col min="3" max="3" width="40.6640625" style="1" customWidth="1"/>
    <col min="4" max="4" width="18.83203125" style="1" bestFit="1" customWidth="1"/>
    <col min="5" max="9" width="9.6640625" style="4" bestFit="1" customWidth="1"/>
    <col min="10" max="10" width="55" style="10" bestFit="1" customWidth="1"/>
    <col min="11" max="11" width="9.5" style="3" bestFit="1" customWidth="1"/>
    <col min="12" max="12" width="12" style="12" bestFit="1" customWidth="1"/>
    <col min="13" max="16384" width="10.83203125" style="3"/>
  </cols>
  <sheetData>
    <row r="1" spans="1:12" s="10" customFormat="1" ht="17" customHeight="1" thickBot="1" x14ac:dyDescent="0.3">
      <c r="A1" s="139" t="s">
        <v>229</v>
      </c>
      <c r="B1" s="140" t="s">
        <v>0</v>
      </c>
      <c r="C1" s="141" t="s">
        <v>73</v>
      </c>
      <c r="D1" s="141" t="s">
        <v>83</v>
      </c>
      <c r="E1" s="139" t="s">
        <v>41</v>
      </c>
      <c r="F1" s="139" t="s">
        <v>42</v>
      </c>
      <c r="G1" s="139" t="s">
        <v>51</v>
      </c>
      <c r="H1" s="139" t="s">
        <v>52</v>
      </c>
      <c r="I1" s="139" t="s">
        <v>330</v>
      </c>
      <c r="J1" s="141" t="s">
        <v>53</v>
      </c>
      <c r="K1" s="141" t="s">
        <v>64</v>
      </c>
      <c r="L1" s="139" t="s">
        <v>56</v>
      </c>
    </row>
    <row r="2" spans="1:12" x14ac:dyDescent="0.25">
      <c r="A2" s="18" t="s">
        <v>230</v>
      </c>
      <c r="B2" s="21" t="s">
        <v>1</v>
      </c>
      <c r="C2" s="21" t="s">
        <v>85</v>
      </c>
      <c r="D2" s="21"/>
      <c r="E2" s="22" t="s">
        <v>232</v>
      </c>
      <c r="F2" s="22"/>
      <c r="G2" s="22" t="s">
        <v>232</v>
      </c>
      <c r="H2" s="22" t="s">
        <v>232</v>
      </c>
      <c r="I2" s="22"/>
      <c r="J2" s="23" t="s">
        <v>78</v>
      </c>
      <c r="K2" s="23" t="s">
        <v>63</v>
      </c>
      <c r="L2" s="22">
        <f>ROW()-1</f>
        <v>1</v>
      </c>
    </row>
    <row r="3" spans="1:12" x14ac:dyDescent="0.25">
      <c r="A3" s="19" t="s">
        <v>230</v>
      </c>
      <c r="B3" s="16" t="s">
        <v>1</v>
      </c>
      <c r="C3" s="16" t="s">
        <v>86</v>
      </c>
      <c r="D3" s="16"/>
      <c r="E3" s="24" t="s">
        <v>232</v>
      </c>
      <c r="F3" s="24"/>
      <c r="G3" s="24" t="s">
        <v>232</v>
      </c>
      <c r="H3" s="24" t="s">
        <v>232</v>
      </c>
      <c r="I3" s="24"/>
      <c r="J3" s="25" t="s">
        <v>65</v>
      </c>
      <c r="K3" s="23" t="s">
        <v>63</v>
      </c>
      <c r="L3" s="24">
        <f t="shared" ref="L3:L137" si="0">ROW()-1</f>
        <v>2</v>
      </c>
    </row>
    <row r="4" spans="1:12" x14ac:dyDescent="0.25">
      <c r="A4" s="19" t="s">
        <v>230</v>
      </c>
      <c r="B4" s="16" t="s">
        <v>87</v>
      </c>
      <c r="C4" s="16" t="s">
        <v>88</v>
      </c>
      <c r="D4" s="16"/>
      <c r="E4" s="24" t="s">
        <v>232</v>
      </c>
      <c r="F4" s="24"/>
      <c r="G4" s="24" t="s">
        <v>232</v>
      </c>
      <c r="H4" s="24" t="s">
        <v>232</v>
      </c>
      <c r="I4" s="24"/>
      <c r="J4" s="25" t="s">
        <v>65</v>
      </c>
      <c r="K4" s="23" t="s">
        <v>63</v>
      </c>
      <c r="L4" s="24">
        <f t="shared" si="0"/>
        <v>3</v>
      </c>
    </row>
    <row r="5" spans="1:12" x14ac:dyDescent="0.25">
      <c r="A5" s="19" t="s">
        <v>230</v>
      </c>
      <c r="B5" s="16" t="s">
        <v>87</v>
      </c>
      <c r="C5" s="16" t="s">
        <v>89</v>
      </c>
      <c r="D5" s="16"/>
      <c r="E5" s="24" t="s">
        <v>232</v>
      </c>
      <c r="F5" s="24"/>
      <c r="G5" s="24" t="s">
        <v>232</v>
      </c>
      <c r="H5" s="24" t="s">
        <v>232</v>
      </c>
      <c r="I5" s="24"/>
      <c r="J5" s="25" t="s">
        <v>65</v>
      </c>
      <c r="K5" s="23" t="s">
        <v>63</v>
      </c>
      <c r="L5" s="24">
        <f t="shared" si="0"/>
        <v>4</v>
      </c>
    </row>
    <row r="6" spans="1:12" x14ac:dyDescent="0.25">
      <c r="A6" s="19" t="s">
        <v>230</v>
      </c>
      <c r="B6" s="16" t="s">
        <v>235</v>
      </c>
      <c r="C6" s="16" t="s">
        <v>256</v>
      </c>
      <c r="D6" s="16"/>
      <c r="E6" s="24"/>
      <c r="F6" s="24"/>
      <c r="G6" s="24"/>
      <c r="H6" s="24"/>
      <c r="I6" s="24"/>
      <c r="J6" s="25" t="s">
        <v>65</v>
      </c>
      <c r="K6" s="23" t="s">
        <v>63</v>
      </c>
      <c r="L6" s="24">
        <f t="shared" si="0"/>
        <v>5</v>
      </c>
    </row>
    <row r="7" spans="1:12" x14ac:dyDescent="0.25">
      <c r="A7" s="19" t="s">
        <v>230</v>
      </c>
      <c r="B7" s="16" t="s">
        <v>49</v>
      </c>
      <c r="C7" s="16" t="s">
        <v>98</v>
      </c>
      <c r="D7" s="16"/>
      <c r="E7" s="24" t="s">
        <v>232</v>
      </c>
      <c r="F7" s="24"/>
      <c r="G7" s="24" t="s">
        <v>232</v>
      </c>
      <c r="H7" s="24" t="s">
        <v>232</v>
      </c>
      <c r="I7" s="24"/>
      <c r="J7" s="25" t="s">
        <v>79</v>
      </c>
      <c r="K7" s="23" t="s">
        <v>84</v>
      </c>
      <c r="L7" s="24">
        <f t="shared" si="0"/>
        <v>6</v>
      </c>
    </row>
    <row r="8" spans="1:12" x14ac:dyDescent="0.25">
      <c r="A8" s="19" t="s">
        <v>230</v>
      </c>
      <c r="B8" s="16" t="s">
        <v>49</v>
      </c>
      <c r="C8" s="16" t="s">
        <v>343</v>
      </c>
      <c r="D8" s="16"/>
      <c r="E8" s="24" t="s">
        <v>232</v>
      </c>
      <c r="F8" s="24"/>
      <c r="G8" s="24" t="s">
        <v>232</v>
      </c>
      <c r="H8" s="24" t="s">
        <v>232</v>
      </c>
      <c r="I8" s="24"/>
      <c r="J8" s="25" t="s">
        <v>66</v>
      </c>
      <c r="K8" s="23" t="s">
        <v>84</v>
      </c>
      <c r="L8" s="24">
        <f t="shared" si="0"/>
        <v>7</v>
      </c>
    </row>
    <row r="9" spans="1:12" x14ac:dyDescent="0.25">
      <c r="A9" s="19" t="s">
        <v>230</v>
      </c>
      <c r="B9" s="16" t="s">
        <v>99</v>
      </c>
      <c r="C9" s="16" t="s">
        <v>100</v>
      </c>
      <c r="D9" s="16"/>
      <c r="E9" s="24" t="s">
        <v>232</v>
      </c>
      <c r="F9" s="24"/>
      <c r="G9" s="24" t="s">
        <v>232</v>
      </c>
      <c r="H9" s="24" t="s">
        <v>232</v>
      </c>
      <c r="I9" s="24"/>
      <c r="J9" s="25" t="s">
        <v>66</v>
      </c>
      <c r="K9" s="23" t="s">
        <v>84</v>
      </c>
      <c r="L9" s="24">
        <f t="shared" si="0"/>
        <v>8</v>
      </c>
    </row>
    <row r="10" spans="1:12" x14ac:dyDescent="0.25">
      <c r="A10" s="19" t="s">
        <v>230</v>
      </c>
      <c r="B10" s="16" t="s">
        <v>99</v>
      </c>
      <c r="C10" s="16" t="s">
        <v>261</v>
      </c>
      <c r="D10" s="16"/>
      <c r="E10" s="24" t="s">
        <v>232</v>
      </c>
      <c r="F10" s="24"/>
      <c r="G10" s="24" t="s">
        <v>232</v>
      </c>
      <c r="H10" s="24" t="s">
        <v>232</v>
      </c>
      <c r="I10" s="24"/>
      <c r="J10" s="25" t="s">
        <v>66</v>
      </c>
      <c r="K10" s="23" t="s">
        <v>84</v>
      </c>
      <c r="L10" s="24">
        <f t="shared" si="0"/>
        <v>9</v>
      </c>
    </row>
    <row r="11" spans="1:12" x14ac:dyDescent="0.25">
      <c r="A11" s="19" t="s">
        <v>230</v>
      </c>
      <c r="B11" s="16" t="s">
        <v>240</v>
      </c>
      <c r="C11" s="16" t="s">
        <v>241</v>
      </c>
      <c r="D11" s="16"/>
      <c r="E11" s="24"/>
      <c r="F11" s="24"/>
      <c r="G11" s="24"/>
      <c r="H11" s="24"/>
      <c r="I11" s="24"/>
      <c r="J11" s="25" t="s">
        <v>66</v>
      </c>
      <c r="K11" s="23" t="s">
        <v>84</v>
      </c>
      <c r="L11" s="24">
        <f t="shared" si="0"/>
        <v>10</v>
      </c>
    </row>
    <row r="12" spans="1:12" x14ac:dyDescent="0.25">
      <c r="A12" s="19" t="s">
        <v>230</v>
      </c>
      <c r="B12" s="16" t="s">
        <v>2</v>
      </c>
      <c r="C12" s="16" t="s">
        <v>94</v>
      </c>
      <c r="D12" s="16"/>
      <c r="E12" s="24" t="s">
        <v>232</v>
      </c>
      <c r="F12" s="24"/>
      <c r="G12" s="24" t="s">
        <v>232</v>
      </c>
      <c r="H12" s="24" t="s">
        <v>233</v>
      </c>
      <c r="I12" s="24"/>
      <c r="J12" s="25" t="s">
        <v>67</v>
      </c>
      <c r="K12" s="23" t="s">
        <v>61</v>
      </c>
      <c r="L12" s="24">
        <f t="shared" si="0"/>
        <v>11</v>
      </c>
    </row>
    <row r="13" spans="1:12" x14ac:dyDescent="0.25">
      <c r="A13" s="19" t="s">
        <v>230</v>
      </c>
      <c r="B13" s="16" t="s">
        <v>95</v>
      </c>
      <c r="C13" s="16" t="s">
        <v>96</v>
      </c>
      <c r="D13" s="16"/>
      <c r="E13" s="24" t="s">
        <v>232</v>
      </c>
      <c r="F13" s="24"/>
      <c r="G13" s="24" t="s">
        <v>232</v>
      </c>
      <c r="H13" s="24" t="s">
        <v>233</v>
      </c>
      <c r="I13" s="24"/>
      <c r="J13" s="25" t="s">
        <v>67</v>
      </c>
      <c r="K13" s="23" t="s">
        <v>61</v>
      </c>
      <c r="L13" s="24">
        <f t="shared" si="0"/>
        <v>12</v>
      </c>
    </row>
    <row r="14" spans="1:12" x14ac:dyDescent="0.25">
      <c r="A14" s="19" t="s">
        <v>230</v>
      </c>
      <c r="B14" s="16" t="s">
        <v>2</v>
      </c>
      <c r="C14" s="16" t="s">
        <v>97</v>
      </c>
      <c r="D14" s="16"/>
      <c r="E14" s="24" t="s">
        <v>232</v>
      </c>
      <c r="F14" s="24"/>
      <c r="G14" s="24" t="s">
        <v>232</v>
      </c>
      <c r="H14" s="24" t="s">
        <v>233</v>
      </c>
      <c r="I14" s="24"/>
      <c r="J14" s="25" t="s">
        <v>67</v>
      </c>
      <c r="K14" s="23" t="s">
        <v>61</v>
      </c>
      <c r="L14" s="24">
        <f t="shared" si="0"/>
        <v>13</v>
      </c>
    </row>
    <row r="15" spans="1:12" x14ac:dyDescent="0.25">
      <c r="A15" s="19" t="s">
        <v>230</v>
      </c>
      <c r="B15" s="16" t="s">
        <v>238</v>
      </c>
      <c r="C15" s="16" t="s">
        <v>239</v>
      </c>
      <c r="D15" s="16"/>
      <c r="E15" s="24"/>
      <c r="F15" s="24"/>
      <c r="G15" s="24"/>
      <c r="H15" s="24"/>
      <c r="I15" s="24"/>
      <c r="J15" s="25" t="s">
        <v>67</v>
      </c>
      <c r="K15" s="23" t="s">
        <v>61</v>
      </c>
      <c r="L15" s="24">
        <f t="shared" si="0"/>
        <v>14</v>
      </c>
    </row>
    <row r="16" spans="1:12" x14ac:dyDescent="0.25">
      <c r="A16" s="19" t="s">
        <v>230</v>
      </c>
      <c r="B16" s="16" t="s">
        <v>3</v>
      </c>
      <c r="C16" s="16" t="s">
        <v>90</v>
      </c>
      <c r="D16" s="16"/>
      <c r="E16" s="24" t="s">
        <v>232</v>
      </c>
      <c r="F16" s="24"/>
      <c r="G16" s="24" t="s">
        <v>232</v>
      </c>
      <c r="H16" s="24" t="s">
        <v>233</v>
      </c>
      <c r="I16" s="24"/>
      <c r="J16" s="25" t="s">
        <v>67</v>
      </c>
      <c r="K16" s="23" t="s">
        <v>63</v>
      </c>
      <c r="L16" s="24">
        <f t="shared" si="0"/>
        <v>15</v>
      </c>
    </row>
    <row r="17" spans="1:12" x14ac:dyDescent="0.25">
      <c r="A17" s="19" t="s">
        <v>230</v>
      </c>
      <c r="B17" s="16" t="s">
        <v>91</v>
      </c>
      <c r="C17" s="16" t="s">
        <v>92</v>
      </c>
      <c r="D17" s="16"/>
      <c r="E17" s="24" t="s">
        <v>232</v>
      </c>
      <c r="F17" s="24"/>
      <c r="G17" s="24" t="s">
        <v>232</v>
      </c>
      <c r="H17" s="24" t="s">
        <v>233</v>
      </c>
      <c r="I17" s="24"/>
      <c r="J17" s="25" t="s">
        <v>67</v>
      </c>
      <c r="K17" s="23" t="s">
        <v>63</v>
      </c>
      <c r="L17" s="24">
        <f t="shared" si="0"/>
        <v>16</v>
      </c>
    </row>
    <row r="18" spans="1:12" x14ac:dyDescent="0.25">
      <c r="A18" s="19" t="s">
        <v>230</v>
      </c>
      <c r="B18" s="16" t="s">
        <v>3</v>
      </c>
      <c r="C18" s="16" t="s">
        <v>93</v>
      </c>
      <c r="D18" s="16"/>
      <c r="E18" s="24" t="s">
        <v>232</v>
      </c>
      <c r="F18" s="24"/>
      <c r="G18" s="24" t="s">
        <v>232</v>
      </c>
      <c r="H18" s="24" t="s">
        <v>233</v>
      </c>
      <c r="I18" s="24"/>
      <c r="J18" s="25" t="s">
        <v>67</v>
      </c>
      <c r="K18" s="23" t="s">
        <v>63</v>
      </c>
      <c r="L18" s="24">
        <f t="shared" si="0"/>
        <v>17</v>
      </c>
    </row>
    <row r="19" spans="1:12" x14ac:dyDescent="0.25">
      <c r="A19" s="19" t="s">
        <v>230</v>
      </c>
      <c r="B19" s="16" t="s">
        <v>236</v>
      </c>
      <c r="C19" s="16" t="s">
        <v>237</v>
      </c>
      <c r="D19" s="16"/>
      <c r="E19" s="24"/>
      <c r="F19" s="24"/>
      <c r="G19" s="24"/>
      <c r="H19" s="24"/>
      <c r="I19" s="24"/>
      <c r="J19" s="25" t="s">
        <v>67</v>
      </c>
      <c r="K19" s="23" t="s">
        <v>63</v>
      </c>
      <c r="L19" s="24">
        <f t="shared" si="0"/>
        <v>18</v>
      </c>
    </row>
    <row r="20" spans="1:12" x14ac:dyDescent="0.25">
      <c r="A20" s="19" t="s">
        <v>230</v>
      </c>
      <c r="B20" s="16" t="s">
        <v>4</v>
      </c>
      <c r="C20" s="16" t="s">
        <v>101</v>
      </c>
      <c r="D20" s="16"/>
      <c r="E20" s="24" t="s">
        <v>232</v>
      </c>
      <c r="F20" s="24"/>
      <c r="G20" s="24" t="s">
        <v>232</v>
      </c>
      <c r="H20" s="24" t="s">
        <v>232</v>
      </c>
      <c r="I20" s="24"/>
      <c r="J20" s="25" t="s">
        <v>65</v>
      </c>
      <c r="K20" s="23" t="s">
        <v>84</v>
      </c>
      <c r="L20" s="24">
        <f t="shared" si="0"/>
        <v>19</v>
      </c>
    </row>
    <row r="21" spans="1:12" x14ac:dyDescent="0.25">
      <c r="A21" s="19" t="s">
        <v>230</v>
      </c>
      <c r="B21" s="16" t="s">
        <v>4</v>
      </c>
      <c r="C21" s="16" t="s">
        <v>102</v>
      </c>
      <c r="D21" s="16"/>
      <c r="E21" s="24" t="s">
        <v>232</v>
      </c>
      <c r="F21" s="24"/>
      <c r="G21" s="24" t="s">
        <v>232</v>
      </c>
      <c r="H21" s="24" t="s">
        <v>232</v>
      </c>
      <c r="I21" s="24"/>
      <c r="J21" s="25" t="s">
        <v>65</v>
      </c>
      <c r="K21" s="23" t="s">
        <v>84</v>
      </c>
      <c r="L21" s="24">
        <f t="shared" si="0"/>
        <v>20</v>
      </c>
    </row>
    <row r="22" spans="1:12" s="43" customFormat="1" x14ac:dyDescent="0.25">
      <c r="A22" s="128" t="s">
        <v>230</v>
      </c>
      <c r="B22" s="129" t="s">
        <v>4</v>
      </c>
      <c r="C22" s="129" t="s">
        <v>437</v>
      </c>
      <c r="D22" s="130"/>
      <c r="E22" s="108" t="b">
        <v>1</v>
      </c>
      <c r="F22" s="108"/>
      <c r="G22" s="108" t="b">
        <v>1</v>
      </c>
      <c r="H22" s="108" t="b">
        <v>1</v>
      </c>
      <c r="I22" s="108"/>
      <c r="J22" s="131" t="s">
        <v>441</v>
      </c>
      <c r="K22" s="147" t="s">
        <v>84</v>
      </c>
      <c r="L22" s="108">
        <f t="shared" si="0"/>
        <v>21</v>
      </c>
    </row>
    <row r="23" spans="1:12" s="43" customFormat="1" x14ac:dyDescent="0.25">
      <c r="A23" s="128" t="s">
        <v>230</v>
      </c>
      <c r="B23" s="129" t="s">
        <v>4</v>
      </c>
      <c r="C23" s="129" t="s">
        <v>438</v>
      </c>
      <c r="D23" s="130"/>
      <c r="E23" s="108" t="b">
        <v>1</v>
      </c>
      <c r="F23" s="108"/>
      <c r="G23" s="108" t="b">
        <v>1</v>
      </c>
      <c r="H23" s="108" t="b">
        <v>1</v>
      </c>
      <c r="I23" s="108"/>
      <c r="J23" s="131" t="s">
        <v>441</v>
      </c>
      <c r="K23" s="147" t="s">
        <v>84</v>
      </c>
      <c r="L23" s="108">
        <f t="shared" si="0"/>
        <v>22</v>
      </c>
    </row>
    <row r="24" spans="1:12" x14ac:dyDescent="0.25">
      <c r="A24" s="19" t="s">
        <v>230</v>
      </c>
      <c r="B24" s="142" t="s">
        <v>4</v>
      </c>
      <c r="C24" s="142" t="s">
        <v>103</v>
      </c>
      <c r="D24" s="16"/>
      <c r="E24" s="24" t="b">
        <v>1</v>
      </c>
      <c r="F24" s="24"/>
      <c r="G24" s="24" t="b">
        <v>1</v>
      </c>
      <c r="H24" s="24" t="b">
        <v>1</v>
      </c>
      <c r="I24" s="24"/>
      <c r="J24" s="25" t="s">
        <v>412</v>
      </c>
      <c r="K24" s="23" t="s">
        <v>84</v>
      </c>
      <c r="L24" s="24">
        <f t="shared" si="0"/>
        <v>23</v>
      </c>
    </row>
    <row r="25" spans="1:12" s="146" customFormat="1" x14ac:dyDescent="0.25">
      <c r="A25" s="143" t="s">
        <v>230</v>
      </c>
      <c r="B25" s="144" t="s">
        <v>4</v>
      </c>
      <c r="C25" s="144" t="s">
        <v>439</v>
      </c>
      <c r="D25" s="109"/>
      <c r="E25" s="137" t="b">
        <v>1</v>
      </c>
      <c r="F25" s="137"/>
      <c r="G25" s="137" t="b">
        <v>1</v>
      </c>
      <c r="H25" s="137" t="b">
        <v>1</v>
      </c>
      <c r="I25" s="137"/>
      <c r="J25" s="145" t="s">
        <v>441</v>
      </c>
      <c r="K25" s="148" t="s">
        <v>84</v>
      </c>
      <c r="L25" s="137">
        <f t="shared" si="0"/>
        <v>24</v>
      </c>
    </row>
    <row r="26" spans="1:12" s="146" customFormat="1" x14ac:dyDescent="0.25">
      <c r="A26" s="143" t="s">
        <v>230</v>
      </c>
      <c r="B26" s="144" t="s">
        <v>4</v>
      </c>
      <c r="C26" s="144" t="s">
        <v>440</v>
      </c>
      <c r="D26" s="109"/>
      <c r="E26" s="137" t="b">
        <v>1</v>
      </c>
      <c r="F26" s="137"/>
      <c r="G26" s="137" t="b">
        <v>1</v>
      </c>
      <c r="H26" s="137" t="b">
        <v>1</v>
      </c>
      <c r="I26" s="137"/>
      <c r="J26" s="145" t="s">
        <v>441</v>
      </c>
      <c r="K26" s="148" t="s">
        <v>84</v>
      </c>
      <c r="L26" s="137">
        <f t="shared" si="0"/>
        <v>25</v>
      </c>
    </row>
    <row r="27" spans="1:12" x14ac:dyDescent="0.25">
      <c r="A27" s="19" t="s">
        <v>230</v>
      </c>
      <c r="B27" s="16" t="s">
        <v>404</v>
      </c>
      <c r="C27" s="16" t="s">
        <v>405</v>
      </c>
      <c r="D27" s="16"/>
      <c r="E27" s="24" t="s">
        <v>232</v>
      </c>
      <c r="F27" s="24"/>
      <c r="G27" s="24" t="s">
        <v>232</v>
      </c>
      <c r="H27" s="24" t="s">
        <v>232</v>
      </c>
      <c r="I27" s="24"/>
      <c r="J27" s="25" t="s">
        <v>66</v>
      </c>
      <c r="K27" s="23" t="s">
        <v>63</v>
      </c>
      <c r="L27" s="24">
        <f t="shared" si="0"/>
        <v>26</v>
      </c>
    </row>
    <row r="28" spans="1:12" x14ac:dyDescent="0.25">
      <c r="A28" s="19" t="s">
        <v>230</v>
      </c>
      <c r="B28" s="16" t="s">
        <v>404</v>
      </c>
      <c r="C28" s="16" t="s">
        <v>406</v>
      </c>
      <c r="D28" s="16"/>
      <c r="E28" s="24" t="s">
        <v>232</v>
      </c>
      <c r="F28" s="24"/>
      <c r="G28" s="24" t="s">
        <v>232</v>
      </c>
      <c r="H28" s="24" t="s">
        <v>232</v>
      </c>
      <c r="I28" s="24"/>
      <c r="J28" s="25" t="s">
        <v>66</v>
      </c>
      <c r="K28" s="23" t="s">
        <v>63</v>
      </c>
      <c r="L28" s="24">
        <f t="shared" si="0"/>
        <v>27</v>
      </c>
    </row>
    <row r="29" spans="1:12" s="43" customFormat="1" x14ac:dyDescent="0.25">
      <c r="A29" s="128" t="s">
        <v>230</v>
      </c>
      <c r="B29" s="129" t="s">
        <v>404</v>
      </c>
      <c r="C29" s="129" t="s">
        <v>437</v>
      </c>
      <c r="D29" s="130"/>
      <c r="E29" s="108" t="b">
        <v>1</v>
      </c>
      <c r="F29" s="108"/>
      <c r="G29" s="108" t="b">
        <v>1</v>
      </c>
      <c r="H29" s="108" t="b">
        <v>1</v>
      </c>
      <c r="I29" s="108"/>
      <c r="J29" s="131" t="s">
        <v>441</v>
      </c>
      <c r="K29" s="147" t="s">
        <v>63</v>
      </c>
      <c r="L29" s="108">
        <f t="shared" si="0"/>
        <v>28</v>
      </c>
    </row>
    <row r="30" spans="1:12" s="43" customFormat="1" x14ac:dyDescent="0.25">
      <c r="A30" s="128" t="s">
        <v>230</v>
      </c>
      <c r="B30" s="129" t="s">
        <v>404</v>
      </c>
      <c r="C30" s="129" t="s">
        <v>438</v>
      </c>
      <c r="D30" s="130"/>
      <c r="E30" s="108" t="b">
        <v>1</v>
      </c>
      <c r="F30" s="108"/>
      <c r="G30" s="108" t="b">
        <v>1</v>
      </c>
      <c r="H30" s="108" t="b">
        <v>1</v>
      </c>
      <c r="I30" s="108"/>
      <c r="J30" s="131" t="s">
        <v>441</v>
      </c>
      <c r="K30" s="147" t="s">
        <v>63</v>
      </c>
      <c r="L30" s="108">
        <f t="shared" si="0"/>
        <v>29</v>
      </c>
    </row>
    <row r="31" spans="1:12" x14ac:dyDescent="0.25">
      <c r="A31" s="19" t="s">
        <v>230</v>
      </c>
      <c r="B31" s="16" t="s">
        <v>404</v>
      </c>
      <c r="C31" s="142" t="s">
        <v>407</v>
      </c>
      <c r="D31" s="16"/>
      <c r="E31" s="24" t="b">
        <v>1</v>
      </c>
      <c r="F31" s="24"/>
      <c r="G31" s="24" t="b">
        <v>1</v>
      </c>
      <c r="H31" s="24" t="b">
        <v>1</v>
      </c>
      <c r="I31" s="24"/>
      <c r="J31" s="25" t="s">
        <v>412</v>
      </c>
      <c r="K31" s="23" t="s">
        <v>63</v>
      </c>
      <c r="L31" s="24">
        <f t="shared" si="0"/>
        <v>30</v>
      </c>
    </row>
    <row r="32" spans="1:12" s="146" customFormat="1" x14ac:dyDescent="0.25">
      <c r="A32" s="143" t="s">
        <v>230</v>
      </c>
      <c r="B32" s="144" t="s">
        <v>404</v>
      </c>
      <c r="C32" s="144" t="s">
        <v>439</v>
      </c>
      <c r="D32" s="109"/>
      <c r="E32" s="137" t="b">
        <v>1</v>
      </c>
      <c r="F32" s="137"/>
      <c r="G32" s="137" t="b">
        <v>1</v>
      </c>
      <c r="H32" s="137" t="b">
        <v>1</v>
      </c>
      <c r="I32" s="137"/>
      <c r="J32" s="145" t="s">
        <v>441</v>
      </c>
      <c r="K32" s="148" t="s">
        <v>63</v>
      </c>
      <c r="L32" s="137">
        <f t="shared" si="0"/>
        <v>31</v>
      </c>
    </row>
    <row r="33" spans="1:12" s="146" customFormat="1" x14ac:dyDescent="0.25">
      <c r="A33" s="143" t="s">
        <v>230</v>
      </c>
      <c r="B33" s="144" t="s">
        <v>404</v>
      </c>
      <c r="C33" s="144" t="s">
        <v>440</v>
      </c>
      <c r="D33" s="109"/>
      <c r="E33" s="137" t="b">
        <v>1</v>
      </c>
      <c r="F33" s="137"/>
      <c r="G33" s="137" t="b">
        <v>1</v>
      </c>
      <c r="H33" s="137" t="b">
        <v>1</v>
      </c>
      <c r="I33" s="137"/>
      <c r="J33" s="145" t="s">
        <v>441</v>
      </c>
      <c r="K33" s="148" t="s">
        <v>63</v>
      </c>
      <c r="L33" s="137">
        <f t="shared" si="0"/>
        <v>32</v>
      </c>
    </row>
    <row r="34" spans="1:12" x14ac:dyDescent="0.25">
      <c r="A34" s="19" t="s">
        <v>230</v>
      </c>
      <c r="B34" s="16" t="s">
        <v>5</v>
      </c>
      <c r="C34" s="16" t="s">
        <v>107</v>
      </c>
      <c r="D34" s="16"/>
      <c r="E34" s="24" t="s">
        <v>232</v>
      </c>
      <c r="F34" s="24"/>
      <c r="G34" s="24" t="s">
        <v>232</v>
      </c>
      <c r="H34" s="24" t="s">
        <v>233</v>
      </c>
      <c r="I34" s="24"/>
      <c r="J34" s="25" t="s">
        <v>67</v>
      </c>
      <c r="K34" s="23" t="s">
        <v>61</v>
      </c>
      <c r="L34" s="24">
        <f t="shared" si="0"/>
        <v>33</v>
      </c>
    </row>
    <row r="35" spans="1:12" x14ac:dyDescent="0.25">
      <c r="A35" s="19" t="s">
        <v>230</v>
      </c>
      <c r="B35" s="16" t="s">
        <v>5</v>
      </c>
      <c r="C35" s="16" t="s">
        <v>108</v>
      </c>
      <c r="D35" s="16"/>
      <c r="E35" s="24" t="s">
        <v>232</v>
      </c>
      <c r="F35" s="24"/>
      <c r="G35" s="24" t="s">
        <v>232</v>
      </c>
      <c r="H35" s="24" t="s">
        <v>233</v>
      </c>
      <c r="I35" s="24"/>
      <c r="J35" s="25" t="s">
        <v>67</v>
      </c>
      <c r="K35" s="23" t="s">
        <v>61</v>
      </c>
      <c r="L35" s="24">
        <f t="shared" si="0"/>
        <v>34</v>
      </c>
    </row>
    <row r="36" spans="1:12" s="43" customFormat="1" x14ac:dyDescent="0.25">
      <c r="A36" s="128" t="s">
        <v>230</v>
      </c>
      <c r="B36" s="129" t="s">
        <v>5</v>
      </c>
      <c r="C36" s="129" t="s">
        <v>437</v>
      </c>
      <c r="D36" s="130"/>
      <c r="E36" s="108" t="b">
        <v>1</v>
      </c>
      <c r="F36" s="108"/>
      <c r="G36" s="108" t="b">
        <v>1</v>
      </c>
      <c r="H36" s="108" t="b">
        <v>1</v>
      </c>
      <c r="I36" s="108"/>
      <c r="J36" s="131" t="s">
        <v>441</v>
      </c>
      <c r="K36" s="147" t="s">
        <v>61</v>
      </c>
      <c r="L36" s="108">
        <f t="shared" si="0"/>
        <v>35</v>
      </c>
    </row>
    <row r="37" spans="1:12" s="43" customFormat="1" x14ac:dyDescent="0.25">
      <c r="A37" s="128" t="s">
        <v>230</v>
      </c>
      <c r="B37" s="129" t="s">
        <v>5</v>
      </c>
      <c r="C37" s="129" t="s">
        <v>438</v>
      </c>
      <c r="D37" s="130"/>
      <c r="E37" s="108" t="b">
        <v>1</v>
      </c>
      <c r="F37" s="108"/>
      <c r="G37" s="108" t="b">
        <v>1</v>
      </c>
      <c r="H37" s="108" t="b">
        <v>1</v>
      </c>
      <c r="I37" s="108"/>
      <c r="J37" s="131" t="s">
        <v>441</v>
      </c>
      <c r="K37" s="147" t="s">
        <v>61</v>
      </c>
      <c r="L37" s="108">
        <f t="shared" si="0"/>
        <v>36</v>
      </c>
    </row>
    <row r="38" spans="1:12" x14ac:dyDescent="0.25">
      <c r="A38" s="19" t="s">
        <v>230</v>
      </c>
      <c r="B38" s="142" t="s">
        <v>5</v>
      </c>
      <c r="C38" s="142" t="s">
        <v>109</v>
      </c>
      <c r="D38" s="16"/>
      <c r="E38" s="24" t="b">
        <v>1</v>
      </c>
      <c r="F38" s="24"/>
      <c r="G38" s="24" t="b">
        <v>1</v>
      </c>
      <c r="H38" s="24"/>
      <c r="I38" s="24"/>
      <c r="J38" s="25" t="s">
        <v>412</v>
      </c>
      <c r="K38" s="23" t="s">
        <v>61</v>
      </c>
      <c r="L38" s="24">
        <f t="shared" si="0"/>
        <v>37</v>
      </c>
    </row>
    <row r="39" spans="1:12" s="146" customFormat="1" x14ac:dyDescent="0.25">
      <c r="A39" s="143" t="s">
        <v>230</v>
      </c>
      <c r="B39" s="144" t="s">
        <v>5</v>
      </c>
      <c r="C39" s="144" t="s">
        <v>439</v>
      </c>
      <c r="D39" s="109"/>
      <c r="E39" s="137" t="b">
        <v>1</v>
      </c>
      <c r="F39" s="137"/>
      <c r="G39" s="137" t="b">
        <v>1</v>
      </c>
      <c r="H39" s="137" t="b">
        <v>1</v>
      </c>
      <c r="I39" s="137"/>
      <c r="J39" s="145" t="s">
        <v>441</v>
      </c>
      <c r="K39" s="148" t="s">
        <v>61</v>
      </c>
      <c r="L39" s="137">
        <f t="shared" si="0"/>
        <v>38</v>
      </c>
    </row>
    <row r="40" spans="1:12" s="146" customFormat="1" x14ac:dyDescent="0.25">
      <c r="A40" s="143" t="s">
        <v>230</v>
      </c>
      <c r="B40" s="144" t="s">
        <v>5</v>
      </c>
      <c r="C40" s="144" t="s">
        <v>440</v>
      </c>
      <c r="D40" s="109"/>
      <c r="E40" s="137" t="b">
        <v>1</v>
      </c>
      <c r="F40" s="137"/>
      <c r="G40" s="137" t="b">
        <v>1</v>
      </c>
      <c r="H40" s="137" t="b">
        <v>1</v>
      </c>
      <c r="I40" s="137"/>
      <c r="J40" s="145" t="s">
        <v>441</v>
      </c>
      <c r="K40" s="148" t="s">
        <v>61</v>
      </c>
      <c r="L40" s="137">
        <f t="shared" si="0"/>
        <v>39</v>
      </c>
    </row>
    <row r="41" spans="1:12" x14ac:dyDescent="0.25">
      <c r="A41" s="19" t="s">
        <v>230</v>
      </c>
      <c r="B41" s="16" t="s">
        <v>6</v>
      </c>
      <c r="C41" s="16" t="s">
        <v>113</v>
      </c>
      <c r="D41" s="16"/>
      <c r="E41" s="24" t="s">
        <v>232</v>
      </c>
      <c r="F41" s="24"/>
      <c r="G41" s="24" t="s">
        <v>232</v>
      </c>
      <c r="H41" s="24" t="s">
        <v>233</v>
      </c>
      <c r="I41" s="24"/>
      <c r="J41" s="25" t="s">
        <v>67</v>
      </c>
      <c r="K41" s="23" t="s">
        <v>63</v>
      </c>
      <c r="L41" s="24">
        <f t="shared" si="0"/>
        <v>40</v>
      </c>
    </row>
    <row r="42" spans="1:12" x14ac:dyDescent="0.25">
      <c r="A42" s="19" t="s">
        <v>230</v>
      </c>
      <c r="B42" s="16" t="s">
        <v>6</v>
      </c>
      <c r="C42" s="16" t="s">
        <v>114</v>
      </c>
      <c r="D42" s="16"/>
      <c r="E42" s="24" t="s">
        <v>232</v>
      </c>
      <c r="F42" s="24"/>
      <c r="G42" s="24" t="s">
        <v>232</v>
      </c>
      <c r="H42" s="24" t="s">
        <v>233</v>
      </c>
      <c r="I42" s="24"/>
      <c r="J42" s="25" t="s">
        <v>67</v>
      </c>
      <c r="K42" s="23" t="s">
        <v>63</v>
      </c>
      <c r="L42" s="24">
        <f t="shared" si="0"/>
        <v>41</v>
      </c>
    </row>
    <row r="43" spans="1:12" s="43" customFormat="1" x14ac:dyDescent="0.25">
      <c r="A43" s="128" t="s">
        <v>230</v>
      </c>
      <c r="B43" s="130" t="s">
        <v>6</v>
      </c>
      <c r="C43" s="129" t="s">
        <v>437</v>
      </c>
      <c r="D43" s="130"/>
      <c r="E43" s="108" t="b">
        <v>1</v>
      </c>
      <c r="F43" s="108"/>
      <c r="G43" s="108" t="b">
        <v>1</v>
      </c>
      <c r="H43" s="108" t="b">
        <v>1</v>
      </c>
      <c r="I43" s="108"/>
      <c r="J43" s="131" t="s">
        <v>441</v>
      </c>
      <c r="K43" s="147" t="s">
        <v>63</v>
      </c>
      <c r="L43" s="108">
        <f t="shared" si="0"/>
        <v>42</v>
      </c>
    </row>
    <row r="44" spans="1:12" s="43" customFormat="1" x14ac:dyDescent="0.25">
      <c r="A44" s="128" t="s">
        <v>230</v>
      </c>
      <c r="B44" s="130" t="s">
        <v>6</v>
      </c>
      <c r="C44" s="129" t="s">
        <v>438</v>
      </c>
      <c r="D44" s="130"/>
      <c r="E44" s="108" t="b">
        <v>1</v>
      </c>
      <c r="F44" s="108"/>
      <c r="G44" s="108" t="b">
        <v>1</v>
      </c>
      <c r="H44" s="108" t="b">
        <v>1</v>
      </c>
      <c r="I44" s="108"/>
      <c r="J44" s="131" t="s">
        <v>441</v>
      </c>
      <c r="K44" s="147" t="s">
        <v>63</v>
      </c>
      <c r="L44" s="108">
        <f t="shared" si="0"/>
        <v>43</v>
      </c>
    </row>
    <row r="45" spans="1:12" x14ac:dyDescent="0.25">
      <c r="A45" s="19" t="s">
        <v>230</v>
      </c>
      <c r="B45" s="16" t="s">
        <v>6</v>
      </c>
      <c r="C45" s="142" t="s">
        <v>115</v>
      </c>
      <c r="D45" s="16"/>
      <c r="E45" s="24" t="b">
        <v>1</v>
      </c>
      <c r="F45" s="24"/>
      <c r="G45" s="24" t="b">
        <v>1</v>
      </c>
      <c r="H45" s="24"/>
      <c r="I45" s="24"/>
      <c r="J45" s="25" t="s">
        <v>412</v>
      </c>
      <c r="K45" s="23" t="s">
        <v>63</v>
      </c>
      <c r="L45" s="24">
        <f t="shared" si="0"/>
        <v>44</v>
      </c>
    </row>
    <row r="46" spans="1:12" s="146" customFormat="1" x14ac:dyDescent="0.25">
      <c r="A46" s="143" t="s">
        <v>230</v>
      </c>
      <c r="B46" s="109" t="s">
        <v>6</v>
      </c>
      <c r="C46" s="144" t="s">
        <v>439</v>
      </c>
      <c r="D46" s="109"/>
      <c r="E46" s="137" t="b">
        <v>1</v>
      </c>
      <c r="F46" s="137"/>
      <c r="G46" s="137" t="b">
        <v>1</v>
      </c>
      <c r="H46" s="137" t="b">
        <v>1</v>
      </c>
      <c r="I46" s="137"/>
      <c r="J46" s="145" t="s">
        <v>441</v>
      </c>
      <c r="K46" s="148" t="s">
        <v>63</v>
      </c>
      <c r="L46" s="137">
        <f t="shared" si="0"/>
        <v>45</v>
      </c>
    </row>
    <row r="47" spans="1:12" s="146" customFormat="1" x14ac:dyDescent="0.25">
      <c r="A47" s="143" t="s">
        <v>230</v>
      </c>
      <c r="B47" s="109" t="s">
        <v>6</v>
      </c>
      <c r="C47" s="144" t="s">
        <v>440</v>
      </c>
      <c r="D47" s="109"/>
      <c r="E47" s="137" t="b">
        <v>1</v>
      </c>
      <c r="F47" s="137"/>
      <c r="G47" s="137" t="b">
        <v>1</v>
      </c>
      <c r="H47" s="137" t="b">
        <v>1</v>
      </c>
      <c r="I47" s="137"/>
      <c r="J47" s="145" t="s">
        <v>441</v>
      </c>
      <c r="K47" s="148" t="s">
        <v>63</v>
      </c>
      <c r="L47" s="137">
        <f t="shared" si="0"/>
        <v>46</v>
      </c>
    </row>
    <row r="48" spans="1:12" x14ac:dyDescent="0.25">
      <c r="A48" s="19" t="s">
        <v>230</v>
      </c>
      <c r="B48" s="16" t="s">
        <v>7</v>
      </c>
      <c r="C48" s="16" t="s">
        <v>116</v>
      </c>
      <c r="D48" s="16"/>
      <c r="E48" s="24" t="s">
        <v>232</v>
      </c>
      <c r="F48" s="24"/>
      <c r="G48" s="24" t="s">
        <v>232</v>
      </c>
      <c r="H48" s="24" t="s">
        <v>233</v>
      </c>
      <c r="I48" s="24"/>
      <c r="J48" s="25" t="s">
        <v>67</v>
      </c>
      <c r="K48" s="23" t="s">
        <v>84</v>
      </c>
      <c r="L48" s="24">
        <f t="shared" si="0"/>
        <v>47</v>
      </c>
    </row>
    <row r="49" spans="1:12" x14ac:dyDescent="0.25">
      <c r="A49" s="19" t="s">
        <v>230</v>
      </c>
      <c r="B49" s="16" t="s">
        <v>7</v>
      </c>
      <c r="C49" s="16" t="s">
        <v>117</v>
      </c>
      <c r="D49" s="16"/>
      <c r="E49" s="24" t="s">
        <v>232</v>
      </c>
      <c r="F49" s="24"/>
      <c r="G49" s="24" t="s">
        <v>232</v>
      </c>
      <c r="H49" s="24" t="s">
        <v>233</v>
      </c>
      <c r="I49" s="24"/>
      <c r="J49" s="25" t="s">
        <v>67</v>
      </c>
      <c r="K49" s="23" t="s">
        <v>84</v>
      </c>
      <c r="L49" s="24">
        <f t="shared" si="0"/>
        <v>48</v>
      </c>
    </row>
    <row r="50" spans="1:12" s="43" customFormat="1" x14ac:dyDescent="0.25">
      <c r="A50" s="128" t="s">
        <v>230</v>
      </c>
      <c r="B50" s="130" t="s">
        <v>7</v>
      </c>
      <c r="C50" s="129" t="s">
        <v>437</v>
      </c>
      <c r="D50" s="130"/>
      <c r="E50" s="108" t="b">
        <v>1</v>
      </c>
      <c r="F50" s="108"/>
      <c r="G50" s="108" t="b">
        <v>1</v>
      </c>
      <c r="H50" s="108" t="b">
        <v>1</v>
      </c>
      <c r="I50" s="108"/>
      <c r="J50" s="131" t="s">
        <v>441</v>
      </c>
      <c r="K50" s="147" t="s">
        <v>84</v>
      </c>
      <c r="L50" s="108">
        <f t="shared" si="0"/>
        <v>49</v>
      </c>
    </row>
    <row r="51" spans="1:12" s="43" customFormat="1" x14ac:dyDescent="0.25">
      <c r="A51" s="128" t="s">
        <v>230</v>
      </c>
      <c r="B51" s="130" t="s">
        <v>7</v>
      </c>
      <c r="C51" s="129" t="s">
        <v>438</v>
      </c>
      <c r="D51" s="130"/>
      <c r="E51" s="108" t="b">
        <v>1</v>
      </c>
      <c r="F51" s="108"/>
      <c r="G51" s="108" t="b">
        <v>1</v>
      </c>
      <c r="H51" s="108" t="b">
        <v>1</v>
      </c>
      <c r="I51" s="108"/>
      <c r="J51" s="131" t="s">
        <v>441</v>
      </c>
      <c r="K51" s="147" t="s">
        <v>84</v>
      </c>
      <c r="L51" s="108">
        <f t="shared" si="0"/>
        <v>50</v>
      </c>
    </row>
    <row r="52" spans="1:12" x14ac:dyDescent="0.25">
      <c r="A52" s="19" t="s">
        <v>230</v>
      </c>
      <c r="B52" s="16" t="s">
        <v>7</v>
      </c>
      <c r="C52" s="142" t="s">
        <v>118</v>
      </c>
      <c r="D52" s="16"/>
      <c r="E52" s="24" t="b">
        <v>1</v>
      </c>
      <c r="F52" s="24"/>
      <c r="G52" s="24" t="b">
        <v>1</v>
      </c>
      <c r="H52" s="24"/>
      <c r="I52" s="24"/>
      <c r="J52" s="25" t="s">
        <v>412</v>
      </c>
      <c r="K52" s="23" t="s">
        <v>84</v>
      </c>
      <c r="L52" s="24">
        <f t="shared" si="0"/>
        <v>51</v>
      </c>
    </row>
    <row r="53" spans="1:12" s="146" customFormat="1" x14ac:dyDescent="0.25">
      <c r="A53" s="143" t="s">
        <v>230</v>
      </c>
      <c r="B53" s="109" t="s">
        <v>7</v>
      </c>
      <c r="C53" s="144" t="s">
        <v>439</v>
      </c>
      <c r="D53" s="109"/>
      <c r="E53" s="137" t="b">
        <v>1</v>
      </c>
      <c r="F53" s="137"/>
      <c r="G53" s="137" t="b">
        <v>1</v>
      </c>
      <c r="H53" s="137" t="b">
        <v>1</v>
      </c>
      <c r="I53" s="137"/>
      <c r="J53" s="145" t="s">
        <v>441</v>
      </c>
      <c r="K53" s="148" t="s">
        <v>84</v>
      </c>
      <c r="L53" s="137">
        <f t="shared" si="0"/>
        <v>52</v>
      </c>
    </row>
    <row r="54" spans="1:12" s="146" customFormat="1" x14ac:dyDescent="0.25">
      <c r="A54" s="143" t="s">
        <v>230</v>
      </c>
      <c r="B54" s="109" t="s">
        <v>7</v>
      </c>
      <c r="C54" s="144" t="s">
        <v>440</v>
      </c>
      <c r="D54" s="109"/>
      <c r="E54" s="137" t="b">
        <v>1</v>
      </c>
      <c r="F54" s="137"/>
      <c r="G54" s="137" t="b">
        <v>1</v>
      </c>
      <c r="H54" s="137" t="b">
        <v>1</v>
      </c>
      <c r="I54" s="137"/>
      <c r="J54" s="145" t="s">
        <v>441</v>
      </c>
      <c r="K54" s="148" t="s">
        <v>84</v>
      </c>
      <c r="L54" s="137">
        <f t="shared" si="0"/>
        <v>53</v>
      </c>
    </row>
    <row r="55" spans="1:12" x14ac:dyDescent="0.25">
      <c r="A55" s="19" t="s">
        <v>230</v>
      </c>
      <c r="B55" s="16" t="s">
        <v>8</v>
      </c>
      <c r="C55" s="16" t="s">
        <v>110</v>
      </c>
      <c r="D55" s="16"/>
      <c r="E55" s="24" t="s">
        <v>232</v>
      </c>
      <c r="F55" s="24"/>
      <c r="G55" s="24" t="s">
        <v>232</v>
      </c>
      <c r="H55" s="24" t="s">
        <v>233</v>
      </c>
      <c r="I55" s="24"/>
      <c r="J55" s="25" t="s">
        <v>67</v>
      </c>
      <c r="K55" s="23" t="s">
        <v>61</v>
      </c>
      <c r="L55" s="24">
        <f t="shared" si="0"/>
        <v>54</v>
      </c>
    </row>
    <row r="56" spans="1:12" x14ac:dyDescent="0.25">
      <c r="A56" s="19" t="s">
        <v>230</v>
      </c>
      <c r="B56" s="16" t="s">
        <v>8</v>
      </c>
      <c r="C56" s="16" t="s">
        <v>111</v>
      </c>
      <c r="D56" s="16"/>
      <c r="E56" s="24" t="s">
        <v>232</v>
      </c>
      <c r="F56" s="24"/>
      <c r="G56" s="24" t="s">
        <v>232</v>
      </c>
      <c r="H56" s="24" t="s">
        <v>233</v>
      </c>
      <c r="I56" s="24"/>
      <c r="J56" s="25" t="s">
        <v>67</v>
      </c>
      <c r="K56" s="23" t="s">
        <v>61</v>
      </c>
      <c r="L56" s="24">
        <f t="shared" si="0"/>
        <v>55</v>
      </c>
    </row>
    <row r="57" spans="1:12" s="43" customFormat="1" x14ac:dyDescent="0.25">
      <c r="A57" s="128" t="s">
        <v>230</v>
      </c>
      <c r="B57" s="130" t="s">
        <v>8</v>
      </c>
      <c r="C57" s="129" t="s">
        <v>437</v>
      </c>
      <c r="D57" s="130"/>
      <c r="E57" s="108" t="b">
        <v>1</v>
      </c>
      <c r="F57" s="108"/>
      <c r="G57" s="108" t="b">
        <v>1</v>
      </c>
      <c r="H57" s="108" t="b">
        <v>1</v>
      </c>
      <c r="I57" s="108"/>
      <c r="J57" s="131" t="s">
        <v>441</v>
      </c>
      <c r="K57" s="147" t="s">
        <v>61</v>
      </c>
      <c r="L57" s="108">
        <f t="shared" si="0"/>
        <v>56</v>
      </c>
    </row>
    <row r="58" spans="1:12" s="43" customFormat="1" x14ac:dyDescent="0.25">
      <c r="A58" s="128" t="s">
        <v>230</v>
      </c>
      <c r="B58" s="130" t="s">
        <v>8</v>
      </c>
      <c r="C58" s="129" t="s">
        <v>438</v>
      </c>
      <c r="D58" s="130"/>
      <c r="E58" s="108" t="b">
        <v>1</v>
      </c>
      <c r="F58" s="108"/>
      <c r="G58" s="108" t="b">
        <v>1</v>
      </c>
      <c r="H58" s="108" t="b">
        <v>1</v>
      </c>
      <c r="I58" s="108"/>
      <c r="J58" s="131" t="s">
        <v>441</v>
      </c>
      <c r="K58" s="147" t="s">
        <v>61</v>
      </c>
      <c r="L58" s="108">
        <f t="shared" si="0"/>
        <v>57</v>
      </c>
    </row>
    <row r="59" spans="1:12" x14ac:dyDescent="0.25">
      <c r="A59" s="19" t="s">
        <v>230</v>
      </c>
      <c r="B59" s="16" t="s">
        <v>8</v>
      </c>
      <c r="C59" s="142" t="s">
        <v>112</v>
      </c>
      <c r="D59" s="16"/>
      <c r="E59" s="24" t="b">
        <v>1</v>
      </c>
      <c r="F59" s="24"/>
      <c r="G59" s="24" t="b">
        <v>1</v>
      </c>
      <c r="H59" s="24"/>
      <c r="I59" s="24"/>
      <c r="J59" s="25" t="s">
        <v>412</v>
      </c>
      <c r="K59" s="23" t="s">
        <v>61</v>
      </c>
      <c r="L59" s="24">
        <f t="shared" si="0"/>
        <v>58</v>
      </c>
    </row>
    <row r="60" spans="1:12" s="146" customFormat="1" x14ac:dyDescent="0.25">
      <c r="A60" s="143" t="s">
        <v>230</v>
      </c>
      <c r="B60" s="109" t="s">
        <v>8</v>
      </c>
      <c r="C60" s="144" t="s">
        <v>439</v>
      </c>
      <c r="D60" s="109"/>
      <c r="E60" s="137" t="b">
        <v>1</v>
      </c>
      <c r="F60" s="137"/>
      <c r="G60" s="137" t="b">
        <v>1</v>
      </c>
      <c r="H60" s="137" t="b">
        <v>1</v>
      </c>
      <c r="I60" s="137"/>
      <c r="J60" s="145" t="s">
        <v>441</v>
      </c>
      <c r="K60" s="148" t="s">
        <v>61</v>
      </c>
      <c r="L60" s="137">
        <f t="shared" si="0"/>
        <v>59</v>
      </c>
    </row>
    <row r="61" spans="1:12" s="146" customFormat="1" x14ac:dyDescent="0.25">
      <c r="A61" s="143" t="s">
        <v>230</v>
      </c>
      <c r="B61" s="109" t="s">
        <v>8</v>
      </c>
      <c r="C61" s="144" t="s">
        <v>440</v>
      </c>
      <c r="D61" s="109"/>
      <c r="E61" s="137" t="b">
        <v>1</v>
      </c>
      <c r="F61" s="137"/>
      <c r="G61" s="137" t="b">
        <v>1</v>
      </c>
      <c r="H61" s="137" t="b">
        <v>1</v>
      </c>
      <c r="I61" s="137"/>
      <c r="J61" s="145" t="s">
        <v>441</v>
      </c>
      <c r="K61" s="148" t="s">
        <v>61</v>
      </c>
      <c r="L61" s="137">
        <f t="shared" si="0"/>
        <v>60</v>
      </c>
    </row>
    <row r="62" spans="1:12" x14ac:dyDescent="0.25">
      <c r="A62" s="19" t="s">
        <v>230</v>
      </c>
      <c r="B62" s="16" t="s">
        <v>48</v>
      </c>
      <c r="C62" s="16" t="s">
        <v>119</v>
      </c>
      <c r="D62" s="16"/>
      <c r="E62" s="24" t="s">
        <v>232</v>
      </c>
      <c r="F62" s="24"/>
      <c r="G62" s="24" t="s">
        <v>232</v>
      </c>
      <c r="H62" s="24" t="s">
        <v>233</v>
      </c>
      <c r="I62" s="24"/>
      <c r="J62" s="25" t="s">
        <v>67</v>
      </c>
      <c r="K62" s="23" t="s">
        <v>63</v>
      </c>
      <c r="L62" s="24">
        <f t="shared" si="0"/>
        <v>61</v>
      </c>
    </row>
    <row r="63" spans="1:12" x14ac:dyDescent="0.25">
      <c r="A63" s="19" t="s">
        <v>230</v>
      </c>
      <c r="B63" s="16" t="s">
        <v>48</v>
      </c>
      <c r="C63" s="16" t="s">
        <v>120</v>
      </c>
      <c r="D63" s="16"/>
      <c r="E63" s="24" t="s">
        <v>232</v>
      </c>
      <c r="F63" s="24"/>
      <c r="G63" s="24" t="s">
        <v>232</v>
      </c>
      <c r="H63" s="24" t="s">
        <v>233</v>
      </c>
      <c r="I63" s="24"/>
      <c r="J63" s="25" t="s">
        <v>67</v>
      </c>
      <c r="K63" s="23" t="s">
        <v>63</v>
      </c>
      <c r="L63" s="24">
        <f t="shared" si="0"/>
        <v>62</v>
      </c>
    </row>
    <row r="64" spans="1:12" s="43" customFormat="1" x14ac:dyDescent="0.25">
      <c r="A64" s="128" t="s">
        <v>230</v>
      </c>
      <c r="B64" s="130" t="s">
        <v>48</v>
      </c>
      <c r="C64" s="129" t="s">
        <v>437</v>
      </c>
      <c r="D64" s="130"/>
      <c r="E64" s="108" t="b">
        <v>1</v>
      </c>
      <c r="F64" s="108"/>
      <c r="G64" s="108" t="b">
        <v>1</v>
      </c>
      <c r="H64" s="108" t="b">
        <v>1</v>
      </c>
      <c r="I64" s="108"/>
      <c r="J64" s="131" t="s">
        <v>441</v>
      </c>
      <c r="K64" s="147" t="s">
        <v>63</v>
      </c>
      <c r="L64" s="108">
        <f t="shared" si="0"/>
        <v>63</v>
      </c>
    </row>
    <row r="65" spans="1:12" s="43" customFormat="1" x14ac:dyDescent="0.25">
      <c r="A65" s="128" t="s">
        <v>230</v>
      </c>
      <c r="B65" s="130" t="s">
        <v>48</v>
      </c>
      <c r="C65" s="129" t="s">
        <v>438</v>
      </c>
      <c r="D65" s="130"/>
      <c r="E65" s="108" t="b">
        <v>1</v>
      </c>
      <c r="F65" s="108"/>
      <c r="G65" s="108" t="b">
        <v>1</v>
      </c>
      <c r="H65" s="108" t="b">
        <v>1</v>
      </c>
      <c r="I65" s="108"/>
      <c r="J65" s="131" t="s">
        <v>441</v>
      </c>
      <c r="K65" s="147" t="s">
        <v>63</v>
      </c>
      <c r="L65" s="108">
        <f t="shared" si="0"/>
        <v>64</v>
      </c>
    </row>
    <row r="66" spans="1:12" x14ac:dyDescent="0.25">
      <c r="A66" s="19" t="s">
        <v>230</v>
      </c>
      <c r="B66" s="16" t="s">
        <v>48</v>
      </c>
      <c r="C66" s="142" t="s">
        <v>121</v>
      </c>
      <c r="D66" s="16"/>
      <c r="E66" s="24" t="b">
        <v>1</v>
      </c>
      <c r="F66" s="24"/>
      <c r="G66" s="24" t="b">
        <v>1</v>
      </c>
      <c r="H66" s="24"/>
      <c r="I66" s="24"/>
      <c r="J66" s="25" t="s">
        <v>412</v>
      </c>
      <c r="K66" s="23" t="s">
        <v>63</v>
      </c>
      <c r="L66" s="24">
        <f t="shared" si="0"/>
        <v>65</v>
      </c>
    </row>
    <row r="67" spans="1:12" s="146" customFormat="1" x14ac:dyDescent="0.25">
      <c r="A67" s="143" t="s">
        <v>230</v>
      </c>
      <c r="B67" s="109" t="s">
        <v>48</v>
      </c>
      <c r="C67" s="144" t="s">
        <v>439</v>
      </c>
      <c r="D67" s="109"/>
      <c r="E67" s="137" t="b">
        <v>1</v>
      </c>
      <c r="F67" s="137"/>
      <c r="G67" s="137" t="b">
        <v>1</v>
      </c>
      <c r="H67" s="137" t="b">
        <v>1</v>
      </c>
      <c r="I67" s="137"/>
      <c r="J67" s="145" t="s">
        <v>441</v>
      </c>
      <c r="K67" s="148" t="s">
        <v>63</v>
      </c>
      <c r="L67" s="137">
        <f t="shared" si="0"/>
        <v>66</v>
      </c>
    </row>
    <row r="68" spans="1:12" s="146" customFormat="1" x14ac:dyDescent="0.25">
      <c r="A68" s="143" t="s">
        <v>230</v>
      </c>
      <c r="B68" s="109" t="s">
        <v>48</v>
      </c>
      <c r="C68" s="144" t="s">
        <v>440</v>
      </c>
      <c r="D68" s="109"/>
      <c r="E68" s="137" t="b">
        <v>1</v>
      </c>
      <c r="F68" s="137"/>
      <c r="G68" s="137" t="b">
        <v>1</v>
      </c>
      <c r="H68" s="137" t="b">
        <v>1</v>
      </c>
      <c r="I68" s="137"/>
      <c r="J68" s="145" t="s">
        <v>441</v>
      </c>
      <c r="K68" s="148" t="s">
        <v>63</v>
      </c>
      <c r="L68" s="137">
        <f t="shared" si="0"/>
        <v>67</v>
      </c>
    </row>
    <row r="69" spans="1:12" x14ac:dyDescent="0.25">
      <c r="A69" s="19" t="s">
        <v>230</v>
      </c>
      <c r="B69" s="16" t="s">
        <v>57</v>
      </c>
      <c r="C69" s="16" t="s">
        <v>122</v>
      </c>
      <c r="D69" s="16"/>
      <c r="E69" s="24" t="s">
        <v>232</v>
      </c>
      <c r="F69" s="24"/>
      <c r="G69" s="24" t="s">
        <v>232</v>
      </c>
      <c r="H69" s="24" t="s">
        <v>233</v>
      </c>
      <c r="I69" s="24"/>
      <c r="J69" s="25" t="s">
        <v>67</v>
      </c>
      <c r="K69" s="23" t="s">
        <v>84</v>
      </c>
      <c r="L69" s="24">
        <f t="shared" si="0"/>
        <v>68</v>
      </c>
    </row>
    <row r="70" spans="1:12" x14ac:dyDescent="0.25">
      <c r="A70" s="19" t="s">
        <v>230</v>
      </c>
      <c r="B70" s="16" t="s">
        <v>57</v>
      </c>
      <c r="C70" s="16" t="s">
        <v>123</v>
      </c>
      <c r="D70" s="16"/>
      <c r="E70" s="24" t="s">
        <v>232</v>
      </c>
      <c r="F70" s="24"/>
      <c r="G70" s="24" t="s">
        <v>232</v>
      </c>
      <c r="H70" s="24" t="s">
        <v>233</v>
      </c>
      <c r="I70" s="24"/>
      <c r="J70" s="25" t="s">
        <v>67</v>
      </c>
      <c r="K70" s="23" t="s">
        <v>84</v>
      </c>
      <c r="L70" s="24">
        <f t="shared" si="0"/>
        <v>69</v>
      </c>
    </row>
    <row r="71" spans="1:12" s="43" customFormat="1" x14ac:dyDescent="0.25">
      <c r="A71" s="128" t="s">
        <v>230</v>
      </c>
      <c r="B71" s="130" t="s">
        <v>57</v>
      </c>
      <c r="C71" s="129" t="s">
        <v>437</v>
      </c>
      <c r="D71" s="130"/>
      <c r="E71" s="108" t="b">
        <v>1</v>
      </c>
      <c r="F71" s="108"/>
      <c r="G71" s="108" t="b">
        <v>1</v>
      </c>
      <c r="H71" s="108" t="b">
        <v>1</v>
      </c>
      <c r="I71" s="108"/>
      <c r="J71" s="131" t="s">
        <v>441</v>
      </c>
      <c r="K71" s="147" t="s">
        <v>84</v>
      </c>
      <c r="L71" s="108">
        <f t="shared" si="0"/>
        <v>70</v>
      </c>
    </row>
    <row r="72" spans="1:12" s="43" customFormat="1" x14ac:dyDescent="0.25">
      <c r="A72" s="128" t="s">
        <v>230</v>
      </c>
      <c r="B72" s="130" t="s">
        <v>57</v>
      </c>
      <c r="C72" s="129" t="s">
        <v>438</v>
      </c>
      <c r="D72" s="130"/>
      <c r="E72" s="108" t="b">
        <v>1</v>
      </c>
      <c r="F72" s="108"/>
      <c r="G72" s="108" t="b">
        <v>1</v>
      </c>
      <c r="H72" s="108" t="b">
        <v>1</v>
      </c>
      <c r="I72" s="108"/>
      <c r="J72" s="131" t="s">
        <v>441</v>
      </c>
      <c r="K72" s="147" t="s">
        <v>84</v>
      </c>
      <c r="L72" s="108">
        <f t="shared" si="0"/>
        <v>71</v>
      </c>
    </row>
    <row r="73" spans="1:12" x14ac:dyDescent="0.25">
      <c r="A73" s="19" t="s">
        <v>230</v>
      </c>
      <c r="B73" s="16" t="s">
        <v>57</v>
      </c>
      <c r="C73" s="142" t="s">
        <v>124</v>
      </c>
      <c r="D73" s="16"/>
      <c r="E73" s="24" t="b">
        <v>1</v>
      </c>
      <c r="F73" s="24"/>
      <c r="G73" s="24" t="b">
        <v>1</v>
      </c>
      <c r="H73" s="24"/>
      <c r="I73" s="24"/>
      <c r="J73" s="25" t="s">
        <v>412</v>
      </c>
      <c r="K73" s="23" t="s">
        <v>84</v>
      </c>
      <c r="L73" s="24">
        <f t="shared" si="0"/>
        <v>72</v>
      </c>
    </row>
    <row r="74" spans="1:12" s="146" customFormat="1" x14ac:dyDescent="0.25">
      <c r="A74" s="143" t="s">
        <v>230</v>
      </c>
      <c r="B74" s="109" t="s">
        <v>57</v>
      </c>
      <c r="C74" s="144" t="s">
        <v>439</v>
      </c>
      <c r="D74" s="109"/>
      <c r="E74" s="137" t="b">
        <v>1</v>
      </c>
      <c r="F74" s="137"/>
      <c r="G74" s="137" t="b">
        <v>1</v>
      </c>
      <c r="H74" s="137" t="b">
        <v>1</v>
      </c>
      <c r="I74" s="137"/>
      <c r="J74" s="145" t="s">
        <v>441</v>
      </c>
      <c r="K74" s="148" t="s">
        <v>84</v>
      </c>
      <c r="L74" s="137">
        <f t="shared" si="0"/>
        <v>73</v>
      </c>
    </row>
    <row r="75" spans="1:12" s="146" customFormat="1" x14ac:dyDescent="0.25">
      <c r="A75" s="143" t="s">
        <v>230</v>
      </c>
      <c r="B75" s="109" t="s">
        <v>57</v>
      </c>
      <c r="C75" s="144" t="s">
        <v>440</v>
      </c>
      <c r="D75" s="109"/>
      <c r="E75" s="137" t="b">
        <v>1</v>
      </c>
      <c r="F75" s="137"/>
      <c r="G75" s="137" t="b">
        <v>1</v>
      </c>
      <c r="H75" s="137" t="b">
        <v>1</v>
      </c>
      <c r="I75" s="137"/>
      <c r="J75" s="145" t="s">
        <v>441</v>
      </c>
      <c r="K75" s="148" t="s">
        <v>84</v>
      </c>
      <c r="L75" s="137">
        <f t="shared" si="0"/>
        <v>74</v>
      </c>
    </row>
    <row r="76" spans="1:12" x14ac:dyDescent="0.25">
      <c r="A76" s="19" t="s">
        <v>230</v>
      </c>
      <c r="B76" s="16" t="s">
        <v>80</v>
      </c>
      <c r="C76" s="16" t="s">
        <v>104</v>
      </c>
      <c r="D76" s="16"/>
      <c r="E76" s="24" t="s">
        <v>232</v>
      </c>
      <c r="F76" s="24"/>
      <c r="G76" s="24" t="s">
        <v>232</v>
      </c>
      <c r="H76" s="24" t="s">
        <v>233</v>
      </c>
      <c r="I76" s="24"/>
      <c r="J76" s="25" t="s">
        <v>67</v>
      </c>
      <c r="K76" s="23" t="s">
        <v>61</v>
      </c>
      <c r="L76" s="24">
        <f t="shared" si="0"/>
        <v>75</v>
      </c>
    </row>
    <row r="77" spans="1:12" x14ac:dyDescent="0.25">
      <c r="A77" s="19" t="s">
        <v>230</v>
      </c>
      <c r="B77" s="16" t="s">
        <v>80</v>
      </c>
      <c r="C77" s="16" t="s">
        <v>105</v>
      </c>
      <c r="D77" s="16"/>
      <c r="E77" s="24" t="s">
        <v>232</v>
      </c>
      <c r="F77" s="24"/>
      <c r="G77" s="24" t="s">
        <v>232</v>
      </c>
      <c r="H77" s="24" t="s">
        <v>233</v>
      </c>
      <c r="I77" s="24"/>
      <c r="J77" s="25" t="s">
        <v>67</v>
      </c>
      <c r="K77" s="23" t="s">
        <v>61</v>
      </c>
      <c r="L77" s="24">
        <f t="shared" si="0"/>
        <v>76</v>
      </c>
    </row>
    <row r="78" spans="1:12" s="43" customFormat="1" x14ac:dyDescent="0.25">
      <c r="A78" s="128" t="s">
        <v>230</v>
      </c>
      <c r="B78" s="130" t="s">
        <v>80</v>
      </c>
      <c r="C78" s="129" t="s">
        <v>437</v>
      </c>
      <c r="D78" s="130"/>
      <c r="E78" s="108" t="b">
        <v>1</v>
      </c>
      <c r="F78" s="108"/>
      <c r="G78" s="108" t="b">
        <v>1</v>
      </c>
      <c r="H78" s="108" t="b">
        <v>1</v>
      </c>
      <c r="I78" s="108"/>
      <c r="J78" s="131" t="s">
        <v>441</v>
      </c>
      <c r="K78" s="147" t="s">
        <v>61</v>
      </c>
      <c r="L78" s="108">
        <f t="shared" si="0"/>
        <v>77</v>
      </c>
    </row>
    <row r="79" spans="1:12" s="43" customFormat="1" x14ac:dyDescent="0.25">
      <c r="A79" s="128" t="s">
        <v>230</v>
      </c>
      <c r="B79" s="130" t="s">
        <v>80</v>
      </c>
      <c r="C79" s="129" t="s">
        <v>438</v>
      </c>
      <c r="D79" s="130"/>
      <c r="E79" s="108" t="b">
        <v>1</v>
      </c>
      <c r="F79" s="108"/>
      <c r="G79" s="108" t="b">
        <v>1</v>
      </c>
      <c r="H79" s="108" t="b">
        <v>1</v>
      </c>
      <c r="I79" s="108"/>
      <c r="J79" s="131" t="s">
        <v>441</v>
      </c>
      <c r="K79" s="147" t="s">
        <v>61</v>
      </c>
      <c r="L79" s="108">
        <f t="shared" si="0"/>
        <v>78</v>
      </c>
    </row>
    <row r="80" spans="1:12" x14ac:dyDescent="0.25">
      <c r="A80" s="19" t="s">
        <v>230</v>
      </c>
      <c r="B80" s="16" t="s">
        <v>80</v>
      </c>
      <c r="C80" s="142" t="s">
        <v>106</v>
      </c>
      <c r="D80" s="16"/>
      <c r="E80" s="24" t="b">
        <v>1</v>
      </c>
      <c r="F80" s="24"/>
      <c r="G80" s="24" t="b">
        <v>1</v>
      </c>
      <c r="H80" s="24"/>
      <c r="I80" s="24"/>
      <c r="J80" s="25" t="s">
        <v>412</v>
      </c>
      <c r="K80" s="23" t="s">
        <v>61</v>
      </c>
      <c r="L80" s="24">
        <f t="shared" si="0"/>
        <v>79</v>
      </c>
    </row>
    <row r="81" spans="1:12" s="146" customFormat="1" x14ac:dyDescent="0.25">
      <c r="A81" s="143" t="s">
        <v>230</v>
      </c>
      <c r="B81" s="109" t="s">
        <v>80</v>
      </c>
      <c r="C81" s="144" t="s">
        <v>439</v>
      </c>
      <c r="D81" s="109"/>
      <c r="E81" s="137" t="b">
        <v>1</v>
      </c>
      <c r="F81" s="137"/>
      <c r="G81" s="137" t="b">
        <v>1</v>
      </c>
      <c r="H81" s="137" t="b">
        <v>1</v>
      </c>
      <c r="I81" s="137"/>
      <c r="J81" s="145" t="s">
        <v>441</v>
      </c>
      <c r="K81" s="148" t="s">
        <v>61</v>
      </c>
      <c r="L81" s="137">
        <f t="shared" si="0"/>
        <v>80</v>
      </c>
    </row>
    <row r="82" spans="1:12" s="146" customFormat="1" x14ac:dyDescent="0.25">
      <c r="A82" s="143" t="s">
        <v>230</v>
      </c>
      <c r="B82" s="109" t="s">
        <v>80</v>
      </c>
      <c r="C82" s="144" t="s">
        <v>440</v>
      </c>
      <c r="D82" s="109"/>
      <c r="E82" s="137" t="b">
        <v>1</v>
      </c>
      <c r="F82" s="137"/>
      <c r="G82" s="137" t="b">
        <v>1</v>
      </c>
      <c r="H82" s="137" t="b">
        <v>1</v>
      </c>
      <c r="I82" s="137"/>
      <c r="J82" s="145" t="s">
        <v>441</v>
      </c>
      <c r="K82" s="148" t="s">
        <v>61</v>
      </c>
      <c r="L82" s="137">
        <f t="shared" si="0"/>
        <v>81</v>
      </c>
    </row>
    <row r="83" spans="1:12" x14ac:dyDescent="0.25">
      <c r="A83" s="19" t="s">
        <v>230</v>
      </c>
      <c r="B83" s="16" t="s">
        <v>242</v>
      </c>
      <c r="C83" s="16" t="s">
        <v>243</v>
      </c>
      <c r="D83" s="16"/>
      <c r="E83" s="24" t="s">
        <v>232</v>
      </c>
      <c r="F83" s="24"/>
      <c r="G83" s="24" t="s">
        <v>232</v>
      </c>
      <c r="H83" s="24" t="s">
        <v>232</v>
      </c>
      <c r="I83" s="24"/>
      <c r="J83" s="25" t="s">
        <v>66</v>
      </c>
      <c r="K83" s="23" t="s">
        <v>63</v>
      </c>
      <c r="L83" s="24">
        <f t="shared" si="0"/>
        <v>82</v>
      </c>
    </row>
    <row r="84" spans="1:12" x14ac:dyDescent="0.25">
      <c r="A84" s="19" t="s">
        <v>230</v>
      </c>
      <c r="B84" s="16" t="s">
        <v>242</v>
      </c>
      <c r="C84" s="16" t="s">
        <v>244</v>
      </c>
      <c r="D84" s="16"/>
      <c r="E84" s="24" t="s">
        <v>232</v>
      </c>
      <c r="F84" s="24"/>
      <c r="G84" s="24" t="s">
        <v>232</v>
      </c>
      <c r="H84" s="24" t="s">
        <v>232</v>
      </c>
      <c r="I84" s="24"/>
      <c r="J84" s="25" t="s">
        <v>66</v>
      </c>
      <c r="K84" s="23" t="s">
        <v>63</v>
      </c>
      <c r="L84" s="24">
        <f t="shared" si="0"/>
        <v>83</v>
      </c>
    </row>
    <row r="85" spans="1:12" s="43" customFormat="1" x14ac:dyDescent="0.25">
      <c r="A85" s="128" t="s">
        <v>230</v>
      </c>
      <c r="B85" s="130" t="s">
        <v>242</v>
      </c>
      <c r="C85" s="129" t="s">
        <v>437</v>
      </c>
      <c r="D85" s="130"/>
      <c r="E85" s="108" t="b">
        <v>1</v>
      </c>
      <c r="F85" s="108"/>
      <c r="G85" s="108" t="b">
        <v>1</v>
      </c>
      <c r="H85" s="108" t="b">
        <v>1</v>
      </c>
      <c r="I85" s="108"/>
      <c r="J85" s="131" t="s">
        <v>441</v>
      </c>
      <c r="K85" s="147" t="s">
        <v>63</v>
      </c>
      <c r="L85" s="108">
        <f t="shared" si="0"/>
        <v>84</v>
      </c>
    </row>
    <row r="86" spans="1:12" s="43" customFormat="1" x14ac:dyDescent="0.25">
      <c r="A86" s="128" t="s">
        <v>230</v>
      </c>
      <c r="B86" s="130" t="s">
        <v>242</v>
      </c>
      <c r="C86" s="129" t="s">
        <v>438</v>
      </c>
      <c r="D86" s="130"/>
      <c r="E86" s="108" t="b">
        <v>1</v>
      </c>
      <c r="F86" s="108"/>
      <c r="G86" s="108" t="b">
        <v>1</v>
      </c>
      <c r="H86" s="108" t="b">
        <v>1</v>
      </c>
      <c r="I86" s="108"/>
      <c r="J86" s="131" t="s">
        <v>441</v>
      </c>
      <c r="K86" s="147" t="s">
        <v>63</v>
      </c>
      <c r="L86" s="108">
        <f t="shared" si="0"/>
        <v>85</v>
      </c>
    </row>
    <row r="87" spans="1:12" x14ac:dyDescent="0.25">
      <c r="A87" s="19" t="s">
        <v>230</v>
      </c>
      <c r="B87" s="16" t="s">
        <v>242</v>
      </c>
      <c r="C87" s="142" t="s">
        <v>245</v>
      </c>
      <c r="D87" s="16"/>
      <c r="E87" s="24" t="b">
        <v>1</v>
      </c>
      <c r="F87" s="24"/>
      <c r="G87" s="24" t="b">
        <v>1</v>
      </c>
      <c r="H87" s="24" t="b">
        <v>1</v>
      </c>
      <c r="I87" s="24"/>
      <c r="J87" s="25" t="s">
        <v>412</v>
      </c>
      <c r="K87" s="23" t="s">
        <v>63</v>
      </c>
      <c r="L87" s="24">
        <f t="shared" si="0"/>
        <v>86</v>
      </c>
    </row>
    <row r="88" spans="1:12" s="146" customFormat="1" x14ac:dyDescent="0.25">
      <c r="A88" s="143" t="s">
        <v>230</v>
      </c>
      <c r="B88" s="109" t="s">
        <v>242</v>
      </c>
      <c r="C88" s="144" t="s">
        <v>439</v>
      </c>
      <c r="D88" s="109"/>
      <c r="E88" s="137" t="b">
        <v>1</v>
      </c>
      <c r="F88" s="137"/>
      <c r="G88" s="137" t="b">
        <v>1</v>
      </c>
      <c r="H88" s="137" t="b">
        <v>1</v>
      </c>
      <c r="I88" s="137"/>
      <c r="J88" s="145" t="s">
        <v>441</v>
      </c>
      <c r="K88" s="148" t="s">
        <v>63</v>
      </c>
      <c r="L88" s="137">
        <f t="shared" si="0"/>
        <v>87</v>
      </c>
    </row>
    <row r="89" spans="1:12" s="146" customFormat="1" x14ac:dyDescent="0.25">
      <c r="A89" s="143" t="s">
        <v>230</v>
      </c>
      <c r="B89" s="109" t="s">
        <v>242</v>
      </c>
      <c r="C89" s="144" t="s">
        <v>440</v>
      </c>
      <c r="D89" s="109"/>
      <c r="E89" s="137" t="b">
        <v>1</v>
      </c>
      <c r="F89" s="137"/>
      <c r="G89" s="137" t="b">
        <v>1</v>
      </c>
      <c r="H89" s="137" t="b">
        <v>1</v>
      </c>
      <c r="I89" s="137"/>
      <c r="J89" s="145" t="s">
        <v>441</v>
      </c>
      <c r="K89" s="148" t="s">
        <v>63</v>
      </c>
      <c r="L89" s="137">
        <f t="shared" si="0"/>
        <v>88</v>
      </c>
    </row>
    <row r="90" spans="1:12" x14ac:dyDescent="0.25">
      <c r="A90" s="19" t="s">
        <v>230</v>
      </c>
      <c r="B90" s="16" t="s">
        <v>308</v>
      </c>
      <c r="C90" s="16" t="s">
        <v>309</v>
      </c>
      <c r="D90" s="16"/>
      <c r="E90" s="24" t="s">
        <v>232</v>
      </c>
      <c r="F90" s="24"/>
      <c r="G90" s="24" t="s">
        <v>232</v>
      </c>
      <c r="H90" s="24" t="s">
        <v>232</v>
      </c>
      <c r="I90" s="24"/>
      <c r="J90" s="25" t="s">
        <v>65</v>
      </c>
      <c r="K90" s="23" t="s">
        <v>84</v>
      </c>
      <c r="L90" s="24">
        <f t="shared" si="0"/>
        <v>89</v>
      </c>
    </row>
    <row r="91" spans="1:12" x14ac:dyDescent="0.25">
      <c r="A91" s="19" t="s">
        <v>230</v>
      </c>
      <c r="B91" s="16" t="s">
        <v>308</v>
      </c>
      <c r="C91" s="16" t="s">
        <v>310</v>
      </c>
      <c r="D91" s="16"/>
      <c r="E91" s="24" t="s">
        <v>232</v>
      </c>
      <c r="F91" s="24"/>
      <c r="G91" s="24" t="s">
        <v>232</v>
      </c>
      <c r="H91" s="24" t="s">
        <v>232</v>
      </c>
      <c r="I91" s="24"/>
      <c r="J91" s="25" t="s">
        <v>65</v>
      </c>
      <c r="K91" s="23" t="s">
        <v>84</v>
      </c>
      <c r="L91" s="24">
        <f t="shared" si="0"/>
        <v>90</v>
      </c>
    </row>
    <row r="92" spans="1:12" x14ac:dyDescent="0.25">
      <c r="A92" s="19" t="s">
        <v>230</v>
      </c>
      <c r="B92" s="16" t="s">
        <v>315</v>
      </c>
      <c r="C92" s="16" t="s">
        <v>316</v>
      </c>
      <c r="D92" s="16"/>
      <c r="E92" s="24" t="s">
        <v>232</v>
      </c>
      <c r="F92" s="24"/>
      <c r="G92" s="24" t="s">
        <v>232</v>
      </c>
      <c r="H92" s="24" t="s">
        <v>232</v>
      </c>
      <c r="I92" s="24"/>
      <c r="J92" s="25" t="s">
        <v>311</v>
      </c>
      <c r="K92" s="23" t="s">
        <v>63</v>
      </c>
      <c r="L92" s="24">
        <f t="shared" si="0"/>
        <v>91</v>
      </c>
    </row>
    <row r="93" spans="1:12" x14ac:dyDescent="0.25">
      <c r="A93" s="19" t="s">
        <v>230</v>
      </c>
      <c r="B93" s="16" t="s">
        <v>315</v>
      </c>
      <c r="C93" s="16" t="s">
        <v>317</v>
      </c>
      <c r="D93" s="16"/>
      <c r="E93" s="24" t="s">
        <v>232</v>
      </c>
      <c r="F93" s="24"/>
      <c r="G93" s="24" t="s">
        <v>232</v>
      </c>
      <c r="H93" s="24" t="s">
        <v>232</v>
      </c>
      <c r="I93" s="24"/>
      <c r="J93" s="25" t="s">
        <v>311</v>
      </c>
      <c r="K93" s="23" t="s">
        <v>63</v>
      </c>
      <c r="L93" s="24">
        <f t="shared" si="0"/>
        <v>92</v>
      </c>
    </row>
    <row r="94" spans="1:12" x14ac:dyDescent="0.25">
      <c r="A94" s="19" t="s">
        <v>230</v>
      </c>
      <c r="B94" s="16" t="s">
        <v>312</v>
      </c>
      <c r="C94" s="16" t="s">
        <v>313</v>
      </c>
      <c r="D94" s="16"/>
      <c r="E94" s="24" t="s">
        <v>232</v>
      </c>
      <c r="F94" s="24"/>
      <c r="G94" s="24" t="s">
        <v>232</v>
      </c>
      <c r="H94" s="24" t="s">
        <v>233</v>
      </c>
      <c r="I94" s="24"/>
      <c r="J94" s="25" t="s">
        <v>311</v>
      </c>
      <c r="K94" s="23" t="s">
        <v>61</v>
      </c>
      <c r="L94" s="24">
        <f t="shared" si="0"/>
        <v>93</v>
      </c>
    </row>
    <row r="95" spans="1:12" x14ac:dyDescent="0.25">
      <c r="A95" s="19" t="s">
        <v>230</v>
      </c>
      <c r="B95" s="16" t="s">
        <v>312</v>
      </c>
      <c r="C95" s="16" t="s">
        <v>314</v>
      </c>
      <c r="D95" s="16"/>
      <c r="E95" s="24" t="s">
        <v>232</v>
      </c>
      <c r="F95" s="24"/>
      <c r="G95" s="24" t="s">
        <v>232</v>
      </c>
      <c r="H95" s="24" t="s">
        <v>233</v>
      </c>
      <c r="I95" s="24"/>
      <c r="J95" s="25" t="s">
        <v>311</v>
      </c>
      <c r="K95" s="23" t="s">
        <v>61</v>
      </c>
      <c r="L95" s="24">
        <f t="shared" si="0"/>
        <v>94</v>
      </c>
    </row>
    <row r="96" spans="1:12" x14ac:dyDescent="0.25">
      <c r="A96" s="19" t="s">
        <v>230</v>
      </c>
      <c r="B96" s="16" t="s">
        <v>9</v>
      </c>
      <c r="C96" s="16" t="s">
        <v>125</v>
      </c>
      <c r="D96" s="16"/>
      <c r="E96" s="24" t="s">
        <v>232</v>
      </c>
      <c r="F96" s="24"/>
      <c r="G96" s="24" t="s">
        <v>232</v>
      </c>
      <c r="H96" s="24" t="s">
        <v>232</v>
      </c>
      <c r="I96" s="24"/>
      <c r="J96" s="25" t="s">
        <v>65</v>
      </c>
      <c r="K96" s="23" t="s">
        <v>84</v>
      </c>
      <c r="L96" s="24">
        <f t="shared" si="0"/>
        <v>95</v>
      </c>
    </row>
    <row r="97" spans="1:12" x14ac:dyDescent="0.25">
      <c r="A97" s="19" t="s">
        <v>230</v>
      </c>
      <c r="B97" s="16" t="s">
        <v>9</v>
      </c>
      <c r="C97" s="16" t="s">
        <v>126</v>
      </c>
      <c r="D97" s="16"/>
      <c r="E97" s="24" t="s">
        <v>232</v>
      </c>
      <c r="F97" s="24"/>
      <c r="G97" s="24" t="s">
        <v>232</v>
      </c>
      <c r="H97" s="24" t="s">
        <v>232</v>
      </c>
      <c r="I97" s="24"/>
      <c r="J97" s="25" t="s">
        <v>65</v>
      </c>
      <c r="K97" s="23" t="s">
        <v>84</v>
      </c>
      <c r="L97" s="24">
        <f t="shared" si="0"/>
        <v>96</v>
      </c>
    </row>
    <row r="98" spans="1:12" x14ac:dyDescent="0.25">
      <c r="A98" s="19" t="s">
        <v>230</v>
      </c>
      <c r="B98" s="16" t="s">
        <v>283</v>
      </c>
      <c r="C98" s="16" t="s">
        <v>284</v>
      </c>
      <c r="D98" s="16"/>
      <c r="E98" s="24" t="s">
        <v>232</v>
      </c>
      <c r="F98" s="24"/>
      <c r="G98" s="24" t="s">
        <v>232</v>
      </c>
      <c r="H98" s="24" t="s">
        <v>232</v>
      </c>
      <c r="I98" s="24"/>
      <c r="J98" s="25" t="s">
        <v>67</v>
      </c>
      <c r="K98" s="23" t="s">
        <v>61</v>
      </c>
      <c r="L98" s="24">
        <f t="shared" si="0"/>
        <v>97</v>
      </c>
    </row>
    <row r="99" spans="1:12" x14ac:dyDescent="0.25">
      <c r="A99" s="19" t="s">
        <v>230</v>
      </c>
      <c r="B99" s="16" t="s">
        <v>283</v>
      </c>
      <c r="C99" s="16" t="s">
        <v>285</v>
      </c>
      <c r="D99" s="16"/>
      <c r="E99" s="24" t="s">
        <v>232</v>
      </c>
      <c r="F99" s="24"/>
      <c r="G99" s="24" t="s">
        <v>232</v>
      </c>
      <c r="H99" s="24" t="s">
        <v>232</v>
      </c>
      <c r="I99" s="24"/>
      <c r="J99" s="25" t="s">
        <v>67</v>
      </c>
      <c r="K99" s="23" t="s">
        <v>61</v>
      </c>
      <c r="L99" s="24">
        <f t="shared" si="0"/>
        <v>98</v>
      </c>
    </row>
    <row r="100" spans="1:12" x14ac:dyDescent="0.25">
      <c r="A100" s="19" t="s">
        <v>230</v>
      </c>
      <c r="B100" s="16" t="s">
        <v>10</v>
      </c>
      <c r="C100" s="16" t="s">
        <v>127</v>
      </c>
      <c r="D100" s="16"/>
      <c r="E100" s="24" t="s">
        <v>232</v>
      </c>
      <c r="F100" s="24"/>
      <c r="G100" s="24" t="s">
        <v>232</v>
      </c>
      <c r="H100" s="24" t="s">
        <v>233</v>
      </c>
      <c r="I100" s="24"/>
      <c r="J100" s="25" t="s">
        <v>67</v>
      </c>
      <c r="K100" s="23" t="s">
        <v>84</v>
      </c>
      <c r="L100" s="24">
        <f t="shared" si="0"/>
        <v>99</v>
      </c>
    </row>
    <row r="101" spans="1:12" x14ac:dyDescent="0.25">
      <c r="A101" s="19" t="s">
        <v>230</v>
      </c>
      <c r="B101" s="16" t="s">
        <v>10</v>
      </c>
      <c r="C101" s="16" t="s">
        <v>128</v>
      </c>
      <c r="D101" s="16"/>
      <c r="E101" s="24" t="s">
        <v>232</v>
      </c>
      <c r="F101" s="24"/>
      <c r="G101" s="24" t="s">
        <v>232</v>
      </c>
      <c r="H101" s="24" t="s">
        <v>233</v>
      </c>
      <c r="I101" s="24"/>
      <c r="J101" s="25" t="s">
        <v>67</v>
      </c>
      <c r="K101" s="23" t="s">
        <v>84</v>
      </c>
      <c r="L101" s="24">
        <f t="shared" si="0"/>
        <v>100</v>
      </c>
    </row>
    <row r="102" spans="1:12" x14ac:dyDescent="0.25">
      <c r="A102" s="19" t="s">
        <v>230</v>
      </c>
      <c r="B102" s="16" t="s">
        <v>11</v>
      </c>
      <c r="C102" s="16" t="s">
        <v>129</v>
      </c>
      <c r="D102" s="16"/>
      <c r="E102" s="24" t="s">
        <v>232</v>
      </c>
      <c r="F102" s="24"/>
      <c r="G102" s="24" t="s">
        <v>232</v>
      </c>
      <c r="H102" s="24"/>
      <c r="I102" s="24"/>
      <c r="J102" s="25" t="s">
        <v>67</v>
      </c>
      <c r="K102" s="23" t="s">
        <v>63</v>
      </c>
      <c r="L102" s="24">
        <f t="shared" si="0"/>
        <v>101</v>
      </c>
    </row>
    <row r="103" spans="1:12" x14ac:dyDescent="0.25">
      <c r="A103" s="19" t="s">
        <v>230</v>
      </c>
      <c r="B103" s="16" t="s">
        <v>11</v>
      </c>
      <c r="C103" s="16" t="s">
        <v>130</v>
      </c>
      <c r="D103" s="16"/>
      <c r="E103" s="24" t="s">
        <v>232</v>
      </c>
      <c r="F103" s="24"/>
      <c r="G103" s="24" t="s">
        <v>232</v>
      </c>
      <c r="H103" s="24"/>
      <c r="I103" s="24"/>
      <c r="J103" s="25" t="s">
        <v>67</v>
      </c>
      <c r="K103" s="23" t="s">
        <v>63</v>
      </c>
      <c r="L103" s="24">
        <f t="shared" si="0"/>
        <v>102</v>
      </c>
    </row>
    <row r="104" spans="1:12" x14ac:dyDescent="0.25">
      <c r="A104" s="19" t="s">
        <v>230</v>
      </c>
      <c r="B104" s="16" t="s">
        <v>246</v>
      </c>
      <c r="C104" s="16" t="s">
        <v>247</v>
      </c>
      <c r="D104" s="16"/>
      <c r="E104" s="24" t="s">
        <v>232</v>
      </c>
      <c r="F104" s="24"/>
      <c r="G104" s="24" t="s">
        <v>232</v>
      </c>
      <c r="H104" s="24"/>
      <c r="I104" s="24"/>
      <c r="J104" s="25" t="s">
        <v>67</v>
      </c>
      <c r="K104" s="23" t="s">
        <v>84</v>
      </c>
      <c r="L104" s="24">
        <f t="shared" si="0"/>
        <v>103</v>
      </c>
    </row>
    <row r="105" spans="1:12" x14ac:dyDescent="0.25">
      <c r="A105" s="19" t="s">
        <v>230</v>
      </c>
      <c r="B105" s="16" t="s">
        <v>246</v>
      </c>
      <c r="C105" s="16" t="s">
        <v>436</v>
      </c>
      <c r="D105" s="16"/>
      <c r="E105" s="24" t="s">
        <v>232</v>
      </c>
      <c r="F105" s="24"/>
      <c r="G105" s="24" t="s">
        <v>232</v>
      </c>
      <c r="H105" s="24"/>
      <c r="I105" s="24"/>
      <c r="J105" s="25" t="s">
        <v>385</v>
      </c>
      <c r="K105" s="23" t="s">
        <v>84</v>
      </c>
      <c r="L105" s="24">
        <f t="shared" si="0"/>
        <v>104</v>
      </c>
    </row>
    <row r="106" spans="1:12" x14ac:dyDescent="0.25">
      <c r="A106" s="19" t="s">
        <v>230</v>
      </c>
      <c r="B106" s="16" t="s">
        <v>318</v>
      </c>
      <c r="C106" s="16" t="s">
        <v>319</v>
      </c>
      <c r="D106" s="16"/>
      <c r="E106" s="24" t="s">
        <v>232</v>
      </c>
      <c r="F106" s="24"/>
      <c r="G106" s="24" t="s">
        <v>232</v>
      </c>
      <c r="H106" s="24" t="s">
        <v>232</v>
      </c>
      <c r="I106" s="24"/>
      <c r="J106" s="25" t="s">
        <v>65</v>
      </c>
      <c r="K106" s="23" t="s">
        <v>63</v>
      </c>
      <c r="L106" s="24">
        <f t="shared" si="0"/>
        <v>105</v>
      </c>
    </row>
    <row r="107" spans="1:12" x14ac:dyDescent="0.25">
      <c r="A107" s="19" t="s">
        <v>230</v>
      </c>
      <c r="B107" s="16" t="s">
        <v>318</v>
      </c>
      <c r="C107" s="16" t="s">
        <v>320</v>
      </c>
      <c r="D107" s="16"/>
      <c r="E107" s="24" t="s">
        <v>232</v>
      </c>
      <c r="F107" s="24"/>
      <c r="G107" s="24" t="s">
        <v>232</v>
      </c>
      <c r="H107" s="24" t="s">
        <v>232</v>
      </c>
      <c r="I107" s="24"/>
      <c r="J107" s="25" t="s">
        <v>65</v>
      </c>
      <c r="K107" s="23" t="s">
        <v>63</v>
      </c>
      <c r="L107" s="24">
        <f t="shared" si="0"/>
        <v>106</v>
      </c>
    </row>
    <row r="108" spans="1:12" x14ac:dyDescent="0.25">
      <c r="A108" s="19" t="s">
        <v>230</v>
      </c>
      <c r="B108" s="16" t="s">
        <v>12</v>
      </c>
      <c r="C108" s="16" t="s">
        <v>131</v>
      </c>
      <c r="D108" s="16"/>
      <c r="E108" s="24" t="s">
        <v>232</v>
      </c>
      <c r="F108" s="24"/>
      <c r="G108" s="24" t="s">
        <v>232</v>
      </c>
      <c r="H108" s="24" t="s">
        <v>232</v>
      </c>
      <c r="I108" s="24"/>
      <c r="J108" s="25" t="s">
        <v>65</v>
      </c>
      <c r="K108" s="23" t="s">
        <v>63</v>
      </c>
      <c r="L108" s="24">
        <f t="shared" si="0"/>
        <v>107</v>
      </c>
    </row>
    <row r="109" spans="1:12" x14ac:dyDescent="0.25">
      <c r="A109" s="19" t="s">
        <v>230</v>
      </c>
      <c r="B109" s="16" t="s">
        <v>12</v>
      </c>
      <c r="C109" s="16" t="s">
        <v>132</v>
      </c>
      <c r="D109" s="16"/>
      <c r="E109" s="24" t="s">
        <v>232</v>
      </c>
      <c r="F109" s="24"/>
      <c r="G109" s="24" t="s">
        <v>232</v>
      </c>
      <c r="H109" s="24" t="s">
        <v>232</v>
      </c>
      <c r="I109" s="24"/>
      <c r="J109" s="25" t="s">
        <v>65</v>
      </c>
      <c r="K109" s="23" t="s">
        <v>63</v>
      </c>
      <c r="L109" s="24">
        <f t="shared" si="0"/>
        <v>108</v>
      </c>
    </row>
    <row r="110" spans="1:12" x14ac:dyDescent="0.25">
      <c r="A110" s="19" t="s">
        <v>230</v>
      </c>
      <c r="B110" s="16" t="s">
        <v>81</v>
      </c>
      <c r="C110" s="16" t="s">
        <v>135</v>
      </c>
      <c r="D110" s="24"/>
      <c r="E110" s="24" t="s">
        <v>232</v>
      </c>
      <c r="F110" s="24"/>
      <c r="G110" s="24" t="s">
        <v>232</v>
      </c>
      <c r="H110" s="24" t="s">
        <v>232</v>
      </c>
      <c r="I110" s="24"/>
      <c r="J110" s="25" t="s">
        <v>66</v>
      </c>
      <c r="K110" s="23" t="s">
        <v>84</v>
      </c>
      <c r="L110" s="24">
        <f t="shared" si="0"/>
        <v>109</v>
      </c>
    </row>
    <row r="111" spans="1:12" x14ac:dyDescent="0.25">
      <c r="A111" s="19" t="s">
        <v>230</v>
      </c>
      <c r="B111" s="16" t="s">
        <v>81</v>
      </c>
      <c r="C111" s="16" t="s">
        <v>136</v>
      </c>
      <c r="D111" s="24"/>
      <c r="E111" s="24" t="s">
        <v>232</v>
      </c>
      <c r="F111" s="24"/>
      <c r="G111" s="24" t="s">
        <v>232</v>
      </c>
      <c r="H111" s="24" t="s">
        <v>232</v>
      </c>
      <c r="I111" s="24"/>
      <c r="J111" s="25" t="s">
        <v>66</v>
      </c>
      <c r="K111" s="23" t="s">
        <v>84</v>
      </c>
      <c r="L111" s="24">
        <f t="shared" si="0"/>
        <v>110</v>
      </c>
    </row>
    <row r="112" spans="1:12" x14ac:dyDescent="0.25">
      <c r="A112" s="19" t="s">
        <v>230</v>
      </c>
      <c r="B112" s="16" t="s">
        <v>414</v>
      </c>
      <c r="C112" s="16" t="s">
        <v>415</v>
      </c>
      <c r="D112" s="24"/>
      <c r="E112" s="24" t="s">
        <v>232</v>
      </c>
      <c r="F112" s="24"/>
      <c r="G112" s="24" t="s">
        <v>232</v>
      </c>
      <c r="H112" s="24" t="s">
        <v>232</v>
      </c>
      <c r="I112" s="24"/>
      <c r="J112" s="25" t="s">
        <v>420</v>
      </c>
      <c r="K112" s="23" t="s">
        <v>61</v>
      </c>
      <c r="L112" s="24">
        <f t="shared" si="0"/>
        <v>111</v>
      </c>
    </row>
    <row r="113" spans="1:12" x14ac:dyDescent="0.25">
      <c r="A113" s="19" t="s">
        <v>230</v>
      </c>
      <c r="B113" s="16" t="s">
        <v>414</v>
      </c>
      <c r="C113" s="16" t="s">
        <v>416</v>
      </c>
      <c r="D113" s="24"/>
      <c r="E113" s="24" t="s">
        <v>232</v>
      </c>
      <c r="F113" s="24"/>
      <c r="G113" s="24" t="s">
        <v>232</v>
      </c>
      <c r="H113" s="24" t="s">
        <v>232</v>
      </c>
      <c r="I113" s="24"/>
      <c r="J113" s="25" t="s">
        <v>420</v>
      </c>
      <c r="K113" s="23" t="s">
        <v>61</v>
      </c>
      <c r="L113" s="24">
        <f t="shared" si="0"/>
        <v>112</v>
      </c>
    </row>
    <row r="114" spans="1:12" x14ac:dyDescent="0.25">
      <c r="A114" s="19" t="s">
        <v>230</v>
      </c>
      <c r="B114" s="16" t="s">
        <v>417</v>
      </c>
      <c r="C114" s="16" t="s">
        <v>418</v>
      </c>
      <c r="D114" s="24"/>
      <c r="E114" s="24" t="s">
        <v>232</v>
      </c>
      <c r="F114" s="24"/>
      <c r="G114" s="24" t="s">
        <v>232</v>
      </c>
      <c r="H114" s="24" t="s">
        <v>232</v>
      </c>
      <c r="I114" s="24"/>
      <c r="J114" s="25" t="s">
        <v>420</v>
      </c>
      <c r="K114" s="23" t="s">
        <v>63</v>
      </c>
      <c r="L114" s="24">
        <f t="shared" si="0"/>
        <v>113</v>
      </c>
    </row>
    <row r="115" spans="1:12" x14ac:dyDescent="0.25">
      <c r="A115" s="19" t="s">
        <v>230</v>
      </c>
      <c r="B115" s="16" t="s">
        <v>417</v>
      </c>
      <c r="C115" s="16" t="s">
        <v>419</v>
      </c>
      <c r="D115" s="24"/>
      <c r="E115" s="24" t="s">
        <v>232</v>
      </c>
      <c r="F115" s="24"/>
      <c r="G115" s="24" t="s">
        <v>232</v>
      </c>
      <c r="H115" s="24" t="s">
        <v>232</v>
      </c>
      <c r="I115" s="24"/>
      <c r="J115" s="25" t="s">
        <v>420</v>
      </c>
      <c r="K115" s="23" t="s">
        <v>63</v>
      </c>
      <c r="L115" s="24">
        <f t="shared" si="0"/>
        <v>114</v>
      </c>
    </row>
    <row r="116" spans="1:12" x14ac:dyDescent="0.25">
      <c r="A116" s="19" t="s">
        <v>230</v>
      </c>
      <c r="B116" s="16" t="s">
        <v>13</v>
      </c>
      <c r="C116" s="16" t="s">
        <v>141</v>
      </c>
      <c r="D116" s="24"/>
      <c r="E116" s="24" t="s">
        <v>232</v>
      </c>
      <c r="F116" s="24"/>
      <c r="G116" s="24" t="s">
        <v>232</v>
      </c>
      <c r="H116" s="24" t="s">
        <v>233</v>
      </c>
      <c r="I116" s="24"/>
      <c r="J116" s="25" t="s">
        <v>67</v>
      </c>
      <c r="K116" s="23" t="s">
        <v>61</v>
      </c>
      <c r="L116" s="24">
        <f t="shared" si="0"/>
        <v>115</v>
      </c>
    </row>
    <row r="117" spans="1:12" x14ac:dyDescent="0.25">
      <c r="A117" s="19" t="s">
        <v>230</v>
      </c>
      <c r="B117" s="16" t="s">
        <v>13</v>
      </c>
      <c r="C117" s="16" t="s">
        <v>142</v>
      </c>
      <c r="D117" s="24"/>
      <c r="E117" s="24" t="s">
        <v>232</v>
      </c>
      <c r="F117" s="24"/>
      <c r="G117" s="24" t="s">
        <v>232</v>
      </c>
      <c r="H117" s="24" t="s">
        <v>233</v>
      </c>
      <c r="I117" s="24"/>
      <c r="J117" s="25" t="s">
        <v>67</v>
      </c>
      <c r="K117" s="23" t="s">
        <v>61</v>
      </c>
      <c r="L117" s="24">
        <f t="shared" si="0"/>
        <v>116</v>
      </c>
    </row>
    <row r="118" spans="1:12" x14ac:dyDescent="0.25">
      <c r="A118" s="19" t="s">
        <v>230</v>
      </c>
      <c r="B118" s="16" t="s">
        <v>14</v>
      </c>
      <c r="C118" s="16" t="s">
        <v>137</v>
      </c>
      <c r="D118" s="24"/>
      <c r="E118" s="24" t="s">
        <v>232</v>
      </c>
      <c r="F118" s="24"/>
      <c r="G118" s="24" t="s">
        <v>232</v>
      </c>
      <c r="H118" s="24" t="s">
        <v>233</v>
      </c>
      <c r="I118" s="24"/>
      <c r="J118" s="25" t="s">
        <v>67</v>
      </c>
      <c r="K118" s="23" t="s">
        <v>63</v>
      </c>
      <c r="L118" s="24">
        <f t="shared" si="0"/>
        <v>117</v>
      </c>
    </row>
    <row r="119" spans="1:12" x14ac:dyDescent="0.25">
      <c r="A119" s="19" t="s">
        <v>230</v>
      </c>
      <c r="B119" s="16" t="s">
        <v>14</v>
      </c>
      <c r="C119" s="16" t="s">
        <v>138</v>
      </c>
      <c r="D119" s="24"/>
      <c r="E119" s="24" t="s">
        <v>232</v>
      </c>
      <c r="F119" s="24"/>
      <c r="G119" s="24" t="s">
        <v>232</v>
      </c>
      <c r="H119" s="24" t="s">
        <v>233</v>
      </c>
      <c r="I119" s="24"/>
      <c r="J119" s="25" t="s">
        <v>67</v>
      </c>
      <c r="K119" s="23" t="s">
        <v>63</v>
      </c>
      <c r="L119" s="24">
        <f t="shared" si="0"/>
        <v>118</v>
      </c>
    </row>
    <row r="120" spans="1:12" x14ac:dyDescent="0.25">
      <c r="A120" s="19" t="s">
        <v>230</v>
      </c>
      <c r="B120" s="16" t="s">
        <v>15</v>
      </c>
      <c r="C120" s="16" t="s">
        <v>143</v>
      </c>
      <c r="D120" s="24"/>
      <c r="E120" s="24" t="s">
        <v>232</v>
      </c>
      <c r="F120" s="24"/>
      <c r="G120" s="24" t="s">
        <v>232</v>
      </c>
      <c r="H120" s="24" t="s">
        <v>233</v>
      </c>
      <c r="I120" s="24"/>
      <c r="J120" s="25" t="s">
        <v>67</v>
      </c>
      <c r="K120" s="23" t="s">
        <v>84</v>
      </c>
      <c r="L120" s="24">
        <f t="shared" si="0"/>
        <v>119</v>
      </c>
    </row>
    <row r="121" spans="1:12" x14ac:dyDescent="0.25">
      <c r="A121" s="19" t="s">
        <v>230</v>
      </c>
      <c r="B121" s="16" t="s">
        <v>15</v>
      </c>
      <c r="C121" s="16" t="s">
        <v>144</v>
      </c>
      <c r="D121" s="24"/>
      <c r="E121" s="24" t="s">
        <v>232</v>
      </c>
      <c r="F121" s="24"/>
      <c r="G121" s="24" t="s">
        <v>232</v>
      </c>
      <c r="H121" s="24" t="s">
        <v>233</v>
      </c>
      <c r="I121" s="24"/>
      <c r="J121" s="25" t="s">
        <v>67</v>
      </c>
      <c r="K121" s="23" t="s">
        <v>84</v>
      </c>
      <c r="L121" s="24">
        <f t="shared" si="0"/>
        <v>120</v>
      </c>
    </row>
    <row r="122" spans="1:12" x14ac:dyDescent="0.25">
      <c r="A122" s="19" t="s">
        <v>230</v>
      </c>
      <c r="B122" s="16" t="s">
        <v>16</v>
      </c>
      <c r="C122" s="16" t="s">
        <v>145</v>
      </c>
      <c r="D122" s="24"/>
      <c r="E122" s="24" t="s">
        <v>232</v>
      </c>
      <c r="F122" s="24"/>
      <c r="G122" s="24" t="s">
        <v>232</v>
      </c>
      <c r="H122" s="24" t="s">
        <v>233</v>
      </c>
      <c r="I122" s="24"/>
      <c r="J122" s="25" t="s">
        <v>67</v>
      </c>
      <c r="K122" s="23" t="s">
        <v>61</v>
      </c>
      <c r="L122" s="24">
        <f t="shared" si="0"/>
        <v>121</v>
      </c>
    </row>
    <row r="123" spans="1:12" x14ac:dyDescent="0.25">
      <c r="A123" s="19" t="s">
        <v>230</v>
      </c>
      <c r="B123" s="16" t="s">
        <v>16</v>
      </c>
      <c r="C123" s="16" t="s">
        <v>146</v>
      </c>
      <c r="D123" s="24"/>
      <c r="E123" s="24" t="s">
        <v>232</v>
      </c>
      <c r="F123" s="24"/>
      <c r="G123" s="24" t="s">
        <v>232</v>
      </c>
      <c r="H123" s="24" t="s">
        <v>233</v>
      </c>
      <c r="I123" s="24"/>
      <c r="J123" s="25" t="s">
        <v>67</v>
      </c>
      <c r="K123" s="23" t="s">
        <v>61</v>
      </c>
      <c r="L123" s="24">
        <f t="shared" si="0"/>
        <v>122</v>
      </c>
    </row>
    <row r="124" spans="1:12" x14ac:dyDescent="0.25">
      <c r="A124" s="19" t="s">
        <v>230</v>
      </c>
      <c r="B124" s="16" t="s">
        <v>17</v>
      </c>
      <c r="C124" s="16" t="s">
        <v>147</v>
      </c>
      <c r="D124" s="24"/>
      <c r="E124" s="24" t="s">
        <v>232</v>
      </c>
      <c r="F124" s="24"/>
      <c r="G124" s="24" t="s">
        <v>232</v>
      </c>
      <c r="H124" s="24" t="s">
        <v>233</v>
      </c>
      <c r="I124" s="24"/>
      <c r="J124" s="25" t="s">
        <v>67</v>
      </c>
      <c r="K124" s="23" t="s">
        <v>63</v>
      </c>
      <c r="L124" s="24">
        <f t="shared" ref="L124:L207" si="1">ROW()-1</f>
        <v>123</v>
      </c>
    </row>
    <row r="125" spans="1:12" x14ac:dyDescent="0.25">
      <c r="A125" s="19" t="s">
        <v>230</v>
      </c>
      <c r="B125" s="16" t="s">
        <v>17</v>
      </c>
      <c r="C125" s="16" t="s">
        <v>148</v>
      </c>
      <c r="D125" s="24"/>
      <c r="E125" s="24" t="s">
        <v>232</v>
      </c>
      <c r="F125" s="24"/>
      <c r="G125" s="24" t="s">
        <v>232</v>
      </c>
      <c r="H125" s="24" t="s">
        <v>233</v>
      </c>
      <c r="I125" s="24"/>
      <c r="J125" s="25" t="s">
        <v>67</v>
      </c>
      <c r="K125" s="23" t="s">
        <v>63</v>
      </c>
      <c r="L125" s="24">
        <f t="shared" si="1"/>
        <v>124</v>
      </c>
    </row>
    <row r="126" spans="1:12" x14ac:dyDescent="0.25">
      <c r="A126" s="19" t="s">
        <v>230</v>
      </c>
      <c r="B126" s="16" t="s">
        <v>18</v>
      </c>
      <c r="C126" s="16" t="s">
        <v>139</v>
      </c>
      <c r="D126" s="24"/>
      <c r="E126" s="24" t="s">
        <v>232</v>
      </c>
      <c r="F126" s="24"/>
      <c r="G126" s="24" t="s">
        <v>232</v>
      </c>
      <c r="H126" s="24" t="s">
        <v>233</v>
      </c>
      <c r="I126" s="24"/>
      <c r="J126" s="25" t="s">
        <v>67</v>
      </c>
      <c r="K126" s="23" t="s">
        <v>84</v>
      </c>
      <c r="L126" s="24">
        <f t="shared" si="0"/>
        <v>125</v>
      </c>
    </row>
    <row r="127" spans="1:12" x14ac:dyDescent="0.25">
      <c r="A127" s="19" t="s">
        <v>230</v>
      </c>
      <c r="B127" s="16" t="s">
        <v>18</v>
      </c>
      <c r="C127" s="16" t="s">
        <v>140</v>
      </c>
      <c r="D127" s="24"/>
      <c r="E127" s="24" t="s">
        <v>232</v>
      </c>
      <c r="F127" s="24"/>
      <c r="G127" s="24" t="s">
        <v>232</v>
      </c>
      <c r="H127" s="24" t="s">
        <v>233</v>
      </c>
      <c r="I127" s="24"/>
      <c r="J127" s="25" t="s">
        <v>67</v>
      </c>
      <c r="K127" s="23" t="s">
        <v>84</v>
      </c>
      <c r="L127" s="24">
        <f t="shared" si="0"/>
        <v>126</v>
      </c>
    </row>
    <row r="128" spans="1:12" x14ac:dyDescent="0.25">
      <c r="A128" s="19" t="s">
        <v>230</v>
      </c>
      <c r="B128" s="16" t="s">
        <v>19</v>
      </c>
      <c r="C128" s="16" t="s">
        <v>149</v>
      </c>
      <c r="D128" s="24"/>
      <c r="E128" s="24" t="s">
        <v>232</v>
      </c>
      <c r="F128" s="24"/>
      <c r="G128" s="24" t="s">
        <v>232</v>
      </c>
      <c r="H128" s="24" t="s">
        <v>233</v>
      </c>
      <c r="I128" s="24"/>
      <c r="J128" s="25" t="s">
        <v>67</v>
      </c>
      <c r="K128" s="23" t="s">
        <v>61</v>
      </c>
      <c r="L128" s="24">
        <f t="shared" si="1"/>
        <v>127</v>
      </c>
    </row>
    <row r="129" spans="1:12" x14ac:dyDescent="0.25">
      <c r="A129" s="19" t="s">
        <v>230</v>
      </c>
      <c r="B129" s="16" t="s">
        <v>19</v>
      </c>
      <c r="C129" s="16" t="s">
        <v>150</v>
      </c>
      <c r="D129" s="24"/>
      <c r="E129" s="24" t="s">
        <v>232</v>
      </c>
      <c r="F129" s="24"/>
      <c r="G129" s="24" t="s">
        <v>232</v>
      </c>
      <c r="H129" s="24" t="s">
        <v>233</v>
      </c>
      <c r="I129" s="24"/>
      <c r="J129" s="25" t="s">
        <v>67</v>
      </c>
      <c r="K129" s="23" t="s">
        <v>61</v>
      </c>
      <c r="L129" s="24">
        <f t="shared" si="1"/>
        <v>128</v>
      </c>
    </row>
    <row r="130" spans="1:12" x14ac:dyDescent="0.25">
      <c r="A130" s="19" t="s">
        <v>230</v>
      </c>
      <c r="B130" s="16" t="s">
        <v>50</v>
      </c>
      <c r="C130" s="16" t="s">
        <v>151</v>
      </c>
      <c r="D130" s="24"/>
      <c r="E130" s="24" t="s">
        <v>232</v>
      </c>
      <c r="F130" s="24"/>
      <c r="G130" s="24" t="s">
        <v>232</v>
      </c>
      <c r="H130" s="24" t="s">
        <v>233</v>
      </c>
      <c r="I130" s="24"/>
      <c r="J130" s="25" t="s">
        <v>67</v>
      </c>
      <c r="K130" s="23" t="s">
        <v>63</v>
      </c>
      <c r="L130" s="24">
        <f t="shared" si="1"/>
        <v>129</v>
      </c>
    </row>
    <row r="131" spans="1:12" x14ac:dyDescent="0.25">
      <c r="A131" s="19" t="s">
        <v>230</v>
      </c>
      <c r="B131" s="16" t="s">
        <v>50</v>
      </c>
      <c r="C131" s="16" t="s">
        <v>152</v>
      </c>
      <c r="D131" s="24"/>
      <c r="E131" s="24" t="s">
        <v>232</v>
      </c>
      <c r="F131" s="24"/>
      <c r="G131" s="24" t="s">
        <v>232</v>
      </c>
      <c r="H131" s="24" t="s">
        <v>233</v>
      </c>
      <c r="I131" s="24"/>
      <c r="J131" s="25" t="s">
        <v>67</v>
      </c>
      <c r="K131" s="23" t="s">
        <v>63</v>
      </c>
      <c r="L131" s="24">
        <f t="shared" si="1"/>
        <v>130</v>
      </c>
    </row>
    <row r="132" spans="1:12" x14ac:dyDescent="0.25">
      <c r="A132" s="19" t="s">
        <v>230</v>
      </c>
      <c r="B132" s="16" t="s">
        <v>59</v>
      </c>
      <c r="C132" s="16" t="s">
        <v>153</v>
      </c>
      <c r="D132" s="24"/>
      <c r="E132" s="24" t="s">
        <v>232</v>
      </c>
      <c r="F132" s="24"/>
      <c r="G132" s="24" t="s">
        <v>232</v>
      </c>
      <c r="H132" s="24" t="s">
        <v>233</v>
      </c>
      <c r="I132" s="24"/>
      <c r="J132" s="25" t="s">
        <v>67</v>
      </c>
      <c r="K132" s="23" t="s">
        <v>84</v>
      </c>
      <c r="L132" s="24">
        <f t="shared" si="1"/>
        <v>131</v>
      </c>
    </row>
    <row r="133" spans="1:12" x14ac:dyDescent="0.25">
      <c r="A133" s="19" t="s">
        <v>230</v>
      </c>
      <c r="B133" s="16" t="s">
        <v>59</v>
      </c>
      <c r="C133" s="16" t="s">
        <v>154</v>
      </c>
      <c r="D133" s="24"/>
      <c r="E133" s="24" t="s">
        <v>232</v>
      </c>
      <c r="F133" s="24"/>
      <c r="G133" s="24" t="s">
        <v>232</v>
      </c>
      <c r="H133" s="24" t="s">
        <v>233</v>
      </c>
      <c r="I133" s="24"/>
      <c r="J133" s="25" t="s">
        <v>67</v>
      </c>
      <c r="K133" s="23" t="s">
        <v>84</v>
      </c>
      <c r="L133" s="24">
        <f t="shared" si="1"/>
        <v>132</v>
      </c>
    </row>
    <row r="134" spans="1:12" x14ac:dyDescent="0.25">
      <c r="A134" s="19" t="s">
        <v>230</v>
      </c>
      <c r="B134" s="16" t="s">
        <v>60</v>
      </c>
      <c r="C134" s="16" t="s">
        <v>155</v>
      </c>
      <c r="D134" s="24"/>
      <c r="E134" s="24" t="s">
        <v>232</v>
      </c>
      <c r="F134" s="24"/>
      <c r="G134" s="24" t="s">
        <v>232</v>
      </c>
      <c r="H134" s="24" t="s">
        <v>233</v>
      </c>
      <c r="I134" s="24"/>
      <c r="J134" s="25" t="s">
        <v>67</v>
      </c>
      <c r="K134" s="23" t="s">
        <v>61</v>
      </c>
      <c r="L134" s="24">
        <f t="shared" si="1"/>
        <v>133</v>
      </c>
    </row>
    <row r="135" spans="1:12" x14ac:dyDescent="0.25">
      <c r="A135" s="19" t="s">
        <v>230</v>
      </c>
      <c r="B135" s="16" t="s">
        <v>60</v>
      </c>
      <c r="C135" s="16" t="s">
        <v>156</v>
      </c>
      <c r="D135" s="24"/>
      <c r="E135" s="24" t="s">
        <v>232</v>
      </c>
      <c r="F135" s="24"/>
      <c r="G135" s="24" t="s">
        <v>232</v>
      </c>
      <c r="H135" s="24" t="s">
        <v>233</v>
      </c>
      <c r="I135" s="24"/>
      <c r="J135" s="25" t="s">
        <v>67</v>
      </c>
      <c r="K135" s="23" t="s">
        <v>61</v>
      </c>
      <c r="L135" s="24">
        <f t="shared" si="1"/>
        <v>134</v>
      </c>
    </row>
    <row r="136" spans="1:12" x14ac:dyDescent="0.25">
      <c r="A136" s="19" t="s">
        <v>230</v>
      </c>
      <c r="B136" s="16" t="s">
        <v>58</v>
      </c>
      <c r="C136" s="16" t="s">
        <v>133</v>
      </c>
      <c r="D136" s="24"/>
      <c r="E136" s="24" t="s">
        <v>232</v>
      </c>
      <c r="F136" s="24"/>
      <c r="G136" s="24" t="s">
        <v>232</v>
      </c>
      <c r="H136" s="24"/>
      <c r="I136" s="24"/>
      <c r="J136" s="25" t="s">
        <v>67</v>
      </c>
      <c r="K136" s="23" t="s">
        <v>63</v>
      </c>
      <c r="L136" s="24">
        <f t="shared" si="0"/>
        <v>135</v>
      </c>
    </row>
    <row r="137" spans="1:12" x14ac:dyDescent="0.25">
      <c r="A137" s="19" t="s">
        <v>230</v>
      </c>
      <c r="B137" s="16" t="s">
        <v>58</v>
      </c>
      <c r="C137" s="16" t="s">
        <v>134</v>
      </c>
      <c r="D137" s="24"/>
      <c r="E137" s="24" t="s">
        <v>232</v>
      </c>
      <c r="F137" s="24"/>
      <c r="G137" s="24" t="s">
        <v>232</v>
      </c>
      <c r="H137" s="24"/>
      <c r="I137" s="24"/>
      <c r="J137" s="25" t="s">
        <v>67</v>
      </c>
      <c r="K137" s="23" t="s">
        <v>63</v>
      </c>
      <c r="L137" s="24">
        <f t="shared" si="0"/>
        <v>136</v>
      </c>
    </row>
    <row r="138" spans="1:12" x14ac:dyDescent="0.25">
      <c r="A138" s="19" t="s">
        <v>230</v>
      </c>
      <c r="B138" s="16" t="s">
        <v>20</v>
      </c>
      <c r="C138" s="16" t="s">
        <v>157</v>
      </c>
      <c r="D138" s="16"/>
      <c r="E138" s="24" t="s">
        <v>232</v>
      </c>
      <c r="F138" s="24"/>
      <c r="G138" s="24" t="s">
        <v>232</v>
      </c>
      <c r="H138" s="24" t="s">
        <v>232</v>
      </c>
      <c r="I138" s="24"/>
      <c r="J138" s="25" t="s">
        <v>65</v>
      </c>
      <c r="K138" s="23" t="s">
        <v>84</v>
      </c>
      <c r="L138" s="24">
        <f t="shared" si="1"/>
        <v>137</v>
      </c>
    </row>
    <row r="139" spans="1:12" x14ac:dyDescent="0.25">
      <c r="A139" s="19" t="s">
        <v>230</v>
      </c>
      <c r="B139" s="16" t="s">
        <v>158</v>
      </c>
      <c r="C139" s="16" t="s">
        <v>159</v>
      </c>
      <c r="D139" s="16"/>
      <c r="E139" s="24" t="s">
        <v>232</v>
      </c>
      <c r="F139" s="24"/>
      <c r="G139" s="24" t="s">
        <v>232</v>
      </c>
      <c r="H139" s="24" t="s">
        <v>232</v>
      </c>
      <c r="I139" s="24"/>
      <c r="J139" s="25" t="s">
        <v>68</v>
      </c>
      <c r="K139" s="23" t="s">
        <v>84</v>
      </c>
      <c r="L139" s="24">
        <f t="shared" si="1"/>
        <v>138</v>
      </c>
    </row>
    <row r="140" spans="1:12" x14ac:dyDescent="0.25">
      <c r="A140" s="19" t="s">
        <v>230</v>
      </c>
      <c r="B140" s="16" t="s">
        <v>44</v>
      </c>
      <c r="C140" s="16" t="s">
        <v>287</v>
      </c>
      <c r="D140" s="16"/>
      <c r="E140" s="24" t="s">
        <v>232</v>
      </c>
      <c r="F140" s="24"/>
      <c r="G140" s="24" t="s">
        <v>232</v>
      </c>
      <c r="H140" s="24" t="s">
        <v>232</v>
      </c>
      <c r="I140" s="24"/>
      <c r="J140" s="25" t="s">
        <v>66</v>
      </c>
      <c r="K140" s="23" t="s">
        <v>63</v>
      </c>
      <c r="L140" s="24">
        <f t="shared" si="1"/>
        <v>139</v>
      </c>
    </row>
    <row r="141" spans="1:12" x14ac:dyDescent="0.25">
      <c r="A141" s="19" t="s">
        <v>230</v>
      </c>
      <c r="B141" s="16" t="s">
        <v>44</v>
      </c>
      <c r="C141" s="16" t="s">
        <v>160</v>
      </c>
      <c r="D141" s="16"/>
      <c r="E141" s="24" t="s">
        <v>232</v>
      </c>
      <c r="F141" s="24"/>
      <c r="G141" s="24" t="s">
        <v>232</v>
      </c>
      <c r="H141" s="24" t="s">
        <v>232</v>
      </c>
      <c r="I141" s="24"/>
      <c r="J141" s="25" t="s">
        <v>286</v>
      </c>
      <c r="K141" s="23" t="s">
        <v>63</v>
      </c>
      <c r="L141" s="24">
        <f t="shared" si="1"/>
        <v>140</v>
      </c>
    </row>
    <row r="142" spans="1:12" x14ac:dyDescent="0.25">
      <c r="A142" s="19" t="s">
        <v>230</v>
      </c>
      <c r="B142" s="16" t="s">
        <v>21</v>
      </c>
      <c r="C142" s="16" t="s">
        <v>165</v>
      </c>
      <c r="D142" s="16"/>
      <c r="E142" s="24" t="s">
        <v>232</v>
      </c>
      <c r="F142" s="24"/>
      <c r="G142" s="24" t="s">
        <v>232</v>
      </c>
      <c r="H142" s="24" t="s">
        <v>233</v>
      </c>
      <c r="I142" s="24"/>
      <c r="J142" s="25" t="s">
        <v>67</v>
      </c>
      <c r="K142" s="23" t="s">
        <v>61</v>
      </c>
      <c r="L142" s="24">
        <f t="shared" si="1"/>
        <v>141</v>
      </c>
    </row>
    <row r="143" spans="1:12" x14ac:dyDescent="0.25">
      <c r="A143" s="19" t="s">
        <v>230</v>
      </c>
      <c r="B143" s="16" t="s">
        <v>21</v>
      </c>
      <c r="C143" s="16" t="s">
        <v>166</v>
      </c>
      <c r="D143" s="16"/>
      <c r="E143" s="24" t="s">
        <v>232</v>
      </c>
      <c r="F143" s="24"/>
      <c r="G143" s="24" t="s">
        <v>232</v>
      </c>
      <c r="H143" s="24" t="s">
        <v>233</v>
      </c>
      <c r="I143" s="24"/>
      <c r="J143" s="25" t="s">
        <v>70</v>
      </c>
      <c r="K143" s="23" t="s">
        <v>61</v>
      </c>
      <c r="L143" s="24">
        <f t="shared" si="1"/>
        <v>142</v>
      </c>
    </row>
    <row r="144" spans="1:12" x14ac:dyDescent="0.25">
      <c r="A144" s="19" t="s">
        <v>230</v>
      </c>
      <c r="B144" s="16" t="s">
        <v>22</v>
      </c>
      <c r="C144" s="16" t="s">
        <v>161</v>
      </c>
      <c r="D144" s="16"/>
      <c r="E144" s="24" t="s">
        <v>232</v>
      </c>
      <c r="F144" s="24"/>
      <c r="G144" s="24" t="s">
        <v>232</v>
      </c>
      <c r="H144" s="24" t="s">
        <v>233</v>
      </c>
      <c r="I144" s="24"/>
      <c r="J144" s="25" t="s">
        <v>67</v>
      </c>
      <c r="K144" s="23" t="s">
        <v>63</v>
      </c>
      <c r="L144" s="24">
        <f t="shared" si="1"/>
        <v>143</v>
      </c>
    </row>
    <row r="145" spans="1:12" x14ac:dyDescent="0.25">
      <c r="A145" s="19" t="s">
        <v>230</v>
      </c>
      <c r="B145" s="16" t="s">
        <v>22</v>
      </c>
      <c r="C145" s="16" t="s">
        <v>162</v>
      </c>
      <c r="D145" s="16"/>
      <c r="E145" s="24" t="s">
        <v>232</v>
      </c>
      <c r="F145" s="24"/>
      <c r="G145" s="24" t="s">
        <v>232</v>
      </c>
      <c r="H145" s="24" t="s">
        <v>233</v>
      </c>
      <c r="I145" s="24"/>
      <c r="J145" s="25" t="s">
        <v>70</v>
      </c>
      <c r="K145" s="23" t="s">
        <v>63</v>
      </c>
      <c r="L145" s="24">
        <f t="shared" si="1"/>
        <v>144</v>
      </c>
    </row>
    <row r="146" spans="1:12" x14ac:dyDescent="0.25">
      <c r="A146" s="19" t="s">
        <v>230</v>
      </c>
      <c r="B146" s="16" t="s">
        <v>23</v>
      </c>
      <c r="C146" s="16" t="s">
        <v>167</v>
      </c>
      <c r="D146" s="16"/>
      <c r="E146" s="24" t="s">
        <v>232</v>
      </c>
      <c r="F146" s="24"/>
      <c r="G146" s="24" t="s">
        <v>232</v>
      </c>
      <c r="H146" s="24" t="s">
        <v>233</v>
      </c>
      <c r="I146" s="24"/>
      <c r="J146" s="25" t="s">
        <v>67</v>
      </c>
      <c r="K146" s="23" t="s">
        <v>84</v>
      </c>
      <c r="L146" s="24">
        <f t="shared" si="1"/>
        <v>145</v>
      </c>
    </row>
    <row r="147" spans="1:12" x14ac:dyDescent="0.25">
      <c r="A147" s="19" t="s">
        <v>230</v>
      </c>
      <c r="B147" s="16" t="s">
        <v>23</v>
      </c>
      <c r="C147" s="16" t="s">
        <v>168</v>
      </c>
      <c r="D147" s="16"/>
      <c r="E147" s="24" t="s">
        <v>232</v>
      </c>
      <c r="F147" s="24"/>
      <c r="G147" s="24" t="s">
        <v>232</v>
      </c>
      <c r="H147" s="24" t="s">
        <v>233</v>
      </c>
      <c r="I147" s="24"/>
      <c r="J147" s="25" t="s">
        <v>70</v>
      </c>
      <c r="K147" s="23" t="s">
        <v>84</v>
      </c>
      <c r="L147" s="24">
        <f t="shared" si="1"/>
        <v>146</v>
      </c>
    </row>
    <row r="148" spans="1:12" x14ac:dyDescent="0.25">
      <c r="A148" s="19" t="s">
        <v>230</v>
      </c>
      <c r="B148" s="16" t="s">
        <v>24</v>
      </c>
      <c r="C148" s="16" t="s">
        <v>169</v>
      </c>
      <c r="D148" s="16"/>
      <c r="E148" s="24" t="s">
        <v>232</v>
      </c>
      <c r="F148" s="24"/>
      <c r="G148" s="24" t="s">
        <v>232</v>
      </c>
      <c r="H148" s="24" t="s">
        <v>233</v>
      </c>
      <c r="I148" s="24"/>
      <c r="J148" s="25" t="s">
        <v>67</v>
      </c>
      <c r="K148" s="23" t="s">
        <v>61</v>
      </c>
      <c r="L148" s="24">
        <f t="shared" si="1"/>
        <v>147</v>
      </c>
    </row>
    <row r="149" spans="1:12" x14ac:dyDescent="0.25">
      <c r="A149" s="19" t="s">
        <v>230</v>
      </c>
      <c r="B149" s="16" t="s">
        <v>24</v>
      </c>
      <c r="C149" s="16" t="s">
        <v>170</v>
      </c>
      <c r="D149" s="16"/>
      <c r="E149" s="24" t="s">
        <v>232</v>
      </c>
      <c r="F149" s="24"/>
      <c r="G149" s="24" t="s">
        <v>232</v>
      </c>
      <c r="H149" s="24" t="s">
        <v>233</v>
      </c>
      <c r="I149" s="24"/>
      <c r="J149" s="25" t="s">
        <v>70</v>
      </c>
      <c r="K149" s="23" t="s">
        <v>61</v>
      </c>
      <c r="L149" s="24">
        <f t="shared" si="1"/>
        <v>148</v>
      </c>
    </row>
    <row r="150" spans="1:12" x14ac:dyDescent="0.25">
      <c r="A150" s="19" t="s">
        <v>230</v>
      </c>
      <c r="B150" s="16" t="s">
        <v>43</v>
      </c>
      <c r="C150" s="16" t="s">
        <v>163</v>
      </c>
      <c r="D150" s="16"/>
      <c r="E150" s="24" t="s">
        <v>232</v>
      </c>
      <c r="F150" s="24"/>
      <c r="G150" s="24" t="s">
        <v>232</v>
      </c>
      <c r="H150" s="24" t="s">
        <v>233</v>
      </c>
      <c r="I150" s="24"/>
      <c r="J150" s="25" t="s">
        <v>67</v>
      </c>
      <c r="K150" s="23" t="s">
        <v>63</v>
      </c>
      <c r="L150" s="24">
        <f t="shared" si="1"/>
        <v>149</v>
      </c>
    </row>
    <row r="151" spans="1:12" x14ac:dyDescent="0.25">
      <c r="A151" s="19" t="s">
        <v>230</v>
      </c>
      <c r="B151" s="16" t="s">
        <v>43</v>
      </c>
      <c r="C151" s="16" t="s">
        <v>164</v>
      </c>
      <c r="D151" s="16"/>
      <c r="E151" s="24" t="s">
        <v>232</v>
      </c>
      <c r="F151" s="24"/>
      <c r="G151" s="24" t="s">
        <v>232</v>
      </c>
      <c r="H151" s="24" t="s">
        <v>233</v>
      </c>
      <c r="I151" s="24"/>
      <c r="J151" s="25" t="s">
        <v>70</v>
      </c>
      <c r="K151" s="23" t="s">
        <v>63</v>
      </c>
      <c r="L151" s="24">
        <f t="shared" si="1"/>
        <v>150</v>
      </c>
    </row>
    <row r="152" spans="1:12" x14ac:dyDescent="0.25">
      <c r="A152" s="19" t="s">
        <v>230</v>
      </c>
      <c r="B152" s="16" t="s">
        <v>25</v>
      </c>
      <c r="C152" s="16" t="s">
        <v>171</v>
      </c>
      <c r="D152" s="16"/>
      <c r="E152" s="24" t="s">
        <v>232</v>
      </c>
      <c r="F152" s="24"/>
      <c r="G152" s="24" t="s">
        <v>232</v>
      </c>
      <c r="H152" s="24" t="s">
        <v>232</v>
      </c>
      <c r="I152" s="24"/>
      <c r="J152" s="25" t="s">
        <v>65</v>
      </c>
      <c r="K152" s="23" t="s">
        <v>84</v>
      </c>
      <c r="L152" s="24">
        <f t="shared" si="1"/>
        <v>151</v>
      </c>
    </row>
    <row r="153" spans="1:12" x14ac:dyDescent="0.25">
      <c r="A153" s="19" t="s">
        <v>230</v>
      </c>
      <c r="B153" s="16" t="s">
        <v>25</v>
      </c>
      <c r="C153" s="16" t="s">
        <v>172</v>
      </c>
      <c r="D153" s="16"/>
      <c r="E153" s="24" t="s">
        <v>232</v>
      </c>
      <c r="F153" s="24"/>
      <c r="G153" s="24" t="s">
        <v>232</v>
      </c>
      <c r="H153" s="24" t="s">
        <v>232</v>
      </c>
      <c r="I153" s="24"/>
      <c r="J153" s="25" t="s">
        <v>65</v>
      </c>
      <c r="K153" s="23" t="s">
        <v>84</v>
      </c>
      <c r="L153" s="24">
        <f t="shared" si="1"/>
        <v>152</v>
      </c>
    </row>
    <row r="154" spans="1:12" x14ac:dyDescent="0.25">
      <c r="A154" s="19" t="s">
        <v>230</v>
      </c>
      <c r="B154" s="16" t="s">
        <v>173</v>
      </c>
      <c r="C154" s="16" t="s">
        <v>174</v>
      </c>
      <c r="D154" s="16"/>
      <c r="E154" s="24" t="s">
        <v>232</v>
      </c>
      <c r="F154" s="24"/>
      <c r="G154" s="24" t="s">
        <v>232</v>
      </c>
      <c r="H154" s="24" t="s">
        <v>232</v>
      </c>
      <c r="I154" s="24"/>
      <c r="J154" s="25" t="s">
        <v>71</v>
      </c>
      <c r="K154" s="23" t="s">
        <v>84</v>
      </c>
      <c r="L154" s="24">
        <f t="shared" si="1"/>
        <v>153</v>
      </c>
    </row>
    <row r="155" spans="1:12" x14ac:dyDescent="0.25">
      <c r="A155" s="19" t="s">
        <v>230</v>
      </c>
      <c r="B155" s="16" t="s">
        <v>25</v>
      </c>
      <c r="C155" s="16" t="s">
        <v>175</v>
      </c>
      <c r="D155" s="16"/>
      <c r="E155" s="24" t="s">
        <v>232</v>
      </c>
      <c r="F155" s="24"/>
      <c r="G155" s="24" t="s">
        <v>232</v>
      </c>
      <c r="H155" s="24" t="s">
        <v>232</v>
      </c>
      <c r="I155" s="24"/>
      <c r="J155" s="25" t="s">
        <v>65</v>
      </c>
      <c r="K155" s="23" t="s">
        <v>84</v>
      </c>
      <c r="L155" s="24">
        <f t="shared" si="1"/>
        <v>154</v>
      </c>
    </row>
    <row r="156" spans="1:12" x14ac:dyDescent="0.25">
      <c r="A156" s="19" t="s">
        <v>230</v>
      </c>
      <c r="B156" s="16" t="s">
        <v>288</v>
      </c>
      <c r="C156" s="16" t="s">
        <v>295</v>
      </c>
      <c r="D156" s="16"/>
      <c r="E156" s="24" t="s">
        <v>232</v>
      </c>
      <c r="F156" s="24"/>
      <c r="G156" s="24" t="s">
        <v>232</v>
      </c>
      <c r="H156" s="24" t="s">
        <v>232</v>
      </c>
      <c r="I156" s="24"/>
      <c r="J156" s="25" t="s">
        <v>66</v>
      </c>
      <c r="K156" s="23" t="s">
        <v>63</v>
      </c>
      <c r="L156" s="24">
        <f t="shared" si="1"/>
        <v>155</v>
      </c>
    </row>
    <row r="157" spans="1:12" x14ac:dyDescent="0.25">
      <c r="A157" s="19" t="s">
        <v>230</v>
      </c>
      <c r="B157" s="16" t="s">
        <v>288</v>
      </c>
      <c r="C157" s="16" t="s">
        <v>296</v>
      </c>
      <c r="D157" s="16"/>
      <c r="E157" s="24" t="s">
        <v>232</v>
      </c>
      <c r="F157" s="24"/>
      <c r="G157" s="24" t="s">
        <v>232</v>
      </c>
      <c r="H157" s="24" t="s">
        <v>232</v>
      </c>
      <c r="I157" s="24"/>
      <c r="J157" s="25" t="s">
        <v>66</v>
      </c>
      <c r="K157" s="23" t="s">
        <v>63</v>
      </c>
      <c r="L157" s="24">
        <f t="shared" si="1"/>
        <v>156</v>
      </c>
    </row>
    <row r="158" spans="1:12" x14ac:dyDescent="0.25">
      <c r="A158" s="19" t="s">
        <v>230</v>
      </c>
      <c r="B158" s="16" t="s">
        <v>288</v>
      </c>
      <c r="C158" s="16" t="s">
        <v>356</v>
      </c>
      <c r="D158" s="16"/>
      <c r="E158" s="24" t="s">
        <v>232</v>
      </c>
      <c r="F158" s="24"/>
      <c r="G158" s="24" t="s">
        <v>232</v>
      </c>
      <c r="H158" s="24"/>
      <c r="I158" s="24"/>
      <c r="J158" s="25" t="s">
        <v>251</v>
      </c>
      <c r="K158" s="23" t="s">
        <v>63</v>
      </c>
      <c r="L158" s="24">
        <f t="shared" si="1"/>
        <v>157</v>
      </c>
    </row>
    <row r="159" spans="1:12" x14ac:dyDescent="0.25">
      <c r="A159" s="19" t="s">
        <v>230</v>
      </c>
      <c r="B159" s="16" t="s">
        <v>288</v>
      </c>
      <c r="C159" s="16" t="s">
        <v>297</v>
      </c>
      <c r="D159" s="16"/>
      <c r="E159" s="24" t="s">
        <v>232</v>
      </c>
      <c r="F159" s="24"/>
      <c r="G159" s="24" t="s">
        <v>232</v>
      </c>
      <c r="H159" s="24" t="s">
        <v>232</v>
      </c>
      <c r="I159" s="24"/>
      <c r="J159" s="25" t="s">
        <v>66</v>
      </c>
      <c r="K159" s="23" t="s">
        <v>63</v>
      </c>
      <c r="L159" s="24">
        <f t="shared" si="1"/>
        <v>158</v>
      </c>
    </row>
    <row r="160" spans="1:12" x14ac:dyDescent="0.25">
      <c r="A160" s="19" t="s">
        <v>230</v>
      </c>
      <c r="B160" s="16" t="s">
        <v>288</v>
      </c>
      <c r="C160" s="16" t="s">
        <v>383</v>
      </c>
      <c r="D160" s="16"/>
      <c r="E160" s="24" t="s">
        <v>232</v>
      </c>
      <c r="F160" s="24"/>
      <c r="G160" s="24" t="s">
        <v>232</v>
      </c>
      <c r="H160" s="24" t="s">
        <v>232</v>
      </c>
      <c r="I160" s="24"/>
      <c r="J160" s="25" t="s">
        <v>357</v>
      </c>
      <c r="K160" s="23" t="s">
        <v>63</v>
      </c>
      <c r="L160" s="24">
        <f t="shared" si="1"/>
        <v>159</v>
      </c>
    </row>
    <row r="161" spans="1:12" x14ac:dyDescent="0.25">
      <c r="A161" s="19" t="s">
        <v>230</v>
      </c>
      <c r="B161" s="16" t="s">
        <v>288</v>
      </c>
      <c r="C161" s="16" t="s">
        <v>382</v>
      </c>
      <c r="D161" s="16"/>
      <c r="E161" s="24" t="b">
        <v>1</v>
      </c>
      <c r="F161" s="24"/>
      <c r="G161" s="24" t="b">
        <v>1</v>
      </c>
      <c r="H161" s="24"/>
      <c r="I161" s="24"/>
      <c r="J161" s="25" t="s">
        <v>354</v>
      </c>
      <c r="K161" s="23" t="s">
        <v>63</v>
      </c>
      <c r="L161" s="24">
        <f t="shared" si="1"/>
        <v>160</v>
      </c>
    </row>
    <row r="162" spans="1:12" x14ac:dyDescent="0.25">
      <c r="A162" s="19" t="s">
        <v>230</v>
      </c>
      <c r="B162" s="16" t="s">
        <v>288</v>
      </c>
      <c r="C162" s="16" t="s">
        <v>249</v>
      </c>
      <c r="D162" s="16"/>
      <c r="E162" s="24"/>
      <c r="F162" s="24"/>
      <c r="G162" s="24"/>
      <c r="H162" s="24"/>
      <c r="I162" s="24"/>
      <c r="J162" s="25" t="s">
        <v>250</v>
      </c>
      <c r="K162" s="23" t="s">
        <v>63</v>
      </c>
      <c r="L162" s="24">
        <f t="shared" si="1"/>
        <v>161</v>
      </c>
    </row>
    <row r="163" spans="1:12" x14ac:dyDescent="0.25">
      <c r="A163" s="19" t="s">
        <v>230</v>
      </c>
      <c r="B163" s="16" t="s">
        <v>26</v>
      </c>
      <c r="C163" s="16" t="s">
        <v>178</v>
      </c>
      <c r="D163" s="16"/>
      <c r="E163" s="24" t="s">
        <v>232</v>
      </c>
      <c r="F163" s="24"/>
      <c r="G163" s="24" t="s">
        <v>232</v>
      </c>
      <c r="H163" s="24" t="s">
        <v>233</v>
      </c>
      <c r="I163" s="24"/>
      <c r="J163" s="25" t="s">
        <v>67</v>
      </c>
      <c r="K163" s="23" t="s">
        <v>61</v>
      </c>
      <c r="L163" s="24">
        <f t="shared" si="1"/>
        <v>162</v>
      </c>
    </row>
    <row r="164" spans="1:12" x14ac:dyDescent="0.25">
      <c r="A164" s="19" t="s">
        <v>230</v>
      </c>
      <c r="B164" s="16" t="s">
        <v>26</v>
      </c>
      <c r="C164" s="16" t="s">
        <v>179</v>
      </c>
      <c r="D164" s="16"/>
      <c r="E164" s="24" t="s">
        <v>232</v>
      </c>
      <c r="F164" s="24"/>
      <c r="G164" s="24" t="s">
        <v>232</v>
      </c>
      <c r="H164" s="24" t="s">
        <v>233</v>
      </c>
      <c r="I164" s="24"/>
      <c r="J164" s="25" t="s">
        <v>67</v>
      </c>
      <c r="K164" s="23" t="s">
        <v>61</v>
      </c>
      <c r="L164" s="24">
        <f t="shared" si="1"/>
        <v>163</v>
      </c>
    </row>
    <row r="165" spans="1:12" x14ac:dyDescent="0.25">
      <c r="A165" s="19" t="s">
        <v>230</v>
      </c>
      <c r="B165" s="16" t="s">
        <v>26</v>
      </c>
      <c r="C165" s="16" t="s">
        <v>180</v>
      </c>
      <c r="D165" s="16"/>
      <c r="E165" s="24" t="s">
        <v>232</v>
      </c>
      <c r="F165" s="24"/>
      <c r="G165" s="24" t="s">
        <v>232</v>
      </c>
      <c r="H165" s="24" t="s">
        <v>233</v>
      </c>
      <c r="I165" s="24"/>
      <c r="J165" s="25" t="s">
        <v>70</v>
      </c>
      <c r="K165" s="23" t="s">
        <v>61</v>
      </c>
      <c r="L165" s="24">
        <f t="shared" si="1"/>
        <v>164</v>
      </c>
    </row>
    <row r="166" spans="1:12" x14ac:dyDescent="0.25">
      <c r="A166" s="19" t="s">
        <v>230</v>
      </c>
      <c r="B166" s="16" t="s">
        <v>26</v>
      </c>
      <c r="C166" s="16" t="s">
        <v>181</v>
      </c>
      <c r="D166" s="16"/>
      <c r="E166" s="24" t="s">
        <v>232</v>
      </c>
      <c r="F166" s="24"/>
      <c r="G166" s="24" t="s">
        <v>232</v>
      </c>
      <c r="H166" s="24" t="s">
        <v>233</v>
      </c>
      <c r="I166" s="24"/>
      <c r="J166" s="25" t="s">
        <v>67</v>
      </c>
      <c r="K166" s="23" t="s">
        <v>61</v>
      </c>
      <c r="L166" s="24">
        <f t="shared" si="1"/>
        <v>165</v>
      </c>
    </row>
    <row r="167" spans="1:12" x14ac:dyDescent="0.25">
      <c r="A167" s="19" t="s">
        <v>230</v>
      </c>
      <c r="B167" s="16" t="s">
        <v>27</v>
      </c>
      <c r="C167" s="16" t="s">
        <v>198</v>
      </c>
      <c r="D167" s="16"/>
      <c r="E167" s="24" t="s">
        <v>232</v>
      </c>
      <c r="F167" s="24"/>
      <c r="G167" s="24" t="s">
        <v>232</v>
      </c>
      <c r="H167" s="24" t="s">
        <v>233</v>
      </c>
      <c r="I167" s="24"/>
      <c r="J167" s="25" t="s">
        <v>67</v>
      </c>
      <c r="K167" s="23" t="s">
        <v>63</v>
      </c>
      <c r="L167" s="24">
        <f t="shared" si="1"/>
        <v>166</v>
      </c>
    </row>
    <row r="168" spans="1:12" x14ac:dyDescent="0.25">
      <c r="A168" s="19" t="s">
        <v>230</v>
      </c>
      <c r="B168" s="16" t="s">
        <v>27</v>
      </c>
      <c r="C168" s="16" t="s">
        <v>199</v>
      </c>
      <c r="D168" s="16"/>
      <c r="E168" s="24" t="s">
        <v>232</v>
      </c>
      <c r="F168" s="24"/>
      <c r="G168" s="24" t="s">
        <v>232</v>
      </c>
      <c r="H168" s="24" t="s">
        <v>233</v>
      </c>
      <c r="I168" s="24"/>
      <c r="J168" s="25" t="s">
        <v>67</v>
      </c>
      <c r="K168" s="23" t="s">
        <v>63</v>
      </c>
      <c r="L168" s="24">
        <f t="shared" si="1"/>
        <v>167</v>
      </c>
    </row>
    <row r="169" spans="1:12" x14ac:dyDescent="0.25">
      <c r="A169" s="19" t="s">
        <v>230</v>
      </c>
      <c r="B169" s="16" t="s">
        <v>27</v>
      </c>
      <c r="C169" s="16" t="s">
        <v>200</v>
      </c>
      <c r="D169" s="16"/>
      <c r="E169" s="24" t="s">
        <v>232</v>
      </c>
      <c r="F169" s="24"/>
      <c r="G169" s="24" t="s">
        <v>232</v>
      </c>
      <c r="H169" s="24" t="s">
        <v>233</v>
      </c>
      <c r="I169" s="24"/>
      <c r="J169" s="25" t="s">
        <v>70</v>
      </c>
      <c r="K169" s="23" t="s">
        <v>63</v>
      </c>
      <c r="L169" s="24">
        <f t="shared" si="1"/>
        <v>168</v>
      </c>
    </row>
    <row r="170" spans="1:12" x14ac:dyDescent="0.25">
      <c r="A170" s="19" t="s">
        <v>230</v>
      </c>
      <c r="B170" s="16" t="s">
        <v>27</v>
      </c>
      <c r="C170" s="16" t="s">
        <v>201</v>
      </c>
      <c r="D170" s="16"/>
      <c r="E170" s="24" t="s">
        <v>232</v>
      </c>
      <c r="F170" s="24"/>
      <c r="G170" s="24" t="s">
        <v>232</v>
      </c>
      <c r="H170" s="24" t="s">
        <v>233</v>
      </c>
      <c r="I170" s="24"/>
      <c r="J170" s="25" t="s">
        <v>67</v>
      </c>
      <c r="K170" s="23" t="s">
        <v>63</v>
      </c>
      <c r="L170" s="24">
        <f t="shared" si="1"/>
        <v>169</v>
      </c>
    </row>
    <row r="171" spans="1:12" x14ac:dyDescent="0.25">
      <c r="A171" s="19" t="s">
        <v>230</v>
      </c>
      <c r="B171" s="16" t="s">
        <v>28</v>
      </c>
      <c r="C171" s="16" t="s">
        <v>202</v>
      </c>
      <c r="D171" s="16"/>
      <c r="E171" s="24" t="s">
        <v>232</v>
      </c>
      <c r="F171" s="24"/>
      <c r="G171" s="24" t="s">
        <v>232</v>
      </c>
      <c r="H171" s="24" t="s">
        <v>233</v>
      </c>
      <c r="I171" s="24"/>
      <c r="J171" s="25" t="s">
        <v>67</v>
      </c>
      <c r="K171" s="23" t="s">
        <v>84</v>
      </c>
      <c r="L171" s="24">
        <f t="shared" si="1"/>
        <v>170</v>
      </c>
    </row>
    <row r="172" spans="1:12" x14ac:dyDescent="0.25">
      <c r="A172" s="19" t="s">
        <v>230</v>
      </c>
      <c r="B172" s="16" t="s">
        <v>28</v>
      </c>
      <c r="C172" s="16" t="s">
        <v>203</v>
      </c>
      <c r="D172" s="16"/>
      <c r="E172" s="24" t="s">
        <v>232</v>
      </c>
      <c r="F172" s="24"/>
      <c r="G172" s="24" t="s">
        <v>232</v>
      </c>
      <c r="H172" s="24" t="s">
        <v>233</v>
      </c>
      <c r="I172" s="24"/>
      <c r="J172" s="25" t="s">
        <v>67</v>
      </c>
      <c r="K172" s="23" t="s">
        <v>84</v>
      </c>
      <c r="L172" s="24">
        <f t="shared" si="1"/>
        <v>171</v>
      </c>
    </row>
    <row r="173" spans="1:12" x14ac:dyDescent="0.25">
      <c r="A173" s="19" t="s">
        <v>230</v>
      </c>
      <c r="B173" s="16" t="s">
        <v>28</v>
      </c>
      <c r="C173" s="16" t="s">
        <v>204</v>
      </c>
      <c r="D173" s="16"/>
      <c r="E173" s="24" t="s">
        <v>232</v>
      </c>
      <c r="F173" s="24"/>
      <c r="G173" s="24" t="s">
        <v>232</v>
      </c>
      <c r="H173" s="24" t="s">
        <v>233</v>
      </c>
      <c r="I173" s="24"/>
      <c r="J173" s="25" t="s">
        <v>70</v>
      </c>
      <c r="K173" s="23" t="s">
        <v>84</v>
      </c>
      <c r="L173" s="24">
        <f t="shared" si="1"/>
        <v>172</v>
      </c>
    </row>
    <row r="174" spans="1:12" x14ac:dyDescent="0.25">
      <c r="A174" s="19" t="s">
        <v>230</v>
      </c>
      <c r="B174" s="16" t="s">
        <v>28</v>
      </c>
      <c r="C174" s="16" t="s">
        <v>205</v>
      </c>
      <c r="D174" s="16"/>
      <c r="E174" s="24" t="s">
        <v>232</v>
      </c>
      <c r="F174" s="24"/>
      <c r="G174" s="24" t="s">
        <v>232</v>
      </c>
      <c r="H174" s="24" t="s">
        <v>233</v>
      </c>
      <c r="I174" s="24"/>
      <c r="J174" s="25" t="s">
        <v>67</v>
      </c>
      <c r="K174" s="23" t="s">
        <v>84</v>
      </c>
      <c r="L174" s="24">
        <f t="shared" si="1"/>
        <v>173</v>
      </c>
    </row>
    <row r="175" spans="1:12" x14ac:dyDescent="0.25">
      <c r="A175" s="19" t="s">
        <v>230</v>
      </c>
      <c r="B175" s="16" t="s">
        <v>29</v>
      </c>
      <c r="C175" s="16" t="s">
        <v>182</v>
      </c>
      <c r="D175" s="16"/>
      <c r="E175" s="24" t="s">
        <v>232</v>
      </c>
      <c r="F175" s="24"/>
      <c r="G175" s="24" t="s">
        <v>232</v>
      </c>
      <c r="H175" s="24" t="s">
        <v>233</v>
      </c>
      <c r="I175" s="24"/>
      <c r="J175" s="25" t="s">
        <v>67</v>
      </c>
      <c r="K175" s="23" t="s">
        <v>61</v>
      </c>
      <c r="L175" s="24">
        <f t="shared" si="1"/>
        <v>174</v>
      </c>
    </row>
    <row r="176" spans="1:12" x14ac:dyDescent="0.25">
      <c r="A176" s="19" t="s">
        <v>230</v>
      </c>
      <c r="B176" s="16" t="s">
        <v>29</v>
      </c>
      <c r="C176" s="16" t="s">
        <v>183</v>
      </c>
      <c r="D176" s="16"/>
      <c r="E176" s="24" t="s">
        <v>232</v>
      </c>
      <c r="F176" s="24"/>
      <c r="G176" s="24" t="s">
        <v>232</v>
      </c>
      <c r="H176" s="24" t="s">
        <v>233</v>
      </c>
      <c r="I176" s="24"/>
      <c r="J176" s="25" t="s">
        <v>67</v>
      </c>
      <c r="K176" s="23" t="s">
        <v>61</v>
      </c>
      <c r="L176" s="24">
        <f t="shared" si="1"/>
        <v>175</v>
      </c>
    </row>
    <row r="177" spans="1:12" x14ac:dyDescent="0.25">
      <c r="A177" s="19" t="s">
        <v>230</v>
      </c>
      <c r="B177" s="16" t="s">
        <v>29</v>
      </c>
      <c r="C177" s="16" t="s">
        <v>184</v>
      </c>
      <c r="D177" s="16"/>
      <c r="E177" s="24" t="s">
        <v>232</v>
      </c>
      <c r="F177" s="24"/>
      <c r="G177" s="24" t="s">
        <v>232</v>
      </c>
      <c r="H177" s="24" t="s">
        <v>233</v>
      </c>
      <c r="I177" s="24"/>
      <c r="J177" s="25" t="s">
        <v>70</v>
      </c>
      <c r="K177" s="23" t="s">
        <v>61</v>
      </c>
      <c r="L177" s="24">
        <f t="shared" si="1"/>
        <v>176</v>
      </c>
    </row>
    <row r="178" spans="1:12" x14ac:dyDescent="0.25">
      <c r="A178" s="19" t="s">
        <v>230</v>
      </c>
      <c r="B178" s="16" t="s">
        <v>29</v>
      </c>
      <c r="C178" s="16" t="s">
        <v>185</v>
      </c>
      <c r="D178" s="16"/>
      <c r="E178" s="24" t="s">
        <v>232</v>
      </c>
      <c r="F178" s="24"/>
      <c r="G178" s="24" t="s">
        <v>232</v>
      </c>
      <c r="H178" s="24" t="s">
        <v>233</v>
      </c>
      <c r="I178" s="24"/>
      <c r="J178" s="25" t="s">
        <v>67</v>
      </c>
      <c r="K178" s="23" t="s">
        <v>61</v>
      </c>
      <c r="L178" s="24">
        <f t="shared" si="1"/>
        <v>177</v>
      </c>
    </row>
    <row r="179" spans="1:12" x14ac:dyDescent="0.25">
      <c r="A179" s="19" t="s">
        <v>230</v>
      </c>
      <c r="B179" s="16" t="s">
        <v>30</v>
      </c>
      <c r="C179" s="16" t="s">
        <v>206</v>
      </c>
      <c r="D179" s="16"/>
      <c r="E179" s="24" t="s">
        <v>232</v>
      </c>
      <c r="F179" s="24"/>
      <c r="G179" s="24" t="s">
        <v>232</v>
      </c>
      <c r="H179" s="24" t="s">
        <v>233</v>
      </c>
      <c r="I179" s="24"/>
      <c r="J179" s="25" t="s">
        <v>67</v>
      </c>
      <c r="K179" s="23" t="s">
        <v>63</v>
      </c>
      <c r="L179" s="24">
        <f t="shared" si="1"/>
        <v>178</v>
      </c>
    </row>
    <row r="180" spans="1:12" x14ac:dyDescent="0.25">
      <c r="A180" s="19" t="s">
        <v>230</v>
      </c>
      <c r="B180" s="16" t="s">
        <v>30</v>
      </c>
      <c r="C180" s="16" t="s">
        <v>207</v>
      </c>
      <c r="D180" s="16"/>
      <c r="E180" s="24" t="s">
        <v>232</v>
      </c>
      <c r="F180" s="24"/>
      <c r="G180" s="24" t="s">
        <v>232</v>
      </c>
      <c r="H180" s="24" t="s">
        <v>233</v>
      </c>
      <c r="I180" s="24"/>
      <c r="J180" s="25" t="s">
        <v>67</v>
      </c>
      <c r="K180" s="23" t="s">
        <v>63</v>
      </c>
      <c r="L180" s="24">
        <f t="shared" si="1"/>
        <v>179</v>
      </c>
    </row>
    <row r="181" spans="1:12" x14ac:dyDescent="0.25">
      <c r="A181" s="19" t="s">
        <v>230</v>
      </c>
      <c r="B181" s="16" t="s">
        <v>30</v>
      </c>
      <c r="C181" s="16" t="s">
        <v>208</v>
      </c>
      <c r="D181" s="16"/>
      <c r="E181" s="24" t="s">
        <v>232</v>
      </c>
      <c r="F181" s="24"/>
      <c r="G181" s="24" t="s">
        <v>232</v>
      </c>
      <c r="H181" s="24" t="s">
        <v>233</v>
      </c>
      <c r="I181" s="24"/>
      <c r="J181" s="25" t="s">
        <v>70</v>
      </c>
      <c r="K181" s="23" t="s">
        <v>63</v>
      </c>
      <c r="L181" s="24">
        <f t="shared" si="1"/>
        <v>180</v>
      </c>
    </row>
    <row r="182" spans="1:12" x14ac:dyDescent="0.25">
      <c r="A182" s="19" t="s">
        <v>230</v>
      </c>
      <c r="B182" s="16" t="s">
        <v>30</v>
      </c>
      <c r="C182" s="16" t="s">
        <v>209</v>
      </c>
      <c r="D182" s="16"/>
      <c r="E182" s="24" t="s">
        <v>232</v>
      </c>
      <c r="F182" s="24"/>
      <c r="G182" s="24" t="s">
        <v>232</v>
      </c>
      <c r="H182" s="24" t="s">
        <v>233</v>
      </c>
      <c r="I182" s="24"/>
      <c r="J182" s="25" t="s">
        <v>67</v>
      </c>
      <c r="K182" s="23" t="s">
        <v>63</v>
      </c>
      <c r="L182" s="24">
        <f t="shared" si="1"/>
        <v>181</v>
      </c>
    </row>
    <row r="183" spans="1:12" x14ac:dyDescent="0.25">
      <c r="A183" s="19" t="s">
        <v>230</v>
      </c>
      <c r="B183" s="16" t="s">
        <v>31</v>
      </c>
      <c r="C183" s="16" t="s">
        <v>210</v>
      </c>
      <c r="D183" s="16"/>
      <c r="E183" s="24" t="s">
        <v>232</v>
      </c>
      <c r="F183" s="24"/>
      <c r="G183" s="24" t="s">
        <v>232</v>
      </c>
      <c r="H183" s="24" t="s">
        <v>233</v>
      </c>
      <c r="I183" s="24"/>
      <c r="J183" s="25" t="s">
        <v>67</v>
      </c>
      <c r="K183" s="23" t="s">
        <v>84</v>
      </c>
      <c r="L183" s="24">
        <f t="shared" si="1"/>
        <v>182</v>
      </c>
    </row>
    <row r="184" spans="1:12" x14ac:dyDescent="0.25">
      <c r="A184" s="19" t="s">
        <v>230</v>
      </c>
      <c r="B184" s="16" t="s">
        <v>31</v>
      </c>
      <c r="C184" s="16" t="s">
        <v>211</v>
      </c>
      <c r="D184" s="16"/>
      <c r="E184" s="24" t="s">
        <v>232</v>
      </c>
      <c r="F184" s="24"/>
      <c r="G184" s="24" t="s">
        <v>232</v>
      </c>
      <c r="H184" s="24" t="s">
        <v>233</v>
      </c>
      <c r="I184" s="24"/>
      <c r="J184" s="25" t="s">
        <v>67</v>
      </c>
      <c r="K184" s="23" t="s">
        <v>84</v>
      </c>
      <c r="L184" s="24">
        <f t="shared" si="1"/>
        <v>183</v>
      </c>
    </row>
    <row r="185" spans="1:12" x14ac:dyDescent="0.25">
      <c r="A185" s="19" t="s">
        <v>230</v>
      </c>
      <c r="B185" s="16" t="s">
        <v>31</v>
      </c>
      <c r="C185" s="16" t="s">
        <v>212</v>
      </c>
      <c r="D185" s="16"/>
      <c r="E185" s="24" t="s">
        <v>232</v>
      </c>
      <c r="F185" s="24"/>
      <c r="G185" s="24" t="s">
        <v>232</v>
      </c>
      <c r="H185" s="24" t="s">
        <v>233</v>
      </c>
      <c r="I185" s="24"/>
      <c r="J185" s="25" t="s">
        <v>70</v>
      </c>
      <c r="K185" s="23" t="s">
        <v>84</v>
      </c>
      <c r="L185" s="24">
        <f t="shared" si="1"/>
        <v>184</v>
      </c>
    </row>
    <row r="186" spans="1:12" x14ac:dyDescent="0.25">
      <c r="A186" s="19" t="s">
        <v>230</v>
      </c>
      <c r="B186" s="16" t="s">
        <v>31</v>
      </c>
      <c r="C186" s="16" t="s">
        <v>213</v>
      </c>
      <c r="D186" s="16"/>
      <c r="E186" s="24" t="s">
        <v>232</v>
      </c>
      <c r="F186" s="24"/>
      <c r="G186" s="24" t="s">
        <v>232</v>
      </c>
      <c r="H186" s="24" t="s">
        <v>233</v>
      </c>
      <c r="I186" s="24"/>
      <c r="J186" s="25" t="s">
        <v>67</v>
      </c>
      <c r="K186" s="23" t="s">
        <v>84</v>
      </c>
      <c r="L186" s="24">
        <f t="shared" si="1"/>
        <v>185</v>
      </c>
    </row>
    <row r="187" spans="1:12" x14ac:dyDescent="0.25">
      <c r="A187" s="19" t="s">
        <v>230</v>
      </c>
      <c r="B187" s="16" t="s">
        <v>32</v>
      </c>
      <c r="C187" s="16" t="s">
        <v>186</v>
      </c>
      <c r="D187" s="16"/>
      <c r="E187" s="24" t="s">
        <v>232</v>
      </c>
      <c r="F187" s="24"/>
      <c r="G187" s="24" t="s">
        <v>232</v>
      </c>
      <c r="H187" s="24" t="s">
        <v>233</v>
      </c>
      <c r="I187" s="24"/>
      <c r="J187" s="25" t="s">
        <v>67</v>
      </c>
      <c r="K187" s="23" t="s">
        <v>61</v>
      </c>
      <c r="L187" s="24">
        <f t="shared" si="1"/>
        <v>186</v>
      </c>
    </row>
    <row r="188" spans="1:12" x14ac:dyDescent="0.25">
      <c r="A188" s="19" t="s">
        <v>230</v>
      </c>
      <c r="B188" s="16" t="s">
        <v>32</v>
      </c>
      <c r="C188" s="16" t="s">
        <v>187</v>
      </c>
      <c r="D188" s="16"/>
      <c r="E188" s="24" t="s">
        <v>232</v>
      </c>
      <c r="F188" s="24"/>
      <c r="G188" s="24" t="s">
        <v>232</v>
      </c>
      <c r="H188" s="24" t="s">
        <v>233</v>
      </c>
      <c r="I188" s="24"/>
      <c r="J188" s="25" t="s">
        <v>67</v>
      </c>
      <c r="K188" s="23" t="s">
        <v>61</v>
      </c>
      <c r="L188" s="24">
        <f t="shared" si="1"/>
        <v>187</v>
      </c>
    </row>
    <row r="189" spans="1:12" x14ac:dyDescent="0.25">
      <c r="A189" s="19" t="s">
        <v>230</v>
      </c>
      <c r="B189" s="16" t="s">
        <v>32</v>
      </c>
      <c r="C189" s="16" t="s">
        <v>188</v>
      </c>
      <c r="D189" s="16"/>
      <c r="E189" s="24" t="s">
        <v>232</v>
      </c>
      <c r="F189" s="24"/>
      <c r="G189" s="24" t="s">
        <v>232</v>
      </c>
      <c r="H189" s="24" t="s">
        <v>233</v>
      </c>
      <c r="I189" s="24"/>
      <c r="J189" s="25" t="s">
        <v>70</v>
      </c>
      <c r="K189" s="23" t="s">
        <v>61</v>
      </c>
      <c r="L189" s="24">
        <f t="shared" si="1"/>
        <v>188</v>
      </c>
    </row>
    <row r="190" spans="1:12" x14ac:dyDescent="0.25">
      <c r="A190" s="19" t="s">
        <v>230</v>
      </c>
      <c r="B190" s="16" t="s">
        <v>32</v>
      </c>
      <c r="C190" s="16" t="s">
        <v>189</v>
      </c>
      <c r="D190" s="16"/>
      <c r="E190" s="24" t="s">
        <v>232</v>
      </c>
      <c r="F190" s="24"/>
      <c r="G190" s="24" t="s">
        <v>232</v>
      </c>
      <c r="H190" s="24" t="s">
        <v>233</v>
      </c>
      <c r="I190" s="24"/>
      <c r="J190" s="25" t="s">
        <v>67</v>
      </c>
      <c r="K190" s="23" t="s">
        <v>61</v>
      </c>
      <c r="L190" s="24">
        <f t="shared" si="1"/>
        <v>189</v>
      </c>
    </row>
    <row r="191" spans="1:12" x14ac:dyDescent="0.25">
      <c r="A191" s="19" t="s">
        <v>230</v>
      </c>
      <c r="B191" s="16" t="s">
        <v>33</v>
      </c>
      <c r="C191" s="16" t="s">
        <v>214</v>
      </c>
      <c r="D191" s="16"/>
      <c r="E191" s="24" t="s">
        <v>232</v>
      </c>
      <c r="F191" s="24"/>
      <c r="G191" s="24" t="s">
        <v>232</v>
      </c>
      <c r="H191" s="24" t="s">
        <v>233</v>
      </c>
      <c r="I191" s="24"/>
      <c r="J191" s="25" t="s">
        <v>67</v>
      </c>
      <c r="K191" s="23" t="s">
        <v>63</v>
      </c>
      <c r="L191" s="24">
        <f t="shared" si="1"/>
        <v>190</v>
      </c>
    </row>
    <row r="192" spans="1:12" x14ac:dyDescent="0.25">
      <c r="A192" s="19" t="s">
        <v>230</v>
      </c>
      <c r="B192" s="16" t="s">
        <v>33</v>
      </c>
      <c r="C192" s="16" t="s">
        <v>215</v>
      </c>
      <c r="D192" s="16"/>
      <c r="E192" s="24" t="s">
        <v>232</v>
      </c>
      <c r="F192" s="24"/>
      <c r="G192" s="24" t="s">
        <v>232</v>
      </c>
      <c r="H192" s="24" t="s">
        <v>233</v>
      </c>
      <c r="I192" s="24"/>
      <c r="J192" s="25" t="s">
        <v>67</v>
      </c>
      <c r="K192" s="23" t="s">
        <v>63</v>
      </c>
      <c r="L192" s="24">
        <f t="shared" si="1"/>
        <v>191</v>
      </c>
    </row>
    <row r="193" spans="1:12" x14ac:dyDescent="0.25">
      <c r="A193" s="19" t="s">
        <v>230</v>
      </c>
      <c r="B193" s="16" t="s">
        <v>33</v>
      </c>
      <c r="C193" s="16" t="s">
        <v>216</v>
      </c>
      <c r="D193" s="16"/>
      <c r="E193" s="24" t="s">
        <v>232</v>
      </c>
      <c r="F193" s="24"/>
      <c r="G193" s="24" t="s">
        <v>232</v>
      </c>
      <c r="H193" s="24" t="s">
        <v>233</v>
      </c>
      <c r="I193" s="24"/>
      <c r="J193" s="25" t="s">
        <v>70</v>
      </c>
      <c r="K193" s="23" t="s">
        <v>63</v>
      </c>
      <c r="L193" s="24">
        <f t="shared" si="1"/>
        <v>192</v>
      </c>
    </row>
    <row r="194" spans="1:12" x14ac:dyDescent="0.25">
      <c r="A194" s="19" t="s">
        <v>230</v>
      </c>
      <c r="B194" s="16" t="s">
        <v>33</v>
      </c>
      <c r="C194" s="16" t="s">
        <v>217</v>
      </c>
      <c r="D194" s="16"/>
      <c r="E194" s="24" t="s">
        <v>232</v>
      </c>
      <c r="F194" s="24"/>
      <c r="G194" s="24" t="s">
        <v>232</v>
      </c>
      <c r="H194" s="24" t="s">
        <v>233</v>
      </c>
      <c r="I194" s="24"/>
      <c r="J194" s="25" t="s">
        <v>67</v>
      </c>
      <c r="K194" s="23" t="s">
        <v>63</v>
      </c>
      <c r="L194" s="24">
        <f t="shared" si="1"/>
        <v>193</v>
      </c>
    </row>
    <row r="195" spans="1:12" x14ac:dyDescent="0.25">
      <c r="A195" s="19" t="s">
        <v>230</v>
      </c>
      <c r="B195" s="16" t="s">
        <v>34</v>
      </c>
      <c r="C195" s="16" t="s">
        <v>218</v>
      </c>
      <c r="D195" s="16"/>
      <c r="E195" s="24" t="s">
        <v>232</v>
      </c>
      <c r="F195" s="24"/>
      <c r="G195" s="24" t="s">
        <v>232</v>
      </c>
      <c r="H195" s="24" t="s">
        <v>233</v>
      </c>
      <c r="I195" s="24"/>
      <c r="J195" s="25" t="s">
        <v>67</v>
      </c>
      <c r="K195" s="23" t="s">
        <v>84</v>
      </c>
      <c r="L195" s="24">
        <f t="shared" ref="L195:L198" si="2">ROW()-1</f>
        <v>194</v>
      </c>
    </row>
    <row r="196" spans="1:12" x14ac:dyDescent="0.25">
      <c r="A196" s="19" t="s">
        <v>230</v>
      </c>
      <c r="B196" s="16" t="s">
        <v>34</v>
      </c>
      <c r="C196" s="16" t="s">
        <v>219</v>
      </c>
      <c r="D196" s="16"/>
      <c r="E196" s="24" t="s">
        <v>232</v>
      </c>
      <c r="F196" s="24"/>
      <c r="G196" s="24" t="s">
        <v>232</v>
      </c>
      <c r="H196" s="24" t="s">
        <v>233</v>
      </c>
      <c r="I196" s="24"/>
      <c r="J196" s="25" t="s">
        <v>67</v>
      </c>
      <c r="K196" s="23" t="s">
        <v>84</v>
      </c>
      <c r="L196" s="24">
        <f t="shared" si="2"/>
        <v>195</v>
      </c>
    </row>
    <row r="197" spans="1:12" x14ac:dyDescent="0.25">
      <c r="A197" s="19" t="s">
        <v>230</v>
      </c>
      <c r="B197" s="16" t="s">
        <v>34</v>
      </c>
      <c r="C197" s="16" t="s">
        <v>220</v>
      </c>
      <c r="D197" s="16"/>
      <c r="E197" s="24" t="s">
        <v>232</v>
      </c>
      <c r="F197" s="24"/>
      <c r="G197" s="24" t="s">
        <v>232</v>
      </c>
      <c r="H197" s="24" t="s">
        <v>233</v>
      </c>
      <c r="I197" s="24"/>
      <c r="J197" s="25" t="s">
        <v>70</v>
      </c>
      <c r="K197" s="23" t="s">
        <v>84</v>
      </c>
      <c r="L197" s="24">
        <f t="shared" si="2"/>
        <v>196</v>
      </c>
    </row>
    <row r="198" spans="1:12" x14ac:dyDescent="0.25">
      <c r="A198" s="19" t="s">
        <v>230</v>
      </c>
      <c r="B198" s="16" t="s">
        <v>34</v>
      </c>
      <c r="C198" s="16" t="s">
        <v>221</v>
      </c>
      <c r="D198" s="16"/>
      <c r="E198" s="24" t="s">
        <v>232</v>
      </c>
      <c r="F198" s="24"/>
      <c r="G198" s="24" t="s">
        <v>232</v>
      </c>
      <c r="H198" s="24" t="s">
        <v>233</v>
      </c>
      <c r="I198" s="24"/>
      <c r="J198" s="25" t="s">
        <v>67</v>
      </c>
      <c r="K198" s="23" t="s">
        <v>84</v>
      </c>
      <c r="L198" s="24">
        <f t="shared" si="2"/>
        <v>197</v>
      </c>
    </row>
    <row r="199" spans="1:12" x14ac:dyDescent="0.25">
      <c r="A199" s="19" t="s">
        <v>230</v>
      </c>
      <c r="B199" s="16" t="s">
        <v>35</v>
      </c>
      <c r="C199" s="16" t="s">
        <v>190</v>
      </c>
      <c r="D199" s="16"/>
      <c r="E199" s="24" t="s">
        <v>232</v>
      </c>
      <c r="F199" s="24"/>
      <c r="G199" s="24" t="s">
        <v>232</v>
      </c>
      <c r="H199" s="24" t="s">
        <v>233</v>
      </c>
      <c r="I199" s="24"/>
      <c r="J199" s="25" t="s">
        <v>67</v>
      </c>
      <c r="K199" s="23" t="s">
        <v>61</v>
      </c>
      <c r="L199" s="24">
        <f t="shared" si="1"/>
        <v>198</v>
      </c>
    </row>
    <row r="200" spans="1:12" x14ac:dyDescent="0.25">
      <c r="A200" s="19" t="s">
        <v>230</v>
      </c>
      <c r="B200" s="16" t="s">
        <v>35</v>
      </c>
      <c r="C200" s="16" t="s">
        <v>191</v>
      </c>
      <c r="D200" s="16"/>
      <c r="E200" s="24" t="s">
        <v>232</v>
      </c>
      <c r="F200" s="24"/>
      <c r="G200" s="24" t="s">
        <v>232</v>
      </c>
      <c r="H200" s="24" t="s">
        <v>233</v>
      </c>
      <c r="I200" s="24"/>
      <c r="J200" s="25" t="s">
        <v>67</v>
      </c>
      <c r="K200" s="23" t="s">
        <v>61</v>
      </c>
      <c r="L200" s="24">
        <f t="shared" si="1"/>
        <v>199</v>
      </c>
    </row>
    <row r="201" spans="1:12" x14ac:dyDescent="0.25">
      <c r="A201" s="19" t="s">
        <v>230</v>
      </c>
      <c r="B201" s="16" t="s">
        <v>35</v>
      </c>
      <c r="C201" s="16" t="s">
        <v>192</v>
      </c>
      <c r="D201" s="16"/>
      <c r="E201" s="24" t="s">
        <v>232</v>
      </c>
      <c r="F201" s="24"/>
      <c r="G201" s="24" t="s">
        <v>232</v>
      </c>
      <c r="H201" s="24" t="s">
        <v>233</v>
      </c>
      <c r="I201" s="24"/>
      <c r="J201" s="25" t="s">
        <v>70</v>
      </c>
      <c r="K201" s="23" t="s">
        <v>61</v>
      </c>
      <c r="L201" s="24">
        <f t="shared" si="1"/>
        <v>200</v>
      </c>
    </row>
    <row r="202" spans="1:12" x14ac:dyDescent="0.25">
      <c r="A202" s="19" t="s">
        <v>230</v>
      </c>
      <c r="B202" s="16" t="s">
        <v>35</v>
      </c>
      <c r="C202" s="16" t="s">
        <v>193</v>
      </c>
      <c r="D202" s="16"/>
      <c r="E202" s="24" t="s">
        <v>232</v>
      </c>
      <c r="F202" s="24"/>
      <c r="G202" s="24" t="s">
        <v>232</v>
      </c>
      <c r="H202" s="24" t="s">
        <v>233</v>
      </c>
      <c r="I202" s="24"/>
      <c r="J202" s="25" t="s">
        <v>67</v>
      </c>
      <c r="K202" s="23" t="s">
        <v>61</v>
      </c>
      <c r="L202" s="24">
        <f t="shared" si="1"/>
        <v>201</v>
      </c>
    </row>
    <row r="203" spans="1:12" x14ac:dyDescent="0.25">
      <c r="A203" s="19" t="s">
        <v>230</v>
      </c>
      <c r="B203" s="16" t="s">
        <v>36</v>
      </c>
      <c r="C203" s="16" t="s">
        <v>194</v>
      </c>
      <c r="D203" s="16"/>
      <c r="E203" s="24" t="s">
        <v>232</v>
      </c>
      <c r="F203" s="24"/>
      <c r="G203" s="24" t="s">
        <v>232</v>
      </c>
      <c r="H203" s="24" t="s">
        <v>233</v>
      </c>
      <c r="I203" s="24"/>
      <c r="J203" s="25" t="s">
        <v>67</v>
      </c>
      <c r="K203" s="23" t="s">
        <v>63</v>
      </c>
      <c r="L203" s="24">
        <f t="shared" si="1"/>
        <v>202</v>
      </c>
    </row>
    <row r="204" spans="1:12" x14ac:dyDescent="0.25">
      <c r="A204" s="19" t="s">
        <v>230</v>
      </c>
      <c r="B204" s="16" t="s">
        <v>36</v>
      </c>
      <c r="C204" s="16" t="s">
        <v>195</v>
      </c>
      <c r="D204" s="16"/>
      <c r="E204" s="24" t="s">
        <v>232</v>
      </c>
      <c r="F204" s="24"/>
      <c r="G204" s="24" t="s">
        <v>232</v>
      </c>
      <c r="H204" s="24" t="s">
        <v>233</v>
      </c>
      <c r="I204" s="24"/>
      <c r="J204" s="25" t="s">
        <v>67</v>
      </c>
      <c r="K204" s="23" t="s">
        <v>63</v>
      </c>
      <c r="L204" s="24">
        <f t="shared" si="1"/>
        <v>203</v>
      </c>
    </row>
    <row r="205" spans="1:12" x14ac:dyDescent="0.25">
      <c r="A205" s="19" t="s">
        <v>230</v>
      </c>
      <c r="B205" s="16" t="s">
        <v>36</v>
      </c>
      <c r="C205" s="16" t="s">
        <v>196</v>
      </c>
      <c r="D205" s="16"/>
      <c r="E205" s="24" t="s">
        <v>232</v>
      </c>
      <c r="F205" s="24"/>
      <c r="G205" s="24" t="s">
        <v>232</v>
      </c>
      <c r="H205" s="24" t="s">
        <v>233</v>
      </c>
      <c r="I205" s="24"/>
      <c r="J205" s="25" t="s">
        <v>70</v>
      </c>
      <c r="K205" s="23" t="s">
        <v>63</v>
      </c>
      <c r="L205" s="24">
        <f t="shared" si="1"/>
        <v>204</v>
      </c>
    </row>
    <row r="206" spans="1:12" x14ac:dyDescent="0.25">
      <c r="A206" s="19" t="s">
        <v>230</v>
      </c>
      <c r="B206" s="16" t="s">
        <v>36</v>
      </c>
      <c r="C206" s="16" t="s">
        <v>197</v>
      </c>
      <c r="D206" s="16"/>
      <c r="E206" s="24" t="s">
        <v>232</v>
      </c>
      <c r="F206" s="24"/>
      <c r="G206" s="24" t="s">
        <v>232</v>
      </c>
      <c r="H206" s="24" t="s">
        <v>233</v>
      </c>
      <c r="I206" s="24"/>
      <c r="J206" s="25" t="s">
        <v>67</v>
      </c>
      <c r="K206" s="23" t="s">
        <v>63</v>
      </c>
      <c r="L206" s="24">
        <f t="shared" si="1"/>
        <v>205</v>
      </c>
    </row>
    <row r="207" spans="1:12" x14ac:dyDescent="0.25">
      <c r="A207" s="19" t="s">
        <v>230</v>
      </c>
      <c r="B207" s="16" t="s">
        <v>37</v>
      </c>
      <c r="C207" s="16" t="s">
        <v>300</v>
      </c>
      <c r="D207" s="16"/>
      <c r="E207" s="24" t="s">
        <v>232</v>
      </c>
      <c r="F207" s="24"/>
      <c r="G207" s="24" t="s">
        <v>232</v>
      </c>
      <c r="H207" s="24" t="s">
        <v>233</v>
      </c>
      <c r="I207" s="24"/>
      <c r="J207" s="25" t="s">
        <v>67</v>
      </c>
      <c r="K207" s="23" t="s">
        <v>84</v>
      </c>
      <c r="L207" s="24">
        <f t="shared" si="1"/>
        <v>206</v>
      </c>
    </row>
    <row r="208" spans="1:12" x14ac:dyDescent="0.25">
      <c r="A208" s="19" t="s">
        <v>230</v>
      </c>
      <c r="B208" s="16" t="s">
        <v>37</v>
      </c>
      <c r="C208" s="16" t="s">
        <v>176</v>
      </c>
      <c r="D208" s="16"/>
      <c r="E208" s="24" t="s">
        <v>232</v>
      </c>
      <c r="F208" s="24"/>
      <c r="G208" s="24" t="s">
        <v>232</v>
      </c>
      <c r="H208" s="24" t="s">
        <v>233</v>
      </c>
      <c r="I208" s="24"/>
      <c r="J208" s="25" t="s">
        <v>67</v>
      </c>
      <c r="K208" s="23" t="s">
        <v>84</v>
      </c>
      <c r="L208" s="24">
        <f t="shared" ref="L208:L218" si="3">ROW()-1</f>
        <v>207</v>
      </c>
    </row>
    <row r="209" spans="1:12" x14ac:dyDescent="0.25">
      <c r="A209" s="19" t="s">
        <v>230</v>
      </c>
      <c r="B209" s="16" t="s">
        <v>37</v>
      </c>
      <c r="C209" s="16" t="s">
        <v>301</v>
      </c>
      <c r="D209" s="16"/>
      <c r="E209" s="24" t="s">
        <v>232</v>
      </c>
      <c r="F209" s="24"/>
      <c r="G209" s="24" t="s">
        <v>232</v>
      </c>
      <c r="H209" s="24" t="s">
        <v>233</v>
      </c>
      <c r="I209" s="24"/>
      <c r="J209" s="25" t="s">
        <v>70</v>
      </c>
      <c r="K209" s="23" t="s">
        <v>84</v>
      </c>
      <c r="L209" s="24">
        <f t="shared" si="3"/>
        <v>208</v>
      </c>
    </row>
    <row r="210" spans="1:12" x14ac:dyDescent="0.25">
      <c r="A210" s="19" t="s">
        <v>230</v>
      </c>
      <c r="B210" s="16" t="s">
        <v>37</v>
      </c>
      <c r="C210" s="16" t="s">
        <v>177</v>
      </c>
      <c r="D210" s="16"/>
      <c r="E210" s="24" t="s">
        <v>232</v>
      </c>
      <c r="F210" s="24"/>
      <c r="G210" s="24" t="s">
        <v>232</v>
      </c>
      <c r="H210" s="24" t="s">
        <v>233</v>
      </c>
      <c r="I210" s="24"/>
      <c r="J210" s="25" t="s">
        <v>67</v>
      </c>
      <c r="K210" s="23" t="s">
        <v>84</v>
      </c>
      <c r="L210" s="24">
        <f t="shared" si="3"/>
        <v>209</v>
      </c>
    </row>
    <row r="211" spans="1:12" x14ac:dyDescent="0.25">
      <c r="A211" s="19" t="s">
        <v>230</v>
      </c>
      <c r="B211" s="16" t="s">
        <v>298</v>
      </c>
      <c r="C211" s="16" t="s">
        <v>248</v>
      </c>
      <c r="D211" s="16"/>
      <c r="E211" s="24" t="s">
        <v>232</v>
      </c>
      <c r="F211" s="24"/>
      <c r="G211" s="24" t="s">
        <v>232</v>
      </c>
      <c r="H211" s="24" t="s">
        <v>233</v>
      </c>
      <c r="I211" s="24"/>
      <c r="J211" s="25" t="s">
        <v>67</v>
      </c>
      <c r="K211" s="23" t="s">
        <v>61</v>
      </c>
      <c r="L211" s="24">
        <f t="shared" si="3"/>
        <v>210</v>
      </c>
    </row>
    <row r="212" spans="1:12" x14ac:dyDescent="0.25">
      <c r="A212" s="19" t="s">
        <v>230</v>
      </c>
      <c r="B212" s="16" t="s">
        <v>298</v>
      </c>
      <c r="C212" s="16" t="s">
        <v>302</v>
      </c>
      <c r="D212" s="16"/>
      <c r="E212" s="24" t="s">
        <v>232</v>
      </c>
      <c r="F212" s="24"/>
      <c r="G212" s="24" t="s">
        <v>232</v>
      </c>
      <c r="H212" s="24" t="s">
        <v>233</v>
      </c>
      <c r="I212" s="24"/>
      <c r="J212" s="25" t="s">
        <v>67</v>
      </c>
      <c r="K212" s="23" t="s">
        <v>61</v>
      </c>
      <c r="L212" s="24">
        <f t="shared" si="3"/>
        <v>211</v>
      </c>
    </row>
    <row r="213" spans="1:12" x14ac:dyDescent="0.25">
      <c r="A213" s="19" t="s">
        <v>230</v>
      </c>
      <c r="B213" s="16" t="s">
        <v>298</v>
      </c>
      <c r="C213" s="16" t="s">
        <v>253</v>
      </c>
      <c r="D213" s="16"/>
      <c r="E213" s="24" t="s">
        <v>232</v>
      </c>
      <c r="F213" s="24"/>
      <c r="G213" s="24" t="s">
        <v>232</v>
      </c>
      <c r="H213" s="24" t="s">
        <v>233</v>
      </c>
      <c r="I213" s="24"/>
      <c r="J213" s="25" t="s">
        <v>70</v>
      </c>
      <c r="K213" s="23" t="s">
        <v>61</v>
      </c>
      <c r="L213" s="24">
        <f t="shared" si="3"/>
        <v>212</v>
      </c>
    </row>
    <row r="214" spans="1:12" x14ac:dyDescent="0.25">
      <c r="A214" s="19" t="s">
        <v>230</v>
      </c>
      <c r="B214" s="16" t="s">
        <v>298</v>
      </c>
      <c r="C214" s="16" t="s">
        <v>303</v>
      </c>
      <c r="D214" s="16"/>
      <c r="E214" s="24" t="s">
        <v>232</v>
      </c>
      <c r="F214" s="24"/>
      <c r="G214" s="24" t="s">
        <v>232</v>
      </c>
      <c r="H214" s="24" t="s">
        <v>233</v>
      </c>
      <c r="I214" s="24"/>
      <c r="J214" s="25" t="s">
        <v>67</v>
      </c>
      <c r="K214" s="23" t="s">
        <v>61</v>
      </c>
      <c r="L214" s="24">
        <f t="shared" si="3"/>
        <v>213</v>
      </c>
    </row>
    <row r="215" spans="1:12" x14ac:dyDescent="0.25">
      <c r="A215" s="19" t="s">
        <v>230</v>
      </c>
      <c r="B215" s="16" t="s">
        <v>299</v>
      </c>
      <c r="C215" s="16" t="s">
        <v>304</v>
      </c>
      <c r="D215" s="16"/>
      <c r="E215" s="24" t="s">
        <v>232</v>
      </c>
      <c r="F215" s="24"/>
      <c r="G215" s="24" t="s">
        <v>232</v>
      </c>
      <c r="H215" s="24" t="s">
        <v>233</v>
      </c>
      <c r="I215" s="24"/>
      <c r="J215" s="25" t="s">
        <v>67</v>
      </c>
      <c r="K215" s="23" t="s">
        <v>63</v>
      </c>
      <c r="L215" s="24">
        <f t="shared" si="3"/>
        <v>214</v>
      </c>
    </row>
    <row r="216" spans="1:12" x14ac:dyDescent="0.25">
      <c r="A216" s="19" t="s">
        <v>230</v>
      </c>
      <c r="B216" s="16" t="s">
        <v>299</v>
      </c>
      <c r="C216" s="16" t="s">
        <v>305</v>
      </c>
      <c r="D216" s="16"/>
      <c r="E216" s="24" t="s">
        <v>232</v>
      </c>
      <c r="F216" s="24"/>
      <c r="G216" s="24" t="s">
        <v>232</v>
      </c>
      <c r="H216" s="24" t="s">
        <v>233</v>
      </c>
      <c r="I216" s="24"/>
      <c r="J216" s="25" t="s">
        <v>67</v>
      </c>
      <c r="K216" s="23" t="s">
        <v>63</v>
      </c>
      <c r="L216" s="24">
        <f t="shared" si="3"/>
        <v>215</v>
      </c>
    </row>
    <row r="217" spans="1:12" x14ac:dyDescent="0.25">
      <c r="A217" s="19" t="s">
        <v>230</v>
      </c>
      <c r="B217" s="16" t="s">
        <v>299</v>
      </c>
      <c r="C217" s="16" t="s">
        <v>306</v>
      </c>
      <c r="D217" s="16"/>
      <c r="E217" s="24" t="s">
        <v>232</v>
      </c>
      <c r="F217" s="24"/>
      <c r="G217" s="24" t="s">
        <v>232</v>
      </c>
      <c r="H217" s="24" t="s">
        <v>233</v>
      </c>
      <c r="I217" s="24"/>
      <c r="J217" s="25" t="s">
        <v>70</v>
      </c>
      <c r="K217" s="23" t="s">
        <v>63</v>
      </c>
      <c r="L217" s="24">
        <f t="shared" si="3"/>
        <v>216</v>
      </c>
    </row>
    <row r="218" spans="1:12" x14ac:dyDescent="0.25">
      <c r="A218" s="19" t="s">
        <v>230</v>
      </c>
      <c r="B218" s="16" t="s">
        <v>299</v>
      </c>
      <c r="C218" s="16" t="s">
        <v>307</v>
      </c>
      <c r="D218" s="16"/>
      <c r="E218" s="24" t="s">
        <v>232</v>
      </c>
      <c r="F218" s="24"/>
      <c r="G218" s="24" t="s">
        <v>232</v>
      </c>
      <c r="H218" s="24" t="s">
        <v>233</v>
      </c>
      <c r="I218" s="24"/>
      <c r="J218" s="25" t="s">
        <v>67</v>
      </c>
      <c r="K218" s="23" t="s">
        <v>63</v>
      </c>
      <c r="L218" s="24">
        <f t="shared" si="3"/>
        <v>217</v>
      </c>
    </row>
  </sheetData>
  <autoFilter ref="A1:L218" xr:uid="{D59BDA12-38C8-BC47-9718-A62B95BA6314}"/>
  <phoneticPr fontId="6" type="noConversion"/>
  <conditionalFormatting sqref="A152">
    <cfRule type="expression" dxfId="117" priority="204" stopIfTrue="1">
      <formula>#REF!="blue"</formula>
    </cfRule>
    <cfRule type="expression" dxfId="116" priority="203" stopIfTrue="1">
      <formula>#REF!="orange"</formula>
    </cfRule>
    <cfRule type="expression" dxfId="115" priority="202" stopIfTrue="1">
      <formula>#REF!="None"</formula>
    </cfRule>
    <cfRule type="expression" dxfId="114" priority="205" stopIfTrue="1">
      <formula>#REF!="yellow"</formula>
    </cfRule>
  </conditionalFormatting>
  <conditionalFormatting sqref="A2:F28 H2:L28 K2:K218 A22:L26 A29:L33 A34:F35 H34:L35 A36:L37 A38:F38 H38:L38 A39:L40 A41:F42 H41:L42 B42:B89 A43:L44 A45:F45 H45:L45 A46:L47 A48:F49 H48:L49 A50:L51 A52:F52 H52:L52 A53:L54 A55:F56 H55:L56 A57:L58 A59:F59 H59:L59 A60:L61 A62:F63 H62:L63 A64:L65 A66:F66 H66:L66 A67:L68 A69:F70 H69:L70 A71:L72 A73:F73 H73:L73 A74:L75 A76:F77 H76:L77 A78:L79 A80:F80 H80:L80 A81:L82 A83:F84 H83:L84 A85:L89 A90:F105 H90:L105 A108:A145 B138:F145 A146:F161">
    <cfRule type="expression" dxfId="113" priority="197" stopIfTrue="1">
      <formula>$K2="yellow"</formula>
    </cfRule>
    <cfRule type="expression" dxfId="112" priority="196" stopIfTrue="1">
      <formula>$K2="blue"</formula>
    </cfRule>
    <cfRule type="expression" dxfId="111" priority="195" stopIfTrue="1">
      <formula>$K2="orange"</formula>
    </cfRule>
  </conditionalFormatting>
  <conditionalFormatting sqref="A106:F108 B109:F111 B112:G137 A162:L162 A163:J178 L163:L178 A179:L218 G2:G111">
    <cfRule type="expression" dxfId="110" priority="111" stopIfTrue="1">
      <formula>$K2="orange"</formula>
    </cfRule>
  </conditionalFormatting>
  <conditionalFormatting sqref="A2:L105 K2:K218 A108:A145 A138:F138 B139:F145 A146:F161">
    <cfRule type="expression" dxfId="109" priority="194" stopIfTrue="1">
      <formula>$K2="None"</formula>
    </cfRule>
  </conditionalFormatting>
  <conditionalFormatting sqref="A162:L162 A179:L218 A106:F108 B109:F137 A163:J178 L163:L178">
    <cfRule type="expression" dxfId="108" priority="110" stopIfTrue="1">
      <formula>$K106="None"</formula>
    </cfRule>
  </conditionalFormatting>
  <conditionalFormatting sqref="G2:G111 A106:F108 B109:F111 B112:G137 A162:L162 A163:J178 L163:L178 A179:L218">
    <cfRule type="expression" dxfId="107" priority="113" stopIfTrue="1">
      <formula>$K2="yellow"</formula>
    </cfRule>
    <cfRule type="expression" dxfId="106" priority="112" stopIfTrue="1">
      <formula>$K2="blue"</formula>
    </cfRule>
  </conditionalFormatting>
  <conditionalFormatting sqref="G38 G45 G52 G59 G66 G73 G80 G87">
    <cfRule type="expression" dxfId="105" priority="41" stopIfTrue="1">
      <formula>$K38="orange"</formula>
    </cfRule>
    <cfRule type="expression" dxfId="104" priority="43" stopIfTrue="1">
      <formula>$K38="yellow"</formula>
    </cfRule>
    <cfRule type="expression" dxfId="103" priority="42" stopIfTrue="1">
      <formula>$K38="blue"</formula>
    </cfRule>
  </conditionalFormatting>
  <conditionalFormatting sqref="G138:G161">
    <cfRule type="expression" dxfId="102" priority="52" stopIfTrue="1">
      <formula>$K138="orange"</formula>
    </cfRule>
    <cfRule type="expression" dxfId="101" priority="53" stopIfTrue="1">
      <formula>$K138="blue"</formula>
    </cfRule>
    <cfRule type="expression" dxfId="100" priority="54" stopIfTrue="1">
      <formula>$K138="yellow"</formula>
    </cfRule>
  </conditionalFormatting>
  <conditionalFormatting sqref="G138:J139 G140:L141 G142:J149 G150:L151 G152:J155 G156:L161 L152:L155">
    <cfRule type="expression" dxfId="99" priority="55" stopIfTrue="1">
      <formula>$K138="None"</formula>
    </cfRule>
  </conditionalFormatting>
  <conditionalFormatting sqref="G106:L137 K142:L149 K152:K178">
    <cfRule type="expression" dxfId="98" priority="17" stopIfTrue="1">
      <formula>$K106="None"</formula>
    </cfRule>
  </conditionalFormatting>
  <conditionalFormatting sqref="H138:J139 H140:L141 H142:J149 H150:L151 H152:J155 L152:L155 H156:L161 K156:K162">
    <cfRule type="expression" dxfId="97" priority="56" stopIfTrue="1">
      <formula>$K138="orange"</formula>
    </cfRule>
    <cfRule type="expression" dxfId="96" priority="57" stopIfTrue="1">
      <formula>$K138="blue"</formula>
    </cfRule>
    <cfRule type="expression" dxfId="95" priority="58" stopIfTrue="1">
      <formula>$K138="yellow"</formula>
    </cfRule>
  </conditionalFormatting>
  <conditionalFormatting sqref="H106:L137 K142:L149 K163:K178">
    <cfRule type="expression" dxfId="94" priority="20" stopIfTrue="1">
      <formula>$K106="yellow"</formula>
    </cfRule>
    <cfRule type="expression" dxfId="93" priority="19" stopIfTrue="1">
      <formula>$K106="blue"</formula>
    </cfRule>
    <cfRule type="expression" dxfId="92" priority="18" stopIfTrue="1">
      <formula>$K106="orange"</formula>
    </cfRule>
  </conditionalFormatting>
  <conditionalFormatting sqref="K199:K206">
    <cfRule type="expression" dxfId="91" priority="12" stopIfTrue="1">
      <formula>$K199="yellow"</formula>
    </cfRule>
    <cfRule type="expression" dxfId="90" priority="11" stopIfTrue="1">
      <formula>$K199="blue"</formula>
    </cfRule>
    <cfRule type="expression" dxfId="89" priority="10" stopIfTrue="1">
      <formula>$K199="orange"</formula>
    </cfRule>
    <cfRule type="expression" dxfId="88" priority="9" stopIfTrue="1">
      <formula>$K199="None"</formula>
    </cfRule>
  </conditionalFormatting>
  <conditionalFormatting sqref="K211:K218">
    <cfRule type="expression" dxfId="87" priority="4" stopIfTrue="1">
      <formula>$K211="yellow"</formula>
    </cfRule>
    <cfRule type="expression" dxfId="86" priority="3" stopIfTrue="1">
      <formula>$K211="blue"</formula>
    </cfRule>
    <cfRule type="expression" dxfId="85" priority="2" stopIfTrue="1">
      <formula>$K211="orange"</formula>
    </cfRule>
    <cfRule type="expression" dxfId="84" priority="1" stopIfTrue="1">
      <formula>$K211="None"</formula>
    </cfRule>
  </conditionalFormatting>
  <conditionalFormatting sqref="K138:L139 K152:K155">
    <cfRule type="expression" dxfId="83" priority="40" stopIfTrue="1">
      <formula>$K138="yellow"</formula>
    </cfRule>
    <cfRule type="expression" dxfId="82" priority="39" stopIfTrue="1">
      <formula>$K138="blue"</formula>
    </cfRule>
    <cfRule type="expression" dxfId="81" priority="38" stopIfTrue="1">
      <formula>$K138="orange"</formula>
    </cfRule>
  </conditionalFormatting>
  <conditionalFormatting sqref="K138:L139">
    <cfRule type="expression" dxfId="80" priority="37" stopIfTrue="1">
      <formula>$K138="None"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3B683-0DC8-C94F-A77F-7489F4DB58C1}">
  <dimension ref="A1:L2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G31" sqref="G31"/>
    </sheetView>
  </sheetViews>
  <sheetFormatPr baseColWidth="10" defaultColWidth="10.83203125" defaultRowHeight="17" x14ac:dyDescent="0.25"/>
  <cols>
    <col min="1" max="1" width="10.83203125" style="85" bestFit="1" customWidth="1"/>
    <col min="2" max="2" width="22.5" style="84" bestFit="1" customWidth="1"/>
    <col min="3" max="3" width="57.1640625" style="84" bestFit="1" customWidth="1"/>
    <col min="4" max="4" width="10.6640625" style="84" bestFit="1" customWidth="1"/>
    <col min="5" max="9" width="9.6640625" style="88" bestFit="1" customWidth="1"/>
    <col min="10" max="10" width="41.6640625" style="70" bestFit="1" customWidth="1"/>
    <col min="11" max="11" width="9.5" style="70" bestFit="1" customWidth="1"/>
    <col min="12" max="12" width="12" style="85" bestFit="1" customWidth="1"/>
    <col min="13" max="16384" width="10.83203125" style="70"/>
  </cols>
  <sheetData>
    <row r="1" spans="1:12" s="83" customFormat="1" ht="17" customHeight="1" thickBot="1" x14ac:dyDescent="0.3">
      <c r="A1" s="92" t="s">
        <v>229</v>
      </c>
      <c r="B1" s="93" t="s">
        <v>0</v>
      </c>
      <c r="C1" s="94" t="s">
        <v>73</v>
      </c>
      <c r="D1" s="94" t="s">
        <v>83</v>
      </c>
      <c r="E1" s="95" t="s">
        <v>41</v>
      </c>
      <c r="F1" s="95" t="s">
        <v>42</v>
      </c>
      <c r="G1" s="95" t="s">
        <v>51</v>
      </c>
      <c r="H1" s="95" t="s">
        <v>52</v>
      </c>
      <c r="I1" s="95" t="s">
        <v>330</v>
      </c>
      <c r="J1" s="96" t="s">
        <v>53</v>
      </c>
      <c r="K1" s="96" t="s">
        <v>64</v>
      </c>
      <c r="L1" s="97" t="s">
        <v>56</v>
      </c>
    </row>
    <row r="2" spans="1:12" x14ac:dyDescent="0.25">
      <c r="A2" s="61" t="s">
        <v>231</v>
      </c>
      <c r="B2" s="69" t="s">
        <v>44</v>
      </c>
      <c r="C2" s="69" t="s">
        <v>274</v>
      </c>
      <c r="D2" s="69"/>
      <c r="E2" s="64"/>
      <c r="F2" s="64" t="s">
        <v>232</v>
      </c>
      <c r="G2" s="64" t="s">
        <v>232</v>
      </c>
      <c r="H2" s="64"/>
      <c r="I2" s="64"/>
      <c r="J2" s="65"/>
      <c r="K2" s="65" t="s">
        <v>62</v>
      </c>
      <c r="L2" s="66">
        <f t="shared" ref="L2:L26" si="0">ROW()-1</f>
        <v>1</v>
      </c>
    </row>
    <row r="3" spans="1:12" x14ac:dyDescent="0.25">
      <c r="A3" s="67" t="s">
        <v>231</v>
      </c>
      <c r="B3" s="2" t="s">
        <v>44</v>
      </c>
      <c r="C3" s="2" t="s">
        <v>222</v>
      </c>
      <c r="D3" s="2"/>
      <c r="E3" s="11"/>
      <c r="F3" s="11" t="s">
        <v>232</v>
      </c>
      <c r="G3" s="11" t="s">
        <v>232</v>
      </c>
      <c r="H3" s="11"/>
      <c r="I3" s="11"/>
      <c r="J3" s="9" t="s">
        <v>69</v>
      </c>
      <c r="K3" s="9" t="s">
        <v>62</v>
      </c>
      <c r="L3" s="68">
        <f t="shared" si="0"/>
        <v>2</v>
      </c>
    </row>
    <row r="4" spans="1:12" ht="18" thickBot="1" x14ac:dyDescent="0.3">
      <c r="A4" s="71" t="s">
        <v>231</v>
      </c>
      <c r="B4" s="98" t="s">
        <v>44</v>
      </c>
      <c r="C4" s="72" t="s">
        <v>275</v>
      </c>
      <c r="D4" s="72"/>
      <c r="E4" s="73"/>
      <c r="F4" s="73"/>
      <c r="G4" s="73"/>
      <c r="H4" s="73"/>
      <c r="I4" s="73"/>
      <c r="J4" s="74"/>
      <c r="K4" s="74" t="s">
        <v>62</v>
      </c>
      <c r="L4" s="91">
        <f t="shared" si="0"/>
        <v>3</v>
      </c>
    </row>
    <row r="5" spans="1:12" x14ac:dyDescent="0.25">
      <c r="A5" s="61" t="s">
        <v>231</v>
      </c>
      <c r="B5" s="62" t="s">
        <v>322</v>
      </c>
      <c r="C5" s="62" t="s">
        <v>278</v>
      </c>
      <c r="D5" s="62"/>
      <c r="E5" s="64"/>
      <c r="F5" s="64" t="s">
        <v>232</v>
      </c>
      <c r="G5" s="64" t="s">
        <v>232</v>
      </c>
      <c r="H5" s="64"/>
      <c r="I5" s="64"/>
      <c r="J5" s="65"/>
      <c r="K5" s="65" t="s">
        <v>62</v>
      </c>
      <c r="L5" s="66">
        <f t="shared" si="0"/>
        <v>4</v>
      </c>
    </row>
    <row r="6" spans="1:12" x14ac:dyDescent="0.25">
      <c r="A6" s="67" t="s">
        <v>231</v>
      </c>
      <c r="B6" s="15" t="s">
        <v>322</v>
      </c>
      <c r="C6" s="15" t="s">
        <v>279</v>
      </c>
      <c r="D6" s="15"/>
      <c r="E6" s="11"/>
      <c r="F6" s="11" t="s">
        <v>232</v>
      </c>
      <c r="G6" s="11" t="s">
        <v>232</v>
      </c>
      <c r="H6" s="11"/>
      <c r="I6" s="11"/>
      <c r="J6" s="9"/>
      <c r="K6" s="9" t="s">
        <v>62</v>
      </c>
      <c r="L6" s="68">
        <f t="shared" si="0"/>
        <v>5</v>
      </c>
    </row>
    <row r="7" spans="1:12" x14ac:dyDescent="0.25">
      <c r="A7" s="67" t="s">
        <v>231</v>
      </c>
      <c r="B7" s="15" t="s">
        <v>322</v>
      </c>
      <c r="C7" s="15" t="s">
        <v>280</v>
      </c>
      <c r="D7" s="15"/>
      <c r="E7" s="11"/>
      <c r="F7" s="11"/>
      <c r="G7" s="11"/>
      <c r="H7" s="11"/>
      <c r="I7" s="11"/>
      <c r="J7" s="9"/>
      <c r="K7" s="9" t="s">
        <v>62</v>
      </c>
      <c r="L7" s="68">
        <f t="shared" si="0"/>
        <v>6</v>
      </c>
    </row>
    <row r="8" spans="1:12" x14ac:dyDescent="0.25">
      <c r="A8" s="67" t="s">
        <v>231</v>
      </c>
      <c r="B8" s="15" t="s">
        <v>322</v>
      </c>
      <c r="C8" s="15" t="s">
        <v>281</v>
      </c>
      <c r="D8" s="15"/>
      <c r="E8" s="11"/>
      <c r="F8" s="11" t="s">
        <v>232</v>
      </c>
      <c r="G8" s="11" t="s">
        <v>232</v>
      </c>
      <c r="H8" s="11"/>
      <c r="I8" s="11"/>
      <c r="J8" s="9" t="s">
        <v>250</v>
      </c>
      <c r="K8" s="9" t="s">
        <v>62</v>
      </c>
      <c r="L8" s="68">
        <f t="shared" si="0"/>
        <v>7</v>
      </c>
    </row>
    <row r="9" spans="1:12" x14ac:dyDescent="0.25">
      <c r="A9" s="89" t="s">
        <v>231</v>
      </c>
      <c r="B9" s="39" t="s">
        <v>322</v>
      </c>
      <c r="C9" s="39" t="s">
        <v>358</v>
      </c>
      <c r="D9" s="39"/>
      <c r="E9" s="40"/>
      <c r="F9" s="40" t="s">
        <v>232</v>
      </c>
      <c r="G9" s="40" t="s">
        <v>232</v>
      </c>
      <c r="H9" s="40"/>
      <c r="I9" s="40"/>
      <c r="J9" s="41" t="s">
        <v>69</v>
      </c>
      <c r="K9" s="41" t="s">
        <v>62</v>
      </c>
      <c r="L9" s="90">
        <f t="shared" si="0"/>
        <v>8</v>
      </c>
    </row>
    <row r="10" spans="1:12" ht="18" thickBot="1" x14ac:dyDescent="0.3">
      <c r="A10" s="75" t="s">
        <v>231</v>
      </c>
      <c r="B10" s="76" t="s">
        <v>322</v>
      </c>
      <c r="C10" s="76" t="s">
        <v>359</v>
      </c>
      <c r="D10" s="76"/>
      <c r="E10" s="77"/>
      <c r="F10" s="77" t="s">
        <v>232</v>
      </c>
      <c r="G10" s="77" t="s">
        <v>232</v>
      </c>
      <c r="H10" s="77"/>
      <c r="I10" s="77"/>
      <c r="J10" s="78" t="s">
        <v>354</v>
      </c>
      <c r="K10" s="78" t="s">
        <v>62</v>
      </c>
      <c r="L10" s="99">
        <f t="shared" si="0"/>
        <v>9</v>
      </c>
    </row>
    <row r="11" spans="1:12" ht="18" thickBot="1" x14ac:dyDescent="0.3">
      <c r="A11" s="79" t="s">
        <v>231</v>
      </c>
      <c r="B11" s="80" t="s">
        <v>81</v>
      </c>
      <c r="C11" s="80" t="s">
        <v>223</v>
      </c>
      <c r="D11" s="80"/>
      <c r="E11" s="81"/>
      <c r="F11" s="81" t="s">
        <v>232</v>
      </c>
      <c r="G11" s="81" t="s">
        <v>232</v>
      </c>
      <c r="H11" s="81"/>
      <c r="I11" s="81"/>
      <c r="J11" s="82"/>
      <c r="K11" s="82" t="s">
        <v>62</v>
      </c>
      <c r="L11" s="100">
        <f t="shared" si="0"/>
        <v>10</v>
      </c>
    </row>
    <row r="12" spans="1:12" x14ac:dyDescent="0.25">
      <c r="A12" s="61" t="s">
        <v>231</v>
      </c>
      <c r="B12" s="62" t="s">
        <v>49</v>
      </c>
      <c r="C12" s="62" t="s">
        <v>277</v>
      </c>
      <c r="D12" s="62"/>
      <c r="E12" s="64"/>
      <c r="F12" s="64"/>
      <c r="G12" s="64"/>
      <c r="H12" s="64"/>
      <c r="I12" s="64"/>
      <c r="J12" s="65"/>
      <c r="K12" s="65" t="s">
        <v>62</v>
      </c>
      <c r="L12" s="66">
        <f t="shared" si="0"/>
        <v>11</v>
      </c>
    </row>
    <row r="13" spans="1:12" x14ac:dyDescent="0.25">
      <c r="A13" s="67" t="s">
        <v>231</v>
      </c>
      <c r="B13" s="15" t="s">
        <v>49</v>
      </c>
      <c r="C13" s="42" t="s">
        <v>361</v>
      </c>
      <c r="D13" s="15"/>
      <c r="E13" s="11"/>
      <c r="F13" s="11"/>
      <c r="G13" s="11"/>
      <c r="H13" s="11"/>
      <c r="I13" s="11"/>
      <c r="J13" s="9"/>
      <c r="K13" s="9" t="s">
        <v>62</v>
      </c>
      <c r="L13" s="68">
        <f t="shared" si="0"/>
        <v>12</v>
      </c>
    </row>
    <row r="14" spans="1:12" x14ac:dyDescent="0.25">
      <c r="A14" s="67" t="s">
        <v>231</v>
      </c>
      <c r="B14" s="15" t="s">
        <v>49</v>
      </c>
      <c r="C14" s="42" t="s">
        <v>362</v>
      </c>
      <c r="D14" s="15"/>
      <c r="E14" s="11"/>
      <c r="F14" s="11"/>
      <c r="G14" s="11"/>
      <c r="H14" s="11"/>
      <c r="I14" s="11"/>
      <c r="J14" s="9"/>
      <c r="K14" s="9" t="s">
        <v>62</v>
      </c>
      <c r="L14" s="68">
        <f t="shared" si="0"/>
        <v>13</v>
      </c>
    </row>
    <row r="15" spans="1:12" x14ac:dyDescent="0.25">
      <c r="A15" s="67" t="s">
        <v>231</v>
      </c>
      <c r="B15" s="15" t="s">
        <v>49</v>
      </c>
      <c r="C15" s="42" t="s">
        <v>363</v>
      </c>
      <c r="D15" s="15"/>
      <c r="E15" s="11"/>
      <c r="F15" s="11"/>
      <c r="G15" s="11"/>
      <c r="H15" s="11"/>
      <c r="I15" s="11"/>
      <c r="J15" s="9"/>
      <c r="K15" s="9" t="s">
        <v>62</v>
      </c>
      <c r="L15" s="68">
        <f t="shared" si="0"/>
        <v>14</v>
      </c>
    </row>
    <row r="16" spans="1:12" x14ac:dyDescent="0.25">
      <c r="A16" s="67" t="s">
        <v>231</v>
      </c>
      <c r="B16" s="15" t="s">
        <v>49</v>
      </c>
      <c r="C16" s="42" t="s">
        <v>365</v>
      </c>
      <c r="D16" s="15"/>
      <c r="E16" s="11"/>
      <c r="F16" s="11"/>
      <c r="G16" s="11"/>
      <c r="H16" s="11"/>
      <c r="I16" s="11"/>
      <c r="J16" s="9"/>
      <c r="K16" s="9" t="s">
        <v>62</v>
      </c>
      <c r="L16" s="68">
        <f t="shared" si="0"/>
        <v>15</v>
      </c>
    </row>
    <row r="17" spans="1:12" s="86" customFormat="1" ht="18" thickBot="1" x14ac:dyDescent="0.3">
      <c r="A17" s="51" t="s">
        <v>231</v>
      </c>
      <c r="B17" s="52" t="s">
        <v>49</v>
      </c>
      <c r="C17" s="52" t="s">
        <v>372</v>
      </c>
      <c r="D17" s="52"/>
      <c r="E17" s="54"/>
      <c r="F17" s="54" t="s">
        <v>232</v>
      </c>
      <c r="G17" s="54" t="s">
        <v>232</v>
      </c>
      <c r="H17" s="54"/>
      <c r="I17" s="54"/>
      <c r="J17" s="55"/>
      <c r="K17" s="55" t="s">
        <v>62</v>
      </c>
      <c r="L17" s="56">
        <f t="shared" si="0"/>
        <v>16</v>
      </c>
    </row>
    <row r="18" spans="1:12" ht="18" thickBot="1" x14ac:dyDescent="0.3">
      <c r="A18" s="79" t="s">
        <v>231</v>
      </c>
      <c r="B18" s="80" t="s">
        <v>49</v>
      </c>
      <c r="C18" s="120" t="s">
        <v>391</v>
      </c>
      <c r="D18" s="80"/>
      <c r="E18" s="81"/>
      <c r="F18" s="81" t="s">
        <v>232</v>
      </c>
      <c r="G18" s="81" t="s">
        <v>232</v>
      </c>
      <c r="H18" s="81"/>
      <c r="I18" s="81"/>
      <c r="J18" s="82" t="s">
        <v>364</v>
      </c>
      <c r="K18" s="82" t="s">
        <v>62</v>
      </c>
      <c r="L18" s="100">
        <f t="shared" si="0"/>
        <v>17</v>
      </c>
    </row>
    <row r="19" spans="1:12" x14ac:dyDescent="0.25">
      <c r="A19" s="61" t="s">
        <v>231</v>
      </c>
      <c r="B19" s="62" t="s">
        <v>49</v>
      </c>
      <c r="C19" s="63" t="s">
        <v>366</v>
      </c>
      <c r="D19" s="62"/>
      <c r="E19" s="64"/>
      <c r="F19" s="64"/>
      <c r="G19" s="64"/>
      <c r="H19" s="64"/>
      <c r="I19" s="64"/>
      <c r="J19" s="65"/>
      <c r="K19" s="65" t="s">
        <v>62</v>
      </c>
      <c r="L19" s="66">
        <f t="shared" si="0"/>
        <v>18</v>
      </c>
    </row>
    <row r="20" spans="1:12" x14ac:dyDescent="0.25">
      <c r="A20" s="67" t="s">
        <v>231</v>
      </c>
      <c r="B20" s="15" t="s">
        <v>49</v>
      </c>
      <c r="C20" s="15" t="s">
        <v>324</v>
      </c>
      <c r="D20" s="15"/>
      <c r="E20" s="11"/>
      <c r="F20" s="11"/>
      <c r="G20" s="11"/>
      <c r="H20" s="11"/>
      <c r="I20" s="11"/>
      <c r="J20" s="9"/>
      <c r="K20" s="9" t="s">
        <v>62</v>
      </c>
      <c r="L20" s="68">
        <f t="shared" si="0"/>
        <v>19</v>
      </c>
    </row>
    <row r="21" spans="1:12" s="86" customFormat="1" ht="18" thickBot="1" x14ac:dyDescent="0.3">
      <c r="A21" s="51" t="s">
        <v>231</v>
      </c>
      <c r="B21" s="52" t="s">
        <v>49</v>
      </c>
      <c r="C21" s="52" t="s">
        <v>370</v>
      </c>
      <c r="D21" s="52"/>
      <c r="E21" s="54"/>
      <c r="F21" s="54" t="s">
        <v>232</v>
      </c>
      <c r="G21" s="54" t="s">
        <v>232</v>
      </c>
      <c r="H21" s="54"/>
      <c r="I21" s="54"/>
      <c r="J21" s="55" t="s">
        <v>371</v>
      </c>
      <c r="K21" s="55" t="s">
        <v>62</v>
      </c>
      <c r="L21" s="56">
        <f t="shared" si="0"/>
        <v>20</v>
      </c>
    </row>
    <row r="22" spans="1:12" s="87" customFormat="1" x14ac:dyDescent="0.25">
      <c r="A22" s="44" t="s">
        <v>231</v>
      </c>
      <c r="B22" s="45" t="s">
        <v>49</v>
      </c>
      <c r="C22" s="45" t="s">
        <v>332</v>
      </c>
      <c r="D22" s="45"/>
      <c r="E22" s="46"/>
      <c r="F22" s="46"/>
      <c r="G22" s="46"/>
      <c r="H22" s="46"/>
      <c r="I22" s="46"/>
      <c r="J22" s="47" t="s">
        <v>334</v>
      </c>
      <c r="K22" s="47" t="s">
        <v>62</v>
      </c>
      <c r="L22" s="48">
        <f t="shared" si="0"/>
        <v>21</v>
      </c>
    </row>
    <row r="23" spans="1:12" s="87" customFormat="1" x14ac:dyDescent="0.25">
      <c r="A23" s="49" t="s">
        <v>231</v>
      </c>
      <c r="B23" s="32" t="s">
        <v>49</v>
      </c>
      <c r="C23" s="32" t="s">
        <v>333</v>
      </c>
      <c r="D23" s="32"/>
      <c r="E23" s="34"/>
      <c r="F23" s="34"/>
      <c r="G23" s="34"/>
      <c r="H23" s="34"/>
      <c r="I23" s="34"/>
      <c r="J23" s="35" t="s">
        <v>335</v>
      </c>
      <c r="K23" s="35" t="s">
        <v>62</v>
      </c>
      <c r="L23" s="50">
        <f t="shared" si="0"/>
        <v>22</v>
      </c>
    </row>
    <row r="24" spans="1:12" s="86" customFormat="1" ht="18" thickBot="1" x14ac:dyDescent="0.3">
      <c r="A24" s="51" t="s">
        <v>231</v>
      </c>
      <c r="B24" s="52" t="s">
        <v>49</v>
      </c>
      <c r="C24" s="52" t="s">
        <v>368</v>
      </c>
      <c r="D24" s="52"/>
      <c r="E24" s="54"/>
      <c r="F24" s="54" t="s">
        <v>232</v>
      </c>
      <c r="G24" s="54" t="s">
        <v>232</v>
      </c>
      <c r="H24" s="54"/>
      <c r="I24" s="54"/>
      <c r="J24" s="55" t="s">
        <v>369</v>
      </c>
      <c r="K24" s="55" t="s">
        <v>62</v>
      </c>
      <c r="L24" s="56">
        <f t="shared" si="0"/>
        <v>23</v>
      </c>
    </row>
    <row r="25" spans="1:12" s="118" customFormat="1" ht="18" thickBot="1" x14ac:dyDescent="0.3">
      <c r="A25" s="113" t="s">
        <v>231</v>
      </c>
      <c r="B25" s="114" t="s">
        <v>49</v>
      </c>
      <c r="C25" s="114" t="s">
        <v>388</v>
      </c>
      <c r="D25" s="114"/>
      <c r="E25" s="115"/>
      <c r="F25" s="115" t="b">
        <v>1</v>
      </c>
      <c r="G25" s="115" t="b">
        <v>1</v>
      </c>
      <c r="H25" s="115"/>
      <c r="I25" s="115"/>
      <c r="J25" s="116" t="s">
        <v>389</v>
      </c>
      <c r="K25" s="116" t="s">
        <v>62</v>
      </c>
      <c r="L25" s="117">
        <f t="shared" si="0"/>
        <v>24</v>
      </c>
    </row>
    <row r="26" spans="1:12" s="86" customFormat="1" ht="18" thickBot="1" x14ac:dyDescent="0.3">
      <c r="A26" s="132" t="s">
        <v>231</v>
      </c>
      <c r="B26" s="133" t="s">
        <v>242</v>
      </c>
      <c r="C26" s="133" t="s">
        <v>276</v>
      </c>
      <c r="D26" s="133"/>
      <c r="E26" s="134" t="b">
        <v>1</v>
      </c>
      <c r="F26" s="134" t="b">
        <v>1</v>
      </c>
      <c r="G26" s="53"/>
      <c r="H26" s="53" t="s">
        <v>233</v>
      </c>
      <c r="I26" s="53"/>
      <c r="J26" s="131" t="s">
        <v>412</v>
      </c>
      <c r="K26" s="135" t="s">
        <v>62</v>
      </c>
      <c r="L26" s="136">
        <f t="shared" si="0"/>
        <v>25</v>
      </c>
    </row>
  </sheetData>
  <autoFilter ref="A1:L26" xr:uid="{BF23B683-0DC8-C94F-A77F-7489F4DB58C1}"/>
  <conditionalFormatting sqref="A2:A26">
    <cfRule type="expression" dxfId="79" priority="67" stopIfTrue="1">
      <formula>$K2="yellow"</formula>
    </cfRule>
    <cfRule type="expression" dxfId="78" priority="66" stopIfTrue="1">
      <formula>$K2="blue"</formula>
    </cfRule>
    <cfRule type="expression" dxfId="77" priority="65" stopIfTrue="1">
      <formula>$K2="orange"</formula>
    </cfRule>
    <cfRule type="expression" dxfId="76" priority="64" stopIfTrue="1">
      <formula>$K2="None"</formula>
    </cfRule>
  </conditionalFormatting>
  <conditionalFormatting sqref="B4">
    <cfRule type="expression" dxfId="75" priority="36" stopIfTrue="1">
      <formula>$K4="yellow"</formula>
    </cfRule>
    <cfRule type="expression" dxfId="74" priority="35" stopIfTrue="1">
      <formula>$K4="blue"</formula>
    </cfRule>
    <cfRule type="expression" dxfId="73" priority="34" stopIfTrue="1">
      <formula>$K4="orange"</formula>
    </cfRule>
    <cfRule type="expression" dxfId="72" priority="33" stopIfTrue="1">
      <formula>$K4="None"</formula>
    </cfRule>
  </conditionalFormatting>
  <conditionalFormatting sqref="B5:B8 B5:D6">
    <cfRule type="expression" dxfId="71" priority="76" stopIfTrue="1">
      <formula>$K4="None"</formula>
    </cfRule>
  </conditionalFormatting>
  <conditionalFormatting sqref="B2:D3">
    <cfRule type="expression" dxfId="70" priority="48" stopIfTrue="1">
      <formula>$K2="None"</formula>
    </cfRule>
    <cfRule type="expression" dxfId="69" priority="49" stopIfTrue="1">
      <formula>$K2="orange"</formula>
    </cfRule>
    <cfRule type="expression" dxfId="68" priority="50" stopIfTrue="1">
      <formula>$K2="blue"</formula>
    </cfRule>
    <cfRule type="expression" dxfId="67" priority="51" stopIfTrue="1">
      <formula>$K2="yellow"</formula>
    </cfRule>
  </conditionalFormatting>
  <conditionalFormatting sqref="B5:D6 B5:B8">
    <cfRule type="expression" dxfId="66" priority="77" stopIfTrue="1">
      <formula>$K4="orange"</formula>
    </cfRule>
    <cfRule type="expression" dxfId="65" priority="78" stopIfTrue="1">
      <formula>$K4="blue"</formula>
    </cfRule>
    <cfRule type="expression" dxfId="64" priority="79" stopIfTrue="1">
      <formula>$K4="yellow"</formula>
    </cfRule>
  </conditionalFormatting>
  <conditionalFormatting sqref="B9:D10">
    <cfRule type="expression" dxfId="63" priority="22" stopIfTrue="1">
      <formula>$K9="orange"</formula>
    </cfRule>
    <cfRule type="expression" dxfId="62" priority="23" stopIfTrue="1">
      <formula>$K9="blue"</formula>
    </cfRule>
    <cfRule type="expression" dxfId="61" priority="24" stopIfTrue="1">
      <formula>$K9="yellow"</formula>
    </cfRule>
    <cfRule type="expression" dxfId="60" priority="21" stopIfTrue="1">
      <formula>$K9="None"</formula>
    </cfRule>
  </conditionalFormatting>
  <conditionalFormatting sqref="B12:D17 B23:D25">
    <cfRule type="expression" dxfId="59" priority="29" stopIfTrue="1">
      <formula>$K11="None"</formula>
    </cfRule>
    <cfRule type="expression" dxfId="58" priority="30" stopIfTrue="1">
      <formula>$K11="orange"</formula>
    </cfRule>
    <cfRule type="expression" dxfId="57" priority="32" stopIfTrue="1">
      <formula>$K11="yellow"</formula>
    </cfRule>
    <cfRule type="expression" dxfId="56" priority="31" stopIfTrue="1">
      <formula>$K11="blue"</formula>
    </cfRule>
  </conditionalFormatting>
  <conditionalFormatting sqref="B19:D21">
    <cfRule type="expression" dxfId="55" priority="20" stopIfTrue="1">
      <formula>$K11="yellow"</formula>
    </cfRule>
    <cfRule type="expression" dxfId="54" priority="19" stopIfTrue="1">
      <formula>$K11="blue"</formula>
    </cfRule>
    <cfRule type="expression" dxfId="53" priority="18" stopIfTrue="1">
      <formula>$K11="orange"</formula>
    </cfRule>
    <cfRule type="expression" dxfId="52" priority="17" stopIfTrue="1">
      <formula>$K11="None"</formula>
    </cfRule>
  </conditionalFormatting>
  <conditionalFormatting sqref="B26:D26">
    <cfRule type="expression" dxfId="51" priority="235" stopIfTrue="1">
      <formula>$K22="yellow"</formula>
    </cfRule>
    <cfRule type="expression" dxfId="50" priority="232" stopIfTrue="1">
      <formula>$K22="None"</formula>
    </cfRule>
    <cfRule type="expression" dxfId="49" priority="233" stopIfTrue="1">
      <formula>$K22="orange"</formula>
    </cfRule>
    <cfRule type="expression" dxfId="48" priority="234" stopIfTrue="1">
      <formula>$K22="blue"</formula>
    </cfRule>
  </conditionalFormatting>
  <conditionalFormatting sqref="C4:D4 B7:D7 B18:D18 B22:D22">
    <cfRule type="expression" dxfId="47" priority="73" stopIfTrue="1">
      <formula>$K2="orange"</formula>
    </cfRule>
    <cfRule type="expression" dxfId="46" priority="74" stopIfTrue="1">
      <formula>$K2="blue"</formula>
    </cfRule>
    <cfRule type="expression" dxfId="45" priority="75" stopIfTrue="1">
      <formula>$K2="yellow"</formula>
    </cfRule>
    <cfRule type="expression" dxfId="44" priority="72" stopIfTrue="1">
      <formula>$K2="None"</formula>
    </cfRule>
  </conditionalFormatting>
  <conditionalFormatting sqref="C8:D8 B11:D11">
    <cfRule type="expression" dxfId="43" priority="164" stopIfTrue="1">
      <formula>$K5="None"</formula>
    </cfRule>
    <cfRule type="expression" dxfId="42" priority="165" stopIfTrue="1">
      <formula>$K5="orange"</formula>
    </cfRule>
    <cfRule type="expression" dxfId="41" priority="166" stopIfTrue="1">
      <formula>$K5="blue"</formula>
    </cfRule>
    <cfRule type="expression" dxfId="40" priority="167" stopIfTrue="1">
      <formula>$K5="yellow"</formula>
    </cfRule>
  </conditionalFormatting>
  <conditionalFormatting sqref="E2:L26">
    <cfRule type="expression" dxfId="39" priority="4" stopIfTrue="1">
      <formula>$K2="yellow"</formula>
    </cfRule>
    <cfRule type="expression" dxfId="38" priority="3" stopIfTrue="1">
      <formula>$K2="blue"</formula>
    </cfRule>
    <cfRule type="expression" dxfId="37" priority="2" stopIfTrue="1">
      <formula>$K2="orange"</formula>
    </cfRule>
    <cfRule type="expression" dxfId="36" priority="1" stopIfTrue="1">
      <formula>$K2="None"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6747-7E0E-B647-8B6E-53ED5CB62B1D}">
  <dimension ref="A1:L3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0" sqref="B20:B21"/>
    </sheetView>
  </sheetViews>
  <sheetFormatPr baseColWidth="10" defaultColWidth="10.83203125" defaultRowHeight="17" x14ac:dyDescent="0.25"/>
  <cols>
    <col min="1" max="1" width="6" style="12" bestFit="1" customWidth="1"/>
    <col min="2" max="2" width="22.1640625" style="1" bestFit="1" customWidth="1"/>
    <col min="3" max="3" width="39.6640625" style="1" bestFit="1" customWidth="1"/>
    <col min="4" max="4" width="8.5" style="1" bestFit="1" customWidth="1"/>
    <col min="5" max="8" width="6" style="4" bestFit="1" customWidth="1"/>
    <col min="9" max="9" width="4.83203125" style="4" bestFit="1" customWidth="1"/>
    <col min="10" max="10" width="30.83203125" style="3" bestFit="1" customWidth="1"/>
    <col min="11" max="11" width="8.5" style="3" bestFit="1" customWidth="1"/>
    <col min="12" max="12" width="7.1640625" style="12" bestFit="1" customWidth="1"/>
    <col min="13" max="16384" width="10.83203125" style="3"/>
  </cols>
  <sheetData>
    <row r="1" spans="1:12" s="31" customFormat="1" ht="17" customHeight="1" thickBot="1" x14ac:dyDescent="0.3">
      <c r="A1" s="26" t="s">
        <v>229</v>
      </c>
      <c r="B1" s="27" t="s">
        <v>0</v>
      </c>
      <c r="C1" s="28" t="s">
        <v>73</v>
      </c>
      <c r="D1" s="28" t="s">
        <v>83</v>
      </c>
      <c r="E1" s="29" t="s">
        <v>41</v>
      </c>
      <c r="F1" s="29" t="s">
        <v>42</v>
      </c>
      <c r="G1" s="29" t="s">
        <v>51</v>
      </c>
      <c r="H1" s="29" t="s">
        <v>52</v>
      </c>
      <c r="I1" s="29" t="s">
        <v>330</v>
      </c>
      <c r="J1" s="30" t="s">
        <v>53</v>
      </c>
      <c r="K1" s="30" t="s">
        <v>64</v>
      </c>
      <c r="L1" s="26" t="s">
        <v>56</v>
      </c>
    </row>
    <row r="2" spans="1:12" x14ac:dyDescent="0.25">
      <c r="A2" s="18" t="s">
        <v>55</v>
      </c>
      <c r="B2" s="17" t="s">
        <v>54</v>
      </c>
      <c r="C2" s="17" t="s">
        <v>224</v>
      </c>
      <c r="D2" s="17"/>
      <c r="E2" s="13" t="b">
        <v>1</v>
      </c>
      <c r="F2" s="13" t="b">
        <v>1</v>
      </c>
      <c r="G2" s="13"/>
      <c r="H2" s="13"/>
      <c r="I2" s="13"/>
      <c r="J2" s="14" t="s">
        <v>72</v>
      </c>
      <c r="K2" s="14" t="s">
        <v>63</v>
      </c>
      <c r="L2" s="13">
        <f t="shared" ref="L2:L36" si="0">ROW()-1</f>
        <v>1</v>
      </c>
    </row>
    <row r="3" spans="1:12" s="127" customFormat="1" x14ac:dyDescent="0.25">
      <c r="A3" s="122" t="s">
        <v>55</v>
      </c>
      <c r="B3" s="123" t="s">
        <v>408</v>
      </c>
      <c r="C3" s="123" t="s">
        <v>409</v>
      </c>
      <c r="D3" s="123"/>
      <c r="E3" s="124" t="b">
        <v>1</v>
      </c>
      <c r="F3" s="124" t="b">
        <v>1</v>
      </c>
      <c r="G3" s="124"/>
      <c r="H3" s="124"/>
      <c r="I3" s="125"/>
      <c r="J3" s="126" t="s">
        <v>410</v>
      </c>
      <c r="K3" s="126" t="s">
        <v>63</v>
      </c>
      <c r="L3" s="125">
        <f t="shared" si="0"/>
        <v>2</v>
      </c>
    </row>
    <row r="4" spans="1:12" x14ac:dyDescent="0.25">
      <c r="A4" s="57" t="s">
        <v>55</v>
      </c>
      <c r="B4" s="58" t="s">
        <v>262</v>
      </c>
      <c r="C4" s="58" t="s">
        <v>272</v>
      </c>
      <c r="D4" s="58"/>
      <c r="E4" s="11" t="b">
        <v>1</v>
      </c>
      <c r="F4" s="11" t="b">
        <v>1</v>
      </c>
      <c r="G4" s="11"/>
      <c r="H4" s="11"/>
      <c r="I4" s="59"/>
      <c r="J4" s="126" t="s">
        <v>399</v>
      </c>
      <c r="K4" s="60" t="s">
        <v>63</v>
      </c>
      <c r="L4" s="59">
        <f t="shared" si="0"/>
        <v>3</v>
      </c>
    </row>
    <row r="5" spans="1:12" s="127" customFormat="1" ht="18" thickBot="1" x14ac:dyDescent="0.3">
      <c r="A5" s="122" t="s">
        <v>55</v>
      </c>
      <c r="B5" s="123" t="s">
        <v>401</v>
      </c>
      <c r="C5" s="123" t="s">
        <v>402</v>
      </c>
      <c r="D5" s="123"/>
      <c r="E5" s="124" t="b">
        <v>1</v>
      </c>
      <c r="F5" s="124" t="b">
        <v>1</v>
      </c>
      <c r="G5" s="124"/>
      <c r="H5" s="124"/>
      <c r="I5" s="125"/>
      <c r="J5" s="126" t="s">
        <v>400</v>
      </c>
      <c r="K5" s="126" t="s">
        <v>63</v>
      </c>
      <c r="L5" s="125">
        <f t="shared" si="0"/>
        <v>4</v>
      </c>
    </row>
    <row r="6" spans="1:12" s="36" customFormat="1" x14ac:dyDescent="0.25">
      <c r="A6" s="44" t="s">
        <v>55</v>
      </c>
      <c r="B6" s="45" t="s">
        <v>75</v>
      </c>
      <c r="C6" s="45" t="s">
        <v>336</v>
      </c>
      <c r="D6" s="45"/>
      <c r="E6" s="46"/>
      <c r="F6" s="46"/>
      <c r="G6" s="46"/>
      <c r="H6" s="46"/>
      <c r="I6" s="46"/>
      <c r="J6" s="47" t="s">
        <v>340</v>
      </c>
      <c r="K6" s="47" t="s">
        <v>63</v>
      </c>
      <c r="L6" s="48">
        <f t="shared" si="0"/>
        <v>5</v>
      </c>
    </row>
    <row r="7" spans="1:12" s="36" customFormat="1" x14ac:dyDescent="0.25">
      <c r="A7" s="49" t="s">
        <v>55</v>
      </c>
      <c r="B7" s="32" t="s">
        <v>75</v>
      </c>
      <c r="C7" s="32" t="s">
        <v>337</v>
      </c>
      <c r="D7" s="32"/>
      <c r="E7" s="33"/>
      <c r="F7" s="33"/>
      <c r="G7" s="33"/>
      <c r="H7" s="33"/>
      <c r="I7" s="34"/>
      <c r="J7" s="35" t="s">
        <v>341</v>
      </c>
      <c r="K7" s="35" t="s">
        <v>63</v>
      </c>
      <c r="L7" s="50">
        <f t="shared" si="0"/>
        <v>6</v>
      </c>
    </row>
    <row r="8" spans="1:12" s="43" customFormat="1" ht="18" thickBot="1" x14ac:dyDescent="0.3">
      <c r="A8" s="51" t="s">
        <v>55</v>
      </c>
      <c r="B8" s="52" t="s">
        <v>75</v>
      </c>
      <c r="C8" s="52" t="s">
        <v>375</v>
      </c>
      <c r="D8" s="52"/>
      <c r="E8" s="53"/>
      <c r="F8" s="112" t="b">
        <v>1</v>
      </c>
      <c r="G8" s="53" t="b">
        <v>1</v>
      </c>
      <c r="H8" s="53" t="b">
        <v>1</v>
      </c>
      <c r="I8" s="54"/>
      <c r="J8" s="55" t="s">
        <v>373</v>
      </c>
      <c r="K8" s="55" t="s">
        <v>63</v>
      </c>
      <c r="L8" s="56">
        <f t="shared" si="0"/>
        <v>7</v>
      </c>
    </row>
    <row r="9" spans="1:12" s="36" customFormat="1" x14ac:dyDescent="0.25">
      <c r="A9" s="101" t="s">
        <v>55</v>
      </c>
      <c r="B9" s="104" t="s">
        <v>273</v>
      </c>
      <c r="C9" s="45" t="s">
        <v>338</v>
      </c>
      <c r="D9" s="45"/>
      <c r="E9" s="46"/>
      <c r="F9" s="46"/>
      <c r="G9" s="46"/>
      <c r="H9" s="46"/>
      <c r="I9" s="46"/>
      <c r="J9" s="47" t="s">
        <v>334</v>
      </c>
      <c r="K9" s="47" t="s">
        <v>63</v>
      </c>
      <c r="L9" s="48">
        <f t="shared" si="0"/>
        <v>8</v>
      </c>
    </row>
    <row r="10" spans="1:12" s="36" customFormat="1" x14ac:dyDescent="0.25">
      <c r="A10" s="102" t="s">
        <v>55</v>
      </c>
      <c r="B10" s="105" t="s">
        <v>273</v>
      </c>
      <c r="C10" s="32" t="s">
        <v>339</v>
      </c>
      <c r="D10" s="32"/>
      <c r="E10" s="33"/>
      <c r="F10" s="33"/>
      <c r="G10" s="33"/>
      <c r="H10" s="33"/>
      <c r="I10" s="34"/>
      <c r="J10" s="35" t="s">
        <v>335</v>
      </c>
      <c r="K10" s="35" t="s">
        <v>63</v>
      </c>
      <c r="L10" s="50">
        <f t="shared" si="0"/>
        <v>9</v>
      </c>
    </row>
    <row r="11" spans="1:12" s="43" customFormat="1" ht="18" thickBot="1" x14ac:dyDescent="0.3">
      <c r="A11" s="103" t="s">
        <v>55</v>
      </c>
      <c r="B11" s="106" t="s">
        <v>273</v>
      </c>
      <c r="C11" s="52" t="s">
        <v>374</v>
      </c>
      <c r="D11" s="52"/>
      <c r="E11" s="53"/>
      <c r="F11" s="53"/>
      <c r="G11" s="53" t="b">
        <v>1</v>
      </c>
      <c r="H11" s="53" t="b">
        <v>1</v>
      </c>
      <c r="I11" s="54"/>
      <c r="J11" s="55" t="s">
        <v>369</v>
      </c>
      <c r="K11" s="55" t="s">
        <v>63</v>
      </c>
      <c r="L11" s="56">
        <f t="shared" si="0"/>
        <v>10</v>
      </c>
    </row>
    <row r="12" spans="1:12" x14ac:dyDescent="0.25">
      <c r="A12" s="19" t="s">
        <v>55</v>
      </c>
      <c r="B12" s="17" t="s">
        <v>291</v>
      </c>
      <c r="C12" s="17" t="s">
        <v>293</v>
      </c>
      <c r="D12" s="17"/>
      <c r="E12" s="13" t="b">
        <v>1</v>
      </c>
      <c r="F12" s="13" t="b">
        <v>1</v>
      </c>
      <c r="G12" s="13"/>
      <c r="H12" s="13"/>
      <c r="I12" s="13"/>
      <c r="J12" s="14"/>
      <c r="K12" s="14" t="s">
        <v>63</v>
      </c>
      <c r="L12" s="13">
        <f t="shared" si="0"/>
        <v>11</v>
      </c>
    </row>
    <row r="13" spans="1:12" x14ac:dyDescent="0.25">
      <c r="A13" s="19" t="s">
        <v>55</v>
      </c>
      <c r="B13" s="16" t="s">
        <v>292</v>
      </c>
      <c r="C13" s="16" t="s">
        <v>294</v>
      </c>
      <c r="D13" s="16"/>
      <c r="E13" s="13" t="b">
        <v>1</v>
      </c>
      <c r="F13" s="13" t="b">
        <v>1</v>
      </c>
      <c r="G13" s="13"/>
      <c r="H13" s="13"/>
      <c r="I13" s="11"/>
      <c r="J13" s="9"/>
      <c r="K13" s="9" t="s">
        <v>63</v>
      </c>
      <c r="L13" s="11">
        <f t="shared" si="0"/>
        <v>12</v>
      </c>
    </row>
    <row r="14" spans="1:12" x14ac:dyDescent="0.25">
      <c r="A14" s="19" t="s">
        <v>55</v>
      </c>
      <c r="B14" s="15" t="s">
        <v>268</v>
      </c>
      <c r="C14" s="15" t="s">
        <v>270</v>
      </c>
      <c r="D14" s="15"/>
      <c r="E14" s="13" t="b">
        <v>1</v>
      </c>
      <c r="F14" s="13" t="b">
        <v>1</v>
      </c>
      <c r="G14" s="13"/>
      <c r="H14" s="13"/>
      <c r="I14" s="11"/>
      <c r="J14" s="9"/>
      <c r="K14" s="9" t="s">
        <v>63</v>
      </c>
      <c r="L14" s="11">
        <f t="shared" si="0"/>
        <v>13</v>
      </c>
    </row>
    <row r="15" spans="1:12" x14ac:dyDescent="0.25">
      <c r="A15" s="19" t="s">
        <v>55</v>
      </c>
      <c r="B15" s="16" t="s">
        <v>269</v>
      </c>
      <c r="C15" s="16" t="s">
        <v>271</v>
      </c>
      <c r="D15" s="16"/>
      <c r="E15" s="13" t="b">
        <v>1</v>
      </c>
      <c r="F15" s="13" t="b">
        <v>1</v>
      </c>
      <c r="G15" s="13"/>
      <c r="H15" s="13"/>
      <c r="I15" s="11"/>
      <c r="J15" s="9"/>
      <c r="K15" s="9" t="s">
        <v>63</v>
      </c>
      <c r="L15" s="11">
        <f t="shared" si="0"/>
        <v>14</v>
      </c>
    </row>
    <row r="16" spans="1:12" x14ac:dyDescent="0.25">
      <c r="A16" s="19" t="s">
        <v>55</v>
      </c>
      <c r="B16" s="15" t="s">
        <v>74</v>
      </c>
      <c r="C16" s="20" t="s">
        <v>325</v>
      </c>
      <c r="D16" s="15"/>
      <c r="E16" s="11" t="s">
        <v>233</v>
      </c>
      <c r="F16" s="11" t="s">
        <v>233</v>
      </c>
      <c r="G16" s="11"/>
      <c r="H16" s="11"/>
      <c r="I16" s="11"/>
      <c r="J16" s="9"/>
      <c r="K16" s="9" t="s">
        <v>63</v>
      </c>
      <c r="L16" s="11">
        <f t="shared" si="0"/>
        <v>15</v>
      </c>
    </row>
    <row r="17" spans="1:12" x14ac:dyDescent="0.25">
      <c r="A17" s="19" t="s">
        <v>55</v>
      </c>
      <c r="B17" s="15" t="s">
        <v>267</v>
      </c>
      <c r="C17" s="15" t="s">
        <v>225</v>
      </c>
      <c r="D17" s="15"/>
      <c r="E17" s="11"/>
      <c r="F17" s="11" t="s">
        <v>233</v>
      </c>
      <c r="G17" s="11"/>
      <c r="H17" s="11"/>
      <c r="I17" s="11"/>
      <c r="J17" s="9"/>
      <c r="K17" s="9" t="s">
        <v>63</v>
      </c>
      <c r="L17" s="11">
        <f t="shared" si="0"/>
        <v>16</v>
      </c>
    </row>
    <row r="18" spans="1:12" x14ac:dyDescent="0.25">
      <c r="A18" s="19" t="s">
        <v>55</v>
      </c>
      <c r="B18" s="15" t="s">
        <v>328</v>
      </c>
      <c r="C18" s="20" t="s">
        <v>326</v>
      </c>
      <c r="D18" s="15"/>
      <c r="E18" s="11"/>
      <c r="F18" s="11"/>
      <c r="G18" s="11"/>
      <c r="H18" s="11"/>
      <c r="I18" s="11"/>
      <c r="J18" s="9"/>
      <c r="K18" s="9" t="s">
        <v>63</v>
      </c>
      <c r="L18" s="11">
        <f t="shared" si="0"/>
        <v>17</v>
      </c>
    </row>
    <row r="19" spans="1:12" x14ac:dyDescent="0.25">
      <c r="A19" s="19" t="s">
        <v>55</v>
      </c>
      <c r="B19" s="15" t="s">
        <v>254</v>
      </c>
      <c r="C19" s="20" t="s">
        <v>327</v>
      </c>
      <c r="D19" s="15"/>
      <c r="E19" s="11" t="s">
        <v>233</v>
      </c>
      <c r="F19" s="11" t="s">
        <v>233</v>
      </c>
      <c r="G19" s="11"/>
      <c r="H19" s="11"/>
      <c r="I19" s="11"/>
      <c r="J19" s="9"/>
      <c r="K19" s="9" t="s">
        <v>63</v>
      </c>
      <c r="L19" s="11">
        <f t="shared" si="0"/>
        <v>18</v>
      </c>
    </row>
    <row r="20" spans="1:12" x14ac:dyDescent="0.25">
      <c r="A20" s="19" t="s">
        <v>55</v>
      </c>
      <c r="B20" s="15" t="s">
        <v>82</v>
      </c>
      <c r="C20" s="15" t="s">
        <v>226</v>
      </c>
      <c r="D20" s="15"/>
      <c r="E20" s="11"/>
      <c r="F20" s="11"/>
      <c r="G20" s="150" t="b">
        <v>1</v>
      </c>
      <c r="H20" s="150" t="b">
        <v>1</v>
      </c>
      <c r="I20" s="11"/>
      <c r="J20" s="151" t="s">
        <v>444</v>
      </c>
      <c r="K20" s="9" t="s">
        <v>63</v>
      </c>
      <c r="L20" s="11">
        <f t="shared" si="0"/>
        <v>19</v>
      </c>
    </row>
    <row r="21" spans="1:12" x14ac:dyDescent="0.25">
      <c r="A21" s="19" t="s">
        <v>55</v>
      </c>
      <c r="B21" s="15" t="s">
        <v>263</v>
      </c>
      <c r="C21" s="15" t="s">
        <v>264</v>
      </c>
      <c r="D21" s="15"/>
      <c r="E21" s="11"/>
      <c r="F21" s="11"/>
      <c r="G21" s="150" t="b">
        <v>1</v>
      </c>
      <c r="H21" s="150" t="b">
        <v>1</v>
      </c>
      <c r="I21" s="11"/>
      <c r="J21" s="151" t="s">
        <v>444</v>
      </c>
      <c r="K21" s="9" t="s">
        <v>63</v>
      </c>
      <c r="L21" s="11">
        <f t="shared" si="0"/>
        <v>20</v>
      </c>
    </row>
    <row r="22" spans="1:12" x14ac:dyDescent="0.25">
      <c r="A22" s="19" t="s">
        <v>55</v>
      </c>
      <c r="B22" s="15" t="s">
        <v>76</v>
      </c>
      <c r="C22" s="15" t="s">
        <v>227</v>
      </c>
      <c r="D22" s="15"/>
      <c r="E22" s="11" t="s">
        <v>233</v>
      </c>
      <c r="F22" s="11"/>
      <c r="G22" s="13" t="b">
        <v>1</v>
      </c>
      <c r="H22" s="13" t="b">
        <v>1</v>
      </c>
      <c r="I22" s="11"/>
      <c r="J22" s="9"/>
      <c r="K22" s="9" t="s">
        <v>63</v>
      </c>
      <c r="L22" s="11">
        <f t="shared" si="0"/>
        <v>21</v>
      </c>
    </row>
    <row r="23" spans="1:12" x14ac:dyDescent="0.25">
      <c r="A23" s="19" t="s">
        <v>55</v>
      </c>
      <c r="B23" s="15" t="s">
        <v>289</v>
      </c>
      <c r="C23" s="20" t="s">
        <v>290</v>
      </c>
      <c r="D23" s="15"/>
      <c r="E23" s="11" t="s">
        <v>233</v>
      </c>
      <c r="F23" s="11"/>
      <c r="G23" s="13" t="b">
        <v>1</v>
      </c>
      <c r="H23" s="13" t="b">
        <v>1</v>
      </c>
      <c r="I23" s="11"/>
      <c r="J23" s="9"/>
      <c r="K23" s="9" t="s">
        <v>63</v>
      </c>
      <c r="L23" s="11">
        <f t="shared" si="0"/>
        <v>22</v>
      </c>
    </row>
    <row r="24" spans="1:12" x14ac:dyDescent="0.25">
      <c r="A24" s="19" t="s">
        <v>55</v>
      </c>
      <c r="B24" s="15" t="s">
        <v>77</v>
      </c>
      <c r="C24" s="15" t="s">
        <v>228</v>
      </c>
      <c r="D24" s="15"/>
      <c r="E24" s="11" t="s">
        <v>233</v>
      </c>
      <c r="F24" s="11"/>
      <c r="G24" s="13" t="b">
        <v>1</v>
      </c>
      <c r="H24" s="13" t="b">
        <v>1</v>
      </c>
      <c r="I24" s="11"/>
      <c r="J24" s="9"/>
      <c r="K24" s="9" t="s">
        <v>63</v>
      </c>
      <c r="L24" s="11">
        <f t="shared" si="0"/>
        <v>23</v>
      </c>
    </row>
    <row r="25" spans="1:12" x14ac:dyDescent="0.25">
      <c r="A25" s="19" t="s">
        <v>55</v>
      </c>
      <c r="B25" s="15" t="s">
        <v>265</v>
      </c>
      <c r="C25" s="15" t="s">
        <v>266</v>
      </c>
      <c r="D25" s="15"/>
      <c r="E25" s="11" t="s">
        <v>233</v>
      </c>
      <c r="F25" s="11"/>
      <c r="G25" s="13" t="b">
        <v>1</v>
      </c>
      <c r="H25" s="13" t="b">
        <v>1</v>
      </c>
      <c r="I25" s="11"/>
      <c r="J25" s="9"/>
      <c r="K25" s="9" t="s">
        <v>63</v>
      </c>
      <c r="L25" s="11">
        <f t="shared" si="0"/>
        <v>24</v>
      </c>
    </row>
    <row r="26" spans="1:12" x14ac:dyDescent="0.25">
      <c r="A26" s="19" t="s">
        <v>55</v>
      </c>
      <c r="B26" s="15" t="s">
        <v>376</v>
      </c>
      <c r="C26" s="15" t="s">
        <v>377</v>
      </c>
      <c r="D26" s="15"/>
      <c r="E26" s="11"/>
      <c r="F26" s="11"/>
      <c r="G26" s="11"/>
      <c r="H26" s="11"/>
      <c r="I26" s="11"/>
      <c r="J26" s="9" t="s">
        <v>349</v>
      </c>
      <c r="K26" s="9" t="s">
        <v>63</v>
      </c>
      <c r="L26" s="11">
        <f t="shared" si="0"/>
        <v>25</v>
      </c>
    </row>
    <row r="27" spans="1:12" x14ac:dyDescent="0.25">
      <c r="A27" s="19" t="s">
        <v>55</v>
      </c>
      <c r="B27" s="15" t="s">
        <v>378</v>
      </c>
      <c r="C27" s="15" t="s">
        <v>379</v>
      </c>
      <c r="D27" s="15"/>
      <c r="E27" s="11"/>
      <c r="F27" s="121" t="b">
        <v>1</v>
      </c>
      <c r="G27" s="121" t="b">
        <v>1</v>
      </c>
      <c r="H27" s="11"/>
      <c r="I27" s="11"/>
      <c r="J27" s="9" t="s">
        <v>349</v>
      </c>
      <c r="K27" s="9" t="s">
        <v>63</v>
      </c>
      <c r="L27" s="11">
        <f t="shared" si="0"/>
        <v>26</v>
      </c>
    </row>
    <row r="28" spans="1:12" ht="18" x14ac:dyDescent="0.25">
      <c r="A28" s="138" t="s">
        <v>55</v>
      </c>
      <c r="B28" s="138" t="s">
        <v>424</v>
      </c>
      <c r="C28" s="138" t="s">
        <v>424</v>
      </c>
      <c r="D28" s="138"/>
      <c r="E28" s="138" t="b">
        <v>1</v>
      </c>
      <c r="F28" s="138" t="b">
        <v>1</v>
      </c>
      <c r="G28" s="138"/>
      <c r="H28" s="138"/>
      <c r="I28" s="138"/>
      <c r="J28" s="138"/>
      <c r="K28" s="138" t="s">
        <v>63</v>
      </c>
      <c r="L28" s="138">
        <f t="shared" si="0"/>
        <v>27</v>
      </c>
    </row>
    <row r="29" spans="1:12" ht="18" x14ac:dyDescent="0.25">
      <c r="A29" s="138" t="s">
        <v>55</v>
      </c>
      <c r="B29" s="138" t="s">
        <v>425</v>
      </c>
      <c r="C29" s="138" t="s">
        <v>425</v>
      </c>
      <c r="D29" s="138"/>
      <c r="E29" s="138" t="b">
        <v>1</v>
      </c>
      <c r="F29" s="138" t="b">
        <v>1</v>
      </c>
      <c r="G29" s="138"/>
      <c r="H29" s="138"/>
      <c r="I29" s="138"/>
      <c r="J29" s="138"/>
      <c r="K29" s="138" t="s">
        <v>63</v>
      </c>
      <c r="L29" s="138">
        <f t="shared" si="0"/>
        <v>28</v>
      </c>
    </row>
    <row r="30" spans="1:12" ht="18" x14ac:dyDescent="0.25">
      <c r="A30" s="138" t="s">
        <v>55</v>
      </c>
      <c r="B30" s="138" t="s">
        <v>426</v>
      </c>
      <c r="C30" s="138" t="s">
        <v>426</v>
      </c>
      <c r="D30" s="138"/>
      <c r="E30" s="138" t="b">
        <v>1</v>
      </c>
      <c r="F30" s="138" t="b">
        <v>1</v>
      </c>
      <c r="G30" s="138"/>
      <c r="H30" s="138"/>
      <c r="I30" s="138"/>
      <c r="J30" s="138"/>
      <c r="K30" s="138" t="s">
        <v>63</v>
      </c>
      <c r="L30" s="138">
        <f t="shared" si="0"/>
        <v>29</v>
      </c>
    </row>
    <row r="31" spans="1:12" ht="18" x14ac:dyDescent="0.25">
      <c r="A31" s="138" t="s">
        <v>55</v>
      </c>
      <c r="B31" s="138" t="s">
        <v>427</v>
      </c>
      <c r="C31" s="138" t="s">
        <v>427</v>
      </c>
      <c r="D31" s="138"/>
      <c r="E31" s="138" t="b">
        <v>1</v>
      </c>
      <c r="F31" s="138" t="b">
        <v>1</v>
      </c>
      <c r="G31" s="138"/>
      <c r="H31" s="138"/>
      <c r="I31" s="138"/>
      <c r="J31" s="138"/>
      <c r="K31" s="138" t="s">
        <v>63</v>
      </c>
      <c r="L31" s="138">
        <f t="shared" si="0"/>
        <v>30</v>
      </c>
    </row>
    <row r="32" spans="1:12" ht="18" x14ac:dyDescent="0.25">
      <c r="A32" s="138" t="s">
        <v>55</v>
      </c>
      <c r="B32" s="138" t="s">
        <v>428</v>
      </c>
      <c r="C32" s="138" t="s">
        <v>428</v>
      </c>
      <c r="D32" s="138"/>
      <c r="E32" s="138" t="b">
        <v>1</v>
      </c>
      <c r="F32" s="138" t="b">
        <v>1</v>
      </c>
      <c r="G32" s="138"/>
      <c r="H32" s="138"/>
      <c r="I32" s="138"/>
      <c r="J32" s="138"/>
      <c r="K32" s="138" t="s">
        <v>63</v>
      </c>
      <c r="L32" s="138">
        <f t="shared" si="0"/>
        <v>31</v>
      </c>
    </row>
    <row r="33" spans="1:12" ht="18" x14ac:dyDescent="0.25">
      <c r="A33" s="138" t="s">
        <v>55</v>
      </c>
      <c r="B33" s="138" t="s">
        <v>429</v>
      </c>
      <c r="C33" s="138" t="s">
        <v>429</v>
      </c>
      <c r="D33" s="138"/>
      <c r="E33" s="138" t="b">
        <v>1</v>
      </c>
      <c r="F33" s="138" t="b">
        <v>1</v>
      </c>
      <c r="G33" s="138"/>
      <c r="H33" s="138"/>
      <c r="I33" s="138"/>
      <c r="J33" s="138"/>
      <c r="K33" s="138" t="s">
        <v>63</v>
      </c>
      <c r="L33" s="138">
        <f t="shared" si="0"/>
        <v>32</v>
      </c>
    </row>
    <row r="34" spans="1:12" ht="18" x14ac:dyDescent="0.25">
      <c r="A34" s="138" t="s">
        <v>55</v>
      </c>
      <c r="B34" s="138" t="s">
        <v>430</v>
      </c>
      <c r="C34" s="138" t="s">
        <v>430</v>
      </c>
      <c r="D34" s="138"/>
      <c r="E34" s="138" t="b">
        <v>1</v>
      </c>
      <c r="F34" s="138"/>
      <c r="G34" s="138"/>
      <c r="H34" s="138"/>
      <c r="I34" s="138"/>
      <c r="J34" s="138"/>
      <c r="K34" s="138" t="s">
        <v>63</v>
      </c>
      <c r="L34" s="138">
        <f t="shared" si="0"/>
        <v>33</v>
      </c>
    </row>
    <row r="35" spans="1:12" ht="18" x14ac:dyDescent="0.25">
      <c r="A35" s="138" t="s">
        <v>55</v>
      </c>
      <c r="B35" s="138" t="s">
        <v>431</v>
      </c>
      <c r="C35" s="138" t="s">
        <v>431</v>
      </c>
      <c r="D35" s="138"/>
      <c r="E35" s="138" t="b">
        <v>1</v>
      </c>
      <c r="F35" s="138" t="b">
        <v>1</v>
      </c>
      <c r="G35" s="138"/>
      <c r="H35" s="138"/>
      <c r="I35" s="138"/>
      <c r="J35" s="138"/>
      <c r="K35" s="138" t="s">
        <v>63</v>
      </c>
      <c r="L35" s="138">
        <f t="shared" si="0"/>
        <v>34</v>
      </c>
    </row>
    <row r="36" spans="1:12" ht="18" x14ac:dyDescent="0.25">
      <c r="A36" s="138" t="s">
        <v>55</v>
      </c>
      <c r="B36" s="138" t="s">
        <v>432</v>
      </c>
      <c r="C36" s="138" t="s">
        <v>432</v>
      </c>
      <c r="D36" s="138"/>
      <c r="E36" s="138" t="b">
        <v>1</v>
      </c>
      <c r="F36" s="138"/>
      <c r="G36" s="138"/>
      <c r="H36" s="138"/>
      <c r="I36" s="138"/>
      <c r="J36" s="138"/>
      <c r="K36" s="138" t="s">
        <v>63</v>
      </c>
      <c r="L36" s="138">
        <f t="shared" si="0"/>
        <v>35</v>
      </c>
    </row>
  </sheetData>
  <autoFilter ref="A1:L36" xr:uid="{8EC86747-7E0E-B647-8B6E-53ED5CB62B1D}"/>
  <conditionalFormatting sqref="A11:A27 A2:D10 B11:D15">
    <cfRule type="expression" dxfId="35" priority="53" stopIfTrue="1">
      <formula>$K2="None"</formula>
    </cfRule>
  </conditionalFormatting>
  <conditionalFormatting sqref="A22">
    <cfRule type="expression" dxfId="34" priority="49" stopIfTrue="1">
      <formula>$K22="None"</formula>
    </cfRule>
    <cfRule type="expression" dxfId="33" priority="50" stopIfTrue="1">
      <formula>$K22="orange"</formula>
    </cfRule>
    <cfRule type="expression" dxfId="32" priority="51" stopIfTrue="1">
      <formula>$K22="blue"</formula>
    </cfRule>
    <cfRule type="expression" dxfId="31" priority="52" stopIfTrue="1">
      <formula>$K22="yellow"</formula>
    </cfRule>
  </conditionalFormatting>
  <conditionalFormatting sqref="A2:D10 B11:D15 A11:A27">
    <cfRule type="expression" dxfId="30" priority="56" stopIfTrue="1">
      <formula>$K2="yellow"</formula>
    </cfRule>
    <cfRule type="expression" dxfId="29" priority="55" stopIfTrue="1">
      <formula>$K2="blue"</formula>
    </cfRule>
    <cfRule type="expression" dxfId="28" priority="54" stopIfTrue="1">
      <formula>$K2="orange"</formula>
    </cfRule>
  </conditionalFormatting>
  <conditionalFormatting sqref="B16:D16 B20:D21">
    <cfRule type="expression" dxfId="27" priority="64" stopIfTrue="1">
      <formula>$K15="yellow"</formula>
    </cfRule>
    <cfRule type="expression" dxfId="26" priority="63" stopIfTrue="1">
      <formula>$K15="blue"</formula>
    </cfRule>
    <cfRule type="expression" dxfId="25" priority="62" stopIfTrue="1">
      <formula>$K15="orange"</formula>
    </cfRule>
    <cfRule type="expression" dxfId="24" priority="61" stopIfTrue="1">
      <formula>$K15="None"</formula>
    </cfRule>
  </conditionalFormatting>
  <conditionalFormatting sqref="B17:D18">
    <cfRule type="expression" dxfId="23" priority="68" stopIfTrue="1">
      <formula>$K14="yellow"</formula>
    </cfRule>
    <cfRule type="expression" dxfId="22" priority="65" stopIfTrue="1">
      <formula>$K14="None"</formula>
    </cfRule>
    <cfRule type="expression" dxfId="21" priority="66" stopIfTrue="1">
      <formula>$K14="orange"</formula>
    </cfRule>
    <cfRule type="expression" dxfId="20" priority="67" stopIfTrue="1">
      <formula>$K14="blue"</formula>
    </cfRule>
  </conditionalFormatting>
  <conditionalFormatting sqref="B19:D19">
    <cfRule type="expression" dxfId="19" priority="70" stopIfTrue="1">
      <formula>$K15="orange"</formula>
    </cfRule>
    <cfRule type="expression" dxfId="18" priority="71" stopIfTrue="1">
      <formula>$K15="blue"</formula>
    </cfRule>
    <cfRule type="expression" dxfId="17" priority="72" stopIfTrue="1">
      <formula>$K15="yellow"</formula>
    </cfRule>
    <cfRule type="expression" dxfId="16" priority="69" stopIfTrue="1">
      <formula>$K15="None"</formula>
    </cfRule>
  </conditionalFormatting>
  <conditionalFormatting sqref="B22:D22">
    <cfRule type="expression" dxfId="15" priority="73" stopIfTrue="1">
      <formula>$K15="None"</formula>
    </cfRule>
    <cfRule type="expression" dxfId="14" priority="74" stopIfTrue="1">
      <formula>$K15="orange"</formula>
    </cfRule>
    <cfRule type="expression" dxfId="13" priority="75" stopIfTrue="1">
      <formula>$K15="blue"</formula>
    </cfRule>
    <cfRule type="expression" dxfId="12" priority="76" stopIfTrue="1">
      <formula>$K15="yellow"</formula>
    </cfRule>
  </conditionalFormatting>
  <conditionalFormatting sqref="B23:D23">
    <cfRule type="expression" dxfId="11" priority="80" stopIfTrue="1">
      <formula>$K17="yellow"</formula>
    </cfRule>
    <cfRule type="expression" dxfId="10" priority="77" stopIfTrue="1">
      <formula>$K17="None"</formula>
    </cfRule>
    <cfRule type="expression" dxfId="9" priority="78" stopIfTrue="1">
      <formula>$K17="orange"</formula>
    </cfRule>
    <cfRule type="expression" dxfId="8" priority="79" stopIfTrue="1">
      <formula>$K17="blue"</formula>
    </cfRule>
  </conditionalFormatting>
  <conditionalFormatting sqref="B24:D27">
    <cfRule type="expression" dxfId="7" priority="12" stopIfTrue="1">
      <formula>$K22="yellow"</formula>
    </cfRule>
    <cfRule type="expression" dxfId="6" priority="11" stopIfTrue="1">
      <formula>$K22="blue"</formula>
    </cfRule>
    <cfRule type="expression" dxfId="5" priority="10" stopIfTrue="1">
      <formula>$K22="orange"</formula>
    </cfRule>
    <cfRule type="expression" dxfId="4" priority="9" stopIfTrue="1">
      <formula>$K22="None"</formula>
    </cfRule>
  </conditionalFormatting>
  <conditionalFormatting sqref="E2:L27">
    <cfRule type="expression" dxfId="3" priority="24" stopIfTrue="1">
      <formula>$K2="yellow"</formula>
    </cfRule>
    <cfRule type="expression" dxfId="2" priority="23" stopIfTrue="1">
      <formula>$K2="blue"</formula>
    </cfRule>
    <cfRule type="expression" dxfId="1" priority="22" stopIfTrue="1">
      <formula>$K2="orange"</formula>
    </cfRule>
    <cfRule type="expression" dxfId="0" priority="21" stopIfTrue="1">
      <formula>$K2="None"</formula>
    </cfRule>
  </conditionalFormatting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</vt:lpstr>
      <vt:lpstr>preflow</vt:lpstr>
      <vt:lpstr>BV</vt:lpstr>
      <vt:lpstr>HBV</vt:lpstr>
      <vt:lpstr>PBC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McPheeters</dc:creator>
  <cp:lastModifiedBy>Toby McPheeters</cp:lastModifiedBy>
  <dcterms:created xsi:type="dcterms:W3CDTF">2021-09-14T05:48:51Z</dcterms:created>
  <dcterms:modified xsi:type="dcterms:W3CDTF">2025-09-29T21:50:14Z</dcterms:modified>
</cp:coreProperties>
</file>