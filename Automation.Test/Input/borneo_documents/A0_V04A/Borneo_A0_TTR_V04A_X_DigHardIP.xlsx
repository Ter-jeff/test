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georgdieterle/soc2/projects/borneo/repos/borneo_documents/A0_V01A/"/>
    </mc:Choice>
  </mc:AlternateContent>
  <xr:revisionPtr revIDLastSave="0" documentId="13_ncr:1_{5DF1D2E0-A556-9944-8DB6-F70A1D46F457}" xr6:coauthVersionLast="47" xr6:coauthVersionMax="47" xr10:uidLastSave="{00000000-0000-0000-0000-000000000000}"/>
  <bookViews>
    <workbookView xWindow="0" yWindow="500" windowWidth="32000" windowHeight="17500" activeTab="5" xr2:uid="{00000000-000D-0000-FFFF-FFFF00000000}"/>
  </bookViews>
  <sheets>
    <sheet name="TTR Summary" sheetId="1" r:id="rId1"/>
    <sheet name="DSGRINGS" sheetId="7" r:id="rId2"/>
    <sheet name="NPMS" sheetId="8" r:id="rId3"/>
    <sheet name="NCKM" sheetId="10" r:id="rId4"/>
    <sheet name="LLPSMNPP" sheetId="11" r:id="rId5"/>
    <sheet name="ABSMIN" sheetId="12" r:id="rId6"/>
    <sheet name="IVDM" sheetId="17" r:id="rId7"/>
    <sheet name="DAPS" sheetId="9" r:id="rId8"/>
    <sheet name="DSGVTHSENSOR" sheetId="14" r:id="rId9"/>
    <sheet name="PWRDET" sheetId="15" r:id="rId10"/>
    <sheet name="CLKMON" sheetId="1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I2" i="17"/>
  <c r="L2" i="17"/>
  <c r="O2" i="17"/>
  <c r="O2" i="16"/>
  <c r="L2" i="16"/>
  <c r="E18" i="1" s="1"/>
  <c r="Q18" i="1" s="1"/>
  <c r="I2" i="16"/>
  <c r="D18" i="1" s="1"/>
  <c r="P18" i="1" s="1"/>
  <c r="F2" i="16"/>
  <c r="C18" i="1" s="1"/>
  <c r="O2" i="15"/>
  <c r="F17" i="1" s="1"/>
  <c r="R17" i="1" s="1"/>
  <c r="L2" i="15"/>
  <c r="I2" i="15"/>
  <c r="F2" i="15"/>
  <c r="O2" i="14"/>
  <c r="L2" i="14"/>
  <c r="I2" i="14"/>
  <c r="D16" i="1" s="1"/>
  <c r="P16" i="1" s="1"/>
  <c r="F2" i="14"/>
  <c r="C16" i="1" s="1"/>
  <c r="O16" i="1" s="1"/>
  <c r="F15" i="1"/>
  <c r="R15" i="1" s="1"/>
  <c r="E15" i="1"/>
  <c r="Q15" i="1" s="1"/>
  <c r="D15" i="1"/>
  <c r="P15" i="1" s="1"/>
  <c r="C15" i="1"/>
  <c r="O2" i="12"/>
  <c r="F14" i="1" s="1"/>
  <c r="L2" i="12"/>
  <c r="I2" i="12"/>
  <c r="F2" i="12"/>
  <c r="O2" i="11"/>
  <c r="L2" i="11"/>
  <c r="I2" i="11"/>
  <c r="F2" i="11"/>
  <c r="O2" i="10"/>
  <c r="F12" i="1" s="1"/>
  <c r="R12" i="1" s="1"/>
  <c r="L2" i="10"/>
  <c r="E12" i="1" s="1"/>
  <c r="Q12" i="1" s="1"/>
  <c r="I2" i="10"/>
  <c r="D12" i="1" s="1"/>
  <c r="P12" i="1" s="1"/>
  <c r="F2" i="10"/>
  <c r="C12" i="1" s="1"/>
  <c r="O2" i="9"/>
  <c r="F11" i="1" s="1"/>
  <c r="L2" i="9"/>
  <c r="I2" i="9"/>
  <c r="F2" i="9"/>
  <c r="O2" i="8"/>
  <c r="L2" i="8"/>
  <c r="I2" i="8"/>
  <c r="F2" i="8"/>
  <c r="O2" i="7"/>
  <c r="F9" i="1" s="1"/>
  <c r="R9" i="1" s="1"/>
  <c r="L2" i="7"/>
  <c r="I2" i="7"/>
  <c r="F2" i="7"/>
  <c r="F8" i="1"/>
  <c r="R8" i="1" s="1"/>
  <c r="E7" i="1"/>
  <c r="E6" i="1"/>
  <c r="Q6" i="1" s="1"/>
  <c r="D6" i="1"/>
  <c r="P6" i="1" s="1"/>
  <c r="C6" i="1"/>
  <c r="F5" i="1"/>
  <c r="R5" i="1" s="1"/>
  <c r="E4" i="1"/>
  <c r="M21" i="1"/>
  <c r="L21" i="1"/>
  <c r="K21" i="1"/>
  <c r="J21" i="1"/>
  <c r="I21" i="1"/>
  <c r="G19" i="1"/>
  <c r="F19" i="1"/>
  <c r="R19" i="1" s="1"/>
  <c r="E19" i="1"/>
  <c r="Q19" i="1" s="1"/>
  <c r="D19" i="1"/>
  <c r="P19" i="1" s="1"/>
  <c r="C19" i="1"/>
  <c r="O19" i="1" s="1"/>
  <c r="F18" i="1"/>
  <c r="R18" i="1" s="1"/>
  <c r="E17" i="1"/>
  <c r="Q17" i="1" s="1"/>
  <c r="D17" i="1"/>
  <c r="P17" i="1" s="1"/>
  <c r="C17" i="1"/>
  <c r="O17" i="1" s="1"/>
  <c r="F16" i="1"/>
  <c r="R16" i="1" s="1"/>
  <c r="E16" i="1"/>
  <c r="Q16" i="1" s="1"/>
  <c r="Q14" i="1"/>
  <c r="P14" i="1"/>
  <c r="O14" i="1"/>
  <c r="E14" i="1"/>
  <c r="D14" i="1"/>
  <c r="C14" i="1"/>
  <c r="F13" i="1"/>
  <c r="R13" i="1" s="1"/>
  <c r="E13" i="1"/>
  <c r="Q13" i="1" s="1"/>
  <c r="D13" i="1"/>
  <c r="P13" i="1" s="1"/>
  <c r="C13" i="1"/>
  <c r="O13" i="1" s="1"/>
  <c r="Q11" i="1"/>
  <c r="P11" i="1"/>
  <c r="O11" i="1"/>
  <c r="E11" i="1"/>
  <c r="D11" i="1"/>
  <c r="C11" i="1"/>
  <c r="Q10" i="1"/>
  <c r="P10" i="1"/>
  <c r="O10" i="1"/>
  <c r="F10" i="1"/>
  <c r="R10" i="1" s="1"/>
  <c r="E10" i="1"/>
  <c r="D10" i="1"/>
  <c r="C10" i="1"/>
  <c r="E9" i="1"/>
  <c r="Q9" i="1" s="1"/>
  <c r="D9" i="1"/>
  <c r="P9" i="1" s="1"/>
  <c r="C9" i="1"/>
  <c r="G9" i="1" s="1"/>
  <c r="E8" i="1"/>
  <c r="Q8" i="1" s="1"/>
  <c r="D8" i="1"/>
  <c r="P8" i="1" s="1"/>
  <c r="C8" i="1"/>
  <c r="O8" i="1" s="1"/>
  <c r="P7" i="1"/>
  <c r="F7" i="1"/>
  <c r="R7" i="1" s="1"/>
  <c r="D7" i="1"/>
  <c r="C7" i="1"/>
  <c r="O7" i="1" s="1"/>
  <c r="F6" i="1"/>
  <c r="R6" i="1" s="1"/>
  <c r="E5" i="1"/>
  <c r="Q5" i="1" s="1"/>
  <c r="D5" i="1"/>
  <c r="P5" i="1" s="1"/>
  <c r="C5" i="1"/>
  <c r="O5" i="1" s="1"/>
  <c r="F4" i="1"/>
  <c r="F21" i="1" s="1"/>
  <c r="R21" i="1" s="1"/>
  <c r="D4" i="1"/>
  <c r="P4" i="1" s="1"/>
  <c r="C4" i="1"/>
  <c r="O4" i="1" s="1"/>
  <c r="R4" i="1" l="1"/>
  <c r="O6" i="1"/>
  <c r="G6" i="1"/>
  <c r="G11" i="1"/>
  <c r="R11" i="1"/>
  <c r="O18" i="1"/>
  <c r="G18" i="1"/>
  <c r="O12" i="1"/>
  <c r="G12" i="1"/>
  <c r="G7" i="1"/>
  <c r="Q7" i="1"/>
  <c r="R14" i="1"/>
  <c r="G14" i="1"/>
  <c r="O15" i="1"/>
  <c r="G15" i="1"/>
  <c r="E21" i="1"/>
  <c r="Q21" i="1" s="1"/>
  <c r="Q4" i="1"/>
  <c r="G10" i="1"/>
  <c r="G13" i="1"/>
  <c r="G17" i="1"/>
  <c r="D21" i="1"/>
  <c r="P21" i="1" s="1"/>
  <c r="G4" i="1"/>
  <c r="C21" i="1"/>
  <c r="O21" i="1" s="1"/>
  <c r="G5" i="1"/>
  <c r="O9" i="1"/>
  <c r="G8" i="1"/>
  <c r="G16" i="1"/>
  <c r="G21" i="1" l="1"/>
</calcChain>
</file>

<file path=xl/sharedStrings.xml><?xml version="1.0" encoding="utf-8"?>
<sst xmlns="http://schemas.openxmlformats.org/spreadsheetml/2006/main" count="941" uniqueCount="279">
  <si>
    <t>Single-Site</t>
  </si>
  <si>
    <t>Multi-Site</t>
  </si>
  <si>
    <t>PTE</t>
  </si>
  <si>
    <t>IP</t>
  </si>
  <si>
    <t>CP1 TT (s)</t>
  </si>
  <si>
    <t>CP2 TT (s)</t>
  </si>
  <si>
    <t>FT1 TT (s)</t>
  </si>
  <si>
    <t>FT2 TT (s)</t>
  </si>
  <si>
    <t>Total (s)</t>
  </si>
  <si>
    <t>CP1</t>
  </si>
  <si>
    <t>CP2</t>
  </si>
  <si>
    <t>FT1</t>
  </si>
  <si>
    <t>FT2</t>
  </si>
  <si>
    <t>IO_JTAG</t>
  </si>
  <si>
    <t>ADCDFT</t>
  </si>
  <si>
    <t>MTRICTS</t>
  </si>
  <si>
    <t>NTSE</t>
  </si>
  <si>
    <t>NTSR</t>
  </si>
  <si>
    <t>DSGRINGS</t>
  </si>
  <si>
    <t>NPMS</t>
  </si>
  <si>
    <t>DAPS</t>
  </si>
  <si>
    <t>NCKM</t>
  </si>
  <si>
    <t>LLPSMNPP</t>
  </si>
  <si>
    <t>ABSMIN</t>
  </si>
  <si>
    <t>IVDM</t>
  </si>
  <si>
    <t>DSGVTHSENSOR</t>
  </si>
  <si>
    <t>PWRDET</t>
  </si>
  <si>
    <t>CLKMON</t>
  </si>
  <si>
    <t>AMP</t>
  </si>
  <si>
    <t>Total:</t>
  </si>
  <si>
    <t>Proposal for TTR</t>
  </si>
  <si>
    <t>Total (ms)</t>
  </si>
  <si>
    <t>CP1 (ms)</t>
  </si>
  <si>
    <t>CP2 (ms)</t>
  </si>
  <si>
    <t>FT1 (ms)</t>
  </si>
  <si>
    <t>FT2 (ms)</t>
  </si>
  <si>
    <t>Category</t>
  </si>
  <si>
    <t>SubBlock</t>
  </si>
  <si>
    <t>Pattern</t>
  </si>
  <si>
    <t>Run If Fail</t>
  </si>
  <si>
    <t>LV</t>
  </si>
  <si>
    <t>NV</t>
  </si>
  <si>
    <t>HV</t>
  </si>
  <si>
    <t>Prod CP1</t>
  </si>
  <si>
    <t>Prod CP2</t>
  </si>
  <si>
    <t>Prod FT1</t>
  </si>
  <si>
    <t>Prod FT2</t>
  </si>
  <si>
    <t>Mon</t>
  </si>
  <si>
    <t>T0Tx</t>
  </si>
  <si>
    <t>RMA Room</t>
  </si>
  <si>
    <t>RMA Hot</t>
  </si>
  <si>
    <t>OTHER</t>
  </si>
  <si>
    <t>RNGLITEVAOPDC0</t>
  </si>
  <si>
    <t>PP_BRNA0_C_FULP_AN_RING_FRQ_JTG_RNG_ALLFRV_SI_RNGLITE_VAOPDC0</t>
  </si>
  <si>
    <t>RNGSTDVSOCDC0</t>
  </si>
  <si>
    <t>PP_BRNA0_C_FULP_AN_RING_FRQ_JTG_RNG_ALLFRV_SI_RNGSTD_VSOCDC0</t>
  </si>
  <si>
    <t>RNGLITEPCOREDC1</t>
  </si>
  <si>
    <t>PP_BRNA0_C_FULP_AN_RING_FRQ_JTG_RNG_ALLFRV_SI_RNGLITE_PCOREDC1</t>
  </si>
  <si>
    <t>RNGLITEECOREDC1</t>
  </si>
  <si>
    <t>PP_BRNA0_C_FULP_AN_RING_FRQ_JTG_RNG_ALLFRV_SI_RNGLITE_ECOREDC1</t>
  </si>
  <si>
    <t>MNRNGLITEVSOCDC0</t>
  </si>
  <si>
    <t>MN_BRNA0_C_FULP_AN_RING_FRQ_JTG_RNG_ALLFRV_SI_RNGLITE_VSOCDC0</t>
  </si>
  <si>
    <t>MNRNGSTDVSOCDC0</t>
  </si>
  <si>
    <t>MN_BRNA0_C_FULP_AN_RING_FRQ_JTG_RNG_ALLFRV_SI_RNGSTD_VSOCDC0</t>
  </si>
  <si>
    <t>RNGCPUHV</t>
  </si>
  <si>
    <t>PP_BRNA0_C_FULP_AN_RING_FRQ_JTG_RCR_ALLFRV_SI_RNG_CPUHV</t>
  </si>
  <si>
    <t>RNGCPUVER</t>
  </si>
  <si>
    <t>PP_BRNA0_C_FULP_AN_RING_FRQ_JTG_RCR_ALLFRV_SI_RNG_CPUVER</t>
  </si>
  <si>
    <t>RNGCPUHORI</t>
  </si>
  <si>
    <t>PP_BRNA0_C_FULP_AN_RING_FRQ_JTG_RCR_ALLFRV_SI_RNG_CPUHORI</t>
  </si>
  <si>
    <t>NPMST3</t>
  </si>
  <si>
    <t>PP_BRNA0_S_FULP_AN_NPMS_FRQ_JTG_COD_ALLFRV_SI_NPMS_T3</t>
  </si>
  <si>
    <t>NPMST4</t>
  </si>
  <si>
    <t>PP_BRNA0_S_FULP_AN_NPMS_FRQ_JTG_COD_ALLFRV_SI_NPMS_T4</t>
  </si>
  <si>
    <t>MNNPMST3</t>
  </si>
  <si>
    <t>MN_BRNA0_S_FULP_AN_NPMS_FRQ_JTG_COD_ALLFRV_SI_NPMS_T3</t>
  </si>
  <si>
    <t>MNNPMST4</t>
  </si>
  <si>
    <t>MN_BRNA0_S_FULP_AN_NPMS_FRQ_JTG_COD_ALLFRV_SI_NPMS_T4</t>
  </si>
  <si>
    <t>MNNPMST5</t>
  </si>
  <si>
    <t>MN_BRNA0_S_FULP_AN_NPMS_FRQ_JTG_COD_ALLFRV_SI_NPMS_T5</t>
  </si>
  <si>
    <t>MEGAPP1</t>
  </si>
  <si>
    <t>PP_BRNA0_C_FULP_AN_DAPS_DLL_JTG_COD_ALLFRV_SI_MEGA_PP1</t>
  </si>
  <si>
    <t>MEGAPP2</t>
  </si>
  <si>
    <t>PP_BRNA0_C_FULP_AN_DAPS_DLL_JTG_COD_ALLFRV_SI_MEGA_PP2</t>
  </si>
  <si>
    <t>MEGAPP3</t>
  </si>
  <si>
    <t>PP_BRNA0_C_FULP_AN_DAPS_DLL_JTG_COD_ALLFRV_SI_MEGA_PP3</t>
  </si>
  <si>
    <t>MEGAPP4</t>
  </si>
  <si>
    <t>PP_BRNA0_C_FULP_AN_DAPS_DLL_JTG_COD_ALLFRV_SI_MEGA_PP4</t>
  </si>
  <si>
    <t>MEGAPP5</t>
  </si>
  <si>
    <t>PP_BRNA0_C_FULP_AN_DAPS_DLL_JTG_COD_ALLFRV_SI_MEGA_PP5</t>
  </si>
  <si>
    <t>MEGAPP6</t>
  </si>
  <si>
    <t>PP_BRNA0_C_FULP_AN_DAPS_DLL_JTG_COD_ALLFRV_SI_MEGA_PP6</t>
  </si>
  <si>
    <t>MEGAPP7</t>
  </si>
  <si>
    <t>PP_BRNA0_C_FULP_AN_DAPS_DLL_JTG_COD_ALLFRV_SI_MEGA_PP7</t>
  </si>
  <si>
    <t>MEGAPP8</t>
  </si>
  <si>
    <t>PP_BRNA0_C_FULP_AN_DAPS_DLL_JTG_COD_ALLFRV_SI_MEGA_PP8</t>
  </si>
  <si>
    <t>MNDCMTESTTS1P1</t>
  </si>
  <si>
    <t>MN_BRNA0_S_FULP_AN_NPR0_DLL_JTG_COD_ALLFRV_SI_DCMTEST_TS1P1</t>
  </si>
  <si>
    <t>MNDCMTESTTS1P4</t>
  </si>
  <si>
    <t>MN_BRNA0_S_FULP_AN_NPR0_DLL_JTG_COD_ALLFRV_SI_DCMTEST_TS1P4</t>
  </si>
  <si>
    <t>MNDCMTESTTS1P13</t>
  </si>
  <si>
    <t>MN_BRNA0_S_FULP_AN_NPR0_DLL_JTG_COD_ALLFRV_SI_DCMTEST_TS1P13</t>
  </si>
  <si>
    <t>MNDCMTESTTS2P1</t>
  </si>
  <si>
    <t>MN_BRNA0_S_FULP_AN_NPR0_DLL_JTG_COD_ALLFRV_SI_DCMTEST_TS2P1</t>
  </si>
  <si>
    <t>MNDCMTESTTS2P2</t>
  </si>
  <si>
    <t>MN_BRNA0_S_FULP_AN_NPR0_DLL_JTG_COD_ALLFRV_SI_DCMTEST_TS2P2</t>
  </si>
  <si>
    <t>MNDCMTESTTS2P3</t>
  </si>
  <si>
    <t>MN_BRNA0_S_FULP_AN_NPR0_DLL_JTG_COD_ALLFRV_SI_DCMTEST_TS2P3</t>
  </si>
  <si>
    <t>MNDCMTESTTS2P4</t>
  </si>
  <si>
    <t>MN_BRNA0_S_FULP_AN_NPR0_DLL_JTG_COD_ALLFRV_SI_DCMTEST_TS2P4</t>
  </si>
  <si>
    <t>MNDCMTESTTS2P5</t>
  </si>
  <si>
    <t>MN_BRNA0_S_FULP_AN_NPR0_DLL_JTG_COD_ALLFRV_SI_DCMTEST_TS2P5</t>
  </si>
  <si>
    <t>MNDCMTESTTS2P6</t>
  </si>
  <si>
    <t>MN_BRNA0_S_FULP_AN_NPR0_DLL_JTG_COD_ALLFRV_SI_DCMTEST_TS2P6</t>
  </si>
  <si>
    <t>MNDCMTESTTS2P7</t>
  </si>
  <si>
    <t>MN_BRNA0_S_FULP_AN_NPR0_DLL_JTG_COD_ALLFRV_SI_DCMTEST_TS2P7</t>
  </si>
  <si>
    <t>MNDCMTESTTS2P8</t>
  </si>
  <si>
    <t>MN_BRNA0_S_FULP_AN_NPR0_DLL_JTG_COD_ALLFRV_SI_DCMTEST_TS2P8</t>
  </si>
  <si>
    <t>MNDCMTESTTS2P9</t>
  </si>
  <si>
    <t>MN_BRNA0_S_FULP_AN_NPR0_DLL_JTG_COD_ALLFRV_SI_DCMTEST_TS2P9</t>
  </si>
  <si>
    <t>MNDCMTESTTS2P10</t>
  </si>
  <si>
    <t>MN_BRNA0_S_FULP_AN_NPR0_DLL_JTG_COD_ALLFRV_SI_DCMTEST_TS2P10</t>
  </si>
  <si>
    <t>MNDCMTESTTS2P11</t>
  </si>
  <si>
    <t>MN_BRNA0_S_FULP_AN_NPR0_DLL_JTG_COD_ALLFRV_SI_DCMTEST_TS2P11</t>
  </si>
  <si>
    <t>MNDCMTESTTS2P12</t>
  </si>
  <si>
    <t>MN_BRNA0_S_FULP_AN_NPR0_DLL_JTG_COD_ALLFRV_SI_DCMTEST_TS2P12</t>
  </si>
  <si>
    <t>MNDCMTESTTS2P13</t>
  </si>
  <si>
    <t>MN_BRNA0_S_FULP_AN_NPR0_DLL_JTG_COD_ALLFRV_SI_DCMTEST_TS2P13</t>
  </si>
  <si>
    <t>MNDCMTESTTS3P4S1</t>
  </si>
  <si>
    <t>MN_BRNA0_S_FULP_AN_NPR0_DLL_JTG_COD_ALLFRV_SI_DCMTEST_TS3P4S1</t>
  </si>
  <si>
    <t>MNDCMTESTTS3P4S2</t>
  </si>
  <si>
    <t>MN_BRNA0_S_FULP_AN_NPR0_DLL_JTG_COD_ALLFRV_SI_DCMTEST_TS3P4S2</t>
  </si>
  <si>
    <t>MNLLPSOFFT3</t>
  </si>
  <si>
    <t>MN_BRNA0_C_FULP_AN_LLPS_DLL_JTG_CAL_ALLFRV_SI_LLPSOFF_T3</t>
  </si>
  <si>
    <t>MNLLPSONT4A</t>
  </si>
  <si>
    <t>MN_BRNA0_C_FULP_AN_LLPS_DLL_JTG_CAL_ALLFRV_SI_LLPSON_T4A</t>
  </si>
  <si>
    <t>MNLLPSONT10</t>
  </si>
  <si>
    <t>MN_BRNA0_C_FULP_AN_LLPS_DLL_JTG_CAL_ALLFRV_SI_LLPSON_T10</t>
  </si>
  <si>
    <t>CPUCON1A</t>
  </si>
  <si>
    <t>PP_BRNA0_C_FULP_AN_ABSM_VOT_JTG_DSG_ALLFRV_SI_CPU_CON1A</t>
  </si>
  <si>
    <t>CPUCON1B</t>
  </si>
  <si>
    <t>PP_BRNA0_C_FULP_AN_ABSM_VOT_JTG_DSG_ALLFRV_SI_CPU_CON1B</t>
  </si>
  <si>
    <t>CPUCON2</t>
  </si>
  <si>
    <t>PP_BRNA0_C_FULP_AN_ABSM_VOT_JTG_DSG_ALLFRV_SI_CPU_CON2</t>
  </si>
  <si>
    <t>CPUCON3</t>
  </si>
  <si>
    <t>PP_BRNA0_C_FULP_AN_ABSM_VOT_JTG_DSG_ALLFRV_SI_CPU_CON3</t>
  </si>
  <si>
    <t>CPUCON4</t>
  </si>
  <si>
    <t>PP_BRNA0_C_FULP_AN_ABSM_VOT_JTG_DSG_ALLFRV_SI_CPU_CON4</t>
  </si>
  <si>
    <t>CPUCON5</t>
  </si>
  <si>
    <t>PP_BRNA0_C_FULP_AN_ABSM_VOT_JTG_DSG_ALLFRV_SI_CPU_CON5</t>
  </si>
  <si>
    <t>CPUCON6</t>
  </si>
  <si>
    <t>PP_BRNA0_C_FULP_AN_ABSM_VOT_JTG_DSG_ALLFRV_SI_CPU_CON6</t>
  </si>
  <si>
    <t>CPUCON7</t>
  </si>
  <si>
    <t>PP_BRNA0_C_FULP_AN_ABSM_VOT_JTG_DSG_ALLFRV_SI_CPU_CON7</t>
  </si>
  <si>
    <t>MNCPUPRAM1</t>
  </si>
  <si>
    <t>MN_BRNA0_C_FULP_AN_ABSM_VOT_JTG_DSG_ALLFRV_SI_CPU_PRAM1</t>
  </si>
  <si>
    <t>MNCPUPRAM2</t>
  </si>
  <si>
    <t>MN_BRNA0_C_FULP_AN_ABSM_VOT_JTG_DSG_ALLFRV_SI_CPU_PRAM2</t>
  </si>
  <si>
    <t>MNCPUOFFS2</t>
  </si>
  <si>
    <t>MN_BRNA0_C_FULP_AN_ABSM_VOT_JTG_DSG_ALLFRV_SI_CPU_OFFS2</t>
  </si>
  <si>
    <t>MNCPUOFFS3</t>
  </si>
  <si>
    <t>MN_BRNA0_C_FULP_AN_ABSM_VOT_JTG_DSG_ALLFRV_SI_CPU_OFFS3</t>
  </si>
  <si>
    <t>MNCPUOFFS6</t>
  </si>
  <si>
    <t>MN_BRNA0_C_FULP_AN_ABSM_VOT_JTG_DSG_ALLFRV_SI_CPU_OFFS6</t>
  </si>
  <si>
    <t>PCPUFMINPTRIM3X0P750</t>
  </si>
  <si>
    <t>PP_BRNA0_C_FULP_AN_IVDM_FRQ_JTG_RCR_ALLFRV_SI_PCPUFMIN_PTRIM3X</t>
  </si>
  <si>
    <t>PCPUFMINPTRIM3X1P000</t>
  </si>
  <si>
    <t>PCPUFMINPTRIM10X0P750</t>
  </si>
  <si>
    <t>PP_BRNA0_C_FULP_AN_IVDM_FRQ_JTG_RCR_ALLFRV_SI_PCPUFMIN_PTRIM10X</t>
  </si>
  <si>
    <t>IVDM_FUSE_PREWRITE1</t>
  </si>
  <si>
    <t>IVDM_FUSE_PREWRITE2</t>
  </si>
  <si>
    <t>IVDM_FUSE_PREWRITE3</t>
  </si>
  <si>
    <t>IVDM_FUSE_PREWRITE4</t>
  </si>
  <si>
    <t>IVDM_FUSE_PREWRITE5</t>
  </si>
  <si>
    <t>IVDM_FUSE_PREWRITE6</t>
  </si>
  <si>
    <t>PCPUFMINPTRIM10X1P000</t>
  </si>
  <si>
    <t>GPUFMINGTRIM3X0P650HT</t>
  </si>
  <si>
    <t>PP_BRNA0_C_FULP_AN_IVDM_FRQ_JTG_RCR_ALLFRV_SI_GPUFMIN_GTRIM3X</t>
  </si>
  <si>
    <t>GPUFMINGTRIM3X0P650RT</t>
  </si>
  <si>
    <t>GPUFMINGTRIM3X0P750MID</t>
  </si>
  <si>
    <t>GPUFMINGTRIM3X1P000</t>
  </si>
  <si>
    <t>GPUFMINGTRIM10X0P650HT</t>
  </si>
  <si>
    <t>PP_BRNA0_C_FULP_AN_IVDM_FRQ_JTG_RCR_ALLFRV_SI_GPUFMIN_GTRIM10X</t>
  </si>
  <si>
    <t>GPUFMINGTRIM10X0P650RT</t>
  </si>
  <si>
    <t>GPUFMINGTRIM10X0P750MID</t>
  </si>
  <si>
    <t>GPUFMINGTRIM10X1P000</t>
  </si>
  <si>
    <t>GPUFMINGTR1B3X0P650HT</t>
  </si>
  <si>
    <t>PP_BRNA0_C_FULP_AN_IVDM_FRQ_JTG_RCR_ALLFRV_SI_GPUFMIN_GTR1B3X</t>
  </si>
  <si>
    <t>GPUFMINGTR1B3X0P650RT</t>
  </si>
  <si>
    <t>GPUFMINGTR1B3X0P750MID</t>
  </si>
  <si>
    <t>GPUFMINGTR1B3X1P000</t>
  </si>
  <si>
    <t>GPUFMINGTR1B10X0P650HT</t>
  </si>
  <si>
    <t>PP_BRNA0_C_FULP_AN_IVDM_FRQ_JTG_RCR_ALLFRV_SI_GPUFMIN_GTR1B10X</t>
  </si>
  <si>
    <t>GPUFMINGTR1B10X0P650RT</t>
  </si>
  <si>
    <t>GPUFMINGTR1B10X0P750MID</t>
  </si>
  <si>
    <t>GPUFMINGTR1B10X1P000</t>
  </si>
  <si>
    <t>GPUFMINGTR4B3X0P650HT</t>
  </si>
  <si>
    <t>PP_BRNA0_C_FULP_AN_IVDM_FRQ_JTG_RCR_ALLFRV_SI_GPUFMIN_GTR4B3X</t>
  </si>
  <si>
    <t>GPUFMINGTR4B3X0P650RT</t>
  </si>
  <si>
    <t>GPUFMINGTR4B3X0P750MID</t>
  </si>
  <si>
    <t>GPUFMINGTR4B3X1P000</t>
  </si>
  <si>
    <t>GPUFMINGTR4B10X0P650HT</t>
  </si>
  <si>
    <t>PP_BRNA0_C_FULP_AN_IVDM_FRQ_JTG_RCR_ALLFRV_SI_GPUFMIN_GTR4B10X</t>
  </si>
  <si>
    <t>GPUFMINGTR4B10X0P650RT</t>
  </si>
  <si>
    <t>GPUFMINGTR4B10X0P750MID</t>
  </si>
  <si>
    <t>GPUFMINGTR4B10X1P000</t>
  </si>
  <si>
    <t>VTHSPT42P253UA</t>
  </si>
  <si>
    <t>PP_BRNA0_C_FULP_AN_VSNR_DLL_JTG_FRQ_ALLFRV_SI_VTHSP_T4T5</t>
  </si>
  <si>
    <t>VTHSPT42P28UA</t>
  </si>
  <si>
    <t>VTHSPT42P32UA</t>
  </si>
  <si>
    <t>VTHSPT42P4UA</t>
  </si>
  <si>
    <t>VTHSPT42P133UA</t>
  </si>
  <si>
    <t>VTHSPT52P253UA</t>
  </si>
  <si>
    <t>VTHSPT52P28</t>
  </si>
  <si>
    <t>VTHSPT52P32UA</t>
  </si>
  <si>
    <t>VTHSPT52P4UA</t>
  </si>
  <si>
    <t>VTHSPT52P133UA</t>
  </si>
  <si>
    <t>VTHSET42P253UA</t>
  </si>
  <si>
    <t>PP_BRNA0_C_FULP_AN_VSNR_DLL_JTG_FRQ_ALLFRV_SI_VTHSE_T4T5</t>
  </si>
  <si>
    <t>VTHSET42P28UA</t>
  </si>
  <si>
    <t>VTHSET42P32UA</t>
  </si>
  <si>
    <t>VTHSET42P4UA</t>
  </si>
  <si>
    <t>VTHSET42P133UA</t>
  </si>
  <si>
    <t>VTHSET52P253UA</t>
  </si>
  <si>
    <t>VTHSET52P28UA</t>
  </si>
  <si>
    <t>VTHSET52P32UA</t>
  </si>
  <si>
    <t>VTHSET52P4UA</t>
  </si>
  <si>
    <t>VTHSET52P133UA</t>
  </si>
  <si>
    <t>PWRAONDIGCHINIT</t>
  </si>
  <si>
    <t>PP_BRNA0_S_IN00_PW_PTSX_XXX_XXX_PWR_ALLFRV_SI_PWRAON_INIT</t>
  </si>
  <si>
    <t>PWRAONDIGCH</t>
  </si>
  <si>
    <t>PP_BRNA0_C_FULP_PW_PTSX_PFF_DAA_PWR_ALLFRV_SI_PWR_AONDIGC</t>
  </si>
  <si>
    <t>PWRAONDIGCLINIT</t>
  </si>
  <si>
    <t>PWRAONDIGCL</t>
  </si>
  <si>
    <t>PWRAONEXPHINIT</t>
  </si>
  <si>
    <t>PWRAONEXPH</t>
  </si>
  <si>
    <t>PP_BRNA0_C_FULP_PW_PTSX_PFF_DAA_PWR_ALLFRV_SI_PWR_AONEXPH</t>
  </si>
  <si>
    <t>PWRAONEXPLINIT</t>
  </si>
  <si>
    <t>PWRAONEXPL</t>
  </si>
  <si>
    <t>PP_BRNA0_C_FULP_PW_PTSX_PFF_DAA_PWR_ALLFRV_SI_PWR_AONEXPL</t>
  </si>
  <si>
    <t>PWRSOCDIGCHINIT</t>
  </si>
  <si>
    <t>PP_BRNA0_S_IN00_PW_PTSX_XXX_XXX_PWR_ALLFRV_SI_PWRSOC_INIT</t>
  </si>
  <si>
    <t>PWRSOCDIGCH</t>
  </si>
  <si>
    <t>PP_BRNA0_C_FULP_PW_PTSX_PFF_DAA_PWR_ALLFRV_SI_PWR_SOCDIGC</t>
  </si>
  <si>
    <t>PWRSOCDIGCLINIT</t>
  </si>
  <si>
    <t>PWRSOCDIGCL</t>
  </si>
  <si>
    <t>PWRSOCEXPHINIT</t>
  </si>
  <si>
    <t>PWRSOCEXPH</t>
  </si>
  <si>
    <t>PP_BRNA0_C_FULP_PW_PTSX_PFF_DAA_PWR_ALLFRV_SI_PWR_SOCEXPH</t>
  </si>
  <si>
    <t>PWRSOCEXPLINIT</t>
  </si>
  <si>
    <t>PWRSOCEXPL</t>
  </si>
  <si>
    <t>PP_BRNA0_C_FULP_PW_PTSX_PFF_DAA_PWR_ALLFRV_SI_PWR_SOCEXPL</t>
  </si>
  <si>
    <t>DCDMEAST1P1</t>
  </si>
  <si>
    <t>PP_BRNA0_C_FULP_AN_CM00_DLL_JTG_DYC_ALLFRV_SI_DCDMEAS_T1P1</t>
  </si>
  <si>
    <t>DCDMEAST1P2</t>
  </si>
  <si>
    <t>PP_BRNA0_C_FULP_AN_CM00_DLL_JTG_DYC_ALLFRV_SI_DCDMEAS_T1P2</t>
  </si>
  <si>
    <t>DCDCALT2P1</t>
  </si>
  <si>
    <t>PP_BRNA0_C_FULP_AN_CM00_DLL_JTG_DYC_ALLFRV_SI_DCDCAL_T2P1</t>
  </si>
  <si>
    <t>DCDCALT2P2</t>
  </si>
  <si>
    <t>PP_BRNA0_C_FULP_AN_CM00_DLL_JTG_DYC_ALLFRV_SI_DCDCAL_T2P2</t>
  </si>
  <si>
    <t>DCDMEAST1P1FINAL</t>
  </si>
  <si>
    <t>DCDMEAST1P2FINAL</t>
  </si>
  <si>
    <t>DCDMEAST3P1RAW</t>
  </si>
  <si>
    <t>PP_BRNA0_C_FULP_AN_CM00_DLL_JTG_DYC_ALLFRV_SI_DCDMEAS_T3P1</t>
  </si>
  <si>
    <t>DCDMEAST3P2RAW</t>
  </si>
  <si>
    <t>PP_BRNA0_C_FULP_AN_CM00_DLL_JTG_DYC_ALLFRV_SI_DCDMEAS_T3P2</t>
  </si>
  <si>
    <t>DCDMEAST3P1</t>
  </si>
  <si>
    <t>DCDMEAST3P2</t>
  </si>
  <si>
    <t>DCDCALT4P1</t>
  </si>
  <si>
    <t>PP_BRNA0_C_FULP_AN_CM00_DLL_JTG_DYC_ALLFRV_SI_DCDCAL_T4P1</t>
  </si>
  <si>
    <t>DCDCALT4P2</t>
  </si>
  <si>
    <t>PP_BRNA0_C_FULP_AN_CM00_DLL_JTG_DYC_ALLFRV_SI_DCDCAL_T4P2</t>
  </si>
  <si>
    <t>DCDMEAST3P1FINAL</t>
  </si>
  <si>
    <t>DCDMEAST3P2FINAL</t>
  </si>
  <si>
    <t>PP_BRNA0_C_FULP_AN_DAPS_DLL_JTG_COD_ALLFRV_SI_SYS_PP1</t>
  </si>
  <si>
    <t>PP_BRNA0_C_FULP_AN_DAPS_DLL_JTG_COD_ALLFRV_SI_SYS_PP2</t>
  </si>
  <si>
    <t>SYSPP1</t>
  </si>
  <si>
    <t>SYSPP2</t>
  </si>
  <si>
    <t>LV/HV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</si>
</sst>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6"/>
      <color rgb="FF0000FF"/>
      <name val="Calibr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1">
    <xf numFmtId="0" fontId="0" fillId="0" borderId="0"/>
    <xf numFmtId="0" fontId="1" fillId="2" borderId="1">
      <alignment horizontal="left" vertical="center"/>
    </xf>
    <xf numFmtId="0" fontId="2" fillId="0" borderId="1">
      <alignment horizontal="center" vertical="center"/>
    </xf>
    <xf numFmtId="0" fontId="2" fillId="2" borderId="2">
      <alignment horizontal="center" vertical="center"/>
    </xf>
    <xf numFmtId="0" fontId="3" fillId="0" borderId="2">
      <alignment horizontal="left" vertical="center"/>
    </xf>
    <xf numFmtId="0" fontId="1" fillId="0" borderId="2">
      <alignment horizontal="left" vertical="center"/>
    </xf>
    <xf numFmtId="0" fontId="1" fillId="0" borderId="2">
      <alignment horizontal="right" vertical="center"/>
    </xf>
    <xf numFmtId="0" fontId="1" fillId="0" borderId="1">
      <alignment horizontal="left" vertical="center" wrapText="1"/>
    </xf>
    <xf numFmtId="0" fontId="4" fillId="0" borderId="1">
      <alignment horizontal="left" vertical="center"/>
    </xf>
    <xf numFmtId="0" fontId="4" fillId="0" borderId="1">
      <alignment horizontal="right" vertical="center"/>
    </xf>
    <xf numFmtId="0" fontId="5" fillId="0" borderId="1"/>
  </cellStyleXfs>
  <cellXfs count="64">
    <xf numFmtId="0" fontId="0" fillId="0" borderId="0" xfId="0"/>
    <xf numFmtId="0" fontId="4" fillId="0" borderId="1" xfId="8">
      <alignment horizontal="left" vertical="center"/>
    </xf>
    <xf numFmtId="0" fontId="2" fillId="2" borderId="2" xfId="3">
      <alignment horizontal="center" vertical="center"/>
    </xf>
    <xf numFmtId="0" fontId="3" fillId="0" borderId="2" xfId="4">
      <alignment horizontal="left" vertical="center"/>
    </xf>
    <xf numFmtId="0" fontId="1" fillId="0" borderId="2" xfId="6">
      <alignment horizontal="right" vertical="center"/>
    </xf>
    <xf numFmtId="164" fontId="1" fillId="0" borderId="2" xfId="6" applyNumberFormat="1">
      <alignment horizontal="right" vertical="center"/>
    </xf>
    <xf numFmtId="0" fontId="4" fillId="0" borderId="1" xfId="9">
      <alignment horizontal="right" vertical="center"/>
    </xf>
    <xf numFmtId="164" fontId="4" fillId="0" borderId="1" xfId="9" applyNumberFormat="1">
      <alignment horizontal="right" vertical="center"/>
    </xf>
    <xf numFmtId="0" fontId="1" fillId="0" borderId="2" xfId="5">
      <alignment horizontal="left" vertical="center"/>
    </xf>
    <xf numFmtId="0" fontId="0" fillId="0" borderId="1" xfId="0" applyBorder="1"/>
    <xf numFmtId="0" fontId="2" fillId="2" borderId="3" xfId="3" applyBorder="1">
      <alignment horizontal="center" vertical="center"/>
    </xf>
    <xf numFmtId="0" fontId="1" fillId="0" borderId="3" xfId="6" applyBorder="1">
      <alignment horizontal="right" vertical="center"/>
    </xf>
    <xf numFmtId="0" fontId="2" fillId="2" borderId="4" xfId="3" applyBorder="1">
      <alignment horizontal="center" vertical="center"/>
    </xf>
    <xf numFmtId="0" fontId="1" fillId="0" borderId="4" xfId="6" applyBorder="1">
      <alignment horizontal="right" vertical="center"/>
    </xf>
    <xf numFmtId="0" fontId="0" fillId="0" borderId="6" xfId="0" applyBorder="1"/>
    <xf numFmtId="0" fontId="2" fillId="2" borderId="8" xfId="3" applyBorder="1">
      <alignment horizontal="center" vertical="center"/>
    </xf>
    <xf numFmtId="0" fontId="1" fillId="0" borderId="8" xfId="6" applyBorder="1">
      <alignment horizontal="right" vertical="center"/>
    </xf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7" xfId="3" applyBorder="1">
      <alignment horizontal="center" vertical="center"/>
    </xf>
    <xf numFmtId="0" fontId="1" fillId="0" borderId="7" xfId="6" applyBorder="1" applyAlignment="1">
      <alignment horizontal="center" vertical="center"/>
    </xf>
    <xf numFmtId="0" fontId="1" fillId="3" borderId="2" xfId="5" applyFill="1">
      <alignment horizontal="left" vertical="center"/>
    </xf>
    <xf numFmtId="0" fontId="1" fillId="4" borderId="2" xfId="5" applyFill="1">
      <alignment horizontal="left" vertical="center"/>
    </xf>
    <xf numFmtId="0" fontId="1" fillId="4" borderId="2" xfId="6" applyFill="1">
      <alignment horizontal="right" vertical="center"/>
    </xf>
    <xf numFmtId="0" fontId="1" fillId="4" borderId="3" xfId="6" applyFill="1" applyBorder="1">
      <alignment horizontal="right" vertical="center"/>
    </xf>
    <xf numFmtId="0" fontId="1" fillId="4" borderId="7" xfId="6" applyFill="1" applyBorder="1" applyAlignment="1">
      <alignment horizontal="center" vertical="center"/>
    </xf>
    <xf numFmtId="0" fontId="1" fillId="3" borderId="4" xfId="6" applyFill="1" applyBorder="1" applyAlignment="1">
      <alignment horizontal="center" vertical="center"/>
    </xf>
    <xf numFmtId="0" fontId="0" fillId="3" borderId="2" xfId="0" applyFill="1" applyBorder="1"/>
    <xf numFmtId="0" fontId="1" fillId="5" borderId="2" xfId="5" applyFill="1">
      <alignment horizontal="left" vertical="center"/>
    </xf>
    <xf numFmtId="0" fontId="1" fillId="5" borderId="2" xfId="6" applyFill="1">
      <alignment horizontal="right" vertical="center"/>
    </xf>
    <xf numFmtId="0" fontId="1" fillId="5" borderId="3" xfId="6" applyFill="1" applyBorder="1">
      <alignment horizontal="right" vertical="center"/>
    </xf>
    <xf numFmtId="0" fontId="1" fillId="5" borderId="8" xfId="6" applyFill="1" applyBorder="1">
      <alignment horizontal="right" vertical="center"/>
    </xf>
    <xf numFmtId="0" fontId="1" fillId="4" borderId="8" xfId="6" applyFill="1" applyBorder="1">
      <alignment horizontal="right" vertical="center"/>
    </xf>
    <xf numFmtId="0" fontId="0" fillId="0" borderId="5" xfId="0" applyBorder="1" applyAlignment="1">
      <alignment horizontal="center"/>
    </xf>
    <xf numFmtId="0" fontId="1" fillId="5" borderId="7" xfId="6" applyFill="1" applyBorder="1" applyAlignment="1">
      <alignment horizontal="center" vertical="center"/>
    </xf>
    <xf numFmtId="0" fontId="1" fillId="6" borderId="2" xfId="5" applyFill="1">
      <alignment horizontal="left" vertical="center"/>
    </xf>
    <xf numFmtId="0" fontId="1" fillId="7" borderId="2" xfId="5" applyFill="1">
      <alignment horizontal="left" vertical="center"/>
    </xf>
    <xf numFmtId="0" fontId="1" fillId="8" borderId="2" xfId="5" applyFill="1">
      <alignment horizontal="left" vertical="center"/>
    </xf>
    <xf numFmtId="0" fontId="1" fillId="8" borderId="2" xfId="6" applyFill="1">
      <alignment horizontal="right" vertical="center"/>
    </xf>
    <xf numFmtId="0" fontId="1" fillId="8" borderId="3" xfId="6" applyFill="1" applyBorder="1">
      <alignment horizontal="right" vertical="center"/>
    </xf>
    <xf numFmtId="0" fontId="1" fillId="8" borderId="7" xfId="6" applyFill="1" applyBorder="1" applyAlignment="1">
      <alignment horizontal="center" vertical="center"/>
    </xf>
    <xf numFmtId="0" fontId="1" fillId="9" borderId="2" xfId="5" applyFill="1">
      <alignment horizontal="left" vertical="center"/>
    </xf>
    <xf numFmtId="0" fontId="1" fillId="9" borderId="2" xfId="6" applyFill="1">
      <alignment horizontal="right" vertical="center"/>
    </xf>
    <xf numFmtId="0" fontId="1" fillId="9" borderId="3" xfId="6" applyFill="1" applyBorder="1">
      <alignment horizontal="right" vertical="center"/>
    </xf>
    <xf numFmtId="0" fontId="1" fillId="9" borderId="7" xfId="6" applyFill="1" applyBorder="1" applyAlignment="1">
      <alignment horizontal="center" vertical="center"/>
    </xf>
    <xf numFmtId="0" fontId="1" fillId="7" borderId="2" xfId="6" applyFill="1">
      <alignment horizontal="right" vertical="center"/>
    </xf>
    <xf numFmtId="0" fontId="1" fillId="7" borderId="3" xfId="6" applyFill="1" applyBorder="1">
      <alignment horizontal="right" vertical="center"/>
    </xf>
    <xf numFmtId="0" fontId="1" fillId="7" borderId="7" xfId="6" applyFill="1" applyBorder="1" applyAlignment="1">
      <alignment horizontal="center" vertical="center"/>
    </xf>
    <xf numFmtId="0" fontId="5" fillId="0" borderId="1" xfId="10"/>
    <xf numFmtId="0" fontId="5" fillId="10" borderId="1" xfId="10" applyFill="1"/>
    <xf numFmtId="0" fontId="1" fillId="10" borderId="2" xfId="6" applyFill="1">
      <alignment horizontal="right" vertical="center"/>
    </xf>
    <xf numFmtId="0" fontId="1" fillId="10" borderId="2" xfId="5" applyFill="1">
      <alignment horizontal="left" vertical="center"/>
    </xf>
    <xf numFmtId="0" fontId="1" fillId="10" borderId="2" xfId="6" applyFill="1" applyAlignment="1">
      <alignment horizontal="center" vertical="center"/>
    </xf>
    <xf numFmtId="0" fontId="1" fillId="0" borderId="2" xfId="6" applyAlignment="1">
      <alignment horizontal="center" vertical="center"/>
    </xf>
    <xf numFmtId="0" fontId="1" fillId="0" borderId="4" xfId="6" applyBorder="1" applyAlignment="1">
      <alignment horizontal="center" vertical="center"/>
    </xf>
    <xf numFmtId="0" fontId="0" fillId="0" borderId="5" xfId="0" applyBorder="1"/>
    <xf numFmtId="0" fontId="1" fillId="0" borderId="7" xfId="6" applyBorder="1">
      <alignment horizontal="right" vertical="center"/>
    </xf>
    <xf numFmtId="0" fontId="1" fillId="5" borderId="4" xfId="6" applyFill="1" applyBorder="1">
      <alignment horizontal="right" vertical="center"/>
    </xf>
    <xf numFmtId="0" fontId="0" fillId="5" borderId="0" xfId="0" applyFill="1"/>
    <xf numFmtId="0" fontId="2" fillId="2" borderId="2" xfId="3">
      <alignment horizontal="center" vertical="center"/>
    </xf>
  </cellXfs>
  <cellStyles count="11">
    <cellStyle name="data" xfId="7" xr:uid="{00000000-0005-0000-0000-00000B000000}"/>
    <cellStyle name="data_16_b_blu_l" xfId="8" xr:uid="{00000000-0005-0000-0000-000010000000}"/>
    <cellStyle name="data_16_b_blu_r" xfId="9" xr:uid="{00000000-0005-0000-0000-000011000000}"/>
    <cellStyle name="divider" xfId="1" xr:uid="{00000000-0005-0000-0000-000001000000}"/>
    <cellStyle name="header" xfId="2" xr:uid="{00000000-0005-0000-0000-000006000000}"/>
    <cellStyle name="Normal" xfId="0" builtinId="0"/>
    <cellStyle name="Normal 2" xfId="10" xr:uid="{1177AE3F-B7CF-2942-A235-9A446F24E33A}"/>
    <cellStyle name="ttr_data_l" xfId="5" xr:uid="{00000000-0005-0000-0000-000009000000}"/>
    <cellStyle name="ttr_data_r" xfId="6" xr:uid="{00000000-0005-0000-0000-00000A000000}"/>
    <cellStyle name="ttr_header" xfId="3" xr:uid="{00000000-0005-0000-0000-000007000000}"/>
    <cellStyle name="ttr_hyperlink" xfId="4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1"/>
  <sheetViews>
    <sheetView workbookViewId="0">
      <selection activeCell="F41" sqref="F41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6" width="12" customWidth="1"/>
    <col min="7" max="7" width="11" customWidth="1"/>
    <col min="8" max="8" width="8" customWidth="1"/>
    <col min="9" max="12" width="12" customWidth="1"/>
    <col min="13" max="13" width="11" customWidth="1"/>
    <col min="14" max="18" width="8" customWidth="1"/>
  </cols>
  <sheetData>
    <row r="2" spans="1:18" ht="21" x14ac:dyDescent="0.2">
      <c r="A2" s="1"/>
      <c r="B2" s="1" t="s">
        <v>0</v>
      </c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>
        <v>4</v>
      </c>
      <c r="N2" s="1"/>
      <c r="O2" s="1" t="s">
        <v>2</v>
      </c>
      <c r="P2" s="1"/>
      <c r="Q2" s="1"/>
      <c r="R2" s="1"/>
    </row>
    <row r="3" spans="1:18" x14ac:dyDescent="0.2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O3" s="2" t="s">
        <v>9</v>
      </c>
      <c r="P3" s="2" t="s">
        <v>10</v>
      </c>
      <c r="Q3" s="2" t="s">
        <v>11</v>
      </c>
      <c r="R3" s="2" t="s">
        <v>12</v>
      </c>
    </row>
    <row r="4" spans="1:18" x14ac:dyDescent="0.2">
      <c r="B4" s="3" t="s">
        <v>13</v>
      </c>
      <c r="C4" s="4" t="e">
        <f>ROUND(#REF!/1000, 2)</f>
        <v>#REF!</v>
      </c>
      <c r="D4" s="4" t="e">
        <f>ROUND(#REF!/1000, 2)</f>
        <v>#REF!</v>
      </c>
      <c r="E4" s="4" t="e">
        <f>ROUND(#REF!/1000, 2)</f>
        <v>#REF!</v>
      </c>
      <c r="F4" s="4" t="e">
        <f>ROUND(#REF!/1000, 2)</f>
        <v>#REF!</v>
      </c>
      <c r="G4" s="4" t="e">
        <f t="shared" ref="G4:G19" si="0">SUM(C4:F4)</f>
        <v>#REF!</v>
      </c>
      <c r="I4" s="4"/>
      <c r="J4" s="4"/>
      <c r="K4" s="4"/>
      <c r="L4" s="4"/>
      <c r="M4" s="4"/>
      <c r="O4" s="5" t="e">
        <f>1-(I4-C4)/((M2-1)*C4)</f>
        <v>#REF!</v>
      </c>
      <c r="P4" s="5" t="e">
        <f>1-(J4-D4)/((M2-1)*D4)</f>
        <v>#REF!</v>
      </c>
      <c r="Q4" s="5" t="e">
        <f>1-(K4-E4)/((M2-1)*E4)</f>
        <v>#REF!</v>
      </c>
      <c r="R4" s="5" t="e">
        <f>1-(L4-F4)/((M2-1)*F4)</f>
        <v>#REF!</v>
      </c>
    </row>
    <row r="5" spans="1:18" x14ac:dyDescent="0.2">
      <c r="B5" s="3" t="s">
        <v>14</v>
      </c>
      <c r="C5" s="4" t="e">
        <f>ROUND(#REF!/1000, 2)</f>
        <v>#REF!</v>
      </c>
      <c r="D5" s="4" t="e">
        <f>ROUND(#REF!/1000, 2)</f>
        <v>#REF!</v>
      </c>
      <c r="E5" s="4" t="e">
        <f>ROUND(#REF!/1000, 2)</f>
        <v>#REF!</v>
      </c>
      <c r="F5" s="4" t="e">
        <f>ROUND(#REF!/1000, 2)</f>
        <v>#REF!</v>
      </c>
      <c r="G5" s="4" t="e">
        <f t="shared" si="0"/>
        <v>#REF!</v>
      </c>
      <c r="I5" s="4"/>
      <c r="J5" s="4"/>
      <c r="K5" s="4"/>
      <c r="L5" s="4"/>
      <c r="M5" s="4"/>
      <c r="O5" s="5" t="e">
        <f>1-(I5-C5)/((M2-1)*C5)</f>
        <v>#REF!</v>
      </c>
      <c r="P5" s="5" t="e">
        <f>1-(J5-D5)/((M2-1)*D5)</f>
        <v>#REF!</v>
      </c>
      <c r="Q5" s="5" t="e">
        <f>1-(K5-E5)/((M2-1)*E5)</f>
        <v>#REF!</v>
      </c>
      <c r="R5" s="5" t="e">
        <f>1-(L5-F5)/((M2-1)*F5)</f>
        <v>#REF!</v>
      </c>
    </row>
    <row r="6" spans="1:18" x14ac:dyDescent="0.2">
      <c r="B6" s="3" t="s">
        <v>15</v>
      </c>
      <c r="C6" s="4" t="e">
        <f>ROUND(#REF!/1000, 2)</f>
        <v>#REF!</v>
      </c>
      <c r="D6" s="4" t="e">
        <f>ROUND(#REF!/1000, 2)</f>
        <v>#REF!</v>
      </c>
      <c r="E6" s="4" t="e">
        <f>ROUND(#REF!/1000, 2)</f>
        <v>#REF!</v>
      </c>
      <c r="F6" s="4" t="e">
        <f>ROUND(#REF!/1000, 2)</f>
        <v>#REF!</v>
      </c>
      <c r="G6" s="4" t="e">
        <f t="shared" si="0"/>
        <v>#REF!</v>
      </c>
      <c r="I6" s="4"/>
      <c r="J6" s="4"/>
      <c r="K6" s="4"/>
      <c r="L6" s="4"/>
      <c r="M6" s="4"/>
      <c r="O6" s="5" t="e">
        <f>1-(I6-C6)/((M2-1)*C6)</f>
        <v>#REF!</v>
      </c>
      <c r="P6" s="5" t="e">
        <f>1-(J6-D6)/((M2-1)*D6)</f>
        <v>#REF!</v>
      </c>
      <c r="Q6" s="5" t="e">
        <f>1-(K6-E6)/((M2-1)*E6)</f>
        <v>#REF!</v>
      </c>
      <c r="R6" s="5" t="e">
        <f>1-(L6-F6)/((M2-1)*F6)</f>
        <v>#REF!</v>
      </c>
    </row>
    <row r="7" spans="1:18" x14ac:dyDescent="0.2">
      <c r="B7" s="3" t="s">
        <v>16</v>
      </c>
      <c r="C7" s="4" t="e">
        <f>ROUND(#REF!/1000, 2)</f>
        <v>#REF!</v>
      </c>
      <c r="D7" s="4" t="e">
        <f>ROUND(#REF!/1000, 2)</f>
        <v>#REF!</v>
      </c>
      <c r="E7" s="4" t="e">
        <f>ROUND(#REF!/1000, 2)</f>
        <v>#REF!</v>
      </c>
      <c r="F7" s="4" t="e">
        <f>ROUND(#REF!/1000, 2)</f>
        <v>#REF!</v>
      </c>
      <c r="G7" s="4" t="e">
        <f t="shared" si="0"/>
        <v>#REF!</v>
      </c>
      <c r="I7" s="4"/>
      <c r="J7" s="4"/>
      <c r="K7" s="4"/>
      <c r="L7" s="4"/>
      <c r="M7" s="4"/>
      <c r="O7" s="5" t="e">
        <f>1-(I7-C7)/((M2-1)*C7)</f>
        <v>#REF!</v>
      </c>
      <c r="P7" s="5" t="e">
        <f>1-(J7-D7)/((M2-1)*D7)</f>
        <v>#REF!</v>
      </c>
      <c r="Q7" s="5" t="e">
        <f>1-(K7-E7)/((M2-1)*E7)</f>
        <v>#REF!</v>
      </c>
      <c r="R7" s="5" t="e">
        <f>1-(L7-F7)/((M2-1)*F7)</f>
        <v>#REF!</v>
      </c>
    </row>
    <row r="8" spans="1:18" x14ac:dyDescent="0.2">
      <c r="B8" s="3" t="s">
        <v>17</v>
      </c>
      <c r="C8" s="4" t="e">
        <f>ROUND(#REF!/1000, 2)</f>
        <v>#REF!</v>
      </c>
      <c r="D8" s="4" t="e">
        <f>ROUND(#REF!/1000, 2)</f>
        <v>#REF!</v>
      </c>
      <c r="E8" s="4" t="e">
        <f>ROUND(#REF!/1000, 2)</f>
        <v>#REF!</v>
      </c>
      <c r="F8" s="4" t="e">
        <f>ROUND(#REF!/1000, 2)</f>
        <v>#REF!</v>
      </c>
      <c r="G8" s="4" t="e">
        <f t="shared" si="0"/>
        <v>#REF!</v>
      </c>
      <c r="I8" s="4"/>
      <c r="J8" s="4"/>
      <c r="K8" s="4"/>
      <c r="L8" s="4"/>
      <c r="M8" s="4"/>
      <c r="O8" s="5" t="e">
        <f>1-(I8-C8)/((M2-1)*C8)</f>
        <v>#REF!</v>
      </c>
      <c r="P8" s="5" t="e">
        <f>1-(J8-D8)/((M2-1)*D8)</f>
        <v>#REF!</v>
      </c>
      <c r="Q8" s="5" t="e">
        <f>1-(K8-E8)/((M2-1)*E8)</f>
        <v>#REF!</v>
      </c>
      <c r="R8" s="5" t="e">
        <f>1-(L8-F8)/((M2-1)*F8)</f>
        <v>#REF!</v>
      </c>
    </row>
    <row r="9" spans="1:18" x14ac:dyDescent="0.2">
      <c r="B9" s="3" t="s">
        <v>18</v>
      </c>
      <c r="C9" s="4">
        <f>ROUND(DSGRINGS!F2/1000, 2)</f>
        <v>9.1999999999999993</v>
      </c>
      <c r="D9" s="4">
        <f>ROUND(DSGRINGS!I2/1000, 2)</f>
        <v>9.1999999999999993</v>
      </c>
      <c r="E9" s="4">
        <f>ROUND(DSGRINGS!L2/1000, 2)</f>
        <v>9.1999999999999993</v>
      </c>
      <c r="F9" s="4">
        <f>ROUND(DSGRINGS!O2/1000, 2)</f>
        <v>9.1999999999999993</v>
      </c>
      <c r="G9" s="4">
        <f t="shared" si="0"/>
        <v>36.799999999999997</v>
      </c>
      <c r="I9" s="4"/>
      <c r="J9" s="4"/>
      <c r="K9" s="4"/>
      <c r="L9" s="4"/>
      <c r="M9" s="4"/>
      <c r="O9" s="5">
        <f>1-(I9-C9)/((M2-1)*C9)</f>
        <v>1.3333333333333333</v>
      </c>
      <c r="P9" s="5">
        <f>1-(J9-D9)/((M2-1)*D9)</f>
        <v>1.3333333333333333</v>
      </c>
      <c r="Q9" s="5">
        <f>1-(K9-E9)/((M2-1)*E9)</f>
        <v>1.3333333333333333</v>
      </c>
      <c r="R9" s="5">
        <f>1-(L9-F9)/((M2-1)*F9)</f>
        <v>1.3333333333333333</v>
      </c>
    </row>
    <row r="10" spans="1:18" x14ac:dyDescent="0.2">
      <c r="B10" s="3" t="s">
        <v>19</v>
      </c>
      <c r="C10" s="4">
        <f>ROUND(NPMS!F2/1000, 2)</f>
        <v>43.82</v>
      </c>
      <c r="D10" s="4">
        <f>ROUND(NPMS!I2/1000, 2)</f>
        <v>43.82</v>
      </c>
      <c r="E10" s="4">
        <f>ROUND(NPMS!L2/1000, 2)</f>
        <v>43.82</v>
      </c>
      <c r="F10" s="4">
        <f>ROUND(NPMS!O2/1000, 2)</f>
        <v>43.82</v>
      </c>
      <c r="G10" s="4">
        <f t="shared" si="0"/>
        <v>175.28</v>
      </c>
      <c r="I10" s="4"/>
      <c r="J10" s="4"/>
      <c r="K10" s="4"/>
      <c r="L10" s="4"/>
      <c r="M10" s="4"/>
      <c r="O10" s="5">
        <f>1-(I10-C10)/((M2-1)*C10)</f>
        <v>1.3333333333333333</v>
      </c>
      <c r="P10" s="5">
        <f>1-(J10-D10)/((M2-1)*D10)</f>
        <v>1.3333333333333333</v>
      </c>
      <c r="Q10" s="5">
        <f>1-(K10-E10)/((M2-1)*E10)</f>
        <v>1.3333333333333333</v>
      </c>
      <c r="R10" s="5">
        <f>1-(L10-F10)/((M2-1)*F10)</f>
        <v>1.3333333333333333</v>
      </c>
    </row>
    <row r="11" spans="1:18" x14ac:dyDescent="0.2">
      <c r="B11" s="3" t="s">
        <v>20</v>
      </c>
      <c r="C11" s="4">
        <f>ROUND(DAPS!F2/1000, 2)</f>
        <v>2.73</v>
      </c>
      <c r="D11" s="4">
        <f>ROUND(DAPS!I2/1000, 2)</f>
        <v>2.73</v>
      </c>
      <c r="E11" s="4">
        <f>ROUND(DAPS!L2/1000, 2)</f>
        <v>2.73</v>
      </c>
      <c r="F11" s="4">
        <f>ROUND(DAPS!O2/1000, 2)</f>
        <v>2.73</v>
      </c>
      <c r="G11" s="4">
        <f t="shared" si="0"/>
        <v>10.92</v>
      </c>
      <c r="I11" s="4"/>
      <c r="J11" s="4"/>
      <c r="K11" s="4"/>
      <c r="L11" s="4"/>
      <c r="M11" s="4"/>
      <c r="O11" s="5">
        <f>1-(I11-C11)/((M2-1)*C11)</f>
        <v>1.3333333333333335</v>
      </c>
      <c r="P11" s="5">
        <f>1-(J11-D11)/((M2-1)*D11)</f>
        <v>1.3333333333333335</v>
      </c>
      <c r="Q11" s="5">
        <f>1-(K11-E11)/((M2-1)*E11)</f>
        <v>1.3333333333333335</v>
      </c>
      <c r="R11" s="5">
        <f>1-(L11-F11)/((M2-1)*F11)</f>
        <v>1.3333333333333335</v>
      </c>
    </row>
    <row r="12" spans="1:18" x14ac:dyDescent="0.2">
      <c r="B12" s="3" t="s">
        <v>21</v>
      </c>
      <c r="C12" s="4">
        <f>ROUND(NCKM!F2/1000, 2)</f>
        <v>7.52</v>
      </c>
      <c r="D12" s="4">
        <f>ROUND(NCKM!I2/1000, 2)</f>
        <v>7.52</v>
      </c>
      <c r="E12" s="4">
        <f>ROUND(NCKM!L2/1000, 2)</f>
        <v>7.52</v>
      </c>
      <c r="F12" s="4">
        <f>ROUND(NCKM!O2/1000, 2)</f>
        <v>7.52</v>
      </c>
      <c r="G12" s="4">
        <f t="shared" si="0"/>
        <v>30.08</v>
      </c>
      <c r="I12" s="4"/>
      <c r="J12" s="4"/>
      <c r="K12" s="4"/>
      <c r="L12" s="4"/>
      <c r="M12" s="4"/>
      <c r="O12" s="5">
        <f>1-(I12-C12)/((M2-1)*C12)</f>
        <v>1.3333333333333333</v>
      </c>
      <c r="P12" s="5">
        <f>1-(J12-D12)/((M2-1)*D12)</f>
        <v>1.3333333333333333</v>
      </c>
      <c r="Q12" s="5">
        <f>1-(K12-E12)/((M2-1)*E12)</f>
        <v>1.3333333333333333</v>
      </c>
      <c r="R12" s="5">
        <f>1-(L12-F12)/((M2-1)*F12)</f>
        <v>1.3333333333333333</v>
      </c>
    </row>
    <row r="13" spans="1:18" x14ac:dyDescent="0.2">
      <c r="B13" s="3" t="s">
        <v>22</v>
      </c>
      <c r="C13" s="4">
        <f>ROUND(LLPSMNPP!F2/1000, 2)</f>
        <v>3.6</v>
      </c>
      <c r="D13" s="4">
        <f>ROUND(LLPSMNPP!I2/1000, 2)</f>
        <v>3.6</v>
      </c>
      <c r="E13" s="4">
        <f>ROUND(LLPSMNPP!L2/1000, 2)</f>
        <v>3.6</v>
      </c>
      <c r="F13" s="4">
        <f>ROUND(LLPSMNPP!O2/1000, 2)</f>
        <v>3.6</v>
      </c>
      <c r="G13" s="4">
        <f t="shared" si="0"/>
        <v>14.4</v>
      </c>
      <c r="I13" s="4"/>
      <c r="J13" s="4"/>
      <c r="K13" s="4"/>
      <c r="L13" s="4"/>
      <c r="M13" s="4"/>
      <c r="O13" s="5">
        <f>1-(I13-C13)/((M2-1)*C13)</f>
        <v>1.3333333333333333</v>
      </c>
      <c r="P13" s="5">
        <f>1-(J13-D13)/((M2-1)*D13)</f>
        <v>1.3333333333333333</v>
      </c>
      <c r="Q13" s="5">
        <f>1-(K13-E13)/((M2-1)*E13)</f>
        <v>1.3333333333333333</v>
      </c>
      <c r="R13" s="5">
        <f>1-(L13-F13)/((M2-1)*F13)</f>
        <v>1.3333333333333333</v>
      </c>
    </row>
    <row r="14" spans="1:18" x14ac:dyDescent="0.2">
      <c r="B14" s="3" t="s">
        <v>23</v>
      </c>
      <c r="C14" s="4">
        <f>ROUND(ABSMIN!F2/1000, 2)</f>
        <v>36.74</v>
      </c>
      <c r="D14" s="4">
        <f>ROUND(ABSMIN!I2/1000, 2)</f>
        <v>36.74</v>
      </c>
      <c r="E14" s="4">
        <f>ROUND(ABSMIN!L2/1000, 2)</f>
        <v>36.74</v>
      </c>
      <c r="F14" s="4">
        <f>ROUND(ABSMIN!O2/1000, 2)</f>
        <v>36.74</v>
      </c>
      <c r="G14" s="4">
        <f t="shared" si="0"/>
        <v>146.96</v>
      </c>
      <c r="I14" s="4"/>
      <c r="J14" s="4"/>
      <c r="K14" s="4"/>
      <c r="L14" s="4"/>
      <c r="M14" s="4"/>
      <c r="O14" s="5">
        <f>1-(I14-C14)/((M2-1)*C14)</f>
        <v>1.3333333333333335</v>
      </c>
      <c r="P14" s="5">
        <f>1-(J14-D14)/((M2-1)*D14)</f>
        <v>1.3333333333333335</v>
      </c>
      <c r="Q14" s="5">
        <f>1-(K14-E14)/((M2-1)*E14)</f>
        <v>1.3333333333333335</v>
      </c>
      <c r="R14" s="5">
        <f>1-(L14-F14)/((M2-1)*F14)</f>
        <v>1.3333333333333335</v>
      </c>
    </row>
    <row r="15" spans="1:18" x14ac:dyDescent="0.2">
      <c r="B15" s="3" t="s">
        <v>24</v>
      </c>
      <c r="C15" s="4" t="e">
        <f>ROUND(#REF!/1000, 2)</f>
        <v>#REF!</v>
      </c>
      <c r="D15" s="4" t="e">
        <f>ROUND(#REF!/1000, 2)</f>
        <v>#REF!</v>
      </c>
      <c r="E15" s="4" t="e">
        <f>ROUND(#REF!/1000, 2)</f>
        <v>#REF!</v>
      </c>
      <c r="F15" s="4" t="e">
        <f>ROUND(#REF!/1000, 2)</f>
        <v>#REF!</v>
      </c>
      <c r="G15" s="4" t="e">
        <f t="shared" si="0"/>
        <v>#REF!</v>
      </c>
      <c r="I15" s="4"/>
      <c r="J15" s="4"/>
      <c r="K15" s="4"/>
      <c r="L15" s="4"/>
      <c r="M15" s="4"/>
      <c r="O15" s="5" t="e">
        <f>1-(I15-C15)/((M2-1)*C15)</f>
        <v>#REF!</v>
      </c>
      <c r="P15" s="5" t="e">
        <f>1-(J15-D15)/((M2-1)*D15)</f>
        <v>#REF!</v>
      </c>
      <c r="Q15" s="5" t="e">
        <f>1-(K15-E15)/((M2-1)*E15)</f>
        <v>#REF!</v>
      </c>
      <c r="R15" s="5" t="e">
        <f>1-(L15-F15)/((M2-1)*F15)</f>
        <v>#REF!</v>
      </c>
    </row>
    <row r="16" spans="1:18" x14ac:dyDescent="0.2">
      <c r="B16" s="3" t="s">
        <v>25</v>
      </c>
      <c r="C16" s="4">
        <f>ROUND(DSGVTHSENSOR!F2/1000, 2)</f>
        <v>33.81</v>
      </c>
      <c r="D16" s="4">
        <f>ROUND(DSGVTHSENSOR!I2/1000, 2)</f>
        <v>33.81</v>
      </c>
      <c r="E16" s="4">
        <f>ROUND(DSGVTHSENSOR!L2/1000, 2)</f>
        <v>33.81</v>
      </c>
      <c r="F16" s="4">
        <f>ROUND(DSGVTHSENSOR!O2/1000, 2)</f>
        <v>33.81</v>
      </c>
      <c r="G16" s="4">
        <f t="shared" si="0"/>
        <v>135.24</v>
      </c>
      <c r="I16" s="4"/>
      <c r="J16" s="4"/>
      <c r="K16" s="4"/>
      <c r="L16" s="4"/>
      <c r="M16" s="4"/>
      <c r="O16" s="5">
        <f>1-(I16-C16)/((M2-1)*C16)</f>
        <v>1.3333333333333333</v>
      </c>
      <c r="P16" s="5">
        <f>1-(J16-D16)/((M2-1)*D16)</f>
        <v>1.3333333333333333</v>
      </c>
      <c r="Q16" s="5">
        <f>1-(K16-E16)/((M2-1)*E16)</f>
        <v>1.3333333333333333</v>
      </c>
      <c r="R16" s="5">
        <f>1-(L16-F16)/((M2-1)*F16)</f>
        <v>1.3333333333333333</v>
      </c>
    </row>
    <row r="17" spans="2:18" x14ac:dyDescent="0.2">
      <c r="B17" s="3" t="s">
        <v>26</v>
      </c>
      <c r="C17" s="4">
        <f>ROUND(PWRDET!F2/1000, 2)</f>
        <v>1.61</v>
      </c>
      <c r="D17" s="4">
        <f>ROUND(PWRDET!I2/1000, 2)</f>
        <v>1.61</v>
      </c>
      <c r="E17" s="4">
        <f>ROUND(PWRDET!L2/1000, 2)</f>
        <v>1.61</v>
      </c>
      <c r="F17" s="4">
        <f>ROUND(PWRDET!O2/1000, 2)</f>
        <v>1.61</v>
      </c>
      <c r="G17" s="4">
        <f t="shared" si="0"/>
        <v>6.44</v>
      </c>
      <c r="I17" s="4"/>
      <c r="J17" s="4"/>
      <c r="K17" s="4"/>
      <c r="L17" s="4"/>
      <c r="M17" s="4"/>
      <c r="O17" s="5">
        <f>1-(I17-C17)/((M2-1)*C17)</f>
        <v>1.3333333333333335</v>
      </c>
      <c r="P17" s="5">
        <f>1-(J17-D17)/((M2-1)*D17)</f>
        <v>1.3333333333333335</v>
      </c>
      <c r="Q17" s="5">
        <f>1-(K17-E17)/((M2-1)*E17)</f>
        <v>1.3333333333333335</v>
      </c>
      <c r="R17" s="5">
        <f>1-(L17-F17)/((M2-1)*F17)</f>
        <v>1.3333333333333335</v>
      </c>
    </row>
    <row r="18" spans="2:18" x14ac:dyDescent="0.2">
      <c r="B18" s="3" t="s">
        <v>27</v>
      </c>
      <c r="C18" s="4">
        <f>ROUND(CLKMON!F2/1000, 2)</f>
        <v>5.83</v>
      </c>
      <c r="D18" s="4">
        <f>ROUND(CLKMON!I2/1000, 2)</f>
        <v>5.83</v>
      </c>
      <c r="E18" s="4">
        <f>ROUND(CLKMON!L2/1000, 2)</f>
        <v>5.83</v>
      </c>
      <c r="F18" s="4">
        <f>ROUND(CLKMON!O2/1000, 2)</f>
        <v>5.83</v>
      </c>
      <c r="G18" s="4">
        <f t="shared" si="0"/>
        <v>23.32</v>
      </c>
      <c r="I18" s="4"/>
      <c r="J18" s="4"/>
      <c r="K18" s="4"/>
      <c r="L18" s="4"/>
      <c r="M18" s="4"/>
      <c r="O18" s="5">
        <f>1-(I18-C18)/((M2-1)*C18)</f>
        <v>1.3333333333333333</v>
      </c>
      <c r="P18" s="5">
        <f>1-(J18-D18)/((M2-1)*D18)</f>
        <v>1.3333333333333333</v>
      </c>
      <c r="Q18" s="5">
        <f>1-(K18-E18)/((M2-1)*E18)</f>
        <v>1.3333333333333333</v>
      </c>
      <c r="R18" s="5">
        <f>1-(L18-F18)/((M2-1)*F18)</f>
        <v>1.3333333333333333</v>
      </c>
    </row>
    <row r="19" spans="2:18" x14ac:dyDescent="0.2">
      <c r="B19" s="3" t="s">
        <v>28</v>
      </c>
      <c r="C19" s="4" t="e">
        <f>ROUND(#REF!/1000, 2)</f>
        <v>#REF!</v>
      </c>
      <c r="D19" s="4" t="e">
        <f>ROUND(#REF!/1000, 2)</f>
        <v>#REF!</v>
      </c>
      <c r="E19" s="4" t="e">
        <f>ROUND(#REF!/1000, 2)</f>
        <v>#REF!</v>
      </c>
      <c r="F19" s="4" t="e">
        <f>ROUND(#REF!/1000, 2)</f>
        <v>#REF!</v>
      </c>
      <c r="G19" s="4" t="e">
        <f t="shared" si="0"/>
        <v>#REF!</v>
      </c>
      <c r="I19" s="4"/>
      <c r="J19" s="4"/>
      <c r="K19" s="4"/>
      <c r="L19" s="4"/>
      <c r="M19" s="4"/>
      <c r="O19" s="5" t="e">
        <f>1-(I19-C19)/((M2-1)*C19)</f>
        <v>#REF!</v>
      </c>
      <c r="P19" s="5" t="e">
        <f>1-(J19-D19)/((M2-1)*D19)</f>
        <v>#REF!</v>
      </c>
      <c r="Q19" s="5" t="e">
        <f>1-(K19-E19)/((M2-1)*E19)</f>
        <v>#REF!</v>
      </c>
      <c r="R19" s="5" t="e">
        <f>1-(L19-F19)/((M2-1)*F19)</f>
        <v>#REF!</v>
      </c>
    </row>
    <row r="21" spans="2:18" ht="21" x14ac:dyDescent="0.2">
      <c r="B21" s="1" t="s">
        <v>29</v>
      </c>
      <c r="C21" s="6" t="e">
        <f>SUM(C4:C19)</f>
        <v>#REF!</v>
      </c>
      <c r="D21" s="6" t="e">
        <f>SUM(D4:D19)</f>
        <v>#REF!</v>
      </c>
      <c r="E21" s="6" t="e">
        <f>SUM(E4:E19)</f>
        <v>#REF!</v>
      </c>
      <c r="F21" s="6" t="e">
        <f>SUM(F4:F19)</f>
        <v>#REF!</v>
      </c>
      <c r="G21" s="6" t="e">
        <f>SUM(G4:G19)</f>
        <v>#REF!</v>
      </c>
      <c r="I21" s="6">
        <f>SUM(I4:I19)</f>
        <v>0</v>
      </c>
      <c r="J21" s="6">
        <f>SUM(J4:J19)</f>
        <v>0</v>
      </c>
      <c r="K21" s="6">
        <f>SUM(K4:K19)</f>
        <v>0</v>
      </c>
      <c r="L21" s="6">
        <f>SUM(L4:L19)</f>
        <v>0</v>
      </c>
      <c r="M21" s="6">
        <f>SUM(M4:M19)</f>
        <v>0</v>
      </c>
      <c r="O21" s="7" t="e">
        <f>1-(I21-C21)/((M2-1)*C21)</f>
        <v>#REF!</v>
      </c>
      <c r="P21" s="7" t="e">
        <f>1-(J21-D21)/((M2-1)*D21)</f>
        <v>#REF!</v>
      </c>
      <c r="Q21" s="7" t="e">
        <f>1-(K21-E21)/((M2-1)*E21)</f>
        <v>#REF!</v>
      </c>
      <c r="R21" s="7" t="e">
        <f>1-(L21-F21)/((M2-1)*F21)</f>
        <v>#REF!</v>
      </c>
    </row>
  </sheetData>
  <hyperlinks>
    <hyperlink ref="B4" location="IO_JTAG!A1" display="IO_JTAG" xr:uid="{00000000-0004-0000-0000-000000000000}"/>
    <hyperlink ref="B5" location="ADCDFT!A1" display="ADCDFT" xr:uid="{00000000-0004-0000-0000-000001000000}"/>
    <hyperlink ref="B6" location="MTRICTS!A1" display="MTRICTS" xr:uid="{00000000-0004-0000-0000-000002000000}"/>
    <hyperlink ref="B7" location="NTSE!A1" display="NTSE" xr:uid="{00000000-0004-0000-0000-000003000000}"/>
    <hyperlink ref="B8" location="NTSR!A1" display="NTSR" xr:uid="{00000000-0004-0000-0000-000004000000}"/>
    <hyperlink ref="B9" location="DSGRINGS!A1" display="DSGRINGS" xr:uid="{00000000-0004-0000-0000-000005000000}"/>
    <hyperlink ref="B10" location="NPMS!A1" display="NPMS" xr:uid="{00000000-0004-0000-0000-000006000000}"/>
    <hyperlink ref="B11" location="DAPS!A1" display="DAPS" xr:uid="{00000000-0004-0000-0000-000007000000}"/>
    <hyperlink ref="B12" location="NCKM!A1" display="NCKM" xr:uid="{00000000-0004-0000-0000-000008000000}"/>
    <hyperlink ref="B13" location="LLPSMNPP!A1" display="LLPSMNPP" xr:uid="{00000000-0004-0000-0000-000009000000}"/>
    <hyperlink ref="B14" location="ABSMIN!A1" display="ABSMIN" xr:uid="{00000000-0004-0000-0000-00000A000000}"/>
    <hyperlink ref="B15" location="IVDM!A1" display="IVDM" xr:uid="{00000000-0004-0000-0000-00000B000000}"/>
    <hyperlink ref="B16" location="DSGVTHSENSOR!A1" display="DSGVTHSENSOR" xr:uid="{00000000-0004-0000-0000-00000C000000}"/>
    <hyperlink ref="B17" location="PWRDET!A1" display="PWRDET" xr:uid="{00000000-0004-0000-0000-00000D000000}"/>
    <hyperlink ref="B18" location="CLKMON!A1" display="CLKMON" xr:uid="{00000000-0004-0000-0000-00000E000000}"/>
    <hyperlink ref="B19" location="AMP!A1" display="AMP" xr:uid="{00000000-0004-0000-0000-00000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13"/>
  <sheetViews>
    <sheetView workbookViewId="0">
      <selection activeCell="Q1" sqref="Q1:Q1048576"/>
    </sheetView>
  </sheetViews>
  <sheetFormatPr baseColWidth="10" defaultColWidth="8.83203125" defaultRowHeight="15" x14ac:dyDescent="0.2"/>
  <cols>
    <col min="1" max="2" width="18" customWidth="1"/>
    <col min="3" max="3" width="64" customWidth="1"/>
    <col min="4" max="4" width="13" customWidth="1"/>
    <col min="5" max="5" width="10" customWidth="1"/>
    <col min="6" max="6" width="9" customWidth="1"/>
    <col min="7" max="7" width="8" customWidth="1"/>
    <col min="8" max="8" width="10" customWidth="1"/>
    <col min="9" max="9" width="9" customWidth="1"/>
    <col min="10" max="10" width="8" customWidth="1"/>
    <col min="11" max="11" width="10" customWidth="1"/>
    <col min="12" max="12" width="9" customWidth="1"/>
    <col min="13" max="13" width="8" customWidth="1"/>
    <col min="14" max="14" width="10" customWidth="1"/>
    <col min="15" max="15" width="9" customWidth="1"/>
    <col min="16" max="16" width="8" style="9" customWidth="1"/>
    <col min="17" max="17" width="10" style="37" customWidth="1"/>
    <col min="18" max="19" width="10" style="9" customWidth="1"/>
    <col min="20" max="20" width="10" style="14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SUM(E5:G13)</f>
        <v>9195.7000000000007</v>
      </c>
      <c r="G2" s="6"/>
      <c r="H2" s="6"/>
      <c r="I2" s="6">
        <f>SUM(H5:J13)</f>
        <v>9195.7000000000007</v>
      </c>
      <c r="J2" s="6"/>
      <c r="K2" s="6"/>
      <c r="L2" s="6">
        <f>SUM(K5:M13)</f>
        <v>9195.7000000000007</v>
      </c>
      <c r="M2" s="6"/>
      <c r="N2" s="6"/>
      <c r="O2" s="6">
        <f>SUM(N5:P13)</f>
        <v>9195.7000000000007</v>
      </c>
      <c r="P2" s="6"/>
    </row>
    <row r="3" spans="1:24" x14ac:dyDescent="0.2">
      <c r="A3" s="2"/>
      <c r="B3" s="2"/>
      <c r="C3" s="2"/>
      <c r="D3" s="2"/>
      <c r="E3" s="63" t="s">
        <v>32</v>
      </c>
      <c r="F3" s="63"/>
      <c r="G3" s="63"/>
      <c r="H3" s="63" t="s">
        <v>33</v>
      </c>
      <c r="I3" s="63"/>
      <c r="J3" s="63"/>
      <c r="K3" s="63" t="s">
        <v>34</v>
      </c>
      <c r="L3" s="63"/>
      <c r="M3" s="63"/>
      <c r="N3" s="63" t="s">
        <v>35</v>
      </c>
      <c r="O3" s="63"/>
      <c r="P3" s="63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8" t="s">
        <v>18</v>
      </c>
      <c r="B5" s="8" t="s">
        <v>52</v>
      </c>
      <c r="C5" s="8" t="s">
        <v>53</v>
      </c>
      <c r="D5" s="4"/>
      <c r="E5" s="4"/>
      <c r="F5" s="4">
        <v>389.86</v>
      </c>
      <c r="G5" s="4"/>
      <c r="H5" s="4"/>
      <c r="I5" s="4">
        <v>389.86</v>
      </c>
      <c r="J5" s="4"/>
      <c r="K5" s="4"/>
      <c r="L5" s="4">
        <v>389.86</v>
      </c>
      <c r="M5" s="4"/>
      <c r="N5" s="4"/>
      <c r="O5" s="4">
        <v>389.86</v>
      </c>
      <c r="P5" s="11"/>
      <c r="Q5" s="24" t="s">
        <v>41</v>
      </c>
      <c r="R5" s="4"/>
      <c r="S5" s="4"/>
      <c r="T5" s="16"/>
      <c r="U5" s="13"/>
      <c r="V5" s="4"/>
      <c r="W5" s="4"/>
      <c r="X5" s="4"/>
    </row>
    <row r="6" spans="1:24" x14ac:dyDescent="0.2">
      <c r="A6" s="8" t="s">
        <v>18</v>
      </c>
      <c r="B6" s="8" t="s">
        <v>54</v>
      </c>
      <c r="C6" s="8" t="s">
        <v>55</v>
      </c>
      <c r="D6" s="4"/>
      <c r="E6" s="4"/>
      <c r="F6" s="4">
        <v>536.11</v>
      </c>
      <c r="G6" s="4"/>
      <c r="H6" s="4"/>
      <c r="I6" s="4">
        <v>536.11</v>
      </c>
      <c r="J6" s="4"/>
      <c r="K6" s="4"/>
      <c r="L6" s="4">
        <v>536.11</v>
      </c>
      <c r="M6" s="4"/>
      <c r="N6" s="4"/>
      <c r="O6" s="4">
        <v>536.11</v>
      </c>
      <c r="P6" s="11"/>
      <c r="Q6" s="24" t="s">
        <v>41</v>
      </c>
      <c r="R6" s="4"/>
      <c r="S6" s="4"/>
      <c r="T6" s="16"/>
      <c r="U6" s="13"/>
      <c r="V6" s="4"/>
      <c r="W6" s="4"/>
      <c r="X6" s="4"/>
    </row>
    <row r="7" spans="1:24" x14ac:dyDescent="0.2">
      <c r="A7" s="8" t="s">
        <v>18</v>
      </c>
      <c r="B7" s="8" t="s">
        <v>56</v>
      </c>
      <c r="C7" s="8" t="s">
        <v>57</v>
      </c>
      <c r="D7" s="4"/>
      <c r="E7" s="4"/>
      <c r="F7" s="4">
        <v>393.38</v>
      </c>
      <c r="G7" s="4"/>
      <c r="H7" s="4"/>
      <c r="I7" s="4">
        <v>393.38</v>
      </c>
      <c r="J7" s="4"/>
      <c r="K7" s="4"/>
      <c r="L7" s="4">
        <v>393.38</v>
      </c>
      <c r="M7" s="4"/>
      <c r="N7" s="4"/>
      <c r="O7" s="4">
        <v>393.38</v>
      </c>
      <c r="P7" s="11"/>
      <c r="Q7" s="24" t="s">
        <v>41</v>
      </c>
      <c r="R7" s="4"/>
      <c r="S7" s="4"/>
      <c r="T7" s="16"/>
      <c r="U7" s="13"/>
      <c r="V7" s="4"/>
      <c r="W7" s="4"/>
      <c r="X7" s="4"/>
    </row>
    <row r="8" spans="1:24" x14ac:dyDescent="0.2">
      <c r="A8" s="8" t="s">
        <v>18</v>
      </c>
      <c r="B8" s="8" t="s">
        <v>58</v>
      </c>
      <c r="C8" s="8" t="s">
        <v>59</v>
      </c>
      <c r="D8" s="4"/>
      <c r="E8" s="4"/>
      <c r="F8" s="4">
        <v>415.64</v>
      </c>
      <c r="G8" s="4"/>
      <c r="H8" s="4"/>
      <c r="I8" s="4">
        <v>415.64</v>
      </c>
      <c r="J8" s="4"/>
      <c r="K8" s="4"/>
      <c r="L8" s="4">
        <v>415.64</v>
      </c>
      <c r="M8" s="4"/>
      <c r="N8" s="4"/>
      <c r="O8" s="4">
        <v>415.64</v>
      </c>
      <c r="P8" s="11"/>
      <c r="Q8" s="24"/>
      <c r="R8" s="4"/>
      <c r="S8" s="4"/>
      <c r="T8" s="16"/>
      <c r="U8" s="13"/>
      <c r="V8" s="4"/>
      <c r="W8" s="4"/>
      <c r="X8" s="4"/>
    </row>
    <row r="9" spans="1:24" s="62" customFormat="1" x14ac:dyDescent="0.2">
      <c r="A9" s="32" t="s">
        <v>18</v>
      </c>
      <c r="B9" s="32" t="s">
        <v>60</v>
      </c>
      <c r="C9" s="32" t="s">
        <v>61</v>
      </c>
      <c r="D9" s="33"/>
      <c r="E9" s="33"/>
      <c r="F9" s="33">
        <v>1008.63</v>
      </c>
      <c r="G9" s="33"/>
      <c r="H9" s="33"/>
      <c r="I9" s="33">
        <v>1008.63</v>
      </c>
      <c r="J9" s="33"/>
      <c r="K9" s="33"/>
      <c r="L9" s="33">
        <v>1008.63</v>
      </c>
      <c r="M9" s="33"/>
      <c r="N9" s="33"/>
      <c r="O9" s="33">
        <v>1008.63</v>
      </c>
      <c r="P9" s="34"/>
      <c r="Q9" s="38"/>
      <c r="R9" s="33"/>
      <c r="S9" s="33"/>
      <c r="T9" s="35"/>
      <c r="U9" s="61"/>
      <c r="V9" s="33"/>
      <c r="W9" s="33"/>
      <c r="X9" s="33"/>
    </row>
    <row r="10" spans="1:24" s="62" customFormat="1" x14ac:dyDescent="0.2">
      <c r="A10" s="32" t="s">
        <v>18</v>
      </c>
      <c r="B10" s="32" t="s">
        <v>62</v>
      </c>
      <c r="C10" s="32" t="s">
        <v>63</v>
      </c>
      <c r="D10" s="33"/>
      <c r="E10" s="33"/>
      <c r="F10" s="33">
        <v>555.78</v>
      </c>
      <c r="G10" s="33"/>
      <c r="H10" s="33"/>
      <c r="I10" s="33">
        <v>555.78</v>
      </c>
      <c r="J10" s="33"/>
      <c r="K10" s="33"/>
      <c r="L10" s="33">
        <v>555.78</v>
      </c>
      <c r="M10" s="33"/>
      <c r="N10" s="33"/>
      <c r="O10" s="33">
        <v>555.78</v>
      </c>
      <c r="P10" s="34"/>
      <c r="Q10" s="38"/>
      <c r="R10" s="33"/>
      <c r="S10" s="33"/>
      <c r="T10" s="35"/>
      <c r="U10" s="61"/>
      <c r="V10" s="33"/>
      <c r="W10" s="33"/>
      <c r="X10" s="33"/>
    </row>
    <row r="11" spans="1:24" x14ac:dyDescent="0.2">
      <c r="A11" s="8" t="s">
        <v>18</v>
      </c>
      <c r="B11" s="8" t="s">
        <v>64</v>
      </c>
      <c r="C11" s="8" t="s">
        <v>65</v>
      </c>
      <c r="D11" s="4"/>
      <c r="E11" s="4">
        <v>565.9</v>
      </c>
      <c r="F11" s="4">
        <v>594.49</v>
      </c>
      <c r="G11" s="4">
        <v>584.19000000000005</v>
      </c>
      <c r="H11" s="4">
        <v>565.9</v>
      </c>
      <c r="I11" s="4">
        <v>594.49</v>
      </c>
      <c r="J11" s="4">
        <v>584.19000000000005</v>
      </c>
      <c r="K11" s="4">
        <v>565.9</v>
      </c>
      <c r="L11" s="4">
        <v>594.49</v>
      </c>
      <c r="M11" s="4">
        <v>584.19000000000005</v>
      </c>
      <c r="N11" s="4">
        <v>565.9</v>
      </c>
      <c r="O11" s="4">
        <v>594.49</v>
      </c>
      <c r="P11" s="11">
        <v>584.19000000000005</v>
      </c>
      <c r="Q11" s="24" t="s">
        <v>41</v>
      </c>
      <c r="R11" s="4"/>
      <c r="S11" s="4"/>
      <c r="T11" s="16"/>
      <c r="U11" s="13"/>
      <c r="V11" s="4"/>
      <c r="W11" s="4"/>
      <c r="X11" s="4"/>
    </row>
    <row r="12" spans="1:24" x14ac:dyDescent="0.2">
      <c r="A12" s="8" t="s">
        <v>18</v>
      </c>
      <c r="B12" s="8" t="s">
        <v>66</v>
      </c>
      <c r="C12" s="8" t="s">
        <v>67</v>
      </c>
      <c r="D12" s="4"/>
      <c r="E12" s="4">
        <v>782.1</v>
      </c>
      <c r="F12" s="4">
        <v>754.69</v>
      </c>
      <c r="G12" s="4">
        <v>755.11</v>
      </c>
      <c r="H12" s="4">
        <v>782.1</v>
      </c>
      <c r="I12" s="4">
        <v>754.69</v>
      </c>
      <c r="J12" s="4">
        <v>755.11</v>
      </c>
      <c r="K12" s="4">
        <v>782.1</v>
      </c>
      <c r="L12" s="4">
        <v>754.69</v>
      </c>
      <c r="M12" s="4">
        <v>755.11</v>
      </c>
      <c r="N12" s="4">
        <v>782.1</v>
      </c>
      <c r="O12" s="4">
        <v>754.69</v>
      </c>
      <c r="P12" s="11">
        <v>755.11</v>
      </c>
      <c r="Q12" s="24" t="s">
        <v>41</v>
      </c>
      <c r="R12" s="4"/>
      <c r="S12" s="4"/>
      <c r="T12" s="16"/>
      <c r="U12" s="13"/>
      <c r="V12" s="4"/>
      <c r="W12" s="4"/>
      <c r="X12" s="4"/>
    </row>
    <row r="13" spans="1:24" x14ac:dyDescent="0.2">
      <c r="A13" s="8" t="s">
        <v>18</v>
      </c>
      <c r="B13" s="8" t="s">
        <v>68</v>
      </c>
      <c r="C13" s="8" t="s">
        <v>69</v>
      </c>
      <c r="D13" s="4"/>
      <c r="E13" s="4">
        <v>609.54</v>
      </c>
      <c r="F13" s="4">
        <v>624.57000000000005</v>
      </c>
      <c r="G13" s="4">
        <v>625.71</v>
      </c>
      <c r="H13" s="4">
        <v>609.54</v>
      </c>
      <c r="I13" s="4">
        <v>624.57000000000005</v>
      </c>
      <c r="J13" s="4">
        <v>625.71</v>
      </c>
      <c r="K13" s="4">
        <v>609.54</v>
      </c>
      <c r="L13" s="4">
        <v>624.57000000000005</v>
      </c>
      <c r="M13" s="4">
        <v>625.71</v>
      </c>
      <c r="N13" s="4">
        <v>609.54</v>
      </c>
      <c r="O13" s="4">
        <v>624.57000000000005</v>
      </c>
      <c r="P13" s="11">
        <v>625.71</v>
      </c>
      <c r="Q13" s="24" t="s">
        <v>41</v>
      </c>
      <c r="R13" s="4"/>
      <c r="S13" s="4"/>
      <c r="T13" s="16"/>
      <c r="U13" s="13"/>
      <c r="V13" s="4"/>
      <c r="W13" s="4"/>
      <c r="X13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9"/>
  <sheetViews>
    <sheetView topLeftCell="B1" workbookViewId="0">
      <selection activeCell="Q1" sqref="Q1:Q1048576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55" customWidth="1"/>
    <col min="4" max="4" width="13" customWidth="1"/>
    <col min="5" max="5" width="10" customWidth="1"/>
    <col min="6" max="7" width="9" customWidth="1"/>
    <col min="8" max="8" width="10" customWidth="1"/>
    <col min="9" max="10" width="9" customWidth="1"/>
    <col min="11" max="11" width="10" customWidth="1"/>
    <col min="12" max="13" width="9" customWidth="1"/>
    <col min="14" max="14" width="10" customWidth="1"/>
    <col min="15" max="15" width="9" customWidth="1"/>
    <col min="16" max="16" width="9" style="9" customWidth="1"/>
    <col min="17" max="17" width="10" style="37" customWidth="1"/>
    <col min="18" max="19" width="10" style="9" customWidth="1"/>
    <col min="20" max="20" width="10" style="14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SUM(E5:G9)</f>
        <v>43824.41</v>
      </c>
      <c r="G2" s="6"/>
      <c r="H2" s="6"/>
      <c r="I2" s="6">
        <f>SUM(H5:J9)</f>
        <v>43824.41</v>
      </c>
      <c r="J2" s="6"/>
      <c r="K2" s="6"/>
      <c r="L2" s="6">
        <f>SUM(K5:M9)</f>
        <v>43824.41</v>
      </c>
      <c r="M2" s="6"/>
      <c r="N2" s="6"/>
      <c r="O2" s="6">
        <f>SUM(N5:P9)</f>
        <v>43824.41</v>
      </c>
      <c r="P2" s="6"/>
    </row>
    <row r="3" spans="1:24" x14ac:dyDescent="0.2">
      <c r="A3" s="2"/>
      <c r="B3" s="2"/>
      <c r="C3" s="2"/>
      <c r="D3" s="2"/>
      <c r="E3" s="63" t="s">
        <v>32</v>
      </c>
      <c r="F3" s="63"/>
      <c r="G3" s="63"/>
      <c r="H3" s="63" t="s">
        <v>33</v>
      </c>
      <c r="I3" s="63"/>
      <c r="J3" s="63"/>
      <c r="K3" s="63" t="s">
        <v>34</v>
      </c>
      <c r="L3" s="63"/>
      <c r="M3" s="63"/>
      <c r="N3" s="63" t="s">
        <v>35</v>
      </c>
      <c r="O3" s="63"/>
      <c r="P3" s="63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8" t="s">
        <v>19</v>
      </c>
      <c r="B5" s="8" t="s">
        <v>70</v>
      </c>
      <c r="C5" s="8" t="s">
        <v>71</v>
      </c>
      <c r="D5" s="4"/>
      <c r="E5" s="4">
        <v>2214.46</v>
      </c>
      <c r="F5" s="4">
        <v>2277.96</v>
      </c>
      <c r="G5" s="4">
        <v>2018.78</v>
      </c>
      <c r="H5" s="4">
        <v>2214.46</v>
      </c>
      <c r="I5" s="4">
        <v>2277.96</v>
      </c>
      <c r="J5" s="4">
        <v>2018.78</v>
      </c>
      <c r="K5" s="4">
        <v>2214.46</v>
      </c>
      <c r="L5" s="4">
        <v>2277.96</v>
      </c>
      <c r="M5" s="4">
        <v>2018.78</v>
      </c>
      <c r="N5" s="4">
        <v>2214.46</v>
      </c>
      <c r="O5" s="4">
        <v>2277.96</v>
      </c>
      <c r="P5" s="11">
        <v>2018.78</v>
      </c>
      <c r="Q5" s="24" t="s">
        <v>41</v>
      </c>
      <c r="R5" s="4"/>
      <c r="S5" s="4"/>
      <c r="T5" s="16"/>
      <c r="U5" s="13"/>
      <c r="V5" s="4"/>
      <c r="W5" s="4"/>
      <c r="X5" s="4"/>
    </row>
    <row r="6" spans="1:24" x14ac:dyDescent="0.2">
      <c r="A6" s="8" t="s">
        <v>19</v>
      </c>
      <c r="B6" s="8" t="s">
        <v>72</v>
      </c>
      <c r="C6" s="8" t="s">
        <v>73</v>
      </c>
      <c r="D6" s="4"/>
      <c r="E6" s="4">
        <v>2808.33</v>
      </c>
      <c r="F6" s="4">
        <v>2905.86</v>
      </c>
      <c r="G6" s="4">
        <v>4337.1000000000004</v>
      </c>
      <c r="H6" s="4">
        <v>2808.33</v>
      </c>
      <c r="I6" s="4">
        <v>2905.86</v>
      </c>
      <c r="J6" s="4">
        <v>4337.1000000000004</v>
      </c>
      <c r="K6" s="4">
        <v>2808.33</v>
      </c>
      <c r="L6" s="4">
        <v>2905.86</v>
      </c>
      <c r="M6" s="4">
        <v>4337.1000000000004</v>
      </c>
      <c r="N6" s="4">
        <v>2808.33</v>
      </c>
      <c r="O6" s="4">
        <v>2905.86</v>
      </c>
      <c r="P6" s="11">
        <v>4337.1000000000004</v>
      </c>
      <c r="Q6" s="24" t="s">
        <v>41</v>
      </c>
      <c r="R6" s="4"/>
      <c r="S6" s="4"/>
      <c r="T6" s="16"/>
      <c r="U6" s="13"/>
      <c r="V6" s="4"/>
      <c r="W6" s="4"/>
      <c r="X6" s="4"/>
    </row>
    <row r="7" spans="1:24" x14ac:dyDescent="0.2">
      <c r="A7" s="8" t="s">
        <v>19</v>
      </c>
      <c r="B7" s="8" t="s">
        <v>74</v>
      </c>
      <c r="C7" s="8" t="s">
        <v>75</v>
      </c>
      <c r="D7" s="4"/>
      <c r="E7" s="4">
        <v>3735.91</v>
      </c>
      <c r="F7" s="4">
        <v>3749.31</v>
      </c>
      <c r="G7" s="4">
        <v>3472.77</v>
      </c>
      <c r="H7" s="4">
        <v>3735.91</v>
      </c>
      <c r="I7" s="4">
        <v>3749.31</v>
      </c>
      <c r="J7" s="4">
        <v>3472.77</v>
      </c>
      <c r="K7" s="4">
        <v>3735.91</v>
      </c>
      <c r="L7" s="4">
        <v>3749.31</v>
      </c>
      <c r="M7" s="4">
        <v>3472.77</v>
      </c>
      <c r="N7" s="4">
        <v>3735.91</v>
      </c>
      <c r="O7" s="4">
        <v>3749.31</v>
      </c>
      <c r="P7" s="11">
        <v>3472.77</v>
      </c>
      <c r="Q7" s="24"/>
      <c r="R7" s="4"/>
      <c r="S7" s="4"/>
      <c r="T7" s="16"/>
      <c r="U7" s="13"/>
      <c r="V7" s="4"/>
      <c r="W7" s="4"/>
      <c r="X7" s="4"/>
    </row>
    <row r="8" spans="1:24" x14ac:dyDescent="0.2">
      <c r="A8" s="8" t="s">
        <v>19</v>
      </c>
      <c r="B8" s="8" t="s">
        <v>76</v>
      </c>
      <c r="C8" s="8" t="s">
        <v>77</v>
      </c>
      <c r="D8" s="4"/>
      <c r="E8" s="4">
        <v>4780.54</v>
      </c>
      <c r="F8" s="4">
        <v>4800.1899999999996</v>
      </c>
      <c r="G8" s="4">
        <v>4548.37</v>
      </c>
      <c r="H8" s="4">
        <v>4780.54</v>
      </c>
      <c r="I8" s="4">
        <v>4800.1899999999996</v>
      </c>
      <c r="J8" s="4">
        <v>4548.37</v>
      </c>
      <c r="K8" s="4">
        <v>4780.54</v>
      </c>
      <c r="L8" s="4">
        <v>4800.1899999999996</v>
      </c>
      <c r="M8" s="4">
        <v>4548.37</v>
      </c>
      <c r="N8" s="4">
        <v>4780.54</v>
      </c>
      <c r="O8" s="4">
        <v>4800.1899999999996</v>
      </c>
      <c r="P8" s="11">
        <v>4548.37</v>
      </c>
      <c r="Q8" s="24"/>
      <c r="R8" s="4"/>
      <c r="S8" s="4"/>
      <c r="T8" s="16"/>
      <c r="U8" s="13"/>
      <c r="V8" s="4"/>
      <c r="W8" s="4"/>
      <c r="X8" s="4"/>
    </row>
    <row r="9" spans="1:24" x14ac:dyDescent="0.2">
      <c r="A9" s="8" t="s">
        <v>19</v>
      </c>
      <c r="B9" s="8" t="s">
        <v>78</v>
      </c>
      <c r="C9" s="8" t="s">
        <v>79</v>
      </c>
      <c r="D9" s="4"/>
      <c r="E9" s="4">
        <v>710.97</v>
      </c>
      <c r="F9" s="4">
        <v>711.61</v>
      </c>
      <c r="G9" s="4">
        <v>752.25</v>
      </c>
      <c r="H9" s="4">
        <v>710.97</v>
      </c>
      <c r="I9" s="4">
        <v>711.61</v>
      </c>
      <c r="J9" s="4">
        <v>752.25</v>
      </c>
      <c r="K9" s="4">
        <v>710.97</v>
      </c>
      <c r="L9" s="4">
        <v>711.61</v>
      </c>
      <c r="M9" s="4">
        <v>752.25</v>
      </c>
      <c r="N9" s="4">
        <v>710.97</v>
      </c>
      <c r="O9" s="4">
        <v>711.61</v>
      </c>
      <c r="P9" s="11">
        <v>752.25</v>
      </c>
      <c r="Q9" s="24"/>
      <c r="R9" s="4"/>
      <c r="S9" s="4"/>
      <c r="T9" s="16"/>
      <c r="U9" s="13"/>
      <c r="V9" s="4"/>
      <c r="W9" s="4"/>
      <c r="X9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59999389629810485"/>
  </sheetPr>
  <dimension ref="A2:X22"/>
  <sheetViews>
    <sheetView workbookViewId="0">
      <selection activeCell="C35" sqref="C35"/>
    </sheetView>
  </sheetViews>
  <sheetFormatPr baseColWidth="10" defaultColWidth="8.83203125" defaultRowHeight="15" x14ac:dyDescent="0.2"/>
  <cols>
    <col min="1" max="2" width="18" customWidth="1"/>
    <col min="3" max="3" width="63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9" customWidth="1"/>
    <col min="17" max="17" width="10" style="59" customWidth="1"/>
    <col min="18" max="19" width="10" style="9" customWidth="1"/>
    <col min="20" max="20" width="10" style="14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SUM(E5:G22)</f>
        <v>7524.3699999999981</v>
      </c>
      <c r="G2" s="6"/>
      <c r="H2" s="6"/>
      <c r="I2" s="6">
        <f>SUM(H5:J22)</f>
        <v>7524.3699999999981</v>
      </c>
      <c r="J2" s="6"/>
      <c r="K2" s="6"/>
      <c r="L2" s="6">
        <f>SUM(K5:M22)</f>
        <v>7524.3699999999981</v>
      </c>
      <c r="M2" s="6"/>
      <c r="N2" s="6"/>
      <c r="O2" s="6">
        <f>SUM(N5:P22)</f>
        <v>7524.3699999999981</v>
      </c>
      <c r="P2" s="6"/>
    </row>
    <row r="3" spans="1:24" x14ac:dyDescent="0.2">
      <c r="A3" s="2"/>
      <c r="B3" s="2"/>
      <c r="C3" s="2"/>
      <c r="D3" s="2"/>
      <c r="E3" s="63" t="s">
        <v>32</v>
      </c>
      <c r="F3" s="63"/>
      <c r="G3" s="63"/>
      <c r="H3" s="63" t="s">
        <v>33</v>
      </c>
      <c r="I3" s="63"/>
      <c r="J3" s="63"/>
      <c r="K3" s="63" t="s">
        <v>34</v>
      </c>
      <c r="L3" s="63"/>
      <c r="M3" s="63"/>
      <c r="N3" s="63" t="s">
        <v>35</v>
      </c>
      <c r="O3" s="63"/>
      <c r="P3" s="63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8" t="s">
        <v>21</v>
      </c>
      <c r="B5" s="8" t="s">
        <v>96</v>
      </c>
      <c r="C5" s="8" t="s">
        <v>97</v>
      </c>
      <c r="D5" s="4"/>
      <c r="E5" s="4">
        <v>94.98</v>
      </c>
      <c r="F5" s="4">
        <v>105.36</v>
      </c>
      <c r="G5" s="4">
        <v>93.67</v>
      </c>
      <c r="H5" s="4">
        <v>94.98</v>
      </c>
      <c r="I5" s="4">
        <v>105.36</v>
      </c>
      <c r="J5" s="4">
        <v>93.67</v>
      </c>
      <c r="K5" s="4">
        <v>94.98</v>
      </c>
      <c r="L5" s="4">
        <v>105.36</v>
      </c>
      <c r="M5" s="4">
        <v>93.67</v>
      </c>
      <c r="N5" s="4">
        <v>94.98</v>
      </c>
      <c r="O5" s="4">
        <v>105.36</v>
      </c>
      <c r="P5" s="11">
        <v>93.67</v>
      </c>
      <c r="Q5" s="60"/>
      <c r="R5" s="4"/>
      <c r="S5" s="4"/>
      <c r="T5" s="16"/>
      <c r="U5" s="58" t="s">
        <v>41</v>
      </c>
      <c r="V5" s="4"/>
      <c r="W5" s="4"/>
      <c r="X5" s="4"/>
    </row>
    <row r="6" spans="1:24" x14ac:dyDescent="0.2">
      <c r="A6" s="8" t="s">
        <v>21</v>
      </c>
      <c r="B6" s="8" t="s">
        <v>98</v>
      </c>
      <c r="C6" s="8" t="s">
        <v>99</v>
      </c>
      <c r="D6" s="4"/>
      <c r="E6" s="4">
        <v>94.56</v>
      </c>
      <c r="F6" s="4">
        <v>103.79</v>
      </c>
      <c r="G6" s="4">
        <v>92.57</v>
      </c>
      <c r="H6" s="4">
        <v>94.56</v>
      </c>
      <c r="I6" s="4">
        <v>103.79</v>
      </c>
      <c r="J6" s="4">
        <v>92.57</v>
      </c>
      <c r="K6" s="4">
        <v>94.56</v>
      </c>
      <c r="L6" s="4">
        <v>103.79</v>
      </c>
      <c r="M6" s="4">
        <v>92.57</v>
      </c>
      <c r="N6" s="4">
        <v>94.56</v>
      </c>
      <c r="O6" s="4">
        <v>103.79</v>
      </c>
      <c r="P6" s="11">
        <v>92.57</v>
      </c>
      <c r="Q6" s="60"/>
      <c r="R6" s="4"/>
      <c r="S6" s="4"/>
      <c r="T6" s="16"/>
      <c r="U6" s="58" t="s">
        <v>41</v>
      </c>
      <c r="V6" s="4"/>
      <c r="W6" s="4"/>
      <c r="X6" s="4"/>
    </row>
    <row r="7" spans="1:24" x14ac:dyDescent="0.2">
      <c r="A7" s="8" t="s">
        <v>21</v>
      </c>
      <c r="B7" s="8" t="s">
        <v>100</v>
      </c>
      <c r="C7" s="8" t="s">
        <v>101</v>
      </c>
      <c r="D7" s="4"/>
      <c r="E7" s="4">
        <v>95.09</v>
      </c>
      <c r="F7" s="4">
        <v>106.92</v>
      </c>
      <c r="G7" s="4">
        <v>92.74</v>
      </c>
      <c r="H7" s="4">
        <v>95.09</v>
      </c>
      <c r="I7" s="4">
        <v>106.92</v>
      </c>
      <c r="J7" s="4">
        <v>92.74</v>
      </c>
      <c r="K7" s="4">
        <v>95.09</v>
      </c>
      <c r="L7" s="4">
        <v>106.92</v>
      </c>
      <c r="M7" s="4">
        <v>92.74</v>
      </c>
      <c r="N7" s="4">
        <v>95.09</v>
      </c>
      <c r="O7" s="4">
        <v>106.92</v>
      </c>
      <c r="P7" s="11">
        <v>92.74</v>
      </c>
      <c r="Q7" s="60"/>
      <c r="R7" s="4"/>
      <c r="S7" s="4"/>
      <c r="T7" s="16"/>
      <c r="U7" s="58" t="s">
        <v>41</v>
      </c>
      <c r="V7" s="4"/>
      <c r="W7" s="4"/>
      <c r="X7" s="4"/>
    </row>
    <row r="8" spans="1:24" x14ac:dyDescent="0.2">
      <c r="A8" s="8" t="s">
        <v>21</v>
      </c>
      <c r="B8" s="8" t="s">
        <v>102</v>
      </c>
      <c r="C8" s="8" t="s">
        <v>103</v>
      </c>
      <c r="D8" s="4"/>
      <c r="E8" s="4">
        <v>185.97</v>
      </c>
      <c r="F8" s="4">
        <v>182.57</v>
      </c>
      <c r="G8" s="4">
        <v>178.56</v>
      </c>
      <c r="H8" s="4">
        <v>185.97</v>
      </c>
      <c r="I8" s="4">
        <v>182.57</v>
      </c>
      <c r="J8" s="4">
        <v>178.56</v>
      </c>
      <c r="K8" s="4">
        <v>185.97</v>
      </c>
      <c r="L8" s="4">
        <v>182.57</v>
      </c>
      <c r="M8" s="4">
        <v>178.56</v>
      </c>
      <c r="N8" s="4">
        <v>185.97</v>
      </c>
      <c r="O8" s="4">
        <v>182.57</v>
      </c>
      <c r="P8" s="11">
        <v>178.56</v>
      </c>
      <c r="Q8" s="60"/>
      <c r="R8" s="4"/>
      <c r="S8" s="4"/>
      <c r="T8" s="16"/>
      <c r="U8" s="58" t="s">
        <v>41</v>
      </c>
      <c r="V8" s="4"/>
      <c r="W8" s="4"/>
      <c r="X8" s="4"/>
    </row>
    <row r="9" spans="1:24" x14ac:dyDescent="0.2">
      <c r="A9" s="8" t="s">
        <v>21</v>
      </c>
      <c r="B9" s="8" t="s">
        <v>104</v>
      </c>
      <c r="C9" s="8" t="s">
        <v>105</v>
      </c>
      <c r="D9" s="4"/>
      <c r="E9" s="4">
        <v>142.4</v>
      </c>
      <c r="F9" s="4">
        <v>150.74</v>
      </c>
      <c r="G9" s="4">
        <v>140.77000000000001</v>
      </c>
      <c r="H9" s="4">
        <v>142.4</v>
      </c>
      <c r="I9" s="4">
        <v>150.74</v>
      </c>
      <c r="J9" s="4">
        <v>140.77000000000001</v>
      </c>
      <c r="K9" s="4">
        <v>142.4</v>
      </c>
      <c r="L9" s="4">
        <v>150.74</v>
      </c>
      <c r="M9" s="4">
        <v>140.77000000000001</v>
      </c>
      <c r="N9" s="4">
        <v>142.4</v>
      </c>
      <c r="O9" s="4">
        <v>150.74</v>
      </c>
      <c r="P9" s="11">
        <v>140.77000000000001</v>
      </c>
      <c r="Q9" s="60"/>
      <c r="R9" s="4"/>
      <c r="S9" s="4"/>
      <c r="T9" s="16"/>
      <c r="U9" s="58" t="s">
        <v>41</v>
      </c>
      <c r="V9" s="4"/>
      <c r="W9" s="4"/>
      <c r="X9" s="4"/>
    </row>
    <row r="10" spans="1:24" x14ac:dyDescent="0.2">
      <c r="A10" s="8" t="s">
        <v>21</v>
      </c>
      <c r="B10" s="8" t="s">
        <v>106</v>
      </c>
      <c r="C10" s="8" t="s">
        <v>107</v>
      </c>
      <c r="D10" s="4"/>
      <c r="E10" s="4">
        <v>141.97</v>
      </c>
      <c r="F10" s="4">
        <v>150.11000000000001</v>
      </c>
      <c r="G10" s="4">
        <v>139.28</v>
      </c>
      <c r="H10" s="4">
        <v>141.97</v>
      </c>
      <c r="I10" s="4">
        <v>150.11000000000001</v>
      </c>
      <c r="J10" s="4">
        <v>139.28</v>
      </c>
      <c r="K10" s="4">
        <v>141.97</v>
      </c>
      <c r="L10" s="4">
        <v>150.11000000000001</v>
      </c>
      <c r="M10" s="4">
        <v>139.28</v>
      </c>
      <c r="N10" s="4">
        <v>141.97</v>
      </c>
      <c r="O10" s="4">
        <v>150.11000000000001</v>
      </c>
      <c r="P10" s="11">
        <v>139.28</v>
      </c>
      <c r="Q10" s="60"/>
      <c r="R10" s="4"/>
      <c r="S10" s="4"/>
      <c r="T10" s="16"/>
      <c r="U10" s="58" t="s">
        <v>41</v>
      </c>
      <c r="V10" s="4"/>
      <c r="W10" s="4"/>
      <c r="X10" s="4"/>
    </row>
    <row r="11" spans="1:24" x14ac:dyDescent="0.2">
      <c r="A11" s="8" t="s">
        <v>21</v>
      </c>
      <c r="B11" s="8" t="s">
        <v>108</v>
      </c>
      <c r="C11" s="8" t="s">
        <v>109</v>
      </c>
      <c r="D11" s="4"/>
      <c r="E11" s="4">
        <v>141.4</v>
      </c>
      <c r="F11" s="4">
        <v>150.38999999999999</v>
      </c>
      <c r="G11" s="4">
        <v>139.33000000000001</v>
      </c>
      <c r="H11" s="4">
        <v>141.4</v>
      </c>
      <c r="I11" s="4">
        <v>150.38999999999999</v>
      </c>
      <c r="J11" s="4">
        <v>139.33000000000001</v>
      </c>
      <c r="K11" s="4">
        <v>141.4</v>
      </c>
      <c r="L11" s="4">
        <v>150.38999999999999</v>
      </c>
      <c r="M11" s="4">
        <v>139.33000000000001</v>
      </c>
      <c r="N11" s="4">
        <v>141.4</v>
      </c>
      <c r="O11" s="4">
        <v>150.38999999999999</v>
      </c>
      <c r="P11" s="11">
        <v>139.33000000000001</v>
      </c>
      <c r="Q11" s="60"/>
      <c r="R11" s="4"/>
      <c r="S11" s="4"/>
      <c r="T11" s="16"/>
      <c r="U11" s="58" t="s">
        <v>41</v>
      </c>
      <c r="V11" s="4"/>
      <c r="W11" s="4"/>
      <c r="X11" s="4"/>
    </row>
    <row r="12" spans="1:24" x14ac:dyDescent="0.2">
      <c r="A12" s="8" t="s">
        <v>21</v>
      </c>
      <c r="B12" s="8" t="s">
        <v>110</v>
      </c>
      <c r="C12" s="8" t="s">
        <v>111</v>
      </c>
      <c r="D12" s="4"/>
      <c r="E12" s="4">
        <v>141.76</v>
      </c>
      <c r="F12" s="4">
        <v>149.91</v>
      </c>
      <c r="G12" s="4">
        <v>139.96</v>
      </c>
      <c r="H12" s="4">
        <v>141.76</v>
      </c>
      <c r="I12" s="4">
        <v>149.91</v>
      </c>
      <c r="J12" s="4">
        <v>139.96</v>
      </c>
      <c r="K12" s="4">
        <v>141.76</v>
      </c>
      <c r="L12" s="4">
        <v>149.91</v>
      </c>
      <c r="M12" s="4">
        <v>139.96</v>
      </c>
      <c r="N12" s="4">
        <v>141.76</v>
      </c>
      <c r="O12" s="4">
        <v>149.91</v>
      </c>
      <c r="P12" s="11">
        <v>139.96</v>
      </c>
      <c r="Q12" s="60"/>
      <c r="R12" s="4"/>
      <c r="S12" s="4"/>
      <c r="T12" s="16"/>
      <c r="U12" s="58" t="s">
        <v>41</v>
      </c>
      <c r="V12" s="4"/>
      <c r="W12" s="4"/>
      <c r="X12" s="4"/>
    </row>
    <row r="13" spans="1:24" x14ac:dyDescent="0.2">
      <c r="A13" s="8" t="s">
        <v>21</v>
      </c>
      <c r="B13" s="8" t="s">
        <v>112</v>
      </c>
      <c r="C13" s="8" t="s">
        <v>113</v>
      </c>
      <c r="D13" s="4"/>
      <c r="E13" s="4">
        <v>142.53</v>
      </c>
      <c r="F13" s="4">
        <v>150.91999999999999</v>
      </c>
      <c r="G13" s="4">
        <v>139.41</v>
      </c>
      <c r="H13" s="4">
        <v>142.53</v>
      </c>
      <c r="I13" s="4">
        <v>150.91999999999999</v>
      </c>
      <c r="J13" s="4">
        <v>139.41</v>
      </c>
      <c r="K13" s="4">
        <v>142.53</v>
      </c>
      <c r="L13" s="4">
        <v>150.91999999999999</v>
      </c>
      <c r="M13" s="4">
        <v>139.41</v>
      </c>
      <c r="N13" s="4">
        <v>142.53</v>
      </c>
      <c r="O13" s="4">
        <v>150.91999999999999</v>
      </c>
      <c r="P13" s="11">
        <v>139.41</v>
      </c>
      <c r="Q13" s="60"/>
      <c r="R13" s="4"/>
      <c r="S13" s="4"/>
      <c r="T13" s="16"/>
      <c r="U13" s="58" t="s">
        <v>41</v>
      </c>
      <c r="V13" s="4"/>
      <c r="W13" s="4"/>
      <c r="X13" s="4"/>
    </row>
    <row r="14" spans="1:24" x14ac:dyDescent="0.2">
      <c r="A14" s="8" t="s">
        <v>21</v>
      </c>
      <c r="B14" s="8" t="s">
        <v>114</v>
      </c>
      <c r="C14" s="8" t="s">
        <v>115</v>
      </c>
      <c r="D14" s="4"/>
      <c r="E14" s="4">
        <v>141.57</v>
      </c>
      <c r="F14" s="4">
        <v>151.37</v>
      </c>
      <c r="G14" s="4">
        <v>139.35</v>
      </c>
      <c r="H14" s="4">
        <v>141.57</v>
      </c>
      <c r="I14" s="4">
        <v>151.37</v>
      </c>
      <c r="J14" s="4">
        <v>139.35</v>
      </c>
      <c r="K14" s="4">
        <v>141.57</v>
      </c>
      <c r="L14" s="4">
        <v>151.37</v>
      </c>
      <c r="M14" s="4">
        <v>139.35</v>
      </c>
      <c r="N14" s="4">
        <v>141.57</v>
      </c>
      <c r="O14" s="4">
        <v>151.37</v>
      </c>
      <c r="P14" s="11">
        <v>139.35</v>
      </c>
      <c r="Q14" s="60"/>
      <c r="R14" s="4"/>
      <c r="S14" s="4"/>
      <c r="T14" s="16"/>
      <c r="U14" s="58" t="s">
        <v>41</v>
      </c>
      <c r="V14" s="4"/>
      <c r="W14" s="4"/>
      <c r="X14" s="4"/>
    </row>
    <row r="15" spans="1:24" x14ac:dyDescent="0.2">
      <c r="A15" s="8" t="s">
        <v>21</v>
      </c>
      <c r="B15" s="8" t="s">
        <v>116</v>
      </c>
      <c r="C15" s="8" t="s">
        <v>117</v>
      </c>
      <c r="D15" s="4"/>
      <c r="E15" s="4">
        <v>141.94999999999999</v>
      </c>
      <c r="F15" s="4">
        <v>150.1</v>
      </c>
      <c r="G15" s="4">
        <v>139.59</v>
      </c>
      <c r="H15" s="4">
        <v>141.94999999999999</v>
      </c>
      <c r="I15" s="4">
        <v>150.1</v>
      </c>
      <c r="J15" s="4">
        <v>139.59</v>
      </c>
      <c r="K15" s="4">
        <v>141.94999999999999</v>
      </c>
      <c r="L15" s="4">
        <v>150.1</v>
      </c>
      <c r="M15" s="4">
        <v>139.59</v>
      </c>
      <c r="N15" s="4">
        <v>141.94999999999999</v>
      </c>
      <c r="O15" s="4">
        <v>150.1</v>
      </c>
      <c r="P15" s="11">
        <v>139.59</v>
      </c>
      <c r="Q15" s="60"/>
      <c r="R15" s="4"/>
      <c r="S15" s="4"/>
      <c r="T15" s="16"/>
      <c r="U15" s="58" t="s">
        <v>41</v>
      </c>
      <c r="V15" s="4"/>
      <c r="W15" s="4"/>
      <c r="X15" s="4"/>
    </row>
    <row r="16" spans="1:24" x14ac:dyDescent="0.2">
      <c r="A16" s="8" t="s">
        <v>21</v>
      </c>
      <c r="B16" s="8" t="s">
        <v>118</v>
      </c>
      <c r="C16" s="8" t="s">
        <v>119</v>
      </c>
      <c r="D16" s="4"/>
      <c r="E16" s="4">
        <v>141.78</v>
      </c>
      <c r="F16" s="4">
        <v>149.83000000000001</v>
      </c>
      <c r="G16" s="4">
        <v>139.51</v>
      </c>
      <c r="H16" s="4">
        <v>141.78</v>
      </c>
      <c r="I16" s="4">
        <v>149.83000000000001</v>
      </c>
      <c r="J16" s="4">
        <v>139.51</v>
      </c>
      <c r="K16" s="4">
        <v>141.78</v>
      </c>
      <c r="L16" s="4">
        <v>149.83000000000001</v>
      </c>
      <c r="M16" s="4">
        <v>139.51</v>
      </c>
      <c r="N16" s="4">
        <v>141.78</v>
      </c>
      <c r="O16" s="4">
        <v>149.83000000000001</v>
      </c>
      <c r="P16" s="11">
        <v>139.51</v>
      </c>
      <c r="Q16" s="60"/>
      <c r="R16" s="4"/>
      <c r="S16" s="4"/>
      <c r="T16" s="16"/>
      <c r="U16" s="58" t="s">
        <v>41</v>
      </c>
      <c r="V16" s="4"/>
      <c r="W16" s="4"/>
      <c r="X16" s="4"/>
    </row>
    <row r="17" spans="1:24" x14ac:dyDescent="0.2">
      <c r="A17" s="8" t="s">
        <v>21</v>
      </c>
      <c r="B17" s="8" t="s">
        <v>120</v>
      </c>
      <c r="C17" s="8" t="s">
        <v>121</v>
      </c>
      <c r="D17" s="4"/>
      <c r="E17" s="4">
        <v>184.91</v>
      </c>
      <c r="F17" s="4">
        <v>188.66</v>
      </c>
      <c r="G17" s="4">
        <v>173.68</v>
      </c>
      <c r="H17" s="4">
        <v>184.91</v>
      </c>
      <c r="I17" s="4">
        <v>188.66</v>
      </c>
      <c r="J17" s="4">
        <v>173.68</v>
      </c>
      <c r="K17" s="4">
        <v>184.91</v>
      </c>
      <c r="L17" s="4">
        <v>188.66</v>
      </c>
      <c r="M17" s="4">
        <v>173.68</v>
      </c>
      <c r="N17" s="4">
        <v>184.91</v>
      </c>
      <c r="O17" s="4">
        <v>188.66</v>
      </c>
      <c r="P17" s="11">
        <v>173.68</v>
      </c>
      <c r="Q17" s="60"/>
      <c r="R17" s="4"/>
      <c r="S17" s="4"/>
      <c r="T17" s="16"/>
      <c r="U17" s="58" t="s">
        <v>41</v>
      </c>
      <c r="V17" s="4"/>
      <c r="W17" s="4"/>
      <c r="X17" s="4"/>
    </row>
    <row r="18" spans="1:24" x14ac:dyDescent="0.2">
      <c r="A18" s="8" t="s">
        <v>21</v>
      </c>
      <c r="B18" s="8" t="s">
        <v>122</v>
      </c>
      <c r="C18" s="8" t="s">
        <v>123</v>
      </c>
      <c r="D18" s="4"/>
      <c r="E18" s="4">
        <v>142.94</v>
      </c>
      <c r="F18" s="4">
        <v>150.61000000000001</v>
      </c>
      <c r="G18" s="4">
        <v>187.56</v>
      </c>
      <c r="H18" s="4">
        <v>142.94</v>
      </c>
      <c r="I18" s="4">
        <v>150.61000000000001</v>
      </c>
      <c r="J18" s="4">
        <v>187.56</v>
      </c>
      <c r="K18" s="4">
        <v>142.94</v>
      </c>
      <c r="L18" s="4">
        <v>150.61000000000001</v>
      </c>
      <c r="M18" s="4">
        <v>187.56</v>
      </c>
      <c r="N18" s="4">
        <v>142.94</v>
      </c>
      <c r="O18" s="4">
        <v>150.61000000000001</v>
      </c>
      <c r="P18" s="11">
        <v>187.56</v>
      </c>
      <c r="Q18" s="60"/>
      <c r="R18" s="4"/>
      <c r="S18" s="4"/>
      <c r="T18" s="16"/>
      <c r="U18" s="58" t="s">
        <v>41</v>
      </c>
      <c r="V18" s="4"/>
      <c r="W18" s="4"/>
      <c r="X18" s="4"/>
    </row>
    <row r="19" spans="1:24" x14ac:dyDescent="0.2">
      <c r="A19" s="8" t="s">
        <v>21</v>
      </c>
      <c r="B19" s="8" t="s">
        <v>124</v>
      </c>
      <c r="C19" s="8" t="s">
        <v>125</v>
      </c>
      <c r="D19" s="4"/>
      <c r="E19" s="4">
        <v>141.49</v>
      </c>
      <c r="F19" s="4">
        <v>149.79</v>
      </c>
      <c r="G19" s="4">
        <v>193.98</v>
      </c>
      <c r="H19" s="4">
        <v>141.49</v>
      </c>
      <c r="I19" s="4">
        <v>149.79</v>
      </c>
      <c r="J19" s="4">
        <v>193.98</v>
      </c>
      <c r="K19" s="4">
        <v>141.49</v>
      </c>
      <c r="L19" s="4">
        <v>149.79</v>
      </c>
      <c r="M19" s="4">
        <v>193.98</v>
      </c>
      <c r="N19" s="4">
        <v>141.49</v>
      </c>
      <c r="O19" s="4">
        <v>149.79</v>
      </c>
      <c r="P19" s="11">
        <v>193.98</v>
      </c>
      <c r="Q19" s="60"/>
      <c r="R19" s="4"/>
      <c r="S19" s="4"/>
      <c r="T19" s="16"/>
      <c r="U19" s="58" t="s">
        <v>41</v>
      </c>
      <c r="V19" s="4"/>
      <c r="W19" s="4"/>
      <c r="X19" s="4"/>
    </row>
    <row r="20" spans="1:24" x14ac:dyDescent="0.2">
      <c r="A20" s="8" t="s">
        <v>21</v>
      </c>
      <c r="B20" s="8" t="s">
        <v>126</v>
      </c>
      <c r="C20" s="8" t="s">
        <v>127</v>
      </c>
      <c r="D20" s="4"/>
      <c r="E20" s="4">
        <v>141.57</v>
      </c>
      <c r="F20" s="4">
        <v>149.78</v>
      </c>
      <c r="G20" s="4">
        <v>191.69</v>
      </c>
      <c r="H20" s="4">
        <v>141.57</v>
      </c>
      <c r="I20" s="4">
        <v>149.78</v>
      </c>
      <c r="J20" s="4">
        <v>191.69</v>
      </c>
      <c r="K20" s="4">
        <v>141.57</v>
      </c>
      <c r="L20" s="4">
        <v>149.78</v>
      </c>
      <c r="M20" s="4">
        <v>191.69</v>
      </c>
      <c r="N20" s="4">
        <v>141.57</v>
      </c>
      <c r="O20" s="4">
        <v>149.78</v>
      </c>
      <c r="P20" s="11">
        <v>191.69</v>
      </c>
      <c r="Q20" s="60"/>
      <c r="R20" s="4"/>
      <c r="S20" s="4"/>
      <c r="T20" s="16"/>
      <c r="U20" s="58" t="s">
        <v>41</v>
      </c>
      <c r="V20" s="4"/>
      <c r="W20" s="4"/>
      <c r="X20" s="4"/>
    </row>
    <row r="21" spans="1:24" x14ac:dyDescent="0.2">
      <c r="A21" s="8" t="s">
        <v>21</v>
      </c>
      <c r="B21" s="8" t="s">
        <v>128</v>
      </c>
      <c r="C21" s="8" t="s">
        <v>129</v>
      </c>
      <c r="D21" s="4"/>
      <c r="E21" s="4">
        <v>96.21</v>
      </c>
      <c r="F21" s="4">
        <v>103.74</v>
      </c>
      <c r="G21" s="4">
        <v>132.19</v>
      </c>
      <c r="H21" s="4">
        <v>96.21</v>
      </c>
      <c r="I21" s="4">
        <v>103.74</v>
      </c>
      <c r="J21" s="4">
        <v>132.19</v>
      </c>
      <c r="K21" s="4">
        <v>96.21</v>
      </c>
      <c r="L21" s="4">
        <v>103.74</v>
      </c>
      <c r="M21" s="4">
        <v>132.19</v>
      </c>
      <c r="N21" s="4">
        <v>96.21</v>
      </c>
      <c r="O21" s="4">
        <v>103.74</v>
      </c>
      <c r="P21" s="11">
        <v>132.19</v>
      </c>
      <c r="Q21" s="60"/>
      <c r="R21" s="4"/>
      <c r="S21" s="4"/>
      <c r="T21" s="16"/>
      <c r="U21" s="58" t="s">
        <v>41</v>
      </c>
      <c r="V21" s="4"/>
      <c r="W21" s="4"/>
      <c r="X21" s="4"/>
    </row>
    <row r="22" spans="1:24" x14ac:dyDescent="0.2">
      <c r="A22" s="8" t="s">
        <v>21</v>
      </c>
      <c r="B22" s="8" t="s">
        <v>130</v>
      </c>
      <c r="C22" s="8" t="s">
        <v>131</v>
      </c>
      <c r="D22" s="4"/>
      <c r="E22" s="4">
        <v>95.32</v>
      </c>
      <c r="F22" s="4">
        <v>103.2</v>
      </c>
      <c r="G22" s="4">
        <v>114.34</v>
      </c>
      <c r="H22" s="4">
        <v>95.32</v>
      </c>
      <c r="I22" s="4">
        <v>103.2</v>
      </c>
      <c r="J22" s="4">
        <v>114.34</v>
      </c>
      <c r="K22" s="4">
        <v>95.32</v>
      </c>
      <c r="L22" s="4">
        <v>103.2</v>
      </c>
      <c r="M22" s="4">
        <v>114.34</v>
      </c>
      <c r="N22" s="4">
        <v>95.32</v>
      </c>
      <c r="O22" s="4">
        <v>103.2</v>
      </c>
      <c r="P22" s="11">
        <v>114.34</v>
      </c>
      <c r="Q22" s="60"/>
      <c r="R22" s="4"/>
      <c r="S22" s="4"/>
      <c r="T22" s="16"/>
      <c r="U22" s="58" t="s">
        <v>41</v>
      </c>
      <c r="V22" s="4"/>
      <c r="W22" s="4"/>
      <c r="X22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59999389629810485"/>
  </sheetPr>
  <dimension ref="A2:X7"/>
  <sheetViews>
    <sheetView topLeftCell="C1" workbookViewId="0">
      <selection activeCell="C14" sqref="C14"/>
    </sheetView>
  </sheetViews>
  <sheetFormatPr baseColWidth="10" defaultColWidth="8.83203125" defaultRowHeight="15" x14ac:dyDescent="0.2"/>
  <cols>
    <col min="1" max="1" width="18" customWidth="1"/>
    <col min="2" max="2" width="13" customWidth="1"/>
    <col min="3" max="3" width="58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9" customWidth="1"/>
    <col min="17" max="17" width="10" style="59" customWidth="1"/>
    <col min="18" max="19" width="10" style="9" customWidth="1"/>
    <col min="20" max="20" width="10" style="14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SUM(E5:G7)</f>
        <v>3603.34</v>
      </c>
      <c r="G2" s="6"/>
      <c r="H2" s="6"/>
      <c r="I2" s="6">
        <f>SUM(H5:J7)</f>
        <v>3603.34</v>
      </c>
      <c r="J2" s="6"/>
      <c r="K2" s="6"/>
      <c r="L2" s="6">
        <f>SUM(K5:M7)</f>
        <v>3603.34</v>
      </c>
      <c r="M2" s="6"/>
      <c r="N2" s="6"/>
      <c r="O2" s="6">
        <f>SUM(N5:P7)</f>
        <v>3603.34</v>
      </c>
      <c r="P2" s="6"/>
    </row>
    <row r="3" spans="1:24" x14ac:dyDescent="0.2">
      <c r="A3" s="2"/>
      <c r="B3" s="2"/>
      <c r="C3" s="2"/>
      <c r="D3" s="2"/>
      <c r="E3" s="63" t="s">
        <v>32</v>
      </c>
      <c r="F3" s="63"/>
      <c r="G3" s="63"/>
      <c r="H3" s="63" t="s">
        <v>33</v>
      </c>
      <c r="I3" s="63"/>
      <c r="J3" s="63"/>
      <c r="K3" s="63" t="s">
        <v>34</v>
      </c>
      <c r="L3" s="63"/>
      <c r="M3" s="63"/>
      <c r="N3" s="63" t="s">
        <v>35</v>
      </c>
      <c r="O3" s="63"/>
      <c r="P3" s="63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8" t="s">
        <v>22</v>
      </c>
      <c r="B5" s="8" t="s">
        <v>132</v>
      </c>
      <c r="C5" s="8" t="s">
        <v>133</v>
      </c>
      <c r="D5" s="4"/>
      <c r="E5" s="4">
        <v>389.02</v>
      </c>
      <c r="F5" s="4">
        <v>462.1</v>
      </c>
      <c r="G5" s="4">
        <v>388.64</v>
      </c>
      <c r="H5" s="4">
        <v>389.02</v>
      </c>
      <c r="I5" s="4">
        <v>462.1</v>
      </c>
      <c r="J5" s="4">
        <v>388.64</v>
      </c>
      <c r="K5" s="4">
        <v>389.02</v>
      </c>
      <c r="L5" s="4">
        <v>462.1</v>
      </c>
      <c r="M5" s="4">
        <v>388.64</v>
      </c>
      <c r="N5" s="4">
        <v>389.02</v>
      </c>
      <c r="O5" s="4">
        <v>462.1</v>
      </c>
      <c r="P5" s="11">
        <v>388.64</v>
      </c>
      <c r="Q5" s="60"/>
      <c r="R5" s="4"/>
      <c r="S5" s="4"/>
      <c r="T5" s="16"/>
      <c r="U5" s="58" t="s">
        <v>41</v>
      </c>
      <c r="V5" s="57" t="s">
        <v>41</v>
      </c>
      <c r="W5" s="4"/>
      <c r="X5" s="4"/>
    </row>
    <row r="6" spans="1:24" x14ac:dyDescent="0.2">
      <c r="A6" s="8" t="s">
        <v>22</v>
      </c>
      <c r="B6" s="8" t="s">
        <v>134</v>
      </c>
      <c r="C6" s="8" t="s">
        <v>135</v>
      </c>
      <c r="D6" s="4"/>
      <c r="E6" s="4">
        <v>390.24</v>
      </c>
      <c r="F6" s="4">
        <v>438.59</v>
      </c>
      <c r="G6" s="4">
        <v>389.75</v>
      </c>
      <c r="H6" s="4">
        <v>390.24</v>
      </c>
      <c r="I6" s="4">
        <v>438.59</v>
      </c>
      <c r="J6" s="4">
        <v>389.75</v>
      </c>
      <c r="K6" s="4">
        <v>390.24</v>
      </c>
      <c r="L6" s="4">
        <v>438.59</v>
      </c>
      <c r="M6" s="4">
        <v>389.75</v>
      </c>
      <c r="N6" s="4">
        <v>390.24</v>
      </c>
      <c r="O6" s="4">
        <v>438.59</v>
      </c>
      <c r="P6" s="11">
        <v>389.75</v>
      </c>
      <c r="Q6" s="60"/>
      <c r="R6" s="4"/>
      <c r="S6" s="4"/>
      <c r="T6" s="16"/>
      <c r="U6" s="58" t="s">
        <v>41</v>
      </c>
      <c r="V6" s="57" t="s">
        <v>41</v>
      </c>
      <c r="W6" s="4"/>
      <c r="X6" s="4"/>
    </row>
    <row r="7" spans="1:24" x14ac:dyDescent="0.2">
      <c r="A7" s="8" t="s">
        <v>22</v>
      </c>
      <c r="B7" s="8" t="s">
        <v>136</v>
      </c>
      <c r="C7" s="8" t="s">
        <v>137</v>
      </c>
      <c r="D7" s="4"/>
      <c r="E7" s="4">
        <v>366.06</v>
      </c>
      <c r="F7" s="4">
        <v>415.33</v>
      </c>
      <c r="G7" s="4">
        <v>363.61</v>
      </c>
      <c r="H7" s="4">
        <v>366.06</v>
      </c>
      <c r="I7" s="4">
        <v>415.33</v>
      </c>
      <c r="J7" s="4">
        <v>363.61</v>
      </c>
      <c r="K7" s="4">
        <v>366.06</v>
      </c>
      <c r="L7" s="4">
        <v>415.33</v>
      </c>
      <c r="M7" s="4">
        <v>363.61</v>
      </c>
      <c r="N7" s="4">
        <v>366.06</v>
      </c>
      <c r="O7" s="4">
        <v>415.33</v>
      </c>
      <c r="P7" s="11">
        <v>363.61</v>
      </c>
      <c r="Q7" s="60"/>
      <c r="R7" s="4"/>
      <c r="S7" s="4"/>
      <c r="T7" s="16"/>
      <c r="U7" s="58" t="s">
        <v>41</v>
      </c>
      <c r="V7" s="57" t="s">
        <v>41</v>
      </c>
      <c r="W7" s="4"/>
      <c r="X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59999389629810485"/>
  </sheetPr>
  <dimension ref="A2:X17"/>
  <sheetViews>
    <sheetView tabSelected="1" topLeftCell="C1" workbookViewId="0">
      <selection activeCell="W4" sqref="W4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57" customWidth="1"/>
    <col min="4" max="4" width="13" customWidth="1"/>
    <col min="5" max="5" width="10" customWidth="1"/>
    <col min="6" max="7" width="9" customWidth="1"/>
    <col min="8" max="8" width="10" customWidth="1"/>
    <col min="9" max="10" width="9" customWidth="1"/>
    <col min="11" max="11" width="10" customWidth="1"/>
    <col min="12" max="13" width="9" customWidth="1"/>
    <col min="14" max="14" width="10" customWidth="1"/>
    <col min="15" max="16" width="9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SUM(E5:G17)</f>
        <v>36740.160000000003</v>
      </c>
      <c r="G2" s="6"/>
      <c r="H2" s="6"/>
      <c r="I2" s="6">
        <f>SUM(H5:J17)</f>
        <v>36740.160000000003</v>
      </c>
      <c r="J2" s="6"/>
      <c r="K2" s="6"/>
      <c r="L2" s="6">
        <f>SUM(K5:M17)</f>
        <v>36740.160000000003</v>
      </c>
      <c r="M2" s="6"/>
      <c r="N2" s="6"/>
      <c r="O2" s="6">
        <f>SUM(N5:P17)</f>
        <v>36740.160000000003</v>
      </c>
      <c r="P2" s="6"/>
    </row>
    <row r="3" spans="1:24" x14ac:dyDescent="0.2">
      <c r="A3" s="2"/>
      <c r="B3" s="2"/>
      <c r="C3" s="2"/>
      <c r="D3" s="2"/>
      <c r="E3" s="63" t="s">
        <v>32</v>
      </c>
      <c r="F3" s="63"/>
      <c r="G3" s="63"/>
      <c r="H3" s="63" t="s">
        <v>33</v>
      </c>
      <c r="I3" s="63"/>
      <c r="J3" s="63"/>
      <c r="K3" s="63" t="s">
        <v>34</v>
      </c>
      <c r="L3" s="63"/>
      <c r="M3" s="63"/>
      <c r="N3" s="63" t="s">
        <v>35</v>
      </c>
      <c r="O3" s="63"/>
      <c r="P3" s="63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2" t="s">
        <v>42</v>
      </c>
      <c r="Q4" s="2" t="s">
        <v>43</v>
      </c>
      <c r="R4" s="2" t="s">
        <v>44</v>
      </c>
      <c r="S4" s="2" t="s">
        <v>45</v>
      </c>
      <c r="T4" s="2" t="s">
        <v>46</v>
      </c>
      <c r="U4" s="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8" t="s">
        <v>23</v>
      </c>
      <c r="B5" s="8" t="s">
        <v>138</v>
      </c>
      <c r="C5" s="8" t="s">
        <v>139</v>
      </c>
      <c r="D5" s="4"/>
      <c r="E5" s="4">
        <v>91.72</v>
      </c>
      <c r="F5" s="4">
        <v>123.62</v>
      </c>
      <c r="G5" s="4">
        <v>90.03</v>
      </c>
      <c r="H5" s="4">
        <v>91.72</v>
      </c>
      <c r="I5" s="4">
        <v>123.62</v>
      </c>
      <c r="J5" s="4">
        <v>90.03</v>
      </c>
      <c r="K5" s="4">
        <v>91.72</v>
      </c>
      <c r="L5" s="4">
        <v>123.62</v>
      </c>
      <c r="M5" s="4">
        <v>90.03</v>
      </c>
      <c r="N5" s="4">
        <v>91.72</v>
      </c>
      <c r="O5" s="4">
        <v>123.62</v>
      </c>
      <c r="P5" s="4">
        <v>90.03</v>
      </c>
      <c r="Q5" s="57" t="s">
        <v>41</v>
      </c>
      <c r="R5" s="4"/>
      <c r="S5" s="57" t="s">
        <v>41</v>
      </c>
      <c r="T5" s="57" t="s">
        <v>41</v>
      </c>
      <c r="U5" s="57"/>
      <c r="V5" s="57" t="s">
        <v>41</v>
      </c>
      <c r="W5" s="4"/>
      <c r="X5" s="4"/>
    </row>
    <row r="6" spans="1:24" x14ac:dyDescent="0.2">
      <c r="A6" s="8" t="s">
        <v>23</v>
      </c>
      <c r="B6" s="8" t="s">
        <v>140</v>
      </c>
      <c r="C6" s="8" t="s">
        <v>141</v>
      </c>
      <c r="D6" s="4"/>
      <c r="E6" s="4">
        <v>79.67</v>
      </c>
      <c r="F6" s="4">
        <v>82</v>
      </c>
      <c r="G6" s="4">
        <v>78.989999999999995</v>
      </c>
      <c r="H6" s="4">
        <v>79.67</v>
      </c>
      <c r="I6" s="4">
        <v>82</v>
      </c>
      <c r="J6" s="4">
        <v>78.989999999999995</v>
      </c>
      <c r="K6" s="4">
        <v>79.67</v>
      </c>
      <c r="L6" s="4">
        <v>82</v>
      </c>
      <c r="M6" s="4">
        <v>78.989999999999995</v>
      </c>
      <c r="N6" s="4">
        <v>79.67</v>
      </c>
      <c r="O6" s="4">
        <v>82</v>
      </c>
      <c r="P6" s="4">
        <v>78.989999999999995</v>
      </c>
      <c r="Q6" s="57" t="s">
        <v>41</v>
      </c>
      <c r="R6" s="4"/>
      <c r="S6" s="57" t="s">
        <v>41</v>
      </c>
      <c r="T6" s="57" t="s">
        <v>41</v>
      </c>
      <c r="U6" s="57"/>
      <c r="V6" s="57" t="s">
        <v>41</v>
      </c>
      <c r="W6" s="4"/>
      <c r="X6" s="4"/>
    </row>
    <row r="7" spans="1:24" x14ac:dyDescent="0.2">
      <c r="A7" s="8" t="s">
        <v>23</v>
      </c>
      <c r="B7" s="8" t="s">
        <v>142</v>
      </c>
      <c r="C7" s="8" t="s">
        <v>143</v>
      </c>
      <c r="D7" s="4"/>
      <c r="E7" s="4">
        <v>108.08</v>
      </c>
      <c r="F7" s="4">
        <v>80.930000000000007</v>
      </c>
      <c r="G7" s="4">
        <v>103.85</v>
      </c>
      <c r="H7" s="4">
        <v>108.08</v>
      </c>
      <c r="I7" s="4">
        <v>80.930000000000007</v>
      </c>
      <c r="J7" s="4">
        <v>103.85</v>
      </c>
      <c r="K7" s="4">
        <v>108.08</v>
      </c>
      <c r="L7" s="4">
        <v>80.930000000000007</v>
      </c>
      <c r="M7" s="4">
        <v>103.85</v>
      </c>
      <c r="N7" s="4">
        <v>108.08</v>
      </c>
      <c r="O7" s="4">
        <v>80.930000000000007</v>
      </c>
      <c r="P7" s="4">
        <v>103.85</v>
      </c>
      <c r="Q7" s="57" t="s">
        <v>41</v>
      </c>
      <c r="R7" s="4"/>
      <c r="S7" s="57" t="s">
        <v>41</v>
      </c>
      <c r="T7" s="57" t="s">
        <v>41</v>
      </c>
      <c r="U7" s="57"/>
      <c r="V7" s="57" t="s">
        <v>41</v>
      </c>
      <c r="W7" s="4"/>
      <c r="X7" s="4"/>
    </row>
    <row r="8" spans="1:24" x14ac:dyDescent="0.2">
      <c r="A8" s="8" t="s">
        <v>23</v>
      </c>
      <c r="B8" s="8" t="s">
        <v>144</v>
      </c>
      <c r="C8" s="8" t="s">
        <v>145</v>
      </c>
      <c r="D8" s="4"/>
      <c r="E8" s="4">
        <v>79.58</v>
      </c>
      <c r="F8" s="4">
        <v>81.290000000000006</v>
      </c>
      <c r="G8" s="4">
        <v>79.59</v>
      </c>
      <c r="H8" s="4">
        <v>79.58</v>
      </c>
      <c r="I8" s="4">
        <v>81.290000000000006</v>
      </c>
      <c r="J8" s="4">
        <v>79.59</v>
      </c>
      <c r="K8" s="4">
        <v>79.58</v>
      </c>
      <c r="L8" s="4">
        <v>81.290000000000006</v>
      </c>
      <c r="M8" s="4">
        <v>79.59</v>
      </c>
      <c r="N8" s="4">
        <v>79.58</v>
      </c>
      <c r="O8" s="4">
        <v>81.290000000000006</v>
      </c>
      <c r="P8" s="4">
        <v>79.59</v>
      </c>
      <c r="Q8" s="57" t="s">
        <v>41</v>
      </c>
      <c r="R8" s="4"/>
      <c r="S8" s="57" t="s">
        <v>41</v>
      </c>
      <c r="T8" s="57" t="s">
        <v>41</v>
      </c>
      <c r="U8" s="57"/>
      <c r="V8" s="57" t="s">
        <v>41</v>
      </c>
      <c r="W8" s="4"/>
      <c r="X8" s="4"/>
    </row>
    <row r="9" spans="1:24" x14ac:dyDescent="0.2">
      <c r="A9" s="8" t="s">
        <v>23</v>
      </c>
      <c r="B9" s="8" t="s">
        <v>146</v>
      </c>
      <c r="C9" s="8" t="s">
        <v>147</v>
      </c>
      <c r="D9" s="4"/>
      <c r="E9" s="4">
        <v>78.73</v>
      </c>
      <c r="F9" s="4">
        <v>80.83</v>
      </c>
      <c r="G9" s="4">
        <v>78.760000000000005</v>
      </c>
      <c r="H9" s="4">
        <v>78.73</v>
      </c>
      <c r="I9" s="4">
        <v>80.83</v>
      </c>
      <c r="J9" s="4">
        <v>78.760000000000005</v>
      </c>
      <c r="K9" s="4">
        <v>78.73</v>
      </c>
      <c r="L9" s="4">
        <v>80.83</v>
      </c>
      <c r="M9" s="4">
        <v>78.760000000000005</v>
      </c>
      <c r="N9" s="4">
        <v>78.73</v>
      </c>
      <c r="O9" s="4">
        <v>80.83</v>
      </c>
      <c r="P9" s="4">
        <v>78.760000000000005</v>
      </c>
      <c r="Q9" s="57" t="s">
        <v>41</v>
      </c>
      <c r="R9" s="4"/>
      <c r="S9" s="57" t="s">
        <v>41</v>
      </c>
      <c r="T9" s="57" t="s">
        <v>41</v>
      </c>
      <c r="U9" s="57"/>
      <c r="V9" s="57" t="s">
        <v>41</v>
      </c>
      <c r="W9" s="4"/>
      <c r="X9" s="4"/>
    </row>
    <row r="10" spans="1:24" x14ac:dyDescent="0.2">
      <c r="A10" s="8" t="s">
        <v>23</v>
      </c>
      <c r="B10" s="8" t="s">
        <v>148</v>
      </c>
      <c r="C10" s="8" t="s">
        <v>149</v>
      </c>
      <c r="D10" s="4"/>
      <c r="E10" s="4">
        <v>80.33</v>
      </c>
      <c r="F10" s="4">
        <v>108.54</v>
      </c>
      <c r="G10" s="4">
        <v>78.55</v>
      </c>
      <c r="H10" s="4">
        <v>80.33</v>
      </c>
      <c r="I10" s="4">
        <v>108.54</v>
      </c>
      <c r="J10" s="4">
        <v>78.55</v>
      </c>
      <c r="K10" s="4">
        <v>80.33</v>
      </c>
      <c r="L10" s="4">
        <v>108.54</v>
      </c>
      <c r="M10" s="4">
        <v>78.55</v>
      </c>
      <c r="N10" s="4">
        <v>80.33</v>
      </c>
      <c r="O10" s="4">
        <v>108.54</v>
      </c>
      <c r="P10" s="4">
        <v>78.55</v>
      </c>
      <c r="Q10" s="57" t="s">
        <v>41</v>
      </c>
      <c r="R10" s="4"/>
      <c r="S10" s="57" t="s">
        <v>41</v>
      </c>
      <c r="T10" s="57" t="s">
        <v>41</v>
      </c>
      <c r="U10" s="57"/>
      <c r="V10" s="57" t="s">
        <v>41</v>
      </c>
      <c r="W10" s="4"/>
      <c r="X10" s="4"/>
    </row>
    <row r="11" spans="1:24" x14ac:dyDescent="0.2">
      <c r="A11" s="8" t="s">
        <v>23</v>
      </c>
      <c r="B11" s="8" t="s">
        <v>150</v>
      </c>
      <c r="C11" s="8" t="s">
        <v>151</v>
      </c>
      <c r="D11" s="4"/>
      <c r="E11" s="4">
        <v>79.44</v>
      </c>
      <c r="F11" s="4">
        <v>82.33</v>
      </c>
      <c r="G11" s="4">
        <v>78.53</v>
      </c>
      <c r="H11" s="4">
        <v>79.44</v>
      </c>
      <c r="I11" s="4">
        <v>82.33</v>
      </c>
      <c r="J11" s="4">
        <v>78.53</v>
      </c>
      <c r="K11" s="4">
        <v>79.44</v>
      </c>
      <c r="L11" s="4">
        <v>82.33</v>
      </c>
      <c r="M11" s="4">
        <v>78.53</v>
      </c>
      <c r="N11" s="4">
        <v>79.44</v>
      </c>
      <c r="O11" s="4">
        <v>82.33</v>
      </c>
      <c r="P11" s="4">
        <v>78.53</v>
      </c>
      <c r="Q11" s="57" t="s">
        <v>41</v>
      </c>
      <c r="R11" s="4"/>
      <c r="S11" s="57" t="s">
        <v>41</v>
      </c>
      <c r="T11" s="57" t="s">
        <v>41</v>
      </c>
      <c r="U11" s="57"/>
      <c r="V11" s="57" t="s">
        <v>41</v>
      </c>
      <c r="W11" s="4"/>
      <c r="X11" s="4"/>
    </row>
    <row r="12" spans="1:24" x14ac:dyDescent="0.2">
      <c r="A12" s="8" t="s">
        <v>23</v>
      </c>
      <c r="B12" s="8" t="s">
        <v>152</v>
      </c>
      <c r="C12" s="8" t="s">
        <v>153</v>
      </c>
      <c r="D12" s="4"/>
      <c r="E12" s="4">
        <v>79.09</v>
      </c>
      <c r="F12" s="4">
        <v>80.58</v>
      </c>
      <c r="G12" s="4">
        <v>106.92</v>
      </c>
      <c r="H12" s="4">
        <v>79.09</v>
      </c>
      <c r="I12" s="4">
        <v>80.58</v>
      </c>
      <c r="J12" s="4">
        <v>106.92</v>
      </c>
      <c r="K12" s="4">
        <v>79.09</v>
      </c>
      <c r="L12" s="4">
        <v>80.58</v>
      </c>
      <c r="M12" s="4">
        <v>106.92</v>
      </c>
      <c r="N12" s="4">
        <v>79.09</v>
      </c>
      <c r="O12" s="4">
        <v>80.58</v>
      </c>
      <c r="P12" s="4">
        <v>106.92</v>
      </c>
      <c r="Q12" s="57" t="s">
        <v>41</v>
      </c>
      <c r="R12" s="4"/>
      <c r="S12" s="57" t="s">
        <v>41</v>
      </c>
      <c r="T12" s="57" t="s">
        <v>41</v>
      </c>
      <c r="U12" s="57"/>
      <c r="V12" s="57" t="s">
        <v>41</v>
      </c>
      <c r="W12" s="4"/>
      <c r="X12" s="4"/>
    </row>
    <row r="13" spans="1:24" x14ac:dyDescent="0.2">
      <c r="A13" s="8" t="s">
        <v>23</v>
      </c>
      <c r="B13" s="8" t="s">
        <v>154</v>
      </c>
      <c r="C13" s="8" t="s">
        <v>155</v>
      </c>
      <c r="D13" s="4"/>
      <c r="E13" s="4">
        <v>811.54</v>
      </c>
      <c r="F13" s="4">
        <v>857.05</v>
      </c>
      <c r="G13" s="4">
        <v>783.47</v>
      </c>
      <c r="H13" s="4">
        <v>811.54</v>
      </c>
      <c r="I13" s="4">
        <v>857.05</v>
      </c>
      <c r="J13" s="4">
        <v>783.47</v>
      </c>
      <c r="K13" s="4">
        <v>811.54</v>
      </c>
      <c r="L13" s="4">
        <v>857.05</v>
      </c>
      <c r="M13" s="4">
        <v>783.47</v>
      </c>
      <c r="N13" s="4">
        <v>811.54</v>
      </c>
      <c r="O13" s="4">
        <v>857.05</v>
      </c>
      <c r="P13" s="4">
        <v>783.47</v>
      </c>
      <c r="Q13" s="57" t="s">
        <v>41</v>
      </c>
      <c r="R13" s="4"/>
      <c r="S13" s="57" t="s">
        <v>41</v>
      </c>
      <c r="T13" s="57" t="s">
        <v>41</v>
      </c>
      <c r="U13" s="57"/>
      <c r="V13" s="57" t="s">
        <v>41</v>
      </c>
      <c r="W13" s="4"/>
      <c r="X13" s="4"/>
    </row>
    <row r="14" spans="1:24" x14ac:dyDescent="0.2">
      <c r="A14" s="8" t="s">
        <v>23</v>
      </c>
      <c r="B14" s="8" t="s">
        <v>156</v>
      </c>
      <c r="C14" s="8" t="s">
        <v>157</v>
      </c>
      <c r="D14" s="4"/>
      <c r="E14" s="4">
        <v>3541.58</v>
      </c>
      <c r="F14" s="4">
        <v>3590.74</v>
      </c>
      <c r="G14" s="4">
        <v>3603.67</v>
      </c>
      <c r="H14" s="4">
        <v>3541.58</v>
      </c>
      <c r="I14" s="4">
        <v>3590.74</v>
      </c>
      <c r="J14" s="4">
        <v>3603.67</v>
      </c>
      <c r="K14" s="4">
        <v>3541.58</v>
      </c>
      <c r="L14" s="4">
        <v>3590.74</v>
      </c>
      <c r="M14" s="4">
        <v>3603.67</v>
      </c>
      <c r="N14" s="4">
        <v>3541.58</v>
      </c>
      <c r="O14" s="4">
        <v>3590.74</v>
      </c>
      <c r="P14" s="4">
        <v>3603.67</v>
      </c>
      <c r="Q14" s="57" t="s">
        <v>41</v>
      </c>
      <c r="R14" s="4"/>
      <c r="S14" s="57" t="s">
        <v>41</v>
      </c>
      <c r="T14" s="57" t="s">
        <v>41</v>
      </c>
      <c r="U14" s="57"/>
      <c r="V14" s="57" t="s">
        <v>41</v>
      </c>
      <c r="W14" s="4"/>
      <c r="X14" s="4"/>
    </row>
    <row r="15" spans="1:24" x14ac:dyDescent="0.2">
      <c r="A15" s="8" t="s">
        <v>23</v>
      </c>
      <c r="B15" s="8" t="s">
        <v>158</v>
      </c>
      <c r="C15" s="8" t="s">
        <v>159</v>
      </c>
      <c r="D15" s="4"/>
      <c r="E15" s="4">
        <v>1500.36</v>
      </c>
      <c r="F15" s="4">
        <v>1481.66</v>
      </c>
      <c r="G15" s="4">
        <v>1479.83</v>
      </c>
      <c r="H15" s="4">
        <v>1500.36</v>
      </c>
      <c r="I15" s="4">
        <v>1481.66</v>
      </c>
      <c r="J15" s="4">
        <v>1479.83</v>
      </c>
      <c r="K15" s="4">
        <v>1500.36</v>
      </c>
      <c r="L15" s="4">
        <v>1481.66</v>
      </c>
      <c r="M15" s="4">
        <v>1479.83</v>
      </c>
      <c r="N15" s="4">
        <v>1500.36</v>
      </c>
      <c r="O15" s="4">
        <v>1481.66</v>
      </c>
      <c r="P15" s="4">
        <v>1479.83</v>
      </c>
      <c r="Q15" s="57" t="s">
        <v>41</v>
      </c>
      <c r="R15" s="4"/>
      <c r="S15" s="57" t="s">
        <v>41</v>
      </c>
      <c r="T15" s="57" t="s">
        <v>41</v>
      </c>
      <c r="U15" s="57"/>
      <c r="V15" s="57" t="s">
        <v>41</v>
      </c>
      <c r="W15" s="4"/>
      <c r="X15" s="4"/>
    </row>
    <row r="16" spans="1:24" x14ac:dyDescent="0.2">
      <c r="A16" s="8" t="s">
        <v>23</v>
      </c>
      <c r="B16" s="8" t="s">
        <v>160</v>
      </c>
      <c r="C16" s="8" t="s">
        <v>161</v>
      </c>
      <c r="D16" s="4"/>
      <c r="E16" s="4">
        <v>5183.7</v>
      </c>
      <c r="F16" s="4">
        <v>4315.38</v>
      </c>
      <c r="G16" s="4">
        <v>4312.42</v>
      </c>
      <c r="H16" s="4">
        <v>5183.7</v>
      </c>
      <c r="I16" s="4">
        <v>4315.38</v>
      </c>
      <c r="J16" s="4">
        <v>4312.42</v>
      </c>
      <c r="K16" s="4">
        <v>5183.7</v>
      </c>
      <c r="L16" s="4">
        <v>4315.38</v>
      </c>
      <c r="M16" s="4">
        <v>4312.42</v>
      </c>
      <c r="N16" s="4">
        <v>5183.7</v>
      </c>
      <c r="O16" s="4">
        <v>4315.38</v>
      </c>
      <c r="P16" s="4">
        <v>4312.42</v>
      </c>
      <c r="Q16" s="57" t="s">
        <v>41</v>
      </c>
      <c r="R16" s="4"/>
      <c r="S16" s="57" t="s">
        <v>41</v>
      </c>
      <c r="T16" s="57" t="s">
        <v>41</v>
      </c>
      <c r="U16" s="57"/>
      <c r="V16" s="57" t="s">
        <v>41</v>
      </c>
      <c r="W16" s="4"/>
      <c r="X16" s="4"/>
    </row>
    <row r="17" spans="1:24" x14ac:dyDescent="0.2">
      <c r="A17" s="8" t="s">
        <v>23</v>
      </c>
      <c r="B17" s="8" t="s">
        <v>162</v>
      </c>
      <c r="C17" s="8" t="s">
        <v>163</v>
      </c>
      <c r="D17" s="4"/>
      <c r="E17" s="4">
        <v>1067.44</v>
      </c>
      <c r="F17" s="4">
        <v>1055.4000000000001</v>
      </c>
      <c r="G17" s="4">
        <v>1063.94</v>
      </c>
      <c r="H17" s="4">
        <v>1067.44</v>
      </c>
      <c r="I17" s="4">
        <v>1055.4000000000001</v>
      </c>
      <c r="J17" s="4">
        <v>1063.94</v>
      </c>
      <c r="K17" s="4">
        <v>1067.44</v>
      </c>
      <c r="L17" s="4">
        <v>1055.4000000000001</v>
      </c>
      <c r="M17" s="4">
        <v>1063.94</v>
      </c>
      <c r="N17" s="4">
        <v>1067.44</v>
      </c>
      <c r="O17" s="4">
        <v>1055.4000000000001</v>
      </c>
      <c r="P17" s="4">
        <v>1063.94</v>
      </c>
      <c r="Q17" s="57" t="s">
        <v>41</v>
      </c>
      <c r="R17" s="4"/>
      <c r="S17" s="57" t="s">
        <v>41</v>
      </c>
      <c r="T17" s="57" t="s">
        <v>41</v>
      </c>
      <c r="U17" s="57"/>
      <c r="V17" s="57" t="s">
        <v>41</v>
      </c>
      <c r="W17" s="4"/>
      <c r="X1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1DB7-0BED-4143-BC8E-B737C8408579}">
  <sheetPr>
    <tabColor theme="3" tint="0.59999389629810485"/>
  </sheetPr>
  <dimension ref="A2:X38"/>
  <sheetViews>
    <sheetView topLeftCell="B1" zoomScale="108" zoomScaleNormal="108" workbookViewId="0">
      <selection activeCell="AC45" sqref="AC45"/>
    </sheetView>
  </sheetViews>
  <sheetFormatPr baseColWidth="10" defaultColWidth="8.83203125" defaultRowHeight="15" x14ac:dyDescent="0.2"/>
  <cols>
    <col min="1" max="1" width="18" style="52" customWidth="1"/>
    <col min="2" max="2" width="25" style="52" customWidth="1"/>
    <col min="3" max="3" width="65" style="52" customWidth="1"/>
    <col min="4" max="4" width="13" style="52" customWidth="1"/>
    <col min="5" max="5" width="10" style="52" customWidth="1"/>
    <col min="6" max="7" width="8" style="52" customWidth="1"/>
    <col min="8" max="8" width="10" style="52" customWidth="1"/>
    <col min="9" max="10" width="8" style="52" customWidth="1"/>
    <col min="11" max="11" width="10" style="52" customWidth="1"/>
    <col min="12" max="13" width="8" style="52" customWidth="1"/>
    <col min="14" max="14" width="10" style="52" customWidth="1"/>
    <col min="15" max="16" width="8" style="52" customWidth="1"/>
    <col min="17" max="20" width="10" style="52" customWidth="1"/>
    <col min="21" max="22" width="8" style="52" customWidth="1"/>
    <col min="23" max="23" width="10" style="52" customWidth="1"/>
    <col min="24" max="24" width="9" style="52" customWidth="1"/>
    <col min="25" max="16384" width="8.83203125" style="52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SUM(E5:G38)</f>
        <v>7799.3499999999995</v>
      </c>
      <c r="G2" s="6"/>
      <c r="H2" s="6"/>
      <c r="I2" s="6">
        <f>SUM(H5:J38)</f>
        <v>7799.3499999999995</v>
      </c>
      <c r="J2" s="6"/>
      <c r="K2" s="6"/>
      <c r="L2" s="6">
        <f>SUM(K5:M38)</f>
        <v>7799.3499999999995</v>
      </c>
      <c r="M2" s="6"/>
      <c r="N2" s="6"/>
      <c r="O2" s="6">
        <f>SUM(N5:P38)</f>
        <v>7799.3499999999995</v>
      </c>
      <c r="P2" s="6"/>
    </row>
    <row r="3" spans="1:24" x14ac:dyDescent="0.2">
      <c r="A3" s="2"/>
      <c r="B3" s="2"/>
      <c r="C3" s="2"/>
      <c r="D3" s="2"/>
      <c r="E3" s="63" t="s">
        <v>32</v>
      </c>
      <c r="F3" s="63"/>
      <c r="G3" s="63"/>
      <c r="H3" s="63" t="s">
        <v>33</v>
      </c>
      <c r="I3" s="63"/>
      <c r="J3" s="63"/>
      <c r="K3" s="63" t="s">
        <v>34</v>
      </c>
      <c r="L3" s="63"/>
      <c r="M3" s="63"/>
      <c r="N3" s="63" t="s">
        <v>35</v>
      </c>
      <c r="O3" s="63"/>
      <c r="P3" s="63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2" t="s">
        <v>42</v>
      </c>
      <c r="Q4" s="2" t="s">
        <v>43</v>
      </c>
      <c r="R4" s="2" t="s">
        <v>44</v>
      </c>
      <c r="S4" s="2" t="s">
        <v>45</v>
      </c>
      <c r="T4" s="2" t="s">
        <v>46</v>
      </c>
      <c r="U4" s="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8" t="s">
        <v>24</v>
      </c>
      <c r="B5" s="8" t="s">
        <v>164</v>
      </c>
      <c r="C5" s="8" t="s">
        <v>165</v>
      </c>
      <c r="D5" s="4"/>
      <c r="E5" s="4"/>
      <c r="F5" s="4">
        <v>109.48</v>
      </c>
      <c r="G5" s="4"/>
      <c r="H5" s="4"/>
      <c r="I5" s="4">
        <v>109.48</v>
      </c>
      <c r="J5" s="4"/>
      <c r="K5" s="4"/>
      <c r="L5" s="4">
        <v>109.48</v>
      </c>
      <c r="M5" s="4"/>
      <c r="N5" s="4"/>
      <c r="O5" s="4">
        <v>109.48</v>
      </c>
      <c r="P5" s="4"/>
      <c r="Q5" s="4"/>
      <c r="R5" s="4"/>
      <c r="S5" s="57" t="s">
        <v>41</v>
      </c>
      <c r="T5" s="57"/>
      <c r="U5" s="57"/>
      <c r="V5" s="57" t="s">
        <v>41</v>
      </c>
      <c r="W5" s="4"/>
      <c r="X5" s="4"/>
    </row>
    <row r="6" spans="1:24" x14ac:dyDescent="0.2">
      <c r="A6" s="8" t="s">
        <v>24</v>
      </c>
      <c r="B6" s="8" t="s">
        <v>166</v>
      </c>
      <c r="C6" s="8" t="s">
        <v>165</v>
      </c>
      <c r="D6" s="4"/>
      <c r="E6" s="4"/>
      <c r="F6" s="4">
        <v>99.53</v>
      </c>
      <c r="G6" s="4"/>
      <c r="H6" s="4"/>
      <c r="I6" s="4">
        <v>99.53</v>
      </c>
      <c r="J6" s="4"/>
      <c r="K6" s="4"/>
      <c r="L6" s="4">
        <v>99.53</v>
      </c>
      <c r="M6" s="4"/>
      <c r="N6" s="4"/>
      <c r="O6" s="4">
        <v>99.53</v>
      </c>
      <c r="P6" s="4"/>
      <c r="Q6" s="4"/>
      <c r="R6" s="4"/>
      <c r="S6" s="57" t="s">
        <v>41</v>
      </c>
      <c r="T6" s="57"/>
      <c r="U6" s="57"/>
      <c r="V6" s="57" t="s">
        <v>41</v>
      </c>
      <c r="W6" s="4"/>
      <c r="X6" s="4"/>
    </row>
    <row r="7" spans="1:24" x14ac:dyDescent="0.2">
      <c r="A7" s="8" t="s">
        <v>24</v>
      </c>
      <c r="B7" s="8" t="s">
        <v>167</v>
      </c>
      <c r="C7" s="8" t="s">
        <v>168</v>
      </c>
      <c r="D7" s="4"/>
      <c r="E7" s="4"/>
      <c r="F7" s="4">
        <v>108.54</v>
      </c>
      <c r="G7" s="4"/>
      <c r="H7" s="4"/>
      <c r="I7" s="4">
        <v>108.54</v>
      </c>
      <c r="J7" s="4"/>
      <c r="K7" s="4"/>
      <c r="L7" s="4">
        <v>108.54</v>
      </c>
      <c r="M7" s="4"/>
      <c r="N7" s="4"/>
      <c r="O7" s="4">
        <v>108.54</v>
      </c>
      <c r="P7" s="4"/>
      <c r="Q7" s="4"/>
      <c r="R7" s="4"/>
      <c r="S7" s="57" t="s">
        <v>41</v>
      </c>
      <c r="T7" s="57"/>
      <c r="U7" s="57"/>
      <c r="V7" s="57" t="s">
        <v>41</v>
      </c>
      <c r="W7" s="4"/>
      <c r="X7" s="4"/>
    </row>
    <row r="8" spans="1:24" x14ac:dyDescent="0.2">
      <c r="A8" s="8" t="s">
        <v>24</v>
      </c>
      <c r="B8" s="8" t="s">
        <v>51</v>
      </c>
      <c r="C8" s="8" t="s">
        <v>169</v>
      </c>
      <c r="D8" s="4"/>
      <c r="E8" s="4"/>
      <c r="F8" s="4">
        <v>55.66</v>
      </c>
      <c r="G8" s="4"/>
      <c r="H8" s="4"/>
      <c r="I8" s="4">
        <v>55.66</v>
      </c>
      <c r="J8" s="4"/>
      <c r="K8" s="4"/>
      <c r="L8" s="4">
        <v>55.66</v>
      </c>
      <c r="M8" s="4"/>
      <c r="N8" s="4"/>
      <c r="O8" s="4">
        <v>55.66</v>
      </c>
      <c r="P8" s="4"/>
      <c r="Q8" s="4"/>
      <c r="R8" s="4"/>
      <c r="S8" s="57" t="s">
        <v>41</v>
      </c>
      <c r="T8" s="57"/>
      <c r="U8" s="57"/>
      <c r="V8" s="57" t="s">
        <v>41</v>
      </c>
      <c r="W8" s="4"/>
      <c r="X8" s="4"/>
    </row>
    <row r="9" spans="1:24" x14ac:dyDescent="0.2">
      <c r="A9" s="8" t="s">
        <v>24</v>
      </c>
      <c r="B9" s="8" t="s">
        <v>51</v>
      </c>
      <c r="C9" s="8" t="s">
        <v>170</v>
      </c>
      <c r="D9" s="4"/>
      <c r="E9" s="4"/>
      <c r="F9" s="4">
        <v>16.46</v>
      </c>
      <c r="G9" s="4"/>
      <c r="H9" s="4"/>
      <c r="I9" s="4">
        <v>16.46</v>
      </c>
      <c r="J9" s="4"/>
      <c r="K9" s="4"/>
      <c r="L9" s="4">
        <v>16.46</v>
      </c>
      <c r="M9" s="4"/>
      <c r="N9" s="4"/>
      <c r="O9" s="4">
        <v>16.46</v>
      </c>
      <c r="P9" s="4"/>
      <c r="Q9" s="4"/>
      <c r="R9" s="4"/>
      <c r="S9" s="57" t="s">
        <v>41</v>
      </c>
      <c r="T9" s="57"/>
      <c r="U9" s="57"/>
      <c r="V9" s="57" t="s">
        <v>41</v>
      </c>
      <c r="W9" s="4"/>
      <c r="X9" s="4"/>
    </row>
    <row r="10" spans="1:24" s="53" customFormat="1" x14ac:dyDescent="0.2">
      <c r="A10" s="55" t="s">
        <v>24</v>
      </c>
      <c r="B10" s="55" t="s">
        <v>51</v>
      </c>
      <c r="C10" s="55" t="s">
        <v>171</v>
      </c>
      <c r="D10" s="54"/>
      <c r="E10" s="54"/>
      <c r="F10" s="54">
        <v>10.42</v>
      </c>
      <c r="G10" s="54"/>
      <c r="H10" s="54"/>
      <c r="I10" s="54">
        <v>10.42</v>
      </c>
      <c r="J10" s="54"/>
      <c r="K10" s="54"/>
      <c r="L10" s="54">
        <v>10.42</v>
      </c>
      <c r="M10" s="54"/>
      <c r="N10" s="54"/>
      <c r="O10" s="54">
        <v>10.42</v>
      </c>
      <c r="P10" s="54"/>
      <c r="Q10" s="54"/>
      <c r="R10" s="54"/>
      <c r="S10" s="56"/>
      <c r="T10" s="56" t="s">
        <v>41</v>
      </c>
      <c r="U10" s="56"/>
      <c r="V10" s="56" t="s">
        <v>41</v>
      </c>
      <c r="W10" s="54"/>
      <c r="X10" s="54"/>
    </row>
    <row r="11" spans="1:24" x14ac:dyDescent="0.2">
      <c r="A11" s="8" t="s">
        <v>24</v>
      </c>
      <c r="B11" s="8" t="s">
        <v>51</v>
      </c>
      <c r="C11" s="8" t="s">
        <v>172</v>
      </c>
      <c r="D11" s="4"/>
      <c r="E11" s="4"/>
      <c r="F11" s="4">
        <v>10.36</v>
      </c>
      <c r="G11" s="4"/>
      <c r="H11" s="4"/>
      <c r="I11" s="4">
        <v>10.36</v>
      </c>
      <c r="J11" s="4"/>
      <c r="K11" s="4"/>
      <c r="L11" s="4">
        <v>10.36</v>
      </c>
      <c r="M11" s="4"/>
      <c r="N11" s="4"/>
      <c r="O11" s="4">
        <v>10.36</v>
      </c>
      <c r="P11" s="4"/>
      <c r="Q11" s="4"/>
      <c r="R11" s="4"/>
      <c r="S11" s="57" t="s">
        <v>41</v>
      </c>
      <c r="T11" s="57"/>
      <c r="U11" s="57"/>
      <c r="V11" s="57" t="s">
        <v>41</v>
      </c>
      <c r="W11" s="4"/>
      <c r="X11" s="4"/>
    </row>
    <row r="12" spans="1:24" x14ac:dyDescent="0.2">
      <c r="A12" s="8" t="s">
        <v>24</v>
      </c>
      <c r="B12" s="8" t="s">
        <v>51</v>
      </c>
      <c r="C12" s="8" t="s">
        <v>173</v>
      </c>
      <c r="D12" s="4"/>
      <c r="E12" s="4"/>
      <c r="F12" s="4">
        <v>10.29</v>
      </c>
      <c r="G12" s="4"/>
      <c r="H12" s="4"/>
      <c r="I12" s="4">
        <v>10.29</v>
      </c>
      <c r="J12" s="4"/>
      <c r="K12" s="4"/>
      <c r="L12" s="4">
        <v>10.29</v>
      </c>
      <c r="M12" s="4"/>
      <c r="N12" s="4"/>
      <c r="O12" s="4">
        <v>10.29</v>
      </c>
      <c r="P12" s="4"/>
      <c r="Q12" s="4"/>
      <c r="R12" s="4"/>
      <c r="S12" s="57" t="s">
        <v>41</v>
      </c>
      <c r="T12" s="57"/>
      <c r="U12" s="57"/>
      <c r="V12" s="57" t="s">
        <v>41</v>
      </c>
      <c r="W12" s="4"/>
      <c r="X12" s="4"/>
    </row>
    <row r="13" spans="1:24" x14ac:dyDescent="0.2">
      <c r="A13" s="8" t="s">
        <v>24</v>
      </c>
      <c r="B13" s="8" t="s">
        <v>51</v>
      </c>
      <c r="C13" s="8" t="s">
        <v>174</v>
      </c>
      <c r="D13" s="4"/>
      <c r="E13" s="4"/>
      <c r="F13" s="4">
        <v>10.18</v>
      </c>
      <c r="G13" s="4"/>
      <c r="H13" s="4"/>
      <c r="I13" s="4">
        <v>10.18</v>
      </c>
      <c r="J13" s="4"/>
      <c r="K13" s="4"/>
      <c r="L13" s="4">
        <v>10.18</v>
      </c>
      <c r="M13" s="4"/>
      <c r="N13" s="4"/>
      <c r="O13" s="4">
        <v>10.18</v>
      </c>
      <c r="P13" s="4"/>
      <c r="Q13" s="4"/>
      <c r="R13" s="4"/>
      <c r="S13" s="57" t="s">
        <v>41</v>
      </c>
      <c r="T13" s="57"/>
      <c r="U13" s="57"/>
      <c r="V13" s="57" t="s">
        <v>41</v>
      </c>
      <c r="W13" s="4"/>
      <c r="X13" s="4"/>
    </row>
    <row r="14" spans="1:24" x14ac:dyDescent="0.2">
      <c r="A14" s="8" t="s">
        <v>24</v>
      </c>
      <c r="B14" s="8" t="s">
        <v>175</v>
      </c>
      <c r="C14" s="8" t="s">
        <v>168</v>
      </c>
      <c r="D14" s="4"/>
      <c r="E14" s="4"/>
      <c r="F14" s="4">
        <v>107.4</v>
      </c>
      <c r="G14" s="4"/>
      <c r="H14" s="4"/>
      <c r="I14" s="4">
        <v>107.4</v>
      </c>
      <c r="J14" s="4"/>
      <c r="K14" s="4"/>
      <c r="L14" s="4">
        <v>107.4</v>
      </c>
      <c r="M14" s="4"/>
      <c r="N14" s="4"/>
      <c r="O14" s="4">
        <v>107.4</v>
      </c>
      <c r="P14" s="4"/>
      <c r="Q14" s="4"/>
      <c r="R14" s="4"/>
      <c r="S14" s="57" t="s">
        <v>41</v>
      </c>
      <c r="T14" s="57"/>
      <c r="U14" s="57"/>
      <c r="V14" s="57" t="s">
        <v>41</v>
      </c>
      <c r="W14" s="4"/>
      <c r="X14" s="4"/>
    </row>
    <row r="15" spans="1:24" s="53" customFormat="1" x14ac:dyDescent="0.2">
      <c r="A15" s="55" t="s">
        <v>24</v>
      </c>
      <c r="B15" s="55" t="s">
        <v>176</v>
      </c>
      <c r="C15" s="55" t="s">
        <v>177</v>
      </c>
      <c r="D15" s="54"/>
      <c r="E15" s="54"/>
      <c r="F15" s="54">
        <v>257.19</v>
      </c>
      <c r="G15" s="54"/>
      <c r="H15" s="54"/>
      <c r="I15" s="54">
        <v>257.19</v>
      </c>
      <c r="J15" s="54"/>
      <c r="K15" s="54"/>
      <c r="L15" s="54">
        <v>257.19</v>
      </c>
      <c r="M15" s="54"/>
      <c r="N15" s="54"/>
      <c r="O15" s="54">
        <v>257.19</v>
      </c>
      <c r="P15" s="54"/>
      <c r="Q15" s="54"/>
      <c r="R15" s="54"/>
      <c r="S15" s="56"/>
      <c r="T15" s="56" t="s">
        <v>41</v>
      </c>
      <c r="U15" s="56"/>
      <c r="V15" s="56" t="s">
        <v>41</v>
      </c>
      <c r="W15" s="54"/>
      <c r="X15" s="54"/>
    </row>
    <row r="16" spans="1:24" x14ac:dyDescent="0.2">
      <c r="A16" s="8" t="s">
        <v>24</v>
      </c>
      <c r="B16" s="8" t="s">
        <v>178</v>
      </c>
      <c r="C16" s="8" t="s">
        <v>177</v>
      </c>
      <c r="D16" s="4"/>
      <c r="E16" s="4"/>
      <c r="F16" s="4">
        <v>249.46</v>
      </c>
      <c r="G16" s="4"/>
      <c r="H16" s="4"/>
      <c r="I16" s="4">
        <v>249.46</v>
      </c>
      <c r="J16" s="4"/>
      <c r="K16" s="4"/>
      <c r="L16" s="4">
        <v>249.46</v>
      </c>
      <c r="M16" s="4"/>
      <c r="N16" s="4"/>
      <c r="O16" s="4">
        <v>249.46</v>
      </c>
      <c r="P16" s="4"/>
      <c r="Q16" s="4"/>
      <c r="R16" s="4"/>
      <c r="S16" s="57" t="s">
        <v>41</v>
      </c>
      <c r="T16" s="57"/>
      <c r="U16" s="57"/>
      <c r="V16" s="57" t="s">
        <v>41</v>
      </c>
      <c r="W16" s="4"/>
      <c r="X16" s="4"/>
    </row>
    <row r="17" spans="1:24" x14ac:dyDescent="0.2">
      <c r="A17" s="8" t="s">
        <v>24</v>
      </c>
      <c r="B17" s="8" t="s">
        <v>179</v>
      </c>
      <c r="C17" s="8" t="s">
        <v>177</v>
      </c>
      <c r="D17" s="4"/>
      <c r="E17" s="4"/>
      <c r="F17" s="4">
        <v>222.77</v>
      </c>
      <c r="G17" s="4"/>
      <c r="H17" s="4"/>
      <c r="I17" s="4">
        <v>222.77</v>
      </c>
      <c r="J17" s="4"/>
      <c r="K17" s="4"/>
      <c r="L17" s="4">
        <v>222.77</v>
      </c>
      <c r="M17" s="4"/>
      <c r="N17" s="4"/>
      <c r="O17" s="4">
        <v>222.77</v>
      </c>
      <c r="P17" s="4"/>
      <c r="Q17" s="4"/>
      <c r="R17" s="4"/>
      <c r="S17" s="57" t="s">
        <v>41</v>
      </c>
      <c r="T17" s="57"/>
      <c r="U17" s="57"/>
      <c r="V17" s="57" t="s">
        <v>41</v>
      </c>
      <c r="W17" s="4"/>
      <c r="X17" s="4"/>
    </row>
    <row r="18" spans="1:24" x14ac:dyDescent="0.2">
      <c r="A18" s="8" t="s">
        <v>24</v>
      </c>
      <c r="B18" s="8" t="s">
        <v>180</v>
      </c>
      <c r="C18" s="8" t="s">
        <v>177</v>
      </c>
      <c r="D18" s="4"/>
      <c r="E18" s="4"/>
      <c r="F18" s="4">
        <v>250.98</v>
      </c>
      <c r="G18" s="4"/>
      <c r="H18" s="4"/>
      <c r="I18" s="4">
        <v>250.98</v>
      </c>
      <c r="J18" s="4"/>
      <c r="K18" s="4"/>
      <c r="L18" s="4">
        <v>250.98</v>
      </c>
      <c r="M18" s="4"/>
      <c r="N18" s="4"/>
      <c r="O18" s="4">
        <v>250.98</v>
      </c>
      <c r="P18" s="4"/>
      <c r="Q18" s="4"/>
      <c r="R18" s="4"/>
      <c r="S18" s="57" t="s">
        <v>41</v>
      </c>
      <c r="T18" s="57"/>
      <c r="U18" s="57"/>
      <c r="V18" s="57" t="s">
        <v>41</v>
      </c>
      <c r="W18" s="4"/>
      <c r="X18" s="4"/>
    </row>
    <row r="19" spans="1:24" s="53" customFormat="1" x14ac:dyDescent="0.2">
      <c r="A19" s="55" t="s">
        <v>24</v>
      </c>
      <c r="B19" s="55" t="s">
        <v>181</v>
      </c>
      <c r="C19" s="55" t="s">
        <v>182</v>
      </c>
      <c r="D19" s="54"/>
      <c r="E19" s="54"/>
      <c r="F19" s="54">
        <v>381.56</v>
      </c>
      <c r="G19" s="54"/>
      <c r="H19" s="54"/>
      <c r="I19" s="54">
        <v>381.56</v>
      </c>
      <c r="J19" s="54"/>
      <c r="K19" s="54"/>
      <c r="L19" s="54">
        <v>381.56</v>
      </c>
      <c r="M19" s="54"/>
      <c r="N19" s="54"/>
      <c r="O19" s="54">
        <v>381.56</v>
      </c>
      <c r="P19" s="54"/>
      <c r="Q19" s="54"/>
      <c r="R19" s="54"/>
      <c r="S19" s="56"/>
      <c r="T19" s="56" t="s">
        <v>41</v>
      </c>
      <c r="U19" s="56"/>
      <c r="V19" s="56" t="s">
        <v>41</v>
      </c>
      <c r="W19" s="54"/>
      <c r="X19" s="54"/>
    </row>
    <row r="20" spans="1:24" x14ac:dyDescent="0.2">
      <c r="A20" s="8" t="s">
        <v>24</v>
      </c>
      <c r="B20" s="8" t="s">
        <v>183</v>
      </c>
      <c r="C20" s="8" t="s">
        <v>182</v>
      </c>
      <c r="D20" s="4"/>
      <c r="E20" s="4"/>
      <c r="F20" s="4">
        <v>376.74</v>
      </c>
      <c r="G20" s="4"/>
      <c r="H20" s="4"/>
      <c r="I20" s="4">
        <v>376.74</v>
      </c>
      <c r="J20" s="4"/>
      <c r="K20" s="4"/>
      <c r="L20" s="4">
        <v>376.74</v>
      </c>
      <c r="M20" s="4"/>
      <c r="N20" s="4"/>
      <c r="O20" s="4">
        <v>376.74</v>
      </c>
      <c r="P20" s="4"/>
      <c r="Q20" s="4"/>
      <c r="R20" s="4"/>
      <c r="S20" s="57" t="s">
        <v>41</v>
      </c>
      <c r="T20" s="57"/>
      <c r="U20" s="57"/>
      <c r="V20" s="57" t="s">
        <v>41</v>
      </c>
      <c r="W20" s="4"/>
      <c r="X20" s="4"/>
    </row>
    <row r="21" spans="1:24" x14ac:dyDescent="0.2">
      <c r="A21" s="8" t="s">
        <v>24</v>
      </c>
      <c r="B21" s="8" t="s">
        <v>184</v>
      </c>
      <c r="C21" s="8" t="s">
        <v>182</v>
      </c>
      <c r="D21" s="4"/>
      <c r="E21" s="4"/>
      <c r="F21" s="4">
        <v>367.48</v>
      </c>
      <c r="G21" s="4"/>
      <c r="H21" s="4"/>
      <c r="I21" s="4">
        <v>367.48</v>
      </c>
      <c r="J21" s="4"/>
      <c r="K21" s="4"/>
      <c r="L21" s="4">
        <v>367.48</v>
      </c>
      <c r="M21" s="4"/>
      <c r="N21" s="4"/>
      <c r="O21" s="4">
        <v>367.48</v>
      </c>
      <c r="P21" s="4"/>
      <c r="Q21" s="4"/>
      <c r="R21" s="4"/>
      <c r="S21" s="57" t="s">
        <v>41</v>
      </c>
      <c r="T21" s="57"/>
      <c r="U21" s="57"/>
      <c r="V21" s="57" t="s">
        <v>41</v>
      </c>
      <c r="W21" s="4"/>
      <c r="X21" s="4"/>
    </row>
    <row r="22" spans="1:24" x14ac:dyDescent="0.2">
      <c r="A22" s="8" t="s">
        <v>24</v>
      </c>
      <c r="B22" s="8" t="s">
        <v>185</v>
      </c>
      <c r="C22" s="8" t="s">
        <v>182</v>
      </c>
      <c r="D22" s="4"/>
      <c r="E22" s="4"/>
      <c r="F22" s="4">
        <v>373.12</v>
      </c>
      <c r="G22" s="4"/>
      <c r="H22" s="4"/>
      <c r="I22" s="4">
        <v>373.12</v>
      </c>
      <c r="J22" s="4"/>
      <c r="K22" s="4"/>
      <c r="L22" s="4">
        <v>373.12</v>
      </c>
      <c r="M22" s="4"/>
      <c r="N22" s="4"/>
      <c r="O22" s="4">
        <v>373.12</v>
      </c>
      <c r="P22" s="4"/>
      <c r="Q22" s="4"/>
      <c r="R22" s="4"/>
      <c r="S22" s="57" t="s">
        <v>41</v>
      </c>
      <c r="T22" s="57"/>
      <c r="U22" s="57"/>
      <c r="V22" s="57" t="s">
        <v>41</v>
      </c>
      <c r="W22" s="4"/>
      <c r="X22" s="4"/>
    </row>
    <row r="23" spans="1:24" s="53" customFormat="1" x14ac:dyDescent="0.2">
      <c r="A23" s="55" t="s">
        <v>24</v>
      </c>
      <c r="B23" s="55" t="s">
        <v>186</v>
      </c>
      <c r="C23" s="55" t="s">
        <v>187</v>
      </c>
      <c r="D23" s="54"/>
      <c r="E23" s="54"/>
      <c r="F23" s="54">
        <v>250.91</v>
      </c>
      <c r="G23" s="54"/>
      <c r="H23" s="54"/>
      <c r="I23" s="54">
        <v>250.91</v>
      </c>
      <c r="J23" s="54"/>
      <c r="K23" s="54"/>
      <c r="L23" s="54">
        <v>250.91</v>
      </c>
      <c r="M23" s="54"/>
      <c r="N23" s="54"/>
      <c r="O23" s="54">
        <v>250.91</v>
      </c>
      <c r="P23" s="54"/>
      <c r="Q23" s="54"/>
      <c r="R23" s="54"/>
      <c r="S23" s="56"/>
      <c r="T23" s="56"/>
      <c r="U23" s="56"/>
      <c r="V23" s="56"/>
      <c r="W23" s="54"/>
      <c r="X23" s="54"/>
    </row>
    <row r="24" spans="1:24" x14ac:dyDescent="0.2">
      <c r="A24" s="8" t="s">
        <v>24</v>
      </c>
      <c r="B24" s="8" t="s">
        <v>188</v>
      </c>
      <c r="C24" s="8" t="s">
        <v>187</v>
      </c>
      <c r="D24" s="4"/>
      <c r="E24" s="4"/>
      <c r="F24" s="4">
        <v>219.96</v>
      </c>
      <c r="G24" s="4"/>
      <c r="H24" s="4"/>
      <c r="I24" s="4">
        <v>219.96</v>
      </c>
      <c r="J24" s="4"/>
      <c r="K24" s="4"/>
      <c r="L24" s="4">
        <v>219.96</v>
      </c>
      <c r="M24" s="4"/>
      <c r="N24" s="4"/>
      <c r="O24" s="4">
        <v>219.96</v>
      </c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">
      <c r="A25" s="8" t="s">
        <v>24</v>
      </c>
      <c r="B25" s="8" t="s">
        <v>189</v>
      </c>
      <c r="C25" s="8" t="s">
        <v>187</v>
      </c>
      <c r="D25" s="4"/>
      <c r="E25" s="4"/>
      <c r="F25" s="4">
        <v>219.62</v>
      </c>
      <c r="G25" s="4"/>
      <c r="H25" s="4"/>
      <c r="I25" s="4">
        <v>219.62</v>
      </c>
      <c r="J25" s="4"/>
      <c r="K25" s="4"/>
      <c r="L25" s="4">
        <v>219.62</v>
      </c>
      <c r="M25" s="4"/>
      <c r="N25" s="4"/>
      <c r="O25" s="4">
        <v>219.62</v>
      </c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2">
      <c r="A26" s="8" t="s">
        <v>24</v>
      </c>
      <c r="B26" s="8" t="s">
        <v>190</v>
      </c>
      <c r="C26" s="8" t="s">
        <v>187</v>
      </c>
      <c r="D26" s="4"/>
      <c r="E26" s="4"/>
      <c r="F26" s="4">
        <v>256.43</v>
      </c>
      <c r="G26" s="4"/>
      <c r="H26" s="4"/>
      <c r="I26" s="4">
        <v>256.43</v>
      </c>
      <c r="J26" s="4"/>
      <c r="K26" s="4"/>
      <c r="L26" s="4">
        <v>256.43</v>
      </c>
      <c r="M26" s="4"/>
      <c r="N26" s="4"/>
      <c r="O26" s="4">
        <v>256.43</v>
      </c>
      <c r="P26" s="4"/>
      <c r="Q26" s="4"/>
      <c r="R26" s="4"/>
      <c r="S26" s="4"/>
      <c r="T26" s="4"/>
      <c r="U26" s="4"/>
      <c r="V26" s="4"/>
      <c r="W26" s="4"/>
      <c r="X26" s="4"/>
    </row>
    <row r="27" spans="1:24" s="53" customFormat="1" x14ac:dyDescent="0.2">
      <c r="A27" s="55" t="s">
        <v>24</v>
      </c>
      <c r="B27" s="55" t="s">
        <v>191</v>
      </c>
      <c r="C27" s="55" t="s">
        <v>192</v>
      </c>
      <c r="D27" s="54"/>
      <c r="E27" s="54"/>
      <c r="F27" s="54">
        <v>323.72000000000003</v>
      </c>
      <c r="G27" s="54"/>
      <c r="H27" s="54"/>
      <c r="I27" s="54">
        <v>323.72000000000003</v>
      </c>
      <c r="J27" s="54"/>
      <c r="K27" s="54"/>
      <c r="L27" s="54">
        <v>323.72000000000003</v>
      </c>
      <c r="M27" s="54"/>
      <c r="N27" s="54"/>
      <c r="O27" s="54">
        <v>323.72000000000003</v>
      </c>
      <c r="P27" s="54"/>
      <c r="Q27" s="54"/>
      <c r="R27" s="54"/>
      <c r="S27" s="54"/>
      <c r="T27" s="54"/>
      <c r="U27" s="54"/>
      <c r="V27" s="54"/>
      <c r="W27" s="54"/>
      <c r="X27" s="54"/>
    </row>
    <row r="28" spans="1:24" x14ac:dyDescent="0.2">
      <c r="A28" s="8" t="s">
        <v>24</v>
      </c>
      <c r="B28" s="8" t="s">
        <v>193</v>
      </c>
      <c r="C28" s="8" t="s">
        <v>192</v>
      </c>
      <c r="D28" s="4"/>
      <c r="E28" s="4"/>
      <c r="F28" s="4">
        <v>362.5</v>
      </c>
      <c r="G28" s="4"/>
      <c r="H28" s="4"/>
      <c r="I28" s="4">
        <v>362.5</v>
      </c>
      <c r="J28" s="4"/>
      <c r="K28" s="4"/>
      <c r="L28" s="4">
        <v>362.5</v>
      </c>
      <c r="M28" s="4"/>
      <c r="N28" s="4"/>
      <c r="O28" s="4">
        <v>362.5</v>
      </c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">
      <c r="A29" s="8" t="s">
        <v>24</v>
      </c>
      <c r="B29" s="8" t="s">
        <v>194</v>
      </c>
      <c r="C29" s="8" t="s">
        <v>192</v>
      </c>
      <c r="D29" s="4"/>
      <c r="E29" s="4"/>
      <c r="F29" s="4">
        <v>321.67</v>
      </c>
      <c r="G29" s="4"/>
      <c r="H29" s="4"/>
      <c r="I29" s="4">
        <v>321.67</v>
      </c>
      <c r="J29" s="4"/>
      <c r="K29" s="4"/>
      <c r="L29" s="4">
        <v>321.67</v>
      </c>
      <c r="M29" s="4"/>
      <c r="N29" s="4"/>
      <c r="O29" s="4">
        <v>321.67</v>
      </c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2">
      <c r="A30" s="8" t="s">
        <v>24</v>
      </c>
      <c r="B30" s="8" t="s">
        <v>195</v>
      </c>
      <c r="C30" s="8" t="s">
        <v>192</v>
      </c>
      <c r="D30" s="4"/>
      <c r="E30" s="4"/>
      <c r="F30" s="4">
        <v>320.26</v>
      </c>
      <c r="G30" s="4"/>
      <c r="H30" s="4"/>
      <c r="I30" s="4">
        <v>320.26</v>
      </c>
      <c r="J30" s="4"/>
      <c r="K30" s="4"/>
      <c r="L30" s="4">
        <v>320.26</v>
      </c>
      <c r="M30" s="4"/>
      <c r="N30" s="4"/>
      <c r="O30" s="4">
        <v>320.26</v>
      </c>
      <c r="P30" s="4"/>
      <c r="Q30" s="4"/>
      <c r="R30" s="4"/>
      <c r="S30" s="4"/>
      <c r="T30" s="4"/>
      <c r="U30" s="4"/>
      <c r="V30" s="4"/>
      <c r="W30" s="4"/>
      <c r="X30" s="4"/>
    </row>
    <row r="31" spans="1:24" s="53" customFormat="1" x14ac:dyDescent="0.2">
      <c r="A31" s="55" t="s">
        <v>24</v>
      </c>
      <c r="B31" s="55" t="s">
        <v>196</v>
      </c>
      <c r="C31" s="55" t="s">
        <v>197</v>
      </c>
      <c r="D31" s="54"/>
      <c r="E31" s="54"/>
      <c r="F31" s="54">
        <v>268.42</v>
      </c>
      <c r="G31" s="54"/>
      <c r="H31" s="54"/>
      <c r="I31" s="54">
        <v>268.42</v>
      </c>
      <c r="J31" s="54"/>
      <c r="K31" s="54"/>
      <c r="L31" s="54">
        <v>268.42</v>
      </c>
      <c r="M31" s="54"/>
      <c r="N31" s="54"/>
      <c r="O31" s="54">
        <v>268.42</v>
      </c>
      <c r="P31" s="54"/>
      <c r="Q31" s="54"/>
      <c r="R31" s="54"/>
      <c r="S31" s="54"/>
      <c r="T31" s="54"/>
      <c r="U31" s="54"/>
      <c r="V31" s="54"/>
      <c r="W31" s="54"/>
      <c r="X31" s="54"/>
    </row>
    <row r="32" spans="1:24" x14ac:dyDescent="0.2">
      <c r="A32" s="8" t="s">
        <v>24</v>
      </c>
      <c r="B32" s="8" t="s">
        <v>198</v>
      </c>
      <c r="C32" s="8" t="s">
        <v>197</v>
      </c>
      <c r="D32" s="4"/>
      <c r="E32" s="4"/>
      <c r="F32" s="4">
        <v>219.84</v>
      </c>
      <c r="G32" s="4"/>
      <c r="H32" s="4"/>
      <c r="I32" s="4">
        <v>219.84</v>
      </c>
      <c r="J32" s="4"/>
      <c r="K32" s="4"/>
      <c r="L32" s="4">
        <v>219.84</v>
      </c>
      <c r="M32" s="4"/>
      <c r="N32" s="4"/>
      <c r="O32" s="4">
        <v>219.84</v>
      </c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2">
      <c r="A33" s="8" t="s">
        <v>24</v>
      </c>
      <c r="B33" s="8" t="s">
        <v>199</v>
      </c>
      <c r="C33" s="8" t="s">
        <v>197</v>
      </c>
      <c r="D33" s="4"/>
      <c r="E33" s="4"/>
      <c r="F33" s="4">
        <v>219.06</v>
      </c>
      <c r="G33" s="4"/>
      <c r="H33" s="4"/>
      <c r="I33" s="4">
        <v>219.06</v>
      </c>
      <c r="J33" s="4"/>
      <c r="K33" s="4"/>
      <c r="L33" s="4">
        <v>219.06</v>
      </c>
      <c r="M33" s="4"/>
      <c r="N33" s="4"/>
      <c r="O33" s="4">
        <v>219.06</v>
      </c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2">
      <c r="A34" s="8" t="s">
        <v>24</v>
      </c>
      <c r="B34" s="8" t="s">
        <v>200</v>
      </c>
      <c r="C34" s="8" t="s">
        <v>197</v>
      </c>
      <c r="D34" s="4"/>
      <c r="E34" s="4"/>
      <c r="F34" s="4">
        <v>219.66</v>
      </c>
      <c r="G34" s="4"/>
      <c r="H34" s="4"/>
      <c r="I34" s="4">
        <v>219.66</v>
      </c>
      <c r="J34" s="4"/>
      <c r="K34" s="4"/>
      <c r="L34" s="4">
        <v>219.66</v>
      </c>
      <c r="M34" s="4"/>
      <c r="N34" s="4"/>
      <c r="O34" s="4">
        <v>219.66</v>
      </c>
      <c r="P34" s="4"/>
      <c r="Q34" s="4"/>
      <c r="R34" s="4"/>
      <c r="S34" s="4"/>
      <c r="T34" s="4"/>
      <c r="U34" s="4"/>
      <c r="V34" s="4"/>
      <c r="W34" s="4"/>
      <c r="X34" s="4"/>
    </row>
    <row r="35" spans="1:24" s="53" customFormat="1" x14ac:dyDescent="0.2">
      <c r="A35" s="55" t="s">
        <v>24</v>
      </c>
      <c r="B35" s="55" t="s">
        <v>201</v>
      </c>
      <c r="C35" s="55" t="s">
        <v>202</v>
      </c>
      <c r="D35" s="54"/>
      <c r="E35" s="54"/>
      <c r="F35" s="54">
        <v>491.47</v>
      </c>
      <c r="G35" s="54"/>
      <c r="H35" s="54"/>
      <c r="I35" s="54">
        <v>491.47</v>
      </c>
      <c r="J35" s="54"/>
      <c r="K35" s="54"/>
      <c r="L35" s="54">
        <v>491.47</v>
      </c>
      <c r="M35" s="54"/>
      <c r="N35" s="54"/>
      <c r="O35" s="54">
        <v>491.47</v>
      </c>
      <c r="P35" s="54"/>
      <c r="Q35" s="54"/>
      <c r="R35" s="54"/>
      <c r="S35" s="54"/>
      <c r="T35" s="54"/>
      <c r="U35" s="54"/>
      <c r="V35" s="54"/>
      <c r="W35" s="54"/>
      <c r="X35" s="54"/>
    </row>
    <row r="36" spans="1:24" x14ac:dyDescent="0.2">
      <c r="A36" s="8" t="s">
        <v>24</v>
      </c>
      <c r="B36" s="8" t="s">
        <v>203</v>
      </c>
      <c r="C36" s="8" t="s">
        <v>202</v>
      </c>
      <c r="D36" s="4"/>
      <c r="E36" s="4"/>
      <c r="F36" s="4">
        <v>364.82</v>
      </c>
      <c r="G36" s="4"/>
      <c r="H36" s="4"/>
      <c r="I36" s="4">
        <v>364.82</v>
      </c>
      <c r="J36" s="4"/>
      <c r="K36" s="4"/>
      <c r="L36" s="4">
        <v>364.82</v>
      </c>
      <c r="M36" s="4"/>
      <c r="N36" s="4"/>
      <c r="O36" s="4">
        <v>364.82</v>
      </c>
      <c r="P36" s="4"/>
      <c r="Q36" s="4"/>
      <c r="R36" s="4"/>
      <c r="S36" s="4"/>
      <c r="T36" s="4"/>
      <c r="U36" s="4"/>
      <c r="V36" s="4"/>
      <c r="W36" s="4"/>
      <c r="X36" s="4"/>
    </row>
    <row r="37" spans="1:24" x14ac:dyDescent="0.2">
      <c r="A37" s="8" t="s">
        <v>24</v>
      </c>
      <c r="B37" s="8" t="s">
        <v>204</v>
      </c>
      <c r="C37" s="8" t="s">
        <v>202</v>
      </c>
      <c r="D37" s="4"/>
      <c r="E37" s="4"/>
      <c r="F37" s="4">
        <v>370.61</v>
      </c>
      <c r="G37" s="4"/>
      <c r="H37" s="4"/>
      <c r="I37" s="4">
        <v>370.61</v>
      </c>
      <c r="J37" s="4"/>
      <c r="K37" s="4"/>
      <c r="L37" s="4">
        <v>370.61</v>
      </c>
      <c r="M37" s="4"/>
      <c r="N37" s="4"/>
      <c r="O37" s="4">
        <v>370.61</v>
      </c>
      <c r="P37" s="4"/>
      <c r="Q37" s="4"/>
      <c r="R37" s="4"/>
      <c r="S37" s="4"/>
      <c r="T37" s="4"/>
      <c r="U37" s="4"/>
      <c r="V37" s="4"/>
      <c r="W37" s="4"/>
      <c r="X37" s="4"/>
    </row>
    <row r="38" spans="1:24" x14ac:dyDescent="0.2">
      <c r="A38" s="8" t="s">
        <v>24</v>
      </c>
      <c r="B38" s="8" t="s">
        <v>205</v>
      </c>
      <c r="C38" s="8" t="s">
        <v>202</v>
      </c>
      <c r="D38" s="4"/>
      <c r="E38" s="4"/>
      <c r="F38" s="4">
        <v>352.78</v>
      </c>
      <c r="G38" s="4"/>
      <c r="H38" s="4"/>
      <c r="I38" s="4">
        <v>352.78</v>
      </c>
      <c r="J38" s="4"/>
      <c r="K38" s="4"/>
      <c r="L38" s="4">
        <v>352.78</v>
      </c>
      <c r="M38" s="4"/>
      <c r="N38" s="4"/>
      <c r="O38" s="4">
        <v>352.78</v>
      </c>
      <c r="P38" s="4"/>
      <c r="Q38" s="4"/>
      <c r="R38" s="4"/>
      <c r="S38" s="4"/>
      <c r="T38" s="4"/>
      <c r="U38" s="4"/>
      <c r="V38" s="4"/>
      <c r="W38" s="4"/>
      <c r="X3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0.79998168889431442"/>
  </sheetPr>
  <dimension ref="A1:X14"/>
  <sheetViews>
    <sheetView topLeftCell="A2" workbookViewId="0">
      <selection activeCell="E23" sqref="E23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56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9" customWidth="1"/>
    <col min="17" max="17" width="10" style="22" customWidth="1"/>
    <col min="18" max="19" width="10" style="17" customWidth="1"/>
    <col min="20" max="20" width="10" style="20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1" spans="1:24" x14ac:dyDescent="0.2">
      <c r="Q1" s="21"/>
      <c r="R1" s="18"/>
      <c r="S1" s="18"/>
      <c r="T1" s="19"/>
    </row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SUM(E5:G12)</f>
        <v>2729.6299999999997</v>
      </c>
      <c r="G2" s="6"/>
      <c r="H2" s="6"/>
      <c r="I2" s="6">
        <f>SUM(H5:J12)</f>
        <v>2729.6299999999997</v>
      </c>
      <c r="J2" s="6"/>
      <c r="K2" s="6"/>
      <c r="L2" s="6">
        <f>SUM(K5:M12)</f>
        <v>2729.6299999999997</v>
      </c>
      <c r="M2" s="6"/>
      <c r="N2" s="6"/>
      <c r="O2" s="6">
        <f>SUM(N5:P12)</f>
        <v>2729.6299999999997</v>
      </c>
      <c r="P2" s="6"/>
    </row>
    <row r="3" spans="1:24" x14ac:dyDescent="0.2">
      <c r="A3" s="2"/>
      <c r="B3" s="2"/>
      <c r="C3" s="2"/>
      <c r="D3" s="2"/>
      <c r="E3" s="63" t="s">
        <v>32</v>
      </c>
      <c r="F3" s="63"/>
      <c r="G3" s="63"/>
      <c r="H3" s="63" t="s">
        <v>33</v>
      </c>
      <c r="I3" s="63"/>
      <c r="J3" s="63"/>
      <c r="K3" s="63" t="s">
        <v>34</v>
      </c>
      <c r="L3" s="63"/>
      <c r="M3" s="63"/>
      <c r="N3" s="63" t="s">
        <v>35</v>
      </c>
      <c r="O3" s="63"/>
      <c r="P3" s="63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8" t="s">
        <v>20</v>
      </c>
      <c r="B5" s="26" t="s">
        <v>80</v>
      </c>
      <c r="C5" s="26" t="s">
        <v>81</v>
      </c>
      <c r="D5" s="27"/>
      <c r="E5" s="27">
        <v>110.95</v>
      </c>
      <c r="F5" s="27">
        <v>136.97</v>
      </c>
      <c r="G5" s="27">
        <v>138.52000000000001</v>
      </c>
      <c r="H5" s="27">
        <v>110.95</v>
      </c>
      <c r="I5" s="27">
        <v>136.97</v>
      </c>
      <c r="J5" s="27">
        <v>138.52000000000001</v>
      </c>
      <c r="K5" s="27">
        <v>110.95</v>
      </c>
      <c r="L5" s="27">
        <v>136.97</v>
      </c>
      <c r="M5" s="27">
        <v>138.52000000000001</v>
      </c>
      <c r="N5" s="27">
        <v>110.95</v>
      </c>
      <c r="O5" s="27">
        <v>136.97</v>
      </c>
      <c r="P5" s="28">
        <v>138.52000000000001</v>
      </c>
      <c r="Q5" s="29" t="s">
        <v>41</v>
      </c>
      <c r="R5" s="4"/>
      <c r="S5" s="4"/>
      <c r="T5" s="16"/>
      <c r="U5" s="13"/>
      <c r="V5" s="4"/>
      <c r="W5" s="4"/>
      <c r="X5" s="4"/>
    </row>
    <row r="6" spans="1:24" x14ac:dyDescent="0.2">
      <c r="A6" s="8" t="s">
        <v>20</v>
      </c>
      <c r="B6" s="26" t="s">
        <v>82</v>
      </c>
      <c r="C6" s="26" t="s">
        <v>83</v>
      </c>
      <c r="D6" s="27"/>
      <c r="E6" s="27">
        <v>110.43</v>
      </c>
      <c r="F6" s="27">
        <v>114.51</v>
      </c>
      <c r="G6" s="27">
        <v>108.71</v>
      </c>
      <c r="H6" s="27">
        <v>110.43</v>
      </c>
      <c r="I6" s="27">
        <v>114.51</v>
      </c>
      <c r="J6" s="27">
        <v>108.71</v>
      </c>
      <c r="K6" s="27">
        <v>110.43</v>
      </c>
      <c r="L6" s="27">
        <v>114.51</v>
      </c>
      <c r="M6" s="27">
        <v>108.71</v>
      </c>
      <c r="N6" s="27">
        <v>110.43</v>
      </c>
      <c r="O6" s="27">
        <v>114.51</v>
      </c>
      <c r="P6" s="28">
        <v>108.71</v>
      </c>
      <c r="Q6" s="29" t="s">
        <v>41</v>
      </c>
      <c r="R6" s="4"/>
      <c r="S6" s="4"/>
      <c r="T6" s="16"/>
      <c r="U6" s="13"/>
      <c r="V6" s="4"/>
      <c r="W6" s="4"/>
      <c r="X6" s="4"/>
    </row>
    <row r="7" spans="1:24" x14ac:dyDescent="0.2">
      <c r="A7" s="8" t="s">
        <v>20</v>
      </c>
      <c r="B7" s="26" t="s">
        <v>84</v>
      </c>
      <c r="C7" s="26" t="s">
        <v>85</v>
      </c>
      <c r="D7" s="27"/>
      <c r="E7" s="27">
        <v>110</v>
      </c>
      <c r="F7" s="27">
        <v>112.14</v>
      </c>
      <c r="G7" s="27">
        <v>107.45</v>
      </c>
      <c r="H7" s="27">
        <v>110</v>
      </c>
      <c r="I7" s="27">
        <v>112.14</v>
      </c>
      <c r="J7" s="27">
        <v>107.45</v>
      </c>
      <c r="K7" s="27">
        <v>110</v>
      </c>
      <c r="L7" s="27">
        <v>112.14</v>
      </c>
      <c r="M7" s="27">
        <v>107.45</v>
      </c>
      <c r="N7" s="27">
        <v>110</v>
      </c>
      <c r="O7" s="27">
        <v>112.14</v>
      </c>
      <c r="P7" s="28">
        <v>107.45</v>
      </c>
      <c r="Q7" s="29" t="s">
        <v>41</v>
      </c>
      <c r="R7" s="4"/>
      <c r="S7" s="4"/>
      <c r="T7" s="16"/>
      <c r="U7" s="13"/>
      <c r="V7" s="4"/>
      <c r="W7" s="4"/>
      <c r="X7" s="4"/>
    </row>
    <row r="8" spans="1:24" x14ac:dyDescent="0.2">
      <c r="A8" s="8" t="s">
        <v>20</v>
      </c>
      <c r="B8" s="26" t="s">
        <v>86</v>
      </c>
      <c r="C8" s="26" t="s">
        <v>87</v>
      </c>
      <c r="D8" s="27"/>
      <c r="E8" s="27">
        <v>113.79</v>
      </c>
      <c r="F8" s="27">
        <v>144.29</v>
      </c>
      <c r="G8" s="27">
        <v>110.79</v>
      </c>
      <c r="H8" s="27">
        <v>113.79</v>
      </c>
      <c r="I8" s="27">
        <v>144.29</v>
      </c>
      <c r="J8" s="27">
        <v>110.79</v>
      </c>
      <c r="K8" s="27">
        <v>113.79</v>
      </c>
      <c r="L8" s="27">
        <v>144.29</v>
      </c>
      <c r="M8" s="27">
        <v>110.79</v>
      </c>
      <c r="N8" s="27">
        <v>113.79</v>
      </c>
      <c r="O8" s="27">
        <v>144.29</v>
      </c>
      <c r="P8" s="28">
        <v>110.79</v>
      </c>
      <c r="Q8" s="29" t="s">
        <v>41</v>
      </c>
      <c r="R8" s="4"/>
      <c r="S8" s="4"/>
      <c r="T8" s="16"/>
      <c r="U8" s="13"/>
      <c r="V8" s="4"/>
      <c r="W8" s="4"/>
      <c r="X8" s="4"/>
    </row>
    <row r="9" spans="1:24" x14ac:dyDescent="0.2">
      <c r="A9" s="8" t="s">
        <v>20</v>
      </c>
      <c r="B9" s="26" t="s">
        <v>88</v>
      </c>
      <c r="C9" s="26" t="s">
        <v>89</v>
      </c>
      <c r="D9" s="27"/>
      <c r="E9" s="27">
        <v>131.01</v>
      </c>
      <c r="F9" s="27">
        <v>102.47</v>
      </c>
      <c r="G9" s="27">
        <v>97.34</v>
      </c>
      <c r="H9" s="27">
        <v>131.01</v>
      </c>
      <c r="I9" s="27">
        <v>102.47</v>
      </c>
      <c r="J9" s="27">
        <v>97.34</v>
      </c>
      <c r="K9" s="27">
        <v>131.01</v>
      </c>
      <c r="L9" s="27">
        <v>102.47</v>
      </c>
      <c r="M9" s="27">
        <v>97.34</v>
      </c>
      <c r="N9" s="27">
        <v>131.01</v>
      </c>
      <c r="O9" s="27">
        <v>102.47</v>
      </c>
      <c r="P9" s="28">
        <v>97.34</v>
      </c>
      <c r="Q9" s="29" t="s">
        <v>41</v>
      </c>
      <c r="R9" s="4"/>
      <c r="S9" s="4"/>
      <c r="T9" s="16"/>
      <c r="U9" s="13"/>
      <c r="V9" s="4"/>
      <c r="W9" s="4"/>
      <c r="X9" s="4"/>
    </row>
    <row r="10" spans="1:24" x14ac:dyDescent="0.2">
      <c r="A10" s="8" t="s">
        <v>20</v>
      </c>
      <c r="B10" s="26" t="s">
        <v>90</v>
      </c>
      <c r="C10" s="26" t="s">
        <v>91</v>
      </c>
      <c r="D10" s="27"/>
      <c r="E10" s="27">
        <v>96.39</v>
      </c>
      <c r="F10" s="27">
        <v>98.06</v>
      </c>
      <c r="G10" s="27">
        <v>93.41</v>
      </c>
      <c r="H10" s="27">
        <v>96.39</v>
      </c>
      <c r="I10" s="27">
        <v>98.06</v>
      </c>
      <c r="J10" s="27">
        <v>93.41</v>
      </c>
      <c r="K10" s="27">
        <v>96.39</v>
      </c>
      <c r="L10" s="27">
        <v>98.06</v>
      </c>
      <c r="M10" s="27">
        <v>93.41</v>
      </c>
      <c r="N10" s="27">
        <v>96.39</v>
      </c>
      <c r="O10" s="27">
        <v>98.06</v>
      </c>
      <c r="P10" s="28">
        <v>93.41</v>
      </c>
      <c r="Q10" s="29" t="s">
        <v>41</v>
      </c>
      <c r="R10" s="4"/>
      <c r="S10" s="4"/>
      <c r="T10" s="16"/>
      <c r="U10" s="13"/>
      <c r="V10" s="4"/>
      <c r="W10" s="4"/>
      <c r="X10" s="4"/>
    </row>
    <row r="11" spans="1:24" x14ac:dyDescent="0.2">
      <c r="A11" s="8" t="s">
        <v>20</v>
      </c>
      <c r="B11" s="26" t="s">
        <v>92</v>
      </c>
      <c r="C11" s="26" t="s">
        <v>93</v>
      </c>
      <c r="D11" s="27"/>
      <c r="E11" s="27">
        <v>109.31</v>
      </c>
      <c r="F11" s="27">
        <v>111.78</v>
      </c>
      <c r="G11" s="27">
        <v>107.39</v>
      </c>
      <c r="H11" s="27">
        <v>109.31</v>
      </c>
      <c r="I11" s="27">
        <v>111.78</v>
      </c>
      <c r="J11" s="27">
        <v>107.39</v>
      </c>
      <c r="K11" s="27">
        <v>109.31</v>
      </c>
      <c r="L11" s="27">
        <v>111.78</v>
      </c>
      <c r="M11" s="27">
        <v>107.39</v>
      </c>
      <c r="N11" s="27">
        <v>109.31</v>
      </c>
      <c r="O11" s="27">
        <v>111.78</v>
      </c>
      <c r="P11" s="28">
        <v>107.39</v>
      </c>
      <c r="Q11" s="29" t="s">
        <v>41</v>
      </c>
      <c r="R11" s="4"/>
      <c r="S11" s="4"/>
      <c r="T11" s="16"/>
      <c r="U11" s="13"/>
      <c r="V11" s="4"/>
      <c r="W11" s="4"/>
      <c r="X11" s="4"/>
    </row>
    <row r="12" spans="1:24" x14ac:dyDescent="0.2">
      <c r="A12" s="8" t="s">
        <v>20</v>
      </c>
      <c r="B12" s="26" t="s">
        <v>94</v>
      </c>
      <c r="C12" s="26" t="s">
        <v>95</v>
      </c>
      <c r="D12" s="27"/>
      <c r="E12" s="27">
        <v>101.1</v>
      </c>
      <c r="F12" s="27">
        <v>129.01</v>
      </c>
      <c r="G12" s="27">
        <v>133.81</v>
      </c>
      <c r="H12" s="27">
        <v>101.1</v>
      </c>
      <c r="I12" s="27">
        <v>129.01</v>
      </c>
      <c r="J12" s="27">
        <v>133.81</v>
      </c>
      <c r="K12" s="27">
        <v>101.1</v>
      </c>
      <c r="L12" s="27">
        <v>129.01</v>
      </c>
      <c r="M12" s="27">
        <v>133.81</v>
      </c>
      <c r="N12" s="27">
        <v>101.1</v>
      </c>
      <c r="O12" s="27">
        <v>129.01</v>
      </c>
      <c r="P12" s="28">
        <v>133.81</v>
      </c>
      <c r="Q12" s="29" t="s">
        <v>41</v>
      </c>
      <c r="R12" s="4"/>
      <c r="S12" s="4"/>
      <c r="T12" s="16"/>
      <c r="U12" s="13"/>
      <c r="V12" s="4"/>
      <c r="W12" s="4"/>
      <c r="X12" s="4"/>
    </row>
    <row r="13" spans="1:24" x14ac:dyDescent="0.2">
      <c r="A13" s="8" t="s">
        <v>20</v>
      </c>
      <c r="B13" s="25" t="s">
        <v>276</v>
      </c>
      <c r="C13" s="31" t="s">
        <v>274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0" t="s">
        <v>41</v>
      </c>
    </row>
    <row r="14" spans="1:24" x14ac:dyDescent="0.2">
      <c r="A14" s="8" t="s">
        <v>20</v>
      </c>
      <c r="B14" s="25" t="s">
        <v>277</v>
      </c>
      <c r="C14" s="31" t="s">
        <v>275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0" t="s">
        <v>41</v>
      </c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79998168889431442"/>
  </sheetPr>
  <dimension ref="A2:X24"/>
  <sheetViews>
    <sheetView workbookViewId="0">
      <selection activeCell="Q15" sqref="Q15:Q24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58" customWidth="1"/>
    <col min="4" max="4" width="13" customWidth="1"/>
    <col min="5" max="5" width="10" customWidth="1"/>
    <col min="6" max="6" width="9" customWidth="1"/>
    <col min="7" max="7" width="8" customWidth="1"/>
    <col min="8" max="8" width="10" customWidth="1"/>
    <col min="9" max="9" width="9" customWidth="1"/>
    <col min="10" max="10" width="8" customWidth="1"/>
    <col min="11" max="11" width="10" customWidth="1"/>
    <col min="12" max="12" width="9" customWidth="1"/>
    <col min="13" max="13" width="8" customWidth="1"/>
    <col min="14" max="14" width="10" customWidth="1"/>
    <col min="15" max="15" width="9" customWidth="1"/>
    <col min="16" max="16" width="8" style="9" customWidth="1"/>
    <col min="17" max="17" width="10" style="37" customWidth="1"/>
    <col min="18" max="19" width="10" style="9" customWidth="1"/>
    <col min="20" max="20" width="10" style="14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SUM(E5:G24)</f>
        <v>33808.46</v>
      </c>
      <c r="G2" s="6"/>
      <c r="H2" s="6"/>
      <c r="I2" s="6">
        <f>SUM(H5:J24)</f>
        <v>33808.46</v>
      </c>
      <c r="J2" s="6"/>
      <c r="K2" s="6"/>
      <c r="L2" s="6">
        <f>SUM(K5:M24)</f>
        <v>33808.46</v>
      </c>
      <c r="M2" s="6"/>
      <c r="N2" s="6"/>
      <c r="O2" s="6">
        <f>SUM(N5:P24)</f>
        <v>33808.46</v>
      </c>
      <c r="P2" s="6"/>
    </row>
    <row r="3" spans="1:24" x14ac:dyDescent="0.2">
      <c r="A3" s="2"/>
      <c r="B3" s="2"/>
      <c r="C3" s="2"/>
      <c r="D3" s="2"/>
      <c r="E3" s="63" t="s">
        <v>32</v>
      </c>
      <c r="F3" s="63"/>
      <c r="G3" s="63"/>
      <c r="H3" s="63" t="s">
        <v>33</v>
      </c>
      <c r="I3" s="63"/>
      <c r="J3" s="63"/>
      <c r="K3" s="63" t="s">
        <v>34</v>
      </c>
      <c r="L3" s="63"/>
      <c r="M3" s="63"/>
      <c r="N3" s="63" t="s">
        <v>35</v>
      </c>
      <c r="O3" s="63"/>
      <c r="P3" s="63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32" t="s">
        <v>25</v>
      </c>
      <c r="B5" s="32" t="s">
        <v>206</v>
      </c>
      <c r="C5" s="32" t="s">
        <v>207</v>
      </c>
      <c r="D5" s="33"/>
      <c r="E5" s="33"/>
      <c r="F5" s="33">
        <v>1171.17</v>
      </c>
      <c r="G5" s="33"/>
      <c r="H5" s="33"/>
      <c r="I5" s="33">
        <v>1171.17</v>
      </c>
      <c r="J5" s="33"/>
      <c r="K5" s="33"/>
      <c r="L5" s="33">
        <v>1171.17</v>
      </c>
      <c r="M5" s="33"/>
      <c r="N5" s="33"/>
      <c r="O5" s="33">
        <v>1171.17</v>
      </c>
      <c r="P5" s="34"/>
      <c r="Q5" s="38" t="s">
        <v>41</v>
      </c>
      <c r="R5" s="33"/>
      <c r="S5" s="33"/>
      <c r="T5" s="35"/>
      <c r="U5" s="13"/>
      <c r="V5" s="4"/>
      <c r="W5" s="4"/>
      <c r="X5" s="4"/>
    </row>
    <row r="6" spans="1:24" x14ac:dyDescent="0.2">
      <c r="A6" s="32" t="s">
        <v>25</v>
      </c>
      <c r="B6" s="32" t="s">
        <v>208</v>
      </c>
      <c r="C6" s="32" t="s">
        <v>207</v>
      </c>
      <c r="D6" s="33"/>
      <c r="E6" s="33"/>
      <c r="F6" s="33">
        <v>1475.03</v>
      </c>
      <c r="G6" s="33"/>
      <c r="H6" s="33"/>
      <c r="I6" s="33">
        <v>1475.03</v>
      </c>
      <c r="J6" s="33"/>
      <c r="K6" s="33"/>
      <c r="L6" s="33">
        <v>1475.03</v>
      </c>
      <c r="M6" s="33"/>
      <c r="N6" s="33"/>
      <c r="O6" s="33">
        <v>1475.03</v>
      </c>
      <c r="P6" s="34"/>
      <c r="Q6" s="38" t="s">
        <v>41</v>
      </c>
      <c r="R6" s="33"/>
      <c r="S6" s="33"/>
      <c r="T6" s="35"/>
      <c r="U6" s="13"/>
      <c r="V6" s="4"/>
      <c r="W6" s="4"/>
      <c r="X6" s="4"/>
    </row>
    <row r="7" spans="1:24" x14ac:dyDescent="0.2">
      <c r="A7" s="32" t="s">
        <v>25</v>
      </c>
      <c r="B7" s="32" t="s">
        <v>209</v>
      </c>
      <c r="C7" s="32" t="s">
        <v>207</v>
      </c>
      <c r="D7" s="33"/>
      <c r="E7" s="33">
        <v>575</v>
      </c>
      <c r="F7" s="33">
        <v>585.92999999999995</v>
      </c>
      <c r="G7" s="33">
        <v>572.9</v>
      </c>
      <c r="H7" s="33">
        <v>575</v>
      </c>
      <c r="I7" s="33">
        <v>585.92999999999995</v>
      </c>
      <c r="J7" s="33">
        <v>572.9</v>
      </c>
      <c r="K7" s="33">
        <v>575</v>
      </c>
      <c r="L7" s="33">
        <v>585.92999999999995</v>
      </c>
      <c r="M7" s="33">
        <v>572.9</v>
      </c>
      <c r="N7" s="33">
        <v>575</v>
      </c>
      <c r="O7" s="33">
        <v>585.92999999999995</v>
      </c>
      <c r="P7" s="34">
        <v>572.9</v>
      </c>
      <c r="Q7" s="38" t="s">
        <v>41</v>
      </c>
      <c r="R7" s="33"/>
      <c r="S7" s="33"/>
      <c r="T7" s="35"/>
      <c r="U7" s="13"/>
      <c r="V7" s="4"/>
      <c r="W7" s="4"/>
      <c r="X7" s="4"/>
    </row>
    <row r="8" spans="1:24" x14ac:dyDescent="0.2">
      <c r="A8" s="32" t="s">
        <v>25</v>
      </c>
      <c r="B8" s="32" t="s">
        <v>210</v>
      </c>
      <c r="C8" s="32" t="s">
        <v>207</v>
      </c>
      <c r="D8" s="33"/>
      <c r="E8" s="33"/>
      <c r="F8" s="33">
        <v>4155.2299999999996</v>
      </c>
      <c r="G8" s="33"/>
      <c r="H8" s="33"/>
      <c r="I8" s="33">
        <v>4155.2299999999996</v>
      </c>
      <c r="J8" s="33"/>
      <c r="K8" s="33"/>
      <c r="L8" s="33">
        <v>4155.2299999999996</v>
      </c>
      <c r="M8" s="33"/>
      <c r="N8" s="33"/>
      <c r="O8" s="33">
        <v>4155.2299999999996</v>
      </c>
      <c r="P8" s="34"/>
      <c r="Q8" s="38" t="s">
        <v>41</v>
      </c>
      <c r="R8" s="33"/>
      <c r="S8" s="33"/>
      <c r="T8" s="35"/>
      <c r="U8" s="13"/>
      <c r="V8" s="4"/>
      <c r="W8" s="4"/>
      <c r="X8" s="4"/>
    </row>
    <row r="9" spans="1:24" x14ac:dyDescent="0.2">
      <c r="A9" s="32" t="s">
        <v>25</v>
      </c>
      <c r="B9" s="32" t="s">
        <v>211</v>
      </c>
      <c r="C9" s="32" t="s">
        <v>207</v>
      </c>
      <c r="D9" s="33"/>
      <c r="E9" s="33"/>
      <c r="F9" s="33">
        <v>931.35</v>
      </c>
      <c r="G9" s="33"/>
      <c r="H9" s="33"/>
      <c r="I9" s="33">
        <v>931.35</v>
      </c>
      <c r="J9" s="33"/>
      <c r="K9" s="33"/>
      <c r="L9" s="33">
        <v>931.35</v>
      </c>
      <c r="M9" s="33"/>
      <c r="N9" s="33"/>
      <c r="O9" s="33">
        <v>931.35</v>
      </c>
      <c r="P9" s="34"/>
      <c r="Q9" s="38" t="s">
        <v>41</v>
      </c>
      <c r="R9" s="33"/>
      <c r="S9" s="33"/>
      <c r="T9" s="35"/>
      <c r="U9" s="13"/>
      <c r="V9" s="4"/>
      <c r="W9" s="4"/>
      <c r="X9" s="4"/>
    </row>
    <row r="10" spans="1:24" x14ac:dyDescent="0.2">
      <c r="A10" s="32" t="s">
        <v>25</v>
      </c>
      <c r="B10" s="39" t="s">
        <v>212</v>
      </c>
      <c r="C10" s="39" t="s">
        <v>207</v>
      </c>
      <c r="D10" s="33"/>
      <c r="E10" s="33"/>
      <c r="F10" s="33">
        <v>1096.3800000000001</v>
      </c>
      <c r="G10" s="33"/>
      <c r="H10" s="33"/>
      <c r="I10" s="33">
        <v>1096.3800000000001</v>
      </c>
      <c r="J10" s="33"/>
      <c r="K10" s="33"/>
      <c r="L10" s="33">
        <v>1096.3800000000001</v>
      </c>
      <c r="M10" s="33"/>
      <c r="N10" s="33"/>
      <c r="O10" s="33">
        <v>1096.3800000000001</v>
      </c>
      <c r="P10" s="34"/>
      <c r="Q10" s="38" t="s">
        <v>41</v>
      </c>
      <c r="R10" s="33"/>
      <c r="S10" s="33"/>
      <c r="T10" s="35"/>
      <c r="U10" s="13"/>
      <c r="V10" s="4"/>
      <c r="W10" s="4"/>
      <c r="X10" s="4"/>
    </row>
    <row r="11" spans="1:24" x14ac:dyDescent="0.2">
      <c r="A11" s="32" t="s">
        <v>25</v>
      </c>
      <c r="B11" s="39" t="s">
        <v>213</v>
      </c>
      <c r="C11" s="39" t="s">
        <v>207</v>
      </c>
      <c r="D11" s="33"/>
      <c r="E11" s="33"/>
      <c r="F11" s="33">
        <v>1510.61</v>
      </c>
      <c r="G11" s="33"/>
      <c r="H11" s="33"/>
      <c r="I11" s="33">
        <v>1510.61</v>
      </c>
      <c r="J11" s="33"/>
      <c r="K11" s="33"/>
      <c r="L11" s="33">
        <v>1510.61</v>
      </c>
      <c r="M11" s="33"/>
      <c r="N11" s="33"/>
      <c r="O11" s="33">
        <v>1510.61</v>
      </c>
      <c r="P11" s="34"/>
      <c r="Q11" s="38" t="s">
        <v>41</v>
      </c>
      <c r="R11" s="33"/>
      <c r="S11" s="33"/>
      <c r="T11" s="35"/>
      <c r="U11" s="13"/>
      <c r="V11" s="4"/>
      <c r="W11" s="4"/>
      <c r="X11" s="4"/>
    </row>
    <row r="12" spans="1:24" x14ac:dyDescent="0.2">
      <c r="A12" s="32" t="s">
        <v>25</v>
      </c>
      <c r="B12" s="39" t="s">
        <v>214</v>
      </c>
      <c r="C12" s="39" t="s">
        <v>207</v>
      </c>
      <c r="D12" s="33"/>
      <c r="E12" s="33"/>
      <c r="F12" s="33">
        <v>559.35</v>
      </c>
      <c r="G12" s="33"/>
      <c r="H12" s="33"/>
      <c r="I12" s="33">
        <v>559.35</v>
      </c>
      <c r="J12" s="33"/>
      <c r="K12" s="33"/>
      <c r="L12" s="33">
        <v>559.35</v>
      </c>
      <c r="M12" s="33"/>
      <c r="N12" s="33"/>
      <c r="O12" s="33">
        <v>559.35</v>
      </c>
      <c r="P12" s="34"/>
      <c r="Q12" s="38" t="s">
        <v>41</v>
      </c>
      <c r="R12" s="33"/>
      <c r="S12" s="33"/>
      <c r="T12" s="35"/>
      <c r="U12" s="13"/>
      <c r="V12" s="4"/>
      <c r="W12" s="4"/>
      <c r="X12" s="4"/>
    </row>
    <row r="13" spans="1:24" x14ac:dyDescent="0.2">
      <c r="A13" s="32" t="s">
        <v>25</v>
      </c>
      <c r="B13" s="39" t="s">
        <v>215</v>
      </c>
      <c r="C13" s="39" t="s">
        <v>207</v>
      </c>
      <c r="D13" s="33"/>
      <c r="E13" s="33"/>
      <c r="F13" s="33">
        <v>4227.26</v>
      </c>
      <c r="G13" s="33"/>
      <c r="H13" s="33"/>
      <c r="I13" s="33">
        <v>4227.26</v>
      </c>
      <c r="J13" s="33"/>
      <c r="K13" s="33"/>
      <c r="L13" s="33">
        <v>4227.26</v>
      </c>
      <c r="M13" s="33"/>
      <c r="N13" s="33"/>
      <c r="O13" s="33">
        <v>4227.26</v>
      </c>
      <c r="P13" s="34"/>
      <c r="Q13" s="38" t="s">
        <v>41</v>
      </c>
      <c r="R13" s="33"/>
      <c r="S13" s="33"/>
      <c r="T13" s="35"/>
      <c r="U13" s="13"/>
      <c r="V13" s="4"/>
      <c r="W13" s="4"/>
      <c r="X13" s="4"/>
    </row>
    <row r="14" spans="1:24" x14ac:dyDescent="0.2">
      <c r="A14" s="32" t="s">
        <v>25</v>
      </c>
      <c r="B14" s="39" t="s">
        <v>216</v>
      </c>
      <c r="C14" s="39" t="s">
        <v>207</v>
      </c>
      <c r="D14" s="33"/>
      <c r="E14" s="33"/>
      <c r="F14" s="33">
        <v>932.85</v>
      </c>
      <c r="G14" s="33"/>
      <c r="H14" s="33"/>
      <c r="I14" s="33">
        <v>932.85</v>
      </c>
      <c r="J14" s="33"/>
      <c r="K14" s="33"/>
      <c r="L14" s="33">
        <v>932.85</v>
      </c>
      <c r="M14" s="33"/>
      <c r="N14" s="33"/>
      <c r="O14" s="33">
        <v>932.85</v>
      </c>
      <c r="P14" s="34"/>
      <c r="Q14" s="38" t="s">
        <v>41</v>
      </c>
      <c r="R14" s="33"/>
      <c r="S14" s="33"/>
      <c r="T14" s="35"/>
      <c r="U14" s="13"/>
      <c r="V14" s="4"/>
      <c r="W14" s="4"/>
      <c r="X14" s="4"/>
    </row>
    <row r="15" spans="1:24" x14ac:dyDescent="0.2">
      <c r="A15" s="26" t="s">
        <v>25</v>
      </c>
      <c r="B15" s="26" t="s">
        <v>217</v>
      </c>
      <c r="C15" s="26" t="s">
        <v>218</v>
      </c>
      <c r="D15" s="27"/>
      <c r="E15" s="27"/>
      <c r="F15" s="27">
        <v>1095.3399999999999</v>
      </c>
      <c r="G15" s="27"/>
      <c r="H15" s="27"/>
      <c r="I15" s="27">
        <v>1095.3399999999999</v>
      </c>
      <c r="J15" s="27"/>
      <c r="K15" s="27"/>
      <c r="L15" s="27">
        <v>1095.3399999999999</v>
      </c>
      <c r="M15" s="27"/>
      <c r="N15" s="27"/>
      <c r="O15" s="27">
        <v>1095.3399999999999</v>
      </c>
      <c r="P15" s="28"/>
      <c r="Q15" s="29" t="s">
        <v>41</v>
      </c>
      <c r="R15" s="27"/>
      <c r="S15" s="27"/>
      <c r="T15" s="36"/>
      <c r="U15" s="13"/>
      <c r="V15" s="4"/>
      <c r="W15" s="4"/>
      <c r="X15" s="4"/>
    </row>
    <row r="16" spans="1:24" x14ac:dyDescent="0.2">
      <c r="A16" s="26" t="s">
        <v>25</v>
      </c>
      <c r="B16" s="26" t="s">
        <v>219</v>
      </c>
      <c r="C16" s="26" t="s">
        <v>218</v>
      </c>
      <c r="D16" s="27"/>
      <c r="E16" s="27"/>
      <c r="F16" s="27">
        <v>1427.89</v>
      </c>
      <c r="G16" s="27"/>
      <c r="H16" s="27"/>
      <c r="I16" s="27">
        <v>1427.89</v>
      </c>
      <c r="J16" s="27"/>
      <c r="K16" s="27"/>
      <c r="L16" s="27">
        <v>1427.89</v>
      </c>
      <c r="M16" s="27"/>
      <c r="N16" s="27"/>
      <c r="O16" s="27">
        <v>1427.89</v>
      </c>
      <c r="P16" s="28"/>
      <c r="Q16" s="29" t="s">
        <v>41</v>
      </c>
      <c r="R16" s="27"/>
      <c r="S16" s="27"/>
      <c r="T16" s="36"/>
      <c r="U16" s="13"/>
      <c r="V16" s="4"/>
      <c r="W16" s="4"/>
      <c r="X16" s="4"/>
    </row>
    <row r="17" spans="1:24" x14ac:dyDescent="0.2">
      <c r="A17" s="26" t="s">
        <v>25</v>
      </c>
      <c r="B17" s="26" t="s">
        <v>220</v>
      </c>
      <c r="C17" s="26" t="s">
        <v>218</v>
      </c>
      <c r="D17" s="27"/>
      <c r="E17" s="27"/>
      <c r="F17" s="27">
        <v>541.72</v>
      </c>
      <c r="G17" s="27"/>
      <c r="H17" s="27"/>
      <c r="I17" s="27">
        <v>541.72</v>
      </c>
      <c r="J17" s="27"/>
      <c r="K17" s="27"/>
      <c r="L17" s="27">
        <v>541.72</v>
      </c>
      <c r="M17" s="27"/>
      <c r="N17" s="27"/>
      <c r="O17" s="27">
        <v>541.72</v>
      </c>
      <c r="P17" s="28"/>
      <c r="Q17" s="29" t="s">
        <v>41</v>
      </c>
      <c r="R17" s="27"/>
      <c r="S17" s="27"/>
      <c r="T17" s="36"/>
      <c r="U17" s="13"/>
      <c r="V17" s="4"/>
      <c r="W17" s="4"/>
      <c r="X17" s="4"/>
    </row>
    <row r="18" spans="1:24" x14ac:dyDescent="0.2">
      <c r="A18" s="26" t="s">
        <v>25</v>
      </c>
      <c r="B18" s="26" t="s">
        <v>221</v>
      </c>
      <c r="C18" s="26" t="s">
        <v>218</v>
      </c>
      <c r="D18" s="27"/>
      <c r="E18" s="27"/>
      <c r="F18" s="27">
        <v>4052.61</v>
      </c>
      <c r="G18" s="27"/>
      <c r="H18" s="27"/>
      <c r="I18" s="27">
        <v>4052.61</v>
      </c>
      <c r="J18" s="27"/>
      <c r="K18" s="27"/>
      <c r="L18" s="27">
        <v>4052.61</v>
      </c>
      <c r="M18" s="27"/>
      <c r="N18" s="27"/>
      <c r="O18" s="27">
        <v>4052.61</v>
      </c>
      <c r="P18" s="28"/>
      <c r="Q18" s="29" t="s">
        <v>41</v>
      </c>
      <c r="R18" s="27"/>
      <c r="S18" s="27"/>
      <c r="T18" s="36"/>
      <c r="U18" s="13"/>
      <c r="V18" s="4"/>
      <c r="W18" s="4"/>
      <c r="X18" s="4"/>
    </row>
    <row r="19" spans="1:24" x14ac:dyDescent="0.2">
      <c r="A19" s="26" t="s">
        <v>25</v>
      </c>
      <c r="B19" s="26" t="s">
        <v>222</v>
      </c>
      <c r="C19" s="26" t="s">
        <v>218</v>
      </c>
      <c r="D19" s="27"/>
      <c r="E19" s="27"/>
      <c r="F19" s="27">
        <v>898.83</v>
      </c>
      <c r="G19" s="27"/>
      <c r="H19" s="27"/>
      <c r="I19" s="27">
        <v>898.83</v>
      </c>
      <c r="J19" s="27"/>
      <c r="K19" s="27"/>
      <c r="L19" s="27">
        <v>898.83</v>
      </c>
      <c r="M19" s="27"/>
      <c r="N19" s="27"/>
      <c r="O19" s="27">
        <v>898.83</v>
      </c>
      <c r="P19" s="28"/>
      <c r="Q19" s="29" t="s">
        <v>41</v>
      </c>
      <c r="R19" s="27"/>
      <c r="S19" s="27"/>
      <c r="T19" s="36"/>
      <c r="U19" s="13"/>
      <c r="V19" s="4"/>
      <c r="W19" s="4"/>
      <c r="X19" s="4"/>
    </row>
    <row r="20" spans="1:24" x14ac:dyDescent="0.2">
      <c r="A20" s="26" t="s">
        <v>25</v>
      </c>
      <c r="B20" s="40" t="s">
        <v>223</v>
      </c>
      <c r="C20" s="40" t="s">
        <v>218</v>
      </c>
      <c r="D20" s="27"/>
      <c r="E20" s="27"/>
      <c r="F20" s="27">
        <v>1063.6500000000001</v>
      </c>
      <c r="G20" s="27"/>
      <c r="H20" s="27"/>
      <c r="I20" s="27">
        <v>1063.6500000000001</v>
      </c>
      <c r="J20" s="27"/>
      <c r="K20" s="27"/>
      <c r="L20" s="27">
        <v>1063.6500000000001</v>
      </c>
      <c r="M20" s="27"/>
      <c r="N20" s="27"/>
      <c r="O20" s="27">
        <v>1063.6500000000001</v>
      </c>
      <c r="P20" s="28"/>
      <c r="Q20" s="29" t="s">
        <v>41</v>
      </c>
      <c r="R20" s="27"/>
      <c r="S20" s="27"/>
      <c r="T20" s="36"/>
      <c r="U20" s="13"/>
      <c r="V20" s="4"/>
      <c r="W20" s="4"/>
      <c r="X20" s="4"/>
    </row>
    <row r="21" spans="1:24" x14ac:dyDescent="0.2">
      <c r="A21" s="26" t="s">
        <v>25</v>
      </c>
      <c r="B21" s="40" t="s">
        <v>224</v>
      </c>
      <c r="C21" s="40" t="s">
        <v>218</v>
      </c>
      <c r="D21" s="27"/>
      <c r="E21" s="27"/>
      <c r="F21" s="27">
        <v>1446.76</v>
      </c>
      <c r="G21" s="27"/>
      <c r="H21" s="27"/>
      <c r="I21" s="27">
        <v>1446.76</v>
      </c>
      <c r="J21" s="27"/>
      <c r="K21" s="27"/>
      <c r="L21" s="27">
        <v>1446.76</v>
      </c>
      <c r="M21" s="27"/>
      <c r="N21" s="27"/>
      <c r="O21" s="27">
        <v>1446.76</v>
      </c>
      <c r="P21" s="28"/>
      <c r="Q21" s="29" t="s">
        <v>41</v>
      </c>
      <c r="R21" s="27"/>
      <c r="S21" s="27"/>
      <c r="T21" s="36"/>
      <c r="U21" s="13"/>
      <c r="V21" s="4"/>
      <c r="W21" s="4"/>
      <c r="X21" s="4"/>
    </row>
    <row r="22" spans="1:24" x14ac:dyDescent="0.2">
      <c r="A22" s="26" t="s">
        <v>25</v>
      </c>
      <c r="B22" s="40" t="s">
        <v>225</v>
      </c>
      <c r="C22" s="40" t="s">
        <v>218</v>
      </c>
      <c r="D22" s="27"/>
      <c r="E22" s="27"/>
      <c r="F22" s="27">
        <v>541.89</v>
      </c>
      <c r="G22" s="27"/>
      <c r="H22" s="27"/>
      <c r="I22" s="27">
        <v>541.89</v>
      </c>
      <c r="J22" s="27"/>
      <c r="K22" s="27"/>
      <c r="L22" s="27">
        <v>541.89</v>
      </c>
      <c r="M22" s="27"/>
      <c r="N22" s="27"/>
      <c r="O22" s="27">
        <v>541.89</v>
      </c>
      <c r="P22" s="28"/>
      <c r="Q22" s="29" t="s">
        <v>41</v>
      </c>
      <c r="R22" s="27"/>
      <c r="S22" s="27"/>
      <c r="T22" s="36"/>
      <c r="U22" s="13"/>
      <c r="V22" s="4"/>
      <c r="W22" s="4"/>
      <c r="X22" s="4"/>
    </row>
    <row r="23" spans="1:24" x14ac:dyDescent="0.2">
      <c r="A23" s="26" t="s">
        <v>25</v>
      </c>
      <c r="B23" s="40" t="s">
        <v>226</v>
      </c>
      <c r="C23" s="40" t="s">
        <v>218</v>
      </c>
      <c r="D23" s="27"/>
      <c r="E23" s="27"/>
      <c r="F23" s="27">
        <v>4052.42</v>
      </c>
      <c r="G23" s="27"/>
      <c r="H23" s="27"/>
      <c r="I23" s="27">
        <v>4052.42</v>
      </c>
      <c r="J23" s="27"/>
      <c r="K23" s="27"/>
      <c r="L23" s="27">
        <v>4052.42</v>
      </c>
      <c r="M23" s="27"/>
      <c r="N23" s="27"/>
      <c r="O23" s="27">
        <v>4052.42</v>
      </c>
      <c r="P23" s="28"/>
      <c r="Q23" s="29" t="s">
        <v>41</v>
      </c>
      <c r="R23" s="27"/>
      <c r="S23" s="27"/>
      <c r="T23" s="36"/>
      <c r="U23" s="13"/>
      <c r="V23" s="4"/>
      <c r="W23" s="4"/>
      <c r="X23" s="4"/>
    </row>
    <row r="24" spans="1:24" x14ac:dyDescent="0.2">
      <c r="A24" s="26" t="s">
        <v>25</v>
      </c>
      <c r="B24" s="40" t="s">
        <v>227</v>
      </c>
      <c r="C24" s="40" t="s">
        <v>218</v>
      </c>
      <c r="D24" s="27"/>
      <c r="E24" s="27"/>
      <c r="F24" s="27">
        <v>894.29</v>
      </c>
      <c r="G24" s="27"/>
      <c r="H24" s="27"/>
      <c r="I24" s="27">
        <v>894.29</v>
      </c>
      <c r="J24" s="27"/>
      <c r="K24" s="27"/>
      <c r="L24" s="27">
        <v>894.29</v>
      </c>
      <c r="M24" s="27"/>
      <c r="N24" s="27"/>
      <c r="O24" s="27">
        <v>894.29</v>
      </c>
      <c r="P24" s="28"/>
      <c r="Q24" s="29" t="s">
        <v>41</v>
      </c>
      <c r="R24" s="27"/>
      <c r="S24" s="27"/>
      <c r="T24" s="36"/>
      <c r="U24" s="13"/>
      <c r="V24" s="4"/>
      <c r="W24" s="4"/>
      <c r="X24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 tint="0.79998168889431442"/>
  </sheetPr>
  <dimension ref="A2:X20"/>
  <sheetViews>
    <sheetView workbookViewId="0">
      <selection activeCell="C37" sqref="C37"/>
    </sheetView>
  </sheetViews>
  <sheetFormatPr baseColWidth="10" defaultColWidth="8.83203125" defaultRowHeight="15" x14ac:dyDescent="0.2"/>
  <cols>
    <col min="1" max="1" width="18" customWidth="1"/>
    <col min="2" max="2" width="17" customWidth="1"/>
    <col min="3" max="3" width="59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9" customWidth="1"/>
    <col min="17" max="17" width="10" style="37" customWidth="1"/>
    <col min="18" max="19" width="10" style="9" customWidth="1"/>
    <col min="20" max="20" width="10" style="14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SUM(E5:G20)</f>
        <v>1606.83</v>
      </c>
      <c r="G2" s="6"/>
      <c r="H2" s="6"/>
      <c r="I2" s="6">
        <f>SUM(H5:J20)</f>
        <v>1606.83</v>
      </c>
      <c r="J2" s="6"/>
      <c r="K2" s="6"/>
      <c r="L2" s="6">
        <f>SUM(K5:M20)</f>
        <v>1606.83</v>
      </c>
      <c r="M2" s="6"/>
      <c r="N2" s="6"/>
      <c r="O2" s="6">
        <f>SUM(N5:P20)</f>
        <v>1606.83</v>
      </c>
      <c r="P2" s="6"/>
    </row>
    <row r="3" spans="1:24" x14ac:dyDescent="0.2">
      <c r="A3" s="2"/>
      <c r="B3" s="2"/>
      <c r="C3" s="2"/>
      <c r="D3" s="2"/>
      <c r="E3" s="63" t="s">
        <v>32</v>
      </c>
      <c r="F3" s="63"/>
      <c r="G3" s="63"/>
      <c r="H3" s="63" t="s">
        <v>33</v>
      </c>
      <c r="I3" s="63"/>
      <c r="J3" s="63"/>
      <c r="K3" s="63" t="s">
        <v>34</v>
      </c>
      <c r="L3" s="63"/>
      <c r="M3" s="63"/>
      <c r="N3" s="63" t="s">
        <v>35</v>
      </c>
      <c r="O3" s="63"/>
      <c r="P3" s="63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8" t="s">
        <v>26</v>
      </c>
      <c r="B5" s="26" t="s">
        <v>228</v>
      </c>
      <c r="C5" s="26" t="s">
        <v>229</v>
      </c>
      <c r="D5" s="27"/>
      <c r="E5" s="27"/>
      <c r="F5" s="27">
        <v>107.26</v>
      </c>
      <c r="G5" s="27"/>
      <c r="H5" s="27"/>
      <c r="I5" s="27">
        <v>107.26</v>
      </c>
      <c r="J5" s="27"/>
      <c r="K5" s="27"/>
      <c r="L5" s="27">
        <v>107.26</v>
      </c>
      <c r="M5" s="27"/>
      <c r="N5" s="27"/>
      <c r="O5" s="27">
        <v>107.26</v>
      </c>
      <c r="P5" s="28"/>
      <c r="Q5" s="29" t="s">
        <v>278</v>
      </c>
      <c r="R5" s="4"/>
      <c r="S5" s="4"/>
      <c r="T5" s="16"/>
      <c r="U5" s="13"/>
      <c r="V5" s="4"/>
      <c r="W5" s="4"/>
      <c r="X5" s="4"/>
    </row>
    <row r="6" spans="1:24" x14ac:dyDescent="0.2">
      <c r="A6" s="8" t="s">
        <v>26</v>
      </c>
      <c r="B6" s="26" t="s">
        <v>230</v>
      </c>
      <c r="C6" s="26" t="s">
        <v>231</v>
      </c>
      <c r="D6" s="27"/>
      <c r="E6" s="27"/>
      <c r="F6" s="27">
        <v>98.7</v>
      </c>
      <c r="G6" s="27"/>
      <c r="H6" s="27"/>
      <c r="I6" s="27">
        <v>98.7</v>
      </c>
      <c r="J6" s="27"/>
      <c r="K6" s="27"/>
      <c r="L6" s="27">
        <v>98.7</v>
      </c>
      <c r="M6" s="27"/>
      <c r="N6" s="27"/>
      <c r="O6" s="27">
        <v>98.7</v>
      </c>
      <c r="P6" s="28"/>
      <c r="Q6" s="29" t="s">
        <v>278</v>
      </c>
      <c r="R6" s="4"/>
      <c r="S6" s="4"/>
      <c r="T6" s="16"/>
      <c r="U6" s="13"/>
      <c r="V6" s="4"/>
      <c r="W6" s="4"/>
      <c r="X6" s="4"/>
    </row>
    <row r="7" spans="1:24" x14ac:dyDescent="0.2">
      <c r="A7" s="8" t="s">
        <v>26</v>
      </c>
      <c r="B7" s="40" t="s">
        <v>232</v>
      </c>
      <c r="C7" s="40" t="s">
        <v>229</v>
      </c>
      <c r="D7" s="49"/>
      <c r="E7" s="49"/>
      <c r="F7" s="49">
        <v>79.77</v>
      </c>
      <c r="G7" s="49"/>
      <c r="H7" s="49"/>
      <c r="I7" s="49">
        <v>79.77</v>
      </c>
      <c r="J7" s="49"/>
      <c r="K7" s="49"/>
      <c r="L7" s="49">
        <v>79.77</v>
      </c>
      <c r="M7" s="49"/>
      <c r="N7" s="49"/>
      <c r="O7" s="49">
        <v>79.77</v>
      </c>
      <c r="P7" s="50"/>
      <c r="Q7" s="51" t="s">
        <v>278</v>
      </c>
      <c r="R7" s="4"/>
      <c r="S7" s="4"/>
      <c r="T7" s="16"/>
      <c r="U7" s="13"/>
      <c r="V7" s="4"/>
      <c r="W7" s="4"/>
      <c r="X7" s="4"/>
    </row>
    <row r="8" spans="1:24" x14ac:dyDescent="0.2">
      <c r="A8" s="8" t="s">
        <v>26</v>
      </c>
      <c r="B8" s="40" t="s">
        <v>233</v>
      </c>
      <c r="C8" s="40" t="s">
        <v>231</v>
      </c>
      <c r="D8" s="49"/>
      <c r="E8" s="49"/>
      <c r="F8" s="49">
        <v>91.72</v>
      </c>
      <c r="G8" s="49"/>
      <c r="H8" s="49"/>
      <c r="I8" s="49">
        <v>91.72</v>
      </c>
      <c r="J8" s="49"/>
      <c r="K8" s="49"/>
      <c r="L8" s="49">
        <v>91.72</v>
      </c>
      <c r="M8" s="49"/>
      <c r="N8" s="49"/>
      <c r="O8" s="49">
        <v>91.72</v>
      </c>
      <c r="P8" s="50"/>
      <c r="Q8" s="51" t="s">
        <v>278</v>
      </c>
      <c r="R8" s="4"/>
      <c r="S8" s="4"/>
      <c r="T8" s="16"/>
      <c r="U8" s="13"/>
      <c r="V8" s="4"/>
      <c r="W8" s="4"/>
      <c r="X8" s="4"/>
    </row>
    <row r="9" spans="1:24" x14ac:dyDescent="0.2">
      <c r="A9" s="8" t="s">
        <v>26</v>
      </c>
      <c r="B9" s="8" t="s">
        <v>234</v>
      </c>
      <c r="C9" s="8" t="s">
        <v>229</v>
      </c>
      <c r="D9" s="4"/>
      <c r="E9" s="4"/>
      <c r="F9" s="4">
        <v>79.41</v>
      </c>
      <c r="G9" s="4"/>
      <c r="H9" s="4"/>
      <c r="I9" s="4">
        <v>79.41</v>
      </c>
      <c r="J9" s="4"/>
      <c r="K9" s="4"/>
      <c r="L9" s="4">
        <v>79.41</v>
      </c>
      <c r="M9" s="4"/>
      <c r="N9" s="4"/>
      <c r="O9" s="4">
        <v>79.41</v>
      </c>
      <c r="P9" s="11"/>
      <c r="Q9" s="24" t="s">
        <v>278</v>
      </c>
      <c r="R9" s="4"/>
      <c r="S9" s="4"/>
      <c r="T9" s="16"/>
      <c r="U9" s="13"/>
      <c r="V9" s="4"/>
      <c r="W9" s="4"/>
      <c r="X9" s="4"/>
    </row>
    <row r="10" spans="1:24" x14ac:dyDescent="0.2">
      <c r="A10" s="8" t="s">
        <v>26</v>
      </c>
      <c r="B10" s="8" t="s">
        <v>235</v>
      </c>
      <c r="C10" s="8" t="s">
        <v>236</v>
      </c>
      <c r="D10" s="4"/>
      <c r="E10" s="4"/>
      <c r="F10" s="4">
        <v>175.03</v>
      </c>
      <c r="G10" s="4"/>
      <c r="H10" s="4"/>
      <c r="I10" s="4">
        <v>175.03</v>
      </c>
      <c r="J10" s="4"/>
      <c r="K10" s="4"/>
      <c r="L10" s="4">
        <v>175.03</v>
      </c>
      <c r="M10" s="4"/>
      <c r="N10" s="4"/>
      <c r="O10" s="4">
        <v>175.03</v>
      </c>
      <c r="P10" s="11"/>
      <c r="Q10" s="24" t="s">
        <v>278</v>
      </c>
      <c r="R10" s="4"/>
      <c r="S10" s="4"/>
      <c r="T10" s="16"/>
      <c r="U10" s="13"/>
      <c r="V10" s="4"/>
      <c r="W10" s="4"/>
      <c r="X10" s="4"/>
    </row>
    <row r="11" spans="1:24" x14ac:dyDescent="0.2">
      <c r="A11" s="8" t="s">
        <v>26</v>
      </c>
      <c r="B11" s="8" t="s">
        <v>237</v>
      </c>
      <c r="C11" s="8" t="s">
        <v>229</v>
      </c>
      <c r="D11" s="4"/>
      <c r="E11" s="4"/>
      <c r="F11" s="4">
        <v>80.040000000000006</v>
      </c>
      <c r="G11" s="4"/>
      <c r="H11" s="4"/>
      <c r="I11" s="4">
        <v>80.040000000000006</v>
      </c>
      <c r="J11" s="4"/>
      <c r="K11" s="4"/>
      <c r="L11" s="4">
        <v>80.040000000000006</v>
      </c>
      <c r="M11" s="4"/>
      <c r="N11" s="4"/>
      <c r="O11" s="4">
        <v>80.040000000000006</v>
      </c>
      <c r="P11" s="11"/>
      <c r="Q11" s="24" t="s">
        <v>278</v>
      </c>
      <c r="R11" s="4"/>
      <c r="S11" s="4"/>
      <c r="T11" s="16"/>
      <c r="U11" s="13"/>
      <c r="V11" s="4"/>
      <c r="W11" s="4"/>
      <c r="X11" s="4"/>
    </row>
    <row r="12" spans="1:24" x14ac:dyDescent="0.2">
      <c r="A12" s="8" t="s">
        <v>26</v>
      </c>
      <c r="B12" s="8" t="s">
        <v>238</v>
      </c>
      <c r="C12" s="8" t="s">
        <v>239</v>
      </c>
      <c r="D12" s="4"/>
      <c r="E12" s="4"/>
      <c r="F12" s="4">
        <v>90.86</v>
      </c>
      <c r="G12" s="4"/>
      <c r="H12" s="4"/>
      <c r="I12" s="4">
        <v>90.86</v>
      </c>
      <c r="J12" s="4"/>
      <c r="K12" s="4"/>
      <c r="L12" s="4">
        <v>90.86</v>
      </c>
      <c r="M12" s="4"/>
      <c r="N12" s="4"/>
      <c r="O12" s="4">
        <v>90.86</v>
      </c>
      <c r="P12" s="11"/>
      <c r="Q12" s="24" t="s">
        <v>278</v>
      </c>
      <c r="R12" s="4"/>
      <c r="S12" s="4"/>
      <c r="T12" s="16"/>
      <c r="U12" s="13"/>
      <c r="V12" s="4"/>
      <c r="W12" s="4"/>
      <c r="X12" s="4"/>
    </row>
    <row r="13" spans="1:24" x14ac:dyDescent="0.2">
      <c r="A13" s="8" t="s">
        <v>26</v>
      </c>
      <c r="B13" s="41" t="s">
        <v>240</v>
      </c>
      <c r="C13" s="41" t="s">
        <v>241</v>
      </c>
      <c r="D13" s="42"/>
      <c r="E13" s="42"/>
      <c r="F13" s="42">
        <v>81.459999999999994</v>
      </c>
      <c r="G13" s="42"/>
      <c r="H13" s="42"/>
      <c r="I13" s="42">
        <v>81.459999999999994</v>
      </c>
      <c r="J13" s="42"/>
      <c r="K13" s="42"/>
      <c r="L13" s="42">
        <v>81.459999999999994</v>
      </c>
      <c r="M13" s="42"/>
      <c r="N13" s="42"/>
      <c r="O13" s="42">
        <v>81.459999999999994</v>
      </c>
      <c r="P13" s="43"/>
      <c r="Q13" s="44" t="s">
        <v>278</v>
      </c>
      <c r="R13" s="4"/>
      <c r="S13" s="4"/>
      <c r="T13" s="16"/>
      <c r="U13" s="13"/>
      <c r="V13" s="4"/>
      <c r="W13" s="4"/>
      <c r="X13" s="4"/>
    </row>
    <row r="14" spans="1:24" x14ac:dyDescent="0.2">
      <c r="A14" s="8" t="s">
        <v>26</v>
      </c>
      <c r="B14" s="41" t="s">
        <v>242</v>
      </c>
      <c r="C14" s="41" t="s">
        <v>243</v>
      </c>
      <c r="D14" s="42"/>
      <c r="E14" s="42"/>
      <c r="F14" s="42">
        <v>110.81</v>
      </c>
      <c r="G14" s="42"/>
      <c r="H14" s="42"/>
      <c r="I14" s="42">
        <v>110.81</v>
      </c>
      <c r="J14" s="42"/>
      <c r="K14" s="42"/>
      <c r="L14" s="42">
        <v>110.81</v>
      </c>
      <c r="M14" s="42"/>
      <c r="N14" s="42"/>
      <c r="O14" s="42">
        <v>110.81</v>
      </c>
      <c r="P14" s="43"/>
      <c r="Q14" s="44" t="s">
        <v>278</v>
      </c>
      <c r="R14" s="4"/>
      <c r="S14" s="4"/>
      <c r="T14" s="16"/>
      <c r="U14" s="13"/>
      <c r="V14" s="4"/>
      <c r="W14" s="4"/>
      <c r="X14" s="4"/>
    </row>
    <row r="15" spans="1:24" x14ac:dyDescent="0.2">
      <c r="A15" s="8" t="s">
        <v>26</v>
      </c>
      <c r="B15" s="45" t="s">
        <v>244</v>
      </c>
      <c r="C15" s="45" t="s">
        <v>241</v>
      </c>
      <c r="D15" s="46"/>
      <c r="E15" s="46"/>
      <c r="F15" s="46">
        <v>105.7</v>
      </c>
      <c r="G15" s="46"/>
      <c r="H15" s="46"/>
      <c r="I15" s="46">
        <v>105.7</v>
      </c>
      <c r="J15" s="46"/>
      <c r="K15" s="46"/>
      <c r="L15" s="46">
        <v>105.7</v>
      </c>
      <c r="M15" s="46"/>
      <c r="N15" s="46"/>
      <c r="O15" s="46">
        <v>105.7</v>
      </c>
      <c r="P15" s="47"/>
      <c r="Q15" s="48" t="s">
        <v>278</v>
      </c>
      <c r="R15" s="4"/>
      <c r="S15" s="4"/>
      <c r="T15" s="16"/>
      <c r="U15" s="13"/>
      <c r="V15" s="4"/>
      <c r="W15" s="4"/>
      <c r="X15" s="4"/>
    </row>
    <row r="16" spans="1:24" x14ac:dyDescent="0.2">
      <c r="A16" s="8" t="s">
        <v>26</v>
      </c>
      <c r="B16" s="45" t="s">
        <v>245</v>
      </c>
      <c r="C16" s="45" t="s">
        <v>243</v>
      </c>
      <c r="D16" s="46"/>
      <c r="E16" s="46"/>
      <c r="F16" s="46">
        <v>107.71</v>
      </c>
      <c r="G16" s="46"/>
      <c r="H16" s="46"/>
      <c r="I16" s="46">
        <v>107.71</v>
      </c>
      <c r="J16" s="46"/>
      <c r="K16" s="46"/>
      <c r="L16" s="46">
        <v>107.71</v>
      </c>
      <c r="M16" s="46"/>
      <c r="N16" s="46"/>
      <c r="O16" s="46">
        <v>107.71</v>
      </c>
      <c r="P16" s="47"/>
      <c r="Q16" s="48" t="s">
        <v>278</v>
      </c>
      <c r="R16" s="4"/>
      <c r="S16" s="4"/>
      <c r="T16" s="16"/>
      <c r="U16" s="13"/>
      <c r="V16" s="4"/>
      <c r="W16" s="4"/>
      <c r="X16" s="4"/>
    </row>
    <row r="17" spans="1:24" x14ac:dyDescent="0.2">
      <c r="A17" s="8" t="s">
        <v>26</v>
      </c>
      <c r="B17" s="8" t="s">
        <v>246</v>
      </c>
      <c r="C17" s="8" t="s">
        <v>241</v>
      </c>
      <c r="D17" s="4"/>
      <c r="E17" s="4"/>
      <c r="F17" s="4">
        <v>79.64</v>
      </c>
      <c r="G17" s="4"/>
      <c r="H17" s="4"/>
      <c r="I17" s="4">
        <v>79.64</v>
      </c>
      <c r="J17" s="4"/>
      <c r="K17" s="4"/>
      <c r="L17" s="4">
        <v>79.64</v>
      </c>
      <c r="M17" s="4"/>
      <c r="N17" s="4"/>
      <c r="O17" s="4">
        <v>79.64</v>
      </c>
      <c r="P17" s="11"/>
      <c r="Q17" s="24" t="s">
        <v>278</v>
      </c>
      <c r="R17" s="4"/>
      <c r="S17" s="4"/>
      <c r="T17" s="16"/>
      <c r="U17" s="13"/>
      <c r="V17" s="4"/>
      <c r="W17" s="4"/>
      <c r="X17" s="4"/>
    </row>
    <row r="18" spans="1:24" x14ac:dyDescent="0.2">
      <c r="A18" s="8" t="s">
        <v>26</v>
      </c>
      <c r="B18" s="8" t="s">
        <v>247</v>
      </c>
      <c r="C18" s="8" t="s">
        <v>248</v>
      </c>
      <c r="D18" s="4"/>
      <c r="E18" s="4"/>
      <c r="F18" s="4">
        <v>105.87</v>
      </c>
      <c r="G18" s="4"/>
      <c r="H18" s="4"/>
      <c r="I18" s="4">
        <v>105.87</v>
      </c>
      <c r="J18" s="4"/>
      <c r="K18" s="4"/>
      <c r="L18" s="4">
        <v>105.87</v>
      </c>
      <c r="M18" s="4"/>
      <c r="N18" s="4"/>
      <c r="O18" s="4">
        <v>105.87</v>
      </c>
      <c r="P18" s="11"/>
      <c r="Q18" s="24" t="s">
        <v>278</v>
      </c>
      <c r="R18" s="4"/>
      <c r="S18" s="4"/>
      <c r="T18" s="16"/>
      <c r="U18" s="13"/>
      <c r="V18" s="4"/>
      <c r="W18" s="4"/>
      <c r="X18" s="4"/>
    </row>
    <row r="19" spans="1:24" x14ac:dyDescent="0.2">
      <c r="A19" s="8" t="s">
        <v>26</v>
      </c>
      <c r="B19" s="8" t="s">
        <v>249</v>
      </c>
      <c r="C19" s="8" t="s">
        <v>241</v>
      </c>
      <c r="D19" s="4"/>
      <c r="E19" s="4"/>
      <c r="F19" s="4">
        <v>108.61</v>
      </c>
      <c r="G19" s="4"/>
      <c r="H19" s="4"/>
      <c r="I19" s="4">
        <v>108.61</v>
      </c>
      <c r="J19" s="4"/>
      <c r="K19" s="4"/>
      <c r="L19" s="4">
        <v>108.61</v>
      </c>
      <c r="M19" s="4"/>
      <c r="N19" s="4"/>
      <c r="O19" s="4">
        <v>108.61</v>
      </c>
      <c r="P19" s="11"/>
      <c r="Q19" s="24" t="s">
        <v>278</v>
      </c>
      <c r="R19" s="4"/>
      <c r="S19" s="4"/>
      <c r="T19" s="16"/>
      <c r="U19" s="13"/>
      <c r="V19" s="4"/>
      <c r="W19" s="4"/>
      <c r="X19" s="4"/>
    </row>
    <row r="20" spans="1:24" x14ac:dyDescent="0.2">
      <c r="A20" s="8" t="s">
        <v>26</v>
      </c>
      <c r="B20" s="8" t="s">
        <v>250</v>
      </c>
      <c r="C20" s="8" t="s">
        <v>251</v>
      </c>
      <c r="D20" s="4"/>
      <c r="E20" s="4"/>
      <c r="F20" s="4">
        <v>104.24</v>
      </c>
      <c r="G20" s="4"/>
      <c r="H20" s="4"/>
      <c r="I20" s="4">
        <v>104.24</v>
      </c>
      <c r="J20" s="4"/>
      <c r="K20" s="4"/>
      <c r="L20" s="4">
        <v>104.24</v>
      </c>
      <c r="M20" s="4"/>
      <c r="N20" s="4"/>
      <c r="O20" s="4">
        <v>104.24</v>
      </c>
      <c r="P20" s="11"/>
      <c r="Q20" s="24" t="s">
        <v>278</v>
      </c>
      <c r="R20" s="4"/>
      <c r="S20" s="4"/>
      <c r="T20" s="16"/>
      <c r="U20" s="13"/>
      <c r="V20" s="4"/>
      <c r="W20" s="4"/>
      <c r="X20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79998168889431442"/>
  </sheetPr>
  <dimension ref="A2:X18"/>
  <sheetViews>
    <sheetView workbookViewId="0">
      <selection activeCell="D41" sqref="D41"/>
    </sheetView>
  </sheetViews>
  <sheetFormatPr baseColWidth="10" defaultColWidth="8.83203125" defaultRowHeight="15" x14ac:dyDescent="0.2"/>
  <cols>
    <col min="1" max="2" width="18" customWidth="1"/>
    <col min="3" max="3" width="60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5" width="8" customWidth="1"/>
    <col min="16" max="16" width="8" style="9" customWidth="1"/>
    <col min="17" max="17" width="10" style="37" customWidth="1"/>
    <col min="18" max="19" width="10" style="9" customWidth="1"/>
    <col min="20" max="20" width="10" style="14" customWidth="1"/>
    <col min="21" max="21" width="8" style="9" customWidth="1"/>
    <col min="22" max="22" width="8" customWidth="1"/>
    <col min="23" max="23" width="10" customWidth="1"/>
    <col min="24" max="24" width="9" customWidth="1"/>
  </cols>
  <sheetData>
    <row r="2" spans="1:24" ht="21" x14ac:dyDescent="0.2">
      <c r="A2" s="1" t="s">
        <v>30</v>
      </c>
      <c r="B2" s="6"/>
      <c r="C2" s="6"/>
      <c r="D2" s="6" t="s">
        <v>31</v>
      </c>
      <c r="E2" s="6"/>
      <c r="F2" s="6">
        <f>SUM(E5:G18)</f>
        <v>5832.3</v>
      </c>
      <c r="G2" s="6"/>
      <c r="H2" s="6"/>
      <c r="I2" s="6">
        <f>SUM(H5:J18)</f>
        <v>5832.3</v>
      </c>
      <c r="J2" s="6"/>
      <c r="K2" s="6"/>
      <c r="L2" s="6">
        <f>SUM(K5:M18)</f>
        <v>5832.3</v>
      </c>
      <c r="M2" s="6"/>
      <c r="N2" s="6"/>
      <c r="O2" s="6">
        <f>SUM(N5:P18)</f>
        <v>5832.3</v>
      </c>
      <c r="P2" s="6"/>
    </row>
    <row r="3" spans="1:24" x14ac:dyDescent="0.2">
      <c r="A3" s="2"/>
      <c r="B3" s="2"/>
      <c r="C3" s="2"/>
      <c r="D3" s="2"/>
      <c r="E3" s="63" t="s">
        <v>32</v>
      </c>
      <c r="F3" s="63"/>
      <c r="G3" s="63"/>
      <c r="H3" s="63" t="s">
        <v>33</v>
      </c>
      <c r="I3" s="63"/>
      <c r="J3" s="63"/>
      <c r="K3" s="63" t="s">
        <v>34</v>
      </c>
      <c r="L3" s="63"/>
      <c r="M3" s="63"/>
      <c r="N3" s="63" t="s">
        <v>35</v>
      </c>
      <c r="O3" s="63"/>
      <c r="P3" s="63"/>
      <c r="Q3" s="23"/>
      <c r="R3" s="2"/>
      <c r="S3" s="2"/>
      <c r="T3" s="15"/>
      <c r="U3" s="12"/>
      <c r="V3" s="2"/>
      <c r="W3" s="2"/>
      <c r="X3" s="2"/>
    </row>
    <row r="4" spans="1:24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40</v>
      </c>
      <c r="I4" s="2" t="s">
        <v>41</v>
      </c>
      <c r="J4" s="2" t="s">
        <v>42</v>
      </c>
      <c r="K4" s="2" t="s">
        <v>40</v>
      </c>
      <c r="L4" s="2" t="s">
        <v>41</v>
      </c>
      <c r="M4" s="2" t="s">
        <v>42</v>
      </c>
      <c r="N4" s="2" t="s">
        <v>40</v>
      </c>
      <c r="O4" s="2" t="s">
        <v>41</v>
      </c>
      <c r="P4" s="10" t="s">
        <v>42</v>
      </c>
      <c r="Q4" s="23" t="s">
        <v>43</v>
      </c>
      <c r="R4" s="2" t="s">
        <v>44</v>
      </c>
      <c r="S4" s="2" t="s">
        <v>45</v>
      </c>
      <c r="T4" s="15" t="s">
        <v>46</v>
      </c>
      <c r="U4" s="12" t="s">
        <v>47</v>
      </c>
      <c r="V4" s="2" t="s">
        <v>48</v>
      </c>
      <c r="W4" s="2" t="s">
        <v>49</v>
      </c>
      <c r="X4" s="2" t="s">
        <v>50</v>
      </c>
    </row>
    <row r="5" spans="1:24" x14ac:dyDescent="0.2">
      <c r="A5" s="26" t="s">
        <v>27</v>
      </c>
      <c r="B5" s="26" t="s">
        <v>252</v>
      </c>
      <c r="C5" s="26" t="s">
        <v>253</v>
      </c>
      <c r="D5" s="27"/>
      <c r="E5" s="27">
        <v>126.19</v>
      </c>
      <c r="F5" s="27">
        <v>132.47</v>
      </c>
      <c r="G5" s="27">
        <v>125.26</v>
      </c>
      <c r="H5" s="27">
        <v>126.19</v>
      </c>
      <c r="I5" s="27">
        <v>132.47</v>
      </c>
      <c r="J5" s="27">
        <v>125.26</v>
      </c>
      <c r="K5" s="27">
        <v>126.19</v>
      </c>
      <c r="L5" s="27">
        <v>132.47</v>
      </c>
      <c r="M5" s="27">
        <v>125.26</v>
      </c>
      <c r="N5" s="27">
        <v>126.19</v>
      </c>
      <c r="O5" s="27">
        <v>132.47</v>
      </c>
      <c r="P5" s="28">
        <v>125.26</v>
      </c>
      <c r="Q5" s="29" t="s">
        <v>41</v>
      </c>
      <c r="R5" s="27"/>
      <c r="S5" s="27"/>
      <c r="T5" s="36"/>
      <c r="U5" s="13"/>
      <c r="V5" s="4"/>
      <c r="W5" s="4"/>
      <c r="X5" s="4"/>
    </row>
    <row r="6" spans="1:24" x14ac:dyDescent="0.2">
      <c r="A6" s="26" t="s">
        <v>27</v>
      </c>
      <c r="B6" s="26" t="s">
        <v>254</v>
      </c>
      <c r="C6" s="26" t="s">
        <v>255</v>
      </c>
      <c r="D6" s="27"/>
      <c r="E6" s="27">
        <v>126.11</v>
      </c>
      <c r="F6" s="27">
        <v>128.11000000000001</v>
      </c>
      <c r="G6" s="27">
        <v>124.96</v>
      </c>
      <c r="H6" s="27">
        <v>126.11</v>
      </c>
      <c r="I6" s="27">
        <v>128.11000000000001</v>
      </c>
      <c r="J6" s="27">
        <v>124.96</v>
      </c>
      <c r="K6" s="27">
        <v>126.11</v>
      </c>
      <c r="L6" s="27">
        <v>128.11000000000001</v>
      </c>
      <c r="M6" s="27">
        <v>124.96</v>
      </c>
      <c r="N6" s="27">
        <v>126.11</v>
      </c>
      <c r="O6" s="27">
        <v>128.11000000000001</v>
      </c>
      <c r="P6" s="28">
        <v>124.96</v>
      </c>
      <c r="Q6" s="29" t="s">
        <v>41</v>
      </c>
      <c r="R6" s="27"/>
      <c r="S6" s="27"/>
      <c r="T6" s="36"/>
      <c r="U6" s="13"/>
      <c r="V6" s="4"/>
      <c r="W6" s="4"/>
      <c r="X6" s="4"/>
    </row>
    <row r="7" spans="1:24" x14ac:dyDescent="0.2">
      <c r="A7" s="26" t="s">
        <v>27</v>
      </c>
      <c r="B7" s="26" t="s">
        <v>256</v>
      </c>
      <c r="C7" s="26" t="s">
        <v>257</v>
      </c>
      <c r="D7" s="27"/>
      <c r="E7" s="27">
        <v>152.56</v>
      </c>
      <c r="F7" s="27">
        <v>153.63999999999999</v>
      </c>
      <c r="G7" s="27">
        <v>151.1</v>
      </c>
      <c r="H7" s="27">
        <v>152.56</v>
      </c>
      <c r="I7" s="27">
        <v>153.63999999999999</v>
      </c>
      <c r="J7" s="27">
        <v>151.1</v>
      </c>
      <c r="K7" s="27">
        <v>152.56</v>
      </c>
      <c r="L7" s="27">
        <v>153.63999999999999</v>
      </c>
      <c r="M7" s="27">
        <v>151.1</v>
      </c>
      <c r="N7" s="27">
        <v>152.56</v>
      </c>
      <c r="O7" s="27">
        <v>153.63999999999999</v>
      </c>
      <c r="P7" s="28">
        <v>151.1</v>
      </c>
      <c r="Q7" s="29" t="s">
        <v>41</v>
      </c>
      <c r="R7" s="27"/>
      <c r="S7" s="27"/>
      <c r="T7" s="36"/>
      <c r="U7" s="13"/>
      <c r="V7" s="4"/>
      <c r="W7" s="4"/>
      <c r="X7" s="4"/>
    </row>
    <row r="8" spans="1:24" x14ac:dyDescent="0.2">
      <c r="A8" s="26" t="s">
        <v>27</v>
      </c>
      <c r="B8" s="26" t="s">
        <v>258</v>
      </c>
      <c r="C8" s="26" t="s">
        <v>259</v>
      </c>
      <c r="D8" s="27"/>
      <c r="E8" s="27">
        <v>125.81</v>
      </c>
      <c r="F8" s="27">
        <v>126.6</v>
      </c>
      <c r="G8" s="27">
        <v>123.03</v>
      </c>
      <c r="H8" s="27">
        <v>125.81</v>
      </c>
      <c r="I8" s="27">
        <v>126.6</v>
      </c>
      <c r="J8" s="27">
        <v>123.03</v>
      </c>
      <c r="K8" s="27">
        <v>125.81</v>
      </c>
      <c r="L8" s="27">
        <v>126.6</v>
      </c>
      <c r="M8" s="27">
        <v>123.03</v>
      </c>
      <c r="N8" s="27">
        <v>125.81</v>
      </c>
      <c r="O8" s="27">
        <v>126.6</v>
      </c>
      <c r="P8" s="28">
        <v>123.03</v>
      </c>
      <c r="Q8" s="29" t="s">
        <v>41</v>
      </c>
      <c r="R8" s="27"/>
      <c r="S8" s="27"/>
      <c r="T8" s="36"/>
      <c r="U8" s="13"/>
      <c r="V8" s="4"/>
      <c r="W8" s="4"/>
      <c r="X8" s="4"/>
    </row>
    <row r="9" spans="1:24" x14ac:dyDescent="0.2">
      <c r="A9" s="26" t="s">
        <v>27</v>
      </c>
      <c r="B9" s="26" t="s">
        <v>260</v>
      </c>
      <c r="C9" s="26" t="s">
        <v>253</v>
      </c>
      <c r="D9" s="27"/>
      <c r="E9" s="27">
        <v>126.97</v>
      </c>
      <c r="F9" s="27">
        <v>126.61</v>
      </c>
      <c r="G9" s="27">
        <v>124.26</v>
      </c>
      <c r="H9" s="27">
        <v>126.97</v>
      </c>
      <c r="I9" s="27">
        <v>126.61</v>
      </c>
      <c r="J9" s="27">
        <v>124.26</v>
      </c>
      <c r="K9" s="27">
        <v>126.97</v>
      </c>
      <c r="L9" s="27">
        <v>126.61</v>
      </c>
      <c r="M9" s="27">
        <v>124.26</v>
      </c>
      <c r="N9" s="27">
        <v>126.97</v>
      </c>
      <c r="O9" s="27">
        <v>126.61</v>
      </c>
      <c r="P9" s="28">
        <v>124.26</v>
      </c>
      <c r="Q9" s="29" t="s">
        <v>41</v>
      </c>
      <c r="R9" s="27"/>
      <c r="S9" s="27"/>
      <c r="T9" s="36"/>
      <c r="U9" s="13"/>
      <c r="V9" s="4"/>
      <c r="W9" s="4"/>
      <c r="X9" s="4"/>
    </row>
    <row r="10" spans="1:24" x14ac:dyDescent="0.2">
      <c r="A10" s="26" t="s">
        <v>27</v>
      </c>
      <c r="B10" s="26" t="s">
        <v>261</v>
      </c>
      <c r="C10" s="26" t="s">
        <v>255</v>
      </c>
      <c r="D10" s="27"/>
      <c r="E10" s="27">
        <v>126.11</v>
      </c>
      <c r="F10" s="27">
        <v>126.26</v>
      </c>
      <c r="G10" s="27">
        <v>124.16</v>
      </c>
      <c r="H10" s="27">
        <v>126.11</v>
      </c>
      <c r="I10" s="27">
        <v>126.26</v>
      </c>
      <c r="J10" s="27">
        <v>124.16</v>
      </c>
      <c r="K10" s="27">
        <v>126.11</v>
      </c>
      <c r="L10" s="27">
        <v>126.26</v>
      </c>
      <c r="M10" s="27">
        <v>124.16</v>
      </c>
      <c r="N10" s="27">
        <v>126.11</v>
      </c>
      <c r="O10" s="27">
        <v>126.26</v>
      </c>
      <c r="P10" s="28">
        <v>124.16</v>
      </c>
      <c r="Q10" s="29" t="s">
        <v>41</v>
      </c>
      <c r="R10" s="27"/>
      <c r="S10" s="27"/>
      <c r="T10" s="36"/>
      <c r="U10" s="13"/>
      <c r="V10" s="4"/>
      <c r="W10" s="4"/>
      <c r="X10" s="4"/>
    </row>
    <row r="11" spans="1:24" x14ac:dyDescent="0.2">
      <c r="A11" s="32" t="s">
        <v>27</v>
      </c>
      <c r="B11" s="32" t="s">
        <v>262</v>
      </c>
      <c r="C11" s="32" t="s">
        <v>263</v>
      </c>
      <c r="D11" s="33"/>
      <c r="E11" s="33">
        <v>160.47</v>
      </c>
      <c r="F11" s="33">
        <v>162.53</v>
      </c>
      <c r="G11" s="33">
        <v>159.29</v>
      </c>
      <c r="H11" s="33">
        <v>160.47</v>
      </c>
      <c r="I11" s="33">
        <v>162.53</v>
      </c>
      <c r="J11" s="33">
        <v>159.29</v>
      </c>
      <c r="K11" s="33">
        <v>160.47</v>
      </c>
      <c r="L11" s="33">
        <v>162.53</v>
      </c>
      <c r="M11" s="33">
        <v>159.29</v>
      </c>
      <c r="N11" s="33">
        <v>160.47</v>
      </c>
      <c r="O11" s="33">
        <v>162.53</v>
      </c>
      <c r="P11" s="34">
        <v>159.29</v>
      </c>
      <c r="Q11" s="38" t="s">
        <v>41</v>
      </c>
      <c r="R11" s="33"/>
      <c r="S11" s="33"/>
      <c r="T11" s="35"/>
      <c r="U11" s="13"/>
      <c r="V11" s="4"/>
      <c r="W11" s="4"/>
      <c r="X11" s="4"/>
    </row>
    <row r="12" spans="1:24" x14ac:dyDescent="0.2">
      <c r="A12" s="32" t="s">
        <v>27</v>
      </c>
      <c r="B12" s="32" t="s">
        <v>264</v>
      </c>
      <c r="C12" s="32" t="s">
        <v>265</v>
      </c>
      <c r="D12" s="33"/>
      <c r="E12" s="33">
        <v>132.5</v>
      </c>
      <c r="F12" s="33">
        <v>135.01</v>
      </c>
      <c r="G12" s="33">
        <v>130.94</v>
      </c>
      <c r="H12" s="33">
        <v>132.5</v>
      </c>
      <c r="I12" s="33">
        <v>135.01</v>
      </c>
      <c r="J12" s="33">
        <v>130.94</v>
      </c>
      <c r="K12" s="33">
        <v>132.5</v>
      </c>
      <c r="L12" s="33">
        <v>135.01</v>
      </c>
      <c r="M12" s="33">
        <v>130.94</v>
      </c>
      <c r="N12" s="33">
        <v>132.5</v>
      </c>
      <c r="O12" s="33">
        <v>135.01</v>
      </c>
      <c r="P12" s="34">
        <v>130.94</v>
      </c>
      <c r="Q12" s="38" t="s">
        <v>41</v>
      </c>
      <c r="R12" s="33"/>
      <c r="S12" s="33"/>
      <c r="T12" s="35"/>
      <c r="U12" s="13"/>
      <c r="V12" s="4"/>
      <c r="W12" s="4"/>
      <c r="X12" s="4"/>
    </row>
    <row r="13" spans="1:24" x14ac:dyDescent="0.2">
      <c r="A13" s="32" t="s">
        <v>27</v>
      </c>
      <c r="B13" s="32" t="s">
        <v>266</v>
      </c>
      <c r="C13" s="32" t="s">
        <v>263</v>
      </c>
      <c r="D13" s="33"/>
      <c r="E13" s="33">
        <v>134.71</v>
      </c>
      <c r="F13" s="33">
        <v>133.46</v>
      </c>
      <c r="G13" s="33">
        <v>131.03</v>
      </c>
      <c r="H13" s="33">
        <v>134.71</v>
      </c>
      <c r="I13" s="33">
        <v>133.46</v>
      </c>
      <c r="J13" s="33">
        <v>131.03</v>
      </c>
      <c r="K13" s="33">
        <v>134.71</v>
      </c>
      <c r="L13" s="33">
        <v>133.46</v>
      </c>
      <c r="M13" s="33">
        <v>131.03</v>
      </c>
      <c r="N13" s="33">
        <v>134.71</v>
      </c>
      <c r="O13" s="33">
        <v>133.46</v>
      </c>
      <c r="P13" s="34">
        <v>131.03</v>
      </c>
      <c r="Q13" s="38" t="s">
        <v>41</v>
      </c>
      <c r="R13" s="33"/>
      <c r="S13" s="33"/>
      <c r="T13" s="35"/>
      <c r="U13" s="13"/>
      <c r="V13" s="4"/>
      <c r="W13" s="4"/>
      <c r="X13" s="4"/>
    </row>
    <row r="14" spans="1:24" x14ac:dyDescent="0.2">
      <c r="A14" s="32" t="s">
        <v>27</v>
      </c>
      <c r="B14" s="32" t="s">
        <v>267</v>
      </c>
      <c r="C14" s="32" t="s">
        <v>265</v>
      </c>
      <c r="D14" s="33"/>
      <c r="E14" s="33">
        <v>161.87</v>
      </c>
      <c r="F14" s="33">
        <v>160</v>
      </c>
      <c r="G14" s="33">
        <v>131.12</v>
      </c>
      <c r="H14" s="33">
        <v>161.87</v>
      </c>
      <c r="I14" s="33">
        <v>160</v>
      </c>
      <c r="J14" s="33">
        <v>131.12</v>
      </c>
      <c r="K14" s="33">
        <v>161.87</v>
      </c>
      <c r="L14" s="33">
        <v>160</v>
      </c>
      <c r="M14" s="33">
        <v>131.12</v>
      </c>
      <c r="N14" s="33">
        <v>161.87</v>
      </c>
      <c r="O14" s="33">
        <v>160</v>
      </c>
      <c r="P14" s="34">
        <v>131.12</v>
      </c>
      <c r="Q14" s="38" t="s">
        <v>41</v>
      </c>
      <c r="R14" s="33"/>
      <c r="S14" s="33"/>
      <c r="T14" s="35"/>
      <c r="U14" s="13"/>
      <c r="V14" s="4"/>
      <c r="W14" s="4"/>
      <c r="X14" s="4"/>
    </row>
    <row r="15" spans="1:24" x14ac:dyDescent="0.2">
      <c r="A15" s="32" t="s">
        <v>27</v>
      </c>
      <c r="B15" s="32" t="s">
        <v>268</v>
      </c>
      <c r="C15" s="32" t="s">
        <v>269</v>
      </c>
      <c r="D15" s="33"/>
      <c r="E15" s="33">
        <v>144.25</v>
      </c>
      <c r="F15" s="33">
        <v>146.47999999999999</v>
      </c>
      <c r="G15" s="33">
        <v>172.32</v>
      </c>
      <c r="H15" s="33">
        <v>144.25</v>
      </c>
      <c r="I15" s="33">
        <v>146.47999999999999</v>
      </c>
      <c r="J15" s="33">
        <v>172.32</v>
      </c>
      <c r="K15" s="33">
        <v>144.25</v>
      </c>
      <c r="L15" s="33">
        <v>146.47999999999999</v>
      </c>
      <c r="M15" s="33">
        <v>172.32</v>
      </c>
      <c r="N15" s="33">
        <v>144.25</v>
      </c>
      <c r="O15" s="33">
        <v>146.47999999999999</v>
      </c>
      <c r="P15" s="34">
        <v>172.32</v>
      </c>
      <c r="Q15" s="38" t="s">
        <v>41</v>
      </c>
      <c r="R15" s="33"/>
      <c r="S15" s="33"/>
      <c r="T15" s="35"/>
      <c r="U15" s="13"/>
      <c r="V15" s="4"/>
      <c r="W15" s="4"/>
      <c r="X15" s="4"/>
    </row>
    <row r="16" spans="1:24" x14ac:dyDescent="0.2">
      <c r="A16" s="32" t="s">
        <v>27</v>
      </c>
      <c r="B16" s="32" t="s">
        <v>270</v>
      </c>
      <c r="C16" s="32" t="s">
        <v>271</v>
      </c>
      <c r="D16" s="33"/>
      <c r="E16" s="33">
        <v>144.71</v>
      </c>
      <c r="F16" s="33">
        <v>147.24</v>
      </c>
      <c r="G16" s="33">
        <v>142.72</v>
      </c>
      <c r="H16" s="33">
        <v>144.71</v>
      </c>
      <c r="I16" s="33">
        <v>147.24</v>
      </c>
      <c r="J16" s="33">
        <v>142.72</v>
      </c>
      <c r="K16" s="33">
        <v>144.71</v>
      </c>
      <c r="L16" s="33">
        <v>147.24</v>
      </c>
      <c r="M16" s="33">
        <v>142.72</v>
      </c>
      <c r="N16" s="33">
        <v>144.71</v>
      </c>
      <c r="O16" s="33">
        <v>147.24</v>
      </c>
      <c r="P16" s="34">
        <v>142.72</v>
      </c>
      <c r="Q16" s="38" t="s">
        <v>41</v>
      </c>
      <c r="R16" s="33"/>
      <c r="S16" s="33"/>
      <c r="T16" s="35"/>
      <c r="U16" s="13"/>
      <c r="V16" s="4"/>
      <c r="W16" s="4"/>
      <c r="X16" s="4"/>
    </row>
    <row r="17" spans="1:24" x14ac:dyDescent="0.2">
      <c r="A17" s="32" t="s">
        <v>27</v>
      </c>
      <c r="B17" s="32" t="s">
        <v>272</v>
      </c>
      <c r="C17" s="32" t="s">
        <v>263</v>
      </c>
      <c r="D17" s="33"/>
      <c r="E17" s="33">
        <v>135.18</v>
      </c>
      <c r="F17" s="33">
        <v>132.47</v>
      </c>
      <c r="G17" s="33">
        <v>131.57</v>
      </c>
      <c r="H17" s="33">
        <v>135.18</v>
      </c>
      <c r="I17" s="33">
        <v>132.47</v>
      </c>
      <c r="J17" s="33">
        <v>131.57</v>
      </c>
      <c r="K17" s="33">
        <v>135.18</v>
      </c>
      <c r="L17" s="33">
        <v>132.47</v>
      </c>
      <c r="M17" s="33">
        <v>131.57</v>
      </c>
      <c r="N17" s="33">
        <v>135.18</v>
      </c>
      <c r="O17" s="33">
        <v>132.47</v>
      </c>
      <c r="P17" s="34">
        <v>131.57</v>
      </c>
      <c r="Q17" s="38" t="s">
        <v>41</v>
      </c>
      <c r="R17" s="33"/>
      <c r="S17" s="33"/>
      <c r="T17" s="35"/>
      <c r="U17" s="13"/>
      <c r="V17" s="4"/>
      <c r="W17" s="4"/>
      <c r="X17" s="4"/>
    </row>
    <row r="18" spans="1:24" x14ac:dyDescent="0.2">
      <c r="A18" s="32" t="s">
        <v>27</v>
      </c>
      <c r="B18" s="32" t="s">
        <v>273</v>
      </c>
      <c r="C18" s="32" t="s">
        <v>265</v>
      </c>
      <c r="D18" s="33"/>
      <c r="E18" s="33">
        <v>161.35</v>
      </c>
      <c r="F18" s="33">
        <v>159.54</v>
      </c>
      <c r="G18" s="33">
        <v>131.33000000000001</v>
      </c>
      <c r="H18" s="33">
        <v>161.35</v>
      </c>
      <c r="I18" s="33">
        <v>159.54</v>
      </c>
      <c r="J18" s="33">
        <v>131.33000000000001</v>
      </c>
      <c r="K18" s="33">
        <v>161.35</v>
      </c>
      <c r="L18" s="33">
        <v>159.54</v>
      </c>
      <c r="M18" s="33">
        <v>131.33000000000001</v>
      </c>
      <c r="N18" s="33">
        <v>161.35</v>
      </c>
      <c r="O18" s="33">
        <v>159.54</v>
      </c>
      <c r="P18" s="34">
        <v>131.33000000000001</v>
      </c>
      <c r="Q18" s="38" t="s">
        <v>41</v>
      </c>
      <c r="R18" s="33"/>
      <c r="S18" s="33"/>
      <c r="T18" s="35"/>
      <c r="U18" s="13"/>
      <c r="V18" s="4"/>
      <c r="W18" s="4"/>
      <c r="X1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TTR Summary</vt:lpstr>
      <vt:lpstr>DSGRINGS</vt:lpstr>
      <vt:lpstr>NPMS</vt:lpstr>
      <vt:lpstr>NCKM</vt:lpstr>
      <vt:lpstr>LLPSMNPP</vt:lpstr>
      <vt:lpstr>ABSMIN</vt:lpstr>
      <vt:lpstr>IVDM</vt:lpstr>
      <vt:lpstr>DAPS</vt:lpstr>
      <vt:lpstr>DSGVTHSENSOR</vt:lpstr>
      <vt:lpstr>PWRDET</vt:lpstr>
      <vt:lpstr>CLKMON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 Dieterle</cp:lastModifiedBy>
  <dcterms:created xsi:type="dcterms:W3CDTF">2025-06-06T10:12:05Z</dcterms:created>
  <dcterms:modified xsi:type="dcterms:W3CDTF">2025-06-16T05:16:30Z</dcterms:modified>
</cp:coreProperties>
</file>