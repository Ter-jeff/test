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8_{29B97E76-D18E-FF40-A563-8B6E2F528DDD}" xr6:coauthVersionLast="47" xr6:coauthVersionMax="47" xr10:uidLastSave="{00000000-0000-0000-0000-000000000000}"/>
  <bookViews>
    <workbookView xWindow="1080" yWindow="500" windowWidth="25640" windowHeight="20040" xr2:uid="{00000000-000D-0000-FFFF-FFFF00000000}"/>
  </bookViews>
  <sheets>
    <sheet name="HarvestingTruth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xlfn_IFERROR">#N/A</definedName>
    <definedName name="_111" localSheetId="0">#REF!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HarvestingTruthTable!$A$2:$AB$3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>[8]DC_Specs_C!$C$134</definedName>
    <definedName name="_Pins_1p1v_VAR_Com">[7]DC_Specs!$C$134</definedName>
    <definedName name="_Pins_1p1v_VAR_G">[8]DC_Specs_G!$C$134</definedName>
    <definedName name="_Pins_1p1v_VAR_H">[8]DC_Specs_H!$C$134</definedName>
    <definedName name="_Pins_1p1v_VAR_S">[8]DC_Specs_S!$C$134</definedName>
    <definedName name="_Pins_1p1v_Vch_GLB">'[7]Global Specs'!$D$226</definedName>
    <definedName name="_Pins_1p1v_Vch_Ratio">'[8]Global Specs'!$D$227</definedName>
    <definedName name="_Pins_1p1v_Vcl_GLB">'[8]Global Specs'!$D$219</definedName>
    <definedName name="_Pins_1p1v_Vcl_Ratio">'[8]Global Specs'!$D$226</definedName>
    <definedName name="_Pins_1p1v_Vih_GLB">'[8]Global Specs'!$D$215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>'[8]Global Specs'!$D$214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>'[8]Global Specs'!$D$217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>'[8]Global Specs'!$D$216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>'[8]Global Specs'!$D$218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>[8]DC_Specs_C!$C$137</definedName>
    <definedName name="_Pins_1p2v_VAR_Com">[7]DC_Specs!$C$137</definedName>
    <definedName name="_Pins_1p2v_VAR_G">[8]DC_Specs_G!$C$137</definedName>
    <definedName name="_Pins_1p2v_VAR_H">[8]DC_Specs_H!$C$137</definedName>
    <definedName name="_Pins_1p2v_VAR_S">[8]DC_Specs_S!$C$137</definedName>
    <definedName name="_Pins_1p2v_Vch_GLB">'[7]Global Specs'!$D$241</definedName>
    <definedName name="_Pins_1p2v_Vch_Ratio">'[8]Global Specs'!$D$242</definedName>
    <definedName name="_Pins_1p2v_Vcl_GLB">'[8]Global Specs'!$D$234</definedName>
    <definedName name="_Pins_1p2v_Vcl_Ratio">'[8]Global Specs'!$D$241</definedName>
    <definedName name="_Pins_1p2v_Vih_GLB">'[8]Global Specs'!$D$230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>'[8]Global Specs'!$D$229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>'[8]Global Specs'!$D$232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>'[8]Global Specs'!$D$231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>'[8]Global Specs'!$D$233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>[8]DC_Specs_C!$C$140</definedName>
    <definedName name="_Pins_1p8v_VAR_Com">[7]DC_Specs!$C$140</definedName>
    <definedName name="_Pins_1p8v_VAR_G">[8]DC_Specs_G!$C$140</definedName>
    <definedName name="_Pins_1p8v_VAR_H">[8]DC_Specs_H!$C$140</definedName>
    <definedName name="_Pins_1p8v_VAR_S">[8]DC_Specs_S!$C$140</definedName>
    <definedName name="_Pins_1p8v_Vch_GLB">'[7]Global Specs'!$D$256</definedName>
    <definedName name="_Pins_1p8v_Vch_Ratio">'[8]Global Specs'!$D$257</definedName>
    <definedName name="_Pins_1p8v_Vcl_GLB">'[8]Global Specs'!$D$249</definedName>
    <definedName name="_Pins_1p8v_Vcl_Ratio">'[8]Global Specs'!$D$256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>'[8]Global Specs'!$D$248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>[8]DC_Specs_C!$C$143</definedName>
    <definedName name="_Pins_3p3v_VAR_Com">[7]DC_Specs!$C$143</definedName>
    <definedName name="_Pins_3p3v_VAR_G">[8]DC_Specs_G!$C$143</definedName>
    <definedName name="_Pins_3p3v_VAR_H">[8]DC_Specs_H!$C$143</definedName>
    <definedName name="_Pins_3p3v_VAR_S">[8]DC_Specs_S!$C$143</definedName>
    <definedName name="_Pins_3p3v_Vch_GLB">'[8]Global Specs'!$D$265</definedName>
    <definedName name="_Pins_3p3v_Vch_Ratio">'[8]Global Specs'!$D$272</definedName>
    <definedName name="_Pins_3p3v_Vcl_GLB">'[8]Global Specs'!$D$264</definedName>
    <definedName name="_Pins_3p3v_Vcl_Ratio">'[8]Global Specs'!$D$271</definedName>
    <definedName name="_Pins_3p3v_Vih_GLB">'[8]Global Specs'!$D$260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>'[8]Global Specs'!$D$259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>'[8]Global Specs'!$D$262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>'[8]Global Specs'!$D$261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>'[8]Global Specs'!$D$263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>'[8]Global Specs'!$D$4</definedName>
    <definedName name="_VDD_CorePWR_EVS">'[7]Global Specs'!$D$90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>'[8]Global Specs'!$D$12</definedName>
    <definedName name="_VDD_CPU_P1_GLB">'[8]Global Specs'!$D$14</definedName>
    <definedName name="_VDD_CPU_P2_GLB">'[8]Global Specs'!$D$15</definedName>
    <definedName name="_VDD_CPU_P3_GLB">'[8]Global Specs'!$D$16</definedName>
    <definedName name="_VDD_CPU_P4_GLB">'[8]Global Specs'!$D$17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>'[8]Global Specs'!$D$21</definedName>
    <definedName name="_VDD_CPU_P9_GLB">'[8]Global Specs'!$D$22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>'[8]Global Specs'!$D$25</definedName>
    <definedName name="_VDD_CPU_SRAM_P1_GLB">'[8]Global Specs'!$D$27</definedName>
    <definedName name="_VDD_CPU_SRAM_P2_GLB">'[8]Global Specs'!$D$28</definedName>
    <definedName name="_VDD_CPU_SRAM_P3_GLB">'[8]Global Specs'!$D$29</definedName>
    <definedName name="_VDD_CPU_SRAM_P4_GLB">'[8]Global Specs'!$D$30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>'[8]Global Specs'!$D$34</definedName>
    <definedName name="_VDD_CPU_SRAM_P9_GLB">'[8]Global Specs'!$D$35</definedName>
    <definedName name="_VDD_CPU_SRAM_Tdelay_GLB">'[8]Global Specs'!$D$26</definedName>
    <definedName name="_VDD_CPU_SRAM_Valt_GLB">'[8]Global Specs'!$D$24</definedName>
    <definedName name="_VDD_CPU_SRAM_VAR_C">[8]DC_Specs_C!$C$8</definedName>
    <definedName name="_VDD_CPU_SRAM_VAR_Com">[7]DC_Specs!$C$8</definedName>
    <definedName name="_VDD_CPU_SRAM_VAR_G">[8]DC_Specs_G!$C$8</definedName>
    <definedName name="_VDD_CPU_SRAM_VAR_H">[8]DC_Specs_H!$C$8</definedName>
    <definedName name="_VDD_CPU_SRAM_VAR_S">[8]DC_Specs_S!$C$8</definedName>
    <definedName name="_VDD_CPU_Tdelay_GLB">'[8]Global Specs'!$D$13</definedName>
    <definedName name="_VDD_CPU_Valt_GLB">'[8]Global Specs'!$D$11</definedName>
    <definedName name="_VDD_CPU_VAR">[1]DC_Specs!$C$5</definedName>
    <definedName name="_VDD_CPU_VAR_C">[8]DC_Specs_C!$C$5</definedName>
    <definedName name="_VDD_CPU_VAR_Com">[7]DC_Specs!$C$5</definedName>
    <definedName name="_VDD_CPU_VAR_G">[8]DC_Specs_G!$C$5</definedName>
    <definedName name="_VDD_CPU_VAR_H">[8]DC_Specs_H!$C$5</definedName>
    <definedName name="_VDD_CPU_VAR_S">[8]DC_Specs_S!$C$5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>'[8]Global Specs'!$D$68</definedName>
    <definedName name="_VDD_FIXED_CPU_Tdelay_GLB">'[8]Global Specs'!$D$69</definedName>
    <definedName name="_VDD_FIXED_CPU_Valt_GLB">'[8]Global Specs'!$D$67</definedName>
    <definedName name="_VDD_FIXED_CPU_VAR_C">[8]DC_Specs_C!$C$26</definedName>
    <definedName name="_VDD_FIXED_CPU_VAR_Com">[7]DC_Specs!$C$44</definedName>
    <definedName name="_VDD_FIXED_CPU_VAR_G">[8]DC_Specs_G!$C$26</definedName>
    <definedName name="_VDD_FIXED_CPU_VAR_H">[8]DC_Specs_H!$C$26</definedName>
    <definedName name="_VDD_FIXED_CPU_VAR_S">[8]DC_Specs_S!$C$26</definedName>
    <definedName name="_VDD_FIXED_DDR_VAR_COM">[4]DC_Specs!$C$29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>'[8]Global Specs'!$D$70</definedName>
    <definedName name="_VDD_FIXED_PCIE_ANA_Ifold_GLB">'[8]Global Specs'!$D$72</definedName>
    <definedName name="_VDD_FIXED_PCIE_ANA_Tdelay_GLB">'[8]Global Specs'!$D$73</definedName>
    <definedName name="_VDD_FIXED_PCIE_ANA_Valt_GLB">'[8]Global Specs'!$D$71</definedName>
    <definedName name="_VDD_FIXED_PCIE_ANA_VAR_C">[8]DC_Specs_C!$C$29</definedName>
    <definedName name="_VDD_FIXED_PCIE_ANA_VAR_COM">[4]DC_Specs!$C$32</definedName>
    <definedName name="_VDD_FIXED_PCIE_ANA_VAR_G">[8]DC_Specs_G!$C$29</definedName>
    <definedName name="_VDD_FIXED_PCIE_ANA_VAR_H">[8]DC_Specs_H!$C$29</definedName>
    <definedName name="_VDD_FIXED_PCIE_ANA_VAR_S">[8]DC_Specs_S!$C$29</definedName>
    <definedName name="_VDD_FIXED_PCIE_CLK_GLB">'[8]Global Specs'!$D$74</definedName>
    <definedName name="_VDD_FIXED_PCIE_CLK_Ifold_GLB">'[8]Global Specs'!$D$76</definedName>
    <definedName name="_VDD_FIXED_PCIE_CLK_Tdelay_GLB">'[8]Global Specs'!$D$77</definedName>
    <definedName name="_VDD_FIXED_PCIE_CLK_Valt_GLB">'[8]Global Specs'!$D$75</definedName>
    <definedName name="_VDD_FIXED_PCIE_CLK_VAR_C">[8]DC_Specs_C!$C$32</definedName>
    <definedName name="_VDD_FIXED_PCIE_CLK_VAR_COM">[4]DC_Specs!$C$35</definedName>
    <definedName name="_VDD_FIXED_PCIE_CLK_VAR_G">[8]DC_Specs_G!$C$32</definedName>
    <definedName name="_VDD_FIXED_PCIE_CLK_VAR_H">[8]DC_Specs_H!$C$32</definedName>
    <definedName name="_VDD_FIXED_PCIE_CLK_VAR_S">[8]DC_Specs_S!$C$32</definedName>
    <definedName name="_VDD_FIXED_PCIE_CMN_AVDD_CLK_GLB">'[8]Global Specs'!$D$78</definedName>
    <definedName name="_VDD_FIXED_PCIE_CMN_AVDD_CLK_Ifold_GLB">'[8]Global Specs'!$D$80</definedName>
    <definedName name="_VDD_FIXED_PCIE_CMN_AVDD_CLK_Tdelay_GLB">'[8]Global Specs'!$D$81</definedName>
    <definedName name="_VDD_FIXED_PCIE_CMN_AVDD_CLK_Valt_GLB">'[8]Global Specs'!$D$79</definedName>
    <definedName name="_VDD_FIXED_PCIE_CMN_AVDD_CLK_VAR_C">[8]DC_Specs_C!$C$35</definedName>
    <definedName name="_VDD_FIXED_PCIE_CMN_AVDD_CLK_VAR_COM">[4]DC_Specs!$C$38</definedName>
    <definedName name="_VDD_FIXED_PCIE_CMN_AVDD_CLK_VAR_G">[8]DC_Specs_G!$C$35</definedName>
    <definedName name="_VDD_FIXED_PCIE_CMN_AVDD_CLK_VAR_H">[8]DC_Specs_H!$C$35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>'[8]Global Specs'!$D$82</definedName>
    <definedName name="_VDD_FIXED_PCIE_XCVR_AVDD_CLK_Ifold_GLB">'[8]Global Specs'!$D$84</definedName>
    <definedName name="_VDD_FIXED_PCIE_XCVR_AVDD_CLK_Tdelay_GLB">'[8]Global Specs'!$D$85</definedName>
    <definedName name="_VDD_FIXED_PCIE_XCVR_AVDD_CLK_Valt_GLB">'[8]Global Specs'!$D$83</definedName>
    <definedName name="_VDD_FIXED_PCIE_XCVR_AVDD_CLK_VAR_C">[8]DC_Specs_C!$C$38</definedName>
    <definedName name="_VDD_FIXED_PCIE_XCVR_AVDD_CLK_VAR_COM">[4]DC_Specs!$C$41</definedName>
    <definedName name="_VDD_FIXED_PCIE_XCVR_AVDD_CLK_VAR_G">[8]DC_Specs_G!$C$38</definedName>
    <definedName name="_VDD_FIXED_PCIE_XCVR_AVDD_CLK_VAR_H">[8]DC_Specs_H!$C$38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>'[8]Global Specs'!$D$86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>'[8]Global Specs'!$D$89</definedName>
    <definedName name="_VDD_FIXED_PLL_Valt_GLB">'[8]Global Specs'!$D$87</definedName>
    <definedName name="_VDD_FIXED_PLL_VAR_C">[8]DC_Specs_C!$C$41</definedName>
    <definedName name="_VDD_FIXED_PLL_VAR_COM">[4]DC_Specs!$C$44</definedName>
    <definedName name="_VDD_FIXED_PLL_VAR_G">[8]DC_Specs_G!$C$41</definedName>
    <definedName name="_VDD_FIXED_PLL_VAR_H">[8]DC_Specs_H!$C$41</definedName>
    <definedName name="_VDD_FIXED_PLL_VAR_S">[8]DC_Specs_S!$C$41</definedName>
    <definedName name="_VDD_FIXED_Tdelay_GLB">'[8]Global Specs'!$D$39</definedName>
    <definedName name="_VDD_FIXED_USB_GLB">'[8]Global Specs'!$D$90</definedName>
    <definedName name="_VDD_FIXED_USB_Ifold_GLB">'[8]Global Specs'!$D$92</definedName>
    <definedName name="_VDD_FIXED_USB_Tdelay_GLB">'[8]Global Specs'!$D$93</definedName>
    <definedName name="_VDD_FIXED_USB_Valt_GLB">'[8]Global Specs'!$D$91</definedName>
    <definedName name="_VDD_FIXED_USB_VAR">[1]DC_Specs!$C$47</definedName>
    <definedName name="_VDD_FIXED_USB_VAR_C">[8]DC_Specs_C!$C$44</definedName>
    <definedName name="_VDD_FIXED_USB_VAR_COM">[4]DC_Specs!$C$47</definedName>
    <definedName name="_VDD_FIXED_USB_VAR_G">[8]DC_Specs_G!$C$44</definedName>
    <definedName name="_VDD_FIXED_USB_VAR_H">[8]DC_Specs_H!$C$44</definedName>
    <definedName name="_VDD_FIXED_USB_VAR_S">[8]DC_Specs_S!$C$44</definedName>
    <definedName name="_VDD_FIXED_Valt_GLB">'[8]Global Specs'!$D$37</definedName>
    <definedName name="_VDD_FIXED_VAR_C">[8]DC_Specs_C!$C$11</definedName>
    <definedName name="_VDD_FIXED_VAR_Com">[7]DC_Specs!$C$20</definedName>
    <definedName name="_VDD_FIXED_VAR_G">[8]DC_Specs_G!$C$11</definedName>
    <definedName name="_VDD_FIXED_VAR_H">[8]DC_Specs_H!$C$11</definedName>
    <definedName name="_VDD_FIXED_VAR_S">[8]DC_Specs_S!$C$11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>'[8]Global Specs'!$D$42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>'[8]Global Specs'!$D$45</definedName>
    <definedName name="_VDD_GPU_P3_GLB">'[8]Global Specs'!$D$46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>'[8]Global Specs'!$D$50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>'[8]Global Specs'!$D$53</definedName>
    <definedName name="_VDD_GPU_SRAM_P3_GLB">'[8]Global Specs'!$D$54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>'[8]Global Specs'!$D$51</definedName>
    <definedName name="_VDD_GPU_SRAM_Valt_GLB">'[8]Global Specs'!$D$49</definedName>
    <definedName name="_VDD_GPU_SRAM_VAR_C">[8]DC_Specs_C!$C$17</definedName>
    <definedName name="_VDD_GPU_SRAM_VAR_Com">[7]DC_Specs!$C$14</definedName>
    <definedName name="_VDD_GPU_SRAM_VAR_G">[8]DC_Specs_G!$C$17</definedName>
    <definedName name="_VDD_GPU_SRAM_VAR_H">[8]DC_Specs_H!$C$17</definedName>
    <definedName name="_VDD_GPU_SRAM_VAR_S">[8]DC_Specs_S!$C$17</definedName>
    <definedName name="_VDD_GPU_Tdelay_GLB">'[8]Global Specs'!$D$43</definedName>
    <definedName name="_VDD_GPU_Valt_GLB">'[8]Global Specs'!$D$41</definedName>
    <definedName name="_VDD_GPU_VAR_C">[8]DC_Specs_C!$C$14</definedName>
    <definedName name="_VDD_GPU_VAR_Com">[7]DC_Specs!$C$11</definedName>
    <definedName name="_VDD_GPU_VAR_G">[8]DC_Specs_G!$C$14</definedName>
    <definedName name="_VDD_GPU_VAR_H">[8]DC_Specs_H!$C$14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>'[8]Global Specs'!$D$58</definedName>
    <definedName name="_VDD_LOW_Tdelay_GLB">'[8]Global Specs'!$D$59</definedName>
    <definedName name="_VDD_LOW_Valt_GLB">'[8]Global Specs'!$D$57</definedName>
    <definedName name="_VDD_LOW_VAR_C">[8]DC_Specs_C!$C$20</definedName>
    <definedName name="_VDD_LOW_VAR_Com">[7]DC_Specs!$C$35</definedName>
    <definedName name="_VDD_LOW_VAR_G">[8]DC_Specs_G!$C$20</definedName>
    <definedName name="_VDD_LOW_VAR_H">[8]DC_Specs_H!$C$20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>'[8]Global Specs'!$D$64</definedName>
    <definedName name="_VDD_SOC_P2_GLB">'[8]Global Specs'!$D$65</definedName>
    <definedName name="_VDD_SOC_Tdelay_GLB">'[8]Global Specs'!$D$63</definedName>
    <definedName name="_VDD_SOC_Valt_GLB">'[8]Global Specs'!$D$61</definedName>
    <definedName name="_VDD_SOC_VAR">[1]DC_Specs!$C$8</definedName>
    <definedName name="_VDD_SOC_VAR_C">[8]DC_Specs_C!$C$23</definedName>
    <definedName name="_VDD_SOC_VAR_Com">[7]DC_Specs!$C$17</definedName>
    <definedName name="_VDD_SOC_VAR_G">[8]DC_Specs_G!$C$23</definedName>
    <definedName name="_VDD_SOC_VAR_H">[8]DC_Specs_H!$C$23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>'[8]Global Specs'!$D$110</definedName>
    <definedName name="_VDD12_CPU_UVD_Ifold_GLB">'[8]Global Specs'!$D$112</definedName>
    <definedName name="_VDD12_CPU_UVD_Tdelay_GLB">'[8]Global Specs'!$D$113</definedName>
    <definedName name="_VDD12_CPU_UVD_Valt_GLB">'[8]Global Specs'!$D$111</definedName>
    <definedName name="_VDD12_CPU_UVD_VAR_C">[8]DC_Specs_C!$C$59</definedName>
    <definedName name="_VDD12_CPU_UVD_VAR_COM">[4]DC_Specs!$C$62</definedName>
    <definedName name="_VDD12_CPU_UVD_VAR_G">[8]DC_Specs_G!$C$59</definedName>
    <definedName name="_VDD12_CPU_UVD_VAR_H">[8]DC_Specs_H!$C$59</definedName>
    <definedName name="_VDD12_CPU_UVD_VAR_S">[8]DC_Specs_S!$C$59</definedName>
    <definedName name="_VDD12_GPU_UVD_GLB">'[8]Global Specs'!$D$114</definedName>
    <definedName name="_VDD12_GPU_UVD_Ifold_GLB">'[8]Global Specs'!$D$116</definedName>
    <definedName name="_VDD12_GPU_UVD_Tdelay_GLB">'[8]Global Specs'!$D$117</definedName>
    <definedName name="_VDD12_GPU_UVD_Valt_GLB">'[8]Global Specs'!$D$115</definedName>
    <definedName name="_VDD12_GPU_UVD_VAR_C">[8]DC_Specs_C!$C$62</definedName>
    <definedName name="_VDD12_GPU_UVD_VAR_COM">[4]DC_Specs!$C$65</definedName>
    <definedName name="_VDD12_GPU_UVD_VAR_G">[8]DC_Specs_G!$C$62</definedName>
    <definedName name="_VDD12_GPU_UVD_VAR_H">[8]DC_Specs_H!$C$62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>'[8]Global Specs'!$D$118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>'[8]Global Specs'!$D$119</definedName>
    <definedName name="_VDD12_LPDP_VAR_C">[8]DC_Specs_C!$C$65</definedName>
    <definedName name="_VDD12_LPDP_VAR_COM">[4]DC_Specs!$C$68</definedName>
    <definedName name="_VDD12_LPDP_VAR_G">[8]DC_Specs_G!$C$65</definedName>
    <definedName name="_VDD12_LPDP_VAR_H">[8]DC_Specs_H!$C$65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>'[8]Global Specs'!$D$124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>'[8]Global Specs'!$D$128</definedName>
    <definedName name="_VDD12_PCIE_REFBUF_Tdelay_GLB">'[8]Global Specs'!$D$129</definedName>
    <definedName name="_VDD12_PCIE_REFBUF_Valt_GLB">'[8]Global Specs'!$D$127</definedName>
    <definedName name="_VDD12_PCIE_REFBUF_VAR_C">[8]DC_Specs_C!$C$71</definedName>
    <definedName name="_VDD12_PCIE_REFBUF_VAR_Com">[7]DC_Specs!$C$77</definedName>
    <definedName name="_VDD12_PCIE_REFBUF_VAR_G">[8]DC_Specs_G!$C$71</definedName>
    <definedName name="_VDD12_PCIE_REFBUF_VAR_H">[8]DC_Specs_H!$C$71</definedName>
    <definedName name="_VDD12_PCIE_REFBUF_VAR_S">[8]DC_Specs_S!$C$71</definedName>
    <definedName name="_VDD12_PCIE_Tdelay_GLB">'[8]Global Specs'!$D$125</definedName>
    <definedName name="_VDD12_PCIE_Valt_GLB">'[8]Global Specs'!$D$123</definedName>
    <definedName name="_VDD12_PCIE_VAR_C">[8]DC_Specs_C!$C$68</definedName>
    <definedName name="_VDD12_PCIE_VAR_Com">[7]DC_Specs!$C$74</definedName>
    <definedName name="_VDD12_PCIE_VAR_G">[8]DC_Specs_G!$C$68</definedName>
    <definedName name="_VDD12_PCIE_VAR_H">[8]DC_Specs_H!$C$68</definedName>
    <definedName name="_VDD12_PCIE_VAR_S">[8]DC_Specs_S!$C$68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>'[8]Global Specs'!$D$136</definedName>
    <definedName name="_VDD12_PLL_CPU_Tdelay_GLB">'[8]Global Specs'!$D$137</definedName>
    <definedName name="_VDD12_PLL_CPU_Valt_GLB">'[8]Global Specs'!$D$135</definedName>
    <definedName name="_VDD12_PLL_CPU_VAR_C">[8]DC_Specs_C!$C$77</definedName>
    <definedName name="_VDD12_PLL_CPU_VAR_Com">[7]DC_Specs!$C$68</definedName>
    <definedName name="_VDD12_PLL_CPU_VAR_G">[8]DC_Specs_G!$C$77</definedName>
    <definedName name="_VDD12_PLL_CPU_VAR_H">[8]DC_Specs_H!$C$77</definedName>
    <definedName name="_VDD12_PLL_CPU_VAR_S">[8]DC_Specs_S!$C$77</definedName>
    <definedName name="_VDD12_PLL_GLB">'[8]Global Specs'!$D$130</definedName>
    <definedName name="_VDD12_PLL_Ifold_GLB">'[8]Global Specs'!$D$132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>'[8]Global Specs'!$D$140</definedName>
    <definedName name="_VDD12_PLL_LPDP_Tdelay_GLB">'[8]Global Specs'!$D$141</definedName>
    <definedName name="_VDD12_PLL_LPDP_Valt_GLB">'[8]Global Specs'!$D$139</definedName>
    <definedName name="_VDD12_PLL_LPDP_VAR_C">[8]DC_Specs_C!$C$80</definedName>
    <definedName name="_VDD12_PLL_LPDP_VAR_Com">[7]DC_Specs!$C$71</definedName>
    <definedName name="_VDD12_PLL_LPDP_VAR_G">[8]DC_Specs_G!$C$80</definedName>
    <definedName name="_VDD12_PLL_LPDP_VAR_H">[8]DC_Specs_H!$C$80</definedName>
    <definedName name="_VDD12_PLL_LPDP_VAR_S">[8]DC_Specs_S!$C$80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>'[8]Global Specs'!$D$144</definedName>
    <definedName name="_VDD12_PLL_SOC_Tdelay_GLB">'[8]Global Specs'!$D$145</definedName>
    <definedName name="_VDD12_PLL_SOC_Valt_GLB">'[8]Global Specs'!$D$143</definedName>
    <definedName name="_VDD12_PLL_SOC_VAR_C">[8]DC_Specs_C!$C$83</definedName>
    <definedName name="_VDD12_PLL_SOC_VAR_Com">[7]DC_Specs!$C$65</definedName>
    <definedName name="_VDD12_PLL_SOC_VAR_G">[8]DC_Specs_G!$C$83</definedName>
    <definedName name="_VDD12_PLL_SOC_VAR_H">[8]DC_Specs_H!$C$83</definedName>
    <definedName name="_VDD12_PLL_SOC_VAR_S">[8]DC_Specs_S!$C$83</definedName>
    <definedName name="_VDD12_PLL_Tdelay_GLB">'[8]Global Specs'!$D$133</definedName>
    <definedName name="_VDD12_PLL_Valt_GLB">'[8]Global Specs'!$D$131</definedName>
    <definedName name="_VDD12_PLL_VAR_C">[8]DC_Specs_C!$C$74</definedName>
    <definedName name="_VDD12_PLL_VAR_COM">[4]DC_Specs!$C$77</definedName>
    <definedName name="_VDD12_PLL_VAR_G">[8]DC_Specs_G!$C$74</definedName>
    <definedName name="_VDD12_PLL_VAR_H">[8]DC_Specs_H!$C$74</definedName>
    <definedName name="_VDD12_PLL_VAR_S">[8]DC_Specs_S!$C$74</definedName>
    <definedName name="_VDD12_UH1_COMSIC0_VAR_COM">[4]DC_Specs!$C$89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>'[8]Global Specs'!$D$148</definedName>
    <definedName name="_VDD12_UH1_HSIC0_Tdelay_GLB">'[8]Global Specs'!$D$149</definedName>
    <definedName name="_VDD12_UH1_HSIC0_Valt_GLB">'[8]Global Specs'!$D$147</definedName>
    <definedName name="_VDD12_UH1_HSIC0_VAR_C">[8]DC_Specs_C!$C$86</definedName>
    <definedName name="_VDD12_UH1_HSIC0_VAR_Com">[7]DC_Specs!$C$62</definedName>
    <definedName name="_VDD12_UH1_HSIC0_VAR_G">[8]DC_Specs_G!$C$86</definedName>
    <definedName name="_VDD12_UH1_HSIC0_VAR_H">[8]DC_Specs_H!$C$86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>'[8]Global Specs'!$D$152</definedName>
    <definedName name="_VDD18_AVM_Tdelay_GLB">'[8]Global Specs'!$D$153</definedName>
    <definedName name="_VDD18_AVM_Valt_GLB">'[8]Global Specs'!$D$151</definedName>
    <definedName name="_VDD18_AVM_VAR_C">[8]DC_Specs_C!$C$89</definedName>
    <definedName name="_VDD18_AVM_VAR_Com">[7]DC_Specs!$C$113</definedName>
    <definedName name="_VDD18_AVM_VAR_G">[8]DC_Specs_G!$C$89</definedName>
    <definedName name="_VDD18_AVM_VAR_H">[8]DC_Specs_H!$C$89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>'[8]Global Specs'!$D$154</definedName>
    <definedName name="_VDD18_EFUSE0_Ifold_GLB">'[8]Global Specs'!$D$157</definedName>
    <definedName name="_VDD18_EFUSE0_Tdelay_GLB">'[8]Global Specs'!$D$158</definedName>
    <definedName name="_VDD18_EFUSE0_Valt_GLB">'[8]Global Specs'!$D$156</definedName>
    <definedName name="_VDD18_EFUSE0_VAR_C">[8]DC_Specs_C!$C$92</definedName>
    <definedName name="_VDD18_EFUSE0_VAR_Com">[7]DC_Specs!$C$116</definedName>
    <definedName name="_VDD18_EFUSE0_VAR_G">[8]DC_Specs_G!$C$92</definedName>
    <definedName name="_VDD18_EFUSE0_VAR_H">[8]DC_Specs_H!$C$92</definedName>
    <definedName name="_VDD18_EFUSE0_VAR_S">[8]DC_Specs_S!$C$92</definedName>
    <definedName name="_VDD18_EFUSE1_GLB">'[8]Global Specs'!$D$159</definedName>
    <definedName name="_VDD18_EFUSE1_Ifold_GLB">'[8]Global Specs'!$D$162</definedName>
    <definedName name="_VDD18_EFUSE1_Tdelay_GLB">'[8]Global Specs'!$D$163</definedName>
    <definedName name="_VDD18_EFUSE1_Valt_GLB">'[8]Global Specs'!$D$161</definedName>
    <definedName name="_VDD18_EFUSE1_VAR">[1]DC_Specs!$C$107</definedName>
    <definedName name="_VDD18_EFUSE1_VAR_C">[8]DC_Specs_C!$C$95</definedName>
    <definedName name="_VDD18_EFUSE1_VAR_Com">[7]DC_Specs!$C$119</definedName>
    <definedName name="_VDD18_EFUSE1_VAR_G">[8]DC_Specs_G!$C$95</definedName>
    <definedName name="_VDD18_EFUSE1_VAR_H">[8]DC_Specs_H!$C$95</definedName>
    <definedName name="_VDD18_EFUSE1_VAR_S">[8]DC_Specs_S!$C$95</definedName>
    <definedName name="_VDD18_EFUSE2_1P8V_GLB">'[8]Global Specs'!$D$165</definedName>
    <definedName name="_VDD18_EFUSE2_GLB">'[8]Global Specs'!$D$164</definedName>
    <definedName name="_VDD18_EFUSE2_Ifold_GLB">'[8]Global Specs'!$D$167</definedName>
    <definedName name="_VDD18_EFUSE2_Tdelay_GLB">'[8]Global Specs'!$D$168</definedName>
    <definedName name="_VDD18_EFUSE2_Valt_GLB">'[8]Global Specs'!$D$166</definedName>
    <definedName name="_VDD18_EFUSE2_VAR">[1]DC_Specs!$C$110</definedName>
    <definedName name="_VDD18_EFUSE2_VAR_C">[8]DC_Specs_C!$C$98</definedName>
    <definedName name="_VDD18_EFUSE2_VAR_Com">[7]DC_Specs!$C$122</definedName>
    <definedName name="_VDD18_EFUSE2_VAR_G">[8]DC_Specs_G!$C$98</definedName>
    <definedName name="_VDD18_EFUSE2_VAR_H">[8]DC_Specs_H!$C$98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>'[8]Global Specs'!$D$169</definedName>
    <definedName name="_VDD18_FMON_Ifold_GLB">'[8]Global Specs'!$D$171</definedName>
    <definedName name="_VDD18_FMON_Tdelay_GLB">'[8]Global Specs'!$D$172</definedName>
    <definedName name="_VDD18_FMON_Valt_GLB">'[8]Global Specs'!$D$170</definedName>
    <definedName name="_VDD18_FMON_VAR">[1]DC_Specs!$C$116</definedName>
    <definedName name="_VDD18_FMON_VAR_C">[8]DC_Specs_C!$C$101</definedName>
    <definedName name="_VDD18_FMON_VAR_COM">[4]DC_Specs!$C$104</definedName>
    <definedName name="_VDD18_FMON_VAR_G">[8]DC_Specs_G!$C$101</definedName>
    <definedName name="_VDD18_FMON_VAR_H">[8]DC_Specs_H!$C$101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>'[8]Global Specs'!$D$175</definedName>
    <definedName name="_VDD18_LPOSC_Tdelay_GLB">'[8]Global Specs'!$D$176</definedName>
    <definedName name="_VDD18_LPOSC_Valt_GLB">'[8]Global Specs'!$D$174</definedName>
    <definedName name="_VDD18_LPOSC_VAR_C">[8]DC_Specs_C!$C$104</definedName>
    <definedName name="_VDD18_LPOSC_VAR_Com">[7]DC_Specs!$C$128</definedName>
    <definedName name="_VDD18_LPOSC_VAR_G">[8]DC_Specs_G!$C$104</definedName>
    <definedName name="_VDD18_LPOSC_VAR_H">[8]DC_Specs_H!$C$104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>'[8]Global Specs'!$D$177</definedName>
    <definedName name="_VDD18_MIPI_Ifold_GLB">'[8]Global Specs'!$D$179</definedName>
    <definedName name="_VDD18_MIPI_Tdelay_GLB">'[8]Global Specs'!$D$180</definedName>
    <definedName name="_VDD18_MIPI_Valt_GLB">'[8]Global Specs'!$D$178</definedName>
    <definedName name="_VDD18_MIPI_VAR">[1]DC_Specs!$C$122</definedName>
    <definedName name="_VDD18_MIPI_VAR_C">[8]DC_Specs_C!$C$107</definedName>
    <definedName name="_VDD18_MIPI_VAR_COM">[4]DC_Specs!$C$110</definedName>
    <definedName name="_VDD18_MIPI_VAR_G">[8]DC_Specs_G!$C$107</definedName>
    <definedName name="_VDD18_MIPI_VAR_H">[8]DC_Specs_H!$C$107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>'[8]Global Specs'!$D$183</definedName>
    <definedName name="_VDD18_TSADC_Tdelay_GLB">'[8]Global Specs'!$D$184</definedName>
    <definedName name="_VDD18_TSADC_Valt_GLB">'[8]Global Specs'!$D$182</definedName>
    <definedName name="_VDD18_TSADC_VAR">[1]DC_Specs!$C$125</definedName>
    <definedName name="_VDD18_TSADC_VAR_C">[8]DC_Specs_C!$C$110</definedName>
    <definedName name="_VDD18_TSADC_VAR_Com">[7]DC_Specs!$C$92</definedName>
    <definedName name="_VDD18_TSADC_VAR_G">[8]DC_Specs_G!$C$110</definedName>
    <definedName name="_VDD18_TSADC_VAR_H">[8]DC_Specs_H!$C$110</definedName>
    <definedName name="_VDD18_TSADC_VAR_S">[8]DC_Specs_S!$C$110</definedName>
    <definedName name="_VDD18_USB_GLB">'[8]Global Specs'!$D$185</definedName>
    <definedName name="_VDD18_USB_Ifold_GLB">'[8]Global Specs'!$D$187</definedName>
    <definedName name="_VDD18_USB_Tdelay_GLB">'[8]Global Specs'!$D$188</definedName>
    <definedName name="_VDD18_USB_Valt_GLB">'[8]Global Specs'!$D$186</definedName>
    <definedName name="_VDD18_USB_VAR">[1]DC_Specs!$C$128</definedName>
    <definedName name="_VDD18_USB_VAR_C">[8]DC_Specs_C!$C$113</definedName>
    <definedName name="_VDD18_USB_VAR_COM">[4]DC_Specs!$C$116</definedName>
    <definedName name="_VDD18_USB_VAR_G">[8]DC_Specs_G!$C$113</definedName>
    <definedName name="_VDD18_USB_VAR_H">[8]DC_Specs_H!$C$113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>'[8]Global Specs'!$D$189</definedName>
    <definedName name="_VDD18_XTAL_Ifold_GLB">'[8]Global Specs'!$D$191</definedName>
    <definedName name="_VDD18_XTAL_Tdelay_GLB">'[8]Global Specs'!$D$192</definedName>
    <definedName name="_VDD18_XTAL_Valt_GLB">'[8]Global Specs'!$D$190</definedName>
    <definedName name="_VDD18_XTAL_VAR_C">[8]DC_Specs_C!$C$116</definedName>
    <definedName name="_VDD18_XTAL_VAR_COM">[4]DC_Specs!$C$119</definedName>
    <definedName name="_VDD18_XTAL_VAR_G">[8]DC_Specs_G!$C$116</definedName>
    <definedName name="_VDD18_XTAL_VAR_H">[8]DC_Specs_H!$C$116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>'[8]Global Specs'!$D$209</definedName>
    <definedName name="_VDD33_USB_Ifold_GLB">'[8]Global Specs'!$D$211</definedName>
    <definedName name="_VDD33_USB_Tdelay_GLB">'[8]Global Specs'!$D$212</definedName>
    <definedName name="_VDD33_USB_Valt_GLB">'[8]Global Specs'!$D$210</definedName>
    <definedName name="_VDD33_USB_VAR_C">[8]DC_Specs_C!$C$131</definedName>
    <definedName name="_VDD33_USB_VAR_Com">[7]DC_Specs!$C$125</definedName>
    <definedName name="_VDD33_USB_VAR_G">[8]DC_Specs_G!$C$131</definedName>
    <definedName name="_VDD33_USB_VAR_H">[8]DC_Specs_H!$C$131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>'[8]Global Specs'!$D$94</definedName>
    <definedName name="_VDDIO11_DDR0_Ifold_GLB">'[8]Global Specs'!$D$96</definedName>
    <definedName name="_VDDIO11_DDR0_Tdelay_GLB">'[8]Global Specs'!$D$97</definedName>
    <definedName name="_VDDIO11_DDR0_Valt_GLB">'[8]Global Specs'!$D$95</definedName>
    <definedName name="_VDDIO11_DDR0_VAR_C">[8]DC_Specs_C!$C$47</definedName>
    <definedName name="_VDDIO11_DDR0_VAR_COM">[4]DC_Specs!$C$50</definedName>
    <definedName name="_VDDIO11_DDR0_VAR_G">[8]DC_Specs_G!$C$47</definedName>
    <definedName name="_VDDIO11_DDR0_VAR_H">[8]DC_Specs_H!$C$47</definedName>
    <definedName name="_VDDIO11_DDR0_VAR_S">[8]DC_Specs_S!$C$47</definedName>
    <definedName name="_VDDIO11_DDR1_GLB">'[8]Global Specs'!$D$98</definedName>
    <definedName name="_VDDIO11_DDR1_Ifold_GLB">'[8]Global Specs'!$D$100</definedName>
    <definedName name="_VDDIO11_DDR1_Tdelay_GLB">'[8]Global Specs'!$D$101</definedName>
    <definedName name="_VDDIO11_DDR1_Valt_GLB">'[8]Global Specs'!$D$99</definedName>
    <definedName name="_VDDIO11_DDR1_VAR_C">[8]DC_Specs_C!$C$50</definedName>
    <definedName name="_VDDIO11_DDR1_VAR_COM">[4]DC_Specs!$C$53</definedName>
    <definedName name="_VDDIO11_DDR1_VAR_G">[8]DC_Specs_G!$C$50</definedName>
    <definedName name="_VDDIO11_DDR1_VAR_H">[8]DC_Specs_H!$C$50</definedName>
    <definedName name="_VDDIO11_DDR1_VAR_S">[8]DC_Specs_S!$C$50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>'[8]Global Specs'!$D$104</definedName>
    <definedName name="_VDDIO11_PLL_DDR_Tdelay_GLB">'[8]Global Specs'!$D$105</definedName>
    <definedName name="_VDDIO11_PLL_DDR_Valt_GLB">'[8]Global Specs'!$D$103</definedName>
    <definedName name="_VDDIO11_PLL_DDR_VAR">[1]DC_Specs!$C$59</definedName>
    <definedName name="_VDDIO11_PLL_DDR_VAR_C">[8]DC_Specs_C!$C$53</definedName>
    <definedName name="_VDDIO11_PLL_DDR_VAR_Com">[7]DC_Specs!$C$53</definedName>
    <definedName name="_VDDIO11_PLL_DDR_VAR_G">[8]DC_Specs_G!$C$53</definedName>
    <definedName name="_VDDIO11_PLL_DDR_VAR_H">[8]DC_Specs_H!$C$53</definedName>
    <definedName name="_VDDIO11_PLL_DDR_VAR_S">[8]DC_Specs_S!$C$53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>'[8]Global Specs'!$D$108</definedName>
    <definedName name="_VDDIO11_RET_DDR_Tdelay_GLB">'[8]Global Specs'!$D$109</definedName>
    <definedName name="_VDDIO11_RET_DDR_Valt_GLB">'[8]Global Specs'!$D$107</definedName>
    <definedName name="_VDDIO11_RET_DDR_VAR">[1]DC_Specs!$C$62</definedName>
    <definedName name="_VDDIO11_RET_DDR_VAR_C">[8]DC_Specs_C!$C$56</definedName>
    <definedName name="_VDDIO11_RET_DDR_VAR_Com">[7]DC_Specs!$C$56</definedName>
    <definedName name="_VDDIO11_RET_DDR_VAR_G">[8]DC_Specs_G!$C$56</definedName>
    <definedName name="_VDDIO11_RET_DDR_VAR_H">[8]DC_Specs_H!$C$56</definedName>
    <definedName name="_VDDIO11_RET_DDR_VAR_S">[8]DC_Specs_S!$C$56</definedName>
    <definedName name="_VDDIO18_AON_GLB">'[8]Global Specs'!$D$193</definedName>
    <definedName name="_VDDIO18_AON_Ifold_GLB">'[8]Global Specs'!$D$195</definedName>
    <definedName name="_VDDIO18_AON_Tdelay_GLB">'[8]Global Specs'!$D$196</definedName>
    <definedName name="_VDDIO18_AON_Valt_GLB">'[8]Global Specs'!$D$194</definedName>
    <definedName name="_VDDIO18_AON_VAR_C">[8]DC_Specs_C!$C$119</definedName>
    <definedName name="_VDDIO18_AON_VAR_COM">[4]DC_Specs!$C$122</definedName>
    <definedName name="_VDDIO18_AON_VAR_G">[8]DC_Specs_G!$C$119</definedName>
    <definedName name="_VDDIO18_AON_VAR_H">[8]DC_Specs_H!$C$119</definedName>
    <definedName name="_VDDIO18_AON_VAR_S">[8]DC_Specs_S!$C$119</definedName>
    <definedName name="_VDDIO18_AOP_GLB">'[8]Global Specs'!$D$197</definedName>
    <definedName name="_VDDIO18_AOP_Ifold_GLB">'[8]Global Specs'!$D$199</definedName>
    <definedName name="_VDDIO18_AOP_Tdelay_GLB">'[8]Global Specs'!$D$200</definedName>
    <definedName name="_VDDIO18_AOP_Valt_GLB">'[8]Global Specs'!$D$198</definedName>
    <definedName name="_VDDIO18_AOP_VAR">[1]DC_Specs!$C$131</definedName>
    <definedName name="_VDDIO18_AOP_VAR_C">[8]DC_Specs_C!$C$122</definedName>
    <definedName name="_VDDIO18_AOP_VAR_COM">[4]DC_Specs!$C$125</definedName>
    <definedName name="_VDDIO18_AOP_VAR_G">[8]DC_Specs_G!$C$122</definedName>
    <definedName name="_VDDIO18_AOP_VAR_H">[8]DC_Specs_H!$C$122</definedName>
    <definedName name="_VDDIO18_AOP_VAR_S">[8]DC_Specs_S!$C$122</definedName>
    <definedName name="_VDDIO18_GRP_GLB">'[8]Global Specs'!$D$201</definedName>
    <definedName name="_VDDIO18_GRP_Ifold_GLB">'[8]Global Specs'!$D$203</definedName>
    <definedName name="_VDDIO18_GRP_Tdelay_GLB">'[8]Global Specs'!$D$204</definedName>
    <definedName name="_VDDIO18_GRP_Valt_GLB">'[8]Global Specs'!$D$202</definedName>
    <definedName name="_VDDIO18_GRP_VAR_C">[8]DC_Specs_C!$C$125</definedName>
    <definedName name="_VDDIO18_GRP_VAR_COM">[4]DC_Specs!$C$128</definedName>
    <definedName name="_VDDIO18_GRP_VAR_G">[8]DC_Specs_G!$C$125</definedName>
    <definedName name="_VDDIO18_GRP_VAR_H">[8]DC_Specs_H!$C$125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>'[8]Global Specs'!$D$205</definedName>
    <definedName name="_VDDIO18_XI0_Ifold_GLB">'[8]Global Specs'!$D$207</definedName>
    <definedName name="_VDDIO18_XI0_Tdelay_GLB">'[8]Global Specs'!$D$208</definedName>
    <definedName name="_VDDIO18_XI0_Valt_GLB">'[8]Global Specs'!$D$206</definedName>
    <definedName name="_VDDIO18_XI0_VAR_C">[8]DC_Specs_C!$C$128</definedName>
    <definedName name="_VDDIO18_XI0_VAR_COM">[4]DC_Specs!$C$131</definedName>
    <definedName name="_VDDIO18_XI0_VAR_G">[8]DC_Specs_G!$C$128</definedName>
    <definedName name="_VDDIO18_XI0_VAR_H">[8]DC_Specs_H!$C$128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>[8]AC_Specs_C!$C$5</definedName>
    <definedName name="_XI0_Freq_COM">[4]AC_Specs!$C$5</definedName>
    <definedName name="_XI0_Freq_G">[8]AC_Specs_G!$C$5</definedName>
    <definedName name="_XI0_Freq_H">[8]AC_Specs_H!$C$5</definedName>
    <definedName name="_XI0_Freq_PAT_H">'[4]Global Specs'!$D$646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 localSheetId="0">#REF!</definedName>
    <definedName name="asss">#REF!</definedName>
    <definedName name="AVUS_BALLMAP">[13]WLCSP_AVUS!$B$4:$T$24</definedName>
    <definedName name="BALL2SEAL_HORZ" localSheetId="0">#REF!</definedName>
    <definedName name="BALL2SEAL_HORZ">#REF!</definedName>
    <definedName name="BALL2SEAL_VERT" localSheetId="0">#REF!</definedName>
    <definedName name="BALL2SEAL_VERT">#REF!</definedName>
    <definedName name="BallList">[14]!Table_PadList[[Ball]:[Ball Name]]</definedName>
    <definedName name="BALLMAP" localSheetId="0">#REF!</definedName>
    <definedName name="BALLMAP">#REF!</definedName>
    <definedName name="BALLPITCH" localSheetId="0">#REF!</definedName>
    <definedName name="BALLPITCH">#REF!</definedName>
    <definedName name="blockPin" localSheetId="0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 localSheetId="0">#REF!</definedName>
    <definedName name="ColAtt">#REF!</definedName>
    <definedName name="ColStatement" localSheetId="0">#REF!</definedName>
    <definedName name="ColStatement">#REF!</definedName>
    <definedName name="CustomerInput" localSheetId="0">#REF!</definedName>
    <definedName name="CustomerInput">#REF!</definedName>
    <definedName name="d" localSheetId="0">'[16]HardIP DFT Clocks'!#REF!</definedName>
    <definedName name="d">'[16]HardIP DFT Clocks'!#REF!</definedName>
    <definedName name="Db">1</definedName>
    <definedName name="Dummy_?" localSheetId="0">'[9]IO TestPin Mapping'!#REF!</definedName>
    <definedName name="Dummy_?">'[9]IO TestPin Mapping'!#REF!</definedName>
    <definedName name="Dummy?" localSheetId="0">'[9]IO TestPin Mapping'!#REF!</definedName>
    <definedName name="Dummy?">'[9]IO TestPin Mapping'!#REF!</definedName>
    <definedName name="e" localSheetId="0">'[17]Global Specs'!$D$213</definedName>
    <definedName name="e">'[18]Global Specs'!$D$213</definedName>
    <definedName name="ESDcellnames">[19]DataValidation!$A$4:$A$12</definedName>
    <definedName name="EVS_0621">'[20]calc-Internal'!$A:$Q</definedName>
    <definedName name="fff">'[21]IO TestPin Mapping'!#REF!</definedName>
    <definedName name="FlowTableOpcodes" hidden="1">[22]Sheet1!$B$1:$B$26</definedName>
    <definedName name="FlowTableOpcodes2" hidden="1">[22]Sheet1!$B$1:$B$26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 localSheetId="0">[24]EFUSE_PINLIST!#REF!</definedName>
    <definedName name="H6P_IO_DDR_1_3">[24]EFUSE_PINLIST!#REF!</definedName>
    <definedName name="H6P_IO_DDR_1_3_1" localSheetId="0">[24]EFUSE_PINLIST!#REF!</definedName>
    <definedName name="H6P_IO_DDR_1_3_1">[24]EFUSE_PINLIST!#REF!</definedName>
    <definedName name="H6P_IO_DDR_1_3_1_0" localSheetId="0">[25]EFUSE_PINLIST!#REF!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 localSheetId="0">'[26]Operation Keyword'!$A$2:$A$16</definedName>
    <definedName name="haha">'[27]Operation Keyword'!$A$2:$A$16</definedName>
    <definedName name="HARDIP_AMPH">'[28]Operation Keyword'!$A$2:$A$16</definedName>
    <definedName name="hhh">'[21]IO TestPin Mapping'!#REF!</definedName>
    <definedName name="Hz">1</definedName>
    <definedName name="IO_1_3">[29]EFUSE_PINLIST!#REF!</definedName>
    <definedName name="IO_2_3">[29]EFUSE_PINLIST!#REF!</definedName>
    <definedName name="IO_3">[24]EFUSE_PINLIST!#REF!</definedName>
    <definedName name="IO_3_0">[25]EFUSE_PINLIST!#REF!</definedName>
    <definedName name="IO_Type">'[30]Lookup for type'!$S$7:$T$13</definedName>
    <definedName name="IO_Type_NAME">'[30]Lookup for type'!$S$7:$S$13</definedName>
    <definedName name="JADE_C_C1">'[31]Summary jade-C CP1'!$A:$I</definedName>
    <definedName name="JADE_C_CP2">'[31]Summary jade-C CP2'!$A:$I</definedName>
    <definedName name="jjj">'[21]IO TestPin Mapping'!#REF!</definedName>
    <definedName name="KHz">1000</definedName>
    <definedName name="LIST" localSheetId="0">#REF!</definedName>
    <definedName name="LIST">#REF!</definedName>
    <definedName name="LIST_AVUS" localSheetId="0">#REF!</definedName>
    <definedName name="LIST_AVUS">#REF!</definedName>
    <definedName name="LIST_IMOLA">[32]LIST_IMOLA!$B$11:$K$371</definedName>
    <definedName name="LIST_SHEET" localSheetId="0">#REF!</definedName>
    <definedName name="LIST_SHEET">#REF!</definedName>
    <definedName name="LIST_SUZUKA" localSheetId="0">#REF!</definedName>
    <definedName name="LIST_SUZUKA">#REF!</definedName>
    <definedName name="LIST_THERING" localSheetId="0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>[8]DC_Specs_G!$C$134</definedName>
    <definedName name="Operation_Keyword">'[33]Operation Keyword'!$A$2:$A$16</definedName>
    <definedName name="orange">[34]from_Orange!$A$1:$O$89</definedName>
    <definedName name="owner" localSheetId="0">#REF!</definedName>
    <definedName name="owner">#REF!</definedName>
    <definedName name="pA">0.000000000001</definedName>
    <definedName name="PadLayout">[19]!Table_VoltageLevels2[Pad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 localSheetId="0">#REF!</definedName>
    <definedName name="pinDirection">#REF!</definedName>
    <definedName name="PinDirs">[19]!Table5[Dir]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 localSheetId="0">#REF!</definedName>
    <definedName name="real_ref">#REF!</definedName>
    <definedName name="ReqNb" localSheetId="0">#REF!</definedName>
    <definedName name="ReqNb">#REF!</definedName>
    <definedName name="ReqRange" localSheetId="0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 localSheetId="0">#REF!</definedName>
    <definedName name="Start10">#REF!</definedName>
    <definedName name="Start3">[39]Flow_Main!#REF!</definedName>
    <definedName name="Status" localSheetId="0">#REF!</definedName>
    <definedName name="Status">#REF!</definedName>
    <definedName name="sw">[40]WLCSP_STOWE!$B$4:$W$24</definedName>
    <definedName name="tt" hidden="1">[22]Sheet1!$B$1:$B$26</definedName>
    <definedName name="tt_2" hidden="1">[22]Sheet1!$B$1:$B$26</definedName>
    <definedName name="TYPE" localSheetId="0">#REF!</definedName>
    <definedName name="TYPE">#REF!</definedName>
    <definedName name="Types">[19]!Table4[Types]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 localSheetId="0">#REF!</definedName>
    <definedName name="VerificationMethod">#REF!</definedName>
    <definedName name="VoltageLevels">[19]!Table_VoltageLevels[Voltage level]</definedName>
    <definedName name="VRANGE_LV">'[21]Table 3 Anaobs ADC'!$F$53</definedName>
    <definedName name="VRANGE_NV">'[21]Table 3 Anaobs ADC'!$E$53</definedName>
    <definedName name="vv">'[21]IO TestPin Mapping'!#REF!</definedName>
    <definedName name="wee" localSheetId="0">#REF!</definedName>
    <definedName name="wee">#REF!</definedName>
    <definedName name="WLCSP" localSheetId="0">#REF!</definedName>
    <definedName name="WLCSP">#REF!</definedName>
    <definedName name="WLCSP_AVUS">[36]WLCSP_AVUS!$B$4:$T$24</definedName>
    <definedName name="WLCSP_columns" localSheetId="0">#REF!</definedName>
    <definedName name="WLCSP_columns">#REF!</definedName>
    <definedName name="WLCSP_compare" localSheetId="0">#REF!</definedName>
    <definedName name="WLCSP_compare">#REF!</definedName>
    <definedName name="WLCSP_IMOLA" localSheetId="0">#REF!</definedName>
    <definedName name="WLCSP_IMOLA">#REF!</definedName>
    <definedName name="WLCSP_rows" localSheetId="0">#REF!</definedName>
    <definedName name="WLCSP_rows">#REF!</definedName>
    <definedName name="WLCSP_SHEET">[41]WLCSP_SHEET!$B$4:$T$24</definedName>
    <definedName name="WLCSP_SHEET_1" localSheetId="0">#REF!</definedName>
    <definedName name="WLCSP_SHEET_1">#REF!</definedName>
    <definedName name="WLCSP_SUZUKA" localSheetId="0">#REF!</definedName>
    <definedName name="WLCSP_SUZUKA">#REF!</definedName>
    <definedName name="WLCSP_THERING" localSheetId="0">#REF!</definedName>
    <definedName name="WLCSP_THERING">#REF!</definedName>
    <definedName name="WLFT_FT2_offset">[42]POWER_MemoryRepairBist!$B$38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V23" i="1"/>
  <c r="V22" i="1"/>
  <c r="V21" i="1"/>
  <c r="V20" i="1"/>
  <c r="V19" i="1"/>
  <c r="V18" i="1"/>
  <c r="V17" i="1"/>
  <c r="V16" i="1"/>
  <c r="V15" i="1"/>
  <c r="V14" i="1"/>
  <c r="U24" i="1"/>
  <c r="U23" i="1"/>
  <c r="U22" i="1"/>
  <c r="U21" i="1"/>
  <c r="U20" i="1"/>
  <c r="U19" i="1"/>
  <c r="U18" i="1"/>
  <c r="U17" i="1"/>
  <c r="U16" i="1"/>
  <c r="U15" i="1"/>
  <c r="U14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W24" i="1"/>
  <c r="T24" i="1"/>
  <c r="W23" i="1"/>
  <c r="T23" i="1"/>
  <c r="W22" i="1"/>
  <c r="T22" i="1"/>
  <c r="W21" i="1"/>
  <c r="T21" i="1"/>
  <c r="W20" i="1"/>
  <c r="T20" i="1"/>
  <c r="W19" i="1"/>
  <c r="T19" i="1"/>
  <c r="W18" i="1"/>
  <c r="T18" i="1"/>
  <c r="W17" i="1"/>
  <c r="T17" i="1"/>
  <c r="W16" i="1"/>
  <c r="T16" i="1"/>
  <c r="W15" i="1"/>
  <c r="W14" i="1"/>
  <c r="T14" i="1"/>
  <c r="AL24" i="1"/>
  <c r="AK24" i="1"/>
  <c r="AJ24" i="1"/>
  <c r="AI24" i="1"/>
  <c r="AH24" i="1"/>
  <c r="AG24" i="1"/>
  <c r="AF24" i="1"/>
  <c r="AE24" i="1"/>
  <c r="AD24" i="1"/>
  <c r="AC24" i="1"/>
  <c r="AB24" i="1"/>
  <c r="X24" i="1"/>
  <c r="Y24" i="1"/>
  <c r="S24" i="1"/>
  <c r="R24" i="1"/>
  <c r="Q24" i="1"/>
  <c r="P24" i="1"/>
  <c r="O24" i="1"/>
  <c r="N24" i="1"/>
  <c r="M24" i="1"/>
  <c r="L24" i="1"/>
  <c r="K24" i="1"/>
  <c r="I24" i="1"/>
  <c r="G24" i="1"/>
  <c r="F24" i="1"/>
  <c r="E24" i="1"/>
  <c r="D24" i="1"/>
  <c r="C24" i="1"/>
  <c r="B24" i="1"/>
  <c r="AL23" i="1"/>
  <c r="AK23" i="1"/>
  <c r="AJ23" i="1"/>
  <c r="AI23" i="1"/>
  <c r="AH23" i="1"/>
  <c r="AG23" i="1"/>
  <c r="AF23" i="1"/>
  <c r="AE23" i="1"/>
  <c r="AD23" i="1"/>
  <c r="AC23" i="1"/>
  <c r="AB23" i="1"/>
  <c r="X23" i="1"/>
  <c r="Y23" i="1"/>
  <c r="S23" i="1"/>
  <c r="R23" i="1"/>
  <c r="Q23" i="1"/>
  <c r="P23" i="1"/>
  <c r="O23" i="1"/>
  <c r="N23" i="1"/>
  <c r="M23" i="1"/>
  <c r="L23" i="1"/>
  <c r="K23" i="1"/>
  <c r="I23" i="1"/>
  <c r="G23" i="1"/>
  <c r="F23" i="1"/>
  <c r="E23" i="1"/>
  <c r="D23" i="1"/>
  <c r="C23" i="1"/>
  <c r="B23" i="1"/>
  <c r="AL22" i="1"/>
  <c r="AK22" i="1"/>
  <c r="AJ22" i="1"/>
  <c r="AI22" i="1"/>
  <c r="AH22" i="1"/>
  <c r="AG22" i="1"/>
  <c r="AF22" i="1"/>
  <c r="AE22" i="1"/>
  <c r="AD22" i="1"/>
  <c r="AC22" i="1"/>
  <c r="AB22" i="1"/>
  <c r="X22" i="1"/>
  <c r="Y22" i="1"/>
  <c r="S22" i="1"/>
  <c r="R22" i="1"/>
  <c r="Q22" i="1"/>
  <c r="P22" i="1"/>
  <c r="O22" i="1"/>
  <c r="N22" i="1"/>
  <c r="M22" i="1"/>
  <c r="L22" i="1"/>
  <c r="K22" i="1"/>
  <c r="I22" i="1"/>
  <c r="G22" i="1"/>
  <c r="F22" i="1"/>
  <c r="E22" i="1"/>
  <c r="D22" i="1"/>
  <c r="C22" i="1"/>
  <c r="B22" i="1"/>
  <c r="AL21" i="1"/>
  <c r="AK21" i="1"/>
  <c r="AJ21" i="1"/>
  <c r="AI21" i="1"/>
  <c r="AH21" i="1"/>
  <c r="AG21" i="1"/>
  <c r="AF21" i="1"/>
  <c r="AE21" i="1"/>
  <c r="AD21" i="1"/>
  <c r="AC21" i="1"/>
  <c r="AB21" i="1"/>
  <c r="X21" i="1"/>
  <c r="Y21" i="1"/>
  <c r="S21" i="1"/>
  <c r="R21" i="1"/>
  <c r="Q21" i="1"/>
  <c r="P21" i="1"/>
  <c r="O21" i="1"/>
  <c r="N21" i="1"/>
  <c r="M21" i="1"/>
  <c r="L21" i="1"/>
  <c r="K21" i="1"/>
  <c r="I21" i="1"/>
  <c r="G21" i="1"/>
  <c r="F21" i="1"/>
  <c r="E21" i="1"/>
  <c r="D21" i="1"/>
  <c r="C21" i="1"/>
  <c r="B21" i="1"/>
  <c r="AL20" i="1"/>
  <c r="AK20" i="1"/>
  <c r="AJ20" i="1"/>
  <c r="AI20" i="1"/>
  <c r="AH20" i="1"/>
  <c r="AG20" i="1"/>
  <c r="AF20" i="1"/>
  <c r="AE20" i="1"/>
  <c r="AD20" i="1"/>
  <c r="AC20" i="1"/>
  <c r="AB20" i="1"/>
  <c r="X20" i="1"/>
  <c r="Y20" i="1"/>
  <c r="S20" i="1"/>
  <c r="R20" i="1"/>
  <c r="Q20" i="1"/>
  <c r="P20" i="1"/>
  <c r="O20" i="1"/>
  <c r="N20" i="1"/>
  <c r="M20" i="1"/>
  <c r="L20" i="1"/>
  <c r="K20" i="1"/>
  <c r="I20" i="1"/>
  <c r="G20" i="1"/>
  <c r="F20" i="1"/>
  <c r="E20" i="1"/>
  <c r="D20" i="1"/>
  <c r="C20" i="1"/>
  <c r="B20" i="1"/>
  <c r="AL19" i="1"/>
  <c r="AK19" i="1"/>
  <c r="AJ19" i="1"/>
  <c r="AI19" i="1"/>
  <c r="AH19" i="1"/>
  <c r="AG19" i="1"/>
  <c r="AF19" i="1"/>
  <c r="AE19" i="1"/>
  <c r="AD19" i="1"/>
  <c r="AC19" i="1"/>
  <c r="AB19" i="1"/>
  <c r="X19" i="1"/>
  <c r="Y19" i="1"/>
  <c r="S19" i="1"/>
  <c r="R19" i="1"/>
  <c r="Q19" i="1"/>
  <c r="P19" i="1"/>
  <c r="O19" i="1"/>
  <c r="N19" i="1"/>
  <c r="M19" i="1"/>
  <c r="L19" i="1"/>
  <c r="K19" i="1"/>
  <c r="I19" i="1"/>
  <c r="G19" i="1"/>
  <c r="F19" i="1"/>
  <c r="E19" i="1"/>
  <c r="D19" i="1"/>
  <c r="C19" i="1"/>
  <c r="B19" i="1"/>
  <c r="AL18" i="1"/>
  <c r="AK18" i="1"/>
  <c r="AJ18" i="1"/>
  <c r="AI18" i="1"/>
  <c r="AH18" i="1"/>
  <c r="AG18" i="1"/>
  <c r="AF18" i="1"/>
  <c r="AE18" i="1"/>
  <c r="AD18" i="1"/>
  <c r="AC18" i="1"/>
  <c r="AB18" i="1"/>
  <c r="X18" i="1"/>
  <c r="Y18" i="1"/>
  <c r="S18" i="1"/>
  <c r="R18" i="1"/>
  <c r="Q18" i="1"/>
  <c r="P18" i="1"/>
  <c r="O18" i="1"/>
  <c r="N18" i="1"/>
  <c r="M18" i="1"/>
  <c r="L18" i="1"/>
  <c r="K18" i="1"/>
  <c r="I18" i="1"/>
  <c r="G18" i="1"/>
  <c r="F18" i="1"/>
  <c r="E18" i="1"/>
  <c r="D18" i="1"/>
  <c r="C18" i="1"/>
  <c r="B18" i="1"/>
  <c r="AL17" i="1"/>
  <c r="AK17" i="1"/>
  <c r="AJ17" i="1"/>
  <c r="AI17" i="1"/>
  <c r="AH17" i="1"/>
  <c r="AG17" i="1"/>
  <c r="AF17" i="1"/>
  <c r="AE17" i="1"/>
  <c r="AD17" i="1"/>
  <c r="AC17" i="1"/>
  <c r="AB17" i="1"/>
  <c r="X17" i="1"/>
  <c r="Y17" i="1"/>
  <c r="S17" i="1"/>
  <c r="R17" i="1"/>
  <c r="Q17" i="1"/>
  <c r="P17" i="1"/>
  <c r="O17" i="1"/>
  <c r="N17" i="1"/>
  <c r="M17" i="1"/>
  <c r="L17" i="1"/>
  <c r="K17" i="1"/>
  <c r="I17" i="1"/>
  <c r="G17" i="1"/>
  <c r="F17" i="1"/>
  <c r="E17" i="1"/>
  <c r="D17" i="1"/>
  <c r="C17" i="1"/>
  <c r="B17" i="1"/>
  <c r="AL16" i="1"/>
  <c r="AK16" i="1"/>
  <c r="AJ16" i="1"/>
  <c r="AI16" i="1"/>
  <c r="AH16" i="1"/>
  <c r="AG16" i="1"/>
  <c r="AF16" i="1"/>
  <c r="AE16" i="1"/>
  <c r="AD16" i="1"/>
  <c r="AC16" i="1"/>
  <c r="AB16" i="1"/>
  <c r="X16" i="1"/>
  <c r="Y16" i="1"/>
  <c r="S16" i="1"/>
  <c r="R16" i="1"/>
  <c r="Q16" i="1"/>
  <c r="P16" i="1"/>
  <c r="O16" i="1"/>
  <c r="N16" i="1"/>
  <c r="M16" i="1"/>
  <c r="L16" i="1"/>
  <c r="K16" i="1"/>
  <c r="I16" i="1"/>
  <c r="G16" i="1"/>
  <c r="F16" i="1"/>
  <c r="E16" i="1"/>
  <c r="D16" i="1"/>
  <c r="C16" i="1"/>
  <c r="B16" i="1"/>
  <c r="AL15" i="1"/>
  <c r="AK15" i="1"/>
  <c r="AJ15" i="1"/>
  <c r="AI15" i="1"/>
  <c r="AH15" i="1"/>
  <c r="AG15" i="1"/>
  <c r="AF15" i="1"/>
  <c r="AE15" i="1"/>
  <c r="AD15" i="1"/>
  <c r="AC15" i="1"/>
  <c r="AB15" i="1"/>
  <c r="X15" i="1"/>
  <c r="Y15" i="1"/>
  <c r="S15" i="1"/>
  <c r="T15" i="1"/>
  <c r="R15" i="1"/>
  <c r="Q15" i="1"/>
  <c r="P15" i="1"/>
  <c r="O15" i="1"/>
  <c r="N15" i="1"/>
  <c r="M15" i="1"/>
  <c r="L15" i="1"/>
  <c r="K15" i="1"/>
  <c r="I15" i="1"/>
  <c r="G15" i="1"/>
  <c r="F15" i="1"/>
  <c r="E15" i="1"/>
  <c r="D15" i="1"/>
  <c r="C15" i="1"/>
  <c r="B15" i="1"/>
  <c r="AL14" i="1"/>
  <c r="AK14" i="1"/>
  <c r="AJ14" i="1"/>
  <c r="AI14" i="1"/>
  <c r="AH14" i="1"/>
  <c r="AG14" i="1"/>
  <c r="AF14" i="1"/>
  <c r="AE14" i="1"/>
  <c r="AD14" i="1"/>
  <c r="AC14" i="1"/>
  <c r="AB14" i="1"/>
  <c r="X14" i="1"/>
  <c r="Y14" i="1"/>
  <c r="S14" i="1"/>
  <c r="R14" i="1"/>
  <c r="Q14" i="1"/>
  <c r="P14" i="1"/>
  <c r="O14" i="1"/>
  <c r="N14" i="1"/>
  <c r="M14" i="1"/>
  <c r="L14" i="1"/>
  <c r="K14" i="1"/>
  <c r="I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<sst xmlns="http://schemas.openxmlformats.org/spreadsheetml/2006/main" count="257" uniqueCount="94">
  <si>
    <t>Flag Result</t>
  </si>
  <si>
    <t>Harvest Decision</t>
  </si>
  <si>
    <t>Hard Bin</t>
  </si>
  <si>
    <t>Proposed bin name</t>
  </si>
  <si>
    <t>INPUT Flags -&gt;</t>
  </si>
  <si>
    <t>F_PowerBinning0 @CP1_BC</t>
  </si>
  <si>
    <t>F_PowerBinning1 @CP1_BC</t>
  </si>
  <si>
    <t>F_PowerBinning2 @CP1_BC</t>
  </si>
  <si>
    <t>F_PowerBinning3 @CP1_BC</t>
  </si>
  <si>
    <t>F_Enable_CPU_Turbo @CP1_BC</t>
  </si>
  <si>
    <t>F_Enable_GPU_Turbo @CP1_BC</t>
  </si>
  <si>
    <t>F_EVS_Alarm_CP1</t>
  </si>
  <si>
    <t>F_SOC_HARV_IS</t>
  </si>
  <si>
    <t>SUM(F_ANE0_HARV_CORE[16:0])</t>
  </si>
  <si>
    <t>SUM(F_ANE1_HARV_CORE[16:0])</t>
  </si>
  <si>
    <t>F_ANE0_HARV_CNTR</t>
  </si>
  <si>
    <t>F_ANE1_HARV_CNTR</t>
  </si>
  <si>
    <t>Bin01</t>
  </si>
  <si>
    <t>Bin07</t>
  </si>
  <si>
    <t>Bin09</t>
  </si>
  <si>
    <t>Bin10</t>
  </si>
  <si>
    <t>Bin11</t>
  </si>
  <si>
    <t>Bin12</t>
  </si>
  <si>
    <t>Bin13</t>
  </si>
  <si>
    <t>Bin14</t>
  </si>
  <si>
    <t>Bin16</t>
  </si>
  <si>
    <t>HardBinNum</t>
  </si>
  <si>
    <t>comment</t>
  </si>
  <si>
    <t>Bin01_FullFunctional</t>
  </si>
  <si>
    <t>X</t>
  </si>
  <si>
    <t>0-1</t>
  </si>
  <si>
    <t>Bin09_IS</t>
  </si>
  <si>
    <t>Bin10_ED</t>
  </si>
  <si>
    <t>0-17</t>
  </si>
  <si>
    <t>Bin101_FullFunctional</t>
  </si>
  <si>
    <t>Fuse Hardbin # same as EVS1</t>
  </si>
  <si>
    <t>Bin109_IS</t>
  </si>
  <si>
    <t>Bin110_ED</t>
  </si>
  <si>
    <t>Bin05_1FSTP</t>
  </si>
  <si>
    <t>Bin06_1PCPU</t>
  </si>
  <si>
    <t>Bin07_1ECPU</t>
  </si>
  <si>
    <t>F_SOC_HARV_ED</t>
  </si>
  <si>
    <t>Bin11_PD</t>
  </si>
  <si>
    <t>Bin12_SD</t>
  </si>
  <si>
    <t>F_SOC_HARV_PD</t>
  </si>
  <si>
    <t>F_SOC_HARV_SD</t>
  </si>
  <si>
    <t>Bin14_PIS</t>
  </si>
  <si>
    <t>Bin13_PR</t>
  </si>
  <si>
    <t>F_SOC_HARV_PR</t>
  </si>
  <si>
    <t>F_SOC_HARV_PIS</t>
  </si>
  <si>
    <t>Bin05</t>
  </si>
  <si>
    <t>Bin06</t>
  </si>
  <si>
    <t>Bin105_1FSTP</t>
  </si>
  <si>
    <t>Bin106_1PCPU</t>
  </si>
  <si>
    <t>Bin107_1ECPU</t>
  </si>
  <si>
    <t>Bin111_PD</t>
  </si>
  <si>
    <t>Bin112_SD</t>
  </si>
  <si>
    <t>Bin113_PR</t>
  </si>
  <si>
    <t>Bin114_PIS</t>
  </si>
  <si>
    <t>Bin01_SXEXPXGX_Repair[0,1][0,1][0,1]_A[a0]_EVS1</t>
  </si>
  <si>
    <t>Bin101_SXEXPXGX_Repair[0,1][0,1][0,1]_A[a0]_EVS2</t>
  </si>
  <si>
    <t>SUM(F_ANEX_HARV_CORE[33:0]) =&gt; a0</t>
  </si>
  <si>
    <t>0-2</t>
  </si>
  <si>
    <t>0-34</t>
  </si>
  <si>
    <t>F_ANEX_HARV_ALL_AND</t>
  </si>
  <si>
    <t>F_ANEX_HARV_ALL_OR</t>
  </si>
  <si>
    <t>Bin16_1ANE</t>
  </si>
  <si>
    <t>F_GFX0_HARV_CNTR</t>
  </si>
  <si>
    <t>SUM(F_ANE0_BIST_CORE[16:0])</t>
  </si>
  <si>
    <t>SUM(F_ANE1_BIST_CORE[16:0])</t>
  </si>
  <si>
    <t>Bin05_SXEXPXG{g0}_Repair[0,1][0,1][0,1]_A[a0]_EVS1</t>
  </si>
  <si>
    <t>Bin06_SXEXP{p0}GX_Repair[0,1][0,1][0,1]_A[a0]_EVS1</t>
  </si>
  <si>
    <t>Bin07_SXE{e0}PXGX_Repair[0,1][0,1][0,1]_A[a0]_EVS1</t>
  </si>
  <si>
    <t>Bin105_SXEXPXG{g0}_Repair[0,1][0,1][0,1]_A[a0]_EVS2</t>
  </si>
  <si>
    <t>Bin106_SXEXP{p0}GX_Repair[0,1][0,1][0,1]_A[a0]_EVS2</t>
  </si>
  <si>
    <t>Bin107_SXE{e0}PXGX_Repair[0,1][0,1][0,1]_A[a0]_EVS2</t>
  </si>
  <si>
    <t>SUM(F_GFX0_HARV_CORE[6:0]) =&gt; g0</t>
  </si>
  <si>
    <t>SUM(F_PCPU_HARV_CORE[1:0]) =&gt; p0</t>
  </si>
  <si>
    <t>SUM(F_ECPU_HARV_CORE[3:0]) =&gt; e0</t>
  </si>
  <si>
    <t>Bin116_1ANE</t>
  </si>
  <si>
    <t>Bin09_S9EXPXGX_Repair[0,1][0,1][0,1]_A[a0]_EVS1</t>
  </si>
  <si>
    <r>
      <t>Bin10_S</t>
    </r>
    <r>
      <rPr>
        <b/>
        <sz val="12"/>
        <color rgb="FFFF0000"/>
        <rFont val="Courier New"/>
        <family val="1"/>
      </rPr>
      <t>A</t>
    </r>
    <r>
      <rPr>
        <sz val="12"/>
        <rFont val="Courier New"/>
        <family val="1"/>
      </rPr>
      <t>EXPXGX_Repair[0,1][0,1][0,1]_A[a0]_EVS1</t>
    </r>
  </si>
  <si>
    <r>
      <t>Bin11_S</t>
    </r>
    <r>
      <rPr>
        <b/>
        <sz val="12"/>
        <color rgb="FFFF0000"/>
        <rFont val="Courier New"/>
        <family val="1"/>
      </rPr>
      <t>B</t>
    </r>
    <r>
      <rPr>
        <sz val="12"/>
        <rFont val="Courier New"/>
        <family val="1"/>
      </rPr>
      <t>EXPXGX_Repair[0,1][0,1][0,1]_A[a0]_EVS1</t>
    </r>
  </si>
  <si>
    <r>
      <t>Bin12_S</t>
    </r>
    <r>
      <rPr>
        <b/>
        <sz val="12"/>
        <color rgb="FFFF0000"/>
        <rFont val="Courier New"/>
        <family val="1"/>
      </rPr>
      <t>C</t>
    </r>
    <r>
      <rPr>
        <sz val="12"/>
        <rFont val="Courier New"/>
        <family val="1"/>
      </rPr>
      <t>EXPXGX_Repair[0,1][0,1][0,1]_A[a0]_EVS1</t>
    </r>
  </si>
  <si>
    <r>
      <t>Bin13_S</t>
    </r>
    <r>
      <rPr>
        <b/>
        <sz val="12"/>
        <color rgb="FFFF0000"/>
        <rFont val="Courier New"/>
        <family val="1"/>
      </rPr>
      <t>D</t>
    </r>
    <r>
      <rPr>
        <sz val="12"/>
        <rFont val="Courier New"/>
        <family val="1"/>
      </rPr>
      <t>EXPXGX_Repair[0,1][0,1][0,1]_A[a0]_EVS1</t>
    </r>
  </si>
  <si>
    <r>
      <t>Bin14_S</t>
    </r>
    <r>
      <rPr>
        <b/>
        <sz val="12"/>
        <color rgb="FFFF0000"/>
        <rFont val="Courier New"/>
        <family val="1"/>
      </rPr>
      <t>E</t>
    </r>
    <r>
      <rPr>
        <sz val="12"/>
        <rFont val="Courier New"/>
        <family val="1"/>
      </rPr>
      <t>EXPXGX_Repair[0,1][0,1][0,1]_A[a0]_EVS1</t>
    </r>
  </si>
  <si>
    <r>
      <t>Bin16_S</t>
    </r>
    <r>
      <rPr>
        <b/>
        <sz val="12"/>
        <color rgb="FFFF0000"/>
        <rFont val="Courier New"/>
        <family val="1"/>
      </rPr>
      <t>G</t>
    </r>
    <r>
      <rPr>
        <sz val="12"/>
        <rFont val="Courier New"/>
        <family val="1"/>
      </rPr>
      <t>EXPXGX_Repair[0,1][0,1][0,1]_AA_EVS1</t>
    </r>
  </si>
  <si>
    <r>
      <t>Bin109_S</t>
    </r>
    <r>
      <rPr>
        <b/>
        <sz val="12"/>
        <color rgb="FFFF0000"/>
        <rFont val="Courier New"/>
        <family val="1"/>
      </rPr>
      <t>9</t>
    </r>
    <r>
      <rPr>
        <sz val="12"/>
        <rFont val="Courier New"/>
        <family val="1"/>
      </rPr>
      <t>EXPXGX_Repair[0,1][0,1][0,1]_A[a0]_EVS2</t>
    </r>
  </si>
  <si>
    <r>
      <t>Bin110_S</t>
    </r>
    <r>
      <rPr>
        <b/>
        <sz val="12"/>
        <color rgb="FFFF0000"/>
        <rFont val="Courier New"/>
        <family val="1"/>
      </rPr>
      <t>A</t>
    </r>
    <r>
      <rPr>
        <sz val="12"/>
        <rFont val="Courier New"/>
        <family val="1"/>
      </rPr>
      <t>EXPXGX_Repair[0,1][0,1][0,1]_A[a0]_EVS2</t>
    </r>
  </si>
  <si>
    <r>
      <t>Bin111_S</t>
    </r>
    <r>
      <rPr>
        <b/>
        <sz val="12"/>
        <color rgb="FFFF0000"/>
        <rFont val="Courier New"/>
        <family val="1"/>
      </rPr>
      <t>B</t>
    </r>
    <r>
      <rPr>
        <sz val="12"/>
        <rFont val="Courier New"/>
        <family val="1"/>
      </rPr>
      <t>EXPXGX_Repair[0,1][0,1][0,1]_A[a0]_EVS2</t>
    </r>
  </si>
  <si>
    <r>
      <t>Bin112_S</t>
    </r>
    <r>
      <rPr>
        <b/>
        <sz val="12"/>
        <color rgb="FFFF0000"/>
        <rFont val="Courier New"/>
        <family val="1"/>
      </rPr>
      <t>C</t>
    </r>
    <r>
      <rPr>
        <sz val="12"/>
        <rFont val="Courier New"/>
        <family val="1"/>
      </rPr>
      <t>EXPXGX_Repair[0,1][0,1][0,1]_A[a0]_EVS2</t>
    </r>
  </si>
  <si>
    <r>
      <t>Bin113_S</t>
    </r>
    <r>
      <rPr>
        <b/>
        <sz val="12"/>
        <color rgb="FFFF0000"/>
        <rFont val="Courier New"/>
        <family val="1"/>
      </rPr>
      <t>D</t>
    </r>
    <r>
      <rPr>
        <sz val="12"/>
        <rFont val="Courier New"/>
        <family val="1"/>
      </rPr>
      <t>EXPXGX_Repair[0,1][0,1][0,1]_A[a0]_EVS2</t>
    </r>
  </si>
  <si>
    <r>
      <t>Bin114_S</t>
    </r>
    <r>
      <rPr>
        <b/>
        <sz val="12"/>
        <color rgb="FFFF0000"/>
        <rFont val="Courier New"/>
        <family val="1"/>
      </rPr>
      <t>E</t>
    </r>
    <r>
      <rPr>
        <sz val="12"/>
        <rFont val="Courier New"/>
        <family val="1"/>
      </rPr>
      <t>EXPXGX_Repair[0,1][0,1][0,1]_A[a0]_EVS2</t>
    </r>
  </si>
  <si>
    <r>
      <t>Bin116_S</t>
    </r>
    <r>
      <rPr>
        <b/>
        <sz val="12"/>
        <color rgb="FFFF0000"/>
        <rFont val="Courier New"/>
        <family val="1"/>
      </rPr>
      <t>G</t>
    </r>
    <r>
      <rPr>
        <sz val="12"/>
        <rFont val="Courier New"/>
        <family val="1"/>
      </rPr>
      <t>EXPXGX_Repair[0,1][0,1][0,1]_AA_EVS2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</si>
</sst>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2"/>
      <color rgb="FFFF0000"/>
      <name val="Courier New"/>
      <family val="1"/>
    </font>
    <font>
      <b/>
      <sz val="12"/>
      <color rgb="FFFF0000"/>
      <name val="Courier New"/>
      <family val="1"/>
    </font>
    <font>
      <b/>
      <sz val="12"/>
      <name val="Courier New"/>
      <family val="1"/>
    </font>
    <font>
      <b/>
      <sz val="12"/>
      <color rgb="FF0432FF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rgb="FFEB35E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1" fillId="0" borderId="0" xfId="1"/>
    <xf numFmtId="0" fontId="2" fillId="0" borderId="3" xfId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5" borderId="3" xfId="1" quotePrefix="1" applyFont="1" applyFill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2" fillId="2" borderId="10" xfId="1" applyFont="1" applyFill="1" applyBorder="1" applyAlignment="1">
      <alignment horizontal="center" textRotation="90"/>
    </xf>
    <xf numFmtId="0" fontId="2" fillId="3" borderId="10" xfId="1" applyFont="1" applyFill="1" applyBorder="1" applyAlignment="1">
      <alignment horizontal="center" textRotation="90"/>
    </xf>
    <xf numFmtId="0" fontId="2" fillId="4" borderId="10" xfId="1" applyFont="1" applyFill="1" applyBorder="1" applyAlignment="1">
      <alignment horizontal="center" textRotation="90"/>
    </xf>
    <xf numFmtId="0" fontId="2" fillId="0" borderId="10" xfId="1" applyFont="1" applyBorder="1" applyAlignment="1">
      <alignment horizontal="center" textRotation="90"/>
    </xf>
    <xf numFmtId="0" fontId="2" fillId="7" borderId="10" xfId="1" applyFont="1" applyFill="1" applyBorder="1" applyAlignment="1">
      <alignment horizontal="center" textRotation="90"/>
    </xf>
    <xf numFmtId="0" fontId="2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8" xfId="1" applyFont="1" applyBorder="1" applyAlignment="1">
      <alignment horizontal="center" vertical="center"/>
    </xf>
    <xf numFmtId="0" fontId="2" fillId="0" borderId="18" xfId="1" quotePrefix="1" applyFont="1" applyBorder="1" applyAlignment="1">
      <alignment horizontal="center" vertical="center"/>
    </xf>
    <xf numFmtId="0" fontId="3" fillId="0" borderId="19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1" fillId="0" borderId="5" xfId="1" applyBorder="1"/>
    <xf numFmtId="0" fontId="2" fillId="0" borderId="12" xfId="1" applyFont="1" applyBorder="1" applyAlignment="1">
      <alignment horizontal="left"/>
    </xf>
    <xf numFmtId="0" fontId="2" fillId="7" borderId="20" xfId="1" applyFont="1" applyFill="1" applyBorder="1" applyAlignment="1">
      <alignment horizontal="left" vertical="center"/>
    </xf>
    <xf numFmtId="0" fontId="2" fillId="7" borderId="6" xfId="1" applyFont="1" applyFill="1" applyBorder="1" applyAlignment="1">
      <alignment horizontal="left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2" fillId="2" borderId="11" xfId="1" applyFont="1" applyFill="1" applyBorder="1" applyAlignment="1">
      <alignment horizontal="center" textRotation="90"/>
    </xf>
    <xf numFmtId="0" fontId="2" fillId="0" borderId="17" xfId="1" applyFont="1" applyBorder="1" applyAlignment="1">
      <alignment horizontal="center" vertical="center"/>
    </xf>
    <xf numFmtId="0" fontId="2" fillId="0" borderId="21" xfId="1" quotePrefix="1" applyFont="1" applyBorder="1" applyAlignment="1">
      <alignment horizontal="center" vertical="center"/>
    </xf>
    <xf numFmtId="0" fontId="2" fillId="0" borderId="23" xfId="1" quotePrefix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7" borderId="11" xfId="1" applyFont="1" applyFill="1" applyBorder="1" applyAlignment="1">
      <alignment horizontal="center" textRotation="90"/>
    </xf>
    <xf numFmtId="0" fontId="2" fillId="7" borderId="22" xfId="1" applyFont="1" applyFill="1" applyBorder="1" applyAlignment="1">
      <alignment horizontal="center" textRotation="90"/>
    </xf>
    <xf numFmtId="0" fontId="2" fillId="0" borderId="21" xfId="1" applyFont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2" fillId="6" borderId="9" xfId="1" applyFont="1" applyFill="1" applyBorder="1" applyAlignment="1">
      <alignment horizontal="center" textRotation="90"/>
    </xf>
    <xf numFmtId="0" fontId="2" fillId="7" borderId="24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" fillId="0" borderId="24" xfId="1" applyBorder="1"/>
    <xf numFmtId="0" fontId="2" fillId="0" borderId="9" xfId="1" applyFont="1" applyBorder="1" applyAlignment="1">
      <alignment horizontal="left"/>
    </xf>
    <xf numFmtId="0" fontId="2" fillId="0" borderId="14" xfId="1" applyFont="1" applyBorder="1" applyAlignment="1">
      <alignment horizontal="left" vertical="center"/>
    </xf>
    <xf numFmtId="0" fontId="1" fillId="0" borderId="3" xfId="1" applyBorder="1" applyAlignment="1">
      <alignment horizontal="center" vertical="center"/>
    </xf>
    <xf numFmtId="0" fontId="2" fillId="5" borderId="10" xfId="1" applyFont="1" applyFill="1" applyBorder="1" applyAlignment="1">
      <alignment horizontal="center" textRotation="90"/>
    </xf>
    <xf numFmtId="0" fontId="2" fillId="5" borderId="22" xfId="1" applyFont="1" applyFill="1" applyBorder="1" applyAlignment="1">
      <alignment horizontal="center" textRotation="90"/>
    </xf>
    <xf numFmtId="0" fontId="6" fillId="8" borderId="3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2" fillId="7" borderId="24" xfId="2" applyFont="1" applyFill="1" applyBorder="1" applyAlignment="1">
      <alignment horizontal="left" vertical="center"/>
    </xf>
    <xf numFmtId="0" fontId="2" fillId="7" borderId="2" xfId="2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3">
    <dxf>
      <font>
        <strike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432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DP-C651-TT.tsmc.com/C651_ProjectDocs$/Users/khuongtran/khuong_Khuongs-MacBook-Pro_5939/khuong_Khuongs-MacBook-Pro_5939/projects/skua/www/private/TE/Cyprus_IO_TestPin_Mapp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IO TestPin Mapping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IO TestPin Mapping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#124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Operation Keyword"/>
      <sheetName val="WLCSP_SUZUKA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O24"/>
  <sheetViews>
    <sheetView tabSelected="1" zoomScale="85" zoomScaleNormal="85" workbookViewId="0">
      <pane xSplit="1" ySplit="2" topLeftCell="S3" activePane="bottomRight" state="frozen"/>
      <selection pane="topRight" activeCell="B1" sqref="B1"/>
      <selection pane="bottomLeft" activeCell="A4" sqref="A4"/>
      <selection pane="bottomRight" activeCell="AN30" sqref="AN30"/>
    </sheetView>
  </sheetViews>
  <sheetFormatPr baseColWidth="10" defaultColWidth="13.83203125" defaultRowHeight="17" x14ac:dyDescent="0.2"/>
  <cols>
    <col min="1" max="1" width="26.6640625" style="10" bestFit="1" customWidth="1"/>
    <col min="2" max="2" width="5.83203125" style="11" customWidth="1"/>
    <col min="3" max="27" width="5.83203125" style="6" customWidth="1"/>
    <col min="28" max="28" width="5.83203125" style="11" customWidth="1"/>
    <col min="29" max="37" width="5.83203125" style="6" customWidth="1"/>
    <col min="38" max="38" width="5.83203125" style="13" customWidth="1"/>
    <col min="39" max="39" width="5.83203125" style="46" customWidth="1"/>
    <col min="40" max="40" width="91.1640625" style="49" customWidth="1"/>
    <col min="41" max="41" width="33.83203125" style="6" bestFit="1" customWidth="1"/>
    <col min="42" max="16384" width="13.83203125" style="6"/>
  </cols>
  <sheetData>
    <row r="1" spans="1:41" s="1" customFormat="1" thickBot="1" x14ac:dyDescent="0.25">
      <c r="A1" s="28"/>
      <c r="B1" s="32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/>
      <c r="K1" s="33" t="s">
        <v>0</v>
      </c>
      <c r="L1" s="33" t="s">
        <v>0</v>
      </c>
      <c r="M1" s="33" t="s">
        <v>0</v>
      </c>
      <c r="N1" s="33" t="s">
        <v>0</v>
      </c>
      <c r="O1" s="33" t="s">
        <v>0</v>
      </c>
      <c r="P1" s="33" t="s">
        <v>0</v>
      </c>
      <c r="Q1" s="33" t="s">
        <v>0</v>
      </c>
      <c r="R1" s="50" t="s">
        <v>0</v>
      </c>
      <c r="S1" s="50" t="s">
        <v>0</v>
      </c>
      <c r="T1" s="50" t="s">
        <v>0</v>
      </c>
      <c r="U1" s="50" t="s">
        <v>0</v>
      </c>
      <c r="V1" s="50" t="s">
        <v>0</v>
      </c>
      <c r="W1" s="50" t="s">
        <v>0</v>
      </c>
      <c r="X1" s="50" t="s">
        <v>0</v>
      </c>
      <c r="Y1" s="50" t="s">
        <v>0</v>
      </c>
      <c r="Z1" s="50" t="s">
        <v>0</v>
      </c>
      <c r="AA1" s="34" t="s">
        <v>0</v>
      </c>
      <c r="AB1" s="32" t="s">
        <v>1</v>
      </c>
      <c r="AC1" s="33" t="s">
        <v>1</v>
      </c>
      <c r="AD1" s="33" t="s">
        <v>1</v>
      </c>
      <c r="AE1" s="33" t="s">
        <v>1</v>
      </c>
      <c r="AF1" s="33" t="s">
        <v>1</v>
      </c>
      <c r="AG1" s="33" t="s">
        <v>1</v>
      </c>
      <c r="AH1" s="33" t="s">
        <v>1</v>
      </c>
      <c r="AI1" s="33" t="s">
        <v>1</v>
      </c>
      <c r="AJ1" s="33" t="s">
        <v>1</v>
      </c>
      <c r="AK1" s="33" t="s">
        <v>1</v>
      </c>
      <c r="AL1" s="34" t="s">
        <v>1</v>
      </c>
      <c r="AM1" s="43" t="s">
        <v>2</v>
      </c>
      <c r="AN1" s="47" t="s">
        <v>3</v>
      </c>
    </row>
    <row r="2" spans="1:41" s="22" customFormat="1" ht="246" thickBot="1" x14ac:dyDescent="0.3">
      <c r="A2" s="29" t="s">
        <v>4</v>
      </c>
      <c r="B2" s="35" t="s">
        <v>5</v>
      </c>
      <c r="C2" s="16" t="s">
        <v>6</v>
      </c>
      <c r="D2" s="16" t="s">
        <v>7</v>
      </c>
      <c r="E2" s="16" t="s">
        <v>8</v>
      </c>
      <c r="F2" s="17" t="s">
        <v>9</v>
      </c>
      <c r="G2" s="18" t="s">
        <v>10</v>
      </c>
      <c r="H2" s="19" t="s">
        <v>11</v>
      </c>
      <c r="I2" s="20" t="s">
        <v>76</v>
      </c>
      <c r="J2" s="20" t="s">
        <v>67</v>
      </c>
      <c r="K2" s="20" t="s">
        <v>77</v>
      </c>
      <c r="L2" s="20" t="s">
        <v>78</v>
      </c>
      <c r="M2" s="20" t="s">
        <v>12</v>
      </c>
      <c r="N2" s="20" t="s">
        <v>41</v>
      </c>
      <c r="O2" s="20" t="s">
        <v>44</v>
      </c>
      <c r="P2" s="20" t="s">
        <v>45</v>
      </c>
      <c r="Q2" s="20" t="s">
        <v>48</v>
      </c>
      <c r="R2" s="20" t="s">
        <v>49</v>
      </c>
      <c r="S2" s="19" t="s">
        <v>14</v>
      </c>
      <c r="T2" s="19" t="s">
        <v>13</v>
      </c>
      <c r="U2" s="19" t="s">
        <v>68</v>
      </c>
      <c r="V2" s="19" t="s">
        <v>69</v>
      </c>
      <c r="W2" s="51" t="s">
        <v>61</v>
      </c>
      <c r="X2" s="19" t="s">
        <v>16</v>
      </c>
      <c r="Y2" s="19" t="s">
        <v>15</v>
      </c>
      <c r="Z2" s="51" t="s">
        <v>64</v>
      </c>
      <c r="AA2" s="52" t="s">
        <v>65</v>
      </c>
      <c r="AB2" s="40" t="s">
        <v>17</v>
      </c>
      <c r="AC2" s="20" t="s">
        <v>50</v>
      </c>
      <c r="AD2" s="20" t="s">
        <v>51</v>
      </c>
      <c r="AE2" s="20" t="s">
        <v>18</v>
      </c>
      <c r="AF2" s="20" t="s">
        <v>19</v>
      </c>
      <c r="AG2" s="20" t="s">
        <v>20</v>
      </c>
      <c r="AH2" s="20" t="s">
        <v>21</v>
      </c>
      <c r="AI2" s="20" t="s">
        <v>22</v>
      </c>
      <c r="AJ2" s="20" t="s">
        <v>23</v>
      </c>
      <c r="AK2" s="20" t="s">
        <v>24</v>
      </c>
      <c r="AL2" s="41" t="s">
        <v>25</v>
      </c>
      <c r="AM2" s="44" t="s">
        <v>26</v>
      </c>
      <c r="AN2" s="48"/>
      <c r="AO2" s="21" t="s">
        <v>27</v>
      </c>
    </row>
    <row r="3" spans="1:41" s="26" customFormat="1" x14ac:dyDescent="0.2">
      <c r="A3" s="30" t="s">
        <v>28</v>
      </c>
      <c r="B3" s="36" t="s">
        <v>29</v>
      </c>
      <c r="C3" s="23" t="s">
        <v>29</v>
      </c>
      <c r="D3" s="23" t="s">
        <v>29</v>
      </c>
      <c r="E3" s="23" t="s">
        <v>29</v>
      </c>
      <c r="F3" s="23" t="s">
        <v>29</v>
      </c>
      <c r="G3" s="23" t="s">
        <v>29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4" t="s">
        <v>30</v>
      </c>
      <c r="T3" s="24" t="s">
        <v>30</v>
      </c>
      <c r="U3" s="24" t="s">
        <v>30</v>
      </c>
      <c r="V3" s="24" t="s">
        <v>30</v>
      </c>
      <c r="W3" s="24" t="s">
        <v>62</v>
      </c>
      <c r="X3" s="24">
        <v>0</v>
      </c>
      <c r="Y3" s="24">
        <v>0</v>
      </c>
      <c r="Z3" s="24">
        <v>0</v>
      </c>
      <c r="AA3" s="37">
        <v>0</v>
      </c>
      <c r="AB3" s="36">
        <v>1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42">
        <v>0</v>
      </c>
      <c r="AM3" s="45">
        <v>1</v>
      </c>
      <c r="AN3" s="55" t="s">
        <v>59</v>
      </c>
      <c r="AO3" s="25"/>
    </row>
    <row r="4" spans="1:41" x14ac:dyDescent="0.2">
      <c r="A4" s="31" t="s">
        <v>38</v>
      </c>
      <c r="B4" s="4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62</v>
      </c>
      <c r="X4" s="3">
        <v>0</v>
      </c>
      <c r="Y4" s="3">
        <v>0</v>
      </c>
      <c r="Z4" s="3">
        <v>0</v>
      </c>
      <c r="AA4" s="38">
        <v>0</v>
      </c>
      <c r="AB4" s="4">
        <v>0</v>
      </c>
      <c r="AC4" s="2">
        <v>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39">
        <v>0</v>
      </c>
      <c r="AM4" s="12">
        <v>5</v>
      </c>
      <c r="AN4" s="56" t="s">
        <v>70</v>
      </c>
      <c r="AO4" s="5"/>
    </row>
    <row r="5" spans="1:41" x14ac:dyDescent="0.2">
      <c r="A5" s="31" t="s">
        <v>39</v>
      </c>
      <c r="B5" s="4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62</v>
      </c>
      <c r="X5" s="2">
        <v>0</v>
      </c>
      <c r="Y5" s="2">
        <v>0</v>
      </c>
      <c r="Z5" s="2">
        <v>0</v>
      </c>
      <c r="AA5" s="39">
        <v>0</v>
      </c>
      <c r="AB5" s="4">
        <v>0</v>
      </c>
      <c r="AC5" s="2">
        <v>0</v>
      </c>
      <c r="AD5" s="2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39">
        <v>0</v>
      </c>
      <c r="AM5" s="12">
        <v>6</v>
      </c>
      <c r="AN5" s="56" t="s">
        <v>71</v>
      </c>
      <c r="AO5" s="7"/>
    </row>
    <row r="6" spans="1:41" x14ac:dyDescent="0.2">
      <c r="A6" s="31" t="s">
        <v>40</v>
      </c>
      <c r="B6" s="4" t="s">
        <v>29</v>
      </c>
      <c r="C6" s="2" t="s">
        <v>29</v>
      </c>
      <c r="D6" s="2" t="s">
        <v>29</v>
      </c>
      <c r="E6" s="2" t="s">
        <v>29</v>
      </c>
      <c r="F6" s="2" t="s">
        <v>29</v>
      </c>
      <c r="G6" s="2" t="s">
        <v>29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8" t="s">
        <v>30</v>
      </c>
      <c r="T6" s="8" t="s">
        <v>30</v>
      </c>
      <c r="U6" s="8" t="s">
        <v>30</v>
      </c>
      <c r="V6" s="8" t="s">
        <v>30</v>
      </c>
      <c r="W6" s="3" t="s">
        <v>62</v>
      </c>
      <c r="X6" s="2">
        <v>0</v>
      </c>
      <c r="Y6" s="2">
        <v>0</v>
      </c>
      <c r="Z6" s="2">
        <v>0</v>
      </c>
      <c r="AA6" s="39">
        <v>0</v>
      </c>
      <c r="AB6" s="4">
        <v>0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39">
        <v>0</v>
      </c>
      <c r="AM6" s="12">
        <v>7</v>
      </c>
      <c r="AN6" s="56" t="s">
        <v>72</v>
      </c>
      <c r="AO6" s="7"/>
    </row>
    <row r="7" spans="1:41" x14ac:dyDescent="0.2">
      <c r="A7" s="31" t="s">
        <v>31</v>
      </c>
      <c r="B7" s="4" t="s">
        <v>29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53" t="s">
        <v>29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62</v>
      </c>
      <c r="X7" s="2">
        <v>0</v>
      </c>
      <c r="Y7" s="2">
        <v>0</v>
      </c>
      <c r="Z7" s="2">
        <v>0</v>
      </c>
      <c r="AA7" s="39">
        <v>0</v>
      </c>
      <c r="AB7" s="4">
        <v>0</v>
      </c>
      <c r="AC7" s="2">
        <v>0</v>
      </c>
      <c r="AD7" s="2">
        <v>0</v>
      </c>
      <c r="AE7" s="2">
        <v>0</v>
      </c>
      <c r="AF7" s="2">
        <v>1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39">
        <v>0</v>
      </c>
      <c r="AM7" s="12">
        <v>9</v>
      </c>
      <c r="AN7" s="56" t="s">
        <v>80</v>
      </c>
      <c r="AO7" s="7"/>
    </row>
    <row r="8" spans="1:41" x14ac:dyDescent="0.2">
      <c r="A8" s="31" t="s">
        <v>32</v>
      </c>
      <c r="B8" s="4" t="s">
        <v>29</v>
      </c>
      <c r="C8" s="2" t="s">
        <v>29</v>
      </c>
      <c r="D8" s="2" t="s">
        <v>29</v>
      </c>
      <c r="E8" s="2" t="s">
        <v>29</v>
      </c>
      <c r="F8" s="2" t="s">
        <v>29</v>
      </c>
      <c r="G8" s="2" t="s">
        <v>29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62</v>
      </c>
      <c r="X8" s="2">
        <v>0</v>
      </c>
      <c r="Y8" s="2">
        <v>0</v>
      </c>
      <c r="Z8" s="2">
        <v>0</v>
      </c>
      <c r="AA8" s="39">
        <v>0</v>
      </c>
      <c r="AB8" s="4">
        <v>0</v>
      </c>
      <c r="AC8" s="2">
        <v>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39">
        <v>0</v>
      </c>
      <c r="AM8" s="12">
        <v>10</v>
      </c>
      <c r="AN8" s="56" t="s">
        <v>81</v>
      </c>
      <c r="AO8" s="7"/>
    </row>
    <row r="9" spans="1:41" x14ac:dyDescent="0.2">
      <c r="A9" s="31" t="s">
        <v>42</v>
      </c>
      <c r="B9" s="4" t="s">
        <v>29</v>
      </c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62</v>
      </c>
      <c r="X9" s="2">
        <v>0</v>
      </c>
      <c r="Y9" s="2">
        <v>0</v>
      </c>
      <c r="Z9" s="2">
        <v>0</v>
      </c>
      <c r="AA9" s="39">
        <v>0</v>
      </c>
      <c r="AB9" s="4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0</v>
      </c>
      <c r="AK9" s="2">
        <v>0</v>
      </c>
      <c r="AL9" s="39">
        <v>0</v>
      </c>
      <c r="AM9" s="12">
        <v>11</v>
      </c>
      <c r="AN9" s="56" t="s">
        <v>82</v>
      </c>
      <c r="AO9" s="7"/>
    </row>
    <row r="10" spans="1:41" x14ac:dyDescent="0.2">
      <c r="A10" s="31" t="s">
        <v>43</v>
      </c>
      <c r="B10" s="4" t="s">
        <v>29</v>
      </c>
      <c r="C10" s="2" t="s">
        <v>29</v>
      </c>
      <c r="D10" s="2" t="s">
        <v>29</v>
      </c>
      <c r="E10" s="2" t="s">
        <v>29</v>
      </c>
      <c r="F10" s="2" t="s">
        <v>29</v>
      </c>
      <c r="G10" s="2" t="s">
        <v>29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62</v>
      </c>
      <c r="X10" s="2">
        <v>0</v>
      </c>
      <c r="Y10" s="2">
        <v>0</v>
      </c>
      <c r="Z10" s="2">
        <v>0</v>
      </c>
      <c r="AA10" s="39">
        <v>0</v>
      </c>
      <c r="AB10" s="4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39">
        <v>0</v>
      </c>
      <c r="AM10" s="12">
        <v>12</v>
      </c>
      <c r="AN10" s="56" t="s">
        <v>83</v>
      </c>
      <c r="AO10" s="7"/>
    </row>
    <row r="11" spans="1:41" x14ac:dyDescent="0.2">
      <c r="A11" s="31" t="s">
        <v>47</v>
      </c>
      <c r="B11" s="4" t="s">
        <v>29</v>
      </c>
      <c r="C11" s="2" t="s">
        <v>29</v>
      </c>
      <c r="D11" s="2" t="s">
        <v>29</v>
      </c>
      <c r="E11" s="2" t="s">
        <v>29</v>
      </c>
      <c r="F11" s="2" t="s">
        <v>29</v>
      </c>
      <c r="G11" s="2" t="s">
        <v>29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62</v>
      </c>
      <c r="X11" s="2">
        <v>0</v>
      </c>
      <c r="Y11" s="2">
        <v>0</v>
      </c>
      <c r="Z11" s="2">
        <v>0</v>
      </c>
      <c r="AA11" s="39">
        <v>0</v>
      </c>
      <c r="AB11" s="4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1</v>
      </c>
      <c r="AK11" s="2">
        <v>0</v>
      </c>
      <c r="AL11" s="39">
        <v>0</v>
      </c>
      <c r="AM11" s="12">
        <v>13</v>
      </c>
      <c r="AN11" s="56" t="s">
        <v>84</v>
      </c>
      <c r="AO11" s="7"/>
    </row>
    <row r="12" spans="1:41" x14ac:dyDescent="0.2">
      <c r="A12" s="31" t="s">
        <v>46</v>
      </c>
      <c r="B12" s="4" t="s">
        <v>29</v>
      </c>
      <c r="C12" s="2" t="s">
        <v>29</v>
      </c>
      <c r="D12" s="2" t="s">
        <v>29</v>
      </c>
      <c r="E12" s="2" t="s">
        <v>29</v>
      </c>
      <c r="F12" s="2" t="s">
        <v>29</v>
      </c>
      <c r="G12" s="2" t="s">
        <v>29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62</v>
      </c>
      <c r="X12" s="2">
        <v>0</v>
      </c>
      <c r="Y12" s="2">
        <v>0</v>
      </c>
      <c r="Z12" s="2">
        <v>0</v>
      </c>
      <c r="AA12" s="39">
        <v>0</v>
      </c>
      <c r="AB12" s="4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39">
        <v>0</v>
      </c>
      <c r="AM12" s="12">
        <v>14</v>
      </c>
      <c r="AN12" s="56" t="s">
        <v>85</v>
      </c>
      <c r="AO12" s="7"/>
    </row>
    <row r="13" spans="1:41" ht="18" thickBot="1" x14ac:dyDescent="0.25">
      <c r="A13" s="31" t="s">
        <v>66</v>
      </c>
      <c r="B13" s="4" t="s">
        <v>29</v>
      </c>
      <c r="C13" s="2" t="s">
        <v>29</v>
      </c>
      <c r="D13" s="2" t="s">
        <v>29</v>
      </c>
      <c r="E13" s="2" t="s">
        <v>29</v>
      </c>
      <c r="F13" s="2" t="s">
        <v>29</v>
      </c>
      <c r="G13" s="2" t="s">
        <v>29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14" t="s">
        <v>33</v>
      </c>
      <c r="T13" s="14" t="s">
        <v>33</v>
      </c>
      <c r="U13" s="14" t="s">
        <v>33</v>
      </c>
      <c r="V13" s="14" t="s">
        <v>33</v>
      </c>
      <c r="W13" s="15" t="s">
        <v>63</v>
      </c>
      <c r="X13" s="54" t="s">
        <v>29</v>
      </c>
      <c r="Y13" s="54" t="s">
        <v>29</v>
      </c>
      <c r="Z13" s="2">
        <v>0</v>
      </c>
      <c r="AA13" s="39">
        <v>1</v>
      </c>
      <c r="AB13" s="4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39">
        <v>1</v>
      </c>
      <c r="AM13" s="12">
        <v>16</v>
      </c>
      <c r="AN13" s="56" t="s">
        <v>86</v>
      </c>
      <c r="AO13" s="5"/>
    </row>
    <row r="14" spans="1:41" s="26" customFormat="1" x14ac:dyDescent="0.2">
      <c r="A14" s="30" t="s">
        <v>34</v>
      </c>
      <c r="B14" s="36" t="str">
        <f t="shared" ref="B14:G23" si="0">B3</f>
        <v>X</v>
      </c>
      <c r="C14" s="23" t="str">
        <f t="shared" si="0"/>
        <v>X</v>
      </c>
      <c r="D14" s="23" t="str">
        <f t="shared" si="0"/>
        <v>X</v>
      </c>
      <c r="E14" s="23" t="str">
        <f t="shared" si="0"/>
        <v>X</v>
      </c>
      <c r="F14" s="23" t="str">
        <f t="shared" si="0"/>
        <v>X</v>
      </c>
      <c r="G14" s="23" t="str">
        <f t="shared" si="0"/>
        <v>X</v>
      </c>
      <c r="H14" s="23">
        <v>1</v>
      </c>
      <c r="I14" s="23">
        <f t="shared" ref="I14:AL14" si="1">I3</f>
        <v>0</v>
      </c>
      <c r="J14" s="23">
        <v>0</v>
      </c>
      <c r="K14" s="23">
        <f t="shared" si="1"/>
        <v>0</v>
      </c>
      <c r="L14" s="23">
        <f t="shared" si="1"/>
        <v>0</v>
      </c>
      <c r="M14" s="23">
        <f t="shared" si="1"/>
        <v>0</v>
      </c>
      <c r="N14" s="23">
        <f t="shared" si="1"/>
        <v>0</v>
      </c>
      <c r="O14" s="23">
        <f t="shared" si="1"/>
        <v>0</v>
      </c>
      <c r="P14" s="23">
        <f t="shared" si="1"/>
        <v>0</v>
      </c>
      <c r="Q14" s="23">
        <f t="shared" si="1"/>
        <v>0</v>
      </c>
      <c r="R14" s="23">
        <f t="shared" si="1"/>
        <v>0</v>
      </c>
      <c r="S14" s="24" t="str">
        <f t="shared" si="1"/>
        <v>0-1</v>
      </c>
      <c r="T14" s="24" t="str">
        <f t="shared" si="1"/>
        <v>0-1</v>
      </c>
      <c r="U14" s="24" t="str">
        <f t="shared" ref="U14:V14" si="2">U3</f>
        <v>0-1</v>
      </c>
      <c r="V14" s="24" t="str">
        <f t="shared" si="2"/>
        <v>0-1</v>
      </c>
      <c r="W14" s="24" t="str">
        <f t="shared" si="1"/>
        <v>0-2</v>
      </c>
      <c r="X14" s="24">
        <f t="shared" si="1"/>
        <v>0</v>
      </c>
      <c r="Y14" s="24">
        <f t="shared" si="1"/>
        <v>0</v>
      </c>
      <c r="Z14" s="24">
        <f t="shared" si="1"/>
        <v>0</v>
      </c>
      <c r="AA14" s="37">
        <f t="shared" si="1"/>
        <v>0</v>
      </c>
      <c r="AB14" s="36">
        <f t="shared" si="1"/>
        <v>1</v>
      </c>
      <c r="AC14" s="23">
        <f t="shared" si="1"/>
        <v>0</v>
      </c>
      <c r="AD14" s="23">
        <f t="shared" si="1"/>
        <v>0</v>
      </c>
      <c r="AE14" s="23">
        <f t="shared" si="1"/>
        <v>0</v>
      </c>
      <c r="AF14" s="23">
        <f t="shared" si="1"/>
        <v>0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42">
        <f t="shared" si="1"/>
        <v>0</v>
      </c>
      <c r="AM14" s="45">
        <v>1</v>
      </c>
      <c r="AN14" s="55" t="s">
        <v>60</v>
      </c>
      <c r="AO14" s="27" t="s">
        <v>35</v>
      </c>
    </row>
    <row r="15" spans="1:41" x14ac:dyDescent="0.2">
      <c r="A15" s="31" t="s">
        <v>52</v>
      </c>
      <c r="B15" s="4" t="str">
        <f t="shared" si="0"/>
        <v>X</v>
      </c>
      <c r="C15" s="2" t="str">
        <f t="shared" si="0"/>
        <v>X</v>
      </c>
      <c r="D15" s="2" t="str">
        <f t="shared" si="0"/>
        <v>X</v>
      </c>
      <c r="E15" s="2" t="str">
        <f t="shared" si="0"/>
        <v>X</v>
      </c>
      <c r="F15" s="2" t="str">
        <f t="shared" si="0"/>
        <v>X</v>
      </c>
      <c r="G15" s="2" t="str">
        <f t="shared" si="0"/>
        <v>X</v>
      </c>
      <c r="H15" s="2">
        <v>1</v>
      </c>
      <c r="I15" s="2">
        <f t="shared" ref="I15:AL15" si="3">I4</f>
        <v>1</v>
      </c>
      <c r="J15" s="2">
        <v>0</v>
      </c>
      <c r="K15" s="2">
        <f t="shared" si="3"/>
        <v>0</v>
      </c>
      <c r="L15" s="2">
        <f t="shared" si="3"/>
        <v>0</v>
      </c>
      <c r="M15" s="2">
        <f t="shared" si="3"/>
        <v>0</v>
      </c>
      <c r="N15" s="2">
        <f t="shared" si="3"/>
        <v>0</v>
      </c>
      <c r="O15" s="2">
        <f t="shared" si="3"/>
        <v>0</v>
      </c>
      <c r="P15" s="2">
        <f t="shared" si="3"/>
        <v>0</v>
      </c>
      <c r="Q15" s="2">
        <f t="shared" si="3"/>
        <v>0</v>
      </c>
      <c r="R15" s="2">
        <f t="shared" si="3"/>
        <v>0</v>
      </c>
      <c r="S15" s="3" t="str">
        <f t="shared" si="3"/>
        <v>0-1</v>
      </c>
      <c r="T15" s="3" t="str">
        <f t="shared" si="3"/>
        <v>0-1</v>
      </c>
      <c r="U15" s="3" t="str">
        <f t="shared" ref="U15:V15" si="4">U4</f>
        <v>0-1</v>
      </c>
      <c r="V15" s="3" t="str">
        <f t="shared" si="4"/>
        <v>0-1</v>
      </c>
      <c r="W15" s="3" t="str">
        <f t="shared" si="3"/>
        <v>0-2</v>
      </c>
      <c r="X15" s="3">
        <f t="shared" si="3"/>
        <v>0</v>
      </c>
      <c r="Y15" s="3">
        <f t="shared" si="3"/>
        <v>0</v>
      </c>
      <c r="Z15" s="3">
        <f t="shared" si="3"/>
        <v>0</v>
      </c>
      <c r="AA15" s="38">
        <f t="shared" si="3"/>
        <v>0</v>
      </c>
      <c r="AB15" s="4">
        <f t="shared" si="3"/>
        <v>0</v>
      </c>
      <c r="AC15" s="2">
        <f t="shared" si="3"/>
        <v>1</v>
      </c>
      <c r="AD15" s="2">
        <f t="shared" si="3"/>
        <v>0</v>
      </c>
      <c r="AE15" s="2">
        <f t="shared" si="3"/>
        <v>0</v>
      </c>
      <c r="AF15" s="2">
        <f t="shared" si="3"/>
        <v>0</v>
      </c>
      <c r="AG15" s="2">
        <f t="shared" si="3"/>
        <v>0</v>
      </c>
      <c r="AH15" s="2">
        <f t="shared" si="3"/>
        <v>0</v>
      </c>
      <c r="AI15" s="2">
        <f t="shared" si="3"/>
        <v>0</v>
      </c>
      <c r="AJ15" s="2">
        <f t="shared" si="3"/>
        <v>0</v>
      </c>
      <c r="AK15" s="2">
        <f t="shared" si="3"/>
        <v>0</v>
      </c>
      <c r="AL15" s="39">
        <f t="shared" si="3"/>
        <v>0</v>
      </c>
      <c r="AM15" s="12">
        <v>5</v>
      </c>
      <c r="AN15" s="56" t="s">
        <v>73</v>
      </c>
      <c r="AO15" s="9" t="s">
        <v>35</v>
      </c>
    </row>
    <row r="16" spans="1:41" x14ac:dyDescent="0.2">
      <c r="A16" s="31" t="s">
        <v>53</v>
      </c>
      <c r="B16" s="4" t="str">
        <f t="shared" si="0"/>
        <v>X</v>
      </c>
      <c r="C16" s="2" t="str">
        <f t="shared" si="0"/>
        <v>X</v>
      </c>
      <c r="D16" s="2" t="str">
        <f t="shared" si="0"/>
        <v>X</v>
      </c>
      <c r="E16" s="2" t="str">
        <f t="shared" si="0"/>
        <v>X</v>
      </c>
      <c r="F16" s="2" t="str">
        <f t="shared" si="0"/>
        <v>X</v>
      </c>
      <c r="G16" s="2" t="str">
        <f t="shared" si="0"/>
        <v>X</v>
      </c>
      <c r="H16" s="2">
        <v>1</v>
      </c>
      <c r="I16" s="2">
        <f t="shared" ref="I16:AL16" si="5">I5</f>
        <v>0</v>
      </c>
      <c r="J16" s="2">
        <v>0</v>
      </c>
      <c r="K16" s="2">
        <f t="shared" si="5"/>
        <v>1</v>
      </c>
      <c r="L16" s="2">
        <f t="shared" si="5"/>
        <v>0</v>
      </c>
      <c r="M16" s="2">
        <f t="shared" si="5"/>
        <v>0</v>
      </c>
      <c r="N16" s="2">
        <f t="shared" si="5"/>
        <v>0</v>
      </c>
      <c r="O16" s="2">
        <f t="shared" si="5"/>
        <v>0</v>
      </c>
      <c r="P16" s="2">
        <f t="shared" si="5"/>
        <v>0</v>
      </c>
      <c r="Q16" s="2">
        <f t="shared" si="5"/>
        <v>0</v>
      </c>
      <c r="R16" s="2">
        <f t="shared" si="5"/>
        <v>0</v>
      </c>
      <c r="S16" s="3" t="str">
        <f t="shared" si="5"/>
        <v>0-1</v>
      </c>
      <c r="T16" s="3" t="str">
        <f t="shared" si="5"/>
        <v>0-1</v>
      </c>
      <c r="U16" s="3" t="str">
        <f t="shared" ref="U16:V16" si="6">U5</f>
        <v>0-1</v>
      </c>
      <c r="V16" s="3" t="str">
        <f t="shared" si="6"/>
        <v>0-1</v>
      </c>
      <c r="W16" s="3" t="str">
        <f t="shared" si="5"/>
        <v>0-2</v>
      </c>
      <c r="X16" s="2">
        <f t="shared" si="5"/>
        <v>0</v>
      </c>
      <c r="Y16" s="2">
        <f t="shared" si="5"/>
        <v>0</v>
      </c>
      <c r="Z16" s="2">
        <f t="shared" si="5"/>
        <v>0</v>
      </c>
      <c r="AA16" s="39">
        <f t="shared" si="5"/>
        <v>0</v>
      </c>
      <c r="AB16" s="4">
        <f t="shared" si="5"/>
        <v>0</v>
      </c>
      <c r="AC16" s="2">
        <f t="shared" si="5"/>
        <v>0</v>
      </c>
      <c r="AD16" s="2">
        <f t="shared" si="5"/>
        <v>1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2">
        <f t="shared" si="5"/>
        <v>0</v>
      </c>
      <c r="AI16" s="2">
        <f t="shared" si="5"/>
        <v>0</v>
      </c>
      <c r="AJ16" s="2">
        <f t="shared" si="5"/>
        <v>0</v>
      </c>
      <c r="AK16" s="2">
        <f t="shared" si="5"/>
        <v>0</v>
      </c>
      <c r="AL16" s="39">
        <f t="shared" si="5"/>
        <v>0</v>
      </c>
      <c r="AM16" s="12">
        <v>6</v>
      </c>
      <c r="AN16" s="56" t="s">
        <v>74</v>
      </c>
      <c r="AO16" s="9" t="s">
        <v>35</v>
      </c>
    </row>
    <row r="17" spans="1:41" x14ac:dyDescent="0.2">
      <c r="A17" s="31" t="s">
        <v>54</v>
      </c>
      <c r="B17" s="4" t="str">
        <f t="shared" si="0"/>
        <v>X</v>
      </c>
      <c r="C17" s="2" t="str">
        <f t="shared" si="0"/>
        <v>X</v>
      </c>
      <c r="D17" s="2" t="str">
        <f t="shared" si="0"/>
        <v>X</v>
      </c>
      <c r="E17" s="2" t="str">
        <f t="shared" si="0"/>
        <v>X</v>
      </c>
      <c r="F17" s="2" t="str">
        <f t="shared" si="0"/>
        <v>X</v>
      </c>
      <c r="G17" s="2" t="str">
        <f t="shared" si="0"/>
        <v>X</v>
      </c>
      <c r="H17" s="2">
        <v>1</v>
      </c>
      <c r="I17" s="2">
        <f t="shared" ref="I17:AL17" si="7">I6</f>
        <v>0</v>
      </c>
      <c r="J17" s="2">
        <v>0</v>
      </c>
      <c r="K17" s="2">
        <f t="shared" si="7"/>
        <v>0</v>
      </c>
      <c r="L17" s="2">
        <f t="shared" si="7"/>
        <v>1</v>
      </c>
      <c r="M17" s="2">
        <f t="shared" si="7"/>
        <v>0</v>
      </c>
      <c r="N17" s="2">
        <f t="shared" si="7"/>
        <v>0</v>
      </c>
      <c r="O17" s="2">
        <f t="shared" si="7"/>
        <v>0</v>
      </c>
      <c r="P17" s="2">
        <f t="shared" si="7"/>
        <v>0</v>
      </c>
      <c r="Q17" s="2">
        <f t="shared" si="7"/>
        <v>0</v>
      </c>
      <c r="R17" s="2">
        <f t="shared" si="7"/>
        <v>0</v>
      </c>
      <c r="S17" s="8" t="str">
        <f t="shared" si="7"/>
        <v>0-1</v>
      </c>
      <c r="T17" s="8" t="str">
        <f t="shared" si="7"/>
        <v>0-1</v>
      </c>
      <c r="U17" s="8" t="str">
        <f t="shared" ref="U17:V17" si="8">U6</f>
        <v>0-1</v>
      </c>
      <c r="V17" s="8" t="str">
        <f t="shared" si="8"/>
        <v>0-1</v>
      </c>
      <c r="W17" s="8" t="str">
        <f t="shared" si="7"/>
        <v>0-2</v>
      </c>
      <c r="X17" s="2">
        <f t="shared" si="7"/>
        <v>0</v>
      </c>
      <c r="Y17" s="2">
        <f t="shared" si="7"/>
        <v>0</v>
      </c>
      <c r="Z17" s="2">
        <f t="shared" si="7"/>
        <v>0</v>
      </c>
      <c r="AA17" s="39">
        <f t="shared" si="7"/>
        <v>0</v>
      </c>
      <c r="AB17" s="4">
        <f t="shared" si="7"/>
        <v>0</v>
      </c>
      <c r="AC17" s="2">
        <f t="shared" si="7"/>
        <v>0</v>
      </c>
      <c r="AD17" s="2">
        <f t="shared" si="7"/>
        <v>0</v>
      </c>
      <c r="AE17" s="2">
        <f t="shared" si="7"/>
        <v>1</v>
      </c>
      <c r="AF17" s="2">
        <f t="shared" si="7"/>
        <v>0</v>
      </c>
      <c r="AG17" s="2">
        <f t="shared" si="7"/>
        <v>0</v>
      </c>
      <c r="AH17" s="2">
        <f t="shared" si="7"/>
        <v>0</v>
      </c>
      <c r="AI17" s="2">
        <f t="shared" si="7"/>
        <v>0</v>
      </c>
      <c r="AJ17" s="2">
        <f t="shared" si="7"/>
        <v>0</v>
      </c>
      <c r="AK17" s="2">
        <f t="shared" si="7"/>
        <v>0</v>
      </c>
      <c r="AL17" s="39">
        <f t="shared" si="7"/>
        <v>0</v>
      </c>
      <c r="AM17" s="12">
        <v>7</v>
      </c>
      <c r="AN17" s="56" t="s">
        <v>75</v>
      </c>
      <c r="AO17" s="9" t="s">
        <v>35</v>
      </c>
    </row>
    <row r="18" spans="1:41" x14ac:dyDescent="0.2">
      <c r="A18" s="31" t="s">
        <v>36</v>
      </c>
      <c r="B18" s="4" t="str">
        <f t="shared" si="0"/>
        <v>X</v>
      </c>
      <c r="C18" s="2" t="str">
        <f t="shared" si="0"/>
        <v>X</v>
      </c>
      <c r="D18" s="2" t="str">
        <f t="shared" si="0"/>
        <v>X</v>
      </c>
      <c r="E18" s="2" t="str">
        <f t="shared" si="0"/>
        <v>X</v>
      </c>
      <c r="F18" s="2" t="str">
        <f t="shared" si="0"/>
        <v>X</v>
      </c>
      <c r="G18" s="2" t="str">
        <f t="shared" si="0"/>
        <v>X</v>
      </c>
      <c r="H18" s="2">
        <v>1</v>
      </c>
      <c r="I18" s="2">
        <f t="shared" ref="I18:AL18" si="9">I7</f>
        <v>0</v>
      </c>
      <c r="J18" s="2">
        <v>0</v>
      </c>
      <c r="K18" s="2">
        <f t="shared" si="9"/>
        <v>0</v>
      </c>
      <c r="L18" s="2">
        <f t="shared" si="9"/>
        <v>0</v>
      </c>
      <c r="M18" s="2">
        <f t="shared" si="9"/>
        <v>1</v>
      </c>
      <c r="N18" s="2">
        <f t="shared" si="9"/>
        <v>0</v>
      </c>
      <c r="O18" s="2">
        <f t="shared" si="9"/>
        <v>0</v>
      </c>
      <c r="P18" s="2">
        <f t="shared" si="9"/>
        <v>0</v>
      </c>
      <c r="Q18" s="2">
        <f t="shared" si="9"/>
        <v>0</v>
      </c>
      <c r="R18" s="54" t="str">
        <f t="shared" si="9"/>
        <v>X</v>
      </c>
      <c r="S18" s="3" t="str">
        <f t="shared" si="9"/>
        <v>0-1</v>
      </c>
      <c r="T18" s="3" t="str">
        <f t="shared" si="9"/>
        <v>0-1</v>
      </c>
      <c r="U18" s="3" t="str">
        <f t="shared" ref="U18:V18" si="10">U7</f>
        <v>0-1</v>
      </c>
      <c r="V18" s="3" t="str">
        <f t="shared" si="10"/>
        <v>0-1</v>
      </c>
      <c r="W18" s="3" t="str">
        <f t="shared" si="9"/>
        <v>0-2</v>
      </c>
      <c r="X18" s="2">
        <f t="shared" si="9"/>
        <v>0</v>
      </c>
      <c r="Y18" s="2">
        <f t="shared" si="9"/>
        <v>0</v>
      </c>
      <c r="Z18" s="2">
        <f t="shared" si="9"/>
        <v>0</v>
      </c>
      <c r="AA18" s="39">
        <f t="shared" si="9"/>
        <v>0</v>
      </c>
      <c r="AB18" s="4">
        <f t="shared" si="9"/>
        <v>0</v>
      </c>
      <c r="AC18" s="2">
        <f t="shared" si="9"/>
        <v>0</v>
      </c>
      <c r="AD18" s="2">
        <f t="shared" si="9"/>
        <v>0</v>
      </c>
      <c r="AE18" s="2">
        <f t="shared" si="9"/>
        <v>0</v>
      </c>
      <c r="AF18" s="2">
        <f t="shared" si="9"/>
        <v>1</v>
      </c>
      <c r="AG18" s="2">
        <f t="shared" si="9"/>
        <v>0</v>
      </c>
      <c r="AH18" s="2">
        <f t="shared" si="9"/>
        <v>0</v>
      </c>
      <c r="AI18" s="2">
        <f t="shared" si="9"/>
        <v>0</v>
      </c>
      <c r="AJ18" s="2">
        <f t="shared" si="9"/>
        <v>0</v>
      </c>
      <c r="AK18" s="2">
        <f t="shared" si="9"/>
        <v>0</v>
      </c>
      <c r="AL18" s="39">
        <f t="shared" si="9"/>
        <v>0</v>
      </c>
      <c r="AM18" s="12">
        <v>9</v>
      </c>
      <c r="AN18" s="56" t="s">
        <v>87</v>
      </c>
      <c r="AO18" s="9" t="s">
        <v>35</v>
      </c>
    </row>
    <row r="19" spans="1:41" x14ac:dyDescent="0.2">
      <c r="A19" s="31" t="s">
        <v>37</v>
      </c>
      <c r="B19" s="4" t="str">
        <f t="shared" si="0"/>
        <v>X</v>
      </c>
      <c r="C19" s="2" t="str">
        <f t="shared" si="0"/>
        <v>X</v>
      </c>
      <c r="D19" s="2" t="str">
        <f t="shared" si="0"/>
        <v>X</v>
      </c>
      <c r="E19" s="2" t="str">
        <f t="shared" si="0"/>
        <v>X</v>
      </c>
      <c r="F19" s="2" t="str">
        <f t="shared" si="0"/>
        <v>X</v>
      </c>
      <c r="G19" s="2" t="str">
        <f t="shared" si="0"/>
        <v>X</v>
      </c>
      <c r="H19" s="2">
        <v>1</v>
      </c>
      <c r="I19" s="2">
        <f t="shared" ref="I19:AL19" si="11">I8</f>
        <v>0</v>
      </c>
      <c r="J19" s="2">
        <v>0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1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3" t="str">
        <f t="shared" si="11"/>
        <v>0-1</v>
      </c>
      <c r="T19" s="3" t="str">
        <f t="shared" si="11"/>
        <v>0-1</v>
      </c>
      <c r="U19" s="3" t="str">
        <f t="shared" ref="U19:V19" si="12">U8</f>
        <v>0-1</v>
      </c>
      <c r="V19" s="3" t="str">
        <f t="shared" si="12"/>
        <v>0-1</v>
      </c>
      <c r="W19" s="3" t="str">
        <f t="shared" si="11"/>
        <v>0-2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39">
        <f t="shared" si="11"/>
        <v>0</v>
      </c>
      <c r="AB19" s="4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1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39">
        <f t="shared" si="11"/>
        <v>0</v>
      </c>
      <c r="AM19" s="12">
        <v>10</v>
      </c>
      <c r="AN19" s="56" t="s">
        <v>88</v>
      </c>
      <c r="AO19" s="9" t="s">
        <v>35</v>
      </c>
    </row>
    <row r="20" spans="1:41" x14ac:dyDescent="0.2">
      <c r="A20" s="31" t="s">
        <v>55</v>
      </c>
      <c r="B20" s="4" t="str">
        <f t="shared" si="0"/>
        <v>X</v>
      </c>
      <c r="C20" s="2" t="str">
        <f t="shared" si="0"/>
        <v>X</v>
      </c>
      <c r="D20" s="2" t="str">
        <f t="shared" si="0"/>
        <v>X</v>
      </c>
      <c r="E20" s="2" t="str">
        <f t="shared" si="0"/>
        <v>X</v>
      </c>
      <c r="F20" s="2" t="str">
        <f t="shared" si="0"/>
        <v>X</v>
      </c>
      <c r="G20" s="2" t="str">
        <f t="shared" si="0"/>
        <v>X</v>
      </c>
      <c r="H20" s="2">
        <v>1</v>
      </c>
      <c r="I20" s="2">
        <f t="shared" ref="I20:AL20" si="13">I9</f>
        <v>0</v>
      </c>
      <c r="J20" s="2"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1</v>
      </c>
      <c r="P20" s="2">
        <f t="shared" si="13"/>
        <v>0</v>
      </c>
      <c r="Q20" s="2">
        <f t="shared" si="13"/>
        <v>0</v>
      </c>
      <c r="R20" s="2">
        <f t="shared" si="13"/>
        <v>0</v>
      </c>
      <c r="S20" s="3" t="str">
        <f t="shared" si="13"/>
        <v>0-1</v>
      </c>
      <c r="T20" s="3" t="str">
        <f t="shared" si="13"/>
        <v>0-1</v>
      </c>
      <c r="U20" s="3" t="str">
        <f t="shared" ref="U20:V20" si="14">U9</f>
        <v>0-1</v>
      </c>
      <c r="V20" s="3" t="str">
        <f t="shared" si="14"/>
        <v>0-1</v>
      </c>
      <c r="W20" s="3" t="str">
        <f t="shared" si="13"/>
        <v>0-2</v>
      </c>
      <c r="X20" s="2">
        <f t="shared" si="13"/>
        <v>0</v>
      </c>
      <c r="Y20" s="2">
        <f t="shared" si="13"/>
        <v>0</v>
      </c>
      <c r="Z20" s="2">
        <f t="shared" si="13"/>
        <v>0</v>
      </c>
      <c r="AA20" s="39">
        <f t="shared" si="13"/>
        <v>0</v>
      </c>
      <c r="AB20" s="4">
        <f t="shared" si="13"/>
        <v>0</v>
      </c>
      <c r="AC20" s="2">
        <f t="shared" si="13"/>
        <v>0</v>
      </c>
      <c r="AD20" s="2">
        <f t="shared" si="13"/>
        <v>0</v>
      </c>
      <c r="AE20" s="2">
        <f t="shared" si="13"/>
        <v>0</v>
      </c>
      <c r="AF20" s="2">
        <f t="shared" si="13"/>
        <v>0</v>
      </c>
      <c r="AG20" s="2">
        <f t="shared" si="13"/>
        <v>0</v>
      </c>
      <c r="AH20" s="2">
        <f t="shared" si="13"/>
        <v>1</v>
      </c>
      <c r="AI20" s="2">
        <f t="shared" si="13"/>
        <v>0</v>
      </c>
      <c r="AJ20" s="2">
        <f t="shared" si="13"/>
        <v>0</v>
      </c>
      <c r="AK20" s="2">
        <f t="shared" si="13"/>
        <v>0</v>
      </c>
      <c r="AL20" s="39">
        <f t="shared" si="13"/>
        <v>0</v>
      </c>
      <c r="AM20" s="12">
        <v>11</v>
      </c>
      <c r="AN20" s="56" t="s">
        <v>89</v>
      </c>
      <c r="AO20" s="9" t="s">
        <v>35</v>
      </c>
    </row>
    <row r="21" spans="1:41" x14ac:dyDescent="0.2">
      <c r="A21" s="31" t="s">
        <v>56</v>
      </c>
      <c r="B21" s="4" t="str">
        <f t="shared" si="0"/>
        <v>X</v>
      </c>
      <c r="C21" s="2" t="str">
        <f t="shared" si="0"/>
        <v>X</v>
      </c>
      <c r="D21" s="2" t="str">
        <f t="shared" si="0"/>
        <v>X</v>
      </c>
      <c r="E21" s="2" t="str">
        <f t="shared" si="0"/>
        <v>X</v>
      </c>
      <c r="F21" s="2" t="str">
        <f t="shared" si="0"/>
        <v>X</v>
      </c>
      <c r="G21" s="2" t="str">
        <f t="shared" si="0"/>
        <v>X</v>
      </c>
      <c r="H21" s="2">
        <v>1</v>
      </c>
      <c r="I21" s="2">
        <f t="shared" ref="I21:AL21" si="15">I10</f>
        <v>0</v>
      </c>
      <c r="J21" s="2">
        <v>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1</v>
      </c>
      <c r="Q21" s="2">
        <f t="shared" si="15"/>
        <v>0</v>
      </c>
      <c r="R21" s="2">
        <f t="shared" si="15"/>
        <v>0</v>
      </c>
      <c r="S21" s="3" t="str">
        <f t="shared" si="15"/>
        <v>0-1</v>
      </c>
      <c r="T21" s="3" t="str">
        <f t="shared" si="15"/>
        <v>0-1</v>
      </c>
      <c r="U21" s="3" t="str">
        <f t="shared" ref="U21:V21" si="16">U10</f>
        <v>0-1</v>
      </c>
      <c r="V21" s="3" t="str">
        <f t="shared" si="16"/>
        <v>0-1</v>
      </c>
      <c r="W21" s="3" t="str">
        <f t="shared" si="15"/>
        <v>0-2</v>
      </c>
      <c r="X21" s="2">
        <f t="shared" si="15"/>
        <v>0</v>
      </c>
      <c r="Y21" s="2">
        <f t="shared" si="15"/>
        <v>0</v>
      </c>
      <c r="Z21" s="2">
        <f t="shared" si="15"/>
        <v>0</v>
      </c>
      <c r="AA21" s="39">
        <f t="shared" si="15"/>
        <v>0</v>
      </c>
      <c r="AB21" s="4">
        <f t="shared" si="15"/>
        <v>0</v>
      </c>
      <c r="AC21" s="2">
        <f t="shared" si="15"/>
        <v>0</v>
      </c>
      <c r="AD21" s="2">
        <f t="shared" si="15"/>
        <v>0</v>
      </c>
      <c r="AE21" s="2">
        <f t="shared" si="15"/>
        <v>0</v>
      </c>
      <c r="AF21" s="2">
        <f t="shared" si="15"/>
        <v>0</v>
      </c>
      <c r="AG21" s="2">
        <f t="shared" si="15"/>
        <v>0</v>
      </c>
      <c r="AH21" s="2">
        <f t="shared" si="15"/>
        <v>0</v>
      </c>
      <c r="AI21" s="2">
        <f t="shared" si="15"/>
        <v>1</v>
      </c>
      <c r="AJ21" s="2">
        <f t="shared" si="15"/>
        <v>0</v>
      </c>
      <c r="AK21" s="2">
        <f t="shared" si="15"/>
        <v>0</v>
      </c>
      <c r="AL21" s="39">
        <f t="shared" si="15"/>
        <v>0</v>
      </c>
      <c r="AM21" s="12">
        <v>12</v>
      </c>
      <c r="AN21" s="56" t="s">
        <v>90</v>
      </c>
      <c r="AO21" s="9" t="s">
        <v>35</v>
      </c>
    </row>
    <row r="22" spans="1:41" x14ac:dyDescent="0.2">
      <c r="A22" s="31" t="s">
        <v>57</v>
      </c>
      <c r="B22" s="4" t="str">
        <f t="shared" si="0"/>
        <v>X</v>
      </c>
      <c r="C22" s="2" t="str">
        <f t="shared" si="0"/>
        <v>X</v>
      </c>
      <c r="D22" s="2" t="str">
        <f t="shared" si="0"/>
        <v>X</v>
      </c>
      <c r="E22" s="2" t="str">
        <f t="shared" si="0"/>
        <v>X</v>
      </c>
      <c r="F22" s="2" t="str">
        <f t="shared" si="0"/>
        <v>X</v>
      </c>
      <c r="G22" s="2" t="str">
        <f t="shared" si="0"/>
        <v>X</v>
      </c>
      <c r="H22" s="2">
        <v>1</v>
      </c>
      <c r="I22" s="2">
        <f t="shared" ref="I22:AL22" si="17">I11</f>
        <v>0</v>
      </c>
      <c r="J22" s="2">
        <v>0</v>
      </c>
      <c r="K22" s="2">
        <f t="shared" si="17"/>
        <v>0</v>
      </c>
      <c r="L22" s="2">
        <f t="shared" si="17"/>
        <v>0</v>
      </c>
      <c r="M22" s="2">
        <f t="shared" si="17"/>
        <v>0</v>
      </c>
      <c r="N22" s="2">
        <f t="shared" si="17"/>
        <v>0</v>
      </c>
      <c r="O22" s="2">
        <f t="shared" si="17"/>
        <v>0</v>
      </c>
      <c r="P22" s="2">
        <f t="shared" si="17"/>
        <v>0</v>
      </c>
      <c r="Q22" s="2">
        <f t="shared" si="17"/>
        <v>1</v>
      </c>
      <c r="R22" s="2">
        <f t="shared" si="17"/>
        <v>0</v>
      </c>
      <c r="S22" s="3" t="str">
        <f t="shared" si="17"/>
        <v>0-1</v>
      </c>
      <c r="T22" s="3" t="str">
        <f t="shared" si="17"/>
        <v>0-1</v>
      </c>
      <c r="U22" s="3" t="str">
        <f t="shared" ref="U22:V22" si="18">U11</f>
        <v>0-1</v>
      </c>
      <c r="V22" s="3" t="str">
        <f t="shared" si="18"/>
        <v>0-1</v>
      </c>
      <c r="W22" s="3" t="str">
        <f t="shared" si="17"/>
        <v>0-2</v>
      </c>
      <c r="X22" s="2">
        <f t="shared" si="17"/>
        <v>0</v>
      </c>
      <c r="Y22" s="2">
        <f t="shared" si="17"/>
        <v>0</v>
      </c>
      <c r="Z22" s="2">
        <f t="shared" si="17"/>
        <v>0</v>
      </c>
      <c r="AA22" s="39">
        <f t="shared" si="17"/>
        <v>0</v>
      </c>
      <c r="AB22" s="4">
        <f t="shared" si="17"/>
        <v>0</v>
      </c>
      <c r="AC22" s="2">
        <f t="shared" si="17"/>
        <v>0</v>
      </c>
      <c r="AD22" s="2">
        <f t="shared" si="17"/>
        <v>0</v>
      </c>
      <c r="AE22" s="2">
        <f t="shared" si="17"/>
        <v>0</v>
      </c>
      <c r="AF22" s="2">
        <f t="shared" si="17"/>
        <v>0</v>
      </c>
      <c r="AG22" s="2">
        <f t="shared" si="17"/>
        <v>0</v>
      </c>
      <c r="AH22" s="2">
        <f t="shared" si="17"/>
        <v>0</v>
      </c>
      <c r="AI22" s="2">
        <f t="shared" si="17"/>
        <v>0</v>
      </c>
      <c r="AJ22" s="2">
        <f t="shared" si="17"/>
        <v>1</v>
      </c>
      <c r="AK22" s="2">
        <f t="shared" si="17"/>
        <v>0</v>
      </c>
      <c r="AL22" s="39">
        <f t="shared" si="17"/>
        <v>0</v>
      </c>
      <c r="AM22" s="12">
        <v>13</v>
      </c>
      <c r="AN22" s="56" t="s">
        <v>91</v>
      </c>
      <c r="AO22" s="9" t="s">
        <v>35</v>
      </c>
    </row>
    <row r="23" spans="1:41" x14ac:dyDescent="0.2">
      <c r="A23" s="31" t="s">
        <v>58</v>
      </c>
      <c r="B23" s="4" t="str">
        <f t="shared" si="0"/>
        <v>X</v>
      </c>
      <c r="C23" s="2" t="str">
        <f t="shared" si="0"/>
        <v>X</v>
      </c>
      <c r="D23" s="2" t="str">
        <f t="shared" si="0"/>
        <v>X</v>
      </c>
      <c r="E23" s="2" t="str">
        <f t="shared" si="0"/>
        <v>X</v>
      </c>
      <c r="F23" s="2" t="str">
        <f t="shared" si="0"/>
        <v>X</v>
      </c>
      <c r="G23" s="2" t="str">
        <f t="shared" si="0"/>
        <v>X</v>
      </c>
      <c r="H23" s="2">
        <v>1</v>
      </c>
      <c r="I23" s="2">
        <f t="shared" ref="I23:AL23" si="19">I12</f>
        <v>0</v>
      </c>
      <c r="J23" s="2">
        <v>0</v>
      </c>
      <c r="K23" s="2">
        <f t="shared" si="19"/>
        <v>0</v>
      </c>
      <c r="L23" s="2">
        <f t="shared" si="19"/>
        <v>0</v>
      </c>
      <c r="M23" s="2">
        <f t="shared" si="19"/>
        <v>0</v>
      </c>
      <c r="N23" s="2">
        <f t="shared" si="19"/>
        <v>0</v>
      </c>
      <c r="O23" s="2">
        <f t="shared" si="19"/>
        <v>0</v>
      </c>
      <c r="P23" s="2">
        <f t="shared" si="19"/>
        <v>0</v>
      </c>
      <c r="Q23" s="2">
        <f t="shared" si="19"/>
        <v>0</v>
      </c>
      <c r="R23" s="2">
        <f t="shared" si="19"/>
        <v>1</v>
      </c>
      <c r="S23" s="3" t="str">
        <f t="shared" si="19"/>
        <v>0-1</v>
      </c>
      <c r="T23" s="3" t="str">
        <f t="shared" si="19"/>
        <v>0-1</v>
      </c>
      <c r="U23" s="3" t="str">
        <f t="shared" ref="U23:V23" si="20">U12</f>
        <v>0-1</v>
      </c>
      <c r="V23" s="3" t="str">
        <f t="shared" si="20"/>
        <v>0-1</v>
      </c>
      <c r="W23" s="3" t="str">
        <f t="shared" si="19"/>
        <v>0-2</v>
      </c>
      <c r="X23" s="2">
        <f t="shared" si="19"/>
        <v>0</v>
      </c>
      <c r="Y23" s="2">
        <f t="shared" si="19"/>
        <v>0</v>
      </c>
      <c r="Z23" s="2">
        <f t="shared" si="19"/>
        <v>0</v>
      </c>
      <c r="AA23" s="39">
        <f t="shared" si="19"/>
        <v>0</v>
      </c>
      <c r="AB23" s="4">
        <f t="shared" si="19"/>
        <v>0</v>
      </c>
      <c r="AC23" s="2">
        <f t="shared" si="19"/>
        <v>0</v>
      </c>
      <c r="AD23" s="2">
        <f t="shared" si="19"/>
        <v>0</v>
      </c>
      <c r="AE23" s="2">
        <f t="shared" si="19"/>
        <v>0</v>
      </c>
      <c r="AF23" s="2">
        <f t="shared" si="19"/>
        <v>0</v>
      </c>
      <c r="AG23" s="2">
        <f t="shared" si="19"/>
        <v>0</v>
      </c>
      <c r="AH23" s="2">
        <f t="shared" si="19"/>
        <v>0</v>
      </c>
      <c r="AI23" s="2">
        <f t="shared" si="19"/>
        <v>0</v>
      </c>
      <c r="AJ23" s="2">
        <f t="shared" si="19"/>
        <v>0</v>
      </c>
      <c r="AK23" s="2">
        <f t="shared" si="19"/>
        <v>1</v>
      </c>
      <c r="AL23" s="39">
        <f t="shared" si="19"/>
        <v>0</v>
      </c>
      <c r="AM23" s="12">
        <v>14</v>
      </c>
      <c r="AN23" s="56" t="s">
        <v>92</v>
      </c>
      <c r="AO23" s="9" t="s">
        <v>35</v>
      </c>
    </row>
    <row r="24" spans="1:41" x14ac:dyDescent="0.2">
      <c r="A24" s="31" t="s">
        <v>79</v>
      </c>
      <c r="B24" s="4" t="str">
        <f t="shared" ref="B24:G24" si="21">B13</f>
        <v>X</v>
      </c>
      <c r="C24" s="2" t="str">
        <f t="shared" si="21"/>
        <v>X</v>
      </c>
      <c r="D24" s="2" t="str">
        <f t="shared" si="21"/>
        <v>X</v>
      </c>
      <c r="E24" s="2" t="str">
        <f t="shared" si="21"/>
        <v>X</v>
      </c>
      <c r="F24" s="2" t="str">
        <f t="shared" si="21"/>
        <v>X</v>
      </c>
      <c r="G24" s="2" t="str">
        <f t="shared" si="21"/>
        <v>X</v>
      </c>
      <c r="H24" s="2">
        <v>1</v>
      </c>
      <c r="I24" s="2">
        <f t="shared" ref="I24:AL24" si="22">I13</f>
        <v>0</v>
      </c>
      <c r="J24" s="2">
        <v>0</v>
      </c>
      <c r="K24" s="2">
        <f t="shared" si="22"/>
        <v>0</v>
      </c>
      <c r="L24" s="2">
        <f t="shared" si="22"/>
        <v>0</v>
      </c>
      <c r="M24" s="2">
        <f t="shared" si="22"/>
        <v>0</v>
      </c>
      <c r="N24" s="2">
        <f t="shared" si="22"/>
        <v>0</v>
      </c>
      <c r="O24" s="2">
        <f t="shared" si="22"/>
        <v>0</v>
      </c>
      <c r="P24" s="2">
        <f t="shared" si="22"/>
        <v>0</v>
      </c>
      <c r="Q24" s="2">
        <f t="shared" si="22"/>
        <v>0</v>
      </c>
      <c r="R24" s="2">
        <f t="shared" si="22"/>
        <v>0</v>
      </c>
      <c r="S24" s="15" t="str">
        <f t="shared" si="22"/>
        <v>0-17</v>
      </c>
      <c r="T24" s="15" t="str">
        <f t="shared" si="22"/>
        <v>0-17</v>
      </c>
      <c r="U24" s="15" t="str">
        <f t="shared" ref="U24:V24" si="23">U13</f>
        <v>0-17</v>
      </c>
      <c r="V24" s="15" t="str">
        <f t="shared" si="23"/>
        <v>0-17</v>
      </c>
      <c r="W24" s="15" t="str">
        <f t="shared" si="22"/>
        <v>0-34</v>
      </c>
      <c r="X24" s="54" t="str">
        <f t="shared" si="22"/>
        <v>X</v>
      </c>
      <c r="Y24" s="54" t="str">
        <f t="shared" si="22"/>
        <v>X</v>
      </c>
      <c r="Z24" s="2">
        <f t="shared" si="22"/>
        <v>0</v>
      </c>
      <c r="AA24" s="39">
        <f t="shared" si="22"/>
        <v>1</v>
      </c>
      <c r="AB24" s="4">
        <f t="shared" si="22"/>
        <v>0</v>
      </c>
      <c r="AC24" s="2">
        <f t="shared" si="22"/>
        <v>0</v>
      </c>
      <c r="AD24" s="2">
        <f t="shared" si="22"/>
        <v>0</v>
      </c>
      <c r="AE24" s="2">
        <f t="shared" si="22"/>
        <v>0</v>
      </c>
      <c r="AF24" s="2">
        <f t="shared" si="22"/>
        <v>0</v>
      </c>
      <c r="AG24" s="2">
        <f t="shared" si="22"/>
        <v>0</v>
      </c>
      <c r="AH24" s="2">
        <f t="shared" si="22"/>
        <v>0</v>
      </c>
      <c r="AI24" s="2">
        <f t="shared" si="22"/>
        <v>0</v>
      </c>
      <c r="AJ24" s="2">
        <f t="shared" si="22"/>
        <v>0</v>
      </c>
      <c r="AK24" s="2">
        <f t="shared" si="22"/>
        <v>0</v>
      </c>
      <c r="AL24" s="39">
        <f t="shared" si="22"/>
        <v>1</v>
      </c>
      <c r="AM24" s="12">
        <v>16</v>
      </c>
      <c r="AN24" s="56" t="s">
        <v>93</v>
      </c>
      <c r="AO24" s="9" t="s">
        <v>35</v>
      </c>
    </row>
  </sheetData>
  <conditionalFormatting sqref="B3:AL24">
    <cfRule type="cellIs" dxfId="2" priority="1" stopIfTrue="1" operator="notBetween">
      <formula>0</formula>
      <formula>1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HarvestingTruthTable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Rong-Hsuan Chang 張容瑄</dc:creator>
  <cp:lastModifiedBy>Toby McPheeters</cp:lastModifiedBy>
  <dcterms:created xsi:type="dcterms:W3CDTF">2025-04-04T15:29:42Z</dcterms:created>
  <dcterms:modified xsi:type="dcterms:W3CDTF">2025-08-15T23:56:04Z</dcterms:modified>
</cp:coreProperties>
</file>