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oby/Desktop/BORNEO/V07A/"/>
    </mc:Choice>
  </mc:AlternateContent>
  <xr:revisionPtr revIDLastSave="0" documentId="8_{75656244-1775-C240-A678-2A15EC88AF4F}" xr6:coauthVersionLast="47" xr6:coauthVersionMax="47" xr10:uidLastSave="{00000000-0000-0000-0000-000000000000}"/>
  <bookViews>
    <workbookView xWindow="0" yWindow="500" windowWidth="38400" windowHeight="19400" tabRatio="800" xr2:uid="{00000000-000D-0000-FFFF-FFFF00000000}"/>
  </bookViews>
  <sheets>
    <sheet name="Revision" sheetId="4" r:id="rId1"/>
    <sheet name="Flow_PostBincut" sheetId="16" r:id="rId2"/>
  </sheets>
  <definedNames>
    <definedName name="_xlnm._FilterDatabase" localSheetId="1" hidden="1">Flow_PostBincut!$A$3:$DH$28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H3" i="16" l="1"/>
  <c r="CR3" i="16"/>
  <c r="CB3" i="16"/>
  <c r="CA3" i="16"/>
  <c r="BZ3" i="16"/>
  <c r="BY3" i="16"/>
  <c r="BX3" i="16"/>
  <c r="BW3" i="16"/>
  <c r="BV3" i="16"/>
  <c r="BU3" i="16"/>
  <c r="BT3" i="16"/>
  <c r="BS3" i="16"/>
  <c r="BR3" i="16"/>
  <c r="BQ3" i="16"/>
  <c r="BP3" i="16"/>
  <c r="BO3" i="16"/>
  <c r="BL3" i="16"/>
  <c r="BK3" i="16"/>
  <c r="DG3" i="16" s="1"/>
  <c r="BJ3" i="16"/>
  <c r="DF3" i="16" s="1"/>
  <c r="BI3" i="16"/>
  <c r="BH3" i="16"/>
  <c r="DD3" i="16" s="1"/>
  <c r="BG3" i="16"/>
  <c r="DC3" i="16" s="1"/>
  <c r="BF3" i="16"/>
  <c r="DB3" i="16" s="1"/>
  <c r="BE3" i="16"/>
  <c r="DA3" i="16" s="1"/>
  <c r="BD3" i="16"/>
  <c r="CZ3" i="16" s="1"/>
  <c r="BC3" i="16"/>
  <c r="CY3" i="16" s="1"/>
  <c r="BB3" i="16"/>
  <c r="CX3" i="16" s="1"/>
  <c r="BA3" i="16"/>
  <c r="CW3" i="16" s="1"/>
  <c r="AZ3" i="16"/>
  <c r="CV3" i="16" s="1"/>
  <c r="AY3" i="16"/>
  <c r="CU3" i="16" s="1"/>
  <c r="AV3" i="16"/>
  <c r="AU3" i="16"/>
  <c r="AT3" i="16"/>
  <c r="CP3" i="16" s="1"/>
  <c r="AS3" i="16"/>
  <c r="CO3" i="16" s="1"/>
  <c r="AR3" i="16"/>
  <c r="CN3" i="16" s="1"/>
  <c r="AQ3" i="16"/>
  <c r="CM3" i="16" s="1"/>
  <c r="AP3" i="16"/>
  <c r="CL3" i="16" s="1"/>
  <c r="AO3" i="16"/>
  <c r="CK3" i="16" s="1"/>
  <c r="AN3" i="16"/>
  <c r="CJ3" i="16" s="1"/>
  <c r="AM3" i="16"/>
  <c r="CI3" i="16" s="1"/>
  <c r="AL3" i="16"/>
  <c r="CH3" i="16" s="1"/>
  <c r="AK3" i="16"/>
  <c r="AJ3" i="16"/>
  <c r="AI3" i="16"/>
  <c r="CE3" i="16" s="1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P3" i="16"/>
  <c r="CQ3" i="16" l="1"/>
  <c r="CF3" i="16"/>
  <c r="DE3" i="16"/>
  <c r="CG3" i="16"/>
</calcChain>
</file>

<file path=xl/sharedStrings.xml><?xml version="1.0" encoding="utf-8"?>
<sst xmlns="http://schemas.openxmlformats.org/spreadsheetml/2006/main" count="3043" uniqueCount="363">
  <si>
    <t>Date</t>
  </si>
  <si>
    <t>By</t>
  </si>
  <si>
    <t>Flow Tab</t>
  </si>
  <si>
    <t>Performance Mode</t>
  </si>
  <si>
    <t>VDD_ECPU</t>
  </si>
  <si>
    <t>VDD_GPU</t>
  </si>
  <si>
    <t>VDD_SOC</t>
  </si>
  <si>
    <t>All Others</t>
  </si>
  <si>
    <t>VDD_DCS_DDR</t>
  </si>
  <si>
    <t>VDD_PCPU</t>
  </si>
  <si>
    <t>PCPU</t>
  </si>
  <si>
    <t>VDD_DISP</t>
  </si>
  <si>
    <t>VDD_SRAM_GPU</t>
  </si>
  <si>
    <t>VDD_CPU_SRAM</t>
  </si>
  <si>
    <t>Bincut_X_X_X LV</t>
  </si>
  <si>
    <t>VDD_SRAM_SOC</t>
  </si>
  <si>
    <t>PerForce Revision</t>
  </si>
  <si>
    <t>Binning Domain</t>
  </si>
  <si>
    <t>SOC</t>
  </si>
  <si>
    <t>ME001 Bin Result</t>
  </si>
  <si>
    <t>MG001 Bin Result</t>
  </si>
  <si>
    <t>MD001 Bin Result</t>
  </si>
  <si>
    <t>MI001 Bin Result</t>
  </si>
  <si>
    <t>Product-FT_GB_HOT</t>
  </si>
  <si>
    <t>Product</t>
  </si>
  <si>
    <t>Bincut_X_X_X NV</t>
  </si>
  <si>
    <t>ECPU</t>
  </si>
  <si>
    <t>BinningVmax</t>
  </si>
  <si>
    <t>Program</t>
  </si>
  <si>
    <t>VDD_FIXED_ALL</t>
  </si>
  <si>
    <t>Silicon</t>
  </si>
  <si>
    <t>Product-HTOL_T0TX_GB_HOT</t>
  </si>
  <si>
    <t>Product-HTOL_T0TX_GB_ROOM</t>
  </si>
  <si>
    <t>A0</t>
  </si>
  <si>
    <t>CP1</t>
  </si>
  <si>
    <t>CP2</t>
  </si>
  <si>
    <t>FT_ROOM, RMA_ROOM</t>
  </si>
  <si>
    <t>FT_HOT, RMA_HOT</t>
  </si>
  <si>
    <t>FT1_FQA, FT2_FQA</t>
  </si>
  <si>
    <t>T0TX_ROOM</t>
  </si>
  <si>
    <t>Fred</t>
  </si>
  <si>
    <t>CPU</t>
  </si>
  <si>
    <t>MS001_Domain_PBC</t>
  </si>
  <si>
    <t>MS004 Product-CP_GB_HOT</t>
  </si>
  <si>
    <t>MP001 Product-FT_GB_ROOM</t>
  </si>
  <si>
    <t>ME001 Product-FT_GB_ROOM</t>
  </si>
  <si>
    <t>MG001 Product-FT_GB_ROOM</t>
  </si>
  <si>
    <t>MS004 Product-FT_GB_ROOM</t>
  </si>
  <si>
    <t>MD001 Product-FT_GB_ROOM</t>
  </si>
  <si>
    <t>MI001 Product-FT_GB_ROOM</t>
  </si>
  <si>
    <t>MP001 Product-FT_GB_HOT</t>
  </si>
  <si>
    <t>ME001 Product-FT_GB_HOT</t>
  </si>
  <si>
    <t>MG001 Product-FT_GB_HOT</t>
  </si>
  <si>
    <t>MS004 Product-FT_GB_HOT</t>
  </si>
  <si>
    <t>MD001 Product-FT_GB_HOT</t>
  </si>
  <si>
    <t>MI001 Product-FT_GB_HOT</t>
  </si>
  <si>
    <t>MP001 Product</t>
  </si>
  <si>
    <t>ME001 Product</t>
  </si>
  <si>
    <t>MG001 Product</t>
  </si>
  <si>
    <t>MS004 Product</t>
  </si>
  <si>
    <t>MD001 Product</t>
  </si>
  <si>
    <t>MI001 Product</t>
  </si>
  <si>
    <t>MP001 Product-HTOL_T0TX_GB_ROOM</t>
  </si>
  <si>
    <t>ME001 Product-HTOL_T0TX_GB_ROOM</t>
  </si>
  <si>
    <t>MG001 Product-HTOL_T0TX_GB_ROOM</t>
  </si>
  <si>
    <t>MS004 Product-HTOL_T0TX_GB_ROOM</t>
  </si>
  <si>
    <t>MD001 Product-HTOL_T0TX_GB_ROOM</t>
  </si>
  <si>
    <t>MI001 Product-HTOL_T0TX_GB_ROOM</t>
  </si>
  <si>
    <t>MP001 Product-HTOL_T0TX_GB_HOT</t>
  </si>
  <si>
    <t>ME001 Product-HTOL_T0TX_GB_HOT</t>
  </si>
  <si>
    <t>MG001 Product-HTOL_T0TX_GB_HOT</t>
  </si>
  <si>
    <t>MS004 Product-HTOL_T0TX_GB_HOT</t>
  </si>
  <si>
    <t>MD001 Product-HTOL_T0TX_GB_HOT</t>
  </si>
  <si>
    <t>MI001 Product-HTOL_T0TX_GB_HOT</t>
  </si>
  <si>
    <t>MS001 Product-CP_GB_HOT</t>
  </si>
  <si>
    <t>MS001 Product-FT_GB_HOT</t>
  </si>
  <si>
    <t>MS001 Product</t>
  </si>
  <si>
    <t>MS001 Product-HTOL_T0TX_GB_ROOM</t>
  </si>
  <si>
    <t>MS001 Product-HTOL_T0TX_GB_HOT</t>
  </si>
  <si>
    <t>MI003 Product-CP_GB_HOT</t>
  </si>
  <si>
    <t>MP007 Product-FT_GB_ROOM</t>
  </si>
  <si>
    <t>MI003 Product-FT_GB_ROOM</t>
  </si>
  <si>
    <t>MP007 Product-FT_GB_HOT</t>
  </si>
  <si>
    <t>MI003 Product-FT_GB_HOT</t>
  </si>
  <si>
    <t>MP007 Product</t>
  </si>
  <si>
    <t>MI003 Product</t>
  </si>
  <si>
    <t>MP007 Product-HTOL_T0TX_GB_ROOM</t>
  </si>
  <si>
    <t>MI003 Product-HTOL_T0TX_GB_ROOM</t>
  </si>
  <si>
    <t>MP007 Product-HTOL_T0TX_GB_HOT</t>
  </si>
  <si>
    <t>MI003 Product-HTOL_T0TX_GB_HOT</t>
  </si>
  <si>
    <t>MP002 Product-FT_GB_HOT</t>
  </si>
  <si>
    <t>ME003 Product-FT_GB_HOT</t>
  </si>
  <si>
    <t>MES003 Product-FT_GB_HOT</t>
  </si>
  <si>
    <t>MP002 Product</t>
  </si>
  <si>
    <t>ME003 Product</t>
  </si>
  <si>
    <t>MES003 Product</t>
  </si>
  <si>
    <t>MP002 Product-HTOL_T0TX_GB_ROOM</t>
  </si>
  <si>
    <t>ME003 Product-HTOL_T0TX_GB_ROOM</t>
  </si>
  <si>
    <t>MES003 Product-HTOL_T0TX_GB_ROOM</t>
  </si>
  <si>
    <t>MP002 Product-HTOL_T0TX_GB_HOT</t>
  </si>
  <si>
    <t>ME003 Product-HTOL_T0TX_GB_HOT</t>
  </si>
  <si>
    <t>MES003 Product-HTOL_T0TX_GB_HOT</t>
  </si>
  <si>
    <t>MD007 Product-CP_GB_HOT</t>
  </si>
  <si>
    <t>MD007 Product-FT_GB_ROOM</t>
  </si>
  <si>
    <t>MD007 Product-FT_GB_HOT</t>
  </si>
  <si>
    <t>MD007 Product</t>
  </si>
  <si>
    <t>MD007 Product-HTOL_T0TX_GB_ROOM</t>
  </si>
  <si>
    <t>MD007 Product-HTOL_T0TX_GB_HOT</t>
  </si>
  <si>
    <t>V01A</t>
  </si>
  <si>
    <t>Seeded from Hidra V07A</t>
  </si>
  <si>
    <t>Alan</t>
  </si>
  <si>
    <t>Removed duplicate MS001_SSBI_PBC pmode entry in row 30</t>
  </si>
  <si>
    <t>Yuhsuan</t>
  </si>
  <si>
    <t>STR version</t>
  </si>
  <si>
    <t>T0TX_HOT</t>
  </si>
  <si>
    <t>MS004_SFT_PBC</t>
  </si>
  <si>
    <t>MS004_Domain_PBC</t>
  </si>
  <si>
    <t>MP00G_WUS_PBC</t>
  </si>
  <si>
    <t>MP00G_24N_PBC</t>
  </si>
  <si>
    <t>ME007_WUS_PBC</t>
  </si>
  <si>
    <t>ME007_24N_PBC</t>
  </si>
  <si>
    <t>MP002 E1 Voltage</t>
  </si>
  <si>
    <t>ME003 E1 Voltage</t>
  </si>
  <si>
    <t>MG001 E1 Voltage</t>
  </si>
  <si>
    <t>700mV (ML001 Product)</t>
  </si>
  <si>
    <t>25C FQA should use same flow as WLFT except run bin check instead of bin cut</t>
  </si>
  <si>
    <t>VDD_AVE</t>
  </si>
  <si>
    <t>VDD_LOW</t>
  </si>
  <si>
    <t>MP001 E1 Voltage</t>
  </si>
  <si>
    <t>950mV (MS004 Product)</t>
  </si>
  <si>
    <t>MA001 Bin Result</t>
  </si>
  <si>
    <t>MES007 E1 Voltage</t>
  </si>
  <si>
    <t>ME007 Product-CP_GB_HOT</t>
  </si>
  <si>
    <t>MD001 E1 Voltage</t>
  </si>
  <si>
    <t>MA001 E1 Voltage</t>
  </si>
  <si>
    <t>MI001 E1 Voltage</t>
  </si>
  <si>
    <t>ME007 Product-FT_GB_ROOM</t>
  </si>
  <si>
    <t>MA001 Product-FT_GB_ROOM</t>
  </si>
  <si>
    <t>MES007 Product-FT_GB_ROOM</t>
  </si>
  <si>
    <t>ME007 Product-FT_GB_HOT</t>
  </si>
  <si>
    <t>MA001 Product-FT_GB_HOT</t>
  </si>
  <si>
    <t>MES007 Product-FT_GB_HOT</t>
  </si>
  <si>
    <t>ME007 Product</t>
  </si>
  <si>
    <t>MA001 Product</t>
  </si>
  <si>
    <t>MES007 Product</t>
  </si>
  <si>
    <t>ME007 Product-HTOL_T0TX_GB_ROOM</t>
  </si>
  <si>
    <t>MA001 Product-HTOL_T0TX_GB_ROOM</t>
  </si>
  <si>
    <t>MES007 Product-HTOL_T0TX_GB_ROOM</t>
  </si>
  <si>
    <t>ME007 Product-HTOL_T0TX_GB_HOT</t>
  </si>
  <si>
    <t>MA001 Product-HTOL_T0TX_GB_HOT</t>
  </si>
  <si>
    <t>MES007 Product-HTOL_T0TX_GB_HOT</t>
  </si>
  <si>
    <t>ME001 E1 Voltage</t>
  </si>
  <si>
    <t>MPS00G E1 Voltage</t>
  </si>
  <si>
    <t>MP00G Product-CP_GB_HOT</t>
  </si>
  <si>
    <t>MP00G Product-FT_GB_ROOM</t>
  </si>
  <si>
    <t>MPS00G Product-FT_GB_ROOM</t>
  </si>
  <si>
    <t>MP00G Product-FT_GB_HOT</t>
  </si>
  <si>
    <t>MPS00G Product-FT_GB_HOT</t>
  </si>
  <si>
    <t>MP00G Product</t>
  </si>
  <si>
    <t>MPS00G Product</t>
  </si>
  <si>
    <t>MP00G Product-HTOL_T0TX_GB_ROOM</t>
  </si>
  <si>
    <t>MPS00G Product-HTOL_T0TX_GB_ROOM</t>
  </si>
  <si>
    <t>MP00G Product-HTOL_T0TX_GB_HOT</t>
  </si>
  <si>
    <t>MPS00G Product-HTOL_T0TX_GB_HOT</t>
  </si>
  <si>
    <t>MD007 E1 Voltage</t>
  </si>
  <si>
    <t>MA003 E1 Voltage</t>
  </si>
  <si>
    <t>MI003 E1 Voltage</t>
  </si>
  <si>
    <t>MES003 E1 Voltage</t>
  </si>
  <si>
    <t>MA003 Product-CP_GB_HOT</t>
  </si>
  <si>
    <t>MP002 Product-FT_GB_ROOM</t>
  </si>
  <si>
    <t>ME003 Product-FT_GB_ROOM</t>
  </si>
  <si>
    <t>MA003 Product-FT_GB_ROOM</t>
  </si>
  <si>
    <t>MES003 Product-FT_GB_ROOM</t>
  </si>
  <si>
    <t>MA003 Product-FT_GB_HOT</t>
  </si>
  <si>
    <t>MA003 Product</t>
  </si>
  <si>
    <t>MA003 Product-HTOL_T0TX_GB_ROOM</t>
  </si>
  <si>
    <t>MA003 Product-HTOL_T0TX_GB_HOT</t>
  </si>
  <si>
    <t>MP007 E1 Voltage</t>
  </si>
  <si>
    <t>ME007 E1 Voltage</t>
  </si>
  <si>
    <t>MD009 E1 Voltage</t>
  </si>
  <si>
    <t>MD009 Product-CP_GB_HOT</t>
  </si>
  <si>
    <t>MD009 Product-FT_GB_ROOM</t>
  </si>
  <si>
    <t>MD009 Product-FT_GB_HOT</t>
  </si>
  <si>
    <t>MD009 Product</t>
  </si>
  <si>
    <t>MD009 Product-HTOL_T0TX_GB_ROOM</t>
  </si>
  <si>
    <t>MD009 Product-HTOL_T0TX_GB_HOT</t>
  </si>
  <si>
    <t>Added full Comment_ABC headers.</t>
  </si>
  <si>
    <t>Toby</t>
  </si>
  <si>
    <t>Fix comments.</t>
  </si>
  <si>
    <t>Yash</t>
  </si>
  <si>
    <t>Added MD modes</t>
  </si>
  <si>
    <t>DCS_DDR</t>
  </si>
  <si>
    <t>MS003 Bin Result+15mV</t>
  </si>
  <si>
    <t>MS004 Bin Result+15mV</t>
  </si>
  <si>
    <t>MD003 E1 Voltage</t>
  </si>
  <si>
    <t>DQW,DQR,CA</t>
  </si>
  <si>
    <t>DQW,CA</t>
  </si>
  <si>
    <t>MD001_ELB_PBC</t>
  </si>
  <si>
    <t>MD002_ELB_PBC</t>
  </si>
  <si>
    <t>MD003_ELB_PBC</t>
  </si>
  <si>
    <t>MD003_HBV_ELB_PBC</t>
  </si>
  <si>
    <t>MD009_ILB_PBC</t>
  </si>
  <si>
    <t>MD009_HBV_ILB_PBC</t>
  </si>
  <si>
    <t>MA002 E1 Voltage</t>
  </si>
  <si>
    <t>MI002 E1 Voltage</t>
  </si>
  <si>
    <t>MP00K E1 Product +5%</t>
  </si>
  <si>
    <t>ME007 E1 Product +5%</t>
  </si>
  <si>
    <t>MG001 E1 Product</t>
  </si>
  <si>
    <t>MS004 E1 Product +5%</t>
  </si>
  <si>
    <t>MA003 E1 Product +5%</t>
  </si>
  <si>
    <t>MI005 E1 Product +5%</t>
  </si>
  <si>
    <t>ML001 E1 Product +5%</t>
  </si>
  <si>
    <t>MPS00K E1 Product +5%</t>
  </si>
  <si>
    <t>CPHV</t>
  </si>
  <si>
    <t>Bincut_X_X_X HV</t>
  </si>
  <si>
    <t>MD009 E1 Product +10%</t>
  </si>
  <si>
    <t>MD003 E1 Product + 10%</t>
  </si>
  <si>
    <t>MD002 E1 Voltage</t>
  </si>
  <si>
    <t>Updated for CP2</t>
  </si>
  <si>
    <t>MS003 Product-CP_GB_HOT</t>
  </si>
  <si>
    <t>MD001 Product-CP_GB_HOT</t>
  </si>
  <si>
    <t>MA001 Product-CP_GB_HOT</t>
  </si>
  <si>
    <t>MI001 Product-CP_GB_HOT</t>
  </si>
  <si>
    <t>MD002 Product-CP_GB_HOT</t>
  </si>
  <si>
    <t>MA002 Product-CP_GB_HOT</t>
  </si>
  <si>
    <t>MI002 Product-CP_GB_HOT</t>
  </si>
  <si>
    <t>MD003 Product-CP_GB_HOT</t>
  </si>
  <si>
    <t>MD003 Product-CP_GB_HOT + 10%</t>
  </si>
  <si>
    <t>MD009 E1 Product + 10%</t>
  </si>
  <si>
    <t>Added MF001_SOC_TD and MR001_SOC_TD.</t>
  </si>
  <si>
    <r>
      <t>MF001_SOC_TD</t>
    </r>
    <r>
      <rPr>
        <b/>
        <sz val="12"/>
        <rFont val="Courier New"/>
        <family val="1"/>
      </rPr>
      <t>_PBC</t>
    </r>
  </si>
  <si>
    <r>
      <t>MR001_SOC_TD</t>
    </r>
    <r>
      <rPr>
        <b/>
        <sz val="12"/>
        <rFont val="Courier New"/>
        <family val="1"/>
      </rPr>
      <t>_PBC</t>
    </r>
  </si>
  <si>
    <t>Added suffix _PBC: MF001_SOC_TD_PBC and MR001_SOC_TD_PBC.</t>
  </si>
  <si>
    <t>CP2: DCS_DDR / MD003_HBV_ELB_PBC --&gt; VDD_DCS_DDR --&gt; Change from "MD003 Product-CP_GB_HOT + 10%" to "MD003 Product-CP_GB_HOT".</t>
  </si>
  <si>
    <t>MP00G E1 Voltage</t>
  </si>
  <si>
    <t>MS004 E1 Voltage</t>
  </si>
  <si>
    <t>Changed CP1 "Evaluate Bin" to "E1 Voltage".</t>
  </si>
  <si>
    <t>MP00J Product-FT_GB_HOT</t>
  </si>
  <si>
    <t>MP00J Product</t>
  </si>
  <si>
    <t>MP00J Product-HTOL_T0TX_GB_ROOM</t>
  </si>
  <si>
    <t>MP00J Product-HTOL_T0TX_GB_HOT</t>
  </si>
  <si>
    <t>SOC / MS004_SFT_PBC: change VDD_PCPU from 7 to J: "MP007 E1 Voltage" to "MP00J E1 Voltage".  Update all insertions.</t>
  </si>
  <si>
    <t>Fix Comments.  Copied header from Borneo_A0_Voltage_Binning_V0P12_061225.xlsx.</t>
  </si>
  <si>
    <t>MS004_SFT_PBC: Increase VDD_CPU_SRAM from 7 to J: "MES007 E1 Voltage" to "MES00J E1 Voltage".</t>
  </si>
  <si>
    <t>MPS00J Product-FT_GB_HOT</t>
  </si>
  <si>
    <t>MPS00J Product</t>
  </si>
  <si>
    <t>MPS00J Product-HTOL_T0TX_GB_ROOM</t>
  </si>
  <si>
    <t>MPS00J Product-HTOL_T0TX_GB_HOT</t>
  </si>
  <si>
    <r>
      <t xml:space="preserve">MS004_SFT_PBC: Change from </t>
    </r>
    <r>
      <rPr>
        <b/>
        <sz val="12"/>
        <color theme="1"/>
        <rFont val="Courier"/>
      </rPr>
      <t>E</t>
    </r>
    <r>
      <rPr>
        <sz val="12"/>
        <color theme="1"/>
        <rFont val="Courier"/>
        <family val="1"/>
      </rPr>
      <t xml:space="preserve"> to </t>
    </r>
    <r>
      <rPr>
        <b/>
        <sz val="12"/>
        <color theme="1"/>
        <rFont val="Courier"/>
      </rPr>
      <t>P</t>
    </r>
    <r>
      <rPr>
        <sz val="12"/>
        <color theme="1"/>
        <rFont val="Courier"/>
        <family val="1"/>
      </rPr>
      <t>: "M</t>
    </r>
    <r>
      <rPr>
        <b/>
        <sz val="12"/>
        <color theme="1"/>
        <rFont val="Courier"/>
      </rPr>
      <t>E</t>
    </r>
    <r>
      <rPr>
        <sz val="12"/>
        <color theme="1"/>
        <rFont val="Courier"/>
        <family val="1"/>
      </rPr>
      <t>S00J" to "M</t>
    </r>
    <r>
      <rPr>
        <b/>
        <sz val="12"/>
        <color theme="1"/>
        <rFont val="Courier"/>
      </rPr>
      <t>P</t>
    </r>
    <r>
      <rPr>
        <sz val="12"/>
        <color theme="1"/>
        <rFont val="Courier"/>
        <family val="1"/>
      </rPr>
      <t>S00J".</t>
    </r>
  </si>
  <si>
    <t>MS001_Domain_PBC at FT1: Incraese VDD_SOC to "MS001 Product + 10mV".</t>
  </si>
  <si>
    <t xml:space="preserve">MS001_Domain_PBC at FT1: Use flat 750mV </t>
  </si>
  <si>
    <t>750mV (MS001 Product)</t>
  </si>
  <si>
    <t>Syntax fix: MS001_Domain_PBC: FT_ROOM and FT_HOT --&gt; VDD_SOC to "750mV (MS001 Product)".</t>
  </si>
  <si>
    <t>V02A</t>
  </si>
  <si>
    <t>Copied from V01A #18.</t>
  </si>
  <si>
    <t>Update Revision sheet.</t>
  </si>
  <si>
    <t>V03A</t>
  </si>
  <si>
    <t>Copied from V02A #2.</t>
  </si>
  <si>
    <t>MP00H_SFT_PBC</t>
  </si>
  <si>
    <t>Add MP00H_SFT_PBC for ANE dedicated row.</t>
  </si>
  <si>
    <t>7/8: Added for ANE.</t>
  </si>
  <si>
    <t>MP001_SFT_PBC</t>
  </si>
  <si>
    <t>7/9: Added for ANE.</t>
  </si>
  <si>
    <t>MP002 Bin Result</t>
  </si>
  <si>
    <t>ME003 Bin Result</t>
  </si>
  <si>
    <t>MD007 Bin Result</t>
  </si>
  <si>
    <t>MA003 Bin Result</t>
  </si>
  <si>
    <t>MI003 Bin Result</t>
  </si>
  <si>
    <t>MPS002 Bin Result</t>
  </si>
  <si>
    <t>MP007 Bin Result</t>
  </si>
  <si>
    <t>ME007 Bin Result</t>
  </si>
  <si>
    <t>MD009 Bin Result</t>
  </si>
  <si>
    <t>MES007 Bin Result</t>
  </si>
  <si>
    <t>MPS001 Bin Result</t>
  </si>
  <si>
    <t>MPS00J Bin Result</t>
  </si>
  <si>
    <t>MS001 Bin Result</t>
  </si>
  <si>
    <t>MS004 Bin Result</t>
  </si>
  <si>
    <t>MP001 Bin Result</t>
  </si>
  <si>
    <t>MP00J Bin Result</t>
  </si>
  <si>
    <t>MPS002 Product-CP_GB_HOT</t>
  </si>
  <si>
    <t>MES007 Product-CP_GB_HOT</t>
  </si>
  <si>
    <t>MP001 Product-CP_GB_HOT</t>
  </si>
  <si>
    <t>MPS001 Product-CP_GB_HOT</t>
  </si>
  <si>
    <t>MP00J Product-CP_GB_HOT</t>
  </si>
  <si>
    <t>MPS00J Product-CP_GB_HOT</t>
  </si>
  <si>
    <t>Add MP001_SFT_PBC for ANE dedicated row. Update voltage for SFT_PBC based on bin cut v0.2 for CP and bin cut v0.16 for others</t>
  </si>
  <si>
    <t>MPS002 Product-FT_GB_HOT</t>
  </si>
  <si>
    <t>MPS001 Product-FT_GB_HOT</t>
  </si>
  <si>
    <t>MPS002 Product</t>
  </si>
  <si>
    <t>MPS001 Product</t>
  </si>
  <si>
    <t>MPS002 Product-HTOL_T0TX_GB_ROOM</t>
  </si>
  <si>
    <t>MPS001 Product-HTOL_T0TX_GB_ROOM</t>
  </si>
  <si>
    <t>MPS002 Product-HTOL_T0TX_GB_HOT</t>
  </si>
  <si>
    <t>MPS001 Product-HTOL_T0TX_GB_HOT</t>
  </si>
  <si>
    <t>MD001_ILB_PBC</t>
  </si>
  <si>
    <t>MD00A E1 Product +10%</t>
  </si>
  <si>
    <t>MD00A_ILB_PBC</t>
  </si>
  <si>
    <t>MD00A_HBV_ILB_PBC</t>
  </si>
  <si>
    <t>MD00A E1 Voltage</t>
  </si>
  <si>
    <t>MD00A Product-CP_GB_HOT</t>
  </si>
  <si>
    <t>Added MD1 to run at MD00A + 10% voltages to account for mode switching, add MD00A</t>
  </si>
  <si>
    <t>MS001_SRT_PBC</t>
  </si>
  <si>
    <t>Changed from "MS001_SFT_PBC" to "MS001_SRT_PBC" to match BMS.</t>
  </si>
  <si>
    <t>Fixed duplicate Performance Mode "MP00H_SFT_PBC" for CP2+.  It should be MP001_SFT_PBC.</t>
  </si>
  <si>
    <t>MD001_ILB_PBC changed VDD_DCS_DDR to MD001 E1 Voltage.</t>
  </si>
  <si>
    <t>CP1, DCS_DDR, MD001_ILB_PBC: VDD_DCS_DDR to "MD001 E1 Product + 10%".</t>
  </si>
  <si>
    <t>CP1: DCS_DDR/MD001_ILB_PBC: VDD_DCS_DDR back to "MD00A E1 Product +10%".  This is intentional.</t>
  </si>
  <si>
    <t>MD00A E1 Product +5%</t>
  </si>
  <si>
    <t>MD00A E1 Product</t>
  </si>
  <si>
    <t>MD00A E1 Product + 5%</t>
  </si>
  <si>
    <t>CP1: DCS_DDR/MD001_ILB_PBC: VDD_DCS_DDR set to "MD00A E1 Product".  This is intentional., also made MD00A_HBV_ILB_PBC to MD00A E1 Product + 5%</t>
  </si>
  <si>
    <t>MP001_CEXTEST_PBC</t>
  </si>
  <si>
    <t>MP00G_CEXTEST_PBC</t>
  </si>
  <si>
    <t>ME001_CEXTEST_PBC</t>
  </si>
  <si>
    <t>ME007_CEXTEST_PBC</t>
  </si>
  <si>
    <t>MES001 E1 Voltage</t>
  </si>
  <si>
    <t>ME001 Product-CP_GB_HOT</t>
  </si>
  <si>
    <t>MES001 Product-CP_GB_HOT</t>
  </si>
  <si>
    <t>MES001 Product-FT_GB_HOT</t>
  </si>
  <si>
    <t>MP001 Product-ATE_FQAGB</t>
  </si>
  <si>
    <t>ME001 Product-ATE_FQAGB</t>
  </si>
  <si>
    <t>MG001 Product-ATE_FQAGB</t>
  </si>
  <si>
    <t>MD001 Product-ATE_FQAGB</t>
  </si>
  <si>
    <t>MA001 Product-ATE_FQAGB</t>
  </si>
  <si>
    <t>MI001 Product-ATE_FQAGB</t>
  </si>
  <si>
    <t>MES001 Product-ATE_FQAGB</t>
  </si>
  <si>
    <t>Product-ATE_FQAGB</t>
  </si>
  <si>
    <t>MES001 Product-HTOL_T0TX_GB_ROOM</t>
  </si>
  <si>
    <t>MES001 Product-HTOL_T0TX_GB_HOT</t>
  </si>
  <si>
    <t>MES007 Product-ATE_FQAGB</t>
  </si>
  <si>
    <t>MPS00G Product-CP_GB_HOT</t>
  </si>
  <si>
    <t>MP00G Product-ATE_FQAGB</t>
  </si>
  <si>
    <t>MPS00G Product-ATE_FQAGB</t>
  </si>
  <si>
    <t>MP00G Bin Result</t>
  </si>
  <si>
    <t>Move CPU CEXTEST from BV to PBC</t>
  </si>
  <si>
    <t>MS001_Domain_PBC across insertions: Use flat 750mV</t>
  </si>
  <si>
    <t>ME007 E1 Voltage +50mV</t>
  </si>
  <si>
    <t>ME007 Product-CP_GB_HOT +50mV</t>
  </si>
  <si>
    <t>ME007 Bin Result +50mV</t>
  </si>
  <si>
    <t>ME007 Product-FT_GB_HOT +50mV</t>
  </si>
  <si>
    <t>ME007 Product-ATE_FQAGB +50mV</t>
  </si>
  <si>
    <t>ME007 Product-HTOL_T0TX_GB_ROOM +50mV</t>
  </si>
  <si>
    <t>ME007 Product-HTOL_T0TX_GB_HOT +50mV</t>
  </si>
  <si>
    <t>CPU CEXTEST +50mV for ME007 across insertions</t>
  </si>
  <si>
    <t>MS001_CXT_PBC</t>
  </si>
  <si>
    <t>MS004_CXT_PBC</t>
  </si>
  <si>
    <t>9/29: Added.</t>
  </si>
  <si>
    <t>Added: MS001_CXT_PBC and MS004_CXT_PBC.</t>
  </si>
  <si>
    <t>V04A</t>
  </si>
  <si>
    <t>Copied from V03A #13.</t>
  </si>
  <si>
    <t>MP002 Product-ATE_FQAGB</t>
  </si>
  <si>
    <t>ME003 Product-ATE_FQAGB</t>
  </si>
  <si>
    <t>MS001 Product-ATE_FQAGB</t>
  </si>
  <si>
    <t>MD007 Product-ATE_FQAGB</t>
  </si>
  <si>
    <t>MA003 Product-ATE_FQAGB</t>
  </si>
  <si>
    <t>MI003 Product-ATE_FQAGB</t>
  </si>
  <si>
    <t>MPS002 Product-ATE_FQAGB</t>
  </si>
  <si>
    <t>MD009 Product-ATE_FQAGB</t>
  </si>
  <si>
    <t>MP007 Product-ATE_FQAGB</t>
  </si>
  <si>
    <t>ME007 Product-ATE_FQAGB</t>
  </si>
  <si>
    <t>MS004 Product-ATE_FQAGB</t>
  </si>
  <si>
    <t>MPS007 Product-ATE_FQAGB</t>
  </si>
  <si>
    <t>Update FQA GB for MS001_CXT_PBC and MS004_CXT_PBC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</si>
</sst>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3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12"/>
      <color theme="1"/>
      <name val="Courier"/>
      <family val="1"/>
    </font>
    <font>
      <sz val="10"/>
      <name val="Courier New"/>
      <family val="1"/>
    </font>
    <font>
      <sz val="8"/>
      <name val="Arial"/>
      <family val="2"/>
    </font>
    <font>
      <sz val="12"/>
      <color rgb="FF9C5700"/>
      <name val="Calibri"/>
      <family val="2"/>
      <scheme val="minor"/>
    </font>
    <font>
      <sz val="12"/>
      <name val="Courier New"/>
      <family val="1"/>
    </font>
    <font>
      <b/>
      <sz val="12"/>
      <name val="Courier New"/>
      <family val="1"/>
    </font>
    <font>
      <sz val="12"/>
      <color rgb="FF9C0006"/>
      <name val="Calibri"/>
      <family val="2"/>
      <scheme val="minor"/>
    </font>
    <font>
      <sz val="12"/>
      <color theme="1"/>
      <name val="Courier New"/>
      <family val="1"/>
    </font>
    <font>
      <sz val="12"/>
      <color rgb="FF9C5700"/>
      <name val="Courier New"/>
      <family val="1"/>
    </font>
    <font>
      <sz val="12"/>
      <color rgb="FF0070C0"/>
      <name val="Courier New"/>
      <family val="1"/>
    </font>
    <font>
      <sz val="12"/>
      <color indexed="8"/>
      <name val="Courier New"/>
      <family val="1"/>
    </font>
    <font>
      <b/>
      <sz val="12"/>
      <color theme="1"/>
      <name val="Courier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2"/>
      <color rgb="FF0070C0"/>
      <name val="Calibri"/>
      <family val="2"/>
    </font>
    <font>
      <sz val="12"/>
      <color rgb="FF9C0006"/>
      <name val="Courier New"/>
      <family val="1"/>
    </font>
    <font>
      <b/>
      <sz val="12"/>
      <color rgb="FF7030A0"/>
      <name val="Courier New"/>
      <family val="1"/>
    </font>
    <font>
      <b/>
      <sz val="12"/>
      <color rgb="FF7030A0"/>
      <name val="Courier"/>
    </font>
    <font>
      <sz val="14"/>
      <color rgb="FF000000"/>
      <name val="-webkit-standard"/>
    </font>
    <font>
      <sz val="12"/>
      <name val="Courier"/>
      <family val="1"/>
    </font>
    <font>
      <sz val="12"/>
      <name val="Calibri"/>
      <family val="2"/>
    </font>
    <font>
      <b/>
      <sz val="12"/>
      <color rgb="FF0432FF"/>
      <name val="Courier New"/>
      <family val="1"/>
    </font>
    <font>
      <b/>
      <sz val="12"/>
      <color rgb="FF0432FF"/>
      <name val="Courier"/>
    </font>
  </fonts>
  <fills count="2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D89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533">
    <xf numFmtId="0" fontId="0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3" fillId="0" borderId="0"/>
    <xf numFmtId="0" fontId="9" fillId="0" borderId="0" applyNumberFormat="0" applyFill="0" applyBorder="0" applyAlignment="0" applyProtection="0"/>
    <xf numFmtId="0" fontId="2" fillId="0" borderId="0"/>
    <xf numFmtId="0" fontId="13" fillId="9" borderId="0" applyNumberFormat="0" applyBorder="0" applyAlignment="0" applyProtection="0"/>
    <xf numFmtId="0" fontId="16" fillId="12" borderId="0" applyNumberFormat="0" applyBorder="0" applyAlignment="0" applyProtection="0"/>
  </cellStyleXfs>
  <cellXfs count="125">
    <xf numFmtId="0" fontId="0" fillId="0" borderId="0" xfId="0"/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Fill="1" applyAlignment="1">
      <alignment horizontal="left" vertical="top"/>
    </xf>
    <xf numFmtId="164" fontId="10" fillId="0" borderId="0" xfId="1" applyNumberFormat="1" applyFont="1" applyAlignment="1">
      <alignment horizontal="right" vertical="top" wrapText="1"/>
    </xf>
    <xf numFmtId="0" fontId="10" fillId="0" borderId="0" xfId="1" applyFont="1" applyAlignment="1">
      <alignment vertical="top"/>
    </xf>
    <xf numFmtId="0" fontId="14" fillId="11" borderId="1" xfId="5527" applyFont="1" applyFill="1" applyBorder="1" applyAlignment="1">
      <alignment horizontal="left" vertical="top"/>
    </xf>
    <xf numFmtId="164" fontId="10" fillId="11" borderId="0" xfId="1" applyNumberFormat="1" applyFont="1" applyFill="1" applyAlignment="1">
      <alignment horizontal="right" vertical="top" wrapText="1"/>
    </xf>
    <xf numFmtId="0" fontId="10" fillId="11" borderId="0" xfId="1" applyFont="1" applyFill="1" applyAlignment="1">
      <alignment horizontal="center" vertical="top" wrapText="1"/>
    </xf>
    <xf numFmtId="0" fontId="10" fillId="11" borderId="0" xfId="1" applyFont="1" applyFill="1" applyAlignment="1">
      <alignment horizontal="left" vertical="top" wrapText="1"/>
    </xf>
    <xf numFmtId="0" fontId="14" fillId="0" borderId="1" xfId="0" applyFont="1" applyFill="1" applyBorder="1" applyAlignment="1">
      <alignment horizontal="center" vertical="center"/>
    </xf>
    <xf numFmtId="0" fontId="14" fillId="2" borderId="1" xfId="802" applyFont="1" applyFill="1" applyBorder="1" applyAlignment="1">
      <alignment horizontal="center" vertical="center"/>
    </xf>
    <xf numFmtId="0" fontId="19" fillId="2" borderId="1" xfId="802" applyFont="1" applyFill="1" applyBorder="1" applyAlignment="1">
      <alignment horizontal="center" vertical="center"/>
    </xf>
    <xf numFmtId="0" fontId="17" fillId="2" borderId="1" xfId="802" applyFont="1" applyFill="1" applyBorder="1" applyAlignment="1">
      <alignment horizontal="center" vertical="center"/>
    </xf>
    <xf numFmtId="0" fontId="19" fillId="0" borderId="2" xfId="802" applyFont="1" applyBorder="1" applyAlignment="1">
      <alignment horizontal="left" vertical="center"/>
    </xf>
    <xf numFmtId="0" fontId="14" fillId="3" borderId="1" xfId="802" applyFont="1" applyFill="1" applyBorder="1" applyAlignment="1">
      <alignment horizontal="center" vertical="center"/>
    </xf>
    <xf numFmtId="0" fontId="14" fillId="0" borderId="1" xfId="802" applyFont="1" applyBorder="1"/>
    <xf numFmtId="0" fontId="14" fillId="4" borderId="1" xfId="802" applyFont="1" applyFill="1" applyBorder="1" applyAlignment="1">
      <alignment horizontal="center" vertical="center"/>
    </xf>
    <xf numFmtId="0" fontId="14" fillId="4" borderId="2" xfId="802" applyFont="1" applyFill="1" applyBorder="1" applyAlignment="1">
      <alignment horizontal="center" vertical="center"/>
    </xf>
    <xf numFmtId="0" fontId="14" fillId="5" borderId="1" xfId="802" applyFont="1" applyFill="1" applyBorder="1" applyAlignment="1">
      <alignment horizontal="center" vertical="center"/>
    </xf>
    <xf numFmtId="0" fontId="14" fillId="6" borderId="1" xfId="802" applyFont="1" applyFill="1" applyBorder="1" applyAlignment="1">
      <alignment horizontal="center" vertical="center"/>
    </xf>
    <xf numFmtId="0" fontId="14" fillId="0" borderId="1" xfId="802" applyFont="1" applyBorder="1" applyAlignment="1">
      <alignment horizontal="left" vertical="center"/>
    </xf>
    <xf numFmtId="0" fontId="14" fillId="7" borderId="1" xfId="802" applyFont="1" applyFill="1" applyBorder="1" applyAlignment="1">
      <alignment horizontal="center" vertical="center"/>
    </xf>
    <xf numFmtId="0" fontId="14" fillId="8" borderId="1" xfId="802" applyFont="1" applyFill="1" applyBorder="1" applyAlignment="1">
      <alignment horizontal="center" vertical="center"/>
    </xf>
    <xf numFmtId="0" fontId="14" fillId="8" borderId="2" xfId="802" applyFont="1" applyFill="1" applyBorder="1" applyAlignment="1">
      <alignment horizontal="center" vertical="center"/>
    </xf>
    <xf numFmtId="0" fontId="14" fillId="0" borderId="0" xfId="802" applyFont="1"/>
    <xf numFmtId="0" fontId="14" fillId="0" borderId="2" xfId="802" applyFont="1" applyBorder="1" applyAlignment="1">
      <alignment horizontal="left" vertical="center"/>
    </xf>
    <xf numFmtId="0" fontId="14" fillId="0" borderId="1" xfId="802" applyFont="1" applyBorder="1" applyAlignment="1">
      <alignment horizontal="center" vertical="center"/>
    </xf>
    <xf numFmtId="0" fontId="14" fillId="0" borderId="1" xfId="5527" applyFont="1" applyBorder="1" applyAlignment="1">
      <alignment horizontal="center" vertical="center" wrapText="1"/>
    </xf>
    <xf numFmtId="0" fontId="14" fillId="10" borderId="1" xfId="802" applyFont="1" applyFill="1" applyBorder="1" applyAlignment="1">
      <alignment horizontal="center" vertical="center"/>
    </xf>
    <xf numFmtId="0" fontId="20" fillId="3" borderId="1" xfId="802" applyFont="1" applyFill="1" applyBorder="1" applyAlignment="1">
      <alignment horizontal="center" vertical="center"/>
    </xf>
    <xf numFmtId="0" fontId="14" fillId="0" borderId="0" xfId="5527" applyFont="1" applyAlignment="1">
      <alignment horizontal="center" vertical="center" wrapText="1"/>
    </xf>
    <xf numFmtId="0" fontId="14" fillId="0" borderId="0" xfId="5527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802" applyFont="1" applyFill="1" applyBorder="1" applyAlignment="1">
      <alignment horizontal="center" vertical="center"/>
    </xf>
    <xf numFmtId="0" fontId="14" fillId="11" borderId="2" xfId="802" applyFont="1" applyFill="1" applyBorder="1" applyAlignment="1">
      <alignment horizontal="left" vertical="center"/>
    </xf>
    <xf numFmtId="0" fontId="14" fillId="11" borderId="1" xfId="802" applyFont="1" applyFill="1" applyBorder="1"/>
    <xf numFmtId="0" fontId="14" fillId="11" borderId="2" xfId="802" applyFont="1" applyFill="1" applyBorder="1" applyAlignment="1">
      <alignment horizontal="center" vertical="center"/>
    </xf>
    <xf numFmtId="0" fontId="14" fillId="11" borderId="0" xfId="802" applyFont="1" applyFill="1"/>
    <xf numFmtId="0" fontId="15" fillId="13" borderId="1" xfId="802" applyFont="1" applyFill="1" applyBorder="1" applyAlignment="1">
      <alignment horizontal="center" vertical="center"/>
    </xf>
    <xf numFmtId="0" fontId="21" fillId="13" borderId="0" xfId="1" applyFont="1" applyFill="1" applyAlignment="1">
      <alignment horizontal="left" vertical="top" wrapText="1"/>
    </xf>
    <xf numFmtId="0" fontId="15" fillId="14" borderId="1" xfId="802" applyFont="1" applyFill="1" applyBorder="1" applyAlignment="1">
      <alignment horizontal="center" vertical="center"/>
    </xf>
    <xf numFmtId="0" fontId="21" fillId="14" borderId="0" xfId="1" applyFont="1" applyFill="1" applyAlignment="1">
      <alignment horizontal="left" vertical="top" wrapText="1"/>
    </xf>
    <xf numFmtId="0" fontId="22" fillId="0" borderId="2" xfId="802" applyFont="1" applyBorder="1" applyAlignment="1">
      <alignment horizontal="centerContinuous" vertical="center"/>
    </xf>
    <xf numFmtId="0" fontId="22" fillId="3" borderId="2" xfId="802" applyFont="1" applyFill="1" applyBorder="1" applyAlignment="1">
      <alignment vertical="center"/>
    </xf>
    <xf numFmtId="0" fontId="22" fillId="3" borderId="3" xfId="802" applyFont="1" applyFill="1" applyBorder="1" applyAlignment="1">
      <alignment vertical="center"/>
    </xf>
    <xf numFmtId="0" fontId="22" fillId="0" borderId="1" xfId="802" applyFont="1" applyBorder="1" applyAlignment="1">
      <alignment vertical="center"/>
    </xf>
    <xf numFmtId="0" fontId="23" fillId="0" borderId="1" xfId="802" applyFont="1" applyBorder="1" applyAlignment="1">
      <alignment horizontal="centerContinuous" vertical="center"/>
    </xf>
    <xf numFmtId="0" fontId="22" fillId="15" borderId="2" xfId="802" applyFont="1" applyFill="1" applyBorder="1" applyAlignment="1">
      <alignment vertical="center"/>
    </xf>
    <xf numFmtId="0" fontId="22" fillId="15" borderId="3" xfId="802" applyFont="1" applyFill="1" applyBorder="1" applyAlignment="1">
      <alignment vertical="center"/>
    </xf>
    <xf numFmtId="0" fontId="22" fillId="16" borderId="2" xfId="802" applyFont="1" applyFill="1" applyBorder="1" applyAlignment="1">
      <alignment vertical="center"/>
    </xf>
    <xf numFmtId="0" fontId="22" fillId="16" borderId="3" xfId="802" applyFont="1" applyFill="1" applyBorder="1" applyAlignment="1">
      <alignment vertical="center"/>
    </xf>
    <xf numFmtId="0" fontId="22" fillId="17" borderId="2" xfId="802" applyFont="1" applyFill="1" applyBorder="1" applyAlignment="1">
      <alignment vertical="center"/>
    </xf>
    <xf numFmtId="0" fontId="22" fillId="17" borderId="3" xfId="802" applyFont="1" applyFill="1" applyBorder="1" applyAlignment="1">
      <alignment vertical="center"/>
    </xf>
    <xf numFmtId="0" fontId="22" fillId="18" borderId="1" xfId="802" applyFont="1" applyFill="1" applyBorder="1" applyAlignment="1">
      <alignment vertical="center"/>
    </xf>
    <xf numFmtId="0" fontId="22" fillId="0" borderId="1" xfId="802" applyFont="1" applyBorder="1" applyAlignment="1">
      <alignment horizontal="center" vertical="center"/>
    </xf>
    <xf numFmtId="0" fontId="22" fillId="19" borderId="2" xfId="802" applyFont="1" applyFill="1" applyBorder="1" applyAlignment="1">
      <alignment vertical="center"/>
    </xf>
    <xf numFmtId="0" fontId="22" fillId="19" borderId="3" xfId="802" applyFont="1" applyFill="1" applyBorder="1" applyAlignment="1">
      <alignment vertical="center"/>
    </xf>
    <xf numFmtId="0" fontId="22" fillId="20" borderId="2" xfId="802" applyFont="1" applyFill="1" applyBorder="1" applyAlignment="1">
      <alignment vertical="center"/>
    </xf>
    <xf numFmtId="0" fontId="22" fillId="20" borderId="3" xfId="802" applyFont="1" applyFill="1" applyBorder="1" applyAlignment="1">
      <alignment vertical="center"/>
    </xf>
    <xf numFmtId="0" fontId="23" fillId="3" borderId="1" xfId="802" applyFont="1" applyFill="1" applyBorder="1" applyAlignment="1">
      <alignment horizontal="center" vertical="center"/>
    </xf>
    <xf numFmtId="0" fontId="22" fillId="3" borderId="1" xfId="802" applyFont="1" applyFill="1" applyBorder="1" applyAlignment="1">
      <alignment horizontal="center" vertical="center"/>
    </xf>
    <xf numFmtId="0" fontId="24" fillId="0" borderId="1" xfId="802" applyFont="1" applyBorder="1"/>
    <xf numFmtId="0" fontId="23" fillId="15" borderId="1" xfId="802" applyFont="1" applyFill="1" applyBorder="1" applyAlignment="1">
      <alignment horizontal="center" vertical="center"/>
    </xf>
    <xf numFmtId="0" fontId="22" fillId="15" borderId="1" xfId="802" applyFont="1" applyFill="1" applyBorder="1" applyAlignment="1">
      <alignment horizontal="center" vertical="center"/>
    </xf>
    <xf numFmtId="0" fontId="23" fillId="16" borderId="1" xfId="802" applyFont="1" applyFill="1" applyBorder="1" applyAlignment="1">
      <alignment horizontal="center" vertical="center"/>
    </xf>
    <xf numFmtId="0" fontId="22" fillId="16" borderId="1" xfId="802" applyFont="1" applyFill="1" applyBorder="1" applyAlignment="1">
      <alignment horizontal="center" vertical="center"/>
    </xf>
    <xf numFmtId="0" fontId="23" fillId="0" borderId="4" xfId="802" applyFont="1" applyBorder="1" applyAlignment="1">
      <alignment horizontal="centerContinuous" vertical="center"/>
    </xf>
    <xf numFmtId="0" fontId="23" fillId="17" borderId="1" xfId="802" applyFont="1" applyFill="1" applyBorder="1" applyAlignment="1">
      <alignment horizontal="center" vertical="center"/>
    </xf>
    <xf numFmtId="0" fontId="22" fillId="17" borderId="1" xfId="802" applyFont="1" applyFill="1" applyBorder="1" applyAlignment="1">
      <alignment horizontal="center" vertical="center"/>
    </xf>
    <xf numFmtId="0" fontId="23" fillId="18" borderId="1" xfId="802" applyFont="1" applyFill="1" applyBorder="1" applyAlignment="1">
      <alignment horizontal="center" vertical="center"/>
    </xf>
    <xf numFmtId="0" fontId="22" fillId="19" borderId="1" xfId="802" applyFont="1" applyFill="1" applyBorder="1" applyAlignment="1">
      <alignment horizontal="center" vertical="center"/>
    </xf>
    <xf numFmtId="0" fontId="22" fillId="20" borderId="1" xfId="802" applyFont="1" applyFill="1" applyBorder="1" applyAlignment="1">
      <alignment horizontal="center" vertical="center"/>
    </xf>
    <xf numFmtId="0" fontId="22" fillId="20" borderId="2" xfId="802" applyFont="1" applyFill="1" applyBorder="1" applyAlignment="1">
      <alignment horizontal="center" vertical="center"/>
    </xf>
    <xf numFmtId="0" fontId="25" fillId="12" borderId="1" xfId="5532" applyFont="1" applyBorder="1" applyAlignment="1">
      <alignment horizontal="center" vertical="center"/>
    </xf>
    <xf numFmtId="0" fontId="1" fillId="0" borderId="1" xfId="802" applyFont="1" applyBorder="1"/>
    <xf numFmtId="0" fontId="1" fillId="0" borderId="0" xfId="802" applyFont="1"/>
    <xf numFmtId="0" fontId="15" fillId="21" borderId="0" xfId="0" applyFont="1" applyFill="1" applyAlignment="1">
      <alignment horizontal="center"/>
    </xf>
    <xf numFmtId="0" fontId="10" fillId="21" borderId="0" xfId="1" applyFont="1" applyFill="1" applyAlignment="1">
      <alignment horizontal="left" vertical="top" wrapText="1"/>
    </xf>
    <xf numFmtId="0" fontId="26" fillId="14" borderId="1" xfId="802" applyFont="1" applyFill="1" applyBorder="1" applyAlignment="1">
      <alignment horizontal="center" vertical="center"/>
    </xf>
    <xf numFmtId="0" fontId="26" fillId="13" borderId="1" xfId="802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2" borderId="1" xfId="802" applyFont="1" applyFill="1" applyBorder="1" applyAlignment="1">
      <alignment horizontal="center" vertical="center"/>
    </xf>
    <xf numFmtId="0" fontId="26" fillId="0" borderId="2" xfId="802" applyFont="1" applyBorder="1" applyAlignment="1">
      <alignment horizontal="left" vertical="center"/>
    </xf>
    <xf numFmtId="0" fontId="26" fillId="3" borderId="1" xfId="802" applyFont="1" applyFill="1" applyBorder="1" applyAlignment="1">
      <alignment horizontal="center" vertical="center"/>
    </xf>
    <xf numFmtId="0" fontId="26" fillId="0" borderId="1" xfId="802" applyFont="1" applyBorder="1"/>
    <xf numFmtId="0" fontId="26" fillId="4" borderId="1" xfId="802" applyFont="1" applyFill="1" applyBorder="1" applyAlignment="1">
      <alignment horizontal="center" vertical="center"/>
    </xf>
    <xf numFmtId="0" fontId="26" fillId="4" borderId="2" xfId="802" applyFont="1" applyFill="1" applyBorder="1" applyAlignment="1">
      <alignment horizontal="center" vertical="center"/>
    </xf>
    <xf numFmtId="0" fontId="26" fillId="5" borderId="1" xfId="802" applyFont="1" applyFill="1" applyBorder="1" applyAlignment="1">
      <alignment horizontal="center" vertical="center"/>
    </xf>
    <xf numFmtId="0" fontId="26" fillId="6" borderId="1" xfId="802" applyFont="1" applyFill="1" applyBorder="1" applyAlignment="1">
      <alignment horizontal="center" vertical="center"/>
    </xf>
    <xf numFmtId="0" fontId="26" fillId="0" borderId="1" xfId="802" applyFont="1" applyBorder="1" applyAlignment="1">
      <alignment horizontal="center" vertical="center"/>
    </xf>
    <xf numFmtId="0" fontId="26" fillId="7" borderId="1" xfId="802" applyFont="1" applyFill="1" applyBorder="1" applyAlignment="1">
      <alignment horizontal="center" vertical="center"/>
    </xf>
    <xf numFmtId="0" fontId="26" fillId="8" borderId="1" xfId="802" applyFont="1" applyFill="1" applyBorder="1" applyAlignment="1">
      <alignment horizontal="center" vertical="center"/>
    </xf>
    <xf numFmtId="0" fontId="26" fillId="8" borderId="2" xfId="802" applyFont="1" applyFill="1" applyBorder="1" applyAlignment="1">
      <alignment horizontal="center" vertical="center"/>
    </xf>
    <xf numFmtId="0" fontId="26" fillId="0" borderId="0" xfId="802" applyFont="1"/>
    <xf numFmtId="0" fontId="27" fillId="0" borderId="0" xfId="1" applyFont="1" applyAlignment="1">
      <alignment horizontal="left" vertical="top" wrapText="1"/>
    </xf>
    <xf numFmtId="0" fontId="22" fillId="0" borderId="1" xfId="802" applyFont="1" applyBorder="1" applyAlignment="1">
      <alignment horizontal="left" vertical="center"/>
    </xf>
    <xf numFmtId="0" fontId="18" fillId="9" borderId="1" xfId="5531" applyFont="1" applyBorder="1" applyAlignment="1">
      <alignment horizontal="left" vertical="center"/>
    </xf>
    <xf numFmtId="0" fontId="26" fillId="9" borderId="1" xfId="5531" applyFont="1" applyBorder="1" applyAlignment="1">
      <alignment horizontal="left" vertical="center"/>
    </xf>
    <xf numFmtId="0" fontId="18" fillId="9" borderId="1" xfId="5531" applyFont="1" applyBorder="1" applyAlignment="1">
      <alignment horizontal="left" vertical="center" wrapText="1"/>
    </xf>
    <xf numFmtId="0" fontId="14" fillId="0" borderId="0" xfId="5527" applyFont="1" applyAlignment="1">
      <alignment horizontal="left" vertical="center" wrapText="1"/>
    </xf>
    <xf numFmtId="0" fontId="28" fillId="22" borderId="0" xfId="0" applyFont="1" applyFill="1"/>
    <xf numFmtId="0" fontId="29" fillId="0" borderId="0" xfId="1" applyFont="1" applyAlignment="1">
      <alignment horizontal="left" vertical="top" wrapText="1"/>
    </xf>
    <xf numFmtId="0" fontId="15" fillId="22" borderId="1" xfId="802" applyFont="1" applyFill="1" applyBorder="1" applyAlignment="1">
      <alignment horizontal="center" vertical="center"/>
    </xf>
    <xf numFmtId="0" fontId="21" fillId="22" borderId="0" xfId="1" applyFont="1" applyFill="1" applyAlignment="1">
      <alignment horizontal="left" vertical="top" wrapText="1"/>
    </xf>
    <xf numFmtId="0" fontId="14" fillId="22" borderId="1" xfId="802" applyFont="1" applyFill="1" applyBorder="1" applyAlignment="1">
      <alignment horizontal="center" vertical="center"/>
    </xf>
    <xf numFmtId="0" fontId="14" fillId="0" borderId="1" xfId="5527" applyFont="1" applyBorder="1" applyAlignment="1">
      <alignment horizontal="left" vertical="top"/>
    </xf>
    <xf numFmtId="0" fontId="30" fillId="0" borderId="1" xfId="802" applyFont="1" applyBorder="1" applyAlignment="1">
      <alignment horizontal="center" vertical="center"/>
    </xf>
    <xf numFmtId="0" fontId="30" fillId="3" borderId="1" xfId="802" applyFont="1" applyFill="1" applyBorder="1" applyAlignment="1">
      <alignment horizontal="center" vertical="center"/>
    </xf>
    <xf numFmtId="0" fontId="30" fillId="10" borderId="1" xfId="802" applyFont="1" applyFill="1" applyBorder="1" applyAlignment="1">
      <alignment horizontal="center" vertical="center"/>
    </xf>
    <xf numFmtId="0" fontId="30" fillId="0" borderId="1" xfId="802" applyFont="1" applyBorder="1"/>
    <xf numFmtId="0" fontId="30" fillId="15" borderId="1" xfId="802" applyFont="1" applyFill="1" applyBorder="1" applyAlignment="1">
      <alignment horizontal="center" vertical="center"/>
    </xf>
    <xf numFmtId="0" fontId="30" fillId="16" borderId="1" xfId="802" applyFont="1" applyFill="1" applyBorder="1" applyAlignment="1">
      <alignment horizontal="center" vertical="center"/>
    </xf>
    <xf numFmtId="0" fontId="30" fillId="23" borderId="1" xfId="802" applyFont="1" applyFill="1" applyBorder="1" applyAlignment="1">
      <alignment horizontal="center" vertical="center"/>
    </xf>
    <xf numFmtId="0" fontId="30" fillId="16" borderId="2" xfId="802" applyFont="1" applyFill="1" applyBorder="1" applyAlignment="1">
      <alignment horizontal="center" vertical="center"/>
    </xf>
    <xf numFmtId="0" fontId="30" fillId="17" borderId="1" xfId="802" applyFont="1" applyFill="1" applyBorder="1" applyAlignment="1">
      <alignment horizontal="center" vertical="center"/>
    </xf>
    <xf numFmtId="0" fontId="30" fillId="18" borderId="1" xfId="802" applyFont="1" applyFill="1" applyBorder="1" applyAlignment="1">
      <alignment horizontal="center" vertical="center"/>
    </xf>
    <xf numFmtId="0" fontId="30" fillId="19" borderId="1" xfId="802" applyFont="1" applyFill="1" applyBorder="1" applyAlignment="1">
      <alignment horizontal="center" vertical="center"/>
    </xf>
    <xf numFmtId="0" fontId="30" fillId="20" borderId="1" xfId="802" applyFont="1" applyFill="1" applyBorder="1" applyAlignment="1">
      <alignment horizontal="center" vertical="center"/>
    </xf>
    <xf numFmtId="0" fontId="30" fillId="20" borderId="2" xfId="802" applyFont="1" applyFill="1" applyBorder="1" applyAlignment="1">
      <alignment horizontal="center" vertical="center"/>
    </xf>
    <xf numFmtId="0" fontId="30" fillId="0" borderId="2" xfId="802" applyFont="1" applyBorder="1" applyAlignment="1">
      <alignment horizontal="left" vertical="center"/>
    </xf>
    <xf numFmtId="0" fontId="14" fillId="0" borderId="1" xfId="5527" applyFont="1" applyBorder="1" applyAlignment="1">
      <alignment horizontal="center" vertical="center"/>
    </xf>
    <xf numFmtId="0" fontId="31" fillId="0" borderId="1" xfId="5527" applyFont="1" applyBorder="1" applyAlignment="1">
      <alignment horizontal="left" vertical="center"/>
    </xf>
    <xf numFmtId="0" fontId="31" fillId="0" borderId="1" xfId="5527" applyFont="1" applyBorder="1" applyAlignment="1">
      <alignment horizontal="center" vertical="center" wrapText="1"/>
    </xf>
    <xf numFmtId="0" fontId="32" fillId="0" borderId="0" xfId="1" applyFont="1" applyAlignment="1">
      <alignment horizontal="left" vertical="top" wrapText="1"/>
    </xf>
  </cellXfs>
  <cellStyles count="5533">
    <cellStyle name="Bad" xfId="5532" builtinId="27"/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eutral" xfId="5531" builtinId="28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216"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AC7CC-1E76-7F48-A5F9-2E9FD09925B7}" name="Table13" displayName="Table13" ref="A1:F37" totalsRowShown="0" headerRowDxfId="215" dataDxfId="214" headerRowCellStyle="Normal 2" dataCellStyle="Normal 2">
  <tableColumns count="6">
    <tableColumn id="1" xr3:uid="{F5A37326-05E2-CA47-9E56-572F23E8D895}" name="Date" dataDxfId="213" dataCellStyle="Normal 2"/>
    <tableColumn id="2" xr3:uid="{57D2A21C-1AA1-9040-9B4A-FB4B133B3E51}" name="Silicon" dataDxfId="212" dataCellStyle="Normal 2"/>
    <tableColumn id="3" xr3:uid="{AAD06E72-8408-F44F-8964-A2E1ADE8527A}" name="Program" dataDxfId="211" dataCellStyle="Normal 2"/>
    <tableColumn id="4" xr3:uid="{88B65310-321C-234F-A995-36B7FBA1C3B7}" name="PerForce Revision" dataDxfId="210" dataCellStyle="Normal 2"/>
    <tableColumn id="5" xr3:uid="{06AEAEE3-4172-3B40-A89A-1A6A1AF6D7E5}" name="By" dataDxfId="209" dataCellStyle="Normal 2"/>
    <tableColumn id="6" xr3:uid="{F13C9011-8FE7-D746-A395-D5C47879F368}" name="Flow Tab" dataDxfId="208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37"/>
  <sheetViews>
    <sheetView tabSelected="1" topLeftCell="A14" zoomScaleNormal="100" zoomScalePageLayoutView="90" workbookViewId="0">
      <selection activeCell="F37" sqref="F37"/>
    </sheetView>
  </sheetViews>
  <sheetFormatPr baseColWidth="10" defaultColWidth="10.83203125" defaultRowHeight="17"/>
  <cols>
    <col min="1" max="1" width="34.5" style="4" bestFit="1" customWidth="1"/>
    <col min="2" max="3" width="9.33203125" style="1" bestFit="1" customWidth="1"/>
    <col min="4" max="4" width="22" style="1" customWidth="1"/>
    <col min="5" max="5" width="17.1640625" style="1" customWidth="1"/>
    <col min="6" max="6" width="118.6640625" style="2" customWidth="1"/>
    <col min="7" max="16384" width="10.83203125" style="5"/>
  </cols>
  <sheetData>
    <row r="1" spans="1:6" ht="18">
      <c r="A1" s="4" t="s">
        <v>0</v>
      </c>
      <c r="B1" s="1" t="s">
        <v>30</v>
      </c>
      <c r="C1" s="1" t="s">
        <v>28</v>
      </c>
      <c r="D1" s="1" t="s">
        <v>16</v>
      </c>
      <c r="E1" s="1" t="s">
        <v>1</v>
      </c>
      <c r="F1" s="2" t="s">
        <v>2</v>
      </c>
    </row>
    <row r="2" spans="1:6" ht="18">
      <c r="A2" s="4">
        <v>45727</v>
      </c>
      <c r="B2" s="1" t="s">
        <v>33</v>
      </c>
      <c r="C2" s="1" t="s">
        <v>108</v>
      </c>
      <c r="D2" s="1">
        <v>1</v>
      </c>
      <c r="E2" s="1" t="s">
        <v>40</v>
      </c>
      <c r="F2" s="2" t="s">
        <v>109</v>
      </c>
    </row>
    <row r="3" spans="1:6" ht="18">
      <c r="A3" s="4">
        <v>45736</v>
      </c>
      <c r="B3" s="1" t="s">
        <v>33</v>
      </c>
      <c r="C3" s="1" t="s">
        <v>108</v>
      </c>
      <c r="D3" s="1">
        <v>2</v>
      </c>
      <c r="E3" s="1" t="s">
        <v>110</v>
      </c>
      <c r="F3" s="3" t="s">
        <v>111</v>
      </c>
    </row>
    <row r="4" spans="1:6" ht="18">
      <c r="A4" s="4">
        <v>45777</v>
      </c>
      <c r="B4" s="1" t="s">
        <v>33</v>
      </c>
      <c r="C4" s="1" t="s">
        <v>108</v>
      </c>
      <c r="D4" s="1">
        <v>3</v>
      </c>
      <c r="E4" s="1" t="s">
        <v>112</v>
      </c>
      <c r="F4" s="2" t="s">
        <v>113</v>
      </c>
    </row>
    <row r="5" spans="1:6" ht="18">
      <c r="A5" s="4">
        <v>45796</v>
      </c>
      <c r="B5" s="1" t="s">
        <v>33</v>
      </c>
      <c r="C5" s="1" t="s">
        <v>108</v>
      </c>
      <c r="D5" s="1">
        <v>4</v>
      </c>
      <c r="E5" s="1" t="s">
        <v>187</v>
      </c>
      <c r="F5" s="2" t="s">
        <v>186</v>
      </c>
    </row>
    <row r="6" spans="1:6" ht="18">
      <c r="A6" s="4">
        <v>45798</v>
      </c>
      <c r="B6" s="1" t="s">
        <v>33</v>
      </c>
      <c r="C6" s="1" t="s">
        <v>108</v>
      </c>
      <c r="D6" s="1">
        <v>5</v>
      </c>
      <c r="E6" s="1" t="s">
        <v>187</v>
      </c>
      <c r="F6" s="2" t="s">
        <v>188</v>
      </c>
    </row>
    <row r="7" spans="1:6" ht="18">
      <c r="A7" s="4">
        <v>45804</v>
      </c>
      <c r="B7" s="1" t="s">
        <v>33</v>
      </c>
      <c r="C7" s="1" t="s">
        <v>108</v>
      </c>
      <c r="D7" s="1">
        <v>6</v>
      </c>
      <c r="E7" s="1" t="s">
        <v>189</v>
      </c>
      <c r="F7" s="2" t="s">
        <v>190</v>
      </c>
    </row>
    <row r="8" spans="1:6" ht="18">
      <c r="A8" s="4">
        <v>45804</v>
      </c>
      <c r="B8" s="1" t="s">
        <v>33</v>
      </c>
      <c r="C8" s="1" t="s">
        <v>108</v>
      </c>
      <c r="D8" s="1">
        <v>7</v>
      </c>
      <c r="E8" s="1" t="s">
        <v>189</v>
      </c>
      <c r="F8" s="2" t="s">
        <v>218</v>
      </c>
    </row>
    <row r="9" spans="1:6" ht="18">
      <c r="A9" s="7">
        <v>45747</v>
      </c>
      <c r="B9" s="8" t="s">
        <v>33</v>
      </c>
      <c r="C9" s="8" t="s">
        <v>108</v>
      </c>
      <c r="D9" s="8">
        <v>8</v>
      </c>
      <c r="E9" s="8" t="s">
        <v>187</v>
      </c>
      <c r="F9" s="9" t="s">
        <v>229</v>
      </c>
    </row>
    <row r="10" spans="1:6" ht="18">
      <c r="A10" s="4">
        <v>45809</v>
      </c>
      <c r="B10" s="1" t="s">
        <v>33</v>
      </c>
      <c r="C10" s="1" t="s">
        <v>108</v>
      </c>
      <c r="D10" s="1">
        <v>9</v>
      </c>
      <c r="E10" s="1" t="s">
        <v>187</v>
      </c>
      <c r="F10" s="2" t="s">
        <v>232</v>
      </c>
    </row>
    <row r="11" spans="1:6" ht="36">
      <c r="A11" s="4">
        <v>45811</v>
      </c>
      <c r="B11" s="1" t="s">
        <v>33</v>
      </c>
      <c r="C11" s="1" t="s">
        <v>108</v>
      </c>
      <c r="D11" s="1">
        <v>10</v>
      </c>
      <c r="E11" s="1" t="s">
        <v>187</v>
      </c>
      <c r="F11" s="2" t="s">
        <v>233</v>
      </c>
    </row>
    <row r="12" spans="1:6" ht="18">
      <c r="A12" s="4">
        <v>45812</v>
      </c>
      <c r="B12" s="1" t="s">
        <v>33</v>
      </c>
      <c r="C12" s="1" t="s">
        <v>108</v>
      </c>
      <c r="D12" s="1">
        <v>11</v>
      </c>
      <c r="E12" s="1" t="s">
        <v>187</v>
      </c>
      <c r="F12" s="40" t="s">
        <v>236</v>
      </c>
    </row>
    <row r="13" spans="1:6" ht="36">
      <c r="A13" s="4">
        <v>45821</v>
      </c>
      <c r="B13" s="1" t="s">
        <v>33</v>
      </c>
      <c r="C13" s="1" t="s">
        <v>108</v>
      </c>
      <c r="D13" s="1">
        <v>12</v>
      </c>
      <c r="E13" s="1" t="s">
        <v>187</v>
      </c>
      <c r="F13" s="42" t="s">
        <v>241</v>
      </c>
    </row>
    <row r="14" spans="1:6" ht="18">
      <c r="A14" s="4">
        <v>45821</v>
      </c>
      <c r="B14" s="1" t="s">
        <v>33</v>
      </c>
      <c r="C14" s="1" t="s">
        <v>108</v>
      </c>
      <c r="D14" s="1">
        <v>13</v>
      </c>
      <c r="E14" s="1" t="s">
        <v>187</v>
      </c>
      <c r="F14" s="2" t="s">
        <v>242</v>
      </c>
    </row>
    <row r="15" spans="1:6" ht="18">
      <c r="A15" s="4">
        <v>45824</v>
      </c>
      <c r="B15" s="1" t="s">
        <v>33</v>
      </c>
      <c r="C15" s="1" t="s">
        <v>108</v>
      </c>
      <c r="D15" s="1">
        <v>14</v>
      </c>
      <c r="E15" s="1" t="s">
        <v>187</v>
      </c>
      <c r="F15" s="42" t="s">
        <v>243</v>
      </c>
    </row>
    <row r="16" spans="1:6" ht="18">
      <c r="A16" s="4">
        <v>45825</v>
      </c>
      <c r="B16" s="1" t="s">
        <v>33</v>
      </c>
      <c r="C16" s="1" t="s">
        <v>108</v>
      </c>
      <c r="D16" s="1">
        <v>15</v>
      </c>
      <c r="E16" s="1" t="s">
        <v>187</v>
      </c>
      <c r="F16" s="2" t="s">
        <v>248</v>
      </c>
    </row>
    <row r="17" spans="1:6" ht="18">
      <c r="A17" s="4">
        <v>45825</v>
      </c>
      <c r="B17" s="1" t="s">
        <v>33</v>
      </c>
      <c r="C17" s="1" t="s">
        <v>108</v>
      </c>
      <c r="D17" s="1">
        <v>16</v>
      </c>
      <c r="E17" s="1" t="s">
        <v>187</v>
      </c>
      <c r="F17" s="78" t="s">
        <v>249</v>
      </c>
    </row>
    <row r="18" spans="1:6" ht="18">
      <c r="A18" s="4">
        <v>45825</v>
      </c>
      <c r="B18" s="1" t="s">
        <v>33</v>
      </c>
      <c r="C18" s="1" t="s">
        <v>108</v>
      </c>
      <c r="D18" s="1">
        <v>17</v>
      </c>
      <c r="E18" s="1" t="s">
        <v>112</v>
      </c>
      <c r="F18" s="2" t="s">
        <v>250</v>
      </c>
    </row>
    <row r="19" spans="1:6" ht="18">
      <c r="A19" s="4">
        <v>45826</v>
      </c>
      <c r="B19" s="1" t="s">
        <v>33</v>
      </c>
      <c r="C19" s="1" t="s">
        <v>108</v>
      </c>
      <c r="D19" s="1">
        <v>18</v>
      </c>
      <c r="E19" s="1" t="s">
        <v>187</v>
      </c>
      <c r="F19" s="2" t="s">
        <v>252</v>
      </c>
    </row>
    <row r="20" spans="1:6" ht="18">
      <c r="A20" s="4">
        <v>45830</v>
      </c>
      <c r="B20" s="1" t="s">
        <v>33</v>
      </c>
      <c r="C20" s="1" t="s">
        <v>253</v>
      </c>
      <c r="D20" s="1">
        <v>1</v>
      </c>
      <c r="E20" s="1" t="s">
        <v>187</v>
      </c>
      <c r="F20" s="2" t="s">
        <v>254</v>
      </c>
    </row>
    <row r="21" spans="1:6" ht="18">
      <c r="A21" s="4">
        <v>45830</v>
      </c>
      <c r="B21" s="1" t="s">
        <v>33</v>
      </c>
      <c r="C21" s="1" t="s">
        <v>253</v>
      </c>
      <c r="D21" s="1">
        <v>2</v>
      </c>
      <c r="E21" s="1" t="s">
        <v>187</v>
      </c>
      <c r="F21" s="2" t="s">
        <v>255</v>
      </c>
    </row>
    <row r="22" spans="1:6" ht="18">
      <c r="A22" s="4">
        <v>45840</v>
      </c>
      <c r="B22" s="1" t="s">
        <v>33</v>
      </c>
      <c r="C22" s="1" t="s">
        <v>256</v>
      </c>
      <c r="D22" s="1">
        <v>1</v>
      </c>
      <c r="E22" s="1" t="s">
        <v>187</v>
      </c>
      <c r="F22" s="2" t="s">
        <v>257</v>
      </c>
    </row>
    <row r="23" spans="1:6" ht="18">
      <c r="A23" s="4">
        <v>45846</v>
      </c>
      <c r="B23" s="1" t="s">
        <v>33</v>
      </c>
      <c r="C23" s="1" t="s">
        <v>256</v>
      </c>
      <c r="D23" s="1">
        <v>2</v>
      </c>
      <c r="E23" s="1" t="s">
        <v>187</v>
      </c>
      <c r="F23" s="95" t="s">
        <v>259</v>
      </c>
    </row>
    <row r="24" spans="1:6" ht="36">
      <c r="A24" s="4">
        <v>45847</v>
      </c>
      <c r="B24" s="1" t="s">
        <v>33</v>
      </c>
      <c r="C24" s="1" t="s">
        <v>256</v>
      </c>
      <c r="D24" s="1">
        <v>3</v>
      </c>
      <c r="E24" s="1" t="s">
        <v>112</v>
      </c>
      <c r="F24" s="95" t="s">
        <v>285</v>
      </c>
    </row>
    <row r="25" spans="1:6" ht="18">
      <c r="A25" s="4">
        <v>45848</v>
      </c>
      <c r="B25" s="1" t="s">
        <v>33</v>
      </c>
      <c r="C25" s="1" t="s">
        <v>256</v>
      </c>
      <c r="D25" s="1">
        <v>4</v>
      </c>
      <c r="E25" s="1" t="s">
        <v>189</v>
      </c>
      <c r="F25" s="2" t="s">
        <v>300</v>
      </c>
    </row>
    <row r="26" spans="1:6" ht="18">
      <c r="A26" s="4">
        <v>45851</v>
      </c>
      <c r="B26" s="1" t="s">
        <v>33</v>
      </c>
      <c r="C26" s="1" t="s">
        <v>256</v>
      </c>
      <c r="D26" s="1">
        <v>5</v>
      </c>
      <c r="E26" s="1" t="s">
        <v>187</v>
      </c>
      <c r="F26" s="2" t="s">
        <v>302</v>
      </c>
    </row>
    <row r="27" spans="1:6" ht="18">
      <c r="A27" s="4">
        <v>45856</v>
      </c>
      <c r="B27" s="1" t="s">
        <v>33</v>
      </c>
      <c r="C27" s="1" t="s">
        <v>256</v>
      </c>
      <c r="D27" s="1">
        <v>6</v>
      </c>
      <c r="E27" s="1" t="s">
        <v>187</v>
      </c>
      <c r="F27" s="2" t="s">
        <v>303</v>
      </c>
    </row>
    <row r="28" spans="1:6" ht="18">
      <c r="A28" s="4">
        <v>45856</v>
      </c>
      <c r="B28" s="1" t="s">
        <v>33</v>
      </c>
      <c r="C28" s="1" t="s">
        <v>256</v>
      </c>
      <c r="D28" s="1">
        <v>7</v>
      </c>
      <c r="E28" s="1" t="s">
        <v>187</v>
      </c>
      <c r="F28" s="102" t="s">
        <v>304</v>
      </c>
    </row>
    <row r="29" spans="1:6" ht="18">
      <c r="A29" s="4">
        <v>45856</v>
      </c>
      <c r="B29" s="1" t="s">
        <v>33</v>
      </c>
      <c r="C29" s="1" t="s">
        <v>256</v>
      </c>
      <c r="D29" s="1">
        <v>8</v>
      </c>
      <c r="E29" s="1" t="s">
        <v>187</v>
      </c>
      <c r="F29" s="102" t="s">
        <v>305</v>
      </c>
    </row>
    <row r="30" spans="1:6" ht="18">
      <c r="A30" s="4">
        <v>45856</v>
      </c>
      <c r="B30" s="1" t="s">
        <v>33</v>
      </c>
      <c r="C30" s="1" t="s">
        <v>256</v>
      </c>
      <c r="D30" s="1">
        <v>9</v>
      </c>
      <c r="E30" s="1" t="s">
        <v>187</v>
      </c>
      <c r="F30" s="104" t="s">
        <v>306</v>
      </c>
    </row>
    <row r="31" spans="1:6" ht="36">
      <c r="B31" s="1" t="s">
        <v>33</v>
      </c>
      <c r="C31" s="1" t="s">
        <v>256</v>
      </c>
      <c r="D31" s="1">
        <v>10</v>
      </c>
      <c r="E31" s="1" t="s">
        <v>189</v>
      </c>
      <c r="F31" s="104" t="s">
        <v>310</v>
      </c>
    </row>
    <row r="32" spans="1:6" ht="18">
      <c r="B32" s="1" t="s">
        <v>33</v>
      </c>
      <c r="C32" s="1" t="s">
        <v>256</v>
      </c>
      <c r="D32" s="1">
        <v>11</v>
      </c>
      <c r="E32" s="1" t="s">
        <v>112</v>
      </c>
      <c r="F32" s="2" t="s">
        <v>334</v>
      </c>
    </row>
    <row r="33" spans="1:6" ht="18">
      <c r="B33" s="1" t="s">
        <v>33</v>
      </c>
      <c r="C33" s="1" t="s">
        <v>256</v>
      </c>
      <c r="D33" s="1">
        <v>12</v>
      </c>
      <c r="E33" s="1" t="s">
        <v>112</v>
      </c>
      <c r="F33" s="2" t="s">
        <v>335</v>
      </c>
    </row>
    <row r="34" spans="1:6" ht="18">
      <c r="B34" s="1" t="s">
        <v>33</v>
      </c>
      <c r="C34" s="1" t="s">
        <v>256</v>
      </c>
      <c r="D34" s="1">
        <v>13</v>
      </c>
      <c r="E34" s="1" t="s">
        <v>112</v>
      </c>
      <c r="F34" s="2" t="s">
        <v>343</v>
      </c>
    </row>
    <row r="35" spans="1:6" ht="18">
      <c r="A35" s="4">
        <v>45900</v>
      </c>
      <c r="B35" s="1" t="s">
        <v>33</v>
      </c>
      <c r="C35" s="1" t="s">
        <v>348</v>
      </c>
      <c r="D35" s="1">
        <v>1</v>
      </c>
      <c r="E35" s="1" t="s">
        <v>187</v>
      </c>
      <c r="F35" s="2" t="s">
        <v>349</v>
      </c>
    </row>
    <row r="36" spans="1:6" ht="18">
      <c r="A36" s="4">
        <v>45929</v>
      </c>
      <c r="B36" s="1" t="s">
        <v>33</v>
      </c>
      <c r="C36" s="1" t="s">
        <v>348</v>
      </c>
      <c r="D36" s="1">
        <v>2</v>
      </c>
      <c r="E36" s="1" t="s">
        <v>187</v>
      </c>
      <c r="F36" s="124" t="s">
        <v>347</v>
      </c>
    </row>
    <row r="37" spans="1:6" ht="18">
      <c r="A37" s="4">
        <v>45930</v>
      </c>
      <c r="B37" s="1" t="s">
        <v>33</v>
      </c>
      <c r="C37" s="1" t="s">
        <v>348</v>
      </c>
      <c r="D37" s="1">
        <v>3</v>
      </c>
      <c r="E37" s="1" t="s">
        <v>112</v>
      </c>
      <c r="F37" s="2" t="s">
        <v>362</v>
      </c>
    </row>
  </sheetData>
  <phoneticPr fontId="12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6159-EE8F-A046-905F-5814AC6E09D3}">
  <sheetPr>
    <tabColor rgb="FF008000"/>
  </sheetPr>
  <dimension ref="A2:DH3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Z29" sqref="BZ29"/>
    </sheetView>
  </sheetViews>
  <sheetFormatPr baseColWidth="10" defaultColWidth="6.6640625" defaultRowHeight="17" outlineLevelCol="1"/>
  <cols>
    <col min="1" max="1" width="14.33203125" style="31" bestFit="1" customWidth="1"/>
    <col min="2" max="2" width="21.1640625" style="100" bestFit="1" customWidth="1"/>
    <col min="3" max="4" width="24.83203125" style="31" bestFit="1" customWidth="1"/>
    <col min="5" max="5" width="20" style="31" bestFit="1" customWidth="1"/>
    <col min="6" max="6" width="26" style="31" bestFit="1" customWidth="1"/>
    <col min="7" max="7" width="29.83203125" style="31" customWidth="1"/>
    <col min="8" max="9" width="24.83203125" style="31" bestFit="1" customWidth="1"/>
    <col min="10" max="11" width="26" style="31" bestFit="1" customWidth="1"/>
    <col min="12" max="12" width="15.6640625" style="31" bestFit="1" customWidth="1"/>
    <col min="13" max="13" width="15.33203125" style="31" bestFit="1" customWidth="1"/>
    <col min="14" max="14" width="14.83203125" style="31" bestFit="1" customWidth="1"/>
    <col min="15" max="15" width="18.83203125" style="31" bestFit="1" customWidth="1"/>
    <col min="16" max="16" width="23.6640625" style="31" bestFit="1" customWidth="1" outlineLevel="1"/>
    <col min="17" max="17" width="14.33203125" style="31" bestFit="1" customWidth="1" outlineLevel="1"/>
    <col min="18" max="18" width="21.1640625" style="31" bestFit="1" customWidth="1" outlineLevel="1"/>
    <col min="19" max="20" width="28.5" style="31" bestFit="1" customWidth="1"/>
    <col min="21" max="21" width="20" style="31" bestFit="1" customWidth="1"/>
    <col min="22" max="25" width="28.5" style="31" bestFit="1" customWidth="1"/>
    <col min="26" max="27" width="26" style="31" bestFit="1" customWidth="1"/>
    <col min="28" max="28" width="15.6640625" style="31" bestFit="1" customWidth="1"/>
    <col min="29" max="29" width="15.33203125" style="31" bestFit="1" customWidth="1"/>
    <col min="30" max="30" width="14.83203125" style="31" bestFit="1" customWidth="1"/>
    <col min="31" max="31" width="18.83203125" style="31" bestFit="1" customWidth="1"/>
    <col min="32" max="32" width="13.1640625" style="31" bestFit="1" customWidth="1" outlineLevel="1"/>
    <col min="33" max="33" width="14.33203125" style="31" bestFit="1" customWidth="1" outlineLevel="1"/>
    <col min="34" max="34" width="21.1640625" style="31" bestFit="1" customWidth="1" outlineLevel="1"/>
    <col min="35" max="41" width="29.6640625" style="31" bestFit="1" customWidth="1"/>
    <col min="42" max="42" width="26" style="31" bestFit="1" customWidth="1"/>
    <col min="43" max="43" width="30.83203125" style="31" bestFit="1" customWidth="1"/>
    <col min="44" max="44" width="15.6640625" style="31" bestFit="1" customWidth="1"/>
    <col min="45" max="45" width="15.33203125" style="31" bestFit="1" customWidth="1"/>
    <col min="46" max="46" width="14.83203125" style="31" bestFit="1" customWidth="1"/>
    <col min="47" max="47" width="18.83203125" style="31" bestFit="1" customWidth="1"/>
    <col min="48" max="48" width="31.1640625" style="31" bestFit="1" customWidth="1" outlineLevel="1"/>
    <col min="49" max="49" width="14.33203125" style="31" bestFit="1" customWidth="1" outlineLevel="1"/>
    <col min="50" max="50" width="21.1640625" style="31" bestFit="1" customWidth="1" outlineLevel="1"/>
    <col min="51" max="54" width="28.5" style="31" bestFit="1" customWidth="1"/>
    <col min="55" max="55" width="35.6640625" style="31" bestFit="1" customWidth="1"/>
    <col min="56" max="57" width="28.5" style="31" bestFit="1" customWidth="1"/>
    <col min="58" max="58" width="26" style="31" bestFit="1" customWidth="1"/>
    <col min="59" max="59" width="29.6640625" style="31" bestFit="1" customWidth="1"/>
    <col min="60" max="62" width="21.1640625" style="31" bestFit="1" customWidth="1"/>
    <col min="63" max="63" width="18.83203125" style="31" bestFit="1" customWidth="1"/>
    <col min="64" max="64" width="27.5" style="31" bestFit="1" customWidth="1" outlineLevel="1"/>
    <col min="65" max="65" width="14.33203125" style="31" bestFit="1" customWidth="1" outlineLevel="1"/>
    <col min="66" max="66" width="21.1640625" style="31" bestFit="1" customWidth="1" outlineLevel="1"/>
    <col min="67" max="67" width="17.33203125" style="31" bestFit="1" customWidth="1"/>
    <col min="68" max="69" width="16.5" style="31" bestFit="1" customWidth="1"/>
    <col min="70" max="70" width="26" style="31" bestFit="1" customWidth="1"/>
    <col min="71" max="71" width="34.33203125" style="31" customWidth="1"/>
    <col min="72" max="73" width="16.5" style="31" bestFit="1" customWidth="1"/>
    <col min="74" max="74" width="26" style="31" bestFit="1" customWidth="1"/>
    <col min="75" max="75" width="17.6640625" style="31" bestFit="1" customWidth="1"/>
    <col min="76" max="76" width="15.6640625" style="31" bestFit="1" customWidth="1"/>
    <col min="77" max="77" width="15.33203125" style="31" bestFit="1" customWidth="1"/>
    <col min="78" max="78" width="14.83203125" style="31" bestFit="1" customWidth="1"/>
    <col min="79" max="79" width="18.83203125" style="31" bestFit="1" customWidth="1"/>
    <col min="80" max="80" width="92.33203125" style="31" bestFit="1" customWidth="1" outlineLevel="1"/>
    <col min="81" max="81" width="14.33203125" style="32" bestFit="1" customWidth="1" outlineLevel="1"/>
    <col min="82" max="82" width="21.1640625" style="31" bestFit="1" customWidth="1" outlineLevel="1"/>
    <col min="83" max="84" width="38.1640625" style="32" bestFit="1" customWidth="1"/>
    <col min="85" max="85" width="41.33203125" style="32" customWidth="1"/>
    <col min="86" max="89" width="38.1640625" style="32" bestFit="1" customWidth="1"/>
    <col min="90" max="90" width="26" style="32" bestFit="1" customWidth="1"/>
    <col min="91" max="91" width="39.33203125" style="32" bestFit="1" customWidth="1"/>
    <col min="92" max="94" width="30.83203125" style="32" bestFit="1" customWidth="1"/>
    <col min="95" max="95" width="18.83203125" style="32" bestFit="1" customWidth="1"/>
    <col min="96" max="96" width="21" style="31" bestFit="1" customWidth="1" outlineLevel="1"/>
    <col min="97" max="97" width="14.33203125" style="32" bestFit="1" customWidth="1" outlineLevel="1"/>
    <col min="98" max="98" width="21.1640625" style="31" bestFit="1" customWidth="1" outlineLevel="1"/>
    <col min="99" max="105" width="37" style="32" bestFit="1" customWidth="1"/>
    <col min="106" max="106" width="26" style="32" bestFit="1" customWidth="1"/>
    <col min="107" max="107" width="38.1640625" style="32" bestFit="1" customWidth="1"/>
    <col min="108" max="110" width="29.6640625" style="32" bestFit="1" customWidth="1"/>
    <col min="111" max="111" width="18.83203125" style="32" bestFit="1" customWidth="1"/>
    <col min="112" max="112" width="19.1640625" style="31" bestFit="1" customWidth="1" outlineLevel="1"/>
    <col min="113" max="16384" width="6.6640625" style="32"/>
  </cols>
  <sheetData>
    <row r="2" spans="1:112" s="76" customFormat="1" ht="16">
      <c r="A2" s="43" t="s">
        <v>17</v>
      </c>
      <c r="B2" s="96" t="s">
        <v>3</v>
      </c>
      <c r="C2" s="44" t="s">
        <v>34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6"/>
      <c r="Q2" s="47" t="s">
        <v>17</v>
      </c>
      <c r="R2" s="47" t="s">
        <v>3</v>
      </c>
      <c r="S2" s="48" t="s">
        <v>35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75"/>
      <c r="AG2" s="47" t="s">
        <v>17</v>
      </c>
      <c r="AH2" s="47" t="s">
        <v>3</v>
      </c>
      <c r="AI2" s="50" t="s">
        <v>36</v>
      </c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75"/>
      <c r="AW2" s="47" t="s">
        <v>17</v>
      </c>
      <c r="AX2" s="47" t="s">
        <v>3</v>
      </c>
      <c r="AY2" s="52" t="s">
        <v>37</v>
      </c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75"/>
      <c r="BM2" s="47" t="s">
        <v>17</v>
      </c>
      <c r="BN2" s="47" t="s">
        <v>3</v>
      </c>
      <c r="BO2" s="54" t="s">
        <v>38</v>
      </c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5"/>
      <c r="CC2" s="47" t="s">
        <v>17</v>
      </c>
      <c r="CD2" s="47" t="s">
        <v>3</v>
      </c>
      <c r="CE2" s="56" t="s">
        <v>39</v>
      </c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75"/>
      <c r="CS2" s="47" t="s">
        <v>17</v>
      </c>
      <c r="CT2" s="47" t="s">
        <v>3</v>
      </c>
      <c r="CU2" s="58" t="s">
        <v>114</v>
      </c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75"/>
    </row>
    <row r="3" spans="1:112" s="76" customFormat="1" ht="16">
      <c r="A3" s="43"/>
      <c r="B3" s="96"/>
      <c r="C3" s="60" t="s">
        <v>9</v>
      </c>
      <c r="D3" s="61" t="s">
        <v>4</v>
      </c>
      <c r="E3" s="61" t="s">
        <v>5</v>
      </c>
      <c r="F3" s="61" t="s">
        <v>6</v>
      </c>
      <c r="G3" s="61" t="s">
        <v>8</v>
      </c>
      <c r="H3" s="61" t="s">
        <v>126</v>
      </c>
      <c r="I3" s="61" t="s">
        <v>11</v>
      </c>
      <c r="J3" s="60" t="s">
        <v>127</v>
      </c>
      <c r="K3" s="60" t="s">
        <v>13</v>
      </c>
      <c r="L3" s="60" t="s">
        <v>12</v>
      </c>
      <c r="M3" s="60" t="s">
        <v>15</v>
      </c>
      <c r="N3" s="60" t="s">
        <v>29</v>
      </c>
      <c r="O3" s="60" t="s">
        <v>7</v>
      </c>
      <c r="P3" s="62" t="str">
        <f>_xlfn.CONCAT("Comment_",SUBSTITUTE(C2, " ", "_"))</f>
        <v>Comment_CP1</v>
      </c>
      <c r="Q3" s="47"/>
      <c r="R3" s="47"/>
      <c r="S3" s="63" t="str">
        <f t="shared" ref="S3:AE3" si="0">C3</f>
        <v>VDD_PCPU</v>
      </c>
      <c r="T3" s="64" t="str">
        <f t="shared" si="0"/>
        <v>VDD_ECPU</v>
      </c>
      <c r="U3" s="64" t="str">
        <f t="shared" si="0"/>
        <v>VDD_GPU</v>
      </c>
      <c r="V3" s="64" t="str">
        <f t="shared" si="0"/>
        <v>VDD_SOC</v>
      </c>
      <c r="W3" s="64" t="str">
        <f t="shared" si="0"/>
        <v>VDD_DCS_DDR</v>
      </c>
      <c r="X3" s="64" t="str">
        <f t="shared" si="0"/>
        <v>VDD_AVE</v>
      </c>
      <c r="Y3" s="64" t="str">
        <f t="shared" si="0"/>
        <v>VDD_DISP</v>
      </c>
      <c r="Z3" s="63" t="str">
        <f t="shared" si="0"/>
        <v>VDD_LOW</v>
      </c>
      <c r="AA3" s="63" t="str">
        <f t="shared" si="0"/>
        <v>VDD_CPU_SRAM</v>
      </c>
      <c r="AB3" s="63" t="str">
        <f t="shared" si="0"/>
        <v>VDD_SRAM_GPU</v>
      </c>
      <c r="AC3" s="63" t="str">
        <f t="shared" si="0"/>
        <v>VDD_SRAM_SOC</v>
      </c>
      <c r="AD3" s="63" t="str">
        <f t="shared" si="0"/>
        <v>VDD_FIXED_ALL</v>
      </c>
      <c r="AE3" s="64" t="str">
        <f t="shared" si="0"/>
        <v>All Others</v>
      </c>
      <c r="AF3" s="62" t="str">
        <f>_xlfn.CONCAT("Comment_",SUBSTITUTE(S2, " ", "_"))</f>
        <v>Comment_CP2</v>
      </c>
      <c r="AG3" s="47"/>
      <c r="AH3" s="47"/>
      <c r="AI3" s="65" t="str">
        <f t="shared" ref="AI3:AU3" si="1">C3</f>
        <v>VDD_PCPU</v>
      </c>
      <c r="AJ3" s="66" t="str">
        <f t="shared" si="1"/>
        <v>VDD_ECPU</v>
      </c>
      <c r="AK3" s="66" t="str">
        <f t="shared" si="1"/>
        <v>VDD_GPU</v>
      </c>
      <c r="AL3" s="66" t="str">
        <f t="shared" si="1"/>
        <v>VDD_SOC</v>
      </c>
      <c r="AM3" s="66" t="str">
        <f t="shared" si="1"/>
        <v>VDD_DCS_DDR</v>
      </c>
      <c r="AN3" s="66" t="str">
        <f t="shared" si="1"/>
        <v>VDD_AVE</v>
      </c>
      <c r="AO3" s="66" t="str">
        <f t="shared" si="1"/>
        <v>VDD_DISP</v>
      </c>
      <c r="AP3" s="65" t="str">
        <f t="shared" si="1"/>
        <v>VDD_LOW</v>
      </c>
      <c r="AQ3" s="65" t="str">
        <f t="shared" si="1"/>
        <v>VDD_CPU_SRAM</v>
      </c>
      <c r="AR3" s="65" t="str">
        <f t="shared" si="1"/>
        <v>VDD_SRAM_GPU</v>
      </c>
      <c r="AS3" s="65" t="str">
        <f t="shared" si="1"/>
        <v>VDD_SRAM_SOC</v>
      </c>
      <c r="AT3" s="65" t="str">
        <f t="shared" si="1"/>
        <v>VDD_FIXED_ALL</v>
      </c>
      <c r="AU3" s="66" t="str">
        <f t="shared" si="1"/>
        <v>All Others</v>
      </c>
      <c r="AV3" s="62" t="str">
        <f>_xlfn.CONCAT("Comment_",SUBSTITUTE(AI2, " ", "_"))</f>
        <v>Comment_FT_ROOM,_RMA_ROOM</v>
      </c>
      <c r="AW3" s="67"/>
      <c r="AX3" s="47"/>
      <c r="AY3" s="68" t="str">
        <f t="shared" ref="AY3:BK3" si="2">C3</f>
        <v>VDD_PCPU</v>
      </c>
      <c r="AZ3" s="69" t="str">
        <f t="shared" si="2"/>
        <v>VDD_ECPU</v>
      </c>
      <c r="BA3" s="69" t="str">
        <f t="shared" si="2"/>
        <v>VDD_GPU</v>
      </c>
      <c r="BB3" s="69" t="str">
        <f t="shared" si="2"/>
        <v>VDD_SOC</v>
      </c>
      <c r="BC3" s="69" t="str">
        <f t="shared" si="2"/>
        <v>VDD_DCS_DDR</v>
      </c>
      <c r="BD3" s="69" t="str">
        <f t="shared" si="2"/>
        <v>VDD_AVE</v>
      </c>
      <c r="BE3" s="69" t="str">
        <f t="shared" si="2"/>
        <v>VDD_DISP</v>
      </c>
      <c r="BF3" s="68" t="str">
        <f t="shared" si="2"/>
        <v>VDD_LOW</v>
      </c>
      <c r="BG3" s="68" t="str">
        <f t="shared" si="2"/>
        <v>VDD_CPU_SRAM</v>
      </c>
      <c r="BH3" s="68" t="str">
        <f t="shared" si="2"/>
        <v>VDD_SRAM_GPU</v>
      </c>
      <c r="BI3" s="68" t="str">
        <f t="shared" si="2"/>
        <v>VDD_SRAM_SOC</v>
      </c>
      <c r="BJ3" s="68" t="str">
        <f t="shared" si="2"/>
        <v>VDD_FIXED_ALL</v>
      </c>
      <c r="BK3" s="69" t="str">
        <f t="shared" si="2"/>
        <v>All Others</v>
      </c>
      <c r="BL3" s="62" t="str">
        <f>_xlfn.CONCAT("Comment_",SUBSTITUTE(AY2, " ", "_"))</f>
        <v>Comment_FT_HOT,_RMA_HOT</v>
      </c>
      <c r="BM3" s="47"/>
      <c r="BN3" s="47"/>
      <c r="BO3" s="70" t="str">
        <f t="shared" ref="BO3:CA3" si="3">C3</f>
        <v>VDD_PCPU</v>
      </c>
      <c r="BP3" s="70" t="str">
        <f t="shared" si="3"/>
        <v>VDD_ECPU</v>
      </c>
      <c r="BQ3" s="70" t="str">
        <f t="shared" si="3"/>
        <v>VDD_GPU</v>
      </c>
      <c r="BR3" s="70" t="str">
        <f t="shared" si="3"/>
        <v>VDD_SOC</v>
      </c>
      <c r="BS3" s="70" t="str">
        <f t="shared" si="3"/>
        <v>VDD_DCS_DDR</v>
      </c>
      <c r="BT3" s="70" t="str">
        <f t="shared" si="3"/>
        <v>VDD_AVE</v>
      </c>
      <c r="BU3" s="70" t="str">
        <f t="shared" si="3"/>
        <v>VDD_DISP</v>
      </c>
      <c r="BV3" s="70" t="str">
        <f t="shared" si="3"/>
        <v>VDD_LOW</v>
      </c>
      <c r="BW3" s="70" t="str">
        <f t="shared" si="3"/>
        <v>VDD_CPU_SRAM</v>
      </c>
      <c r="BX3" s="70" t="str">
        <f t="shared" si="3"/>
        <v>VDD_SRAM_GPU</v>
      </c>
      <c r="BY3" s="70" t="str">
        <f t="shared" si="3"/>
        <v>VDD_SRAM_SOC</v>
      </c>
      <c r="BZ3" s="70" t="str">
        <f t="shared" si="3"/>
        <v>VDD_FIXED_ALL</v>
      </c>
      <c r="CA3" s="70" t="str">
        <f t="shared" si="3"/>
        <v>All Others</v>
      </c>
      <c r="CB3" s="62" t="str">
        <f>_xlfn.CONCAT("Comment_",SUBSTITUTE(BO2, " ", "_"))</f>
        <v>Comment_FT1_FQA,_FT2_FQA</v>
      </c>
      <c r="CC3" s="67"/>
      <c r="CD3" s="47"/>
      <c r="CE3" s="71" t="str">
        <f t="shared" ref="CE3:CQ3" si="4">AI3</f>
        <v>VDD_PCPU</v>
      </c>
      <c r="CF3" s="71" t="str">
        <f t="shared" si="4"/>
        <v>VDD_ECPU</v>
      </c>
      <c r="CG3" s="71" t="str">
        <f t="shared" si="4"/>
        <v>VDD_GPU</v>
      </c>
      <c r="CH3" s="71" t="str">
        <f t="shared" si="4"/>
        <v>VDD_SOC</v>
      </c>
      <c r="CI3" s="71" t="str">
        <f t="shared" si="4"/>
        <v>VDD_DCS_DDR</v>
      </c>
      <c r="CJ3" s="71" t="str">
        <f t="shared" si="4"/>
        <v>VDD_AVE</v>
      </c>
      <c r="CK3" s="71" t="str">
        <f t="shared" si="4"/>
        <v>VDD_DISP</v>
      </c>
      <c r="CL3" s="71" t="str">
        <f t="shared" si="4"/>
        <v>VDD_LOW</v>
      </c>
      <c r="CM3" s="71" t="str">
        <f t="shared" si="4"/>
        <v>VDD_CPU_SRAM</v>
      </c>
      <c r="CN3" s="71" t="str">
        <f t="shared" si="4"/>
        <v>VDD_SRAM_GPU</v>
      </c>
      <c r="CO3" s="71" t="str">
        <f t="shared" si="4"/>
        <v>VDD_SRAM_SOC</v>
      </c>
      <c r="CP3" s="71" t="str">
        <f t="shared" si="4"/>
        <v>VDD_FIXED_ALL</v>
      </c>
      <c r="CQ3" s="71" t="str">
        <f t="shared" si="4"/>
        <v>All Others</v>
      </c>
      <c r="CR3" s="62" t="str">
        <f>_xlfn.CONCAT("Comment_",SUBSTITUTE(CE2, " ", "_"))</f>
        <v>Comment_T0TX_ROOM</v>
      </c>
      <c r="CS3" s="67"/>
      <c r="CT3" s="47"/>
      <c r="CU3" s="72" t="str">
        <f t="shared" ref="CU3:DG3" si="5">AY3</f>
        <v>VDD_PCPU</v>
      </c>
      <c r="CV3" s="72" t="str">
        <f t="shared" si="5"/>
        <v>VDD_ECPU</v>
      </c>
      <c r="CW3" s="72" t="str">
        <f t="shared" si="5"/>
        <v>VDD_GPU</v>
      </c>
      <c r="CX3" s="72" t="str">
        <f t="shared" si="5"/>
        <v>VDD_SOC</v>
      </c>
      <c r="CY3" s="72" t="str">
        <f t="shared" si="5"/>
        <v>VDD_DCS_DDR</v>
      </c>
      <c r="CZ3" s="72" t="str">
        <f t="shared" si="5"/>
        <v>VDD_AVE</v>
      </c>
      <c r="DA3" s="72" t="str">
        <f t="shared" si="5"/>
        <v>VDD_DISP</v>
      </c>
      <c r="DB3" s="72" t="str">
        <f t="shared" si="5"/>
        <v>VDD_LOW</v>
      </c>
      <c r="DC3" s="72" t="str">
        <f t="shared" si="5"/>
        <v>VDD_CPU_SRAM</v>
      </c>
      <c r="DD3" s="72" t="str">
        <f t="shared" si="5"/>
        <v>VDD_SRAM_GPU</v>
      </c>
      <c r="DE3" s="72" t="str">
        <f t="shared" si="5"/>
        <v>VDD_SRAM_SOC</v>
      </c>
      <c r="DF3" s="72" t="str">
        <f t="shared" si="5"/>
        <v>VDD_FIXED_ALL</v>
      </c>
      <c r="DG3" s="73" t="str">
        <f t="shared" si="5"/>
        <v>All Others</v>
      </c>
      <c r="DH3" s="62" t="str">
        <f>_xlfn.CONCAT("Comment_",SUBSTITUTE(CU2, " ", "_"))</f>
        <v>Comment_T0TX_HOT</v>
      </c>
    </row>
    <row r="4" spans="1:112" s="25" customFormat="1" ht="19">
      <c r="A4" s="10" t="s">
        <v>18</v>
      </c>
      <c r="B4" s="101" t="s">
        <v>301</v>
      </c>
      <c r="C4" s="11" t="s">
        <v>263</v>
      </c>
      <c r="D4" s="11" t="s">
        <v>264</v>
      </c>
      <c r="E4" s="11" t="s">
        <v>20</v>
      </c>
      <c r="F4" s="39" t="s">
        <v>275</v>
      </c>
      <c r="G4" s="12" t="s">
        <v>265</v>
      </c>
      <c r="H4" s="11" t="s">
        <v>266</v>
      </c>
      <c r="I4" s="11" t="s">
        <v>267</v>
      </c>
      <c r="J4" s="11" t="s">
        <v>124</v>
      </c>
      <c r="K4" s="13" t="s">
        <v>268</v>
      </c>
      <c r="L4" s="11" t="s">
        <v>27</v>
      </c>
      <c r="M4" s="11" t="s">
        <v>27</v>
      </c>
      <c r="N4" s="11" t="s">
        <v>27</v>
      </c>
      <c r="O4" s="11" t="s">
        <v>14</v>
      </c>
      <c r="P4" s="14"/>
      <c r="Q4" s="10" t="s">
        <v>18</v>
      </c>
      <c r="R4" s="101" t="s">
        <v>301</v>
      </c>
      <c r="S4" s="15" t="s">
        <v>121</v>
      </c>
      <c r="T4" s="15" t="s">
        <v>122</v>
      </c>
      <c r="U4" s="15" t="s">
        <v>123</v>
      </c>
      <c r="V4" s="15" t="s">
        <v>74</v>
      </c>
      <c r="W4" s="15" t="s">
        <v>102</v>
      </c>
      <c r="X4" s="15" t="s">
        <v>168</v>
      </c>
      <c r="Y4" s="15" t="s">
        <v>79</v>
      </c>
      <c r="Z4" s="15" t="s">
        <v>124</v>
      </c>
      <c r="AA4" s="15" t="s">
        <v>279</v>
      </c>
      <c r="AB4" s="15" t="s">
        <v>27</v>
      </c>
      <c r="AC4" s="15" t="s">
        <v>27</v>
      </c>
      <c r="AD4" s="15" t="s">
        <v>27</v>
      </c>
      <c r="AE4" s="15" t="s">
        <v>14</v>
      </c>
      <c r="AF4" s="16"/>
      <c r="AG4" s="10" t="s">
        <v>18</v>
      </c>
      <c r="AH4" s="101" t="s">
        <v>301</v>
      </c>
      <c r="AI4" s="17" t="s">
        <v>263</v>
      </c>
      <c r="AJ4" s="17" t="s">
        <v>264</v>
      </c>
      <c r="AK4" s="17" t="s">
        <v>20</v>
      </c>
      <c r="AL4" s="17" t="s">
        <v>275</v>
      </c>
      <c r="AM4" s="17" t="s">
        <v>265</v>
      </c>
      <c r="AN4" s="17" t="s">
        <v>266</v>
      </c>
      <c r="AO4" s="17" t="s">
        <v>267</v>
      </c>
      <c r="AP4" s="17" t="s">
        <v>124</v>
      </c>
      <c r="AQ4" s="17" t="s">
        <v>268</v>
      </c>
      <c r="AR4" s="17" t="s">
        <v>27</v>
      </c>
      <c r="AS4" s="17" t="s">
        <v>27</v>
      </c>
      <c r="AT4" s="17" t="s">
        <v>27</v>
      </c>
      <c r="AU4" s="18" t="s">
        <v>14</v>
      </c>
      <c r="AV4" s="16"/>
      <c r="AW4" s="10" t="s">
        <v>18</v>
      </c>
      <c r="AX4" s="101" t="s">
        <v>301</v>
      </c>
      <c r="AY4" s="19" t="s">
        <v>90</v>
      </c>
      <c r="AZ4" s="19" t="s">
        <v>91</v>
      </c>
      <c r="BA4" s="19" t="s">
        <v>52</v>
      </c>
      <c r="BB4" s="19" t="s">
        <v>75</v>
      </c>
      <c r="BC4" s="19" t="s">
        <v>104</v>
      </c>
      <c r="BD4" s="19" t="s">
        <v>173</v>
      </c>
      <c r="BE4" s="19" t="s">
        <v>83</v>
      </c>
      <c r="BF4" s="19" t="s">
        <v>124</v>
      </c>
      <c r="BG4" s="19" t="s">
        <v>286</v>
      </c>
      <c r="BH4" s="19" t="s">
        <v>23</v>
      </c>
      <c r="BI4" s="19" t="s">
        <v>23</v>
      </c>
      <c r="BJ4" s="19" t="s">
        <v>23</v>
      </c>
      <c r="BK4" s="19" t="s">
        <v>14</v>
      </c>
      <c r="BL4" s="16"/>
      <c r="BM4" s="10" t="s">
        <v>18</v>
      </c>
      <c r="BN4" s="101" t="s">
        <v>301</v>
      </c>
      <c r="BO4" s="20" t="s">
        <v>93</v>
      </c>
      <c r="BP4" s="20" t="s">
        <v>94</v>
      </c>
      <c r="BQ4" s="20" t="s">
        <v>58</v>
      </c>
      <c r="BR4" s="20" t="s">
        <v>76</v>
      </c>
      <c r="BS4" s="20" t="s">
        <v>105</v>
      </c>
      <c r="BT4" s="20" t="s">
        <v>174</v>
      </c>
      <c r="BU4" s="20" t="s">
        <v>85</v>
      </c>
      <c r="BV4" s="20" t="s">
        <v>124</v>
      </c>
      <c r="BW4" s="20" t="s">
        <v>288</v>
      </c>
      <c r="BX4" s="20" t="s">
        <v>24</v>
      </c>
      <c r="BY4" s="20" t="s">
        <v>24</v>
      </c>
      <c r="BZ4" s="20" t="s">
        <v>24</v>
      </c>
      <c r="CA4" s="20" t="s">
        <v>25</v>
      </c>
      <c r="CB4" s="21" t="s">
        <v>125</v>
      </c>
      <c r="CC4" s="10" t="s">
        <v>18</v>
      </c>
      <c r="CD4" s="101" t="s">
        <v>301</v>
      </c>
      <c r="CE4" s="22" t="s">
        <v>96</v>
      </c>
      <c r="CF4" s="22" t="s">
        <v>97</v>
      </c>
      <c r="CG4" s="22" t="s">
        <v>64</v>
      </c>
      <c r="CH4" s="22" t="s">
        <v>77</v>
      </c>
      <c r="CI4" s="22" t="s">
        <v>106</v>
      </c>
      <c r="CJ4" s="22" t="s">
        <v>175</v>
      </c>
      <c r="CK4" s="22" t="s">
        <v>87</v>
      </c>
      <c r="CL4" s="22" t="s">
        <v>124</v>
      </c>
      <c r="CM4" s="22" t="s">
        <v>290</v>
      </c>
      <c r="CN4" s="22" t="s">
        <v>32</v>
      </c>
      <c r="CO4" s="22" t="s">
        <v>32</v>
      </c>
      <c r="CP4" s="22" t="s">
        <v>32</v>
      </c>
      <c r="CQ4" s="22" t="s">
        <v>14</v>
      </c>
      <c r="CR4" s="16"/>
      <c r="CS4" s="10" t="s">
        <v>18</v>
      </c>
      <c r="CT4" s="101" t="s">
        <v>301</v>
      </c>
      <c r="CU4" s="23" t="s">
        <v>99</v>
      </c>
      <c r="CV4" s="23" t="s">
        <v>100</v>
      </c>
      <c r="CW4" s="23" t="s">
        <v>70</v>
      </c>
      <c r="CX4" s="23" t="s">
        <v>78</v>
      </c>
      <c r="CY4" s="23" t="s">
        <v>107</v>
      </c>
      <c r="CZ4" s="23" t="s">
        <v>176</v>
      </c>
      <c r="DA4" s="23" t="s">
        <v>89</v>
      </c>
      <c r="DB4" s="23" t="s">
        <v>124</v>
      </c>
      <c r="DC4" s="23" t="s">
        <v>292</v>
      </c>
      <c r="DD4" s="23" t="s">
        <v>31</v>
      </c>
      <c r="DE4" s="23" t="s">
        <v>31</v>
      </c>
      <c r="DF4" s="23" t="s">
        <v>31</v>
      </c>
      <c r="DG4" s="24" t="s">
        <v>14</v>
      </c>
      <c r="DH4" s="16"/>
    </row>
    <row r="5" spans="1:112" s="25" customFormat="1">
      <c r="A5" s="10" t="s">
        <v>18</v>
      </c>
      <c r="B5" s="97" t="s">
        <v>115</v>
      </c>
      <c r="C5" s="41" t="s">
        <v>269</v>
      </c>
      <c r="D5" s="11" t="s">
        <v>270</v>
      </c>
      <c r="E5" s="11" t="s">
        <v>20</v>
      </c>
      <c r="F5" s="39" t="s">
        <v>276</v>
      </c>
      <c r="G5" s="11" t="s">
        <v>271</v>
      </c>
      <c r="H5" s="11" t="s">
        <v>266</v>
      </c>
      <c r="I5" s="11" t="s">
        <v>267</v>
      </c>
      <c r="J5" s="11" t="s">
        <v>124</v>
      </c>
      <c r="K5" s="41" t="s">
        <v>272</v>
      </c>
      <c r="L5" s="11" t="s">
        <v>27</v>
      </c>
      <c r="M5" s="11" t="s">
        <v>27</v>
      </c>
      <c r="N5" s="11" t="s">
        <v>27</v>
      </c>
      <c r="O5" s="11" t="s">
        <v>14</v>
      </c>
      <c r="P5" s="26"/>
      <c r="Q5" s="10" t="s">
        <v>18</v>
      </c>
      <c r="R5" s="97" t="s">
        <v>115</v>
      </c>
      <c r="S5" s="41" t="s">
        <v>177</v>
      </c>
      <c r="T5" s="15" t="s">
        <v>178</v>
      </c>
      <c r="U5" s="15" t="s">
        <v>123</v>
      </c>
      <c r="V5" s="15" t="s">
        <v>43</v>
      </c>
      <c r="W5" s="15" t="s">
        <v>180</v>
      </c>
      <c r="X5" s="15" t="s">
        <v>168</v>
      </c>
      <c r="Y5" s="15" t="s">
        <v>79</v>
      </c>
      <c r="Z5" s="15" t="s">
        <v>124</v>
      </c>
      <c r="AA5" s="41" t="s">
        <v>280</v>
      </c>
      <c r="AB5" s="15" t="s">
        <v>27</v>
      </c>
      <c r="AC5" s="15" t="s">
        <v>27</v>
      </c>
      <c r="AD5" s="15" t="s">
        <v>27</v>
      </c>
      <c r="AE5" s="15" t="s">
        <v>14</v>
      </c>
      <c r="AF5" s="16"/>
      <c r="AG5" s="10" t="s">
        <v>18</v>
      </c>
      <c r="AH5" s="97" t="s">
        <v>115</v>
      </c>
      <c r="AI5" s="41" t="s">
        <v>269</v>
      </c>
      <c r="AJ5" s="17" t="s">
        <v>270</v>
      </c>
      <c r="AK5" s="17" t="s">
        <v>20</v>
      </c>
      <c r="AL5" s="17" t="s">
        <v>276</v>
      </c>
      <c r="AM5" s="17" t="s">
        <v>271</v>
      </c>
      <c r="AN5" s="17" t="s">
        <v>266</v>
      </c>
      <c r="AO5" s="17" t="s">
        <v>267</v>
      </c>
      <c r="AP5" s="17" t="s">
        <v>124</v>
      </c>
      <c r="AQ5" s="41" t="s">
        <v>272</v>
      </c>
      <c r="AR5" s="17" t="s">
        <v>27</v>
      </c>
      <c r="AS5" s="17" t="s">
        <v>27</v>
      </c>
      <c r="AT5" s="17" t="s">
        <v>27</v>
      </c>
      <c r="AU5" s="18" t="s">
        <v>14</v>
      </c>
      <c r="AV5" s="16"/>
      <c r="AW5" s="10" t="s">
        <v>18</v>
      </c>
      <c r="AX5" s="97" t="s">
        <v>115</v>
      </c>
      <c r="AY5" s="41" t="s">
        <v>82</v>
      </c>
      <c r="AZ5" s="19" t="s">
        <v>139</v>
      </c>
      <c r="BA5" s="19" t="s">
        <v>52</v>
      </c>
      <c r="BB5" s="19" t="s">
        <v>53</v>
      </c>
      <c r="BC5" s="19" t="s">
        <v>182</v>
      </c>
      <c r="BD5" s="19" t="s">
        <v>173</v>
      </c>
      <c r="BE5" s="19" t="s">
        <v>83</v>
      </c>
      <c r="BF5" s="19" t="s">
        <v>124</v>
      </c>
      <c r="BG5" s="41" t="s">
        <v>141</v>
      </c>
      <c r="BH5" s="19" t="s">
        <v>23</v>
      </c>
      <c r="BI5" s="19" t="s">
        <v>23</v>
      </c>
      <c r="BJ5" s="19" t="s">
        <v>23</v>
      </c>
      <c r="BK5" s="19" t="s">
        <v>14</v>
      </c>
      <c r="BL5" s="16"/>
      <c r="BM5" s="10" t="s">
        <v>18</v>
      </c>
      <c r="BN5" s="97" t="s">
        <v>115</v>
      </c>
      <c r="BO5" s="41" t="s">
        <v>84</v>
      </c>
      <c r="BP5" s="20" t="s">
        <v>142</v>
      </c>
      <c r="BQ5" s="20" t="s">
        <v>58</v>
      </c>
      <c r="BR5" s="20" t="s">
        <v>59</v>
      </c>
      <c r="BS5" s="20" t="s">
        <v>183</v>
      </c>
      <c r="BT5" s="20" t="s">
        <v>174</v>
      </c>
      <c r="BU5" s="20" t="s">
        <v>85</v>
      </c>
      <c r="BV5" s="20" t="s">
        <v>124</v>
      </c>
      <c r="BW5" s="41" t="s">
        <v>144</v>
      </c>
      <c r="BX5" s="20" t="s">
        <v>24</v>
      </c>
      <c r="BY5" s="20" t="s">
        <v>24</v>
      </c>
      <c r="BZ5" s="20" t="s">
        <v>24</v>
      </c>
      <c r="CA5" s="20" t="s">
        <v>25</v>
      </c>
      <c r="CB5" s="27"/>
      <c r="CC5" s="10" t="s">
        <v>18</v>
      </c>
      <c r="CD5" s="97" t="s">
        <v>115</v>
      </c>
      <c r="CE5" s="41" t="s">
        <v>86</v>
      </c>
      <c r="CF5" s="22" t="s">
        <v>145</v>
      </c>
      <c r="CG5" s="22" t="s">
        <v>64</v>
      </c>
      <c r="CH5" s="22" t="s">
        <v>65</v>
      </c>
      <c r="CI5" s="22" t="s">
        <v>184</v>
      </c>
      <c r="CJ5" s="22" t="s">
        <v>175</v>
      </c>
      <c r="CK5" s="22" t="s">
        <v>87</v>
      </c>
      <c r="CL5" s="22" t="s">
        <v>124</v>
      </c>
      <c r="CM5" s="41" t="s">
        <v>147</v>
      </c>
      <c r="CN5" s="22" t="s">
        <v>32</v>
      </c>
      <c r="CO5" s="22" t="s">
        <v>32</v>
      </c>
      <c r="CP5" s="22" t="s">
        <v>32</v>
      </c>
      <c r="CQ5" s="22" t="s">
        <v>14</v>
      </c>
      <c r="CR5" s="16"/>
      <c r="CS5" s="10" t="s">
        <v>18</v>
      </c>
      <c r="CT5" s="97" t="s">
        <v>115</v>
      </c>
      <c r="CU5" s="41" t="s">
        <v>88</v>
      </c>
      <c r="CV5" s="23" t="s">
        <v>148</v>
      </c>
      <c r="CW5" s="23" t="s">
        <v>70</v>
      </c>
      <c r="CX5" s="23" t="s">
        <v>71</v>
      </c>
      <c r="CY5" s="23" t="s">
        <v>185</v>
      </c>
      <c r="CZ5" s="23" t="s">
        <v>176</v>
      </c>
      <c r="DA5" s="23" t="s">
        <v>89</v>
      </c>
      <c r="DB5" s="23" t="s">
        <v>124</v>
      </c>
      <c r="DC5" s="41" t="s">
        <v>150</v>
      </c>
      <c r="DD5" s="23" t="s">
        <v>31</v>
      </c>
      <c r="DE5" s="23" t="s">
        <v>31</v>
      </c>
      <c r="DF5" s="23" t="s">
        <v>31</v>
      </c>
      <c r="DG5" s="24" t="s">
        <v>14</v>
      </c>
      <c r="DH5" s="16"/>
    </row>
    <row r="6" spans="1:112" s="94" customFormat="1">
      <c r="A6" s="81" t="s">
        <v>18</v>
      </c>
      <c r="B6" s="98" t="s">
        <v>261</v>
      </c>
      <c r="C6" s="79" t="s">
        <v>277</v>
      </c>
      <c r="D6" s="82" t="s">
        <v>19</v>
      </c>
      <c r="E6" s="82" t="s">
        <v>20</v>
      </c>
      <c r="F6" s="80" t="s">
        <v>129</v>
      </c>
      <c r="G6" s="82" t="s">
        <v>21</v>
      </c>
      <c r="H6" s="82" t="s">
        <v>130</v>
      </c>
      <c r="I6" s="82" t="s">
        <v>22</v>
      </c>
      <c r="J6" s="82" t="s">
        <v>124</v>
      </c>
      <c r="K6" s="79" t="s">
        <v>273</v>
      </c>
      <c r="L6" s="82" t="s">
        <v>27</v>
      </c>
      <c r="M6" s="82" t="s">
        <v>27</v>
      </c>
      <c r="N6" s="82" t="s">
        <v>27</v>
      </c>
      <c r="O6" s="82" t="s">
        <v>14</v>
      </c>
      <c r="P6" s="83" t="s">
        <v>262</v>
      </c>
      <c r="Q6" s="81" t="s">
        <v>18</v>
      </c>
      <c r="R6" s="98" t="s">
        <v>261</v>
      </c>
      <c r="S6" s="79" t="s">
        <v>281</v>
      </c>
      <c r="T6" s="84" t="s">
        <v>151</v>
      </c>
      <c r="U6" s="84" t="s">
        <v>123</v>
      </c>
      <c r="V6" s="84" t="s">
        <v>129</v>
      </c>
      <c r="W6" s="84" t="s">
        <v>133</v>
      </c>
      <c r="X6" s="84" t="s">
        <v>134</v>
      </c>
      <c r="Y6" s="84" t="s">
        <v>135</v>
      </c>
      <c r="Z6" s="84" t="s">
        <v>124</v>
      </c>
      <c r="AA6" s="79" t="s">
        <v>282</v>
      </c>
      <c r="AB6" s="84" t="s">
        <v>27</v>
      </c>
      <c r="AC6" s="84" t="s">
        <v>27</v>
      </c>
      <c r="AD6" s="84" t="s">
        <v>27</v>
      </c>
      <c r="AE6" s="84" t="s">
        <v>14</v>
      </c>
      <c r="AF6" s="85"/>
      <c r="AG6" s="81" t="s">
        <v>18</v>
      </c>
      <c r="AH6" s="98" t="s">
        <v>261</v>
      </c>
      <c r="AI6" s="79" t="s">
        <v>277</v>
      </c>
      <c r="AJ6" s="86" t="s">
        <v>19</v>
      </c>
      <c r="AK6" s="86" t="s">
        <v>20</v>
      </c>
      <c r="AL6" s="86" t="s">
        <v>129</v>
      </c>
      <c r="AM6" s="86" t="s">
        <v>21</v>
      </c>
      <c r="AN6" s="86" t="s">
        <v>130</v>
      </c>
      <c r="AO6" s="86" t="s">
        <v>22</v>
      </c>
      <c r="AP6" s="86" t="s">
        <v>124</v>
      </c>
      <c r="AQ6" s="79" t="s">
        <v>273</v>
      </c>
      <c r="AR6" s="86" t="s">
        <v>27</v>
      </c>
      <c r="AS6" s="86" t="s">
        <v>27</v>
      </c>
      <c r="AT6" s="86" t="s">
        <v>27</v>
      </c>
      <c r="AU6" s="87" t="s">
        <v>14</v>
      </c>
      <c r="AV6" s="85"/>
      <c r="AW6" s="81" t="s">
        <v>18</v>
      </c>
      <c r="AX6" s="98" t="s">
        <v>261</v>
      </c>
      <c r="AY6" s="79" t="s">
        <v>50</v>
      </c>
      <c r="AZ6" s="88" t="s">
        <v>51</v>
      </c>
      <c r="BA6" s="88" t="s">
        <v>52</v>
      </c>
      <c r="BB6" s="88" t="s">
        <v>129</v>
      </c>
      <c r="BC6" s="88" t="s">
        <v>54</v>
      </c>
      <c r="BD6" s="88" t="s">
        <v>140</v>
      </c>
      <c r="BE6" s="88" t="s">
        <v>55</v>
      </c>
      <c r="BF6" s="88" t="s">
        <v>124</v>
      </c>
      <c r="BG6" s="79" t="s">
        <v>287</v>
      </c>
      <c r="BH6" s="88" t="s">
        <v>23</v>
      </c>
      <c r="BI6" s="88" t="s">
        <v>23</v>
      </c>
      <c r="BJ6" s="88" t="s">
        <v>23</v>
      </c>
      <c r="BK6" s="88" t="s">
        <v>14</v>
      </c>
      <c r="BL6" s="85"/>
      <c r="BM6" s="81" t="s">
        <v>18</v>
      </c>
      <c r="BN6" s="98" t="s">
        <v>261</v>
      </c>
      <c r="BO6" s="79" t="s">
        <v>56</v>
      </c>
      <c r="BP6" s="89" t="s">
        <v>57</v>
      </c>
      <c r="BQ6" s="89" t="s">
        <v>58</v>
      </c>
      <c r="BR6" s="89" t="s">
        <v>129</v>
      </c>
      <c r="BS6" s="89" t="s">
        <v>60</v>
      </c>
      <c r="BT6" s="89" t="s">
        <v>143</v>
      </c>
      <c r="BU6" s="89" t="s">
        <v>61</v>
      </c>
      <c r="BV6" s="89" t="s">
        <v>124</v>
      </c>
      <c r="BW6" s="79" t="s">
        <v>289</v>
      </c>
      <c r="BX6" s="89" t="s">
        <v>24</v>
      </c>
      <c r="BY6" s="89" t="s">
        <v>24</v>
      </c>
      <c r="BZ6" s="89" t="s">
        <v>24</v>
      </c>
      <c r="CA6" s="89" t="s">
        <v>25</v>
      </c>
      <c r="CB6" s="90"/>
      <c r="CC6" s="81" t="s">
        <v>18</v>
      </c>
      <c r="CD6" s="98" t="s">
        <v>261</v>
      </c>
      <c r="CE6" s="79" t="s">
        <v>62</v>
      </c>
      <c r="CF6" s="91" t="s">
        <v>63</v>
      </c>
      <c r="CG6" s="91" t="s">
        <v>64</v>
      </c>
      <c r="CH6" s="91" t="s">
        <v>129</v>
      </c>
      <c r="CI6" s="91" t="s">
        <v>66</v>
      </c>
      <c r="CJ6" s="91" t="s">
        <v>146</v>
      </c>
      <c r="CK6" s="91" t="s">
        <v>67</v>
      </c>
      <c r="CL6" s="91" t="s">
        <v>124</v>
      </c>
      <c r="CM6" s="79" t="s">
        <v>291</v>
      </c>
      <c r="CN6" s="91" t="s">
        <v>32</v>
      </c>
      <c r="CO6" s="91" t="s">
        <v>32</v>
      </c>
      <c r="CP6" s="91" t="s">
        <v>32</v>
      </c>
      <c r="CQ6" s="91" t="s">
        <v>14</v>
      </c>
      <c r="CR6" s="85"/>
      <c r="CS6" s="81" t="s">
        <v>18</v>
      </c>
      <c r="CT6" s="98" t="s">
        <v>261</v>
      </c>
      <c r="CU6" s="79" t="s">
        <v>68</v>
      </c>
      <c r="CV6" s="92" t="s">
        <v>69</v>
      </c>
      <c r="CW6" s="92" t="s">
        <v>70</v>
      </c>
      <c r="CX6" s="92" t="s">
        <v>129</v>
      </c>
      <c r="CY6" s="92" t="s">
        <v>72</v>
      </c>
      <c r="CZ6" s="92" t="s">
        <v>149</v>
      </c>
      <c r="DA6" s="92" t="s">
        <v>73</v>
      </c>
      <c r="DB6" s="92" t="s">
        <v>124</v>
      </c>
      <c r="DC6" s="79" t="s">
        <v>293</v>
      </c>
      <c r="DD6" s="92" t="s">
        <v>31</v>
      </c>
      <c r="DE6" s="92" t="s">
        <v>31</v>
      </c>
      <c r="DF6" s="92" t="s">
        <v>31</v>
      </c>
      <c r="DG6" s="93" t="s">
        <v>14</v>
      </c>
      <c r="DH6" s="85"/>
    </row>
    <row r="7" spans="1:112" s="94" customFormat="1">
      <c r="A7" s="81" t="s">
        <v>18</v>
      </c>
      <c r="B7" s="98" t="s">
        <v>258</v>
      </c>
      <c r="C7" s="79" t="s">
        <v>278</v>
      </c>
      <c r="D7" s="82" t="s">
        <v>19</v>
      </c>
      <c r="E7" s="82" t="s">
        <v>20</v>
      </c>
      <c r="F7" s="80" t="s">
        <v>129</v>
      </c>
      <c r="G7" s="82" t="s">
        <v>21</v>
      </c>
      <c r="H7" s="82" t="s">
        <v>130</v>
      </c>
      <c r="I7" s="82" t="s">
        <v>22</v>
      </c>
      <c r="J7" s="82" t="s">
        <v>124</v>
      </c>
      <c r="K7" s="79" t="s">
        <v>274</v>
      </c>
      <c r="L7" s="82" t="s">
        <v>27</v>
      </c>
      <c r="M7" s="82" t="s">
        <v>27</v>
      </c>
      <c r="N7" s="82" t="s">
        <v>27</v>
      </c>
      <c r="O7" s="82" t="s">
        <v>14</v>
      </c>
      <c r="P7" s="83" t="s">
        <v>260</v>
      </c>
      <c r="Q7" s="81" t="s">
        <v>18</v>
      </c>
      <c r="R7" s="98" t="s">
        <v>258</v>
      </c>
      <c r="S7" s="79" t="s">
        <v>283</v>
      </c>
      <c r="T7" s="84" t="s">
        <v>151</v>
      </c>
      <c r="U7" s="84" t="s">
        <v>123</v>
      </c>
      <c r="V7" s="84" t="s">
        <v>129</v>
      </c>
      <c r="W7" s="84" t="s">
        <v>133</v>
      </c>
      <c r="X7" s="84" t="s">
        <v>134</v>
      </c>
      <c r="Y7" s="84" t="s">
        <v>135</v>
      </c>
      <c r="Z7" s="84" t="s">
        <v>124</v>
      </c>
      <c r="AA7" s="79" t="s">
        <v>284</v>
      </c>
      <c r="AB7" s="84" t="s">
        <v>27</v>
      </c>
      <c r="AC7" s="84" t="s">
        <v>27</v>
      </c>
      <c r="AD7" s="84" t="s">
        <v>27</v>
      </c>
      <c r="AE7" s="84" t="s">
        <v>14</v>
      </c>
      <c r="AF7" s="85"/>
      <c r="AG7" s="81" t="s">
        <v>18</v>
      </c>
      <c r="AH7" s="98" t="s">
        <v>258</v>
      </c>
      <c r="AI7" s="79" t="s">
        <v>278</v>
      </c>
      <c r="AJ7" s="86" t="s">
        <v>19</v>
      </c>
      <c r="AK7" s="86" t="s">
        <v>20</v>
      </c>
      <c r="AL7" s="86" t="s">
        <v>129</v>
      </c>
      <c r="AM7" s="86" t="s">
        <v>21</v>
      </c>
      <c r="AN7" s="86" t="s">
        <v>130</v>
      </c>
      <c r="AO7" s="86" t="s">
        <v>22</v>
      </c>
      <c r="AP7" s="86" t="s">
        <v>124</v>
      </c>
      <c r="AQ7" s="79" t="s">
        <v>274</v>
      </c>
      <c r="AR7" s="86" t="s">
        <v>27</v>
      </c>
      <c r="AS7" s="86" t="s">
        <v>27</v>
      </c>
      <c r="AT7" s="86" t="s">
        <v>27</v>
      </c>
      <c r="AU7" s="87" t="s">
        <v>14</v>
      </c>
      <c r="AV7" s="85"/>
      <c r="AW7" s="81" t="s">
        <v>18</v>
      </c>
      <c r="AX7" s="98" t="s">
        <v>258</v>
      </c>
      <c r="AY7" s="79" t="s">
        <v>237</v>
      </c>
      <c r="AZ7" s="88" t="s">
        <v>51</v>
      </c>
      <c r="BA7" s="88" t="s">
        <v>52</v>
      </c>
      <c r="BB7" s="88" t="s">
        <v>129</v>
      </c>
      <c r="BC7" s="88" t="s">
        <v>54</v>
      </c>
      <c r="BD7" s="88" t="s">
        <v>140</v>
      </c>
      <c r="BE7" s="88" t="s">
        <v>55</v>
      </c>
      <c r="BF7" s="88" t="s">
        <v>124</v>
      </c>
      <c r="BG7" s="79" t="s">
        <v>244</v>
      </c>
      <c r="BH7" s="88" t="s">
        <v>23</v>
      </c>
      <c r="BI7" s="88" t="s">
        <v>23</v>
      </c>
      <c r="BJ7" s="88" t="s">
        <v>23</v>
      </c>
      <c r="BK7" s="88" t="s">
        <v>14</v>
      </c>
      <c r="BL7" s="85"/>
      <c r="BM7" s="81" t="s">
        <v>18</v>
      </c>
      <c r="BN7" s="98" t="s">
        <v>258</v>
      </c>
      <c r="BO7" s="79" t="s">
        <v>238</v>
      </c>
      <c r="BP7" s="89" t="s">
        <v>57</v>
      </c>
      <c r="BQ7" s="89" t="s">
        <v>58</v>
      </c>
      <c r="BR7" s="89" t="s">
        <v>129</v>
      </c>
      <c r="BS7" s="89" t="s">
        <v>60</v>
      </c>
      <c r="BT7" s="89" t="s">
        <v>143</v>
      </c>
      <c r="BU7" s="89" t="s">
        <v>61</v>
      </c>
      <c r="BV7" s="89" t="s">
        <v>124</v>
      </c>
      <c r="BW7" s="79" t="s">
        <v>245</v>
      </c>
      <c r="BX7" s="89" t="s">
        <v>24</v>
      </c>
      <c r="BY7" s="89" t="s">
        <v>24</v>
      </c>
      <c r="BZ7" s="89" t="s">
        <v>24</v>
      </c>
      <c r="CA7" s="89" t="s">
        <v>25</v>
      </c>
      <c r="CB7" s="90"/>
      <c r="CC7" s="81" t="s">
        <v>18</v>
      </c>
      <c r="CD7" s="98" t="s">
        <v>258</v>
      </c>
      <c r="CE7" s="79" t="s">
        <v>239</v>
      </c>
      <c r="CF7" s="91" t="s">
        <v>63</v>
      </c>
      <c r="CG7" s="91" t="s">
        <v>64</v>
      </c>
      <c r="CH7" s="91" t="s">
        <v>129</v>
      </c>
      <c r="CI7" s="91" t="s">
        <v>66</v>
      </c>
      <c r="CJ7" s="91" t="s">
        <v>146</v>
      </c>
      <c r="CK7" s="91" t="s">
        <v>67</v>
      </c>
      <c r="CL7" s="91" t="s">
        <v>124</v>
      </c>
      <c r="CM7" s="79" t="s">
        <v>246</v>
      </c>
      <c r="CN7" s="91" t="s">
        <v>32</v>
      </c>
      <c r="CO7" s="91" t="s">
        <v>32</v>
      </c>
      <c r="CP7" s="91" t="s">
        <v>32</v>
      </c>
      <c r="CQ7" s="91" t="s">
        <v>14</v>
      </c>
      <c r="CR7" s="85"/>
      <c r="CS7" s="81" t="s">
        <v>18</v>
      </c>
      <c r="CT7" s="98" t="s">
        <v>258</v>
      </c>
      <c r="CU7" s="79" t="s">
        <v>240</v>
      </c>
      <c r="CV7" s="92" t="s">
        <v>69</v>
      </c>
      <c r="CW7" s="92" t="s">
        <v>70</v>
      </c>
      <c r="CX7" s="92" t="s">
        <v>129</v>
      </c>
      <c r="CY7" s="92" t="s">
        <v>72</v>
      </c>
      <c r="CZ7" s="92" t="s">
        <v>149</v>
      </c>
      <c r="DA7" s="92" t="s">
        <v>73</v>
      </c>
      <c r="DB7" s="92" t="s">
        <v>124</v>
      </c>
      <c r="DC7" s="79" t="s">
        <v>247</v>
      </c>
      <c r="DD7" s="92" t="s">
        <v>31</v>
      </c>
      <c r="DE7" s="92" t="s">
        <v>31</v>
      </c>
      <c r="DF7" s="92" t="s">
        <v>31</v>
      </c>
      <c r="DG7" s="93" t="s">
        <v>14</v>
      </c>
      <c r="DH7" s="85"/>
    </row>
    <row r="8" spans="1:112" s="25" customFormat="1">
      <c r="A8" s="10" t="s">
        <v>41</v>
      </c>
      <c r="B8" s="97" t="s">
        <v>42</v>
      </c>
      <c r="C8" s="11" t="s">
        <v>121</v>
      </c>
      <c r="D8" s="11" t="s">
        <v>122</v>
      </c>
      <c r="E8" s="11" t="s">
        <v>123</v>
      </c>
      <c r="F8" s="77" t="s">
        <v>251</v>
      </c>
      <c r="G8" s="12" t="s">
        <v>164</v>
      </c>
      <c r="H8" s="11" t="s">
        <v>165</v>
      </c>
      <c r="I8" s="11" t="s">
        <v>166</v>
      </c>
      <c r="J8" s="11" t="s">
        <v>124</v>
      </c>
      <c r="K8" s="13" t="s">
        <v>167</v>
      </c>
      <c r="L8" s="11" t="s">
        <v>27</v>
      </c>
      <c r="M8" s="11" t="s">
        <v>27</v>
      </c>
      <c r="N8" s="11" t="s">
        <v>27</v>
      </c>
      <c r="O8" s="11" t="s">
        <v>14</v>
      </c>
      <c r="P8" s="14"/>
      <c r="Q8" s="10" t="s">
        <v>41</v>
      </c>
      <c r="R8" s="97" t="s">
        <v>42</v>
      </c>
      <c r="S8" s="15" t="s">
        <v>121</v>
      </c>
      <c r="T8" s="15" t="s">
        <v>122</v>
      </c>
      <c r="U8" s="15" t="s">
        <v>123</v>
      </c>
      <c r="V8" s="77" t="s">
        <v>251</v>
      </c>
      <c r="W8" s="15" t="s">
        <v>102</v>
      </c>
      <c r="X8" s="15" t="s">
        <v>168</v>
      </c>
      <c r="Y8" s="15" t="s">
        <v>79</v>
      </c>
      <c r="Z8" s="15" t="s">
        <v>124</v>
      </c>
      <c r="AA8" s="15" t="s">
        <v>167</v>
      </c>
      <c r="AB8" s="15" t="s">
        <v>27</v>
      </c>
      <c r="AC8" s="15" t="s">
        <v>27</v>
      </c>
      <c r="AD8" s="15" t="s">
        <v>27</v>
      </c>
      <c r="AE8" s="15" t="s">
        <v>14</v>
      </c>
      <c r="AF8" s="16"/>
      <c r="AG8" s="10" t="s">
        <v>41</v>
      </c>
      <c r="AH8" s="97" t="s">
        <v>42</v>
      </c>
      <c r="AI8" s="17" t="s">
        <v>169</v>
      </c>
      <c r="AJ8" s="17" t="s">
        <v>170</v>
      </c>
      <c r="AK8" s="17" t="s">
        <v>46</v>
      </c>
      <c r="AL8" s="77" t="s">
        <v>251</v>
      </c>
      <c r="AM8" s="17" t="s">
        <v>103</v>
      </c>
      <c r="AN8" s="17" t="s">
        <v>171</v>
      </c>
      <c r="AO8" s="17" t="s">
        <v>81</v>
      </c>
      <c r="AP8" s="17" t="s">
        <v>124</v>
      </c>
      <c r="AQ8" s="17" t="s">
        <v>172</v>
      </c>
      <c r="AR8" s="17" t="s">
        <v>27</v>
      </c>
      <c r="AS8" s="17" t="s">
        <v>27</v>
      </c>
      <c r="AT8" s="17" t="s">
        <v>27</v>
      </c>
      <c r="AU8" s="18" t="s">
        <v>14</v>
      </c>
      <c r="AV8" s="16"/>
      <c r="AW8" s="10" t="s">
        <v>41</v>
      </c>
      <c r="AX8" s="97" t="s">
        <v>42</v>
      </c>
      <c r="AY8" s="19" t="s">
        <v>90</v>
      </c>
      <c r="AZ8" s="19" t="s">
        <v>91</v>
      </c>
      <c r="BA8" s="19" t="s">
        <v>52</v>
      </c>
      <c r="BB8" s="77" t="s">
        <v>251</v>
      </c>
      <c r="BC8" s="19" t="s">
        <v>104</v>
      </c>
      <c r="BD8" s="19" t="s">
        <v>173</v>
      </c>
      <c r="BE8" s="19" t="s">
        <v>83</v>
      </c>
      <c r="BF8" s="19" t="s">
        <v>124</v>
      </c>
      <c r="BG8" s="19" t="s">
        <v>92</v>
      </c>
      <c r="BH8" s="19" t="s">
        <v>23</v>
      </c>
      <c r="BI8" s="19" t="s">
        <v>23</v>
      </c>
      <c r="BJ8" s="19" t="s">
        <v>23</v>
      </c>
      <c r="BK8" s="19" t="s">
        <v>14</v>
      </c>
      <c r="BL8" s="16"/>
      <c r="BM8" s="10" t="s">
        <v>41</v>
      </c>
      <c r="BN8" s="97" t="s">
        <v>42</v>
      </c>
      <c r="BO8" s="20" t="s">
        <v>93</v>
      </c>
      <c r="BP8" s="20" t="s">
        <v>94</v>
      </c>
      <c r="BQ8" s="20" t="s">
        <v>58</v>
      </c>
      <c r="BR8" s="77" t="s">
        <v>251</v>
      </c>
      <c r="BS8" s="20" t="s">
        <v>105</v>
      </c>
      <c r="BT8" s="20" t="s">
        <v>174</v>
      </c>
      <c r="BU8" s="20" t="s">
        <v>85</v>
      </c>
      <c r="BV8" s="20" t="s">
        <v>124</v>
      </c>
      <c r="BW8" s="20" t="s">
        <v>95</v>
      </c>
      <c r="BX8" s="20" t="s">
        <v>24</v>
      </c>
      <c r="BY8" s="20" t="s">
        <v>24</v>
      </c>
      <c r="BZ8" s="20" t="s">
        <v>24</v>
      </c>
      <c r="CA8" s="20" t="s">
        <v>25</v>
      </c>
      <c r="CB8" s="21" t="s">
        <v>125</v>
      </c>
      <c r="CC8" s="10" t="s">
        <v>41</v>
      </c>
      <c r="CD8" s="97" t="s">
        <v>42</v>
      </c>
      <c r="CE8" s="22" t="s">
        <v>96</v>
      </c>
      <c r="CF8" s="22" t="s">
        <v>97</v>
      </c>
      <c r="CG8" s="22" t="s">
        <v>64</v>
      </c>
      <c r="CH8" s="77" t="s">
        <v>251</v>
      </c>
      <c r="CI8" s="22" t="s">
        <v>106</v>
      </c>
      <c r="CJ8" s="22" t="s">
        <v>175</v>
      </c>
      <c r="CK8" s="22" t="s">
        <v>87</v>
      </c>
      <c r="CL8" s="22" t="s">
        <v>124</v>
      </c>
      <c r="CM8" s="22" t="s">
        <v>98</v>
      </c>
      <c r="CN8" s="22" t="s">
        <v>32</v>
      </c>
      <c r="CO8" s="22" t="s">
        <v>32</v>
      </c>
      <c r="CP8" s="22" t="s">
        <v>32</v>
      </c>
      <c r="CQ8" s="22" t="s">
        <v>14</v>
      </c>
      <c r="CR8" s="16"/>
      <c r="CS8" s="10" t="s">
        <v>41</v>
      </c>
      <c r="CT8" s="97" t="s">
        <v>42</v>
      </c>
      <c r="CU8" s="23" t="s">
        <v>99</v>
      </c>
      <c r="CV8" s="23" t="s">
        <v>100</v>
      </c>
      <c r="CW8" s="23" t="s">
        <v>70</v>
      </c>
      <c r="CX8" s="77" t="s">
        <v>251</v>
      </c>
      <c r="CY8" s="23" t="s">
        <v>107</v>
      </c>
      <c r="CZ8" s="23" t="s">
        <v>176</v>
      </c>
      <c r="DA8" s="23" t="s">
        <v>89</v>
      </c>
      <c r="DB8" s="23" t="s">
        <v>124</v>
      </c>
      <c r="DC8" s="23" t="s">
        <v>101</v>
      </c>
      <c r="DD8" s="23" t="s">
        <v>31</v>
      </c>
      <c r="DE8" s="23" t="s">
        <v>31</v>
      </c>
      <c r="DF8" s="23" t="s">
        <v>31</v>
      </c>
      <c r="DG8" s="24" t="s">
        <v>14</v>
      </c>
      <c r="DH8" s="16"/>
    </row>
    <row r="9" spans="1:112" s="25" customFormat="1">
      <c r="A9" s="10" t="s">
        <v>41</v>
      </c>
      <c r="B9" s="97" t="s">
        <v>116</v>
      </c>
      <c r="C9" s="11" t="s">
        <v>177</v>
      </c>
      <c r="D9" s="11" t="s">
        <v>178</v>
      </c>
      <c r="E9" s="11" t="s">
        <v>123</v>
      </c>
      <c r="F9" s="39" t="s">
        <v>235</v>
      </c>
      <c r="G9" s="11" t="s">
        <v>179</v>
      </c>
      <c r="H9" s="11" t="s">
        <v>165</v>
      </c>
      <c r="I9" s="11" t="s">
        <v>166</v>
      </c>
      <c r="J9" s="11" t="s">
        <v>124</v>
      </c>
      <c r="K9" s="11" t="s">
        <v>131</v>
      </c>
      <c r="L9" s="11" t="s">
        <v>27</v>
      </c>
      <c r="M9" s="11" t="s">
        <v>27</v>
      </c>
      <c r="N9" s="11" t="s">
        <v>27</v>
      </c>
      <c r="O9" s="11" t="s">
        <v>14</v>
      </c>
      <c r="P9" s="26"/>
      <c r="Q9" s="10" t="s">
        <v>41</v>
      </c>
      <c r="R9" s="97" t="s">
        <v>116</v>
      </c>
      <c r="S9" s="15" t="s">
        <v>177</v>
      </c>
      <c r="T9" s="15" t="s">
        <v>178</v>
      </c>
      <c r="U9" s="15" t="s">
        <v>123</v>
      </c>
      <c r="V9" s="15" t="s">
        <v>43</v>
      </c>
      <c r="W9" s="15" t="s">
        <v>180</v>
      </c>
      <c r="X9" s="15" t="s">
        <v>168</v>
      </c>
      <c r="Y9" s="15" t="s">
        <v>79</v>
      </c>
      <c r="Z9" s="15" t="s">
        <v>124</v>
      </c>
      <c r="AA9" s="15" t="s">
        <v>131</v>
      </c>
      <c r="AB9" s="15" t="s">
        <v>27</v>
      </c>
      <c r="AC9" s="15" t="s">
        <v>27</v>
      </c>
      <c r="AD9" s="15" t="s">
        <v>27</v>
      </c>
      <c r="AE9" s="15" t="s">
        <v>14</v>
      </c>
      <c r="AF9" s="16"/>
      <c r="AG9" s="10" t="s">
        <v>41</v>
      </c>
      <c r="AH9" s="97" t="s">
        <v>116</v>
      </c>
      <c r="AI9" s="17" t="s">
        <v>80</v>
      </c>
      <c r="AJ9" s="17" t="s">
        <v>136</v>
      </c>
      <c r="AK9" s="17" t="s">
        <v>46</v>
      </c>
      <c r="AL9" s="17" t="s">
        <v>47</v>
      </c>
      <c r="AM9" s="17" t="s">
        <v>181</v>
      </c>
      <c r="AN9" s="17" t="s">
        <v>171</v>
      </c>
      <c r="AO9" s="17" t="s">
        <v>81</v>
      </c>
      <c r="AP9" s="17" t="s">
        <v>124</v>
      </c>
      <c r="AQ9" s="17" t="s">
        <v>138</v>
      </c>
      <c r="AR9" s="17" t="s">
        <v>27</v>
      </c>
      <c r="AS9" s="17" t="s">
        <v>27</v>
      </c>
      <c r="AT9" s="17" t="s">
        <v>27</v>
      </c>
      <c r="AU9" s="18" t="s">
        <v>14</v>
      </c>
      <c r="AV9" s="16"/>
      <c r="AW9" s="10" t="s">
        <v>41</v>
      </c>
      <c r="AX9" s="97" t="s">
        <v>116</v>
      </c>
      <c r="AY9" s="19" t="s">
        <v>82</v>
      </c>
      <c r="AZ9" s="19" t="s">
        <v>139</v>
      </c>
      <c r="BA9" s="19" t="s">
        <v>52</v>
      </c>
      <c r="BB9" s="19" t="s">
        <v>53</v>
      </c>
      <c r="BC9" s="19" t="s">
        <v>182</v>
      </c>
      <c r="BD9" s="19" t="s">
        <v>173</v>
      </c>
      <c r="BE9" s="19" t="s">
        <v>83</v>
      </c>
      <c r="BF9" s="19" t="s">
        <v>124</v>
      </c>
      <c r="BG9" s="19" t="s">
        <v>141</v>
      </c>
      <c r="BH9" s="19" t="s">
        <v>23</v>
      </c>
      <c r="BI9" s="19" t="s">
        <v>23</v>
      </c>
      <c r="BJ9" s="19" t="s">
        <v>23</v>
      </c>
      <c r="BK9" s="19" t="s">
        <v>14</v>
      </c>
      <c r="BL9" s="16"/>
      <c r="BM9" s="10" t="s">
        <v>41</v>
      </c>
      <c r="BN9" s="97" t="s">
        <v>116</v>
      </c>
      <c r="BO9" s="20" t="s">
        <v>84</v>
      </c>
      <c r="BP9" s="20" t="s">
        <v>142</v>
      </c>
      <c r="BQ9" s="20" t="s">
        <v>58</v>
      </c>
      <c r="BR9" s="20" t="s">
        <v>59</v>
      </c>
      <c r="BS9" s="20" t="s">
        <v>183</v>
      </c>
      <c r="BT9" s="20" t="s">
        <v>174</v>
      </c>
      <c r="BU9" s="20" t="s">
        <v>85</v>
      </c>
      <c r="BV9" s="20" t="s">
        <v>124</v>
      </c>
      <c r="BW9" s="20" t="s">
        <v>144</v>
      </c>
      <c r="BX9" s="20" t="s">
        <v>24</v>
      </c>
      <c r="BY9" s="20" t="s">
        <v>24</v>
      </c>
      <c r="BZ9" s="20" t="s">
        <v>24</v>
      </c>
      <c r="CA9" s="20" t="s">
        <v>25</v>
      </c>
      <c r="CB9" s="27"/>
      <c r="CC9" s="10" t="s">
        <v>41</v>
      </c>
      <c r="CD9" s="97" t="s">
        <v>116</v>
      </c>
      <c r="CE9" s="22" t="s">
        <v>86</v>
      </c>
      <c r="CF9" s="22" t="s">
        <v>145</v>
      </c>
      <c r="CG9" s="22" t="s">
        <v>64</v>
      </c>
      <c r="CH9" s="22" t="s">
        <v>65</v>
      </c>
      <c r="CI9" s="22" t="s">
        <v>184</v>
      </c>
      <c r="CJ9" s="22" t="s">
        <v>175</v>
      </c>
      <c r="CK9" s="22" t="s">
        <v>87</v>
      </c>
      <c r="CL9" s="22" t="s">
        <v>124</v>
      </c>
      <c r="CM9" s="22" t="s">
        <v>147</v>
      </c>
      <c r="CN9" s="22" t="s">
        <v>32</v>
      </c>
      <c r="CO9" s="22" t="s">
        <v>32</v>
      </c>
      <c r="CP9" s="22" t="s">
        <v>32</v>
      </c>
      <c r="CQ9" s="22" t="s">
        <v>14</v>
      </c>
      <c r="CR9" s="16"/>
      <c r="CS9" s="10" t="s">
        <v>41</v>
      </c>
      <c r="CT9" s="97" t="s">
        <v>116</v>
      </c>
      <c r="CU9" s="23" t="s">
        <v>88</v>
      </c>
      <c r="CV9" s="23" t="s">
        <v>148</v>
      </c>
      <c r="CW9" s="23" t="s">
        <v>70</v>
      </c>
      <c r="CX9" s="23" t="s">
        <v>71</v>
      </c>
      <c r="CY9" s="23" t="s">
        <v>185</v>
      </c>
      <c r="CZ9" s="23" t="s">
        <v>176</v>
      </c>
      <c r="DA9" s="23" t="s">
        <v>89</v>
      </c>
      <c r="DB9" s="23" t="s">
        <v>124</v>
      </c>
      <c r="DC9" s="23" t="s">
        <v>150</v>
      </c>
      <c r="DD9" s="23" t="s">
        <v>31</v>
      </c>
      <c r="DE9" s="23" t="s">
        <v>31</v>
      </c>
      <c r="DF9" s="23" t="s">
        <v>31</v>
      </c>
      <c r="DG9" s="24" t="s">
        <v>14</v>
      </c>
      <c r="DH9" s="16"/>
    </row>
    <row r="10" spans="1:112" s="25" customFormat="1">
      <c r="A10" s="10" t="s">
        <v>10</v>
      </c>
      <c r="B10" s="97" t="s">
        <v>117</v>
      </c>
      <c r="C10" s="39" t="s">
        <v>234</v>
      </c>
      <c r="D10" s="11" t="s">
        <v>19</v>
      </c>
      <c r="E10" s="11" t="s">
        <v>20</v>
      </c>
      <c r="F10" s="11" t="s">
        <v>129</v>
      </c>
      <c r="G10" s="11" t="s">
        <v>21</v>
      </c>
      <c r="H10" s="11" t="s">
        <v>130</v>
      </c>
      <c r="I10" s="11" t="s">
        <v>22</v>
      </c>
      <c r="J10" s="11" t="s">
        <v>124</v>
      </c>
      <c r="K10" s="11" t="s">
        <v>152</v>
      </c>
      <c r="L10" s="11" t="s">
        <v>27</v>
      </c>
      <c r="M10" s="11" t="s">
        <v>27</v>
      </c>
      <c r="N10" s="11" t="s">
        <v>27</v>
      </c>
      <c r="O10" s="11" t="s">
        <v>14</v>
      </c>
      <c r="P10" s="16"/>
      <c r="Q10" s="10" t="s">
        <v>10</v>
      </c>
      <c r="R10" s="97" t="s">
        <v>117</v>
      </c>
      <c r="S10" s="15" t="s">
        <v>153</v>
      </c>
      <c r="T10" s="15" t="s">
        <v>151</v>
      </c>
      <c r="U10" s="15" t="s">
        <v>123</v>
      </c>
      <c r="V10" s="15" t="s">
        <v>129</v>
      </c>
      <c r="W10" s="15" t="s">
        <v>133</v>
      </c>
      <c r="X10" s="15" t="s">
        <v>134</v>
      </c>
      <c r="Y10" s="15" t="s">
        <v>135</v>
      </c>
      <c r="Z10" s="15" t="s">
        <v>124</v>
      </c>
      <c r="AA10" s="15" t="s">
        <v>152</v>
      </c>
      <c r="AB10" s="15" t="s">
        <v>27</v>
      </c>
      <c r="AC10" s="15" t="s">
        <v>27</v>
      </c>
      <c r="AD10" s="15" t="s">
        <v>27</v>
      </c>
      <c r="AE10" s="15" t="s">
        <v>14</v>
      </c>
      <c r="AF10" s="16"/>
      <c r="AG10" s="10" t="s">
        <v>10</v>
      </c>
      <c r="AH10" s="97" t="s">
        <v>117</v>
      </c>
      <c r="AI10" s="17" t="s">
        <v>154</v>
      </c>
      <c r="AJ10" s="17" t="s">
        <v>45</v>
      </c>
      <c r="AK10" s="17" t="s">
        <v>46</v>
      </c>
      <c r="AL10" s="17" t="s">
        <v>129</v>
      </c>
      <c r="AM10" s="17" t="s">
        <v>48</v>
      </c>
      <c r="AN10" s="17" t="s">
        <v>137</v>
      </c>
      <c r="AO10" s="17" t="s">
        <v>49</v>
      </c>
      <c r="AP10" s="17" t="s">
        <v>124</v>
      </c>
      <c r="AQ10" s="17" t="s">
        <v>155</v>
      </c>
      <c r="AR10" s="17" t="s">
        <v>27</v>
      </c>
      <c r="AS10" s="17" t="s">
        <v>27</v>
      </c>
      <c r="AT10" s="17" t="s">
        <v>27</v>
      </c>
      <c r="AU10" s="18" t="s">
        <v>14</v>
      </c>
      <c r="AV10" s="16"/>
      <c r="AW10" s="10" t="s">
        <v>10</v>
      </c>
      <c r="AX10" s="97" t="s">
        <v>117</v>
      </c>
      <c r="AY10" s="19" t="s">
        <v>156</v>
      </c>
      <c r="AZ10" s="19" t="s">
        <v>51</v>
      </c>
      <c r="BA10" s="19" t="s">
        <v>52</v>
      </c>
      <c r="BB10" s="19" t="s">
        <v>129</v>
      </c>
      <c r="BC10" s="19" t="s">
        <v>54</v>
      </c>
      <c r="BD10" s="19" t="s">
        <v>140</v>
      </c>
      <c r="BE10" s="19" t="s">
        <v>55</v>
      </c>
      <c r="BF10" s="19" t="s">
        <v>124</v>
      </c>
      <c r="BG10" s="19" t="s">
        <v>157</v>
      </c>
      <c r="BH10" s="19" t="s">
        <v>23</v>
      </c>
      <c r="BI10" s="19" t="s">
        <v>23</v>
      </c>
      <c r="BJ10" s="19" t="s">
        <v>23</v>
      </c>
      <c r="BK10" s="19" t="s">
        <v>14</v>
      </c>
      <c r="BL10" s="16"/>
      <c r="BM10" s="10" t="s">
        <v>10</v>
      </c>
      <c r="BN10" s="97" t="s">
        <v>117</v>
      </c>
      <c r="BO10" s="20" t="s">
        <v>158</v>
      </c>
      <c r="BP10" s="20" t="s">
        <v>57</v>
      </c>
      <c r="BQ10" s="20" t="s">
        <v>58</v>
      </c>
      <c r="BR10" s="20" t="s">
        <v>129</v>
      </c>
      <c r="BS10" s="20" t="s">
        <v>60</v>
      </c>
      <c r="BT10" s="20" t="s">
        <v>143</v>
      </c>
      <c r="BU10" s="20" t="s">
        <v>61</v>
      </c>
      <c r="BV10" s="20" t="s">
        <v>124</v>
      </c>
      <c r="BW10" s="20" t="s">
        <v>159</v>
      </c>
      <c r="BX10" s="20" t="s">
        <v>24</v>
      </c>
      <c r="BY10" s="20" t="s">
        <v>24</v>
      </c>
      <c r="BZ10" s="20" t="s">
        <v>24</v>
      </c>
      <c r="CA10" s="20" t="s">
        <v>25</v>
      </c>
      <c r="CB10" s="27"/>
      <c r="CC10" s="10" t="s">
        <v>10</v>
      </c>
      <c r="CD10" s="97" t="s">
        <v>117</v>
      </c>
      <c r="CE10" s="22" t="s">
        <v>160</v>
      </c>
      <c r="CF10" s="22" t="s">
        <v>63</v>
      </c>
      <c r="CG10" s="22" t="s">
        <v>64</v>
      </c>
      <c r="CH10" s="22" t="s">
        <v>129</v>
      </c>
      <c r="CI10" s="22" t="s">
        <v>66</v>
      </c>
      <c r="CJ10" s="22" t="s">
        <v>146</v>
      </c>
      <c r="CK10" s="22" t="s">
        <v>67</v>
      </c>
      <c r="CL10" s="22" t="s">
        <v>124</v>
      </c>
      <c r="CM10" s="22" t="s">
        <v>161</v>
      </c>
      <c r="CN10" s="22" t="s">
        <v>32</v>
      </c>
      <c r="CO10" s="22" t="s">
        <v>32</v>
      </c>
      <c r="CP10" s="22" t="s">
        <v>32</v>
      </c>
      <c r="CQ10" s="22" t="s">
        <v>14</v>
      </c>
      <c r="CR10" s="16"/>
      <c r="CS10" s="10" t="s">
        <v>10</v>
      </c>
      <c r="CT10" s="97" t="s">
        <v>117</v>
      </c>
      <c r="CU10" s="23" t="s">
        <v>162</v>
      </c>
      <c r="CV10" s="23" t="s">
        <v>69</v>
      </c>
      <c r="CW10" s="23" t="s">
        <v>70</v>
      </c>
      <c r="CX10" s="23" t="s">
        <v>129</v>
      </c>
      <c r="CY10" s="23" t="s">
        <v>72</v>
      </c>
      <c r="CZ10" s="23" t="s">
        <v>149</v>
      </c>
      <c r="DA10" s="23" t="s">
        <v>73</v>
      </c>
      <c r="DB10" s="23" t="s">
        <v>124</v>
      </c>
      <c r="DC10" s="23" t="s">
        <v>163</v>
      </c>
      <c r="DD10" s="23" t="s">
        <v>31</v>
      </c>
      <c r="DE10" s="23" t="s">
        <v>31</v>
      </c>
      <c r="DF10" s="23" t="s">
        <v>31</v>
      </c>
      <c r="DG10" s="24" t="s">
        <v>14</v>
      </c>
      <c r="DH10" s="16"/>
    </row>
    <row r="11" spans="1:112" s="25" customFormat="1" ht="18">
      <c r="A11" s="28" t="s">
        <v>10</v>
      </c>
      <c r="B11" s="99" t="s">
        <v>118</v>
      </c>
      <c r="C11" s="39" t="s">
        <v>234</v>
      </c>
      <c r="D11" s="11" t="s">
        <v>19</v>
      </c>
      <c r="E11" s="11" t="s">
        <v>20</v>
      </c>
      <c r="F11" s="11" t="s">
        <v>129</v>
      </c>
      <c r="G11" s="11" t="s">
        <v>21</v>
      </c>
      <c r="H11" s="11" t="s">
        <v>130</v>
      </c>
      <c r="I11" s="11" t="s">
        <v>22</v>
      </c>
      <c r="J11" s="11" t="s">
        <v>124</v>
      </c>
      <c r="K11" s="11" t="s">
        <v>152</v>
      </c>
      <c r="L11" s="11" t="s">
        <v>27</v>
      </c>
      <c r="M11" s="11" t="s">
        <v>27</v>
      </c>
      <c r="N11" s="11" t="s">
        <v>27</v>
      </c>
      <c r="O11" s="11" t="s">
        <v>14</v>
      </c>
      <c r="P11" s="16"/>
      <c r="Q11" s="28" t="s">
        <v>10</v>
      </c>
      <c r="R11" s="99" t="s">
        <v>118</v>
      </c>
      <c r="S11" s="15" t="s">
        <v>153</v>
      </c>
      <c r="T11" s="15" t="s">
        <v>151</v>
      </c>
      <c r="U11" s="15" t="s">
        <v>123</v>
      </c>
      <c r="V11" s="15" t="s">
        <v>129</v>
      </c>
      <c r="W11" s="15" t="s">
        <v>133</v>
      </c>
      <c r="X11" s="15" t="s">
        <v>134</v>
      </c>
      <c r="Y11" s="15" t="s">
        <v>135</v>
      </c>
      <c r="Z11" s="15" t="s">
        <v>124</v>
      </c>
      <c r="AA11" s="15" t="s">
        <v>152</v>
      </c>
      <c r="AB11" s="15" t="s">
        <v>27</v>
      </c>
      <c r="AC11" s="15" t="s">
        <v>27</v>
      </c>
      <c r="AD11" s="15" t="s">
        <v>27</v>
      </c>
      <c r="AE11" s="15" t="s">
        <v>14</v>
      </c>
      <c r="AF11" s="16"/>
      <c r="AG11" s="28" t="s">
        <v>10</v>
      </c>
      <c r="AH11" s="99" t="s">
        <v>118</v>
      </c>
      <c r="AI11" s="17" t="s">
        <v>154</v>
      </c>
      <c r="AJ11" s="17" t="s">
        <v>45</v>
      </c>
      <c r="AK11" s="17" t="s">
        <v>46</v>
      </c>
      <c r="AL11" s="17" t="s">
        <v>129</v>
      </c>
      <c r="AM11" s="17" t="s">
        <v>48</v>
      </c>
      <c r="AN11" s="17" t="s">
        <v>137</v>
      </c>
      <c r="AO11" s="17" t="s">
        <v>49</v>
      </c>
      <c r="AP11" s="17" t="s">
        <v>124</v>
      </c>
      <c r="AQ11" s="17" t="s">
        <v>155</v>
      </c>
      <c r="AR11" s="17" t="s">
        <v>27</v>
      </c>
      <c r="AS11" s="17" t="s">
        <v>27</v>
      </c>
      <c r="AT11" s="17" t="s">
        <v>27</v>
      </c>
      <c r="AU11" s="18" t="s">
        <v>14</v>
      </c>
      <c r="AV11" s="16"/>
      <c r="AW11" s="28" t="s">
        <v>10</v>
      </c>
      <c r="AX11" s="99" t="s">
        <v>118</v>
      </c>
      <c r="AY11" s="19" t="s">
        <v>156</v>
      </c>
      <c r="AZ11" s="19" t="s">
        <v>51</v>
      </c>
      <c r="BA11" s="19" t="s">
        <v>52</v>
      </c>
      <c r="BB11" s="19" t="s">
        <v>129</v>
      </c>
      <c r="BC11" s="19" t="s">
        <v>54</v>
      </c>
      <c r="BD11" s="19" t="s">
        <v>140</v>
      </c>
      <c r="BE11" s="19" t="s">
        <v>55</v>
      </c>
      <c r="BF11" s="19" t="s">
        <v>124</v>
      </c>
      <c r="BG11" s="19" t="s">
        <v>157</v>
      </c>
      <c r="BH11" s="19" t="s">
        <v>23</v>
      </c>
      <c r="BI11" s="19" t="s">
        <v>23</v>
      </c>
      <c r="BJ11" s="19" t="s">
        <v>23</v>
      </c>
      <c r="BK11" s="19" t="s">
        <v>14</v>
      </c>
      <c r="BL11" s="16"/>
      <c r="BM11" s="28" t="s">
        <v>10</v>
      </c>
      <c r="BN11" s="99" t="s">
        <v>118</v>
      </c>
      <c r="BO11" s="20" t="s">
        <v>158</v>
      </c>
      <c r="BP11" s="20" t="s">
        <v>57</v>
      </c>
      <c r="BQ11" s="20" t="s">
        <v>58</v>
      </c>
      <c r="BR11" s="20" t="s">
        <v>129</v>
      </c>
      <c r="BS11" s="20" t="s">
        <v>60</v>
      </c>
      <c r="BT11" s="20" t="s">
        <v>143</v>
      </c>
      <c r="BU11" s="20" t="s">
        <v>61</v>
      </c>
      <c r="BV11" s="20" t="s">
        <v>124</v>
      </c>
      <c r="BW11" s="20" t="s">
        <v>159</v>
      </c>
      <c r="BX11" s="20" t="s">
        <v>24</v>
      </c>
      <c r="BY11" s="20" t="s">
        <v>24</v>
      </c>
      <c r="BZ11" s="20" t="s">
        <v>24</v>
      </c>
      <c r="CA11" s="20" t="s">
        <v>25</v>
      </c>
      <c r="CB11" s="27"/>
      <c r="CC11" s="28" t="s">
        <v>10</v>
      </c>
      <c r="CD11" s="99" t="s">
        <v>118</v>
      </c>
      <c r="CE11" s="22" t="s">
        <v>160</v>
      </c>
      <c r="CF11" s="22" t="s">
        <v>63</v>
      </c>
      <c r="CG11" s="22" t="s">
        <v>64</v>
      </c>
      <c r="CH11" s="22" t="s">
        <v>129</v>
      </c>
      <c r="CI11" s="22" t="s">
        <v>66</v>
      </c>
      <c r="CJ11" s="22" t="s">
        <v>146</v>
      </c>
      <c r="CK11" s="22" t="s">
        <v>67</v>
      </c>
      <c r="CL11" s="22" t="s">
        <v>124</v>
      </c>
      <c r="CM11" s="22" t="s">
        <v>161</v>
      </c>
      <c r="CN11" s="22" t="s">
        <v>32</v>
      </c>
      <c r="CO11" s="22" t="s">
        <v>32</v>
      </c>
      <c r="CP11" s="22" t="s">
        <v>32</v>
      </c>
      <c r="CQ11" s="22" t="s">
        <v>14</v>
      </c>
      <c r="CR11" s="16"/>
      <c r="CS11" s="28" t="s">
        <v>10</v>
      </c>
      <c r="CT11" s="99" t="s">
        <v>118</v>
      </c>
      <c r="CU11" s="23" t="s">
        <v>162</v>
      </c>
      <c r="CV11" s="23" t="s">
        <v>69</v>
      </c>
      <c r="CW11" s="23" t="s">
        <v>70</v>
      </c>
      <c r="CX11" s="23" t="s">
        <v>129</v>
      </c>
      <c r="CY11" s="23" t="s">
        <v>72</v>
      </c>
      <c r="CZ11" s="23" t="s">
        <v>149</v>
      </c>
      <c r="DA11" s="23" t="s">
        <v>73</v>
      </c>
      <c r="DB11" s="23" t="s">
        <v>124</v>
      </c>
      <c r="DC11" s="23" t="s">
        <v>163</v>
      </c>
      <c r="DD11" s="23" t="s">
        <v>31</v>
      </c>
      <c r="DE11" s="23" t="s">
        <v>31</v>
      </c>
      <c r="DF11" s="23" t="s">
        <v>31</v>
      </c>
      <c r="DG11" s="24" t="s">
        <v>14</v>
      </c>
      <c r="DH11" s="16"/>
    </row>
    <row r="12" spans="1:112" s="25" customFormat="1">
      <c r="A12" s="10" t="s">
        <v>26</v>
      </c>
      <c r="B12" s="97" t="s">
        <v>119</v>
      </c>
      <c r="C12" s="11" t="s">
        <v>128</v>
      </c>
      <c r="D12" s="39" t="s">
        <v>178</v>
      </c>
      <c r="E12" s="11" t="s">
        <v>20</v>
      </c>
      <c r="F12" s="11" t="s">
        <v>129</v>
      </c>
      <c r="G12" s="11" t="s">
        <v>21</v>
      </c>
      <c r="H12" s="11" t="s">
        <v>130</v>
      </c>
      <c r="I12" s="11" t="s">
        <v>22</v>
      </c>
      <c r="J12" s="11" t="s">
        <v>124</v>
      </c>
      <c r="K12" s="11" t="s">
        <v>131</v>
      </c>
      <c r="L12" s="11" t="s">
        <v>27</v>
      </c>
      <c r="M12" s="11" t="s">
        <v>27</v>
      </c>
      <c r="N12" s="11" t="s">
        <v>27</v>
      </c>
      <c r="O12" s="11" t="s">
        <v>14</v>
      </c>
      <c r="P12" s="26"/>
      <c r="Q12" s="10" t="s">
        <v>26</v>
      </c>
      <c r="R12" s="97" t="s">
        <v>119</v>
      </c>
      <c r="S12" s="15" t="s">
        <v>128</v>
      </c>
      <c r="T12" s="15" t="s">
        <v>132</v>
      </c>
      <c r="U12" s="15" t="s">
        <v>123</v>
      </c>
      <c r="V12" s="15" t="s">
        <v>129</v>
      </c>
      <c r="W12" s="15" t="s">
        <v>133</v>
      </c>
      <c r="X12" s="15" t="s">
        <v>134</v>
      </c>
      <c r="Y12" s="15" t="s">
        <v>135</v>
      </c>
      <c r="Z12" s="15" t="s">
        <v>124</v>
      </c>
      <c r="AA12" s="15" t="s">
        <v>131</v>
      </c>
      <c r="AB12" s="15" t="s">
        <v>27</v>
      </c>
      <c r="AC12" s="15" t="s">
        <v>27</v>
      </c>
      <c r="AD12" s="15" t="s">
        <v>27</v>
      </c>
      <c r="AE12" s="15" t="s">
        <v>14</v>
      </c>
      <c r="AF12" s="16"/>
      <c r="AG12" s="10" t="s">
        <v>26</v>
      </c>
      <c r="AH12" s="97" t="s">
        <v>119</v>
      </c>
      <c r="AI12" s="17" t="s">
        <v>44</v>
      </c>
      <c r="AJ12" s="17" t="s">
        <v>136</v>
      </c>
      <c r="AK12" s="17" t="s">
        <v>46</v>
      </c>
      <c r="AL12" s="17" t="s">
        <v>129</v>
      </c>
      <c r="AM12" s="17" t="s">
        <v>48</v>
      </c>
      <c r="AN12" s="17" t="s">
        <v>137</v>
      </c>
      <c r="AO12" s="17" t="s">
        <v>49</v>
      </c>
      <c r="AP12" s="17" t="s">
        <v>124</v>
      </c>
      <c r="AQ12" s="17" t="s">
        <v>138</v>
      </c>
      <c r="AR12" s="17" t="s">
        <v>27</v>
      </c>
      <c r="AS12" s="17" t="s">
        <v>27</v>
      </c>
      <c r="AT12" s="17" t="s">
        <v>27</v>
      </c>
      <c r="AU12" s="18" t="s">
        <v>14</v>
      </c>
      <c r="AV12" s="16"/>
      <c r="AW12" s="10" t="s">
        <v>26</v>
      </c>
      <c r="AX12" s="97" t="s">
        <v>119</v>
      </c>
      <c r="AY12" s="19" t="s">
        <v>50</v>
      </c>
      <c r="AZ12" s="19" t="s">
        <v>139</v>
      </c>
      <c r="BA12" s="19" t="s">
        <v>52</v>
      </c>
      <c r="BB12" s="19" t="s">
        <v>129</v>
      </c>
      <c r="BC12" s="19" t="s">
        <v>54</v>
      </c>
      <c r="BD12" s="19" t="s">
        <v>140</v>
      </c>
      <c r="BE12" s="19" t="s">
        <v>55</v>
      </c>
      <c r="BF12" s="19" t="s">
        <v>124</v>
      </c>
      <c r="BG12" s="19" t="s">
        <v>141</v>
      </c>
      <c r="BH12" s="19" t="s">
        <v>23</v>
      </c>
      <c r="BI12" s="19" t="s">
        <v>23</v>
      </c>
      <c r="BJ12" s="19" t="s">
        <v>23</v>
      </c>
      <c r="BK12" s="19" t="s">
        <v>14</v>
      </c>
      <c r="BL12" s="16"/>
      <c r="BM12" s="10" t="s">
        <v>26</v>
      </c>
      <c r="BN12" s="97" t="s">
        <v>119</v>
      </c>
      <c r="BO12" s="20" t="s">
        <v>56</v>
      </c>
      <c r="BP12" s="20" t="s">
        <v>142</v>
      </c>
      <c r="BQ12" s="20" t="s">
        <v>58</v>
      </c>
      <c r="BR12" s="20" t="s">
        <v>129</v>
      </c>
      <c r="BS12" s="20" t="s">
        <v>60</v>
      </c>
      <c r="BT12" s="20" t="s">
        <v>143</v>
      </c>
      <c r="BU12" s="20" t="s">
        <v>61</v>
      </c>
      <c r="BV12" s="20" t="s">
        <v>124</v>
      </c>
      <c r="BW12" s="20" t="s">
        <v>144</v>
      </c>
      <c r="BX12" s="20" t="s">
        <v>24</v>
      </c>
      <c r="BY12" s="20" t="s">
        <v>24</v>
      </c>
      <c r="BZ12" s="20" t="s">
        <v>24</v>
      </c>
      <c r="CA12" s="20" t="s">
        <v>25</v>
      </c>
      <c r="CB12" s="27"/>
      <c r="CC12" s="10" t="s">
        <v>26</v>
      </c>
      <c r="CD12" s="97" t="s">
        <v>119</v>
      </c>
      <c r="CE12" s="22" t="s">
        <v>62</v>
      </c>
      <c r="CF12" s="22" t="s">
        <v>145</v>
      </c>
      <c r="CG12" s="22" t="s">
        <v>64</v>
      </c>
      <c r="CH12" s="22" t="s">
        <v>129</v>
      </c>
      <c r="CI12" s="22" t="s">
        <v>66</v>
      </c>
      <c r="CJ12" s="22" t="s">
        <v>146</v>
      </c>
      <c r="CK12" s="22" t="s">
        <v>67</v>
      </c>
      <c r="CL12" s="22" t="s">
        <v>124</v>
      </c>
      <c r="CM12" s="22" t="s">
        <v>147</v>
      </c>
      <c r="CN12" s="22" t="s">
        <v>32</v>
      </c>
      <c r="CO12" s="22" t="s">
        <v>32</v>
      </c>
      <c r="CP12" s="22" t="s">
        <v>32</v>
      </c>
      <c r="CQ12" s="22" t="s">
        <v>14</v>
      </c>
      <c r="CR12" s="16"/>
      <c r="CS12" s="10" t="s">
        <v>26</v>
      </c>
      <c r="CT12" s="97" t="s">
        <v>119</v>
      </c>
      <c r="CU12" s="23" t="s">
        <v>68</v>
      </c>
      <c r="CV12" s="23" t="s">
        <v>148</v>
      </c>
      <c r="CW12" s="23" t="s">
        <v>70</v>
      </c>
      <c r="CX12" s="23" t="s">
        <v>129</v>
      </c>
      <c r="CY12" s="23" t="s">
        <v>72</v>
      </c>
      <c r="CZ12" s="23" t="s">
        <v>149</v>
      </c>
      <c r="DA12" s="23" t="s">
        <v>73</v>
      </c>
      <c r="DB12" s="23" t="s">
        <v>124</v>
      </c>
      <c r="DC12" s="23" t="s">
        <v>150</v>
      </c>
      <c r="DD12" s="23" t="s">
        <v>31</v>
      </c>
      <c r="DE12" s="23" t="s">
        <v>31</v>
      </c>
      <c r="DF12" s="23" t="s">
        <v>31</v>
      </c>
      <c r="DG12" s="24" t="s">
        <v>14</v>
      </c>
      <c r="DH12" s="16"/>
    </row>
    <row r="13" spans="1:112" s="25" customFormat="1" ht="18">
      <c r="A13" s="28" t="s">
        <v>26</v>
      </c>
      <c r="B13" s="99" t="s">
        <v>120</v>
      </c>
      <c r="C13" s="11" t="s">
        <v>128</v>
      </c>
      <c r="D13" s="39" t="s">
        <v>178</v>
      </c>
      <c r="E13" s="11" t="s">
        <v>20</v>
      </c>
      <c r="F13" s="11" t="s">
        <v>129</v>
      </c>
      <c r="G13" s="11" t="s">
        <v>21</v>
      </c>
      <c r="H13" s="11" t="s">
        <v>130</v>
      </c>
      <c r="I13" s="11" t="s">
        <v>22</v>
      </c>
      <c r="J13" s="11" t="s">
        <v>124</v>
      </c>
      <c r="K13" s="11" t="s">
        <v>131</v>
      </c>
      <c r="L13" s="11" t="s">
        <v>27</v>
      </c>
      <c r="M13" s="11" t="s">
        <v>27</v>
      </c>
      <c r="N13" s="11" t="s">
        <v>27</v>
      </c>
      <c r="O13" s="11" t="s">
        <v>14</v>
      </c>
      <c r="P13" s="26"/>
      <c r="Q13" s="28" t="s">
        <v>26</v>
      </c>
      <c r="R13" s="99" t="s">
        <v>120</v>
      </c>
      <c r="S13" s="15" t="s">
        <v>128</v>
      </c>
      <c r="T13" s="15" t="s">
        <v>132</v>
      </c>
      <c r="U13" s="15" t="s">
        <v>123</v>
      </c>
      <c r="V13" s="15" t="s">
        <v>129</v>
      </c>
      <c r="W13" s="15" t="s">
        <v>133</v>
      </c>
      <c r="X13" s="15" t="s">
        <v>134</v>
      </c>
      <c r="Y13" s="15" t="s">
        <v>135</v>
      </c>
      <c r="Z13" s="15" t="s">
        <v>124</v>
      </c>
      <c r="AA13" s="15" t="s">
        <v>131</v>
      </c>
      <c r="AB13" s="15" t="s">
        <v>27</v>
      </c>
      <c r="AC13" s="15" t="s">
        <v>27</v>
      </c>
      <c r="AD13" s="15" t="s">
        <v>27</v>
      </c>
      <c r="AE13" s="15" t="s">
        <v>14</v>
      </c>
      <c r="AF13" s="16"/>
      <c r="AG13" s="28" t="s">
        <v>26</v>
      </c>
      <c r="AH13" s="99" t="s">
        <v>120</v>
      </c>
      <c r="AI13" s="17" t="s">
        <v>44</v>
      </c>
      <c r="AJ13" s="17" t="s">
        <v>136</v>
      </c>
      <c r="AK13" s="17" t="s">
        <v>46</v>
      </c>
      <c r="AL13" s="17" t="s">
        <v>129</v>
      </c>
      <c r="AM13" s="17" t="s">
        <v>48</v>
      </c>
      <c r="AN13" s="17" t="s">
        <v>137</v>
      </c>
      <c r="AO13" s="17" t="s">
        <v>49</v>
      </c>
      <c r="AP13" s="17" t="s">
        <v>124</v>
      </c>
      <c r="AQ13" s="17" t="s">
        <v>138</v>
      </c>
      <c r="AR13" s="17" t="s">
        <v>27</v>
      </c>
      <c r="AS13" s="17" t="s">
        <v>27</v>
      </c>
      <c r="AT13" s="17" t="s">
        <v>27</v>
      </c>
      <c r="AU13" s="18" t="s">
        <v>14</v>
      </c>
      <c r="AV13" s="16"/>
      <c r="AW13" s="28" t="s">
        <v>26</v>
      </c>
      <c r="AX13" s="99" t="s">
        <v>120</v>
      </c>
      <c r="AY13" s="19" t="s">
        <v>50</v>
      </c>
      <c r="AZ13" s="19" t="s">
        <v>139</v>
      </c>
      <c r="BA13" s="19" t="s">
        <v>52</v>
      </c>
      <c r="BB13" s="19" t="s">
        <v>129</v>
      </c>
      <c r="BC13" s="19" t="s">
        <v>54</v>
      </c>
      <c r="BD13" s="19" t="s">
        <v>140</v>
      </c>
      <c r="BE13" s="19" t="s">
        <v>55</v>
      </c>
      <c r="BF13" s="19" t="s">
        <v>124</v>
      </c>
      <c r="BG13" s="19" t="s">
        <v>141</v>
      </c>
      <c r="BH13" s="19" t="s">
        <v>23</v>
      </c>
      <c r="BI13" s="19" t="s">
        <v>23</v>
      </c>
      <c r="BJ13" s="19" t="s">
        <v>23</v>
      </c>
      <c r="BK13" s="19" t="s">
        <v>14</v>
      </c>
      <c r="BL13" s="16"/>
      <c r="BM13" s="28" t="s">
        <v>26</v>
      </c>
      <c r="BN13" s="99" t="s">
        <v>120</v>
      </c>
      <c r="BO13" s="20" t="s">
        <v>56</v>
      </c>
      <c r="BP13" s="20" t="s">
        <v>142</v>
      </c>
      <c r="BQ13" s="20" t="s">
        <v>58</v>
      </c>
      <c r="BR13" s="20" t="s">
        <v>129</v>
      </c>
      <c r="BS13" s="20" t="s">
        <v>60</v>
      </c>
      <c r="BT13" s="20" t="s">
        <v>143</v>
      </c>
      <c r="BU13" s="20" t="s">
        <v>61</v>
      </c>
      <c r="BV13" s="20" t="s">
        <v>124</v>
      </c>
      <c r="BW13" s="20" t="s">
        <v>144</v>
      </c>
      <c r="BX13" s="20" t="s">
        <v>24</v>
      </c>
      <c r="BY13" s="20" t="s">
        <v>24</v>
      </c>
      <c r="BZ13" s="20" t="s">
        <v>24</v>
      </c>
      <c r="CA13" s="20" t="s">
        <v>25</v>
      </c>
      <c r="CB13" s="27"/>
      <c r="CC13" s="28" t="s">
        <v>26</v>
      </c>
      <c r="CD13" s="99" t="s">
        <v>120</v>
      </c>
      <c r="CE13" s="22" t="s">
        <v>62</v>
      </c>
      <c r="CF13" s="22" t="s">
        <v>145</v>
      </c>
      <c r="CG13" s="22" t="s">
        <v>64</v>
      </c>
      <c r="CH13" s="22" t="s">
        <v>129</v>
      </c>
      <c r="CI13" s="22" t="s">
        <v>66</v>
      </c>
      <c r="CJ13" s="22" t="s">
        <v>146</v>
      </c>
      <c r="CK13" s="22" t="s">
        <v>67</v>
      </c>
      <c r="CL13" s="22" t="s">
        <v>124</v>
      </c>
      <c r="CM13" s="22" t="s">
        <v>147</v>
      </c>
      <c r="CN13" s="22" t="s">
        <v>32</v>
      </c>
      <c r="CO13" s="22" t="s">
        <v>32</v>
      </c>
      <c r="CP13" s="22" t="s">
        <v>32</v>
      </c>
      <c r="CQ13" s="22" t="s">
        <v>14</v>
      </c>
      <c r="CR13" s="16"/>
      <c r="CS13" s="28" t="s">
        <v>26</v>
      </c>
      <c r="CT13" s="99" t="s">
        <v>120</v>
      </c>
      <c r="CU13" s="23" t="s">
        <v>68</v>
      </c>
      <c r="CV13" s="23" t="s">
        <v>148</v>
      </c>
      <c r="CW13" s="23" t="s">
        <v>70</v>
      </c>
      <c r="CX13" s="23" t="s">
        <v>129</v>
      </c>
      <c r="CY13" s="23" t="s">
        <v>72</v>
      </c>
      <c r="CZ13" s="23" t="s">
        <v>149</v>
      </c>
      <c r="DA13" s="23" t="s">
        <v>73</v>
      </c>
      <c r="DB13" s="23" t="s">
        <v>124</v>
      </c>
      <c r="DC13" s="23" t="s">
        <v>150</v>
      </c>
      <c r="DD13" s="23" t="s">
        <v>31</v>
      </c>
      <c r="DE13" s="23" t="s">
        <v>31</v>
      </c>
      <c r="DF13" s="23" t="s">
        <v>31</v>
      </c>
      <c r="DG13" s="24" t="s">
        <v>14</v>
      </c>
      <c r="DH13" s="16"/>
    </row>
    <row r="14" spans="1:112" ht="18">
      <c r="A14" s="28" t="s">
        <v>191</v>
      </c>
      <c r="B14" s="99" t="s">
        <v>197</v>
      </c>
      <c r="C14" s="15" t="s">
        <v>121</v>
      </c>
      <c r="D14" s="15" t="s">
        <v>122</v>
      </c>
      <c r="E14" s="15" t="s">
        <v>123</v>
      </c>
      <c r="F14" s="15" t="s">
        <v>192</v>
      </c>
      <c r="G14" s="29" t="s">
        <v>133</v>
      </c>
      <c r="H14" s="15" t="s">
        <v>134</v>
      </c>
      <c r="I14" s="15" t="s">
        <v>135</v>
      </c>
      <c r="J14" s="15" t="s">
        <v>124</v>
      </c>
      <c r="K14" s="30" t="s">
        <v>167</v>
      </c>
      <c r="L14" s="15" t="s">
        <v>27</v>
      </c>
      <c r="M14" s="15" t="s">
        <v>27</v>
      </c>
      <c r="N14" s="15" t="s">
        <v>27</v>
      </c>
      <c r="O14" s="15" t="s">
        <v>14</v>
      </c>
      <c r="P14" s="26" t="s">
        <v>195</v>
      </c>
      <c r="Q14" s="28" t="s">
        <v>191</v>
      </c>
      <c r="R14" s="99" t="s">
        <v>197</v>
      </c>
      <c r="S14" s="15" t="s">
        <v>121</v>
      </c>
      <c r="T14" s="15" t="s">
        <v>122</v>
      </c>
      <c r="U14" s="15" t="s">
        <v>123</v>
      </c>
      <c r="V14" s="15" t="s">
        <v>219</v>
      </c>
      <c r="W14" s="29" t="s">
        <v>220</v>
      </c>
      <c r="X14" s="15" t="s">
        <v>221</v>
      </c>
      <c r="Y14" s="15" t="s">
        <v>222</v>
      </c>
      <c r="Z14" s="15" t="s">
        <v>124</v>
      </c>
      <c r="AA14" s="30" t="s">
        <v>167</v>
      </c>
      <c r="AB14" s="15" t="s">
        <v>27</v>
      </c>
      <c r="AC14" s="15" t="s">
        <v>27</v>
      </c>
      <c r="AD14" s="15" t="s">
        <v>27</v>
      </c>
      <c r="AE14" s="15" t="s">
        <v>14</v>
      </c>
      <c r="AF14" s="16" t="s">
        <v>195</v>
      </c>
      <c r="AG14" s="28" t="s">
        <v>191</v>
      </c>
      <c r="AH14" s="99" t="s">
        <v>197</v>
      </c>
      <c r="AI14" s="15" t="s">
        <v>121</v>
      </c>
      <c r="AJ14" s="15" t="s">
        <v>122</v>
      </c>
      <c r="AK14" s="15" t="s">
        <v>123</v>
      </c>
      <c r="AL14" s="15" t="s">
        <v>192</v>
      </c>
      <c r="AM14" s="29" t="s">
        <v>133</v>
      </c>
      <c r="AN14" s="15" t="s">
        <v>134</v>
      </c>
      <c r="AO14" s="15" t="s">
        <v>135</v>
      </c>
      <c r="AP14" s="15" t="s">
        <v>124</v>
      </c>
      <c r="AQ14" s="30" t="s">
        <v>167</v>
      </c>
      <c r="AR14" s="15" t="s">
        <v>27</v>
      </c>
      <c r="AS14" s="15" t="s">
        <v>27</v>
      </c>
      <c r="AT14" s="15" t="s">
        <v>27</v>
      </c>
      <c r="AU14" s="15" t="s">
        <v>14</v>
      </c>
      <c r="AW14" s="28" t="s">
        <v>191</v>
      </c>
      <c r="AX14" s="99" t="s">
        <v>197</v>
      </c>
      <c r="AY14" s="15" t="s">
        <v>121</v>
      </c>
      <c r="AZ14" s="15" t="s">
        <v>122</v>
      </c>
      <c r="BA14" s="15" t="s">
        <v>123</v>
      </c>
      <c r="BB14" s="15" t="s">
        <v>219</v>
      </c>
      <c r="BC14" s="29" t="s">
        <v>220</v>
      </c>
      <c r="BD14" s="15" t="s">
        <v>221</v>
      </c>
      <c r="BE14" s="15" t="s">
        <v>222</v>
      </c>
      <c r="BF14" s="15" t="s">
        <v>124</v>
      </c>
      <c r="BG14" s="30" t="s">
        <v>167</v>
      </c>
      <c r="BH14" s="15" t="s">
        <v>27</v>
      </c>
      <c r="BI14" s="15" t="s">
        <v>27</v>
      </c>
      <c r="BJ14" s="15" t="s">
        <v>27</v>
      </c>
      <c r="BK14" s="15" t="s">
        <v>14</v>
      </c>
      <c r="BM14" s="28" t="s">
        <v>191</v>
      </c>
      <c r="BN14" s="99" t="s">
        <v>197</v>
      </c>
      <c r="BO14" s="20" t="s">
        <v>56</v>
      </c>
      <c r="BP14" s="20" t="s">
        <v>142</v>
      </c>
      <c r="BQ14" s="20" t="s">
        <v>58</v>
      </c>
      <c r="BR14" s="20" t="s">
        <v>129</v>
      </c>
      <c r="BS14" s="29" t="s">
        <v>133</v>
      </c>
      <c r="BT14" s="20" t="s">
        <v>143</v>
      </c>
      <c r="BU14" s="20" t="s">
        <v>61</v>
      </c>
      <c r="BV14" s="20" t="s">
        <v>124</v>
      </c>
      <c r="BW14" s="20" t="s">
        <v>144</v>
      </c>
      <c r="BX14" s="20" t="s">
        <v>24</v>
      </c>
      <c r="BY14" s="20" t="s">
        <v>24</v>
      </c>
      <c r="BZ14" s="20" t="s">
        <v>24</v>
      </c>
      <c r="CA14" s="20" t="s">
        <v>25</v>
      </c>
      <c r="CC14" s="28" t="s">
        <v>191</v>
      </c>
      <c r="CD14" s="99" t="s">
        <v>197</v>
      </c>
      <c r="CE14" s="22" t="s">
        <v>62</v>
      </c>
      <c r="CF14" s="22" t="s">
        <v>145</v>
      </c>
      <c r="CG14" s="22" t="s">
        <v>64</v>
      </c>
      <c r="CH14" s="22" t="s">
        <v>129</v>
      </c>
      <c r="CI14" s="29" t="s">
        <v>133</v>
      </c>
      <c r="CJ14" s="22" t="s">
        <v>146</v>
      </c>
      <c r="CK14" s="22" t="s">
        <v>67</v>
      </c>
      <c r="CL14" s="22" t="s">
        <v>124</v>
      </c>
      <c r="CM14" s="22" t="s">
        <v>147</v>
      </c>
      <c r="CN14" s="22" t="s">
        <v>32</v>
      </c>
      <c r="CO14" s="22" t="s">
        <v>32</v>
      </c>
      <c r="CP14" s="22" t="s">
        <v>32</v>
      </c>
      <c r="CQ14" s="22" t="s">
        <v>14</v>
      </c>
      <c r="CS14" s="28" t="s">
        <v>191</v>
      </c>
      <c r="CT14" s="99" t="s">
        <v>197</v>
      </c>
      <c r="CU14" s="15" t="s">
        <v>121</v>
      </c>
      <c r="CV14" s="15" t="s">
        <v>122</v>
      </c>
      <c r="CW14" s="15" t="s">
        <v>123</v>
      </c>
      <c r="CX14" s="15" t="s">
        <v>219</v>
      </c>
      <c r="CY14" s="29" t="s">
        <v>220</v>
      </c>
      <c r="CZ14" s="15" t="s">
        <v>221</v>
      </c>
      <c r="DA14" s="15" t="s">
        <v>222</v>
      </c>
      <c r="DB14" s="15" t="s">
        <v>124</v>
      </c>
      <c r="DC14" s="30" t="s">
        <v>167</v>
      </c>
      <c r="DD14" s="15" t="s">
        <v>27</v>
      </c>
      <c r="DE14" s="15" t="s">
        <v>27</v>
      </c>
      <c r="DF14" s="15" t="s">
        <v>27</v>
      </c>
      <c r="DG14" s="15" t="s">
        <v>14</v>
      </c>
    </row>
    <row r="15" spans="1:112" ht="18">
      <c r="A15" s="28" t="s">
        <v>191</v>
      </c>
      <c r="B15" s="99" t="s">
        <v>294</v>
      </c>
      <c r="C15" s="15" t="s">
        <v>121</v>
      </c>
      <c r="D15" s="15" t="s">
        <v>122</v>
      </c>
      <c r="E15" s="15" t="s">
        <v>123</v>
      </c>
      <c r="F15" s="15" t="s">
        <v>192</v>
      </c>
      <c r="G15" s="103" t="s">
        <v>308</v>
      </c>
      <c r="H15" s="15" t="s">
        <v>134</v>
      </c>
      <c r="I15" s="15" t="s">
        <v>135</v>
      </c>
      <c r="J15" s="15" t="s">
        <v>124</v>
      </c>
      <c r="K15" s="30" t="s">
        <v>167</v>
      </c>
      <c r="L15" s="15" t="s">
        <v>27</v>
      </c>
      <c r="M15" s="15" t="s">
        <v>27</v>
      </c>
      <c r="N15" s="15" t="s">
        <v>27</v>
      </c>
      <c r="O15" s="15" t="s">
        <v>14</v>
      </c>
      <c r="P15" s="26" t="s">
        <v>195</v>
      </c>
      <c r="Q15" s="28" t="s">
        <v>191</v>
      </c>
      <c r="R15" s="99" t="s">
        <v>294</v>
      </c>
      <c r="S15" s="15" t="s">
        <v>121</v>
      </c>
      <c r="T15" s="15" t="s">
        <v>122</v>
      </c>
      <c r="U15" s="15" t="s">
        <v>123</v>
      </c>
      <c r="V15" s="15" t="s">
        <v>219</v>
      </c>
      <c r="W15" s="105" t="s">
        <v>308</v>
      </c>
      <c r="X15" s="15" t="s">
        <v>221</v>
      </c>
      <c r="Y15" s="15" t="s">
        <v>222</v>
      </c>
      <c r="Z15" s="15" t="s">
        <v>124</v>
      </c>
      <c r="AA15" s="30" t="s">
        <v>167</v>
      </c>
      <c r="AB15" s="15" t="s">
        <v>27</v>
      </c>
      <c r="AC15" s="15" t="s">
        <v>27</v>
      </c>
      <c r="AD15" s="15" t="s">
        <v>27</v>
      </c>
      <c r="AE15" s="15" t="s">
        <v>14</v>
      </c>
      <c r="AF15" s="16" t="s">
        <v>195</v>
      </c>
      <c r="AG15" s="28" t="s">
        <v>191</v>
      </c>
      <c r="AH15" s="99" t="s">
        <v>294</v>
      </c>
      <c r="AI15" s="15" t="s">
        <v>121</v>
      </c>
      <c r="AJ15" s="15" t="s">
        <v>122</v>
      </c>
      <c r="AK15" s="15" t="s">
        <v>123</v>
      </c>
      <c r="AL15" s="15" t="s">
        <v>192</v>
      </c>
      <c r="AM15" s="105" t="s">
        <v>308</v>
      </c>
      <c r="AN15" s="15" t="s">
        <v>134</v>
      </c>
      <c r="AO15" s="15" t="s">
        <v>135</v>
      </c>
      <c r="AP15" s="15" t="s">
        <v>124</v>
      </c>
      <c r="AQ15" s="30" t="s">
        <v>167</v>
      </c>
      <c r="AR15" s="15" t="s">
        <v>27</v>
      </c>
      <c r="AS15" s="15" t="s">
        <v>27</v>
      </c>
      <c r="AT15" s="15" t="s">
        <v>27</v>
      </c>
      <c r="AU15" s="15" t="s">
        <v>14</v>
      </c>
      <c r="AW15" s="28" t="s">
        <v>191</v>
      </c>
      <c r="AX15" s="99" t="s">
        <v>294</v>
      </c>
      <c r="AY15" s="15" t="s">
        <v>121</v>
      </c>
      <c r="AZ15" s="15" t="s">
        <v>122</v>
      </c>
      <c r="BA15" s="15" t="s">
        <v>123</v>
      </c>
      <c r="BB15" s="15" t="s">
        <v>219</v>
      </c>
      <c r="BC15" s="105" t="s">
        <v>308</v>
      </c>
      <c r="BD15" s="15" t="s">
        <v>221</v>
      </c>
      <c r="BE15" s="15" t="s">
        <v>222</v>
      </c>
      <c r="BF15" s="15" t="s">
        <v>124</v>
      </c>
      <c r="BG15" s="30" t="s">
        <v>167</v>
      </c>
      <c r="BH15" s="15" t="s">
        <v>27</v>
      </c>
      <c r="BI15" s="15" t="s">
        <v>27</v>
      </c>
      <c r="BJ15" s="15" t="s">
        <v>27</v>
      </c>
      <c r="BK15" s="15" t="s">
        <v>14</v>
      </c>
      <c r="BM15" s="28" t="s">
        <v>191</v>
      </c>
      <c r="BN15" s="99" t="s">
        <v>294</v>
      </c>
      <c r="BO15" s="20" t="s">
        <v>56</v>
      </c>
      <c r="BP15" s="20" t="s">
        <v>142</v>
      </c>
      <c r="BQ15" s="20" t="s">
        <v>58</v>
      </c>
      <c r="BR15" s="20" t="s">
        <v>129</v>
      </c>
      <c r="BS15" s="105" t="s">
        <v>308</v>
      </c>
      <c r="BT15" s="20" t="s">
        <v>143</v>
      </c>
      <c r="BU15" s="20" t="s">
        <v>61</v>
      </c>
      <c r="BV15" s="20" t="s">
        <v>124</v>
      </c>
      <c r="BW15" s="20" t="s">
        <v>144</v>
      </c>
      <c r="BX15" s="20" t="s">
        <v>24</v>
      </c>
      <c r="BY15" s="20" t="s">
        <v>24</v>
      </c>
      <c r="BZ15" s="20" t="s">
        <v>24</v>
      </c>
      <c r="CA15" s="20" t="s">
        <v>25</v>
      </c>
      <c r="CC15" s="28" t="s">
        <v>191</v>
      </c>
      <c r="CD15" s="99" t="s">
        <v>294</v>
      </c>
      <c r="CE15" s="22" t="s">
        <v>62</v>
      </c>
      <c r="CF15" s="22" t="s">
        <v>145</v>
      </c>
      <c r="CG15" s="22" t="s">
        <v>64</v>
      </c>
      <c r="CH15" s="22" t="s">
        <v>129</v>
      </c>
      <c r="CI15" s="29" t="s">
        <v>295</v>
      </c>
      <c r="CJ15" s="22" t="s">
        <v>146</v>
      </c>
      <c r="CK15" s="22" t="s">
        <v>67</v>
      </c>
      <c r="CL15" s="22" t="s">
        <v>124</v>
      </c>
      <c r="CM15" s="22" t="s">
        <v>147</v>
      </c>
      <c r="CN15" s="22" t="s">
        <v>32</v>
      </c>
      <c r="CO15" s="22" t="s">
        <v>32</v>
      </c>
      <c r="CP15" s="22" t="s">
        <v>32</v>
      </c>
      <c r="CQ15" s="22" t="s">
        <v>14</v>
      </c>
      <c r="CS15" s="28" t="s">
        <v>191</v>
      </c>
      <c r="CT15" s="99" t="s">
        <v>294</v>
      </c>
      <c r="CU15" s="15" t="s">
        <v>121</v>
      </c>
      <c r="CV15" s="15" t="s">
        <v>122</v>
      </c>
      <c r="CW15" s="15" t="s">
        <v>123</v>
      </c>
      <c r="CX15" s="15" t="s">
        <v>219</v>
      </c>
      <c r="CY15" s="29" t="s">
        <v>308</v>
      </c>
      <c r="CZ15" s="15" t="s">
        <v>221</v>
      </c>
      <c r="DA15" s="15" t="s">
        <v>222</v>
      </c>
      <c r="DB15" s="15" t="s">
        <v>124</v>
      </c>
      <c r="DC15" s="30" t="s">
        <v>167</v>
      </c>
      <c r="DD15" s="15" t="s">
        <v>27</v>
      </c>
      <c r="DE15" s="15" t="s">
        <v>27</v>
      </c>
      <c r="DF15" s="15" t="s">
        <v>27</v>
      </c>
      <c r="DG15" s="15" t="s">
        <v>14</v>
      </c>
    </row>
    <row r="16" spans="1:112" ht="18">
      <c r="A16" s="28" t="s">
        <v>191</v>
      </c>
      <c r="B16" s="99" t="s">
        <v>198</v>
      </c>
      <c r="C16" s="15" t="s">
        <v>121</v>
      </c>
      <c r="D16" s="15" t="s">
        <v>122</v>
      </c>
      <c r="E16" s="15" t="s">
        <v>123</v>
      </c>
      <c r="F16" s="15" t="s">
        <v>193</v>
      </c>
      <c r="G16" s="29" t="s">
        <v>217</v>
      </c>
      <c r="H16" s="15" t="s">
        <v>203</v>
      </c>
      <c r="I16" s="15" t="s">
        <v>204</v>
      </c>
      <c r="J16" s="15" t="s">
        <v>124</v>
      </c>
      <c r="K16" s="30" t="s">
        <v>167</v>
      </c>
      <c r="L16" s="15" t="s">
        <v>27</v>
      </c>
      <c r="M16" s="15" t="s">
        <v>27</v>
      </c>
      <c r="N16" s="15" t="s">
        <v>27</v>
      </c>
      <c r="O16" s="15" t="s">
        <v>14</v>
      </c>
      <c r="P16" s="26" t="s">
        <v>195</v>
      </c>
      <c r="Q16" s="28" t="s">
        <v>191</v>
      </c>
      <c r="R16" s="99" t="s">
        <v>198</v>
      </c>
      <c r="S16" s="15" t="s">
        <v>121</v>
      </c>
      <c r="T16" s="15" t="s">
        <v>122</v>
      </c>
      <c r="U16" s="15" t="s">
        <v>123</v>
      </c>
      <c r="V16" s="15" t="s">
        <v>43</v>
      </c>
      <c r="W16" s="29" t="s">
        <v>223</v>
      </c>
      <c r="X16" s="15" t="s">
        <v>224</v>
      </c>
      <c r="Y16" s="15" t="s">
        <v>225</v>
      </c>
      <c r="Z16" s="15" t="s">
        <v>124</v>
      </c>
      <c r="AA16" s="30" t="s">
        <v>167</v>
      </c>
      <c r="AB16" s="15" t="s">
        <v>27</v>
      </c>
      <c r="AC16" s="15" t="s">
        <v>27</v>
      </c>
      <c r="AD16" s="15" t="s">
        <v>27</v>
      </c>
      <c r="AE16" s="15" t="s">
        <v>14</v>
      </c>
      <c r="AF16" s="16" t="s">
        <v>195</v>
      </c>
      <c r="AG16" s="28" t="s">
        <v>191</v>
      </c>
      <c r="AH16" s="99" t="s">
        <v>198</v>
      </c>
      <c r="AI16" s="15" t="s">
        <v>121</v>
      </c>
      <c r="AJ16" s="15" t="s">
        <v>122</v>
      </c>
      <c r="AK16" s="15" t="s">
        <v>123</v>
      </c>
      <c r="AL16" s="15" t="s">
        <v>193</v>
      </c>
      <c r="AM16" s="29" t="s">
        <v>217</v>
      </c>
      <c r="AN16" s="15" t="s">
        <v>203</v>
      </c>
      <c r="AO16" s="15" t="s">
        <v>204</v>
      </c>
      <c r="AP16" s="15" t="s">
        <v>124</v>
      </c>
      <c r="AQ16" s="30" t="s">
        <v>167</v>
      </c>
      <c r="AR16" s="15" t="s">
        <v>27</v>
      </c>
      <c r="AS16" s="15" t="s">
        <v>27</v>
      </c>
      <c r="AT16" s="15" t="s">
        <v>27</v>
      </c>
      <c r="AU16" s="15" t="s">
        <v>14</v>
      </c>
      <c r="AW16" s="28" t="s">
        <v>191</v>
      </c>
      <c r="AX16" s="99" t="s">
        <v>198</v>
      </c>
      <c r="AY16" s="15" t="s">
        <v>121</v>
      </c>
      <c r="AZ16" s="15" t="s">
        <v>122</v>
      </c>
      <c r="BA16" s="15" t="s">
        <v>123</v>
      </c>
      <c r="BB16" s="15" t="s">
        <v>43</v>
      </c>
      <c r="BC16" s="29" t="s">
        <v>223</v>
      </c>
      <c r="BD16" s="15" t="s">
        <v>224</v>
      </c>
      <c r="BE16" s="15" t="s">
        <v>225</v>
      </c>
      <c r="BF16" s="15" t="s">
        <v>124</v>
      </c>
      <c r="BG16" s="30" t="s">
        <v>167</v>
      </c>
      <c r="BH16" s="15" t="s">
        <v>27</v>
      </c>
      <c r="BI16" s="15" t="s">
        <v>27</v>
      </c>
      <c r="BJ16" s="15" t="s">
        <v>27</v>
      </c>
      <c r="BK16" s="15" t="s">
        <v>14</v>
      </c>
      <c r="BM16" s="28" t="s">
        <v>191</v>
      </c>
      <c r="BN16" s="99" t="s">
        <v>198</v>
      </c>
      <c r="BO16" s="20" t="s">
        <v>56</v>
      </c>
      <c r="BP16" s="20" t="s">
        <v>142</v>
      </c>
      <c r="BQ16" s="20" t="s">
        <v>58</v>
      </c>
      <c r="BR16" s="20" t="s">
        <v>129</v>
      </c>
      <c r="BS16" s="29" t="s">
        <v>217</v>
      </c>
      <c r="BT16" s="20" t="s">
        <v>143</v>
      </c>
      <c r="BU16" s="20" t="s">
        <v>61</v>
      </c>
      <c r="BV16" s="20" t="s">
        <v>124</v>
      </c>
      <c r="BW16" s="20" t="s">
        <v>144</v>
      </c>
      <c r="BX16" s="20" t="s">
        <v>24</v>
      </c>
      <c r="BY16" s="20" t="s">
        <v>24</v>
      </c>
      <c r="BZ16" s="20" t="s">
        <v>24</v>
      </c>
      <c r="CA16" s="20" t="s">
        <v>25</v>
      </c>
      <c r="CC16" s="28" t="s">
        <v>191</v>
      </c>
      <c r="CD16" s="99" t="s">
        <v>198</v>
      </c>
      <c r="CE16" s="22" t="s">
        <v>62</v>
      </c>
      <c r="CF16" s="22" t="s">
        <v>145</v>
      </c>
      <c r="CG16" s="22" t="s">
        <v>64</v>
      </c>
      <c r="CH16" s="22" t="s">
        <v>129</v>
      </c>
      <c r="CI16" s="29" t="s">
        <v>217</v>
      </c>
      <c r="CJ16" s="22" t="s">
        <v>146</v>
      </c>
      <c r="CK16" s="22" t="s">
        <v>67</v>
      </c>
      <c r="CL16" s="22" t="s">
        <v>124</v>
      </c>
      <c r="CM16" s="22" t="s">
        <v>147</v>
      </c>
      <c r="CN16" s="22" t="s">
        <v>32</v>
      </c>
      <c r="CO16" s="22" t="s">
        <v>32</v>
      </c>
      <c r="CP16" s="22" t="s">
        <v>32</v>
      </c>
      <c r="CQ16" s="22" t="s">
        <v>14</v>
      </c>
      <c r="CS16" s="28" t="s">
        <v>191</v>
      </c>
      <c r="CT16" s="99" t="s">
        <v>198</v>
      </c>
      <c r="CU16" s="15" t="s">
        <v>121</v>
      </c>
      <c r="CV16" s="15" t="s">
        <v>122</v>
      </c>
      <c r="CW16" s="15" t="s">
        <v>123</v>
      </c>
      <c r="CX16" s="15" t="s">
        <v>43</v>
      </c>
      <c r="CY16" s="29" t="s">
        <v>223</v>
      </c>
      <c r="CZ16" s="15" t="s">
        <v>224</v>
      </c>
      <c r="DA16" s="15" t="s">
        <v>225</v>
      </c>
      <c r="DB16" s="15" t="s">
        <v>124</v>
      </c>
      <c r="DC16" s="30" t="s">
        <v>167</v>
      </c>
      <c r="DD16" s="15" t="s">
        <v>27</v>
      </c>
      <c r="DE16" s="15" t="s">
        <v>27</v>
      </c>
      <c r="DF16" s="15" t="s">
        <v>27</v>
      </c>
      <c r="DG16" s="15" t="s">
        <v>14</v>
      </c>
    </row>
    <row r="17" spans="1:112" ht="18">
      <c r="A17" s="28" t="s">
        <v>191</v>
      </c>
      <c r="B17" s="99" t="s">
        <v>199</v>
      </c>
      <c r="C17" s="15" t="s">
        <v>121</v>
      </c>
      <c r="D17" s="15" t="s">
        <v>122</v>
      </c>
      <c r="E17" s="15" t="s">
        <v>123</v>
      </c>
      <c r="F17" s="15" t="s">
        <v>193</v>
      </c>
      <c r="G17" s="29" t="s">
        <v>194</v>
      </c>
      <c r="H17" s="15" t="s">
        <v>165</v>
      </c>
      <c r="I17" s="15" t="s">
        <v>166</v>
      </c>
      <c r="J17" s="15" t="s">
        <v>124</v>
      </c>
      <c r="K17" s="30" t="s">
        <v>167</v>
      </c>
      <c r="L17" s="15" t="s">
        <v>27</v>
      </c>
      <c r="M17" s="15" t="s">
        <v>27</v>
      </c>
      <c r="N17" s="15" t="s">
        <v>27</v>
      </c>
      <c r="O17" s="15" t="s">
        <v>14</v>
      </c>
      <c r="P17" s="26" t="s">
        <v>195</v>
      </c>
      <c r="Q17" s="28" t="s">
        <v>191</v>
      </c>
      <c r="R17" s="99" t="s">
        <v>199</v>
      </c>
      <c r="S17" s="15" t="s">
        <v>121</v>
      </c>
      <c r="T17" s="15" t="s">
        <v>122</v>
      </c>
      <c r="U17" s="15" t="s">
        <v>123</v>
      </c>
      <c r="V17" s="15" t="s">
        <v>43</v>
      </c>
      <c r="W17" s="29" t="s">
        <v>226</v>
      </c>
      <c r="X17" s="15" t="s">
        <v>168</v>
      </c>
      <c r="Y17" s="15" t="s">
        <v>79</v>
      </c>
      <c r="Z17" s="15" t="s">
        <v>124</v>
      </c>
      <c r="AA17" s="30" t="s">
        <v>167</v>
      </c>
      <c r="AB17" s="15" t="s">
        <v>27</v>
      </c>
      <c r="AC17" s="15" t="s">
        <v>27</v>
      </c>
      <c r="AD17" s="15" t="s">
        <v>27</v>
      </c>
      <c r="AE17" s="15" t="s">
        <v>14</v>
      </c>
      <c r="AF17" s="16" t="s">
        <v>195</v>
      </c>
      <c r="AG17" s="28" t="s">
        <v>191</v>
      </c>
      <c r="AH17" s="99" t="s">
        <v>199</v>
      </c>
      <c r="AI17" s="15" t="s">
        <v>121</v>
      </c>
      <c r="AJ17" s="15" t="s">
        <v>122</v>
      </c>
      <c r="AK17" s="15" t="s">
        <v>123</v>
      </c>
      <c r="AL17" s="15" t="s">
        <v>193</v>
      </c>
      <c r="AM17" s="29" t="s">
        <v>194</v>
      </c>
      <c r="AN17" s="15" t="s">
        <v>165</v>
      </c>
      <c r="AO17" s="15" t="s">
        <v>166</v>
      </c>
      <c r="AP17" s="15" t="s">
        <v>124</v>
      </c>
      <c r="AQ17" s="30" t="s">
        <v>167</v>
      </c>
      <c r="AR17" s="15" t="s">
        <v>27</v>
      </c>
      <c r="AS17" s="15" t="s">
        <v>27</v>
      </c>
      <c r="AT17" s="15" t="s">
        <v>27</v>
      </c>
      <c r="AU17" s="15" t="s">
        <v>14</v>
      </c>
      <c r="AW17" s="28" t="s">
        <v>191</v>
      </c>
      <c r="AX17" s="99" t="s">
        <v>199</v>
      </c>
      <c r="AY17" s="15" t="s">
        <v>121</v>
      </c>
      <c r="AZ17" s="15" t="s">
        <v>122</v>
      </c>
      <c r="BA17" s="15" t="s">
        <v>123</v>
      </c>
      <c r="BB17" s="15" t="s">
        <v>43</v>
      </c>
      <c r="BC17" s="29" t="s">
        <v>226</v>
      </c>
      <c r="BD17" s="15" t="s">
        <v>168</v>
      </c>
      <c r="BE17" s="15" t="s">
        <v>79</v>
      </c>
      <c r="BF17" s="15" t="s">
        <v>124</v>
      </c>
      <c r="BG17" s="30" t="s">
        <v>167</v>
      </c>
      <c r="BH17" s="15" t="s">
        <v>27</v>
      </c>
      <c r="BI17" s="15" t="s">
        <v>27</v>
      </c>
      <c r="BJ17" s="15" t="s">
        <v>27</v>
      </c>
      <c r="BK17" s="15" t="s">
        <v>14</v>
      </c>
      <c r="BM17" s="28" t="s">
        <v>191</v>
      </c>
      <c r="BN17" s="99" t="s">
        <v>199</v>
      </c>
      <c r="BO17" s="20" t="s">
        <v>56</v>
      </c>
      <c r="BP17" s="20" t="s">
        <v>142</v>
      </c>
      <c r="BQ17" s="20" t="s">
        <v>58</v>
      </c>
      <c r="BR17" s="20" t="s">
        <v>129</v>
      </c>
      <c r="BS17" s="29" t="s">
        <v>194</v>
      </c>
      <c r="BT17" s="20" t="s">
        <v>143</v>
      </c>
      <c r="BU17" s="20" t="s">
        <v>61</v>
      </c>
      <c r="BV17" s="20" t="s">
        <v>124</v>
      </c>
      <c r="BW17" s="20" t="s">
        <v>144</v>
      </c>
      <c r="BX17" s="20" t="s">
        <v>24</v>
      </c>
      <c r="BY17" s="20" t="s">
        <v>24</v>
      </c>
      <c r="BZ17" s="20" t="s">
        <v>24</v>
      </c>
      <c r="CA17" s="20" t="s">
        <v>25</v>
      </c>
      <c r="CC17" s="28" t="s">
        <v>191</v>
      </c>
      <c r="CD17" s="99" t="s">
        <v>199</v>
      </c>
      <c r="CE17" s="22" t="s">
        <v>62</v>
      </c>
      <c r="CF17" s="22" t="s">
        <v>145</v>
      </c>
      <c r="CG17" s="22" t="s">
        <v>64</v>
      </c>
      <c r="CH17" s="22" t="s">
        <v>129</v>
      </c>
      <c r="CI17" s="29" t="s">
        <v>194</v>
      </c>
      <c r="CJ17" s="22" t="s">
        <v>146</v>
      </c>
      <c r="CK17" s="22" t="s">
        <v>67</v>
      </c>
      <c r="CL17" s="22" t="s">
        <v>124</v>
      </c>
      <c r="CM17" s="22" t="s">
        <v>147</v>
      </c>
      <c r="CN17" s="22" t="s">
        <v>32</v>
      </c>
      <c r="CO17" s="22" t="s">
        <v>32</v>
      </c>
      <c r="CP17" s="22" t="s">
        <v>32</v>
      </c>
      <c r="CQ17" s="22" t="s">
        <v>14</v>
      </c>
      <c r="CS17" s="28" t="s">
        <v>191</v>
      </c>
      <c r="CT17" s="99" t="s">
        <v>199</v>
      </c>
      <c r="CU17" s="15" t="s">
        <v>121</v>
      </c>
      <c r="CV17" s="15" t="s">
        <v>122</v>
      </c>
      <c r="CW17" s="15" t="s">
        <v>123</v>
      </c>
      <c r="CX17" s="15" t="s">
        <v>43</v>
      </c>
      <c r="CY17" s="29" t="s">
        <v>226</v>
      </c>
      <c r="CZ17" s="15" t="s">
        <v>168</v>
      </c>
      <c r="DA17" s="15" t="s">
        <v>79</v>
      </c>
      <c r="DB17" s="15" t="s">
        <v>124</v>
      </c>
      <c r="DC17" s="30" t="s">
        <v>167</v>
      </c>
      <c r="DD17" s="15" t="s">
        <v>27</v>
      </c>
      <c r="DE17" s="15" t="s">
        <v>27</v>
      </c>
      <c r="DF17" s="15" t="s">
        <v>27</v>
      </c>
      <c r="DG17" s="15" t="s">
        <v>14</v>
      </c>
    </row>
    <row r="18" spans="1:112" ht="18">
      <c r="A18" s="28" t="s">
        <v>191</v>
      </c>
      <c r="B18" s="99" t="s">
        <v>200</v>
      </c>
      <c r="C18" s="15" t="s">
        <v>121</v>
      </c>
      <c r="D18" s="15" t="s">
        <v>122</v>
      </c>
      <c r="E18" s="15" t="s">
        <v>123</v>
      </c>
      <c r="F18" s="15" t="s">
        <v>193</v>
      </c>
      <c r="G18" s="29" t="s">
        <v>216</v>
      </c>
      <c r="H18" s="15" t="s">
        <v>165</v>
      </c>
      <c r="I18" s="15" t="s">
        <v>166</v>
      </c>
      <c r="J18" s="15" t="s">
        <v>124</v>
      </c>
      <c r="K18" s="30" t="s">
        <v>167</v>
      </c>
      <c r="L18" s="15" t="s">
        <v>27</v>
      </c>
      <c r="M18" s="15" t="s">
        <v>27</v>
      </c>
      <c r="N18" s="15" t="s">
        <v>27</v>
      </c>
      <c r="O18" s="15" t="s">
        <v>14</v>
      </c>
      <c r="P18" s="26" t="s">
        <v>195</v>
      </c>
      <c r="Q18" s="28" t="s">
        <v>191</v>
      </c>
      <c r="R18" s="99" t="s">
        <v>200</v>
      </c>
      <c r="S18" s="15" t="s">
        <v>121</v>
      </c>
      <c r="T18" s="15" t="s">
        <v>122</v>
      </c>
      <c r="U18" s="15" t="s">
        <v>123</v>
      </c>
      <c r="V18" s="15" t="s">
        <v>43</v>
      </c>
      <c r="W18" s="74" t="s">
        <v>226</v>
      </c>
      <c r="X18" s="15" t="s">
        <v>168</v>
      </c>
      <c r="Y18" s="15" t="s">
        <v>79</v>
      </c>
      <c r="Z18" s="15" t="s">
        <v>124</v>
      </c>
      <c r="AA18" s="30" t="s">
        <v>167</v>
      </c>
      <c r="AB18" s="15" t="s">
        <v>27</v>
      </c>
      <c r="AC18" s="15" t="s">
        <v>27</v>
      </c>
      <c r="AD18" s="15" t="s">
        <v>27</v>
      </c>
      <c r="AE18" s="15" t="s">
        <v>14</v>
      </c>
      <c r="AF18" s="16" t="s">
        <v>195</v>
      </c>
      <c r="AG18" s="28" t="s">
        <v>191</v>
      </c>
      <c r="AH18" s="99" t="s">
        <v>200</v>
      </c>
      <c r="AI18" s="15" t="s">
        <v>121</v>
      </c>
      <c r="AJ18" s="15" t="s">
        <v>122</v>
      </c>
      <c r="AK18" s="15" t="s">
        <v>123</v>
      </c>
      <c r="AL18" s="15" t="s">
        <v>193</v>
      </c>
      <c r="AM18" s="29" t="s">
        <v>216</v>
      </c>
      <c r="AN18" s="15" t="s">
        <v>165</v>
      </c>
      <c r="AO18" s="15" t="s">
        <v>166</v>
      </c>
      <c r="AP18" s="15" t="s">
        <v>124</v>
      </c>
      <c r="AQ18" s="30" t="s">
        <v>167</v>
      </c>
      <c r="AR18" s="15" t="s">
        <v>27</v>
      </c>
      <c r="AS18" s="15" t="s">
        <v>27</v>
      </c>
      <c r="AT18" s="15" t="s">
        <v>27</v>
      </c>
      <c r="AU18" s="15" t="s">
        <v>14</v>
      </c>
      <c r="AW18" s="28" t="s">
        <v>191</v>
      </c>
      <c r="AX18" s="99" t="s">
        <v>200</v>
      </c>
      <c r="AY18" s="15" t="s">
        <v>121</v>
      </c>
      <c r="AZ18" s="15" t="s">
        <v>122</v>
      </c>
      <c r="BA18" s="15" t="s">
        <v>123</v>
      </c>
      <c r="BB18" s="15" t="s">
        <v>43</v>
      </c>
      <c r="BC18" s="29" t="s">
        <v>227</v>
      </c>
      <c r="BD18" s="15" t="s">
        <v>168</v>
      </c>
      <c r="BE18" s="15" t="s">
        <v>79</v>
      </c>
      <c r="BF18" s="15" t="s">
        <v>124</v>
      </c>
      <c r="BG18" s="30" t="s">
        <v>167</v>
      </c>
      <c r="BH18" s="15" t="s">
        <v>27</v>
      </c>
      <c r="BI18" s="15" t="s">
        <v>27</v>
      </c>
      <c r="BJ18" s="15" t="s">
        <v>27</v>
      </c>
      <c r="BK18" s="15" t="s">
        <v>14</v>
      </c>
      <c r="BM18" s="28" t="s">
        <v>191</v>
      </c>
      <c r="BN18" s="99" t="s">
        <v>200</v>
      </c>
      <c r="BO18" s="20" t="s">
        <v>56</v>
      </c>
      <c r="BP18" s="20" t="s">
        <v>142</v>
      </c>
      <c r="BQ18" s="20" t="s">
        <v>58</v>
      </c>
      <c r="BR18" s="20" t="s">
        <v>129</v>
      </c>
      <c r="BS18" s="29" t="s">
        <v>216</v>
      </c>
      <c r="BT18" s="20" t="s">
        <v>143</v>
      </c>
      <c r="BU18" s="20" t="s">
        <v>61</v>
      </c>
      <c r="BV18" s="20" t="s">
        <v>124</v>
      </c>
      <c r="BW18" s="20" t="s">
        <v>144</v>
      </c>
      <c r="BX18" s="20" t="s">
        <v>24</v>
      </c>
      <c r="BY18" s="20" t="s">
        <v>24</v>
      </c>
      <c r="BZ18" s="20" t="s">
        <v>24</v>
      </c>
      <c r="CA18" s="20" t="s">
        <v>25</v>
      </c>
      <c r="CC18" s="28" t="s">
        <v>191</v>
      </c>
      <c r="CD18" s="99" t="s">
        <v>200</v>
      </c>
      <c r="CE18" s="22" t="s">
        <v>62</v>
      </c>
      <c r="CF18" s="22" t="s">
        <v>145</v>
      </c>
      <c r="CG18" s="22" t="s">
        <v>64</v>
      </c>
      <c r="CH18" s="22" t="s">
        <v>129</v>
      </c>
      <c r="CI18" s="29" t="s">
        <v>216</v>
      </c>
      <c r="CJ18" s="22" t="s">
        <v>146</v>
      </c>
      <c r="CK18" s="22" t="s">
        <v>67</v>
      </c>
      <c r="CL18" s="22" t="s">
        <v>124</v>
      </c>
      <c r="CM18" s="22" t="s">
        <v>147</v>
      </c>
      <c r="CN18" s="22" t="s">
        <v>32</v>
      </c>
      <c r="CO18" s="22" t="s">
        <v>32</v>
      </c>
      <c r="CP18" s="22" t="s">
        <v>32</v>
      </c>
      <c r="CQ18" s="22" t="s">
        <v>14</v>
      </c>
      <c r="CS18" s="28" t="s">
        <v>191</v>
      </c>
      <c r="CT18" s="99" t="s">
        <v>200</v>
      </c>
      <c r="CU18" s="15" t="s">
        <v>121</v>
      </c>
      <c r="CV18" s="15" t="s">
        <v>122</v>
      </c>
      <c r="CW18" s="15" t="s">
        <v>123</v>
      </c>
      <c r="CX18" s="15" t="s">
        <v>43</v>
      </c>
      <c r="CY18" s="29" t="s">
        <v>227</v>
      </c>
      <c r="CZ18" s="15" t="s">
        <v>168</v>
      </c>
      <c r="DA18" s="15" t="s">
        <v>79</v>
      </c>
      <c r="DB18" s="15" t="s">
        <v>124</v>
      </c>
      <c r="DC18" s="30" t="s">
        <v>167</v>
      </c>
      <c r="DD18" s="15" t="s">
        <v>27</v>
      </c>
      <c r="DE18" s="15" t="s">
        <v>27</v>
      </c>
      <c r="DF18" s="15" t="s">
        <v>27</v>
      </c>
      <c r="DG18" s="15" t="s">
        <v>14</v>
      </c>
    </row>
    <row r="19" spans="1:112" ht="18">
      <c r="A19" s="28" t="s">
        <v>191</v>
      </c>
      <c r="B19" s="99" t="s">
        <v>201</v>
      </c>
      <c r="C19" s="15" t="s">
        <v>121</v>
      </c>
      <c r="D19" s="15" t="s">
        <v>122</v>
      </c>
      <c r="E19" s="15" t="s">
        <v>123</v>
      </c>
      <c r="F19" s="15" t="s">
        <v>193</v>
      </c>
      <c r="G19" s="29" t="s">
        <v>179</v>
      </c>
      <c r="H19" s="15" t="s">
        <v>165</v>
      </c>
      <c r="I19" s="15" t="s">
        <v>166</v>
      </c>
      <c r="J19" s="15" t="s">
        <v>124</v>
      </c>
      <c r="K19" s="30" t="s">
        <v>167</v>
      </c>
      <c r="L19" s="15" t="s">
        <v>27</v>
      </c>
      <c r="M19" s="15" t="s">
        <v>27</v>
      </c>
      <c r="N19" s="15" t="s">
        <v>27</v>
      </c>
      <c r="O19" s="15" t="s">
        <v>14</v>
      </c>
      <c r="P19" s="26" t="s">
        <v>196</v>
      </c>
      <c r="Q19" s="28" t="s">
        <v>191</v>
      </c>
      <c r="R19" s="99" t="s">
        <v>201</v>
      </c>
      <c r="S19" s="15" t="s">
        <v>121</v>
      </c>
      <c r="T19" s="15" t="s">
        <v>122</v>
      </c>
      <c r="U19" s="15" t="s">
        <v>123</v>
      </c>
      <c r="V19" s="15" t="s">
        <v>43</v>
      </c>
      <c r="W19" s="29" t="s">
        <v>180</v>
      </c>
      <c r="X19" s="15" t="s">
        <v>168</v>
      </c>
      <c r="Y19" s="15" t="s">
        <v>79</v>
      </c>
      <c r="Z19" s="15" t="s">
        <v>124</v>
      </c>
      <c r="AA19" s="30" t="s">
        <v>167</v>
      </c>
      <c r="AB19" s="15" t="s">
        <v>27</v>
      </c>
      <c r="AC19" s="15" t="s">
        <v>27</v>
      </c>
      <c r="AD19" s="15" t="s">
        <v>27</v>
      </c>
      <c r="AE19" s="15" t="s">
        <v>14</v>
      </c>
      <c r="AF19" s="16" t="s">
        <v>196</v>
      </c>
      <c r="AG19" s="28" t="s">
        <v>191</v>
      </c>
      <c r="AH19" s="99" t="s">
        <v>201</v>
      </c>
      <c r="AI19" s="15" t="s">
        <v>121</v>
      </c>
      <c r="AJ19" s="15" t="s">
        <v>122</v>
      </c>
      <c r="AK19" s="15" t="s">
        <v>123</v>
      </c>
      <c r="AL19" s="15" t="s">
        <v>193</v>
      </c>
      <c r="AM19" s="29" t="s">
        <v>179</v>
      </c>
      <c r="AN19" s="15" t="s">
        <v>165</v>
      </c>
      <c r="AO19" s="15" t="s">
        <v>166</v>
      </c>
      <c r="AP19" s="15" t="s">
        <v>124</v>
      </c>
      <c r="AQ19" s="30" t="s">
        <v>167</v>
      </c>
      <c r="AR19" s="15" t="s">
        <v>27</v>
      </c>
      <c r="AS19" s="15" t="s">
        <v>27</v>
      </c>
      <c r="AT19" s="15" t="s">
        <v>27</v>
      </c>
      <c r="AU19" s="15" t="s">
        <v>14</v>
      </c>
      <c r="AW19" s="28" t="s">
        <v>191</v>
      </c>
      <c r="AX19" s="99" t="s">
        <v>201</v>
      </c>
      <c r="AY19" s="15" t="s">
        <v>121</v>
      </c>
      <c r="AZ19" s="15" t="s">
        <v>122</v>
      </c>
      <c r="BA19" s="15" t="s">
        <v>123</v>
      </c>
      <c r="BB19" s="15" t="s">
        <v>43</v>
      </c>
      <c r="BC19" s="29" t="s">
        <v>180</v>
      </c>
      <c r="BD19" s="15" t="s">
        <v>168</v>
      </c>
      <c r="BE19" s="15" t="s">
        <v>79</v>
      </c>
      <c r="BF19" s="15" t="s">
        <v>124</v>
      </c>
      <c r="BG19" s="30" t="s">
        <v>167</v>
      </c>
      <c r="BH19" s="15" t="s">
        <v>27</v>
      </c>
      <c r="BI19" s="15" t="s">
        <v>27</v>
      </c>
      <c r="BJ19" s="15" t="s">
        <v>27</v>
      </c>
      <c r="BK19" s="15" t="s">
        <v>14</v>
      </c>
      <c r="BM19" s="28" t="s">
        <v>191</v>
      </c>
      <c r="BN19" s="99" t="s">
        <v>201</v>
      </c>
      <c r="BO19" s="20" t="s">
        <v>56</v>
      </c>
      <c r="BP19" s="20" t="s">
        <v>142</v>
      </c>
      <c r="BQ19" s="20" t="s">
        <v>58</v>
      </c>
      <c r="BR19" s="20" t="s">
        <v>129</v>
      </c>
      <c r="BS19" s="29" t="s">
        <v>179</v>
      </c>
      <c r="BT19" s="20" t="s">
        <v>143</v>
      </c>
      <c r="BU19" s="20" t="s">
        <v>61</v>
      </c>
      <c r="BV19" s="20" t="s">
        <v>124</v>
      </c>
      <c r="BW19" s="20" t="s">
        <v>144</v>
      </c>
      <c r="BX19" s="20" t="s">
        <v>24</v>
      </c>
      <c r="BY19" s="20" t="s">
        <v>24</v>
      </c>
      <c r="BZ19" s="20" t="s">
        <v>24</v>
      </c>
      <c r="CA19" s="20" t="s">
        <v>25</v>
      </c>
      <c r="CC19" s="28" t="s">
        <v>191</v>
      </c>
      <c r="CD19" s="99" t="s">
        <v>201</v>
      </c>
      <c r="CE19" s="22" t="s">
        <v>62</v>
      </c>
      <c r="CF19" s="22" t="s">
        <v>145</v>
      </c>
      <c r="CG19" s="22" t="s">
        <v>64</v>
      </c>
      <c r="CH19" s="22" t="s">
        <v>129</v>
      </c>
      <c r="CI19" s="29" t="s">
        <v>179</v>
      </c>
      <c r="CJ19" s="22" t="s">
        <v>146</v>
      </c>
      <c r="CK19" s="22" t="s">
        <v>67</v>
      </c>
      <c r="CL19" s="22" t="s">
        <v>124</v>
      </c>
      <c r="CM19" s="22" t="s">
        <v>147</v>
      </c>
      <c r="CN19" s="22" t="s">
        <v>32</v>
      </c>
      <c r="CO19" s="22" t="s">
        <v>32</v>
      </c>
      <c r="CP19" s="22" t="s">
        <v>32</v>
      </c>
      <c r="CQ19" s="22" t="s">
        <v>14</v>
      </c>
      <c r="CS19" s="28" t="s">
        <v>191</v>
      </c>
      <c r="CT19" s="99" t="s">
        <v>201</v>
      </c>
      <c r="CU19" s="15" t="s">
        <v>121</v>
      </c>
      <c r="CV19" s="15" t="s">
        <v>122</v>
      </c>
      <c r="CW19" s="15" t="s">
        <v>123</v>
      </c>
      <c r="CX19" s="15" t="s">
        <v>43</v>
      </c>
      <c r="CY19" s="29" t="s">
        <v>180</v>
      </c>
      <c r="CZ19" s="15" t="s">
        <v>168</v>
      </c>
      <c r="DA19" s="15" t="s">
        <v>79</v>
      </c>
      <c r="DB19" s="15" t="s">
        <v>124</v>
      </c>
      <c r="DC19" s="30" t="s">
        <v>167</v>
      </c>
      <c r="DD19" s="15" t="s">
        <v>27</v>
      </c>
      <c r="DE19" s="15" t="s">
        <v>27</v>
      </c>
      <c r="DF19" s="15" t="s">
        <v>27</v>
      </c>
      <c r="DG19" s="15" t="s">
        <v>14</v>
      </c>
    </row>
    <row r="20" spans="1:112" ht="18">
      <c r="A20" s="28" t="s">
        <v>191</v>
      </c>
      <c r="B20" s="99" t="s">
        <v>202</v>
      </c>
      <c r="C20" s="15" t="s">
        <v>205</v>
      </c>
      <c r="D20" s="15" t="s">
        <v>206</v>
      </c>
      <c r="E20" s="15" t="s">
        <v>207</v>
      </c>
      <c r="F20" s="15" t="s">
        <v>208</v>
      </c>
      <c r="G20" s="29" t="s">
        <v>215</v>
      </c>
      <c r="H20" s="15" t="s">
        <v>209</v>
      </c>
      <c r="I20" s="15" t="s">
        <v>210</v>
      </c>
      <c r="J20" s="15" t="s">
        <v>211</v>
      </c>
      <c r="K20" s="30" t="s">
        <v>212</v>
      </c>
      <c r="L20" s="15" t="s">
        <v>213</v>
      </c>
      <c r="M20" s="15" t="s">
        <v>213</v>
      </c>
      <c r="N20" s="15" t="s">
        <v>213</v>
      </c>
      <c r="O20" s="15" t="s">
        <v>214</v>
      </c>
      <c r="P20" s="26" t="s">
        <v>196</v>
      </c>
      <c r="Q20" s="28" t="s">
        <v>191</v>
      </c>
      <c r="R20" s="99" t="s">
        <v>202</v>
      </c>
      <c r="S20" s="15" t="s">
        <v>205</v>
      </c>
      <c r="T20" s="15" t="s">
        <v>206</v>
      </c>
      <c r="U20" s="15" t="s">
        <v>207</v>
      </c>
      <c r="V20" s="15" t="s">
        <v>208</v>
      </c>
      <c r="W20" s="29" t="s">
        <v>228</v>
      </c>
      <c r="X20" s="15" t="s">
        <v>209</v>
      </c>
      <c r="Y20" s="15" t="s">
        <v>210</v>
      </c>
      <c r="Z20" s="15" t="s">
        <v>211</v>
      </c>
      <c r="AA20" s="30" t="s">
        <v>212</v>
      </c>
      <c r="AB20" s="15" t="s">
        <v>213</v>
      </c>
      <c r="AC20" s="15" t="s">
        <v>213</v>
      </c>
      <c r="AD20" s="15" t="s">
        <v>213</v>
      </c>
      <c r="AE20" s="15" t="s">
        <v>214</v>
      </c>
      <c r="AF20" s="16" t="s">
        <v>196</v>
      </c>
      <c r="AG20" s="28" t="s">
        <v>191</v>
      </c>
      <c r="AH20" s="99" t="s">
        <v>202</v>
      </c>
      <c r="AI20" s="15" t="s">
        <v>205</v>
      </c>
      <c r="AJ20" s="15" t="s">
        <v>206</v>
      </c>
      <c r="AK20" s="15" t="s">
        <v>207</v>
      </c>
      <c r="AL20" s="15" t="s">
        <v>208</v>
      </c>
      <c r="AM20" s="29" t="s">
        <v>215</v>
      </c>
      <c r="AN20" s="15" t="s">
        <v>209</v>
      </c>
      <c r="AO20" s="15" t="s">
        <v>210</v>
      </c>
      <c r="AP20" s="15" t="s">
        <v>211</v>
      </c>
      <c r="AQ20" s="30" t="s">
        <v>212</v>
      </c>
      <c r="AR20" s="15" t="s">
        <v>213</v>
      </c>
      <c r="AS20" s="15" t="s">
        <v>213</v>
      </c>
      <c r="AT20" s="15" t="s">
        <v>213</v>
      </c>
      <c r="AU20" s="15" t="s">
        <v>214</v>
      </c>
      <c r="AW20" s="28" t="s">
        <v>191</v>
      </c>
      <c r="AX20" s="99" t="s">
        <v>202</v>
      </c>
      <c r="AY20" s="15" t="s">
        <v>205</v>
      </c>
      <c r="AZ20" s="15" t="s">
        <v>206</v>
      </c>
      <c r="BA20" s="15" t="s">
        <v>207</v>
      </c>
      <c r="BB20" s="15" t="s">
        <v>208</v>
      </c>
      <c r="BC20" s="29" t="s">
        <v>228</v>
      </c>
      <c r="BD20" s="15" t="s">
        <v>209</v>
      </c>
      <c r="BE20" s="15" t="s">
        <v>210</v>
      </c>
      <c r="BF20" s="15" t="s">
        <v>211</v>
      </c>
      <c r="BG20" s="30" t="s">
        <v>212</v>
      </c>
      <c r="BH20" s="15" t="s">
        <v>213</v>
      </c>
      <c r="BI20" s="15" t="s">
        <v>213</v>
      </c>
      <c r="BJ20" s="15" t="s">
        <v>213</v>
      </c>
      <c r="BK20" s="15" t="s">
        <v>214</v>
      </c>
      <c r="BM20" s="28" t="s">
        <v>191</v>
      </c>
      <c r="BN20" s="99" t="s">
        <v>202</v>
      </c>
      <c r="BO20" s="20" t="s">
        <v>56</v>
      </c>
      <c r="BP20" s="20" t="s">
        <v>142</v>
      </c>
      <c r="BQ20" s="20" t="s">
        <v>58</v>
      </c>
      <c r="BR20" s="20" t="s">
        <v>129</v>
      </c>
      <c r="BS20" s="29" t="s">
        <v>215</v>
      </c>
      <c r="BT20" s="20" t="s">
        <v>143</v>
      </c>
      <c r="BU20" s="20" t="s">
        <v>61</v>
      </c>
      <c r="BV20" s="20" t="s">
        <v>124</v>
      </c>
      <c r="BW20" s="20" t="s">
        <v>144</v>
      </c>
      <c r="BX20" s="20" t="s">
        <v>24</v>
      </c>
      <c r="BY20" s="20" t="s">
        <v>24</v>
      </c>
      <c r="BZ20" s="20" t="s">
        <v>24</v>
      </c>
      <c r="CA20" s="20" t="s">
        <v>25</v>
      </c>
      <c r="CC20" s="28" t="s">
        <v>191</v>
      </c>
      <c r="CD20" s="99" t="s">
        <v>202</v>
      </c>
      <c r="CE20" s="22" t="s">
        <v>62</v>
      </c>
      <c r="CF20" s="22" t="s">
        <v>145</v>
      </c>
      <c r="CG20" s="22" t="s">
        <v>64</v>
      </c>
      <c r="CH20" s="22" t="s">
        <v>129</v>
      </c>
      <c r="CI20" s="29" t="s">
        <v>215</v>
      </c>
      <c r="CJ20" s="22" t="s">
        <v>146</v>
      </c>
      <c r="CK20" s="22" t="s">
        <v>67</v>
      </c>
      <c r="CL20" s="22" t="s">
        <v>124</v>
      </c>
      <c r="CM20" s="22" t="s">
        <v>147</v>
      </c>
      <c r="CN20" s="22" t="s">
        <v>32</v>
      </c>
      <c r="CO20" s="22" t="s">
        <v>32</v>
      </c>
      <c r="CP20" s="22" t="s">
        <v>32</v>
      </c>
      <c r="CQ20" s="22" t="s">
        <v>14</v>
      </c>
      <c r="CS20" s="28" t="s">
        <v>191</v>
      </c>
      <c r="CT20" s="99" t="s">
        <v>202</v>
      </c>
      <c r="CU20" s="15" t="s">
        <v>205</v>
      </c>
      <c r="CV20" s="15" t="s">
        <v>206</v>
      </c>
      <c r="CW20" s="15" t="s">
        <v>207</v>
      </c>
      <c r="CX20" s="15" t="s">
        <v>208</v>
      </c>
      <c r="CY20" s="29" t="s">
        <v>228</v>
      </c>
      <c r="CZ20" s="15" t="s">
        <v>209</v>
      </c>
      <c r="DA20" s="15" t="s">
        <v>210</v>
      </c>
      <c r="DB20" s="15" t="s">
        <v>211</v>
      </c>
      <c r="DC20" s="30" t="s">
        <v>212</v>
      </c>
      <c r="DD20" s="15" t="s">
        <v>213</v>
      </c>
      <c r="DE20" s="15" t="s">
        <v>213</v>
      </c>
      <c r="DF20" s="15" t="s">
        <v>213</v>
      </c>
      <c r="DG20" s="15" t="s">
        <v>214</v>
      </c>
    </row>
    <row r="21" spans="1:112" ht="18">
      <c r="A21" s="28" t="s">
        <v>191</v>
      </c>
      <c r="B21" s="99" t="s">
        <v>296</v>
      </c>
      <c r="C21" s="15" t="s">
        <v>121</v>
      </c>
      <c r="D21" s="15" t="s">
        <v>122</v>
      </c>
      <c r="E21" s="15" t="s">
        <v>123</v>
      </c>
      <c r="F21" s="15" t="s">
        <v>193</v>
      </c>
      <c r="G21" s="29" t="s">
        <v>298</v>
      </c>
      <c r="H21" s="15" t="s">
        <v>165</v>
      </c>
      <c r="I21" s="15" t="s">
        <v>166</v>
      </c>
      <c r="J21" s="15" t="s">
        <v>124</v>
      </c>
      <c r="K21" s="30" t="s">
        <v>167</v>
      </c>
      <c r="L21" s="15" t="s">
        <v>27</v>
      </c>
      <c r="M21" s="15" t="s">
        <v>27</v>
      </c>
      <c r="N21" s="15" t="s">
        <v>27</v>
      </c>
      <c r="O21" s="15" t="s">
        <v>14</v>
      </c>
      <c r="P21" s="26" t="s">
        <v>196</v>
      </c>
      <c r="Q21" s="28" t="s">
        <v>191</v>
      </c>
      <c r="R21" s="99" t="s">
        <v>296</v>
      </c>
      <c r="S21" s="15" t="s">
        <v>121</v>
      </c>
      <c r="T21" s="15" t="s">
        <v>122</v>
      </c>
      <c r="U21" s="15" t="s">
        <v>123</v>
      </c>
      <c r="V21" s="15" t="s">
        <v>43</v>
      </c>
      <c r="W21" s="29" t="s">
        <v>299</v>
      </c>
      <c r="X21" s="15" t="s">
        <v>168</v>
      </c>
      <c r="Y21" s="15" t="s">
        <v>79</v>
      </c>
      <c r="Z21" s="15" t="s">
        <v>124</v>
      </c>
      <c r="AA21" s="30" t="s">
        <v>167</v>
      </c>
      <c r="AB21" s="15" t="s">
        <v>27</v>
      </c>
      <c r="AC21" s="15" t="s">
        <v>27</v>
      </c>
      <c r="AD21" s="15" t="s">
        <v>27</v>
      </c>
      <c r="AE21" s="15" t="s">
        <v>14</v>
      </c>
      <c r="AF21" s="16" t="s">
        <v>196</v>
      </c>
      <c r="AG21" s="28" t="s">
        <v>191</v>
      </c>
      <c r="AH21" s="99" t="s">
        <v>296</v>
      </c>
      <c r="AI21" s="15" t="s">
        <v>121</v>
      </c>
      <c r="AJ21" s="15" t="s">
        <v>122</v>
      </c>
      <c r="AK21" s="15" t="s">
        <v>123</v>
      </c>
      <c r="AL21" s="15" t="s">
        <v>193</v>
      </c>
      <c r="AM21" s="29" t="s">
        <v>298</v>
      </c>
      <c r="AN21" s="15" t="s">
        <v>165</v>
      </c>
      <c r="AO21" s="15" t="s">
        <v>166</v>
      </c>
      <c r="AP21" s="15" t="s">
        <v>124</v>
      </c>
      <c r="AQ21" s="30" t="s">
        <v>167</v>
      </c>
      <c r="AR21" s="15" t="s">
        <v>27</v>
      </c>
      <c r="AS21" s="15" t="s">
        <v>27</v>
      </c>
      <c r="AT21" s="15" t="s">
        <v>27</v>
      </c>
      <c r="AU21" s="15" t="s">
        <v>14</v>
      </c>
      <c r="AW21" s="28" t="s">
        <v>191</v>
      </c>
      <c r="AX21" s="99" t="s">
        <v>296</v>
      </c>
      <c r="AY21" s="15" t="s">
        <v>121</v>
      </c>
      <c r="AZ21" s="15" t="s">
        <v>122</v>
      </c>
      <c r="BA21" s="15" t="s">
        <v>123</v>
      </c>
      <c r="BB21" s="15" t="s">
        <v>43</v>
      </c>
      <c r="BC21" s="29" t="s">
        <v>299</v>
      </c>
      <c r="BD21" s="15" t="s">
        <v>168</v>
      </c>
      <c r="BE21" s="15" t="s">
        <v>79</v>
      </c>
      <c r="BF21" s="15" t="s">
        <v>124</v>
      </c>
      <c r="BG21" s="30" t="s">
        <v>167</v>
      </c>
      <c r="BH21" s="15" t="s">
        <v>27</v>
      </c>
      <c r="BI21" s="15" t="s">
        <v>27</v>
      </c>
      <c r="BJ21" s="15" t="s">
        <v>27</v>
      </c>
      <c r="BK21" s="15" t="s">
        <v>14</v>
      </c>
      <c r="BM21" s="28" t="s">
        <v>191</v>
      </c>
      <c r="BN21" s="99" t="s">
        <v>296</v>
      </c>
      <c r="BO21" s="20" t="s">
        <v>56</v>
      </c>
      <c r="BP21" s="20" t="s">
        <v>142</v>
      </c>
      <c r="BQ21" s="20" t="s">
        <v>58</v>
      </c>
      <c r="BR21" s="20" t="s">
        <v>129</v>
      </c>
      <c r="BS21" s="29" t="s">
        <v>298</v>
      </c>
      <c r="BT21" s="20" t="s">
        <v>143</v>
      </c>
      <c r="BU21" s="20" t="s">
        <v>61</v>
      </c>
      <c r="BV21" s="20" t="s">
        <v>124</v>
      </c>
      <c r="BW21" s="20" t="s">
        <v>144</v>
      </c>
      <c r="BX21" s="20" t="s">
        <v>24</v>
      </c>
      <c r="BY21" s="20" t="s">
        <v>24</v>
      </c>
      <c r="BZ21" s="20" t="s">
        <v>24</v>
      </c>
      <c r="CA21" s="20" t="s">
        <v>25</v>
      </c>
      <c r="CC21" s="28" t="s">
        <v>191</v>
      </c>
      <c r="CD21" s="99" t="s">
        <v>296</v>
      </c>
      <c r="CE21" s="22" t="s">
        <v>62</v>
      </c>
      <c r="CF21" s="22" t="s">
        <v>145</v>
      </c>
      <c r="CG21" s="22" t="s">
        <v>64</v>
      </c>
      <c r="CH21" s="22" t="s">
        <v>129</v>
      </c>
      <c r="CI21" s="29" t="s">
        <v>298</v>
      </c>
      <c r="CJ21" s="22" t="s">
        <v>146</v>
      </c>
      <c r="CK21" s="22" t="s">
        <v>67</v>
      </c>
      <c r="CL21" s="22" t="s">
        <v>124</v>
      </c>
      <c r="CM21" s="22" t="s">
        <v>147</v>
      </c>
      <c r="CN21" s="22" t="s">
        <v>32</v>
      </c>
      <c r="CO21" s="22" t="s">
        <v>32</v>
      </c>
      <c r="CP21" s="22" t="s">
        <v>32</v>
      </c>
      <c r="CQ21" s="22" t="s">
        <v>14</v>
      </c>
      <c r="CS21" s="28" t="s">
        <v>191</v>
      </c>
      <c r="CT21" s="99" t="s">
        <v>296</v>
      </c>
      <c r="CU21" s="15" t="s">
        <v>121</v>
      </c>
      <c r="CV21" s="15" t="s">
        <v>122</v>
      </c>
      <c r="CW21" s="15" t="s">
        <v>123</v>
      </c>
      <c r="CX21" s="15" t="s">
        <v>43</v>
      </c>
      <c r="CY21" s="29" t="s">
        <v>299</v>
      </c>
      <c r="CZ21" s="15" t="s">
        <v>168</v>
      </c>
      <c r="DA21" s="15" t="s">
        <v>79</v>
      </c>
      <c r="DB21" s="15" t="s">
        <v>124</v>
      </c>
      <c r="DC21" s="30" t="s">
        <v>167</v>
      </c>
      <c r="DD21" s="15" t="s">
        <v>27</v>
      </c>
      <c r="DE21" s="15" t="s">
        <v>27</v>
      </c>
      <c r="DF21" s="15" t="s">
        <v>27</v>
      </c>
      <c r="DG21" s="15" t="s">
        <v>14</v>
      </c>
    </row>
    <row r="22" spans="1:112" ht="18">
      <c r="A22" s="28" t="s">
        <v>191</v>
      </c>
      <c r="B22" s="99" t="s">
        <v>297</v>
      </c>
      <c r="C22" s="15" t="s">
        <v>205</v>
      </c>
      <c r="D22" s="15" t="s">
        <v>206</v>
      </c>
      <c r="E22" s="15" t="s">
        <v>207</v>
      </c>
      <c r="F22" s="15" t="s">
        <v>208</v>
      </c>
      <c r="G22" s="103" t="s">
        <v>307</v>
      </c>
      <c r="H22" s="15" t="s">
        <v>209</v>
      </c>
      <c r="I22" s="15" t="s">
        <v>210</v>
      </c>
      <c r="J22" s="15" t="s">
        <v>211</v>
      </c>
      <c r="K22" s="30" t="s">
        <v>212</v>
      </c>
      <c r="L22" s="15" t="s">
        <v>213</v>
      </c>
      <c r="M22" s="15" t="s">
        <v>213</v>
      </c>
      <c r="N22" s="15" t="s">
        <v>213</v>
      </c>
      <c r="O22" s="15" t="s">
        <v>214</v>
      </c>
      <c r="P22" s="26" t="s">
        <v>196</v>
      </c>
      <c r="Q22" s="28" t="s">
        <v>191</v>
      </c>
      <c r="R22" s="99" t="s">
        <v>297</v>
      </c>
      <c r="S22" s="15" t="s">
        <v>205</v>
      </c>
      <c r="T22" s="15" t="s">
        <v>206</v>
      </c>
      <c r="U22" s="15" t="s">
        <v>207</v>
      </c>
      <c r="V22" s="15" t="s">
        <v>208</v>
      </c>
      <c r="W22" s="105" t="s">
        <v>309</v>
      </c>
      <c r="X22" s="15" t="s">
        <v>209</v>
      </c>
      <c r="Y22" s="15" t="s">
        <v>210</v>
      </c>
      <c r="Z22" s="15" t="s">
        <v>211</v>
      </c>
      <c r="AA22" s="30" t="s">
        <v>212</v>
      </c>
      <c r="AB22" s="15" t="s">
        <v>213</v>
      </c>
      <c r="AC22" s="15" t="s">
        <v>213</v>
      </c>
      <c r="AD22" s="15" t="s">
        <v>213</v>
      </c>
      <c r="AE22" s="15" t="s">
        <v>214</v>
      </c>
      <c r="AF22" s="16" t="s">
        <v>196</v>
      </c>
      <c r="AG22" s="28" t="s">
        <v>191</v>
      </c>
      <c r="AH22" s="99" t="s">
        <v>297</v>
      </c>
      <c r="AI22" s="15" t="s">
        <v>205</v>
      </c>
      <c r="AJ22" s="15" t="s">
        <v>206</v>
      </c>
      <c r="AK22" s="15" t="s">
        <v>207</v>
      </c>
      <c r="AL22" s="15" t="s">
        <v>208</v>
      </c>
      <c r="AM22" s="105" t="s">
        <v>307</v>
      </c>
      <c r="AN22" s="15" t="s">
        <v>209</v>
      </c>
      <c r="AO22" s="15" t="s">
        <v>210</v>
      </c>
      <c r="AP22" s="15" t="s">
        <v>211</v>
      </c>
      <c r="AQ22" s="30" t="s">
        <v>212</v>
      </c>
      <c r="AR22" s="15" t="s">
        <v>213</v>
      </c>
      <c r="AS22" s="15" t="s">
        <v>213</v>
      </c>
      <c r="AT22" s="15" t="s">
        <v>213</v>
      </c>
      <c r="AU22" s="15" t="s">
        <v>214</v>
      </c>
      <c r="AW22" s="28" t="s">
        <v>191</v>
      </c>
      <c r="AX22" s="99" t="s">
        <v>297</v>
      </c>
      <c r="AY22" s="15" t="s">
        <v>205</v>
      </c>
      <c r="AZ22" s="15" t="s">
        <v>206</v>
      </c>
      <c r="BA22" s="15" t="s">
        <v>207</v>
      </c>
      <c r="BB22" s="15" t="s">
        <v>208</v>
      </c>
      <c r="BC22" s="105" t="s">
        <v>309</v>
      </c>
      <c r="BD22" s="15" t="s">
        <v>209</v>
      </c>
      <c r="BE22" s="15" t="s">
        <v>210</v>
      </c>
      <c r="BF22" s="15" t="s">
        <v>211</v>
      </c>
      <c r="BG22" s="30" t="s">
        <v>212</v>
      </c>
      <c r="BH22" s="15" t="s">
        <v>213</v>
      </c>
      <c r="BI22" s="15" t="s">
        <v>213</v>
      </c>
      <c r="BJ22" s="15" t="s">
        <v>213</v>
      </c>
      <c r="BK22" s="15" t="s">
        <v>214</v>
      </c>
      <c r="BM22" s="28" t="s">
        <v>191</v>
      </c>
      <c r="BN22" s="99" t="s">
        <v>297</v>
      </c>
      <c r="BO22" s="20" t="s">
        <v>56</v>
      </c>
      <c r="BP22" s="20" t="s">
        <v>142</v>
      </c>
      <c r="BQ22" s="20" t="s">
        <v>58</v>
      </c>
      <c r="BR22" s="20" t="s">
        <v>129</v>
      </c>
      <c r="BS22" s="105" t="s">
        <v>307</v>
      </c>
      <c r="BT22" s="20" t="s">
        <v>143</v>
      </c>
      <c r="BU22" s="20" t="s">
        <v>61</v>
      </c>
      <c r="BV22" s="20" t="s">
        <v>124</v>
      </c>
      <c r="BW22" s="20" t="s">
        <v>144</v>
      </c>
      <c r="BX22" s="20" t="s">
        <v>24</v>
      </c>
      <c r="BY22" s="20" t="s">
        <v>24</v>
      </c>
      <c r="BZ22" s="20" t="s">
        <v>24</v>
      </c>
      <c r="CA22" s="20" t="s">
        <v>25</v>
      </c>
      <c r="CC22" s="28" t="s">
        <v>191</v>
      </c>
      <c r="CD22" s="99" t="s">
        <v>297</v>
      </c>
      <c r="CE22" s="22" t="s">
        <v>62</v>
      </c>
      <c r="CF22" s="22" t="s">
        <v>145</v>
      </c>
      <c r="CG22" s="22" t="s">
        <v>64</v>
      </c>
      <c r="CH22" s="22" t="s">
        <v>129</v>
      </c>
      <c r="CI22" s="29" t="s">
        <v>307</v>
      </c>
      <c r="CJ22" s="22" t="s">
        <v>146</v>
      </c>
      <c r="CK22" s="22" t="s">
        <v>67</v>
      </c>
      <c r="CL22" s="22" t="s">
        <v>124</v>
      </c>
      <c r="CM22" s="22" t="s">
        <v>147</v>
      </c>
      <c r="CN22" s="22" t="s">
        <v>32</v>
      </c>
      <c r="CO22" s="22" t="s">
        <v>32</v>
      </c>
      <c r="CP22" s="22" t="s">
        <v>32</v>
      </c>
      <c r="CQ22" s="22" t="s">
        <v>14</v>
      </c>
      <c r="CS22" s="28" t="s">
        <v>191</v>
      </c>
      <c r="CT22" s="99" t="s">
        <v>297</v>
      </c>
      <c r="CU22" s="15" t="s">
        <v>205</v>
      </c>
      <c r="CV22" s="15" t="s">
        <v>206</v>
      </c>
      <c r="CW22" s="15" t="s">
        <v>207</v>
      </c>
      <c r="CX22" s="15" t="s">
        <v>208</v>
      </c>
      <c r="CY22" s="29" t="s">
        <v>309</v>
      </c>
      <c r="CZ22" s="15" t="s">
        <v>209</v>
      </c>
      <c r="DA22" s="15" t="s">
        <v>210</v>
      </c>
      <c r="DB22" s="15" t="s">
        <v>211</v>
      </c>
      <c r="DC22" s="30" t="s">
        <v>212</v>
      </c>
      <c r="DD22" s="15" t="s">
        <v>213</v>
      </c>
      <c r="DE22" s="15" t="s">
        <v>213</v>
      </c>
      <c r="DF22" s="15" t="s">
        <v>213</v>
      </c>
      <c r="DG22" s="15" t="s">
        <v>214</v>
      </c>
    </row>
    <row r="23" spans="1:112" s="38" customFormat="1">
      <c r="A23" s="33" t="s">
        <v>18</v>
      </c>
      <c r="B23" s="6" t="s">
        <v>230</v>
      </c>
      <c r="C23" s="34" t="s">
        <v>177</v>
      </c>
      <c r="D23" s="34" t="s">
        <v>178</v>
      </c>
      <c r="E23" s="34" t="s">
        <v>123</v>
      </c>
      <c r="F23" s="34" t="s">
        <v>129</v>
      </c>
      <c r="G23" s="34" t="s">
        <v>179</v>
      </c>
      <c r="H23" s="34" t="s">
        <v>165</v>
      </c>
      <c r="I23" s="34" t="s">
        <v>166</v>
      </c>
      <c r="J23" s="34" t="s">
        <v>124</v>
      </c>
      <c r="K23" s="34" t="s">
        <v>131</v>
      </c>
      <c r="L23" s="34" t="s">
        <v>27</v>
      </c>
      <c r="M23" s="34" t="s">
        <v>27</v>
      </c>
      <c r="N23" s="34" t="s">
        <v>27</v>
      </c>
      <c r="O23" s="34" t="s">
        <v>14</v>
      </c>
      <c r="P23" s="35"/>
      <c r="Q23" s="33" t="s">
        <v>18</v>
      </c>
      <c r="R23" s="6" t="s">
        <v>230</v>
      </c>
      <c r="S23" s="34" t="s">
        <v>177</v>
      </c>
      <c r="T23" s="34" t="s">
        <v>178</v>
      </c>
      <c r="U23" s="34" t="s">
        <v>123</v>
      </c>
      <c r="V23" s="34" t="s">
        <v>43</v>
      </c>
      <c r="W23" s="34" t="s">
        <v>180</v>
      </c>
      <c r="X23" s="34" t="s">
        <v>168</v>
      </c>
      <c r="Y23" s="34" t="s">
        <v>79</v>
      </c>
      <c r="Z23" s="34" t="s">
        <v>124</v>
      </c>
      <c r="AA23" s="34" t="s">
        <v>131</v>
      </c>
      <c r="AB23" s="34" t="s">
        <v>27</v>
      </c>
      <c r="AC23" s="34" t="s">
        <v>27</v>
      </c>
      <c r="AD23" s="34" t="s">
        <v>27</v>
      </c>
      <c r="AE23" s="34" t="s">
        <v>14</v>
      </c>
      <c r="AF23" s="36"/>
      <c r="AG23" s="33" t="s">
        <v>18</v>
      </c>
      <c r="AH23" s="6" t="s">
        <v>230</v>
      </c>
      <c r="AI23" s="34" t="s">
        <v>80</v>
      </c>
      <c r="AJ23" s="34" t="s">
        <v>136</v>
      </c>
      <c r="AK23" s="34" t="s">
        <v>46</v>
      </c>
      <c r="AL23" s="34" t="s">
        <v>47</v>
      </c>
      <c r="AM23" s="34" t="s">
        <v>181</v>
      </c>
      <c r="AN23" s="34" t="s">
        <v>171</v>
      </c>
      <c r="AO23" s="34" t="s">
        <v>81</v>
      </c>
      <c r="AP23" s="34" t="s">
        <v>124</v>
      </c>
      <c r="AQ23" s="34" t="s">
        <v>138</v>
      </c>
      <c r="AR23" s="34" t="s">
        <v>27</v>
      </c>
      <c r="AS23" s="34" t="s">
        <v>27</v>
      </c>
      <c r="AT23" s="34" t="s">
        <v>27</v>
      </c>
      <c r="AU23" s="37" t="s">
        <v>14</v>
      </c>
      <c r="AV23" s="36"/>
      <c r="AW23" s="33" t="s">
        <v>18</v>
      </c>
      <c r="AX23" s="6" t="s">
        <v>230</v>
      </c>
      <c r="AY23" s="34" t="s">
        <v>82</v>
      </c>
      <c r="AZ23" s="34" t="s">
        <v>139</v>
      </c>
      <c r="BA23" s="34" t="s">
        <v>52</v>
      </c>
      <c r="BB23" s="34" t="s">
        <v>53</v>
      </c>
      <c r="BC23" s="34" t="s">
        <v>182</v>
      </c>
      <c r="BD23" s="34" t="s">
        <v>173</v>
      </c>
      <c r="BE23" s="34" t="s">
        <v>83</v>
      </c>
      <c r="BF23" s="34" t="s">
        <v>124</v>
      </c>
      <c r="BG23" s="34" t="s">
        <v>141</v>
      </c>
      <c r="BH23" s="34" t="s">
        <v>23</v>
      </c>
      <c r="BI23" s="34" t="s">
        <v>23</v>
      </c>
      <c r="BJ23" s="34" t="s">
        <v>23</v>
      </c>
      <c r="BK23" s="34" t="s">
        <v>14</v>
      </c>
      <c r="BL23" s="36"/>
      <c r="BM23" s="33" t="s">
        <v>18</v>
      </c>
      <c r="BN23" s="6" t="s">
        <v>230</v>
      </c>
      <c r="BO23" s="34" t="s">
        <v>84</v>
      </c>
      <c r="BP23" s="34" t="s">
        <v>142</v>
      </c>
      <c r="BQ23" s="34" t="s">
        <v>58</v>
      </c>
      <c r="BR23" s="34" t="s">
        <v>59</v>
      </c>
      <c r="BS23" s="34" t="s">
        <v>183</v>
      </c>
      <c r="BT23" s="34" t="s">
        <v>174</v>
      </c>
      <c r="BU23" s="34" t="s">
        <v>85</v>
      </c>
      <c r="BV23" s="34" t="s">
        <v>124</v>
      </c>
      <c r="BW23" s="34" t="s">
        <v>144</v>
      </c>
      <c r="BX23" s="34" t="s">
        <v>24</v>
      </c>
      <c r="BY23" s="34" t="s">
        <v>24</v>
      </c>
      <c r="BZ23" s="34" t="s">
        <v>24</v>
      </c>
      <c r="CA23" s="34" t="s">
        <v>25</v>
      </c>
      <c r="CB23" s="34"/>
      <c r="CC23" s="33" t="s">
        <v>18</v>
      </c>
      <c r="CD23" s="6" t="s">
        <v>230</v>
      </c>
      <c r="CE23" s="34" t="s">
        <v>86</v>
      </c>
      <c r="CF23" s="34" t="s">
        <v>145</v>
      </c>
      <c r="CG23" s="34" t="s">
        <v>64</v>
      </c>
      <c r="CH23" s="34" t="s">
        <v>65</v>
      </c>
      <c r="CI23" s="34" t="s">
        <v>184</v>
      </c>
      <c r="CJ23" s="34" t="s">
        <v>175</v>
      </c>
      <c r="CK23" s="34" t="s">
        <v>87</v>
      </c>
      <c r="CL23" s="34" t="s">
        <v>124</v>
      </c>
      <c r="CM23" s="34" t="s">
        <v>147</v>
      </c>
      <c r="CN23" s="34" t="s">
        <v>32</v>
      </c>
      <c r="CO23" s="34" t="s">
        <v>32</v>
      </c>
      <c r="CP23" s="34" t="s">
        <v>32</v>
      </c>
      <c r="CQ23" s="34" t="s">
        <v>14</v>
      </c>
      <c r="CR23" s="36"/>
      <c r="CS23" s="33" t="s">
        <v>18</v>
      </c>
      <c r="CT23" s="6" t="s">
        <v>230</v>
      </c>
      <c r="CU23" s="34" t="s">
        <v>88</v>
      </c>
      <c r="CV23" s="34" t="s">
        <v>148</v>
      </c>
      <c r="CW23" s="34" t="s">
        <v>70</v>
      </c>
      <c r="CX23" s="34" t="s">
        <v>71</v>
      </c>
      <c r="CY23" s="34" t="s">
        <v>185</v>
      </c>
      <c r="CZ23" s="34" t="s">
        <v>176</v>
      </c>
      <c r="DA23" s="34" t="s">
        <v>89</v>
      </c>
      <c r="DB23" s="34" t="s">
        <v>124</v>
      </c>
      <c r="DC23" s="34" t="s">
        <v>150</v>
      </c>
      <c r="DD23" s="34" t="s">
        <v>31</v>
      </c>
      <c r="DE23" s="34" t="s">
        <v>31</v>
      </c>
      <c r="DF23" s="34" t="s">
        <v>31</v>
      </c>
      <c r="DG23" s="37" t="s">
        <v>14</v>
      </c>
      <c r="DH23" s="36"/>
    </row>
    <row r="24" spans="1:112" s="38" customFormat="1">
      <c r="A24" s="33" t="s">
        <v>18</v>
      </c>
      <c r="B24" s="6" t="s">
        <v>231</v>
      </c>
      <c r="C24" s="34" t="s">
        <v>177</v>
      </c>
      <c r="D24" s="34" t="s">
        <v>178</v>
      </c>
      <c r="E24" s="34" t="s">
        <v>123</v>
      </c>
      <c r="F24" s="34" t="s">
        <v>129</v>
      </c>
      <c r="G24" s="34" t="s">
        <v>179</v>
      </c>
      <c r="H24" s="34" t="s">
        <v>165</v>
      </c>
      <c r="I24" s="34" t="s">
        <v>166</v>
      </c>
      <c r="J24" s="34" t="s">
        <v>124</v>
      </c>
      <c r="K24" s="34" t="s">
        <v>131</v>
      </c>
      <c r="L24" s="34" t="s">
        <v>27</v>
      </c>
      <c r="M24" s="34" t="s">
        <v>27</v>
      </c>
      <c r="N24" s="34" t="s">
        <v>27</v>
      </c>
      <c r="O24" s="34" t="s">
        <v>14</v>
      </c>
      <c r="P24" s="35"/>
      <c r="Q24" s="33" t="s">
        <v>18</v>
      </c>
      <c r="R24" s="6" t="s">
        <v>231</v>
      </c>
      <c r="S24" s="34" t="s">
        <v>177</v>
      </c>
      <c r="T24" s="34" t="s">
        <v>178</v>
      </c>
      <c r="U24" s="34" t="s">
        <v>123</v>
      </c>
      <c r="V24" s="34" t="s">
        <v>43</v>
      </c>
      <c r="W24" s="34" t="s">
        <v>180</v>
      </c>
      <c r="X24" s="34" t="s">
        <v>168</v>
      </c>
      <c r="Y24" s="34" t="s">
        <v>79</v>
      </c>
      <c r="Z24" s="34" t="s">
        <v>124</v>
      </c>
      <c r="AA24" s="34" t="s">
        <v>131</v>
      </c>
      <c r="AB24" s="34" t="s">
        <v>27</v>
      </c>
      <c r="AC24" s="34" t="s">
        <v>27</v>
      </c>
      <c r="AD24" s="34" t="s">
        <v>27</v>
      </c>
      <c r="AE24" s="34" t="s">
        <v>14</v>
      </c>
      <c r="AF24" s="36"/>
      <c r="AG24" s="33" t="s">
        <v>18</v>
      </c>
      <c r="AH24" s="6" t="s">
        <v>231</v>
      </c>
      <c r="AI24" s="34" t="s">
        <v>80</v>
      </c>
      <c r="AJ24" s="34" t="s">
        <v>136</v>
      </c>
      <c r="AK24" s="34" t="s">
        <v>46</v>
      </c>
      <c r="AL24" s="34" t="s">
        <v>47</v>
      </c>
      <c r="AM24" s="34" t="s">
        <v>181</v>
      </c>
      <c r="AN24" s="34" t="s">
        <v>171</v>
      </c>
      <c r="AO24" s="34" t="s">
        <v>81</v>
      </c>
      <c r="AP24" s="34" t="s">
        <v>124</v>
      </c>
      <c r="AQ24" s="34" t="s">
        <v>138</v>
      </c>
      <c r="AR24" s="34" t="s">
        <v>27</v>
      </c>
      <c r="AS24" s="34" t="s">
        <v>27</v>
      </c>
      <c r="AT24" s="34" t="s">
        <v>27</v>
      </c>
      <c r="AU24" s="37" t="s">
        <v>14</v>
      </c>
      <c r="AV24" s="36"/>
      <c r="AW24" s="33" t="s">
        <v>18</v>
      </c>
      <c r="AX24" s="6" t="s">
        <v>231</v>
      </c>
      <c r="AY24" s="34" t="s">
        <v>82</v>
      </c>
      <c r="AZ24" s="34" t="s">
        <v>139</v>
      </c>
      <c r="BA24" s="34" t="s">
        <v>52</v>
      </c>
      <c r="BB24" s="34" t="s">
        <v>53</v>
      </c>
      <c r="BC24" s="34" t="s">
        <v>182</v>
      </c>
      <c r="BD24" s="34" t="s">
        <v>173</v>
      </c>
      <c r="BE24" s="34" t="s">
        <v>83</v>
      </c>
      <c r="BF24" s="34" t="s">
        <v>124</v>
      </c>
      <c r="BG24" s="34" t="s">
        <v>141</v>
      </c>
      <c r="BH24" s="34" t="s">
        <v>23</v>
      </c>
      <c r="BI24" s="34" t="s">
        <v>23</v>
      </c>
      <c r="BJ24" s="34" t="s">
        <v>23</v>
      </c>
      <c r="BK24" s="34" t="s">
        <v>14</v>
      </c>
      <c r="BL24" s="36"/>
      <c r="BM24" s="33" t="s">
        <v>18</v>
      </c>
      <c r="BN24" s="6" t="s">
        <v>231</v>
      </c>
      <c r="BO24" s="34" t="s">
        <v>84</v>
      </c>
      <c r="BP24" s="34" t="s">
        <v>142</v>
      </c>
      <c r="BQ24" s="34" t="s">
        <v>58</v>
      </c>
      <c r="BR24" s="34" t="s">
        <v>59</v>
      </c>
      <c r="BS24" s="34" t="s">
        <v>183</v>
      </c>
      <c r="BT24" s="34" t="s">
        <v>174</v>
      </c>
      <c r="BU24" s="34" t="s">
        <v>85</v>
      </c>
      <c r="BV24" s="34" t="s">
        <v>124</v>
      </c>
      <c r="BW24" s="34" t="s">
        <v>144</v>
      </c>
      <c r="BX24" s="34" t="s">
        <v>24</v>
      </c>
      <c r="BY24" s="34" t="s">
        <v>24</v>
      </c>
      <c r="BZ24" s="34" t="s">
        <v>24</v>
      </c>
      <c r="CA24" s="34" t="s">
        <v>25</v>
      </c>
      <c r="CB24" s="34"/>
      <c r="CC24" s="33" t="s">
        <v>18</v>
      </c>
      <c r="CD24" s="6" t="s">
        <v>231</v>
      </c>
      <c r="CE24" s="34" t="s">
        <v>86</v>
      </c>
      <c r="CF24" s="34" t="s">
        <v>145</v>
      </c>
      <c r="CG24" s="34" t="s">
        <v>64</v>
      </c>
      <c r="CH24" s="34" t="s">
        <v>65</v>
      </c>
      <c r="CI24" s="34" t="s">
        <v>184</v>
      </c>
      <c r="CJ24" s="34" t="s">
        <v>175</v>
      </c>
      <c r="CK24" s="34" t="s">
        <v>87</v>
      </c>
      <c r="CL24" s="34" t="s">
        <v>124</v>
      </c>
      <c r="CM24" s="34" t="s">
        <v>147</v>
      </c>
      <c r="CN24" s="34" t="s">
        <v>32</v>
      </c>
      <c r="CO24" s="34" t="s">
        <v>32</v>
      </c>
      <c r="CP24" s="34" t="s">
        <v>32</v>
      </c>
      <c r="CQ24" s="34" t="s">
        <v>14</v>
      </c>
      <c r="CR24" s="36"/>
      <c r="CS24" s="33" t="s">
        <v>18</v>
      </c>
      <c r="CT24" s="6" t="s">
        <v>231</v>
      </c>
      <c r="CU24" s="34" t="s">
        <v>88</v>
      </c>
      <c r="CV24" s="34" t="s">
        <v>148</v>
      </c>
      <c r="CW24" s="34" t="s">
        <v>70</v>
      </c>
      <c r="CX24" s="34" t="s">
        <v>71</v>
      </c>
      <c r="CY24" s="34" t="s">
        <v>185</v>
      </c>
      <c r="CZ24" s="34" t="s">
        <v>176</v>
      </c>
      <c r="DA24" s="34" t="s">
        <v>89</v>
      </c>
      <c r="DB24" s="34" t="s">
        <v>124</v>
      </c>
      <c r="DC24" s="34" t="s">
        <v>150</v>
      </c>
      <c r="DD24" s="34" t="s">
        <v>31</v>
      </c>
      <c r="DE24" s="34" t="s">
        <v>31</v>
      </c>
      <c r="DF24" s="34" t="s">
        <v>31</v>
      </c>
      <c r="DG24" s="37" t="s">
        <v>14</v>
      </c>
      <c r="DH24" s="36"/>
    </row>
    <row r="25" spans="1:112" ht="18">
      <c r="A25" s="31" t="s">
        <v>10</v>
      </c>
      <c r="B25" s="106" t="s">
        <v>311</v>
      </c>
      <c r="C25" s="109" t="s">
        <v>128</v>
      </c>
      <c r="D25" s="108" t="s">
        <v>151</v>
      </c>
      <c r="E25" s="108" t="s">
        <v>123</v>
      </c>
      <c r="F25" s="108" t="s">
        <v>129</v>
      </c>
      <c r="G25" s="108" t="s">
        <v>133</v>
      </c>
      <c r="H25" s="108" t="s">
        <v>134</v>
      </c>
      <c r="I25" s="108" t="s">
        <v>135</v>
      </c>
      <c r="J25" s="108" t="s">
        <v>124</v>
      </c>
      <c r="K25" s="108" t="s">
        <v>315</v>
      </c>
      <c r="L25" s="108" t="s">
        <v>27</v>
      </c>
      <c r="M25" s="108" t="s">
        <v>27</v>
      </c>
      <c r="N25" s="108" t="s">
        <v>27</v>
      </c>
      <c r="O25" s="108" t="s">
        <v>14</v>
      </c>
      <c r="P25" s="110"/>
      <c r="Q25" s="31" t="s">
        <v>10</v>
      </c>
      <c r="R25" s="106" t="s">
        <v>311</v>
      </c>
      <c r="S25" s="111" t="s">
        <v>281</v>
      </c>
      <c r="T25" s="111" t="s">
        <v>151</v>
      </c>
      <c r="U25" s="111" t="s">
        <v>123</v>
      </c>
      <c r="V25" s="111" t="s">
        <v>129</v>
      </c>
      <c r="W25" s="111" t="s">
        <v>133</v>
      </c>
      <c r="X25" s="111" t="s">
        <v>134</v>
      </c>
      <c r="Y25" s="111" t="s">
        <v>135</v>
      </c>
      <c r="Z25" s="111" t="s">
        <v>124</v>
      </c>
      <c r="AA25" s="111" t="s">
        <v>317</v>
      </c>
      <c r="AB25" s="111" t="s">
        <v>27</v>
      </c>
      <c r="AC25" s="111" t="s">
        <v>27</v>
      </c>
      <c r="AD25" s="111" t="s">
        <v>27</v>
      </c>
      <c r="AE25" s="111" t="s">
        <v>14</v>
      </c>
      <c r="AF25" s="110"/>
      <c r="AG25" s="31" t="s">
        <v>10</v>
      </c>
      <c r="AH25" s="106" t="s">
        <v>311</v>
      </c>
      <c r="AI25" s="113" t="s">
        <v>277</v>
      </c>
      <c r="AJ25" s="112" t="s">
        <v>19</v>
      </c>
      <c r="AK25" s="112" t="s">
        <v>20</v>
      </c>
      <c r="AL25" s="112" t="s">
        <v>129</v>
      </c>
      <c r="AM25" s="112" t="s">
        <v>21</v>
      </c>
      <c r="AN25" s="112" t="s">
        <v>130</v>
      </c>
      <c r="AO25" s="112" t="s">
        <v>22</v>
      </c>
      <c r="AP25" s="112" t="s">
        <v>124</v>
      </c>
      <c r="AQ25" s="112" t="s">
        <v>315</v>
      </c>
      <c r="AR25" s="112" t="s">
        <v>27</v>
      </c>
      <c r="AS25" s="112" t="s">
        <v>27</v>
      </c>
      <c r="AT25" s="112" t="s">
        <v>27</v>
      </c>
      <c r="AU25" s="114" t="s">
        <v>14</v>
      </c>
      <c r="AV25" s="110"/>
      <c r="AW25" s="31" t="s">
        <v>10</v>
      </c>
      <c r="AX25" s="106" t="s">
        <v>311</v>
      </c>
      <c r="AY25" s="115" t="s">
        <v>50</v>
      </c>
      <c r="AZ25" s="115" t="s">
        <v>51</v>
      </c>
      <c r="BA25" s="115" t="s">
        <v>52</v>
      </c>
      <c r="BB25" s="115" t="s">
        <v>129</v>
      </c>
      <c r="BC25" s="115" t="s">
        <v>54</v>
      </c>
      <c r="BD25" s="115" t="s">
        <v>140</v>
      </c>
      <c r="BE25" s="115" t="s">
        <v>55</v>
      </c>
      <c r="BF25" s="115" t="s">
        <v>124</v>
      </c>
      <c r="BG25" s="115" t="s">
        <v>318</v>
      </c>
      <c r="BH25" s="115" t="s">
        <v>23</v>
      </c>
      <c r="BI25" s="115" t="s">
        <v>23</v>
      </c>
      <c r="BJ25" s="115" t="s">
        <v>23</v>
      </c>
      <c r="BK25" s="115" t="s">
        <v>14</v>
      </c>
      <c r="BL25" s="110"/>
      <c r="BM25" s="31" t="s">
        <v>10</v>
      </c>
      <c r="BN25" s="106" t="s">
        <v>311</v>
      </c>
      <c r="BO25" s="116" t="s">
        <v>319</v>
      </c>
      <c r="BP25" s="116" t="s">
        <v>320</v>
      </c>
      <c r="BQ25" s="116" t="s">
        <v>321</v>
      </c>
      <c r="BR25" s="116" t="s">
        <v>129</v>
      </c>
      <c r="BS25" s="116" t="s">
        <v>322</v>
      </c>
      <c r="BT25" s="116" t="s">
        <v>323</v>
      </c>
      <c r="BU25" s="116" t="s">
        <v>324</v>
      </c>
      <c r="BV25" s="116" t="s">
        <v>124</v>
      </c>
      <c r="BW25" s="116" t="s">
        <v>325</v>
      </c>
      <c r="BX25" s="116" t="s">
        <v>326</v>
      </c>
      <c r="BY25" s="116" t="s">
        <v>326</v>
      </c>
      <c r="BZ25" s="116" t="s">
        <v>326</v>
      </c>
      <c r="CA25" s="116" t="s">
        <v>25</v>
      </c>
      <c r="CB25" s="107"/>
      <c r="CC25" s="31" t="s">
        <v>10</v>
      </c>
      <c r="CD25" s="106" t="s">
        <v>311</v>
      </c>
      <c r="CE25" s="117" t="s">
        <v>62</v>
      </c>
      <c r="CF25" s="117" t="s">
        <v>63</v>
      </c>
      <c r="CG25" s="117" t="s">
        <v>64</v>
      </c>
      <c r="CH25" s="117" t="s">
        <v>129</v>
      </c>
      <c r="CI25" s="117" t="s">
        <v>66</v>
      </c>
      <c r="CJ25" s="117" t="s">
        <v>146</v>
      </c>
      <c r="CK25" s="117" t="s">
        <v>67</v>
      </c>
      <c r="CL25" s="117" t="s">
        <v>124</v>
      </c>
      <c r="CM25" s="117" t="s">
        <v>327</v>
      </c>
      <c r="CN25" s="117" t="s">
        <v>32</v>
      </c>
      <c r="CO25" s="117" t="s">
        <v>32</v>
      </c>
      <c r="CP25" s="117" t="s">
        <v>32</v>
      </c>
      <c r="CQ25" s="117" t="s">
        <v>14</v>
      </c>
      <c r="CR25" s="110"/>
      <c r="CS25" s="31" t="s">
        <v>10</v>
      </c>
      <c r="CT25" s="106" t="s">
        <v>311</v>
      </c>
      <c r="CU25" s="118" t="s">
        <v>68</v>
      </c>
      <c r="CV25" s="118" t="s">
        <v>69</v>
      </c>
      <c r="CW25" s="118" t="s">
        <v>70</v>
      </c>
      <c r="CX25" s="118" t="s">
        <v>129</v>
      </c>
      <c r="CY25" s="118" t="s">
        <v>72</v>
      </c>
      <c r="CZ25" s="118" t="s">
        <v>149</v>
      </c>
      <c r="DA25" s="118" t="s">
        <v>73</v>
      </c>
      <c r="DB25" s="118" t="s">
        <v>124</v>
      </c>
      <c r="DC25" s="118" t="s">
        <v>328</v>
      </c>
      <c r="DD25" s="118" t="s">
        <v>31</v>
      </c>
      <c r="DE25" s="118" t="s">
        <v>31</v>
      </c>
      <c r="DF25" s="118" t="s">
        <v>31</v>
      </c>
      <c r="DG25" s="119" t="s">
        <v>14</v>
      </c>
      <c r="DH25" s="110"/>
    </row>
    <row r="26" spans="1:112" ht="18">
      <c r="A26" s="31" t="s">
        <v>10</v>
      </c>
      <c r="B26" s="106" t="s">
        <v>312</v>
      </c>
      <c r="C26" s="109" t="s">
        <v>234</v>
      </c>
      <c r="D26" s="108" t="s">
        <v>151</v>
      </c>
      <c r="E26" s="108" t="s">
        <v>123</v>
      </c>
      <c r="F26" s="108" t="s">
        <v>129</v>
      </c>
      <c r="G26" s="108" t="s">
        <v>133</v>
      </c>
      <c r="H26" s="108" t="s">
        <v>134</v>
      </c>
      <c r="I26" s="108" t="s">
        <v>135</v>
      </c>
      <c r="J26" s="108" t="s">
        <v>124</v>
      </c>
      <c r="K26" s="108" t="s">
        <v>152</v>
      </c>
      <c r="L26" s="108" t="s">
        <v>27</v>
      </c>
      <c r="M26" s="108" t="s">
        <v>27</v>
      </c>
      <c r="N26" s="108" t="s">
        <v>27</v>
      </c>
      <c r="O26" s="108" t="s">
        <v>14</v>
      </c>
      <c r="P26" s="110"/>
      <c r="Q26" s="31" t="s">
        <v>10</v>
      </c>
      <c r="R26" s="106" t="s">
        <v>312</v>
      </c>
      <c r="S26" s="111" t="s">
        <v>153</v>
      </c>
      <c r="T26" s="111" t="s">
        <v>151</v>
      </c>
      <c r="U26" s="111" t="s">
        <v>123</v>
      </c>
      <c r="V26" s="111" t="s">
        <v>129</v>
      </c>
      <c r="W26" s="111" t="s">
        <v>133</v>
      </c>
      <c r="X26" s="111" t="s">
        <v>134</v>
      </c>
      <c r="Y26" s="111" t="s">
        <v>135</v>
      </c>
      <c r="Z26" s="111" t="s">
        <v>124</v>
      </c>
      <c r="AA26" s="111" t="s">
        <v>330</v>
      </c>
      <c r="AB26" s="111" t="s">
        <v>27</v>
      </c>
      <c r="AC26" s="111" t="s">
        <v>27</v>
      </c>
      <c r="AD26" s="111" t="s">
        <v>27</v>
      </c>
      <c r="AE26" s="111" t="s">
        <v>14</v>
      </c>
      <c r="AF26" s="110"/>
      <c r="AG26" s="31" t="s">
        <v>10</v>
      </c>
      <c r="AH26" s="106" t="s">
        <v>312</v>
      </c>
      <c r="AI26" s="113" t="s">
        <v>333</v>
      </c>
      <c r="AJ26" s="112" t="s">
        <v>19</v>
      </c>
      <c r="AK26" s="112" t="s">
        <v>20</v>
      </c>
      <c r="AL26" s="112" t="s">
        <v>129</v>
      </c>
      <c r="AM26" s="112" t="s">
        <v>21</v>
      </c>
      <c r="AN26" s="112" t="s">
        <v>130</v>
      </c>
      <c r="AO26" s="112" t="s">
        <v>22</v>
      </c>
      <c r="AP26" s="112" t="s">
        <v>124</v>
      </c>
      <c r="AQ26" s="112" t="s">
        <v>152</v>
      </c>
      <c r="AR26" s="112" t="s">
        <v>27</v>
      </c>
      <c r="AS26" s="112" t="s">
        <v>27</v>
      </c>
      <c r="AT26" s="112" t="s">
        <v>27</v>
      </c>
      <c r="AU26" s="114" t="s">
        <v>14</v>
      </c>
      <c r="AV26" s="110"/>
      <c r="AW26" s="31" t="s">
        <v>10</v>
      </c>
      <c r="AX26" s="106" t="s">
        <v>312</v>
      </c>
      <c r="AY26" s="115" t="s">
        <v>156</v>
      </c>
      <c r="AZ26" s="115" t="s">
        <v>51</v>
      </c>
      <c r="BA26" s="115" t="s">
        <v>52</v>
      </c>
      <c r="BB26" s="115" t="s">
        <v>129</v>
      </c>
      <c r="BC26" s="115" t="s">
        <v>54</v>
      </c>
      <c r="BD26" s="115" t="s">
        <v>140</v>
      </c>
      <c r="BE26" s="115" t="s">
        <v>55</v>
      </c>
      <c r="BF26" s="115" t="s">
        <v>124</v>
      </c>
      <c r="BG26" s="115" t="s">
        <v>157</v>
      </c>
      <c r="BH26" s="115" t="s">
        <v>23</v>
      </c>
      <c r="BI26" s="115" t="s">
        <v>23</v>
      </c>
      <c r="BJ26" s="115" t="s">
        <v>23</v>
      </c>
      <c r="BK26" s="115" t="s">
        <v>14</v>
      </c>
      <c r="BL26" s="110"/>
      <c r="BM26" s="31" t="s">
        <v>10</v>
      </c>
      <c r="BN26" s="106" t="s">
        <v>312</v>
      </c>
      <c r="BO26" s="116" t="s">
        <v>331</v>
      </c>
      <c r="BP26" s="116" t="s">
        <v>320</v>
      </c>
      <c r="BQ26" s="116" t="s">
        <v>321</v>
      </c>
      <c r="BR26" s="116" t="s">
        <v>129</v>
      </c>
      <c r="BS26" s="116" t="s">
        <v>322</v>
      </c>
      <c r="BT26" s="116" t="s">
        <v>323</v>
      </c>
      <c r="BU26" s="116" t="s">
        <v>324</v>
      </c>
      <c r="BV26" s="116" t="s">
        <v>124</v>
      </c>
      <c r="BW26" s="116" t="s">
        <v>332</v>
      </c>
      <c r="BX26" s="116" t="s">
        <v>326</v>
      </c>
      <c r="BY26" s="116" t="s">
        <v>326</v>
      </c>
      <c r="BZ26" s="116" t="s">
        <v>326</v>
      </c>
      <c r="CA26" s="116" t="s">
        <v>25</v>
      </c>
      <c r="CB26" s="107"/>
      <c r="CC26" s="31" t="s">
        <v>10</v>
      </c>
      <c r="CD26" s="106" t="s">
        <v>312</v>
      </c>
      <c r="CE26" s="117" t="s">
        <v>160</v>
      </c>
      <c r="CF26" s="117" t="s">
        <v>63</v>
      </c>
      <c r="CG26" s="117" t="s">
        <v>64</v>
      </c>
      <c r="CH26" s="117" t="s">
        <v>129</v>
      </c>
      <c r="CI26" s="117" t="s">
        <v>66</v>
      </c>
      <c r="CJ26" s="117" t="s">
        <v>146</v>
      </c>
      <c r="CK26" s="117" t="s">
        <v>67</v>
      </c>
      <c r="CL26" s="117" t="s">
        <v>124</v>
      </c>
      <c r="CM26" s="117" t="s">
        <v>161</v>
      </c>
      <c r="CN26" s="117" t="s">
        <v>32</v>
      </c>
      <c r="CO26" s="117" t="s">
        <v>32</v>
      </c>
      <c r="CP26" s="117" t="s">
        <v>32</v>
      </c>
      <c r="CQ26" s="117" t="s">
        <v>14</v>
      </c>
      <c r="CR26" s="110"/>
      <c r="CS26" s="31" t="s">
        <v>10</v>
      </c>
      <c r="CT26" s="106" t="s">
        <v>312</v>
      </c>
      <c r="CU26" s="118" t="s">
        <v>162</v>
      </c>
      <c r="CV26" s="118" t="s">
        <v>69</v>
      </c>
      <c r="CW26" s="118" t="s">
        <v>70</v>
      </c>
      <c r="CX26" s="118" t="s">
        <v>129</v>
      </c>
      <c r="CY26" s="118" t="s">
        <v>72</v>
      </c>
      <c r="CZ26" s="118" t="s">
        <v>149</v>
      </c>
      <c r="DA26" s="118" t="s">
        <v>73</v>
      </c>
      <c r="DB26" s="118" t="s">
        <v>124</v>
      </c>
      <c r="DC26" s="118" t="s">
        <v>163</v>
      </c>
      <c r="DD26" s="118" t="s">
        <v>31</v>
      </c>
      <c r="DE26" s="118" t="s">
        <v>31</v>
      </c>
      <c r="DF26" s="118" t="s">
        <v>31</v>
      </c>
      <c r="DG26" s="119" t="s">
        <v>14</v>
      </c>
      <c r="DH26" s="110"/>
    </row>
    <row r="27" spans="1:112" ht="18">
      <c r="A27" s="31" t="s">
        <v>26</v>
      </c>
      <c r="B27" s="106" t="s">
        <v>313</v>
      </c>
      <c r="C27" s="108" t="s">
        <v>128</v>
      </c>
      <c r="D27" s="109" t="s">
        <v>151</v>
      </c>
      <c r="E27" s="108" t="s">
        <v>123</v>
      </c>
      <c r="F27" s="108" t="s">
        <v>129</v>
      </c>
      <c r="G27" s="108" t="s">
        <v>133</v>
      </c>
      <c r="H27" s="108" t="s">
        <v>134</v>
      </c>
      <c r="I27" s="108" t="s">
        <v>135</v>
      </c>
      <c r="J27" s="108" t="s">
        <v>124</v>
      </c>
      <c r="K27" s="108" t="s">
        <v>315</v>
      </c>
      <c r="L27" s="108" t="s">
        <v>27</v>
      </c>
      <c r="M27" s="108" t="s">
        <v>27</v>
      </c>
      <c r="N27" s="108" t="s">
        <v>27</v>
      </c>
      <c r="O27" s="108" t="s">
        <v>14</v>
      </c>
      <c r="P27" s="110"/>
      <c r="Q27" s="31" t="s">
        <v>26</v>
      </c>
      <c r="R27" s="106" t="s">
        <v>313</v>
      </c>
      <c r="S27" s="111" t="s">
        <v>128</v>
      </c>
      <c r="T27" s="111" t="s">
        <v>316</v>
      </c>
      <c r="U27" s="111" t="s">
        <v>123</v>
      </c>
      <c r="V27" s="111" t="s">
        <v>129</v>
      </c>
      <c r="W27" s="111" t="s">
        <v>133</v>
      </c>
      <c r="X27" s="111" t="s">
        <v>134</v>
      </c>
      <c r="Y27" s="111" t="s">
        <v>135</v>
      </c>
      <c r="Z27" s="111" t="s">
        <v>124</v>
      </c>
      <c r="AA27" s="111" t="s">
        <v>317</v>
      </c>
      <c r="AB27" s="111" t="s">
        <v>27</v>
      </c>
      <c r="AC27" s="111" t="s">
        <v>27</v>
      </c>
      <c r="AD27" s="111" t="s">
        <v>27</v>
      </c>
      <c r="AE27" s="111" t="s">
        <v>14</v>
      </c>
      <c r="AF27" s="110"/>
      <c r="AG27" s="31" t="s">
        <v>26</v>
      </c>
      <c r="AH27" s="106" t="s">
        <v>313</v>
      </c>
      <c r="AI27" s="112" t="s">
        <v>277</v>
      </c>
      <c r="AJ27" s="113" t="s">
        <v>19</v>
      </c>
      <c r="AK27" s="112" t="s">
        <v>20</v>
      </c>
      <c r="AL27" s="112" t="s">
        <v>129</v>
      </c>
      <c r="AM27" s="112" t="s">
        <v>21</v>
      </c>
      <c r="AN27" s="112" t="s">
        <v>130</v>
      </c>
      <c r="AO27" s="112" t="s">
        <v>22</v>
      </c>
      <c r="AP27" s="112" t="s">
        <v>124</v>
      </c>
      <c r="AQ27" s="112" t="s">
        <v>315</v>
      </c>
      <c r="AR27" s="112" t="s">
        <v>27</v>
      </c>
      <c r="AS27" s="112" t="s">
        <v>27</v>
      </c>
      <c r="AT27" s="112" t="s">
        <v>27</v>
      </c>
      <c r="AU27" s="114" t="s">
        <v>14</v>
      </c>
      <c r="AV27" s="110"/>
      <c r="AW27" s="31" t="s">
        <v>26</v>
      </c>
      <c r="AX27" s="106" t="s">
        <v>313</v>
      </c>
      <c r="AY27" s="115" t="s">
        <v>50</v>
      </c>
      <c r="AZ27" s="115" t="s">
        <v>51</v>
      </c>
      <c r="BA27" s="115" t="s">
        <v>52</v>
      </c>
      <c r="BB27" s="115" t="s">
        <v>129</v>
      </c>
      <c r="BC27" s="115" t="s">
        <v>54</v>
      </c>
      <c r="BD27" s="115" t="s">
        <v>140</v>
      </c>
      <c r="BE27" s="115" t="s">
        <v>55</v>
      </c>
      <c r="BF27" s="115" t="s">
        <v>124</v>
      </c>
      <c r="BG27" s="115" t="s">
        <v>318</v>
      </c>
      <c r="BH27" s="115" t="s">
        <v>23</v>
      </c>
      <c r="BI27" s="115" t="s">
        <v>23</v>
      </c>
      <c r="BJ27" s="115" t="s">
        <v>23</v>
      </c>
      <c r="BK27" s="115" t="s">
        <v>14</v>
      </c>
      <c r="BL27" s="110"/>
      <c r="BM27" s="31" t="s">
        <v>26</v>
      </c>
      <c r="BN27" s="106" t="s">
        <v>313</v>
      </c>
      <c r="BO27" s="116" t="s">
        <v>319</v>
      </c>
      <c r="BP27" s="116" t="s">
        <v>320</v>
      </c>
      <c r="BQ27" s="116" t="s">
        <v>321</v>
      </c>
      <c r="BR27" s="116" t="s">
        <v>129</v>
      </c>
      <c r="BS27" s="116" t="s">
        <v>322</v>
      </c>
      <c r="BT27" s="116" t="s">
        <v>323</v>
      </c>
      <c r="BU27" s="116" t="s">
        <v>324</v>
      </c>
      <c r="BV27" s="116" t="s">
        <v>124</v>
      </c>
      <c r="BW27" s="116" t="s">
        <v>325</v>
      </c>
      <c r="BX27" s="116" t="s">
        <v>326</v>
      </c>
      <c r="BY27" s="116" t="s">
        <v>326</v>
      </c>
      <c r="BZ27" s="116" t="s">
        <v>326</v>
      </c>
      <c r="CA27" s="116" t="s">
        <v>25</v>
      </c>
      <c r="CB27" s="107"/>
      <c r="CC27" s="31" t="s">
        <v>26</v>
      </c>
      <c r="CD27" s="106" t="s">
        <v>313</v>
      </c>
      <c r="CE27" s="117" t="s">
        <v>62</v>
      </c>
      <c r="CF27" s="117" t="s">
        <v>63</v>
      </c>
      <c r="CG27" s="117" t="s">
        <v>64</v>
      </c>
      <c r="CH27" s="117" t="s">
        <v>129</v>
      </c>
      <c r="CI27" s="117" t="s">
        <v>66</v>
      </c>
      <c r="CJ27" s="117" t="s">
        <v>146</v>
      </c>
      <c r="CK27" s="117" t="s">
        <v>67</v>
      </c>
      <c r="CL27" s="117" t="s">
        <v>124</v>
      </c>
      <c r="CM27" s="117" t="s">
        <v>327</v>
      </c>
      <c r="CN27" s="117" t="s">
        <v>32</v>
      </c>
      <c r="CO27" s="117" t="s">
        <v>32</v>
      </c>
      <c r="CP27" s="117" t="s">
        <v>32</v>
      </c>
      <c r="CQ27" s="117" t="s">
        <v>14</v>
      </c>
      <c r="CR27" s="110"/>
      <c r="CS27" s="31" t="s">
        <v>26</v>
      </c>
      <c r="CT27" s="106" t="s">
        <v>313</v>
      </c>
      <c r="CU27" s="118" t="s">
        <v>68</v>
      </c>
      <c r="CV27" s="118" t="s">
        <v>69</v>
      </c>
      <c r="CW27" s="118" t="s">
        <v>70</v>
      </c>
      <c r="CX27" s="118" t="s">
        <v>129</v>
      </c>
      <c r="CY27" s="118" t="s">
        <v>72</v>
      </c>
      <c r="CZ27" s="118" t="s">
        <v>149</v>
      </c>
      <c r="DA27" s="118" t="s">
        <v>73</v>
      </c>
      <c r="DB27" s="118" t="s">
        <v>124</v>
      </c>
      <c r="DC27" s="118" t="s">
        <v>328</v>
      </c>
      <c r="DD27" s="118" t="s">
        <v>31</v>
      </c>
      <c r="DE27" s="118" t="s">
        <v>31</v>
      </c>
      <c r="DF27" s="118" t="s">
        <v>31</v>
      </c>
      <c r="DG27" s="119" t="s">
        <v>14</v>
      </c>
      <c r="DH27" s="110"/>
    </row>
    <row r="28" spans="1:112" ht="18">
      <c r="A28" s="31" t="s">
        <v>26</v>
      </c>
      <c r="B28" s="106" t="s">
        <v>314</v>
      </c>
      <c r="C28" s="108" t="s">
        <v>128</v>
      </c>
      <c r="D28" s="109" t="s">
        <v>336</v>
      </c>
      <c r="E28" s="108" t="s">
        <v>123</v>
      </c>
      <c r="F28" s="108" t="s">
        <v>129</v>
      </c>
      <c r="G28" s="108" t="s">
        <v>133</v>
      </c>
      <c r="H28" s="108" t="s">
        <v>134</v>
      </c>
      <c r="I28" s="108" t="s">
        <v>135</v>
      </c>
      <c r="J28" s="108" t="s">
        <v>124</v>
      </c>
      <c r="K28" s="108" t="s">
        <v>131</v>
      </c>
      <c r="L28" s="108" t="s">
        <v>27</v>
      </c>
      <c r="M28" s="108" t="s">
        <v>27</v>
      </c>
      <c r="N28" s="108" t="s">
        <v>27</v>
      </c>
      <c r="O28" s="108" t="s">
        <v>14</v>
      </c>
      <c r="P28" s="120"/>
      <c r="Q28" s="31" t="s">
        <v>26</v>
      </c>
      <c r="R28" s="106" t="s">
        <v>314</v>
      </c>
      <c r="S28" s="111" t="s">
        <v>128</v>
      </c>
      <c r="T28" s="111" t="s">
        <v>337</v>
      </c>
      <c r="U28" s="111" t="s">
        <v>123</v>
      </c>
      <c r="V28" s="111" t="s">
        <v>129</v>
      </c>
      <c r="W28" s="111" t="s">
        <v>133</v>
      </c>
      <c r="X28" s="111" t="s">
        <v>134</v>
      </c>
      <c r="Y28" s="111" t="s">
        <v>135</v>
      </c>
      <c r="Z28" s="111" t="s">
        <v>124</v>
      </c>
      <c r="AA28" s="111" t="s">
        <v>280</v>
      </c>
      <c r="AB28" s="111" t="s">
        <v>27</v>
      </c>
      <c r="AC28" s="111" t="s">
        <v>27</v>
      </c>
      <c r="AD28" s="111" t="s">
        <v>27</v>
      </c>
      <c r="AE28" s="111" t="s">
        <v>14</v>
      </c>
      <c r="AF28" s="110"/>
      <c r="AG28" s="31" t="s">
        <v>26</v>
      </c>
      <c r="AH28" s="106" t="s">
        <v>314</v>
      </c>
      <c r="AI28" s="112" t="s">
        <v>277</v>
      </c>
      <c r="AJ28" s="113" t="s">
        <v>338</v>
      </c>
      <c r="AK28" s="112" t="s">
        <v>20</v>
      </c>
      <c r="AL28" s="112" t="s">
        <v>129</v>
      </c>
      <c r="AM28" s="112" t="s">
        <v>21</v>
      </c>
      <c r="AN28" s="112" t="s">
        <v>130</v>
      </c>
      <c r="AO28" s="112" t="s">
        <v>22</v>
      </c>
      <c r="AP28" s="112" t="s">
        <v>124</v>
      </c>
      <c r="AQ28" s="112" t="s">
        <v>131</v>
      </c>
      <c r="AR28" s="112" t="s">
        <v>27</v>
      </c>
      <c r="AS28" s="112" t="s">
        <v>27</v>
      </c>
      <c r="AT28" s="112" t="s">
        <v>27</v>
      </c>
      <c r="AU28" s="114" t="s">
        <v>14</v>
      </c>
      <c r="AV28" s="110"/>
      <c r="AW28" s="31" t="s">
        <v>26</v>
      </c>
      <c r="AX28" s="106" t="s">
        <v>314</v>
      </c>
      <c r="AY28" s="115" t="s">
        <v>50</v>
      </c>
      <c r="AZ28" s="115" t="s">
        <v>339</v>
      </c>
      <c r="BA28" s="115" t="s">
        <v>52</v>
      </c>
      <c r="BB28" s="115" t="s">
        <v>129</v>
      </c>
      <c r="BC28" s="115" t="s">
        <v>54</v>
      </c>
      <c r="BD28" s="115" t="s">
        <v>140</v>
      </c>
      <c r="BE28" s="115" t="s">
        <v>55</v>
      </c>
      <c r="BF28" s="115" t="s">
        <v>124</v>
      </c>
      <c r="BG28" s="115" t="s">
        <v>141</v>
      </c>
      <c r="BH28" s="115" t="s">
        <v>23</v>
      </c>
      <c r="BI28" s="115" t="s">
        <v>23</v>
      </c>
      <c r="BJ28" s="115" t="s">
        <v>23</v>
      </c>
      <c r="BK28" s="115" t="s">
        <v>14</v>
      </c>
      <c r="BL28" s="110"/>
      <c r="BM28" s="31" t="s">
        <v>26</v>
      </c>
      <c r="BN28" s="106" t="s">
        <v>314</v>
      </c>
      <c r="BO28" s="116" t="s">
        <v>319</v>
      </c>
      <c r="BP28" s="116" t="s">
        <v>340</v>
      </c>
      <c r="BQ28" s="116" t="s">
        <v>321</v>
      </c>
      <c r="BR28" s="116" t="s">
        <v>129</v>
      </c>
      <c r="BS28" s="116" t="s">
        <v>322</v>
      </c>
      <c r="BT28" s="116" t="s">
        <v>323</v>
      </c>
      <c r="BU28" s="116" t="s">
        <v>324</v>
      </c>
      <c r="BV28" s="116" t="s">
        <v>124</v>
      </c>
      <c r="BW28" s="116" t="s">
        <v>329</v>
      </c>
      <c r="BX28" s="116" t="s">
        <v>326</v>
      </c>
      <c r="BY28" s="116" t="s">
        <v>326</v>
      </c>
      <c r="BZ28" s="116" t="s">
        <v>326</v>
      </c>
      <c r="CA28" s="116" t="s">
        <v>25</v>
      </c>
      <c r="CB28" s="107"/>
      <c r="CC28" s="31" t="s">
        <v>26</v>
      </c>
      <c r="CD28" s="106" t="s">
        <v>314</v>
      </c>
      <c r="CE28" s="117" t="s">
        <v>62</v>
      </c>
      <c r="CF28" s="117" t="s">
        <v>341</v>
      </c>
      <c r="CG28" s="117" t="s">
        <v>64</v>
      </c>
      <c r="CH28" s="117" t="s">
        <v>129</v>
      </c>
      <c r="CI28" s="117" t="s">
        <v>66</v>
      </c>
      <c r="CJ28" s="117" t="s">
        <v>146</v>
      </c>
      <c r="CK28" s="117" t="s">
        <v>67</v>
      </c>
      <c r="CL28" s="117" t="s">
        <v>124</v>
      </c>
      <c r="CM28" s="117" t="s">
        <v>147</v>
      </c>
      <c r="CN28" s="117" t="s">
        <v>32</v>
      </c>
      <c r="CO28" s="117" t="s">
        <v>32</v>
      </c>
      <c r="CP28" s="117" t="s">
        <v>32</v>
      </c>
      <c r="CQ28" s="117" t="s">
        <v>14</v>
      </c>
      <c r="CR28" s="110"/>
      <c r="CS28" s="31" t="s">
        <v>26</v>
      </c>
      <c r="CT28" s="106" t="s">
        <v>314</v>
      </c>
      <c r="CU28" s="118" t="s">
        <v>68</v>
      </c>
      <c r="CV28" s="118" t="s">
        <v>342</v>
      </c>
      <c r="CW28" s="118" t="s">
        <v>70</v>
      </c>
      <c r="CX28" s="118" t="s">
        <v>129</v>
      </c>
      <c r="CY28" s="118" t="s">
        <v>72</v>
      </c>
      <c r="CZ28" s="118" t="s">
        <v>149</v>
      </c>
      <c r="DA28" s="118" t="s">
        <v>73</v>
      </c>
      <c r="DB28" s="118" t="s">
        <v>124</v>
      </c>
      <c r="DC28" s="118" t="s">
        <v>150</v>
      </c>
      <c r="DD28" s="118" t="s">
        <v>31</v>
      </c>
      <c r="DE28" s="118" t="s">
        <v>31</v>
      </c>
      <c r="DF28" s="118" t="s">
        <v>31</v>
      </c>
      <c r="DG28" s="119" t="s">
        <v>14</v>
      </c>
      <c r="DH28" s="110"/>
    </row>
    <row r="29" spans="1:112" s="121" customFormat="1" ht="36">
      <c r="A29" s="28" t="s">
        <v>18</v>
      </c>
      <c r="B29" s="122" t="s">
        <v>344</v>
      </c>
      <c r="C29" s="28" t="s">
        <v>263</v>
      </c>
      <c r="D29" s="28" t="s">
        <v>264</v>
      </c>
      <c r="E29" s="28" t="s">
        <v>20</v>
      </c>
      <c r="F29" s="28" t="s">
        <v>275</v>
      </c>
      <c r="G29" s="28" t="s">
        <v>265</v>
      </c>
      <c r="H29" s="28" t="s">
        <v>266</v>
      </c>
      <c r="I29" s="28" t="s">
        <v>267</v>
      </c>
      <c r="J29" s="28" t="s">
        <v>124</v>
      </c>
      <c r="K29" s="28" t="s">
        <v>268</v>
      </c>
      <c r="L29" s="28" t="s">
        <v>27</v>
      </c>
      <c r="M29" s="28" t="s">
        <v>27</v>
      </c>
      <c r="N29" s="28" t="s">
        <v>27</v>
      </c>
      <c r="O29" s="28" t="s">
        <v>14</v>
      </c>
      <c r="P29" s="123" t="s">
        <v>346</v>
      </c>
      <c r="Q29" s="28" t="s">
        <v>18</v>
      </c>
      <c r="R29" s="122" t="s">
        <v>344</v>
      </c>
      <c r="S29" s="28" t="s">
        <v>121</v>
      </c>
      <c r="T29" s="28" t="s">
        <v>122</v>
      </c>
      <c r="U29" s="28" t="s">
        <v>123</v>
      </c>
      <c r="V29" s="28" t="s">
        <v>74</v>
      </c>
      <c r="W29" s="28" t="s">
        <v>102</v>
      </c>
      <c r="X29" s="28" t="s">
        <v>168</v>
      </c>
      <c r="Y29" s="28" t="s">
        <v>79</v>
      </c>
      <c r="Z29" s="28" t="s">
        <v>124</v>
      </c>
      <c r="AA29" s="28" t="s">
        <v>279</v>
      </c>
      <c r="AB29" s="28" t="s">
        <v>27</v>
      </c>
      <c r="AC29" s="28" t="s">
        <v>27</v>
      </c>
      <c r="AD29" s="28" t="s">
        <v>27</v>
      </c>
      <c r="AE29" s="28" t="s">
        <v>14</v>
      </c>
      <c r="AF29" s="28"/>
      <c r="AG29" s="28" t="s">
        <v>18</v>
      </c>
      <c r="AH29" s="122" t="s">
        <v>344</v>
      </c>
      <c r="AI29" s="28" t="s">
        <v>263</v>
      </c>
      <c r="AJ29" s="28" t="s">
        <v>264</v>
      </c>
      <c r="AK29" s="28" t="s">
        <v>20</v>
      </c>
      <c r="AL29" s="28" t="s">
        <v>275</v>
      </c>
      <c r="AM29" s="28" t="s">
        <v>265</v>
      </c>
      <c r="AN29" s="28" t="s">
        <v>266</v>
      </c>
      <c r="AO29" s="28" t="s">
        <v>267</v>
      </c>
      <c r="AP29" s="28" t="s">
        <v>124</v>
      </c>
      <c r="AQ29" s="28" t="s">
        <v>268</v>
      </c>
      <c r="AR29" s="28" t="s">
        <v>27</v>
      </c>
      <c r="AS29" s="28" t="s">
        <v>27</v>
      </c>
      <c r="AT29" s="28" t="s">
        <v>27</v>
      </c>
      <c r="AU29" s="28" t="s">
        <v>14</v>
      </c>
      <c r="AV29" s="28"/>
      <c r="AW29" s="28" t="s">
        <v>18</v>
      </c>
      <c r="AX29" s="122" t="s">
        <v>344</v>
      </c>
      <c r="AY29" s="28" t="s">
        <v>90</v>
      </c>
      <c r="AZ29" s="28" t="s">
        <v>91</v>
      </c>
      <c r="BA29" s="28" t="s">
        <v>52</v>
      </c>
      <c r="BB29" s="28" t="s">
        <v>75</v>
      </c>
      <c r="BC29" s="28" t="s">
        <v>104</v>
      </c>
      <c r="BD29" s="28" t="s">
        <v>173</v>
      </c>
      <c r="BE29" s="28" t="s">
        <v>83</v>
      </c>
      <c r="BF29" s="28" t="s">
        <v>124</v>
      </c>
      <c r="BG29" s="28" t="s">
        <v>286</v>
      </c>
      <c r="BH29" s="28" t="s">
        <v>23</v>
      </c>
      <c r="BI29" s="28" t="s">
        <v>23</v>
      </c>
      <c r="BJ29" s="28" t="s">
        <v>23</v>
      </c>
      <c r="BK29" s="28" t="s">
        <v>14</v>
      </c>
      <c r="BL29" s="28"/>
      <c r="BM29" s="28" t="s">
        <v>18</v>
      </c>
      <c r="BN29" s="122" t="s">
        <v>344</v>
      </c>
      <c r="BO29" s="116" t="s">
        <v>350</v>
      </c>
      <c r="BP29" s="116" t="s">
        <v>351</v>
      </c>
      <c r="BQ29" s="116" t="s">
        <v>321</v>
      </c>
      <c r="BR29" s="116" t="s">
        <v>352</v>
      </c>
      <c r="BS29" s="116" t="s">
        <v>353</v>
      </c>
      <c r="BT29" s="116" t="s">
        <v>354</v>
      </c>
      <c r="BU29" s="116" t="s">
        <v>355</v>
      </c>
      <c r="BV29" s="116" t="s">
        <v>124</v>
      </c>
      <c r="BW29" s="116" t="s">
        <v>356</v>
      </c>
      <c r="BX29" s="116" t="s">
        <v>326</v>
      </c>
      <c r="BY29" s="116" t="s">
        <v>326</v>
      </c>
      <c r="BZ29" s="116" t="s">
        <v>326</v>
      </c>
      <c r="CA29" s="116" t="s">
        <v>25</v>
      </c>
      <c r="CB29" s="28"/>
      <c r="CC29" s="121" t="s">
        <v>18</v>
      </c>
      <c r="CD29" s="122" t="s">
        <v>344</v>
      </c>
      <c r="CE29" s="121" t="s">
        <v>96</v>
      </c>
      <c r="CF29" s="121" t="s">
        <v>97</v>
      </c>
      <c r="CG29" s="121" t="s">
        <v>64</v>
      </c>
      <c r="CH29" s="121" t="s">
        <v>77</v>
      </c>
      <c r="CI29" s="121" t="s">
        <v>106</v>
      </c>
      <c r="CJ29" s="121" t="s">
        <v>175</v>
      </c>
      <c r="CK29" s="121" t="s">
        <v>87</v>
      </c>
      <c r="CL29" s="121" t="s">
        <v>124</v>
      </c>
      <c r="CM29" s="121" t="s">
        <v>290</v>
      </c>
      <c r="CN29" s="121" t="s">
        <v>32</v>
      </c>
      <c r="CO29" s="121" t="s">
        <v>32</v>
      </c>
      <c r="CP29" s="121" t="s">
        <v>32</v>
      </c>
      <c r="CQ29" s="121" t="s">
        <v>14</v>
      </c>
      <c r="CR29" s="28"/>
      <c r="CS29" s="121" t="s">
        <v>18</v>
      </c>
      <c r="CT29" s="122" t="s">
        <v>344</v>
      </c>
      <c r="CU29" s="121" t="s">
        <v>99</v>
      </c>
      <c r="CV29" s="121" t="s">
        <v>100</v>
      </c>
      <c r="CW29" s="121" t="s">
        <v>70</v>
      </c>
      <c r="CX29" s="121" t="s">
        <v>78</v>
      </c>
      <c r="CY29" s="121" t="s">
        <v>107</v>
      </c>
      <c r="CZ29" s="121" t="s">
        <v>176</v>
      </c>
      <c r="DA29" s="121" t="s">
        <v>89</v>
      </c>
      <c r="DB29" s="121" t="s">
        <v>124</v>
      </c>
      <c r="DC29" s="121" t="s">
        <v>292</v>
      </c>
      <c r="DD29" s="121" t="s">
        <v>31</v>
      </c>
      <c r="DE29" s="121" t="s">
        <v>31</v>
      </c>
      <c r="DF29" s="121" t="s">
        <v>31</v>
      </c>
      <c r="DG29" s="121" t="s">
        <v>14</v>
      </c>
      <c r="DH29" s="28"/>
    </row>
    <row r="30" spans="1:112" s="121" customFormat="1" ht="36">
      <c r="A30" s="28" t="s">
        <v>18</v>
      </c>
      <c r="B30" s="122" t="s">
        <v>345</v>
      </c>
      <c r="C30" s="28" t="s">
        <v>269</v>
      </c>
      <c r="D30" s="28" t="s">
        <v>270</v>
      </c>
      <c r="E30" s="28" t="s">
        <v>20</v>
      </c>
      <c r="F30" s="28" t="s">
        <v>276</v>
      </c>
      <c r="G30" s="28" t="s">
        <v>271</v>
      </c>
      <c r="H30" s="28" t="s">
        <v>266</v>
      </c>
      <c r="I30" s="28" t="s">
        <v>267</v>
      </c>
      <c r="J30" s="28" t="s">
        <v>124</v>
      </c>
      <c r="K30" s="28" t="s">
        <v>272</v>
      </c>
      <c r="L30" s="28" t="s">
        <v>27</v>
      </c>
      <c r="M30" s="28" t="s">
        <v>27</v>
      </c>
      <c r="N30" s="28" t="s">
        <v>27</v>
      </c>
      <c r="O30" s="28" t="s">
        <v>14</v>
      </c>
      <c r="P30" s="123" t="s">
        <v>346</v>
      </c>
      <c r="Q30" s="28" t="s">
        <v>18</v>
      </c>
      <c r="R30" s="122" t="s">
        <v>345</v>
      </c>
      <c r="S30" s="28" t="s">
        <v>177</v>
      </c>
      <c r="T30" s="28" t="s">
        <v>178</v>
      </c>
      <c r="U30" s="28" t="s">
        <v>123</v>
      </c>
      <c r="V30" s="28" t="s">
        <v>43</v>
      </c>
      <c r="W30" s="28" t="s">
        <v>180</v>
      </c>
      <c r="X30" s="28" t="s">
        <v>168</v>
      </c>
      <c r="Y30" s="28" t="s">
        <v>79</v>
      </c>
      <c r="Z30" s="28" t="s">
        <v>124</v>
      </c>
      <c r="AA30" s="28" t="s">
        <v>280</v>
      </c>
      <c r="AB30" s="28" t="s">
        <v>27</v>
      </c>
      <c r="AC30" s="28" t="s">
        <v>27</v>
      </c>
      <c r="AD30" s="28" t="s">
        <v>27</v>
      </c>
      <c r="AE30" s="28" t="s">
        <v>14</v>
      </c>
      <c r="AF30" s="28"/>
      <c r="AG30" s="28" t="s">
        <v>18</v>
      </c>
      <c r="AH30" s="122" t="s">
        <v>345</v>
      </c>
      <c r="AI30" s="28" t="s">
        <v>269</v>
      </c>
      <c r="AJ30" s="28" t="s">
        <v>270</v>
      </c>
      <c r="AK30" s="28" t="s">
        <v>20</v>
      </c>
      <c r="AL30" s="28" t="s">
        <v>276</v>
      </c>
      <c r="AM30" s="28" t="s">
        <v>271</v>
      </c>
      <c r="AN30" s="28" t="s">
        <v>266</v>
      </c>
      <c r="AO30" s="28" t="s">
        <v>267</v>
      </c>
      <c r="AP30" s="28" t="s">
        <v>124</v>
      </c>
      <c r="AQ30" s="28" t="s">
        <v>272</v>
      </c>
      <c r="AR30" s="28" t="s">
        <v>27</v>
      </c>
      <c r="AS30" s="28" t="s">
        <v>27</v>
      </c>
      <c r="AT30" s="28" t="s">
        <v>27</v>
      </c>
      <c r="AU30" s="28" t="s">
        <v>14</v>
      </c>
      <c r="AV30" s="28"/>
      <c r="AW30" s="28" t="s">
        <v>18</v>
      </c>
      <c r="AX30" s="122" t="s">
        <v>345</v>
      </c>
      <c r="AY30" s="28" t="s">
        <v>82</v>
      </c>
      <c r="AZ30" s="28" t="s">
        <v>139</v>
      </c>
      <c r="BA30" s="28" t="s">
        <v>52</v>
      </c>
      <c r="BB30" s="28" t="s">
        <v>53</v>
      </c>
      <c r="BC30" s="28" t="s">
        <v>182</v>
      </c>
      <c r="BD30" s="28" t="s">
        <v>173</v>
      </c>
      <c r="BE30" s="28" t="s">
        <v>83</v>
      </c>
      <c r="BF30" s="28" t="s">
        <v>124</v>
      </c>
      <c r="BG30" s="28" t="s">
        <v>141</v>
      </c>
      <c r="BH30" s="28" t="s">
        <v>23</v>
      </c>
      <c r="BI30" s="28" t="s">
        <v>23</v>
      </c>
      <c r="BJ30" s="28" t="s">
        <v>23</v>
      </c>
      <c r="BK30" s="28" t="s">
        <v>14</v>
      </c>
      <c r="BL30" s="28"/>
      <c r="BM30" s="28" t="s">
        <v>18</v>
      </c>
      <c r="BN30" s="122" t="s">
        <v>345</v>
      </c>
      <c r="BO30" s="116" t="s">
        <v>358</v>
      </c>
      <c r="BP30" s="116" t="s">
        <v>359</v>
      </c>
      <c r="BQ30" s="116" t="s">
        <v>321</v>
      </c>
      <c r="BR30" s="116" t="s">
        <v>360</v>
      </c>
      <c r="BS30" s="116" t="s">
        <v>357</v>
      </c>
      <c r="BT30" s="116" t="s">
        <v>354</v>
      </c>
      <c r="BU30" s="116" t="s">
        <v>355</v>
      </c>
      <c r="BV30" s="116" t="s">
        <v>124</v>
      </c>
      <c r="BW30" s="116" t="s">
        <v>361</v>
      </c>
      <c r="BX30" s="116" t="s">
        <v>326</v>
      </c>
      <c r="BY30" s="116" t="s">
        <v>326</v>
      </c>
      <c r="BZ30" s="116" t="s">
        <v>326</v>
      </c>
      <c r="CA30" s="116" t="s">
        <v>25</v>
      </c>
      <c r="CB30" s="28"/>
      <c r="CC30" s="121" t="s">
        <v>18</v>
      </c>
      <c r="CD30" s="122" t="s">
        <v>345</v>
      </c>
      <c r="CE30" s="121" t="s">
        <v>86</v>
      </c>
      <c r="CF30" s="121" t="s">
        <v>145</v>
      </c>
      <c r="CG30" s="121" t="s">
        <v>64</v>
      </c>
      <c r="CH30" s="121" t="s">
        <v>65</v>
      </c>
      <c r="CI30" s="121" t="s">
        <v>184</v>
      </c>
      <c r="CJ30" s="121" t="s">
        <v>175</v>
      </c>
      <c r="CK30" s="121" t="s">
        <v>87</v>
      </c>
      <c r="CL30" s="121" t="s">
        <v>124</v>
      </c>
      <c r="CM30" s="121" t="s">
        <v>147</v>
      </c>
      <c r="CN30" s="121" t="s">
        <v>32</v>
      </c>
      <c r="CO30" s="121" t="s">
        <v>32</v>
      </c>
      <c r="CP30" s="121" t="s">
        <v>32</v>
      </c>
      <c r="CQ30" s="121" t="s">
        <v>14</v>
      </c>
      <c r="CR30" s="28"/>
      <c r="CS30" s="121" t="s">
        <v>18</v>
      </c>
      <c r="CT30" s="122" t="s">
        <v>345</v>
      </c>
      <c r="CU30" s="121" t="s">
        <v>88</v>
      </c>
      <c r="CV30" s="121" t="s">
        <v>148</v>
      </c>
      <c r="CW30" s="121" t="s">
        <v>70</v>
      </c>
      <c r="CX30" s="121" t="s">
        <v>71</v>
      </c>
      <c r="CY30" s="121" t="s">
        <v>185</v>
      </c>
      <c r="CZ30" s="121" t="s">
        <v>176</v>
      </c>
      <c r="DA30" s="121" t="s">
        <v>89</v>
      </c>
      <c r="DB30" s="121" t="s">
        <v>124</v>
      </c>
      <c r="DC30" s="121" t="s">
        <v>150</v>
      </c>
      <c r="DD30" s="121" t="s">
        <v>31</v>
      </c>
      <c r="DE30" s="121" t="s">
        <v>31</v>
      </c>
      <c r="DF30" s="121" t="s">
        <v>31</v>
      </c>
      <c r="DG30" s="121" t="s">
        <v>14</v>
      </c>
      <c r="DH30" s="28"/>
    </row>
  </sheetData>
  <autoFilter ref="A3:DH28" xr:uid="{72D46159-EE8F-A046-905F-5814AC6E09D3}"/>
  <conditionalFormatting sqref="A25:A26">
    <cfRule type="expression" dxfId="207" priority="139" stopIfTrue="1">
      <formula>$N25="None"</formula>
    </cfRule>
    <cfRule type="expression" dxfId="206" priority="142" stopIfTrue="1">
      <formula>$N25="yellow"</formula>
    </cfRule>
    <cfRule type="expression" dxfId="205" priority="141" stopIfTrue="1">
      <formula>$N25="blue"</formula>
    </cfRule>
    <cfRule type="expression" dxfId="204" priority="140" stopIfTrue="1">
      <formula>$N25="orange"</formula>
    </cfRule>
  </conditionalFormatting>
  <conditionalFormatting sqref="A2:L3 C4:L7 S5:S7 AA5:AA7 C8:E8 G8:L8 C9:L9 E10:L12 C12:D12 C13:L13">
    <cfRule type="expression" dxfId="203" priority="403" stopIfTrue="1">
      <formula>$N2="yellow"</formula>
    </cfRule>
    <cfRule type="expression" dxfId="202" priority="402" stopIfTrue="1">
      <formula>$N2="blue"</formula>
    </cfRule>
    <cfRule type="expression" dxfId="201" priority="401" stopIfTrue="1">
      <formula>$N2="orange"</formula>
    </cfRule>
    <cfRule type="expression" dxfId="200" priority="400" stopIfTrue="1">
      <formula>$N2="None"</formula>
    </cfRule>
  </conditionalFormatting>
  <conditionalFormatting sqref="B23:B24">
    <cfRule type="expression" dxfId="199" priority="227" stopIfTrue="1">
      <formula>$K19="yellow"</formula>
    </cfRule>
    <cfRule type="expression" dxfId="198" priority="226" stopIfTrue="1">
      <formula>$K19="blue"</formula>
    </cfRule>
    <cfRule type="expression" dxfId="197" priority="225" stopIfTrue="1">
      <formula>$K19="orange"</formula>
    </cfRule>
    <cfRule type="expression" dxfId="196" priority="224" stopIfTrue="1">
      <formula>$K19="None"</formula>
    </cfRule>
  </conditionalFormatting>
  <conditionalFormatting sqref="B25:B26">
    <cfRule type="expression" dxfId="195" priority="131" stopIfTrue="1">
      <formula>#REF!="None"</formula>
    </cfRule>
    <cfRule type="expression" dxfId="194" priority="132" stopIfTrue="1">
      <formula>#REF!="orange"</formula>
    </cfRule>
    <cfRule type="expression" dxfId="193" priority="133" stopIfTrue="1">
      <formula>#REF!="blue"</formula>
    </cfRule>
    <cfRule type="expression" dxfId="192" priority="134" stopIfTrue="1">
      <formula>#REF!="yellow"</formula>
    </cfRule>
  </conditionalFormatting>
  <conditionalFormatting sqref="B27:B28">
    <cfRule type="expression" dxfId="191" priority="128" stopIfTrue="1">
      <formula>$K25="orange"</formula>
    </cfRule>
    <cfRule type="expression" dxfId="190" priority="127" stopIfTrue="1">
      <formula>$K25="None"</formula>
    </cfRule>
    <cfRule type="expression" dxfId="189" priority="130" stopIfTrue="1">
      <formula>$K25="yellow"</formula>
    </cfRule>
    <cfRule type="expression" dxfId="188" priority="129" stopIfTrue="1">
      <formula>$K25="blue"</formula>
    </cfRule>
  </conditionalFormatting>
  <conditionalFormatting sqref="B29 R29 AH29 AX29 BN29 CD29 CT29">
    <cfRule type="expression" dxfId="187" priority="444" stopIfTrue="1">
      <formula>#REF!="None"</formula>
    </cfRule>
    <cfRule type="expression" dxfId="186" priority="445" stopIfTrue="1">
      <formula>#REF!="orange"</formula>
    </cfRule>
    <cfRule type="expression" dxfId="185" priority="446" stopIfTrue="1">
      <formula>#REF!="blue"</formula>
    </cfRule>
    <cfRule type="expression" dxfId="184" priority="447" stopIfTrue="1">
      <formula>#REF!="yellow"</formula>
    </cfRule>
  </conditionalFormatting>
  <conditionalFormatting sqref="B30 R30 AH30 AX30 BN30 CD30 CT30">
    <cfRule type="expression" dxfId="183" priority="27" stopIfTrue="1">
      <formula>$K29="None"</formula>
    </cfRule>
    <cfRule type="expression" dxfId="182" priority="29" stopIfTrue="1">
      <formula>$K29="blue"</formula>
    </cfRule>
    <cfRule type="expression" dxfId="181" priority="30" stopIfTrue="1">
      <formula>$K29="yellow"</formula>
    </cfRule>
    <cfRule type="expression" dxfId="180" priority="28" stopIfTrue="1">
      <formula>$K29="orange"</formula>
    </cfRule>
  </conditionalFormatting>
  <conditionalFormatting sqref="C10:C11">
    <cfRule type="expression" dxfId="179" priority="196" stopIfTrue="1">
      <formula>$N10="None"</formula>
    </cfRule>
    <cfRule type="expression" dxfId="178" priority="199" stopIfTrue="1">
      <formula>$N10="yellow"</formula>
    </cfRule>
    <cfRule type="expression" dxfId="177" priority="198" stopIfTrue="1">
      <formula>$N10="blue"</formula>
    </cfRule>
    <cfRule type="expression" dxfId="176" priority="197" stopIfTrue="1">
      <formula>$N10="orange"</formula>
    </cfRule>
  </conditionalFormatting>
  <conditionalFormatting sqref="C14:D15 S14:T15 AI14:AJ15 AY14:AZ15 CU14:CV15">
    <cfRule type="expression" dxfId="175" priority="412" stopIfTrue="1">
      <formula>$N11="None"</formula>
    </cfRule>
    <cfRule type="expression" dxfId="174" priority="413" stopIfTrue="1">
      <formula>$N11="orange"</formula>
    </cfRule>
    <cfRule type="expression" dxfId="173" priority="414" stopIfTrue="1">
      <formula>$N11="blue"</formula>
    </cfRule>
    <cfRule type="expression" dxfId="172" priority="415" stopIfTrue="1">
      <formula>$N11="yellow"</formula>
    </cfRule>
  </conditionalFormatting>
  <conditionalFormatting sqref="C16:D16 S16:T16 AI16:AJ16 AY16:AZ16 CU16:CV16">
    <cfRule type="expression" dxfId="171" priority="440" stopIfTrue="1">
      <formula>$N12="None"</formula>
    </cfRule>
    <cfRule type="expression" dxfId="170" priority="441" stopIfTrue="1">
      <formula>$N12="orange"</formula>
    </cfRule>
    <cfRule type="expression" dxfId="169" priority="442" stopIfTrue="1">
      <formula>$N12="blue"</formula>
    </cfRule>
    <cfRule type="expression" dxfId="168" priority="443" stopIfTrue="1">
      <formula>$N12="yellow"</formula>
    </cfRule>
  </conditionalFormatting>
  <conditionalFormatting sqref="C17:D18 S17:T18">
    <cfRule type="expression" dxfId="167" priority="432" stopIfTrue="1">
      <formula>$N12="None"</formula>
    </cfRule>
    <cfRule type="expression" dxfId="166" priority="433" stopIfTrue="1">
      <formula>$N12="orange"</formula>
    </cfRule>
    <cfRule type="expression" dxfId="165" priority="434" stopIfTrue="1">
      <formula>$N12="blue"</formula>
    </cfRule>
    <cfRule type="expression" dxfId="164" priority="435" stopIfTrue="1">
      <formula>$N12="yellow"</formula>
    </cfRule>
  </conditionalFormatting>
  <conditionalFormatting sqref="C19:D22">
    <cfRule type="expression" dxfId="163" priority="376" stopIfTrue="1">
      <formula>$N12="None"</formula>
    </cfRule>
    <cfRule type="expression" dxfId="162" priority="377" stopIfTrue="1">
      <formula>$N12="orange"</formula>
    </cfRule>
    <cfRule type="expression" dxfId="161" priority="378" stopIfTrue="1">
      <formula>$N12="blue"</formula>
    </cfRule>
    <cfRule type="expression" dxfId="160" priority="379" stopIfTrue="1">
      <formula>$N12="yellow"</formula>
    </cfRule>
  </conditionalFormatting>
  <conditionalFormatting sqref="C23:L24">
    <cfRule type="expression" dxfId="159" priority="324" stopIfTrue="1">
      <formula>$N23="None"</formula>
    </cfRule>
    <cfRule type="expression" dxfId="158" priority="325" stopIfTrue="1">
      <formula>$N23="orange"</formula>
    </cfRule>
    <cfRule type="expression" dxfId="157" priority="326" stopIfTrue="1">
      <formula>$N23="blue"</formula>
    </cfRule>
    <cfRule type="expression" dxfId="156" priority="327" stopIfTrue="1">
      <formula>$N23="yellow"</formula>
    </cfRule>
  </conditionalFormatting>
  <conditionalFormatting sqref="D10:D11">
    <cfRule type="expression" dxfId="155" priority="395" stopIfTrue="1">
      <formula>$N9="yellow"</formula>
    </cfRule>
    <cfRule type="expression" dxfId="154" priority="392" stopIfTrue="1">
      <formula>$N9="None"</formula>
    </cfRule>
    <cfRule type="expression" dxfId="153" priority="394" stopIfTrue="1">
      <formula>$N9="blue"</formula>
    </cfRule>
    <cfRule type="expression" dxfId="152" priority="393" stopIfTrue="1">
      <formula>$N9="orange"</formula>
    </cfRule>
  </conditionalFormatting>
  <conditionalFormatting sqref="E14:L22">
    <cfRule type="expression" dxfId="151" priority="352" stopIfTrue="1">
      <formula>$N14="None"</formula>
    </cfRule>
    <cfRule type="expression" dxfId="150" priority="354" stopIfTrue="1">
      <formula>$N14="blue"</formula>
    </cfRule>
    <cfRule type="expression" dxfId="149" priority="355" stopIfTrue="1">
      <formula>$N14="yellow"</formula>
    </cfRule>
    <cfRule type="expression" dxfId="148" priority="353" stopIfTrue="1">
      <formula>$N14="orange"</formula>
    </cfRule>
  </conditionalFormatting>
  <conditionalFormatting sqref="Q25:Q26">
    <cfRule type="expression" dxfId="147" priority="125" stopIfTrue="1">
      <formula>$N25="blue"</formula>
    </cfRule>
    <cfRule type="expression" dxfId="146" priority="123" stopIfTrue="1">
      <formula>$N25="None"</formula>
    </cfRule>
    <cfRule type="expression" dxfId="145" priority="124" stopIfTrue="1">
      <formula>$N25="orange"</formula>
    </cfRule>
    <cfRule type="expression" dxfId="144" priority="126" stopIfTrue="1">
      <formula>$N25="yellow"</formula>
    </cfRule>
  </conditionalFormatting>
  <conditionalFormatting sqref="R23:R24">
    <cfRule type="expression" dxfId="143" priority="175" stopIfTrue="1">
      <formula>$K19="None"</formula>
    </cfRule>
    <cfRule type="expression" dxfId="142" priority="176" stopIfTrue="1">
      <formula>$K19="orange"</formula>
    </cfRule>
    <cfRule type="expression" dxfId="141" priority="177" stopIfTrue="1">
      <formula>$K19="blue"</formula>
    </cfRule>
    <cfRule type="expression" dxfId="140" priority="178" stopIfTrue="1">
      <formula>$K19="yellow"</formula>
    </cfRule>
  </conditionalFormatting>
  <conditionalFormatting sqref="R25:R26">
    <cfRule type="expression" dxfId="139" priority="115" stopIfTrue="1">
      <formula>#REF!="None"</formula>
    </cfRule>
    <cfRule type="expression" dxfId="138" priority="116" stopIfTrue="1">
      <formula>#REF!="orange"</formula>
    </cfRule>
    <cfRule type="expression" dxfId="137" priority="117" stopIfTrue="1">
      <formula>#REF!="blue"</formula>
    </cfRule>
    <cfRule type="expression" dxfId="136" priority="118" stopIfTrue="1">
      <formula>#REF!="yellow"</formula>
    </cfRule>
  </conditionalFormatting>
  <conditionalFormatting sqref="R27:R28">
    <cfRule type="expression" dxfId="135" priority="112" stopIfTrue="1">
      <formula>$K25="orange"</formula>
    </cfRule>
    <cfRule type="expression" dxfId="134" priority="113" stopIfTrue="1">
      <formula>$K25="blue"</formula>
    </cfRule>
    <cfRule type="expression" dxfId="133" priority="114" stopIfTrue="1">
      <formula>$K25="yellow"</formula>
    </cfRule>
    <cfRule type="expression" dxfId="132" priority="111" stopIfTrue="1">
      <formula>$K25="None"</formula>
    </cfRule>
  </conditionalFormatting>
  <conditionalFormatting sqref="S19:T22">
    <cfRule type="expression" dxfId="131" priority="359" stopIfTrue="1">
      <formula>$N12="yellow"</formula>
    </cfRule>
    <cfRule type="expression" dxfId="130" priority="356" stopIfTrue="1">
      <formula>$N12="None"</formula>
    </cfRule>
    <cfRule type="expression" dxfId="129" priority="357" stopIfTrue="1">
      <formula>$N12="orange"</formula>
    </cfRule>
    <cfRule type="expression" dxfId="128" priority="358" stopIfTrue="1">
      <formula>$N12="blue"</formula>
    </cfRule>
  </conditionalFormatting>
  <conditionalFormatting sqref="U14:AB22">
    <cfRule type="expression" dxfId="127" priority="351" stopIfTrue="1">
      <formula>$N14="yellow"</formula>
    </cfRule>
    <cfRule type="expression" dxfId="126" priority="350" stopIfTrue="1">
      <formula>$N14="blue"</formula>
    </cfRule>
    <cfRule type="expression" dxfId="125" priority="349" stopIfTrue="1">
      <formula>$N14="orange"</formula>
    </cfRule>
    <cfRule type="expression" dxfId="124" priority="348" stopIfTrue="1">
      <formula>$N14="None"</formula>
    </cfRule>
  </conditionalFormatting>
  <conditionalFormatting sqref="AG25:AG26">
    <cfRule type="expression" dxfId="123" priority="108" stopIfTrue="1">
      <formula>$N25="orange"</formula>
    </cfRule>
    <cfRule type="expression" dxfId="122" priority="107" stopIfTrue="1">
      <formula>$N25="None"</formula>
    </cfRule>
    <cfRule type="expression" dxfId="121" priority="110" stopIfTrue="1">
      <formula>$N25="yellow"</formula>
    </cfRule>
    <cfRule type="expression" dxfId="120" priority="109" stopIfTrue="1">
      <formula>$N25="blue"</formula>
    </cfRule>
  </conditionalFormatting>
  <conditionalFormatting sqref="AH23:AH24">
    <cfRule type="expression" dxfId="119" priority="172" stopIfTrue="1">
      <formula>$K19="orange"</formula>
    </cfRule>
    <cfRule type="expression" dxfId="118" priority="174" stopIfTrue="1">
      <formula>$K19="yellow"</formula>
    </cfRule>
    <cfRule type="expression" dxfId="117" priority="173" stopIfTrue="1">
      <formula>$K19="blue"</formula>
    </cfRule>
    <cfRule type="expression" dxfId="116" priority="171" stopIfTrue="1">
      <formula>$K19="None"</formula>
    </cfRule>
  </conditionalFormatting>
  <conditionalFormatting sqref="AH25:AH26">
    <cfRule type="expression" dxfId="115" priority="100" stopIfTrue="1">
      <formula>#REF!="orange"</formula>
    </cfRule>
    <cfRule type="expression" dxfId="114" priority="101" stopIfTrue="1">
      <formula>#REF!="blue"</formula>
    </cfRule>
    <cfRule type="expression" dxfId="113" priority="102" stopIfTrue="1">
      <formula>#REF!="yellow"</formula>
    </cfRule>
    <cfRule type="expression" dxfId="112" priority="99" stopIfTrue="1">
      <formula>#REF!="None"</formula>
    </cfRule>
  </conditionalFormatting>
  <conditionalFormatting sqref="AH27:AH28">
    <cfRule type="expression" dxfId="111" priority="97" stopIfTrue="1">
      <formula>$K25="blue"</formula>
    </cfRule>
    <cfRule type="expression" dxfId="110" priority="96" stopIfTrue="1">
      <formula>$K25="orange"</formula>
    </cfRule>
    <cfRule type="expression" dxfId="109" priority="95" stopIfTrue="1">
      <formula>$K25="None"</formula>
    </cfRule>
    <cfRule type="expression" dxfId="108" priority="98" stopIfTrue="1">
      <formula>$K25="yellow"</formula>
    </cfRule>
  </conditionalFormatting>
  <conditionalFormatting sqref="AI17:AJ18">
    <cfRule type="expression" dxfId="107" priority="274" stopIfTrue="1">
      <formula>$N12="blue"</formula>
    </cfRule>
    <cfRule type="expression" dxfId="106" priority="273" stopIfTrue="1">
      <formula>$N12="orange"</formula>
    </cfRule>
    <cfRule type="expression" dxfId="105" priority="272" stopIfTrue="1">
      <formula>$N12="None"</formula>
    </cfRule>
    <cfRule type="expression" dxfId="104" priority="275" stopIfTrue="1">
      <formula>$N12="yellow"</formula>
    </cfRule>
  </conditionalFormatting>
  <conditionalFormatting sqref="AI19:AJ22">
    <cfRule type="expression" dxfId="103" priority="264" stopIfTrue="1">
      <formula>$N12="None"</formula>
    </cfRule>
    <cfRule type="expression" dxfId="102" priority="265" stopIfTrue="1">
      <formula>$N12="orange"</formula>
    </cfRule>
    <cfRule type="expression" dxfId="101" priority="266" stopIfTrue="1">
      <formula>$N12="blue"</formula>
    </cfRule>
    <cfRule type="expression" dxfId="100" priority="267" stopIfTrue="1">
      <formula>$N12="yellow"</formula>
    </cfRule>
  </conditionalFormatting>
  <conditionalFormatting sqref="AK14:AR22">
    <cfRule type="expression" dxfId="99" priority="261" stopIfTrue="1">
      <formula>$N14="orange"</formula>
    </cfRule>
    <cfRule type="expression" dxfId="98" priority="260" stopIfTrue="1">
      <formula>$N14="None"</formula>
    </cfRule>
    <cfRule type="expression" dxfId="97" priority="263" stopIfTrue="1">
      <formula>$N14="yellow"</formula>
    </cfRule>
    <cfRule type="expression" dxfId="96" priority="262" stopIfTrue="1">
      <formula>$N14="blue"</formula>
    </cfRule>
  </conditionalFormatting>
  <conditionalFormatting sqref="AW25:AW26">
    <cfRule type="expression" dxfId="95" priority="91" stopIfTrue="1">
      <formula>$N25="None"</formula>
    </cfRule>
    <cfRule type="expression" dxfId="94" priority="94" stopIfTrue="1">
      <formula>$N25="yellow"</formula>
    </cfRule>
    <cfRule type="expression" dxfId="93" priority="93" stopIfTrue="1">
      <formula>$N25="blue"</formula>
    </cfRule>
    <cfRule type="expression" dxfId="92" priority="92" stopIfTrue="1">
      <formula>$N25="orange"</formula>
    </cfRule>
  </conditionalFormatting>
  <conditionalFormatting sqref="AX23:AX24">
    <cfRule type="expression" dxfId="91" priority="169" stopIfTrue="1">
      <formula>$K19="blue"</formula>
    </cfRule>
    <cfRule type="expression" dxfId="90" priority="170" stopIfTrue="1">
      <formula>$K19="yellow"</formula>
    </cfRule>
    <cfRule type="expression" dxfId="89" priority="167" stopIfTrue="1">
      <formula>$K19="None"</formula>
    </cfRule>
    <cfRule type="expression" dxfId="88" priority="168" stopIfTrue="1">
      <formula>$K19="orange"</formula>
    </cfRule>
  </conditionalFormatting>
  <conditionalFormatting sqref="AX25:AX26">
    <cfRule type="expression" dxfId="87" priority="85" stopIfTrue="1">
      <formula>#REF!="blue"</formula>
    </cfRule>
    <cfRule type="expression" dxfId="86" priority="84" stopIfTrue="1">
      <formula>#REF!="orange"</formula>
    </cfRule>
    <cfRule type="expression" dxfId="85" priority="83" stopIfTrue="1">
      <formula>#REF!="None"</formula>
    </cfRule>
    <cfRule type="expression" dxfId="84" priority="86" stopIfTrue="1">
      <formula>#REF!="yellow"</formula>
    </cfRule>
  </conditionalFormatting>
  <conditionalFormatting sqref="AX27:AX28">
    <cfRule type="expression" dxfId="83" priority="82" stopIfTrue="1">
      <formula>$K25="yellow"</formula>
    </cfRule>
    <cfRule type="expression" dxfId="82" priority="81" stopIfTrue="1">
      <formula>$K25="blue"</formula>
    </cfRule>
    <cfRule type="expression" dxfId="81" priority="80" stopIfTrue="1">
      <formula>$K25="orange"</formula>
    </cfRule>
    <cfRule type="expression" dxfId="80" priority="79" stopIfTrue="1">
      <formula>$K25="None"</formula>
    </cfRule>
  </conditionalFormatting>
  <conditionalFormatting sqref="AY17:AZ18">
    <cfRule type="expression" dxfId="79" priority="256" stopIfTrue="1">
      <formula>$N12="None"</formula>
    </cfRule>
    <cfRule type="expression" dxfId="78" priority="259" stopIfTrue="1">
      <formula>$N12="yellow"</formula>
    </cfRule>
    <cfRule type="expression" dxfId="77" priority="258" stopIfTrue="1">
      <formula>$N12="blue"</formula>
    </cfRule>
    <cfRule type="expression" dxfId="76" priority="257" stopIfTrue="1">
      <formula>$N12="orange"</formula>
    </cfRule>
  </conditionalFormatting>
  <conditionalFormatting sqref="AY19:AZ22">
    <cfRule type="expression" dxfId="75" priority="248" stopIfTrue="1">
      <formula>$N12="None"</formula>
    </cfRule>
    <cfRule type="expression" dxfId="74" priority="249" stopIfTrue="1">
      <formula>$N12="orange"</formula>
    </cfRule>
    <cfRule type="expression" dxfId="73" priority="250" stopIfTrue="1">
      <formula>$N12="blue"</formula>
    </cfRule>
    <cfRule type="expression" dxfId="72" priority="251" stopIfTrue="1">
      <formula>$N12="yellow"</formula>
    </cfRule>
  </conditionalFormatting>
  <conditionalFormatting sqref="BA14:BH22">
    <cfRule type="expression" dxfId="71" priority="244" stopIfTrue="1">
      <formula>$N14="None"</formula>
    </cfRule>
    <cfRule type="expression" dxfId="70" priority="245" stopIfTrue="1">
      <formula>$N14="orange"</formula>
    </cfRule>
    <cfRule type="expression" dxfId="69" priority="246" stopIfTrue="1">
      <formula>$N14="blue"</formula>
    </cfRule>
    <cfRule type="expression" dxfId="68" priority="247" stopIfTrue="1">
      <formula>$N14="yellow"</formula>
    </cfRule>
  </conditionalFormatting>
  <conditionalFormatting sqref="BM25:BM26">
    <cfRule type="expression" dxfId="67" priority="75" stopIfTrue="1">
      <formula>$N25="None"</formula>
    </cfRule>
    <cfRule type="expression" dxfId="66" priority="76" stopIfTrue="1">
      <formula>$N25="orange"</formula>
    </cfRule>
    <cfRule type="expression" dxfId="65" priority="77" stopIfTrue="1">
      <formula>$N25="blue"</formula>
    </cfRule>
    <cfRule type="expression" dxfId="64" priority="78" stopIfTrue="1">
      <formula>$N25="yellow"</formula>
    </cfRule>
  </conditionalFormatting>
  <conditionalFormatting sqref="BN23:BN24">
    <cfRule type="expression" dxfId="63" priority="163" stopIfTrue="1">
      <formula>$K19="None"</formula>
    </cfRule>
    <cfRule type="expression" dxfId="62" priority="164" stopIfTrue="1">
      <formula>$K19="orange"</formula>
    </cfRule>
    <cfRule type="expression" dxfId="61" priority="165" stopIfTrue="1">
      <formula>$K19="blue"</formula>
    </cfRule>
    <cfRule type="expression" dxfId="60" priority="166" stopIfTrue="1">
      <formula>$K19="yellow"</formula>
    </cfRule>
  </conditionalFormatting>
  <conditionalFormatting sqref="BN25:BN26">
    <cfRule type="expression" dxfId="59" priority="69" stopIfTrue="1">
      <formula>#REF!="blue"</formula>
    </cfRule>
    <cfRule type="expression" dxfId="58" priority="67" stopIfTrue="1">
      <formula>#REF!="None"</formula>
    </cfRule>
    <cfRule type="expression" dxfId="57" priority="68" stopIfTrue="1">
      <formula>#REF!="orange"</formula>
    </cfRule>
    <cfRule type="expression" dxfId="56" priority="70" stopIfTrue="1">
      <formula>#REF!="yellow"</formula>
    </cfRule>
  </conditionalFormatting>
  <conditionalFormatting sqref="BN27:BN28">
    <cfRule type="expression" dxfId="55" priority="64" stopIfTrue="1">
      <formula>$K25="orange"</formula>
    </cfRule>
    <cfRule type="expression" dxfId="54" priority="65" stopIfTrue="1">
      <formula>$K25="blue"</formula>
    </cfRule>
    <cfRule type="expression" dxfId="53" priority="66" stopIfTrue="1">
      <formula>$K25="yellow"</formula>
    </cfRule>
    <cfRule type="expression" dxfId="52" priority="63" stopIfTrue="1">
      <formula>$K25="None"</formula>
    </cfRule>
  </conditionalFormatting>
  <conditionalFormatting sqref="BS14:BS22">
    <cfRule type="expression" dxfId="51" priority="184" stopIfTrue="1">
      <formula>$N14="orange"</formula>
    </cfRule>
    <cfRule type="expression" dxfId="50" priority="186" stopIfTrue="1">
      <formula>$N14="yellow"</formula>
    </cfRule>
    <cfRule type="expression" dxfId="49" priority="183" stopIfTrue="1">
      <formula>$N14="None"</formula>
    </cfRule>
    <cfRule type="expression" dxfId="48" priority="185" stopIfTrue="1">
      <formula>$N14="blue"</formula>
    </cfRule>
  </conditionalFormatting>
  <conditionalFormatting sqref="CC25:CC26">
    <cfRule type="expression" dxfId="47" priority="62" stopIfTrue="1">
      <formula>$N25="yellow"</formula>
    </cfRule>
    <cfRule type="expression" dxfId="46" priority="59" stopIfTrue="1">
      <formula>$N25="None"</formula>
    </cfRule>
    <cfRule type="expression" dxfId="45" priority="60" stopIfTrue="1">
      <formula>$N25="orange"</formula>
    </cfRule>
    <cfRule type="expression" dxfId="44" priority="61" stopIfTrue="1">
      <formula>$N25="blue"</formula>
    </cfRule>
  </conditionalFormatting>
  <conditionalFormatting sqref="CD23:CD24">
    <cfRule type="expression" dxfId="43" priority="161" stopIfTrue="1">
      <formula>$K19="blue"</formula>
    </cfRule>
    <cfRule type="expression" dxfId="42" priority="159" stopIfTrue="1">
      <formula>$K19="None"</formula>
    </cfRule>
    <cfRule type="expression" dxfId="41" priority="160" stopIfTrue="1">
      <formula>$K19="orange"</formula>
    </cfRule>
    <cfRule type="expression" dxfId="40" priority="162" stopIfTrue="1">
      <formula>$K19="yellow"</formula>
    </cfRule>
  </conditionalFormatting>
  <conditionalFormatting sqref="CD25:CD26">
    <cfRule type="expression" dxfId="39" priority="54" stopIfTrue="1">
      <formula>#REF!="yellow"</formula>
    </cfRule>
    <cfRule type="expression" dxfId="38" priority="53" stopIfTrue="1">
      <formula>#REF!="blue"</formula>
    </cfRule>
    <cfRule type="expression" dxfId="37" priority="52" stopIfTrue="1">
      <formula>#REF!="orange"</formula>
    </cfRule>
    <cfRule type="expression" dxfId="36" priority="51" stopIfTrue="1">
      <formula>#REF!="None"</formula>
    </cfRule>
  </conditionalFormatting>
  <conditionalFormatting sqref="CD27:CD28">
    <cfRule type="expression" dxfId="35" priority="47" stopIfTrue="1">
      <formula>$K25="None"</formula>
    </cfRule>
    <cfRule type="expression" dxfId="34" priority="48" stopIfTrue="1">
      <formula>$K25="orange"</formula>
    </cfRule>
    <cfRule type="expression" dxfId="33" priority="50" stopIfTrue="1">
      <formula>$K25="yellow"</formula>
    </cfRule>
    <cfRule type="expression" dxfId="32" priority="49" stopIfTrue="1">
      <formula>$K25="blue"</formula>
    </cfRule>
  </conditionalFormatting>
  <conditionalFormatting sqref="CI14:CI22">
    <cfRule type="expression" dxfId="31" priority="182" stopIfTrue="1">
      <formula>$N14="yellow"</formula>
    </cfRule>
    <cfRule type="expression" dxfId="30" priority="181" stopIfTrue="1">
      <formula>$N14="blue"</formula>
    </cfRule>
    <cfRule type="expression" dxfId="29" priority="180" stopIfTrue="1">
      <formula>$N14="orange"</formula>
    </cfRule>
    <cfRule type="expression" dxfId="28" priority="179" stopIfTrue="1">
      <formula>$N14="None"</formula>
    </cfRule>
  </conditionalFormatting>
  <conditionalFormatting sqref="CS25:CS26">
    <cfRule type="expression" dxfId="27" priority="43" stopIfTrue="1">
      <formula>$N25="None"</formula>
    </cfRule>
    <cfRule type="expression" dxfId="26" priority="44" stopIfTrue="1">
      <formula>$N25="orange"</formula>
    </cfRule>
    <cfRule type="expression" dxfId="25" priority="45" stopIfTrue="1">
      <formula>$N25="blue"</formula>
    </cfRule>
    <cfRule type="expression" dxfId="24" priority="46" stopIfTrue="1">
      <formula>$N25="yellow"</formula>
    </cfRule>
  </conditionalFormatting>
  <conditionalFormatting sqref="CT23:CT24">
    <cfRule type="expression" dxfId="23" priority="158" stopIfTrue="1">
      <formula>$K19="yellow"</formula>
    </cfRule>
    <cfRule type="expression" dxfId="22" priority="157" stopIfTrue="1">
      <formula>$K19="blue"</formula>
    </cfRule>
    <cfRule type="expression" dxfId="21" priority="156" stopIfTrue="1">
      <formula>$K19="orange"</formula>
    </cfRule>
    <cfRule type="expression" dxfId="20" priority="155" stopIfTrue="1">
      <formula>$K19="None"</formula>
    </cfRule>
  </conditionalFormatting>
  <conditionalFormatting sqref="CT25:CT26">
    <cfRule type="expression" dxfId="19" priority="38" stopIfTrue="1">
      <formula>#REF!="yellow"</formula>
    </cfRule>
    <cfRule type="expression" dxfId="18" priority="37" stopIfTrue="1">
      <formula>#REF!="blue"</formula>
    </cfRule>
    <cfRule type="expression" dxfId="17" priority="36" stopIfTrue="1">
      <formula>#REF!="orange"</formula>
    </cfRule>
    <cfRule type="expression" dxfId="16" priority="35" stopIfTrue="1">
      <formula>#REF!="None"</formula>
    </cfRule>
  </conditionalFormatting>
  <conditionalFormatting sqref="CT27:CT28">
    <cfRule type="expression" dxfId="15" priority="34" stopIfTrue="1">
      <formula>$K25="yellow"</formula>
    </cfRule>
    <cfRule type="expression" dxfId="14" priority="33" stopIfTrue="1">
      <formula>$K25="blue"</formula>
    </cfRule>
    <cfRule type="expression" dxfId="13" priority="32" stopIfTrue="1">
      <formula>$K25="orange"</formula>
    </cfRule>
    <cfRule type="expression" dxfId="12" priority="31" stopIfTrue="1">
      <formula>$K25="None"</formula>
    </cfRule>
  </conditionalFormatting>
  <conditionalFormatting sqref="CU17:CV18">
    <cfRule type="expression" dxfId="11" priority="243" stopIfTrue="1">
      <formula>$N12="yellow"</formula>
    </cfRule>
    <cfRule type="expression" dxfId="10" priority="240" stopIfTrue="1">
      <formula>$N12="None"</formula>
    </cfRule>
    <cfRule type="expression" dxfId="9" priority="241" stopIfTrue="1">
      <formula>$N12="orange"</formula>
    </cfRule>
    <cfRule type="expression" dxfId="8" priority="242" stopIfTrue="1">
      <formula>$N12="blue"</formula>
    </cfRule>
  </conditionalFormatting>
  <conditionalFormatting sqref="CU19:CV22">
    <cfRule type="expression" dxfId="7" priority="235" stopIfTrue="1">
      <formula>$N12="yellow"</formula>
    </cfRule>
    <cfRule type="expression" dxfId="6" priority="234" stopIfTrue="1">
      <formula>$N12="blue"</formula>
    </cfRule>
    <cfRule type="expression" dxfId="5" priority="233" stopIfTrue="1">
      <formula>$N12="orange"</formula>
    </cfRule>
    <cfRule type="expression" dxfId="4" priority="232" stopIfTrue="1">
      <formula>$N12="None"</formula>
    </cfRule>
  </conditionalFormatting>
  <conditionalFormatting sqref="CW14:DD22">
    <cfRule type="expression" dxfId="3" priority="228" stopIfTrue="1">
      <formula>$N14="None"</formula>
    </cfRule>
    <cfRule type="expression" dxfId="2" priority="229" stopIfTrue="1">
      <formula>$N14="orange"</formula>
    </cfRule>
    <cfRule type="expression" dxfId="1" priority="230" stopIfTrue="1">
      <formula>$N14="blue"</formula>
    </cfRule>
    <cfRule type="expression" dxfId="0" priority="231" stopIfTrue="1">
      <formula>$N14="yellow"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Flow_PostBincut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Toby McPheeters</cp:lastModifiedBy>
  <dcterms:created xsi:type="dcterms:W3CDTF">2016-12-18T05:56:45Z</dcterms:created>
  <dcterms:modified xsi:type="dcterms:W3CDTF">2025-12-05T22:22:13Z</dcterms:modified>
</cp:coreProperties>
</file>