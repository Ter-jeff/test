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alan_lee6/Desktop/git/komodo_documents/B0_V07A/"/>
    </mc:Choice>
  </mc:AlternateContent>
  <xr:revisionPtr revIDLastSave="0" documentId="8_{26B96570-E683-7942-AB28-039A13CAB826}" xr6:coauthVersionLast="47" xr6:coauthVersionMax="47" xr10:uidLastSave="{00000000-0000-0000-0000-000000000000}"/>
  <bookViews>
    <workbookView xWindow="0" yWindow="680" windowWidth="34560" windowHeight="20440" activeTab="1" xr2:uid="{5DF6732A-C58D-E946-B992-388800B2904B}"/>
  </bookViews>
  <sheets>
    <sheet name="Version" sheetId="7" r:id="rId1"/>
    <sheet name="STR_DFTL" sheetId="14" r:id="rId2"/>
    <sheet name="HIP_DFTL" sheetId="15" r:id="rId3"/>
  </sheets>
  <definedNames>
    <definedName name="_xlnm._FilterDatabase" localSheetId="2" hidden="1">HIP_DFTL!$A$2:$DQ$44</definedName>
    <definedName name="_xlnm._FilterDatabase" localSheetId="1" hidden="1">STR_DFTL!$A$2:$CO$88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44" i="15" l="1"/>
  <c r="P44" i="15"/>
  <c r="AM43" i="15"/>
  <c r="P43" i="15"/>
  <c r="AM42" i="15"/>
  <c r="P42" i="15"/>
  <c r="AM41" i="15"/>
  <c r="P41" i="15"/>
  <c r="AM40" i="15"/>
  <c r="P40" i="15"/>
  <c r="AM39" i="15"/>
  <c r="P39" i="15"/>
  <c r="AM38" i="15"/>
  <c r="P38" i="15"/>
  <c r="AM37" i="15"/>
  <c r="P37" i="15"/>
  <c r="AM36" i="15"/>
  <c r="P36" i="15"/>
  <c r="AM35" i="15"/>
  <c r="P35" i="15"/>
  <c r="AM34" i="15"/>
  <c r="P34" i="15"/>
  <c r="AM33" i="15"/>
  <c r="P33" i="15"/>
  <c r="P32" i="15"/>
  <c r="P31" i="15"/>
  <c r="P30" i="15"/>
  <c r="P29" i="15"/>
  <c r="P28" i="15"/>
  <c r="P27" i="15"/>
  <c r="P26" i="15"/>
  <c r="P25" i="15"/>
  <c r="P24" i="15"/>
  <c r="P23" i="15"/>
  <c r="P22" i="15"/>
  <c r="P21" i="15"/>
  <c r="P20" i="15"/>
  <c r="P19" i="15"/>
  <c r="P18" i="15"/>
  <c r="P17" i="15"/>
  <c r="P16" i="15"/>
  <c r="P15" i="15"/>
  <c r="P14" i="15"/>
  <c r="P13" i="15"/>
  <c r="P12" i="15"/>
  <c r="P11" i="15"/>
  <c r="P10" i="15"/>
  <c r="P9" i="15"/>
  <c r="P8" i="15"/>
  <c r="P7" i="15"/>
  <c r="P6" i="15"/>
  <c r="P5" i="15"/>
  <c r="P4" i="15"/>
  <c r="P3" i="15"/>
  <c r="P41" i="14" l="1"/>
  <c r="P75" i="14"/>
  <c r="P40" i="14" l="1"/>
  <c r="P17" i="14"/>
  <c r="H1" i="7" l="1"/>
</calcChain>
</file>

<file path=xl/sharedStrings.xml><?xml version="1.0" encoding="utf-8"?>
<sst xmlns="http://schemas.openxmlformats.org/spreadsheetml/2006/main" count="5967" uniqueCount="743">
  <si>
    <t>Domain</t>
  </si>
  <si>
    <t>Sweep</t>
  </si>
  <si>
    <t>Perf Mode</t>
  </si>
  <si>
    <t>TEST</t>
  </si>
  <si>
    <t>Cluster</t>
  </si>
  <si>
    <t>Categorization Requirement</t>
  </si>
  <si>
    <t>IP Use</t>
  </si>
  <si>
    <t>VDDPCPU</t>
  </si>
  <si>
    <t>VDDECPU</t>
  </si>
  <si>
    <t>VDDGPU</t>
  </si>
  <si>
    <t>VDDSOC</t>
  </si>
  <si>
    <t>VDDDCSDDR</t>
  </si>
  <si>
    <t>VDDDISP</t>
  </si>
  <si>
    <t>VDDCPUSRAM</t>
  </si>
  <si>
    <t>VDDSRAMGPU</t>
  </si>
  <si>
    <t>VDDLOW</t>
  </si>
  <si>
    <t>VDDCIO</t>
  </si>
  <si>
    <t>VDDCIOUSB</t>
  </si>
  <si>
    <t>Search</t>
  </si>
  <si>
    <t>Nominal</t>
  </si>
  <si>
    <t>Use/Not Use</t>
  </si>
  <si>
    <t>Updated</t>
  </si>
  <si>
    <t>Priority</t>
  </si>
  <si>
    <t>Comments</t>
  </si>
  <si>
    <t>USERDEF1</t>
  </si>
  <si>
    <t>USERDEF2</t>
  </si>
  <si>
    <t>USERDEF3</t>
  </si>
  <si>
    <t>GROUP</t>
  </si>
  <si>
    <t>CATEGORY</t>
  </si>
  <si>
    <t>USERDEF4</t>
  </si>
  <si>
    <t>USERDEF5</t>
  </si>
  <si>
    <t>USERDEF6</t>
  </si>
  <si>
    <t>USERDEF7</t>
  </si>
  <si>
    <t>USERDEF8</t>
  </si>
  <si>
    <t>USERDEF9</t>
  </si>
  <si>
    <t>TP name(TE use suffix)</t>
  </si>
  <si>
    <t>Test Items</t>
  </si>
  <si>
    <t>Description</t>
  </si>
  <si>
    <t>USL</t>
  </si>
  <si>
    <t>LSL</t>
  </si>
  <si>
    <t>Units</t>
  </si>
  <si>
    <t>Init1</t>
  </si>
  <si>
    <t>Init2</t>
  </si>
  <si>
    <t>Init3</t>
  </si>
  <si>
    <t>Init4</t>
  </si>
  <si>
    <t>Init5</t>
  </si>
  <si>
    <t>Init6</t>
  </si>
  <si>
    <t>Init7</t>
  </si>
  <si>
    <t>Init8</t>
  </si>
  <si>
    <t>Init9</t>
  </si>
  <si>
    <t>Init10</t>
  </si>
  <si>
    <t>Payload1</t>
  </si>
  <si>
    <t>Payload2</t>
  </si>
  <si>
    <t>Payload3</t>
  </si>
  <si>
    <t>Payload4</t>
  </si>
  <si>
    <t>Payload5</t>
  </si>
  <si>
    <t>Other Supplies</t>
  </si>
  <si>
    <t>Start</t>
  </si>
  <si>
    <t>Stop</t>
  </si>
  <si>
    <t>Step</t>
  </si>
  <si>
    <t>Method</t>
  </si>
  <si>
    <t>LVCC/HVCC Target</t>
  </si>
  <si>
    <t>Voltage</t>
  </si>
  <si>
    <t>RetentionTime</t>
  </si>
  <si>
    <t>HTOL</t>
  </si>
  <si>
    <t>TTR</t>
  </si>
  <si>
    <t>DFC</t>
  </si>
  <si>
    <t>Use</t>
  </si>
  <si>
    <t>GPU</t>
  </si>
  <si>
    <t>SOC</t>
  </si>
  <si>
    <t>GPUBIR</t>
  </si>
  <si>
    <t>PLLP</t>
  </si>
  <si>
    <t>55N</t>
  </si>
  <si>
    <t>X</t>
  </si>
  <si>
    <t>V</t>
  </si>
  <si>
    <t>Jump</t>
  </si>
  <si>
    <t>SRAMGPU</t>
  </si>
  <si>
    <t>PGPU</t>
  </si>
  <si>
    <t>DFTL</t>
  </si>
  <si>
    <t>MGX001</t>
  </si>
  <si>
    <t>GPUBST</t>
  </si>
  <si>
    <t>MSX001</t>
  </si>
  <si>
    <t>VDDSRAMSOC</t>
  </si>
  <si>
    <t>SelsrmSSSS</t>
  </si>
  <si>
    <t>Selsrm1S11</t>
  </si>
  <si>
    <t>SRAMSOC</t>
  </si>
  <si>
    <t>CPU</t>
  </si>
  <si>
    <t>PCPU</t>
  </si>
  <si>
    <t>MPX001</t>
  </si>
  <si>
    <t>59N</t>
  </si>
  <si>
    <t>REPREST</t>
  </si>
  <si>
    <t>PP_KMDA0_C_IN01_BI_H0HD_BST_JTG_XXX_MPXXXX_SI_SMT</t>
  </si>
  <si>
    <t>CPUSRAM</t>
  </si>
  <si>
    <t>MPX00H</t>
  </si>
  <si>
    <t>H0HX</t>
  </si>
  <si>
    <t>CPUBST</t>
  </si>
  <si>
    <t>PP_KMDA0_C_PLLP_BI_H0HX_BST_JTG_59N_MPXXXX_SI_REPREST</t>
  </si>
  <si>
    <t>Payload6</t>
  </si>
  <si>
    <t>Payload7</t>
  </si>
  <si>
    <t>LOW</t>
  </si>
  <si>
    <t>SOCBIR</t>
  </si>
  <si>
    <t>GR01</t>
  </si>
  <si>
    <t>SRVA</t>
  </si>
  <si>
    <t>PP_KMDA0_S_IN01_BI_XXXX_XXX_JTG_UNS_F00024_SI_CMNINIT</t>
  </si>
  <si>
    <t>PP_KMDA0_S_IN01_BI_XXXX_XXX_JTG_UNS_F00024_SI_BISTINIT</t>
  </si>
  <si>
    <t>PP_KMDA0_S_IN01_BI_CHIP_EFU_JTG_UNS_ALLFRV_SI_AOPLOAD_EFHUB</t>
  </si>
  <si>
    <t>PP_KMDA0_S_IN01_BI_CHIP_EFU_JTG_UNS_ALLFRV_SI_SOCLOAD_EFHUB</t>
  </si>
  <si>
    <t>PP_KMDA0_S_IN01_BI_XXXX_PLL_JTG_UNS_MSX005_SI_FROM_F00024</t>
  </si>
  <si>
    <t>PP_KMDA0_S_IN01_BI_XXXX_TDR_JTG_UNS_ALLFRV_SI_SRMDSSC</t>
  </si>
  <si>
    <t>PP_KMDA0_S_IN01_BI_CHIP_TDR_JTG_EMA_ALLFRV_SI_EMA_DEF</t>
  </si>
  <si>
    <t>PP_KMDA0_S_PL01_BI_XXXX_WFC_JTG_UNS_ALLFRV_SI_WAITTIME</t>
  </si>
  <si>
    <t>MSXXXX</t>
  </si>
  <si>
    <t>PP_KMDA0_S_IN01_BI_XXXX_PLL_JTG_UNS_F00100_SI_FROM_F00024</t>
  </si>
  <si>
    <t>PP_KMDA0_S_IN01_BI_XXXX_PLL_JTG_UNS_MSX001_SI_FROM_F00024</t>
  </si>
  <si>
    <t>PP_KMDA0_S_IN01_BI_CHIP_SRV_JTG_UNS_ALLFRV_SI_SRVAC_NOINIT</t>
  </si>
  <si>
    <t>SOCBST</t>
  </si>
  <si>
    <t>MLX001</t>
  </si>
  <si>
    <t>Bincut_X_X_X NV</t>
  </si>
  <si>
    <t>Date</t>
  </si>
  <si>
    <t>Revision</t>
  </si>
  <si>
    <t>Modified By</t>
  </si>
  <si>
    <t>PP_KMDA0_S_IN01_SC_CXXX_XXX_XXX_AUT_MSX000_DM_RESET_PWR</t>
  </si>
  <si>
    <t>PP_KMDA0_S_IN02_SC_CXXX_XXX_XXX_EMA_ALLFRV_DM_EMA_DEF</t>
  </si>
  <si>
    <t>PP_KMDA0_S_IN03_SC_CXXX_XXX_XXX_AUT_MSXXXX_DM_SRMDSSC</t>
  </si>
  <si>
    <t>SOCTDF</t>
  </si>
  <si>
    <t>PL10</t>
  </si>
  <si>
    <t>FIXED</t>
  </si>
  <si>
    <t>MFX001</t>
  </si>
  <si>
    <t>VDDFIXEDALL</t>
  </si>
  <si>
    <t>H0MX</t>
  </si>
  <si>
    <t>H0PD</t>
  </si>
  <si>
    <t>PL00</t>
  </si>
  <si>
    <t>MGXXXX</t>
  </si>
  <si>
    <t>VDDIO12GRP</t>
  </si>
  <si>
    <t>SelsrmS1SS</t>
  </si>
  <si>
    <t>Srinivason</t>
  </si>
  <si>
    <t>Count of use</t>
  </si>
  <si>
    <t>Environment</t>
  </si>
  <si>
    <t>20C &lt; Temp &lt; 40C</t>
  </si>
  <si>
    <t>1PC0</t>
  </si>
  <si>
    <t>1PC1</t>
  </si>
  <si>
    <t>1st rev. Use the TTR flag.</t>
  </si>
  <si>
    <t>Fred</t>
  </si>
  <si>
    <t>change to Use/Not use to toggle DFTL items</t>
  </si>
  <si>
    <t>CP1</t>
  </si>
  <si>
    <t>CP2</t>
  </si>
  <si>
    <t>FT1</t>
  </si>
  <si>
    <t>FT2</t>
  </si>
  <si>
    <t>WAT</t>
  </si>
  <si>
    <t>ALL</t>
  </si>
  <si>
    <t>1MC2</t>
  </si>
  <si>
    <t>1MC3</t>
  </si>
  <si>
    <t>1MC4</t>
  </si>
  <si>
    <t>1MC5</t>
  </si>
  <si>
    <t>Useage</t>
  </si>
  <si>
    <t>Type</t>
  </si>
  <si>
    <t>VDD10CIO</t>
  </si>
  <si>
    <t>VDDFIXEDPCIE</t>
  </si>
  <si>
    <t>VDD10PCIE</t>
  </si>
  <si>
    <t>VDDFIXEDPCIE5</t>
  </si>
  <si>
    <t>VDD10PCIE5</t>
  </si>
  <si>
    <t>VDDFIXEDLPDPRX</t>
  </si>
  <si>
    <t>VDD10LPDPRX</t>
  </si>
  <si>
    <t>VDDFIXEDLPDPTX</t>
  </si>
  <si>
    <t>VDD10LPDPTX</t>
  </si>
  <si>
    <t>VDDDCSDDR Valt</t>
  </si>
  <si>
    <t>Deepak</t>
  </si>
  <si>
    <t>Added HIP HFLH</t>
  </si>
  <si>
    <t>H0XD</t>
  </si>
  <si>
    <t>SP1</t>
  </si>
  <si>
    <t>REPDAT</t>
  </si>
  <si>
    <t>PP_KMDA0_C_IN03_BI_H0HD_XXX_XXX_XXX_MPXXXX_SI_RSTMSK</t>
  </si>
  <si>
    <t>PP_KMDA0_C_PLLP_BI_H0XD_BST_JTG_SP1_MPXXXX_SI_REPDAT</t>
  </si>
  <si>
    <t>MPX00I</t>
  </si>
  <si>
    <t>Added 7 patterns (SOCTDF and CPUBST) based on Limiter analysis from mini char</t>
  </si>
  <si>
    <t>Updated CP1 &amp; CP2 for PCIE G5 and CIO G4 to ALL from WAT; Updated all the HFLH to HFL</t>
  </si>
  <si>
    <t>Added ALL keyword in coverage column  for PCIE G5 and CIO G4 for CP1 and CP2</t>
  </si>
  <si>
    <t>PowerRunScenario</t>
  </si>
  <si>
    <t>Vivek</t>
  </si>
  <si>
    <t>Added RET tests</t>
  </si>
  <si>
    <t>MPX002</t>
  </si>
  <si>
    <t>MPX003</t>
  </si>
  <si>
    <t>CPA</t>
  </si>
  <si>
    <t>PP_KMDA0_S_IN01_BI_XXXX_PLL_JTG_UNS_MPX001_SI</t>
  </si>
  <si>
    <t>Added CPUSRAM Bypass mode tests</t>
  </si>
  <si>
    <t>CPUSRAM tests set CP2 = ALL</t>
  </si>
  <si>
    <t>Updated LPDPRX VDD10 start to 0.7V</t>
  </si>
  <si>
    <t>Added AMP ILB MD1 HVcc and increased volatge range to 1.1V</t>
  </si>
  <si>
    <t>Added PCPU 1C patterns to CP2</t>
  </si>
  <si>
    <t>AMP: fix pattern names for perf-modes</t>
  </si>
  <si>
    <t>GR07</t>
  </si>
  <si>
    <t>PP_KMDA0_S_PL01_BI_GR07_BIR_JTG_UNS_MSXXXX_SI_SRVASETP</t>
  </si>
  <si>
    <t>PP_KMDA0_S_PL01_BI_GR07_BIR_JTG_UNS_MSXXXX_SI_SRVASTCK</t>
  </si>
  <si>
    <t>PP_KMDA0_S_PL01_BI_GR07_BST_JTG_UNS_MSXXXX_SI_SRVASETP</t>
  </si>
  <si>
    <t>PP_KMDA0_S_PL01_BI_GR07_BST_JTG_UNS_MSXXXX_SI_SRVASTCK</t>
  </si>
  <si>
    <t>Updated limiters for SRAM</t>
  </si>
  <si>
    <t>Added ModeL for PCPU</t>
  </si>
  <si>
    <t>Program Version</t>
  </si>
  <si>
    <t>V05A</t>
  </si>
  <si>
    <t>SP5</t>
  </si>
  <si>
    <t>CPUPDF</t>
  </si>
  <si>
    <t>Added ModeL BLKC, CPUSRAM ME001/ME009 limiters, Mode1/ModeL CPUPDF patterns, Turbo GPU PDF patterns</t>
  </si>
  <si>
    <t>V06A</t>
  </si>
  <si>
    <t>Removed ModeJ. Updatd min search value to 0.4 from 0.3</t>
  </si>
  <si>
    <t>Updated CLB pattern to SSC from COM</t>
  </si>
  <si>
    <t>updated range for GPUTD turbo</t>
  </si>
  <si>
    <t>Fixed CPUTD wrong mode, update range, fixed SRAM not sweeping same as SOC</t>
  </si>
  <si>
    <t xml:space="preserve">Added CMS GPUTDF vs SRAMGPU sweep. </t>
  </si>
  <si>
    <t>Updated sweep from GPU -&gt; SRAMGPU for CMS.</t>
  </si>
  <si>
    <t>format error fix</t>
  </si>
  <si>
    <t>V07A</t>
  </si>
  <si>
    <t>MPX00B</t>
  </si>
  <si>
    <t>1.12</t>
  </si>
  <si>
    <t>1.0528</t>
  </si>
  <si>
    <t>PP_KMDB0_C_IN00_BI_H0HD_XXX_XXX_XXX_MPXXXX_SI_SRMDSSC</t>
  </si>
  <si>
    <t>PP_KMDB0_C_IN02_BI_H0HD_XXX_XXX_EMA_MPX00B_SI</t>
  </si>
  <si>
    <t>1.2</t>
  </si>
  <si>
    <t>0.715</t>
  </si>
  <si>
    <t>0.705</t>
  </si>
  <si>
    <t>1.035</t>
  </si>
  <si>
    <t>0.71</t>
  </si>
  <si>
    <t>0.75</t>
  </si>
  <si>
    <t>1.3</t>
  </si>
  <si>
    <t>0.65</t>
  </si>
  <si>
    <t>0.005</t>
  </si>
  <si>
    <t>0.82</t>
  </si>
  <si>
    <t>0.84</t>
  </si>
  <si>
    <t>0.8</t>
  </si>
  <si>
    <t>0.885</t>
  </si>
  <si>
    <t>1.053</t>
  </si>
  <si>
    <t>DFTL_CPU_CPUSRAM_MPX00B_CPUBST_H0HX_PLLP_59N_REPDAT_X_SelsrmSSSS_</t>
  </si>
  <si>
    <t>PP_KMDA0_C_PLLP_BI_H0HX_BST_JTG_59N_MPXXXX_SI_REPDAT</t>
  </si>
  <si>
    <t>MPX008</t>
  </si>
  <si>
    <t>1.03</t>
  </si>
  <si>
    <t>0.9682</t>
  </si>
  <si>
    <t>PP_KMDB0_C_IN02_BI_H0HD_XXX_XXX_EMA_MPX008_SI</t>
  </si>
  <si>
    <t>0.95</t>
  </si>
  <si>
    <t>1.1</t>
  </si>
  <si>
    <t>0.55</t>
  </si>
  <si>
    <t>0.968</t>
  </si>
  <si>
    <t>DFTL_CPU_CPUSRAM_MPX008_CPUBST_H0HX_PLLP_SP1_REPREST_X_SelsrmSSSS_</t>
  </si>
  <si>
    <t>PP_KMDA0_C_PLLP_BI_H0HX_BST_JTG_SP1_MPXXXX_SI_REPREST</t>
  </si>
  <si>
    <t>GR02</t>
  </si>
  <si>
    <t>SRVU</t>
  </si>
  <si>
    <t>DFTL_SOC_CPUSRAM_MPX001_SOCBST_GR02_X_X_SRVU_CPA_SelsrmSSSS_</t>
  </si>
  <si>
    <t>0.85</t>
  </si>
  <si>
    <t>0.799</t>
  </si>
  <si>
    <t>PP_KMDA0_S_IN01_BI_CHIP_TDR_JTG_EMA_MPX001_SI_EMA_DEF</t>
  </si>
  <si>
    <t>PP_KMDA0_S_IN01_BI_CHIP_SRV_JTG_UNS_ALLFRV_SI_SRVEU_NOINIT</t>
  </si>
  <si>
    <t>PP_KMDA0_S_PL01_BI_GR02_BST_JTG_UNS_MPXXXX_SI_SRVU_CPA</t>
  </si>
  <si>
    <t>0.74</t>
  </si>
  <si>
    <t>1.05</t>
  </si>
  <si>
    <t>0.35</t>
  </si>
  <si>
    <t>1.32</t>
  </si>
  <si>
    <t>DFTL_SOC_CPUSRAM_MPX002_SOCBST_GR02_X_X_SRVU_CPA_SelsrmSSSS_</t>
  </si>
  <si>
    <t>PP_KMDA0_S_IN01_BI_XXXX_PLL_JTG_UNS_MPX002_SI</t>
  </si>
  <si>
    <t>PP_KMDA0_S_IN01_BI_CHIP_TDR_JTG_EMA_MPX002_SI_EMA_DEF</t>
  </si>
  <si>
    <t>0.765</t>
  </si>
  <si>
    <t>DFTL_SOC_CPUSRAM_MPX003_SOCBST_GR02_X_X_SRVU_CPA_SelsrmSSSS_</t>
  </si>
  <si>
    <t>0.86</t>
  </si>
  <si>
    <t>0.8084</t>
  </si>
  <si>
    <t>PP_KMDA0_S_IN01_BI_XXXX_PLL_JTG_UNS_MPX003_SI</t>
  </si>
  <si>
    <t>PP_KMDA0_S_IN01_BI_CHIP_TDR_JTG_EMA_MPX003_SI_EMA_DEF</t>
  </si>
  <si>
    <t>0.785</t>
  </si>
  <si>
    <t>1.06</t>
  </si>
  <si>
    <t>0.36</t>
  </si>
  <si>
    <t>0.808</t>
  </si>
  <si>
    <t>DFTL_CPU_CPUSRAM_MPX00H_CPUBST_H0XD_PLLP_SP1_REPDAT_X_SelsrmSSSS_</t>
  </si>
  <si>
    <t>1.185</t>
  </si>
  <si>
    <t>1.1139</t>
  </si>
  <si>
    <t>PP_KMDB0_C_IN02_BI_H0HD_XXX_XXX_EMA_MPX00H_SI</t>
  </si>
  <si>
    <t>1.25</t>
  </si>
  <si>
    <t>0.685</t>
  </si>
  <si>
    <t>1.114</t>
  </si>
  <si>
    <t>DFTL_CPU_CPUSRAM_MPX00H_CPUBST_H0XD_PLLP_SP5_REPDAT_X_SelsrmSSSS_</t>
  </si>
  <si>
    <t>PP_KMDA0_C_PLLP_BI_H0XD_BST_JTG_SP5_MPXXXX_SI_REPDAT</t>
  </si>
  <si>
    <t>DFTL_CPU_CPUSRAM_MPX001_CPUBST_H0HX_PLLP_59N_REPREST_X_SelsrmSSSS_</t>
  </si>
  <si>
    <t>PP_KMDB0_C_IN02_BI_H0HD_XXX_XXX_EMA_MPX001_SI</t>
  </si>
  <si>
    <t>0.9</t>
  </si>
  <si>
    <t>0.4</t>
  </si>
  <si>
    <t>DFTL_CPU_CPUSRAM_MPX002_CPUBST_H0HX_PLLP_59N_REPREST_X_SelsrmSSSS_</t>
  </si>
  <si>
    <t>PP_KMDB0_C_IN02_BI_H0HD_XXX_XXX_EMA_MPX002_SI</t>
  </si>
  <si>
    <t>DFTL_CPU_CPUSRAM_MPX003_CPUBST_H0HX_PLLP_59N_REPREST_X_SelsrmSSSS_</t>
  </si>
  <si>
    <t>PP_KMDB0_C_IN02_BI_H0HD_XXX_XXX_EMA_MPX003_SI</t>
  </si>
  <si>
    <t>MPX007</t>
  </si>
  <si>
    <t>DFTL_CPU_CPUSRAM_MPX007_CPUBST_H0HX_PLLP_59N_REPREST_X_SelsrmSSSS_</t>
  </si>
  <si>
    <t>0.99</t>
  </si>
  <si>
    <t>0.9306</t>
  </si>
  <si>
    <t>PP_KMDB0_C_IN02_BI_H0HD_XXX_XXX_EMA_MPX007_SI</t>
  </si>
  <si>
    <t>0.92</t>
  </si>
  <si>
    <t>0.931</t>
  </si>
  <si>
    <t>DFTL_CPU_CPUSRAM_MPX008_CPUBST_H0HX_PLLP_59N_REPREST_X_SelsrmSSSS_</t>
  </si>
  <si>
    <t>DFTL_CPU_CPUSRAM_MPX00H_CPUBST_H0HX_PLLP_59N_REPREST_X_SelsrmSSSS_</t>
  </si>
  <si>
    <t>MPX00C</t>
  </si>
  <si>
    <t>DFTL_CPU_CPUSRAM_MPX00C_CPUBST_H0HX_PLLP_59N_REPDAT_X_SelsrmSSSS_</t>
  </si>
  <si>
    <t>1.14</t>
  </si>
  <si>
    <t>1.0716</t>
  </si>
  <si>
    <t>PP_KMDB0_C_IN02_BI_H0HD_XXX_XXX_EMA_MPX00C_SI</t>
  </si>
  <si>
    <t>1.072</t>
  </si>
  <si>
    <t>MPX00K</t>
  </si>
  <si>
    <t>PP_KMDB0_C_IN02_BI_H0HD_XXX_XXX_EMA_MPX00K_SI</t>
  </si>
  <si>
    <t>0.7</t>
  </si>
  <si>
    <t>Def</t>
  </si>
  <si>
    <t>BUCKET5</t>
  </si>
  <si>
    <t>DFTL_CPU_PCPU_MPX00I_CPUPDF_H0PD_PL00_1PC0_Def_BUCKET5_SelsrmSSSS_</t>
  </si>
  <si>
    <t>PP_KMDB0_C_IN00_XX_H0XX_XXX_XXX_XXX_MPXXXX_DM_SRMDSSC</t>
  </si>
  <si>
    <t>PP_KMDB0_C_IN02_SC_CXXX_XXX_XXX_EMA_MPX00I_DM</t>
  </si>
  <si>
    <t>0.745</t>
  </si>
  <si>
    <t>0.76</t>
  </si>
  <si>
    <t>0.775</t>
  </si>
  <si>
    <t>0.81</t>
  </si>
  <si>
    <t>0.72</t>
  </si>
  <si>
    <t>DFTL_CPU_PCPU_MPX00I_CPUPDF_H0PD_PL00_1PC1_Def_BUCKET5_SelsrmSSSS_</t>
  </si>
  <si>
    <t>DFTL_CPU_PCPU_MPX00I_CPUPDF_H0MX_PL00_1MC2_X_BUCKET5_SelsrmSSSS_</t>
  </si>
  <si>
    <t>1.128</t>
  </si>
  <si>
    <t>DFTL_CPU_PCPU_MPX00I_CPUPDF_H0MX_PL00_1MC3_X_BUCKET5_SelsrmSSSS_</t>
  </si>
  <si>
    <t>DFTL_CPU_PCPU_MPX00I_CPUPDF_H0MX_PL00_1MC4_X_BUCKET5_SelsrmSSSS_</t>
  </si>
  <si>
    <t>DFTL_CPU_PCPU_MPX00I_CPUPDF_H0MX_PL00_1MC5_X_BUCKET5_SelsrmSSSS_</t>
  </si>
  <si>
    <t>GX04</t>
  </si>
  <si>
    <t>DFTL_SOC_SRAMSOC_MSX001_SOCBST_GX04_X_X_SRVA_X_Selsrm1S11_</t>
  </si>
  <si>
    <t>0.7708</t>
  </si>
  <si>
    <t>PP_KMDA0_S_IN01_BI_XXXX_PLL_JTG_UNS_MSXXXX_SI_AUS5</t>
  </si>
  <si>
    <t>PP_KMDA0_S_PL01_BI_GX04_BST_JTG_UNS_MDXXXX_SI_SRVASETP</t>
  </si>
  <si>
    <t>PP_KMDA0_S_PL01_BI_GX04_BST_JTG_UNS_MDXXXX_SI_SRVASTCK</t>
  </si>
  <si>
    <t>1.02</t>
  </si>
  <si>
    <t>0.32</t>
  </si>
  <si>
    <t>0.771</t>
  </si>
  <si>
    <t>DFTLH_SOC_SRAMSOC_MSXXXX_SOCBST_GX04_X_X_SRVA_X_Selsrm1S11_</t>
  </si>
  <si>
    <t>0.902</t>
  </si>
  <si>
    <t>PP_KMDA0_S_IN01_BI_XXXX_PLL_JTG_UNS_MSXXXX_SI_AUS5_F00100</t>
  </si>
  <si>
    <t>DFTL_SOC_SRAMSOC_MSX001_SOCBIR_GR07_X_X_SRVA_X_Selsrm1S11_</t>
  </si>
  <si>
    <t>SRVP</t>
  </si>
  <si>
    <t>DFTL_SOC_SRAMSOC_MSX001_SOCBIR_GR01_X_X_SRVP_X_Selsrm1S11_</t>
  </si>
  <si>
    <t>PP_KMDA0_S_PL01_BI_GR01_BIR_JTG_UNS_MSXXXX_SI_SRVPSETP</t>
  </si>
  <si>
    <t>PP_KMDA0_S_PL01_BI_GR01_BIR_JTG_UNS_MSXXXX_SI_SRVPSTCK</t>
  </si>
  <si>
    <t>DFTLH_SOC_SRAMSOC_MSXXXX_SOCBIR_GR01_X_X_SRVP_X_Selsrm1S11_</t>
  </si>
  <si>
    <t>DFTL_SOC_SRAMSOC_MSX001_SOCBST_GR07_X_X_SRVA_X_Selsrm1S11_</t>
  </si>
  <si>
    <t>DFTL_SOC_SRAMSOC_MSX001_SOCBST_GR01_X_X_SRVP_X_Selsrm1S11_</t>
  </si>
  <si>
    <t>PP_KMDA0_S_IN01_BI_CHIP_SRV_JTG_UNS_ALLFRV_SI_SRVP_NOINIT</t>
  </si>
  <si>
    <t>PP_KMDA0_S_PL01_BI_GR01_BST_JTG_UNS_MSXXXX_SI_SRVPSETP</t>
  </si>
  <si>
    <t>PP_KMDA0_S_PL01_BI_GR01_BST_JTG_UNS_MSXXXX_SI_SRVPSTCK</t>
  </si>
  <si>
    <t>DFTLH_SOC_SRAMSOC_MSXXXX_SOCBST_GR01_X_X_SRVP_X_Selsrm1S11_</t>
  </si>
  <si>
    <t>DFTLH_GPU_SRAMGPU_MGXXXX_GPUBIR_PGPU_PLLP_55N_X_X_SelsrmS1SS_</t>
  </si>
  <si>
    <t>PP_KMDB0_L_INLP_BI_TDRS_RST_JTG_UNS_ALLFRV_SI_SOC_INIT</t>
  </si>
  <si>
    <t>PP_KMDB0_L_INLP_BI_TDRS_RST_JTG_UNS_ALLFRV_SI_GFX_INIT</t>
  </si>
  <si>
    <t>PP_KMDB0_L_INLP_BI_TDRS_RST_JTG_EMA_ALLFRV_SI_EMA_DEF</t>
  </si>
  <si>
    <t>PP_KMDB0_L_INLP_BI_TDRS_PLL_JTG_UNS_MGSXXX_SI</t>
  </si>
  <si>
    <t>PP_KMDB0_L_INLP_BI_TDRS_RST_JTG_UNS_ALLFRV_SI_SRMDSSC</t>
  </si>
  <si>
    <t>PP_KMDB0_L_PLLP_BI_PGPU_BIR_JTG_55N_MGXXXX_SI</t>
  </si>
  <si>
    <t>0.42</t>
  </si>
  <si>
    <t>0.73</t>
  </si>
  <si>
    <t>SelsrmS1S1</t>
  </si>
  <si>
    <t>DFTL_GPU_SRAMGPU_MGX001_GPUBIR_PGPU_PLLP_55N_X_X_SelsrmS1S1_</t>
  </si>
  <si>
    <t>PP_KMDB0_L_INLP_BI_TDRS_PLL_JTG_UNS_MGX001_SI</t>
  </si>
  <si>
    <t>DFTLH_GPU_SRAMGPU_MGXXXX_GPUBST_PGPU_PLLP_55N_X_X_SelsrmS1SS_</t>
  </si>
  <si>
    <t>PP_KMDB0_L_INLP_BI_TDRS_SRV_JTG_UNS_ALLFRV_SI_SMART_REPAIR</t>
  </si>
  <si>
    <t>PP_KMDB0_L_PLLP_BI_PGPU_BST_JTG_55N_MGXXXX_SI</t>
  </si>
  <si>
    <t>DFTL_GPU_SRAMGPU_MGX001_GPUBST_PGPU_PLLP_55N_X_X_SelsrmS1S1_</t>
  </si>
  <si>
    <t>DFTLH_SOC_LOW_MLX001_SOCBIR_GR02_X_X_SRVA_X_SelsrmSSSS_</t>
  </si>
  <si>
    <t>0.88</t>
  </si>
  <si>
    <t>PP_KMDA0_S_PL01_BI_GR02_BIR_JTG_UNS_MLXXXX_SI_SRVASETP</t>
  </si>
  <si>
    <t>PP_KMDA0_S_PL01_BI_GR02_BIR_JTG_UNS_MLXXXX_SI_SRVASTCK</t>
  </si>
  <si>
    <t>0.3</t>
  </si>
  <si>
    <t>MLXXXX</t>
  </si>
  <si>
    <t>DFTLH_SOC_LOW_MLXXXX_SOCBIR_GR02_X_X_SRVA_X_SelsrmSSSS_</t>
  </si>
  <si>
    <t>DFTLH_SOC_LOW_MLX001_SOCBST_GR02_X_X_SRVA_X_SelsrmSSSS_</t>
  </si>
  <si>
    <t>PP_KMDA0_S_PL01_BI_GR02_BST_JTG_UNS_MLXXXX_SI_SRVASETP</t>
  </si>
  <si>
    <t>PP_KMDA0_S_PL01_BI_GR02_BST_JTG_UNS_MLXXXX_SI_SRVASTCK</t>
  </si>
  <si>
    <t>DFTLH_SOC_LOW_MLXXXX_SOCBST_GR02_X_X_SRVA_X_SelsrmSSSS_</t>
  </si>
  <si>
    <t>CHI3</t>
  </si>
  <si>
    <t>UNC</t>
  </si>
  <si>
    <t>0.891</t>
  </si>
  <si>
    <t>PP_KMDB0_S_IN04_SC_CHI3_TDF_SSC_AUT_MFX001_DM</t>
    <phoneticPr fontId="7" type="noConversion"/>
  </si>
  <si>
    <t>PP_KMDB0_S_PL10_SC_CHI3_TDF_SSC_AUT_MFXXXX_DM</t>
  </si>
  <si>
    <t>0.735</t>
  </si>
  <si>
    <t>Prelim version. No Interpolation modes added.</t>
  </si>
  <si>
    <t>N</t>
  </si>
  <si>
    <t>USBG1DP</t>
  </si>
  <si>
    <t>CIO</t>
  </si>
  <si>
    <t>DPUSBG1</t>
  </si>
  <si>
    <t>USBG2DP</t>
  </si>
  <si>
    <t>DPUSBG2</t>
  </si>
  <si>
    <t>CIOG1</t>
  </si>
  <si>
    <t>CIOG4</t>
  </si>
  <si>
    <t>G1</t>
  </si>
  <si>
    <t>PCIE5</t>
  </si>
  <si>
    <t>G5</t>
  </si>
  <si>
    <t>ELB2P7</t>
  </si>
  <si>
    <t>LPDPRX</t>
  </si>
  <si>
    <t>ODD</t>
  </si>
  <si>
    <t>EVEN</t>
  </si>
  <si>
    <t>L5L6</t>
  </si>
  <si>
    <t>ELB14P0</t>
  </si>
  <si>
    <t>PLB</t>
  </si>
  <si>
    <t>LPDPTX</t>
  </si>
  <si>
    <t>AMP</t>
  </si>
  <si>
    <t>MDX001</t>
  </si>
  <si>
    <t>INTS</t>
  </si>
  <si>
    <t>CA</t>
  </si>
  <si>
    <t>MDX005</t>
  </si>
  <si>
    <t>MDX009</t>
  </si>
  <si>
    <t>MDX00A</t>
  </si>
  <si>
    <t>DQW</t>
  </si>
  <si>
    <t>DQR</t>
  </si>
  <si>
    <t>pp_kmda0_s_in00_an_cixx_pff_jtg_xxx_allfrv_si_chip_init</t>
  </si>
  <si>
    <t>pp_kmda0_s_in01_an_cixx_pff_jtg_xxx_allfrv_si_aciophy_header</t>
  </si>
  <si>
    <t>pp_kmda0_s_in02_an_cixx_pff_jtg_xxx_allfrv_si_usbdp_tunables</t>
  </si>
  <si>
    <t>pp_kmda0_s_fulp_an_ciph_bst_jtg_elb_allfrv_si_elb_usbg1dp2</t>
  </si>
  <si>
    <t>NV</t>
  </si>
  <si>
    <t>pp_kmda0_s_in02_an_cixx_pff_jtg_xxx_allfrv_si_dpusb_tunables</t>
  </si>
  <si>
    <t>pp_kmda0_s_fulp_an_ciph_bst_jtg_elb_allfrv_si_elb_dp2usbg1</t>
  </si>
  <si>
    <t>pp_kmda0_s_fulp_an_ciph_bst_jtg_elb_allfrv_si_elb_usbg2dp3</t>
  </si>
  <si>
    <t>pp_kmda0_s_fulp_an_ciph_bst_jtg_elb_allfrv_si_elb_dp3usbg2</t>
  </si>
  <si>
    <t>pp_kmda0_s_in02_an_cixx_pff_jtg_xxx_allfrv_si_cio10g_tunables</t>
  </si>
  <si>
    <t>pp_kmda0_s_fulp_an_ciph_bst_jtg_elb_allfrv_si_elb_ciog1</t>
  </si>
  <si>
    <t>pp_kmda0_s_in02_an_cixx_pff_jtg_xxx_allfrv_si_cio20g_tunables</t>
  </si>
  <si>
    <t>pp_kmda0_s_fulp_an_ciph_bst_jtg_elb_allfrv_si_elb_ciog4</t>
  </si>
  <si>
    <t>pp_kmda0_s_in00_an_p5xx_pff_jtg_xxx_allfrv_si_chip_init</t>
  </si>
  <si>
    <t>pp_kmda0_s_in01_an_p5xx_pff_jtg_xxx_allfrv_si_nonfw_header</t>
  </si>
  <si>
    <t>pp_kmda0_s_in02_an_p5xx_pff_jtg_xxx_allfrv_si_loadnofw_tunables</t>
  </si>
  <si>
    <t>pp_kmda0_s_fulp_an_p5ph_bst_jtg_elb_allfrv_si_elb_g1</t>
  </si>
  <si>
    <t>pp_kmda0_s_in01_an_p5xx_pff_jtg_xxx_allfrv_si_initfw_load</t>
  </si>
  <si>
    <t>pp_kmda0_s_in02_an_p5xx_pff_jtg_xxx_allfrv_si_loadfw_tunables</t>
  </si>
  <si>
    <t>pp_kmda0_s_fulp_an_p5ph_bst_jtg_elb_allfrv_si_elb_g5</t>
  </si>
  <si>
    <t>pp_kmda0_s_in01_an_rxxx_pff_jtg_xxx_allfrv_si_aciphy_header</t>
  </si>
  <si>
    <t>pp_kmda0_s_in02_an_rxxx_pff_jtg_xxx_allfrv_si_lpdprx_tunables</t>
  </si>
  <si>
    <t>pp_kmda0_s_fulp_an_rxph_bst_jtg_elb_allfrv_si_odd_elb2p7</t>
  </si>
  <si>
    <t>pp_kmda0_s_fulp_an_rxph_bst_jtg_elb_allfrv_si_even_elb2p7</t>
  </si>
  <si>
    <t>pp_kmda0_s_fulp_an_rxph_bst_jtg_elb_allfrv_si_l5l6_elb2p7</t>
  </si>
  <si>
    <t>pp_kmda0_s_in02_an_rxxx_pff_jtg_xxx_allfrv_si_aciphy_tunables</t>
  </si>
  <si>
    <t>pp_kmda0_s_fulp_an_rxph_bst_jtg_elb_allfrv_si_odd_elb14p0</t>
  </si>
  <si>
    <t>pp_kmda0_s_fulp_an_rxph_bst_jtg_elb_allfrv_si_even_elb14p0</t>
  </si>
  <si>
    <t>pp_kmda0_s_fulp_an_rxph_bst_jtg_elb_allfrv_si_l5l6_elb14p0</t>
  </si>
  <si>
    <t>pp_kmda0_s_in00_an_txxx_pff_jtg_xxx_allfrv_si_chip_init</t>
  </si>
  <si>
    <t>pp_kmda0_s_in01_an_txxx_pff_jtg_xxx_allfrv_si_lpdptx_header</t>
  </si>
  <si>
    <t>pp_kmda0_s_in02_an_txxx_pff_jtg_xxx_allfrv_si_load_tunables</t>
  </si>
  <si>
    <t>pp_kmda0_s_fulp_an_txtx_mea_jtg_fun_allfrv_si_tx_plb</t>
  </si>
  <si>
    <t>pp_kmda0_s_fulp_an_ddio_ilb_jtg_lp5_mdx001_si_ints_md1ca</t>
  </si>
  <si>
    <t>pp_kmda0_s_fulp_an_ddio_ilb_jtg_lp5_mdx005_si_ints_md5ca</t>
  </si>
  <si>
    <t>pp_kmda0_s_fulp_an_ddio_ilb_jtg_lp5_mdx009_si_ints_md9ca</t>
  </si>
  <si>
    <t>pp_kmda0_s_fulp_an_ddio_ilb_jtg_lp5_mdx009_si_ints_11p6mca</t>
  </si>
  <si>
    <t>pp_kmda0_s_fulp_an_ddio_ilb_jtg_lp5_mdx001_si_ints_md1dqw</t>
  </si>
  <si>
    <t>pp_kmda0_s_fulp_an_ddio_ilb_jtg_lp5_mdx005_si_ints_md5dqw</t>
  </si>
  <si>
    <t>pp_kmda0_s_fulp_an_ddio_ilb_jtg_lp5_mdx009_si_ints_md9dqw</t>
  </si>
  <si>
    <t>pp_kmda0_s_fulp_an_ddio_ilb_jtg_lp5_mdx009_si_ints_11p6mdqw</t>
  </si>
  <si>
    <t>pp_kmda0_s_fulp_an_ddio_ilb_jtg_lp5_mdx001_si_ints_md1dqr</t>
  </si>
  <si>
    <t>pp_kmda0_s_fulp_an_ddio_ilb_jtg_lp5_mdx005_si_ints_md5dqr</t>
  </si>
  <si>
    <t>pp_kmda0_s_fulp_an_ddio_ilb_jtg_lp5_mdx009_si_ints_md9dqr</t>
  </si>
  <si>
    <t>pp_kmda0_s_fulp_an_ddio_ilb_jtg_lp5_mdx009_si_ints_11p6mdqr</t>
  </si>
  <si>
    <t>ELB</t>
  </si>
  <si>
    <t>V07A DCC</t>
  </si>
  <si>
    <t>Added HIP coverage back</t>
  </si>
  <si>
    <t>DCSDDR</t>
  </si>
  <si>
    <t>MDX003</t>
  </si>
  <si>
    <t>CDCS</t>
  </si>
  <si>
    <t>SSC</t>
  </si>
  <si>
    <t>DFTL_SOC_DCSDDR_MDX003_SOCTDF_CDCS_PL10_SSC_X_X_SelsrmSSSS_</t>
  </si>
  <si>
    <t>0.893</t>
  </si>
  <si>
    <t>PP_KMDA0_S_IN04_SC_CDCS_TDF_SSC_AUT_MDX003_DM</t>
  </si>
  <si>
    <t>PP_KMDB0_S_PL10_SC_CDCS_TDF_SSC_AUT_MSDXXX_DM</t>
  </si>
  <si>
    <t>1.15</t>
  </si>
  <si>
    <t>0.45</t>
  </si>
  <si>
    <t>1</t>
  </si>
  <si>
    <t>MDX004</t>
  </si>
  <si>
    <t>DFTL_SOC_DCSDDR_MDX004_SOCTDF_CDCS_PL10_SSC_X_X_SelsrmSSSS_</t>
  </si>
  <si>
    <t>PP_KMDA0_S_IN04_SC_CDCS_TDF_SSC_AUT_MDX004_DM</t>
  </si>
  <si>
    <t>1.19</t>
  </si>
  <si>
    <t>0.49</t>
  </si>
  <si>
    <t>MDX006</t>
  </si>
  <si>
    <t>DFTL_SOC_DCSDDR_MDX006_SOCTDF_CDCS_PL10_SSC_X_X_SelsrmSSSS_</t>
  </si>
  <si>
    <t>0.9964</t>
  </si>
  <si>
    <t>PP_KMDA0_S_IN04_SC_CDCS_TDF_SSC_AUT_MDX006_DM</t>
  </si>
  <si>
    <t>1.26</t>
  </si>
  <si>
    <t>0.56</t>
  </si>
  <si>
    <t>0.996</t>
  </si>
  <si>
    <t>MDX007</t>
  </si>
  <si>
    <t>DFTL_SOC_DCSDDR_MDX007_SOCTDF_CDCS_PL10_SSC_X_X_SelsrmSSSS_</t>
  </si>
  <si>
    <t>1.075</t>
  </si>
  <si>
    <t>1.0105</t>
  </si>
  <si>
    <t>PP_KMDA0_S_IN04_SC_CDCS_TDF_SSC_AUT_MDX007_DM</t>
  </si>
  <si>
    <t>1.275</t>
  </si>
  <si>
    <t>0.575</t>
  </si>
  <si>
    <t>1.01</t>
  </si>
  <si>
    <t>MDX008</t>
  </si>
  <si>
    <t>DFTL_SOC_DCSDDR_MDX008_SOCTDF_CDCS_PL10_SSC_X_X_SelsrmSSSS_</t>
  </si>
  <si>
    <t>1.105</t>
  </si>
  <si>
    <t>1.0387</t>
  </si>
  <si>
    <t>PP_KMDA0_S_IN04_SC_CDCS_TDF_SSC_AUT_MDX008_DM</t>
  </si>
  <si>
    <t>0.605</t>
  </si>
  <si>
    <t>1.039</t>
  </si>
  <si>
    <t>DISP</t>
  </si>
  <si>
    <t>MIX003</t>
  </si>
  <si>
    <t>CDSP</t>
  </si>
  <si>
    <t>DFTL_SOC_DISP_MIX003_SOCTDF_CDSP_PL10_SSC_X_X_SelsrmSSSS_</t>
  </si>
  <si>
    <t>0.94846</t>
  </si>
  <si>
    <t>PP_KMDA0_S_IN04_SC_CDSP_TDF_SSC_AUT_MIX003_DM</t>
  </si>
  <si>
    <t>PP_KMDB0_S_PL10_SC_CDSP_TDF_SSC_HAR_MIXXXX_DM</t>
  </si>
  <si>
    <t>1.21</t>
  </si>
  <si>
    <t>0.51</t>
  </si>
  <si>
    <t>0.948</t>
  </si>
  <si>
    <t>MIX004</t>
  </si>
  <si>
    <t>DFTLH_SOC_DISP_MIX004_SOCTDF_CDSP_PL10_SSC_X_X_SelsrmSSSS_</t>
  </si>
  <si>
    <t>1.1781</t>
  </si>
  <si>
    <t>1.07</t>
  </si>
  <si>
    <t>PP_KMDA0_S_IN04_SC_CDSP_TDF_SSC_AUT_MIX004_DM</t>
  </si>
  <si>
    <t>0.57</t>
  </si>
  <si>
    <t>1.178</t>
  </si>
  <si>
    <t>ECPU</t>
  </si>
  <si>
    <t>MEX002</t>
  </si>
  <si>
    <t>E0XD</t>
  </si>
  <si>
    <t>LATR</t>
  </si>
  <si>
    <t>PP_KMDB0_C_IN00_BI_E0ED_XXX_XXX_XXX_MEXXXX_SI_SRMDSSC</t>
  </si>
  <si>
    <t>PP_KMDA0_C_IN01_BI_E0ED_BST_JTG_XXX_MEXXXX_SI_SMT</t>
  </si>
  <si>
    <t>PP_KMDA0_C_PLLP_BI_E0XD_BST_JTG_59N_MEXXXX_SI_LATR</t>
  </si>
  <si>
    <t>0.935</t>
  </si>
  <si>
    <t>0.01</t>
  </si>
  <si>
    <t>0.865</t>
  </si>
  <si>
    <t>MEX004</t>
  </si>
  <si>
    <t>DFTL_CPU_ECPU_MEX004_CPUBST_E0XD_PLLP_59N_LATR_X_SelsrmSSSS_</t>
  </si>
  <si>
    <t>0.83</t>
  </si>
  <si>
    <t>0.7802</t>
  </si>
  <si>
    <t>PP_KMDB0_C_IN02_BI_E0ED_XXX_XXX_EMA_MEX004_SI</t>
  </si>
  <si>
    <t>0.5</t>
  </si>
  <si>
    <t>0.91</t>
  </si>
  <si>
    <t>0.78</t>
  </si>
  <si>
    <t>MEX005</t>
  </si>
  <si>
    <t>DFTL_CPU_ECPU_MEX005_CPUBST_E0XD_PLLP_59N_LATR_X_SelsrmSSSS_</t>
  </si>
  <si>
    <t>0.8319</t>
  </si>
  <si>
    <t>PP_KMDB0_C_IN02_BI_E0ED_XXX_XXX_EMA_MEX005_SI</t>
  </si>
  <si>
    <t>0.965</t>
  </si>
  <si>
    <t>0.832</t>
  </si>
  <si>
    <t>CPUTDF</t>
  </si>
  <si>
    <t>E0ED</t>
  </si>
  <si>
    <t>DIV166</t>
  </si>
  <si>
    <t>DFTL_CPU_ECPU_MEX002_CPUTDF_E0ED_PL10_X_X_DIV166_SelsrmSSSS_</t>
  </si>
  <si>
    <t>0.6862</t>
  </si>
  <si>
    <t>PP_KMDB0_C_IN00_XX_E0XX_XXX_XXX_XXX_MEXXXX_DM_SRMDSSC</t>
  </si>
  <si>
    <t>PP_KMDA0_C_IN01_SC_E0ED_TDF_COM_AUT_MEXXXX_DM_DIV166</t>
  </si>
  <si>
    <t>PP_KMDB0_C_IN02_SC_CXXX_XXX_XXX_EMA_MEX002_DM</t>
  </si>
  <si>
    <t>PP_KMDB0_C_PL10_SC_E0ED_TDF_COM_HAR_MEXXXX_DM_DIV166</t>
  </si>
  <si>
    <t>0.93</t>
  </si>
  <si>
    <t>0.686</t>
  </si>
  <si>
    <t>DFTL_CPU_ECPU_MEX004_CPUTDF_E0ED_PL10_X_X_DIV166_SelsrmSSSS_</t>
  </si>
  <si>
    <t>0.8272</t>
  </si>
  <si>
    <t>PP_KMDB0_C_IN02_SC_CXXX_XXX_XXX_EMA_MEX004_DM</t>
  </si>
  <si>
    <t>1.08</t>
  </si>
  <si>
    <t>0.38</t>
  </si>
  <si>
    <t>0.827</t>
  </si>
  <si>
    <t>DFTL_CPU_ECPU_MEX005_CPUTDF_E0ED_PL10_X_X_DIV166_SelsrmSSSS_</t>
  </si>
  <si>
    <t>0.8789</t>
  </si>
  <si>
    <t>PP_KMDB0_C_IN02_SC_CXXX_XXX_XXX_EMA_MEX005_DM</t>
  </si>
  <si>
    <t>1.135</t>
  </si>
  <si>
    <t>0.435</t>
  </si>
  <si>
    <t>0.879</t>
  </si>
  <si>
    <t>MGX002</t>
  </si>
  <si>
    <t>GPUTDF12x</t>
  </si>
  <si>
    <t>X12</t>
  </si>
  <si>
    <t>11111110000000011111110000000010</t>
  </si>
  <si>
    <t>DFTL_GPU_GPU_MGX002_GPUTDF12x_X12_PL10_X_X_11111110000000011111110000000010_SelsrmSSSS_</t>
  </si>
  <si>
    <t>0.7379</t>
  </si>
  <si>
    <t>PP_KMDA0_L_INLP_SC_CXXX_XXX_COM_AUT_ALLFRV_DM_SOC_RESET</t>
  </si>
  <si>
    <t>PP_KMDA0_L_INLP_SC_CXXX_XXX_COM_AUT_ALLFRV_DM_PWRUP</t>
  </si>
  <si>
    <t>PP_KMDA0_L_INLP_SC_CXXX_XXX_COM_EMA_ALLFRV_DM_EMA_DEF</t>
  </si>
  <si>
    <t>PP_KMDA0_L_INLP_SC_CXXX_XXX_COM_AUT_ALLFRV_DM_SRMDSSC</t>
  </si>
  <si>
    <t>PP_KMDA0_L_INLP_SC_CXXX_TDF_COM_AUT_MGX002_DM</t>
  </si>
  <si>
    <t>PP_KMDA0_L_INLP_SC_CFXX_TDF_COM_AUT_ALLFRV_DM_XORDSSC:DigSrc</t>
  </si>
  <si>
    <t>PP_KMDB0_L_PL10_SC_MFXX_TDF_COM_HAR_ALLFRV_DM</t>
  </si>
  <si>
    <t>0.985</t>
  </si>
  <si>
    <t>0.738</t>
  </si>
  <si>
    <t>MGX003</t>
  </si>
  <si>
    <t>DFTL_GPU_GPU_MGX003_GPUTDF12x_X12_PL10_X_X_11111110000000011111110000000010_SelsrmSSSS_</t>
  </si>
  <si>
    <t>0.795</t>
  </si>
  <si>
    <t>0.7473</t>
  </si>
  <si>
    <t>PP_KMDA0_L_INLP_SC_CXXX_TDF_COM_AUT_MGX003_DM</t>
  </si>
  <si>
    <t>0.995</t>
  </si>
  <si>
    <t>0.747</t>
  </si>
  <si>
    <t>MGX006</t>
  </si>
  <si>
    <t>DFTL_GPU_GPU_MGX006_GPUTDF12x_X12_PL10_X_X_11111110000000011111110000000010_SelsrmSSSS_</t>
  </si>
  <si>
    <t>0.8554</t>
  </si>
  <si>
    <t>PP_KMDA0_L_INLP_SC_CXXX_TDF_COM_AUT_MGX006_DM</t>
  </si>
  <si>
    <t>1.11</t>
  </si>
  <si>
    <t>0.41</t>
  </si>
  <si>
    <t>0.855</t>
  </si>
  <si>
    <t>MGX008</t>
  </si>
  <si>
    <t>DFTL_GPU_GPU_MGX008_GPUTDF12x_X12_PL10_X_X_11111110000000011111110000000010_SelsrmSSSS_</t>
  </si>
  <si>
    <t>0.97</t>
  </si>
  <si>
    <t>0.9118</t>
  </si>
  <si>
    <t>PP_KMDA0_L_INLP_SC_CXXX_TDF_COM_AUT_MGX008_DM</t>
  </si>
  <si>
    <t>1.17</t>
  </si>
  <si>
    <t>0.47</t>
  </si>
  <si>
    <t>0.912</t>
  </si>
  <si>
    <t>MGX009</t>
  </si>
  <si>
    <t>DFTL_GPU_GPU_MGX009_GPUTDF12x_X12_PL10_X_X_11111110000000011111110000000010_SelsrmSSSS_</t>
  </si>
  <si>
    <t>1.015</t>
  </si>
  <si>
    <t>0.9541</t>
  </si>
  <si>
    <t>PP_KMDA0_L_INLP_SC_CXXX_TDF_COM_AUT_MGX009_DM</t>
  </si>
  <si>
    <t>1.215</t>
  </si>
  <si>
    <t>0.515</t>
  </si>
  <si>
    <t>0.954</t>
  </si>
  <si>
    <t>MGX00A</t>
  </si>
  <si>
    <t>DFTL_GPU_GPU_MGX00A_GPUTDF12x_X12_PL10_X_X_11111110000000011111110000000010_SelsrmSSSS_</t>
  </si>
  <si>
    <t>1.045</t>
  </si>
  <si>
    <t>0.9823</t>
  </si>
  <si>
    <t>PP_KMDA0_L_INLP_SC_CXXX_TDF_COM_AUT_MGX00A_DM</t>
  </si>
  <si>
    <t>1.245</t>
  </si>
  <si>
    <t>0.545</t>
  </si>
  <si>
    <t>0.982</t>
  </si>
  <si>
    <t>MGX00B</t>
  </si>
  <si>
    <t>DFTL_GPU_GPU_MGX00B_GPUTDF12x_X12_PL10_X_X_11111110000000011111110000000010_SelsrmSSSS_</t>
  </si>
  <si>
    <t>1.085</t>
  </si>
  <si>
    <t>1.0199</t>
  </si>
  <si>
    <t>PP_KMDA0_L_INLP_SC_CXXX_TDF_COM_AUT_MGX00B_DM</t>
  </si>
  <si>
    <t>1.285</t>
  </si>
  <si>
    <t>0.585</t>
  </si>
  <si>
    <t>CPUTD2P4MDIV166</t>
  </si>
  <si>
    <t>4M</t>
  </si>
  <si>
    <t>DFTL_CPU_PCPU_MPX002_CPUTD2P4MDIV166_H0MX_PL10_4M_4M_DIV166_SelsrmSSSS_</t>
  </si>
  <si>
    <t>0.6956</t>
  </si>
  <si>
    <t>PP_KMDA0_C_IN01_SC_H0MX_TDF_COM_AUT_MPXXXX_DM_DIV166_4M</t>
  </si>
  <si>
    <t>PP_KMDB0_C_IN02_SC_CXXX_XXX_XXX_EMA_MPX002_DM</t>
  </si>
  <si>
    <t>PP_KMDB0_C_PL10_SC_H0MX_TDF_COM_HAR_MPXXXX_DM_DIV166_4M</t>
  </si>
  <si>
    <t>0.975</t>
  </si>
  <si>
    <t>0.728</t>
  </si>
  <si>
    <t>2P</t>
  </si>
  <si>
    <t>DFTL_CPU_PCPU_MPX002_CPUTD2P4MDIV166_H0PD_PL10_2P_2P_DIV166_SelsrmSSSS_</t>
  </si>
  <si>
    <t>PP_KMDA0_C_IN01_SC_H0PD_TDF_COM_AUT_MPXXXX_DM_DIV166_2P</t>
  </si>
  <si>
    <t>PP_KMDB0_C_PL10_SC_H0PD_TDF_COM_HAR_MPXXXX_DM_DIV166_2P</t>
  </si>
  <si>
    <t>DFTL_CPU_PCPU_MPX003_CPUTD2P4MDIV166_H0MX_PL10_4M_4M_DIV166_SelsrmSSSS_</t>
  </si>
  <si>
    <t>PP_KMDB0_C_IN02_SC_CXXX_XXX_XXX_EMA_MPX003_DM</t>
  </si>
  <si>
    <t>1.005</t>
  </si>
  <si>
    <t>0.305</t>
  </si>
  <si>
    <t>0.805</t>
  </si>
  <si>
    <t>0.757</t>
  </si>
  <si>
    <t>DFTL_CPU_PCPU_MPX003_CPUTD2P4MDIV166_H0PD_PL10_2P_2P_DIV166_SelsrmSSSS_</t>
  </si>
  <si>
    <t>MPX005</t>
  </si>
  <si>
    <t>DFTL_CPU_PCPU_MPX005_CPUTD2P4MDIV166_H0MX_PL10_4M_4M_DIV166_SelsrmSSSS_</t>
  </si>
  <si>
    <t>PP_KMDB0_C_IN02_SC_CXXX_XXX_XXX_EMA_MPX005_DM</t>
  </si>
  <si>
    <t>DFTL_CPU_PCPU_MPX005_CPUTD2P4MDIV166_H0PD_PL10_2P_2P_DIV166_SelsrmSSSS_</t>
  </si>
  <si>
    <t>MPX006</t>
  </si>
  <si>
    <t>DFTL_CPU_PCPU_MPX006_CPUTD2P4MDIV166_H0MX_PL10_4M_4M_DIV166_SelsrmSSSS_</t>
  </si>
  <si>
    <t>PP_KMDB0_C_IN02_SC_CXXX_XXX_XXX_EMA_MPX006_DM</t>
  </si>
  <si>
    <t>DFTL_CPU_PCPU_MPX006_CPUTD2P4MDIV166_H0PD_PL10_2P_2P_DIV166_SelsrmSSSS_</t>
  </si>
  <si>
    <t>DFTL_CPU_PCPU_MPX008_CPUTD2P4MDIV166_H0MX_PL10_4M_4M_DIV166_SelsrmSSSS_</t>
  </si>
  <si>
    <t>PP_KMDB0_C_IN02_SC_CXXX_XXX_XXX_EMA_MPX008_DM</t>
  </si>
  <si>
    <t>1.195</t>
  </si>
  <si>
    <t>0.495</t>
  </si>
  <si>
    <t>DFTL_CPU_PCPU_MPX008_CPUTD2P4MDIV166_H0PD_PL10_2P_2P_DIV166_SelsrmSSSS_</t>
  </si>
  <si>
    <t>MPX009</t>
  </si>
  <si>
    <t>DFTL_CPU_PCPU_MPX009_CPUTD2P4MDIV166_H0MX_PL10_4M_4M_DIV166_SelsrmSSSS_</t>
  </si>
  <si>
    <t>PP_KMDB0_C_IN02_SC_CXXX_XXX_XXX_EMA_MPX009_DM</t>
  </si>
  <si>
    <t>1.235</t>
  </si>
  <si>
    <t>0.535</t>
  </si>
  <si>
    <t>0.973</t>
  </si>
  <si>
    <t>DFTL_CPU_PCPU_MPX009_CPUTD2P4MDIV166_H0PD_PL10_2P_2P_DIV166_SelsrmSSSS_</t>
  </si>
  <si>
    <t>MPX00A</t>
  </si>
  <si>
    <t>DFTL_CPU_PCPU_MPX00A_CPUTD2P4MDIV166_H0MX_PL10_4M_4M_DIV166_SelsrmSSSS_</t>
  </si>
  <si>
    <t>PP_KMDB0_C_IN02_SC_CXXX_XXX_XXX_EMA_MPX00A_DM</t>
  </si>
  <si>
    <t>1.27</t>
  </si>
  <si>
    <t>1.006</t>
  </si>
  <si>
    <t>DFTL_CPU_PCPU_MPX00A_CPUTD2P4MDIV166_H0PD_PL10_2P_2P_DIV166_SelsrmSSSS_</t>
  </si>
  <si>
    <t>CAN0</t>
  </si>
  <si>
    <t>1.0058</t>
  </si>
  <si>
    <t>PP_KMDB0_S_IN04_SC_CAN0_TDF_SSC_AUT_MPX00A_DM</t>
  </si>
  <si>
    <t>PP_KMDA0_S_PL10_SC_CAN0_TDF_SSC_HAR_MPXXXX_DM</t>
  </si>
  <si>
    <t>MSX002</t>
  </si>
  <si>
    <t>CA00</t>
  </si>
  <si>
    <t>DFTL_SOC_SOC_MSX002_SOCTDF_CA00_PL10_SSC_X_X_SelsrmSSSS_</t>
  </si>
  <si>
    <t>0.8131</t>
  </si>
  <si>
    <t>PP_KMDA0_S_IN04_SC_CA00_TDF_SSC_AUT_MSX002_DM</t>
  </si>
  <si>
    <t>PP_KMDB0_S_PL10_SC_CA00_TDF_SSC_HAR_MSPXXX_DM</t>
  </si>
  <si>
    <t>1.065</t>
  </si>
  <si>
    <t>0.365</t>
  </si>
  <si>
    <t>0.813</t>
  </si>
  <si>
    <t>MSX003</t>
  </si>
  <si>
    <t>DFTL_SOC_SOC_MSX003_SOCTDF_CA00_PL10_SSC_X_X_SelsrmSSSS_</t>
  </si>
  <si>
    <t>PP_KMDA0_S_IN04_SC_CA00_TDF_SSC_AUT_MSX003_DM</t>
  </si>
  <si>
    <t>1.23</t>
  </si>
  <si>
    <t>0.53</t>
  </si>
  <si>
    <t>1.145</t>
  </si>
  <si>
    <t>CSA0</t>
  </si>
  <si>
    <t>DFTL_SOC_SOC_MSX002_SOCTDF_CSA0_PL10_SSC_X_X_SelsrmSSSS_</t>
  </si>
  <si>
    <t>PP_KMDA0_S_IN01_SC_CXGX_XXX_XXX_AUT_MSX000_DM_RESET_PWR</t>
  </si>
  <si>
    <t>PP_KMDA0_S_IN04_SC_CSA0_TDF_SSC_AUT_MSX002_DM</t>
  </si>
  <si>
    <t>PP_KMDB0_S_PL10_SC_CSA0_TDF_SSC_HAR_MSXXXX_DM</t>
  </si>
  <si>
    <t>DFTL_SOC_SOC_MSX003_SOCTDF_CSA0_PL10_SSC_X_X_SelsrmSSSS_</t>
  </si>
  <si>
    <t>PP_KMDA0_S_IN04_SC_CSA0_TDF_SSC_AUT_MSX003_DM</t>
  </si>
  <si>
    <t>CSC0</t>
  </si>
  <si>
    <t>DFTL_SOC_SOC_MSX002_SOCTDF_CSC0_PL10_SSC_X_X_SelsrmSSSS_</t>
  </si>
  <si>
    <t>PP_KMDA0_S_IN04_SC_CSC0_TDF_SSC_AUT_MSX002_DM</t>
  </si>
  <si>
    <t>PP_KMDB0_S_PL10_SC_CSC0_TDF_SSC_HAR_MSCXXX_DM</t>
  </si>
  <si>
    <t>DFTL_SOC_SOC_MSX003_SOCTDF_CSC0_PL10_SSC_X_X_SelsrmSSSS_</t>
  </si>
  <si>
    <t>PP_KMDA0_S_IN04_SC_CSC0_TDF_SSC_AUT_MSX003_DM</t>
  </si>
  <si>
    <t xml:space="preserve">Added limiters for all core rails - data collection for interpolation modes </t>
  </si>
  <si>
    <t>CZ_KMDA0_C_IN01_SC_H0PD_TDF_COM_AUT_MPXXXX_DM_DIV166_1PC0</t>
  </si>
  <si>
    <t>CZ_KMDA0_C_IN01_SC_H0PD_TDF_COM_AUT_MPXXXX_DM_DIV166_1PC1</t>
  </si>
  <si>
    <t>CZ_KMDA0_C_IN01_SC_H0MX_TDF_COM_AUT_MPXXXX_DM_DIV166_1MC2</t>
  </si>
  <si>
    <t>CZ_KMDA0_C_IN01_SC_H0MX_TDF_COM_AUT_MPXXXX_DM_DIV166_1MC3</t>
  </si>
  <si>
    <t>CZ_KMDA0_C_IN01_SC_H0MX_TDF_COM_AUT_MPXXXX_DM_DIV166_1MC4</t>
  </si>
  <si>
    <t>CZ_KMDA0_C_IN01_SC_H0MX_TDF_COM_AUT_MPXXXX_DM_DIV166_1MC5</t>
  </si>
  <si>
    <t>DD_KMDB0_C_PL00_SC_H0MX_TDF_COM_AUT_MPXXXX_DM_BUCKET5</t>
  </si>
  <si>
    <t>DD_KMDB0_C_PL00_SC_H0PD_TDF_COM_AUT_MPXXXX_DM_BUCKET5</t>
  </si>
  <si>
    <t>Alan</t>
  </si>
  <si>
    <t>Updated Init and payload pattern name for CPU PDF sweeps</t>
  </si>
  <si>
    <t>CHI2</t>
  </si>
  <si>
    <t>PP_KMDA0_S_IN04_SC_CHI2_TDF_SSC_AUT_MFX001_DM</t>
  </si>
  <si>
    <t>PP_KMDB0_S_PL10_SC_CHI2_TDF_SSC_AUT_MSFXXX_DM</t>
  </si>
  <si>
    <t>MPX00J</t>
  </si>
  <si>
    <t>CPUTDPDIV1331C</t>
  </si>
  <si>
    <t>BLK</t>
  </si>
  <si>
    <t>DIV133</t>
  </si>
  <si>
    <t>DFTL_CPU_PCPU_MPX00J_CPUTDPDIV1331C_H0PD_PL10_1PC0_BLK_DIV133_SelsrmSSSS_</t>
  </si>
  <si>
    <t>PP_KMDA0_C_IN01_SC_H0PD_TDF_COM_AUT_MPXXXX_DM_DIV133_1PC0</t>
  </si>
  <si>
    <t>PP_KMDB0_C_IN02_SC_CXXX_XXX_XXX_EMA_MPX00J_DM</t>
  </si>
  <si>
    <t>PP_KMDB0_C_PL10_SC_H0PD_TDF_COM_HAR_MPXXXX_DM_DIV133_BLK</t>
  </si>
  <si>
    <t>0.696</t>
  </si>
  <si>
    <t>DFTL_CPU_PCPU_MPX00J_CPUTDPDIV1331C_H0PD_PL10_1PC1_BLK_DIV133_SelsrmSSSS_</t>
  </si>
  <si>
    <t>PP_KMDA0_C_IN01_SC_H0PD_TDF_COM_AUT_MPXXXX_DM_DIV133_1PC1</t>
  </si>
  <si>
    <t>DFTL_CPU_PCPU_MPX00K_CPUTDPDIV1331C_H0PD_PL10_1PC0_BLK_DIV133_SelsrmSSSS_</t>
  </si>
  <si>
    <t>PP_KMDB0_C_IN02_SC_CXXX_XXX_XXX_EMA_MPX00K_DM</t>
  </si>
  <si>
    <t>DFTL_CPU_PCPU_MPX00K_CPUTDPDIV1331C_H0PD_PL10_1PC1_BLK_DIV133_SelsrmSSSS_</t>
  </si>
  <si>
    <t xml:space="preserve">Added CHI2/CHI3 vs FIXED for CP1 and CP2. Added DIV1331C patterns for turbo across all insertions for GB assessments. </t>
  </si>
  <si>
    <t>CHI2/3 changed from WAT -&gt; ALL. Separated STR and HIP into separate sheets</t>
  </si>
  <si>
    <t>HFL</t>
  </si>
  <si>
    <t>HFLH</t>
  </si>
  <si>
    <t>Updated HIP DFLT to HFLH, and removed VDDDCS from HIP DFTL</t>
  </si>
  <si>
    <t>DFTLH</t>
  </si>
  <si>
    <t>CLA0</t>
  </si>
  <si>
    <t>DFTLH_SOC_LOW_MLX001_SOCTDF_CLA0_PL10_SSC_X_X_SelsrmSSSS_</t>
  </si>
  <si>
    <t>0.792</t>
  </si>
  <si>
    <t>PP_KMDA0_S_IN04_SC_CLA0_TDF_SSC_AUT_MLX001_DM</t>
  </si>
  <si>
    <t>PP_KMDB0_S_PL10_SC_CLA0_TDF_SSC_AUT_MLXXXX_DM</t>
  </si>
  <si>
    <t>0</t>
  </si>
  <si>
    <t>MCX001</t>
  </si>
  <si>
    <t>DFTLH_SOC_CIO_MCX001_SOCTDF_CSC0_PL10_SSC_X_X_SelsrmSSSS_</t>
  </si>
  <si>
    <t>PP_KMDA0_S_IN04_SC_CSC0_TDF_SSC_AUT_MCX001_DM</t>
  </si>
  <si>
    <t>CLB0</t>
  </si>
  <si>
    <t>DFTLH_SOC_LOW_MLX001_SOCTDF_CLB0_PL10_SSC_X_X_SelsrmSSSS_</t>
  </si>
  <si>
    <t>PP_KMDA0_S_IN04_SC_CLB0_TDF_SSC_AUT_MLX001_DM</t>
  </si>
  <si>
    <t>PP_KMDB0_S_PL10_SC_CLB0_TDF_SSC_AUT_MLXXXX_DM</t>
  </si>
  <si>
    <t>Added FIXED and LOW TD limiters</t>
  </si>
  <si>
    <t>DFCM10M20M30</t>
  </si>
  <si>
    <t>Added DFC for CIO and FIXED limiters</t>
  </si>
  <si>
    <t>DFC for CIO and FIXED limiters - marked CP1 ALL (was missed in earlier version)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</si>
</sst>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SF Hello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70C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1" fillId="0" borderId="0"/>
    <xf numFmtId="0" fontId="1" fillId="3" borderId="0"/>
    <xf numFmtId="0" fontId="5" fillId="0" borderId="0"/>
  </cellStyleXfs>
  <cellXfs count="18">
    <xf numFmtId="0" fontId="0" fillId="0" borderId="0" xfId="0"/>
    <xf numFmtId="0" fontId="0" fillId="2" borderId="1" xfId="0" applyFill="1" applyBorder="1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horizontal="left" vertical="center"/>
    </xf>
    <xf numFmtId="0" fontId="0" fillId="0" borderId="1" xfId="0" applyBorder="1"/>
    <xf numFmtId="0" fontId="8" fillId="2" borderId="1" xfId="0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wrapText="1"/>
    </xf>
    <xf numFmtId="164" fontId="3" fillId="4" borderId="0" xfId="0" applyNumberFormat="1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49" fontId="3" fillId="4" borderId="0" xfId="0" applyNumberFormat="1" applyFont="1" applyFill="1" applyAlignment="1">
      <alignment horizontal="left" wrapText="1"/>
    </xf>
    <xf numFmtId="0" fontId="0" fillId="4" borderId="0" xfId="0" applyFill="1"/>
    <xf numFmtId="0" fontId="9" fillId="0" borderId="0" xfId="0" applyFont="1"/>
    <xf numFmtId="0" fontId="0" fillId="5" borderId="0" xfId="0" applyFill="1"/>
    <xf numFmtId="0" fontId="7" fillId="0" borderId="0" xfId="1" applyFont="1" applyAlignment="1">
      <alignment vertical="center"/>
    </xf>
    <xf numFmtId="0" fontId="4" fillId="0" borderId="0" xfId="1"/>
    <xf numFmtId="0" fontId="7" fillId="0" borderId="0" xfId="1" applyFont="1" applyAlignment="1">
      <alignment horizontal="center" vertical="center"/>
    </xf>
  </cellXfs>
  <cellStyles count="5">
    <cellStyle name="20% - Accent4 2" xfId="3" xr:uid="{2372F2A0-88B3-6341-885B-B2164311ABC0}"/>
    <cellStyle name="Excel Built-in Normal" xfId="4" xr:uid="{76AE6792-D099-3C41-BD46-1FC35B75799C}"/>
    <cellStyle name="Normal" xfId="0" builtinId="0"/>
    <cellStyle name="Normal 2" xfId="1" xr:uid="{7CE8BC76-57E4-9145-A3B8-B75A7A66098F}"/>
    <cellStyle name="Normal 3 3" xfId="2" xr:uid="{0CFC551D-DE5B-A546-85EC-61DE3495003D}"/>
  </cellStyles>
  <dxfs count="1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64" formatCode="[$-F800]dddd\,\ mmmm\ dd\,\ yyyy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071CFE-C02E-8145-922C-2AD03FCF5700}" name="Table2" displayName="Table2" ref="A1:E43" totalsRowShown="0" headerRowDxfId="125">
  <autoFilter ref="A1:E43" xr:uid="{32071CFE-C02E-8145-922C-2AD03FCF5700}"/>
  <tableColumns count="5">
    <tableColumn id="1" xr3:uid="{2523574D-F23A-AB45-9963-858AB1BDBC21}" name="Date" dataDxfId="124"/>
    <tableColumn id="2" xr3:uid="{BAD87FDD-594D-D24A-A270-4940D6B4B084}" name="Revision" dataDxfId="123"/>
    <tableColumn id="5" xr3:uid="{7F2D0844-A6B0-5A4D-83E9-93AA780BA5DF}" name="Program Version" dataDxfId="122"/>
    <tableColumn id="3" xr3:uid="{8535ADF3-DB2C-194D-8B15-40B275C6D5F1}" name="Modified By" dataDxfId="121"/>
    <tableColumn id="4" xr3:uid="{DC7963AA-EF7A-6148-A7C0-ACCF016E6DB9}" name="Comments" dataDxfId="1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FFE66-23F3-CE4E-8A77-67226562ADD9}">
  <sheetPr codeName="Sheet1"/>
  <dimension ref="A1:H43"/>
  <sheetViews>
    <sheetView zoomScale="130" zoomScaleNormal="130" workbookViewId="0">
      <selection activeCell="E35" sqref="E35"/>
    </sheetView>
  </sheetViews>
  <sheetFormatPr baseColWidth="10" defaultRowHeight="16" x14ac:dyDescent="0.2"/>
  <cols>
    <col min="1" max="1" width="27.1640625" customWidth="1"/>
    <col min="2" max="3" width="16" customWidth="1"/>
    <col min="4" max="4" width="19.1640625" customWidth="1"/>
    <col min="5" max="5" width="81.5" customWidth="1"/>
  </cols>
  <sheetData>
    <row r="1" spans="1:8" ht="17" x14ac:dyDescent="0.2">
      <c r="A1" s="2" t="s">
        <v>118</v>
      </c>
      <c r="B1" s="2" t="s">
        <v>119</v>
      </c>
      <c r="C1" s="2" t="s">
        <v>197</v>
      </c>
      <c r="D1" s="2" t="s">
        <v>120</v>
      </c>
      <c r="E1" s="3" t="s">
        <v>23</v>
      </c>
      <c r="G1" t="s">
        <v>136</v>
      </c>
      <c r="H1" t="e">
        <f>SUM(#REF!,#REF!,#REF!,#REF!,#REF!,#REF!,#REF!,#REF!)</f>
        <v>#REF!</v>
      </c>
    </row>
    <row r="2" spans="1:8" s="12" customFormat="1" ht="17" hidden="1" x14ac:dyDescent="0.2">
      <c r="A2" s="9">
        <v>45754</v>
      </c>
      <c r="B2" s="10">
        <v>1</v>
      </c>
      <c r="C2" s="10"/>
      <c r="D2" s="10" t="s">
        <v>135</v>
      </c>
      <c r="E2" s="11" t="s">
        <v>141</v>
      </c>
    </row>
    <row r="3" spans="1:8" s="12" customFormat="1" ht="17" hidden="1" x14ac:dyDescent="0.2">
      <c r="A3" s="9">
        <v>45755</v>
      </c>
      <c r="B3" s="10">
        <v>2</v>
      </c>
      <c r="C3" s="10"/>
      <c r="D3" s="10" t="s">
        <v>142</v>
      </c>
      <c r="E3" s="11" t="s">
        <v>143</v>
      </c>
    </row>
    <row r="4" spans="1:8" s="12" customFormat="1" ht="17" hidden="1" x14ac:dyDescent="0.2">
      <c r="A4" s="9">
        <v>45756</v>
      </c>
      <c r="B4" s="10">
        <v>3</v>
      </c>
      <c r="C4" s="10"/>
      <c r="D4" s="10" t="s">
        <v>166</v>
      </c>
      <c r="E4" s="11" t="s">
        <v>167</v>
      </c>
    </row>
    <row r="5" spans="1:8" s="12" customFormat="1" ht="17" hidden="1" x14ac:dyDescent="0.2">
      <c r="A5" s="9">
        <v>45758</v>
      </c>
      <c r="B5" s="10">
        <v>4</v>
      </c>
      <c r="C5" s="10"/>
      <c r="D5" s="10" t="s">
        <v>135</v>
      </c>
      <c r="E5" s="11" t="s">
        <v>174</v>
      </c>
    </row>
    <row r="6" spans="1:8" s="12" customFormat="1" ht="18" hidden="1" customHeight="1" x14ac:dyDescent="0.2">
      <c r="A6" s="9">
        <v>45769</v>
      </c>
      <c r="B6" s="10">
        <v>5</v>
      </c>
      <c r="C6" s="10"/>
      <c r="D6" s="10" t="s">
        <v>166</v>
      </c>
      <c r="E6" s="11" t="s">
        <v>175</v>
      </c>
    </row>
    <row r="7" spans="1:8" s="12" customFormat="1" ht="17" hidden="1" x14ac:dyDescent="0.2">
      <c r="A7" s="9">
        <v>45770</v>
      </c>
      <c r="B7" s="10">
        <v>6</v>
      </c>
      <c r="C7" s="10"/>
      <c r="D7" s="10" t="s">
        <v>166</v>
      </c>
      <c r="E7" s="11" t="s">
        <v>176</v>
      </c>
    </row>
    <row r="8" spans="1:8" s="12" customFormat="1" ht="17" hidden="1" x14ac:dyDescent="0.2">
      <c r="A8" s="9">
        <v>45771</v>
      </c>
      <c r="B8" s="10">
        <v>6</v>
      </c>
      <c r="C8" s="10"/>
      <c r="D8" s="10" t="s">
        <v>178</v>
      </c>
      <c r="E8" s="11" t="s">
        <v>179</v>
      </c>
    </row>
    <row r="9" spans="1:8" s="12" customFormat="1" ht="17" hidden="1" x14ac:dyDescent="0.2">
      <c r="A9" s="9">
        <v>45785</v>
      </c>
      <c r="B9" s="10">
        <v>7</v>
      </c>
      <c r="C9" s="10"/>
      <c r="D9" s="10" t="s">
        <v>178</v>
      </c>
      <c r="E9" s="11" t="s">
        <v>184</v>
      </c>
    </row>
    <row r="10" spans="1:8" s="12" customFormat="1" ht="17" hidden="1" x14ac:dyDescent="0.2">
      <c r="A10" s="9">
        <v>45785</v>
      </c>
      <c r="B10" s="10">
        <v>8</v>
      </c>
      <c r="C10" s="10"/>
      <c r="D10" s="10" t="s">
        <v>178</v>
      </c>
      <c r="E10" s="11" t="s">
        <v>185</v>
      </c>
    </row>
    <row r="11" spans="1:8" s="12" customFormat="1" ht="17" hidden="1" x14ac:dyDescent="0.2">
      <c r="A11" s="9">
        <v>45789</v>
      </c>
      <c r="B11" s="10">
        <v>9</v>
      </c>
      <c r="C11" s="10"/>
      <c r="D11" s="10" t="s">
        <v>166</v>
      </c>
      <c r="E11" s="11" t="s">
        <v>186</v>
      </c>
    </row>
    <row r="12" spans="1:8" s="12" customFormat="1" ht="17" hidden="1" x14ac:dyDescent="0.2">
      <c r="A12" s="9">
        <v>45790</v>
      </c>
      <c r="B12" s="10">
        <v>10</v>
      </c>
      <c r="C12" s="10"/>
      <c r="D12" s="10" t="s">
        <v>166</v>
      </c>
      <c r="E12" s="11" t="s">
        <v>187</v>
      </c>
    </row>
    <row r="13" spans="1:8" s="12" customFormat="1" ht="17" hidden="1" x14ac:dyDescent="0.2">
      <c r="A13" s="9">
        <v>45804</v>
      </c>
      <c r="B13" s="10">
        <v>11</v>
      </c>
      <c r="C13" s="10"/>
      <c r="D13" s="10" t="s">
        <v>135</v>
      </c>
      <c r="E13" s="11" t="s">
        <v>188</v>
      </c>
    </row>
    <row r="14" spans="1:8" s="12" customFormat="1" ht="17" hidden="1" x14ac:dyDescent="0.2">
      <c r="A14" s="9">
        <v>45810</v>
      </c>
      <c r="B14" s="10">
        <v>12</v>
      </c>
      <c r="C14" s="10"/>
      <c r="D14" s="10" t="s">
        <v>166</v>
      </c>
      <c r="E14" s="11" t="s">
        <v>189</v>
      </c>
    </row>
    <row r="15" spans="1:8" s="12" customFormat="1" ht="17" hidden="1" x14ac:dyDescent="0.2">
      <c r="A15" s="9">
        <v>45810</v>
      </c>
      <c r="B15" s="10">
        <v>13</v>
      </c>
      <c r="C15" s="10"/>
      <c r="D15" s="10" t="s">
        <v>178</v>
      </c>
      <c r="E15" s="11" t="s">
        <v>195</v>
      </c>
    </row>
    <row r="16" spans="1:8" s="12" customFormat="1" ht="17" hidden="1" x14ac:dyDescent="0.2">
      <c r="A16" s="9">
        <v>45818</v>
      </c>
      <c r="B16" s="10">
        <v>3</v>
      </c>
      <c r="C16" s="10" t="s">
        <v>198</v>
      </c>
      <c r="D16" s="10" t="s">
        <v>135</v>
      </c>
      <c r="E16" s="11" t="s">
        <v>196</v>
      </c>
    </row>
    <row r="17" spans="1:5" s="12" customFormat="1" ht="34" hidden="1" x14ac:dyDescent="0.2">
      <c r="A17" s="9">
        <v>45841</v>
      </c>
      <c r="B17" s="10">
        <v>4</v>
      </c>
      <c r="C17" s="10" t="s">
        <v>198</v>
      </c>
      <c r="D17" s="10" t="s">
        <v>135</v>
      </c>
      <c r="E17" s="11" t="s">
        <v>201</v>
      </c>
    </row>
    <row r="18" spans="1:5" s="12" customFormat="1" ht="17" hidden="1" x14ac:dyDescent="0.2">
      <c r="A18" s="9">
        <v>45862</v>
      </c>
      <c r="B18" s="10">
        <v>2</v>
      </c>
      <c r="C18" s="10" t="s">
        <v>202</v>
      </c>
      <c r="D18" s="10" t="s">
        <v>135</v>
      </c>
      <c r="E18" s="11" t="s">
        <v>203</v>
      </c>
    </row>
    <row r="19" spans="1:5" s="12" customFormat="1" ht="17" hidden="1" x14ac:dyDescent="0.2">
      <c r="A19" s="9">
        <v>45866</v>
      </c>
      <c r="B19" s="10">
        <v>3</v>
      </c>
      <c r="C19" s="10" t="s">
        <v>202</v>
      </c>
      <c r="D19" s="10" t="s">
        <v>135</v>
      </c>
      <c r="E19" s="11" t="s">
        <v>204</v>
      </c>
    </row>
    <row r="20" spans="1:5" s="12" customFormat="1" ht="17" hidden="1" x14ac:dyDescent="0.2">
      <c r="A20" s="9">
        <v>45867</v>
      </c>
      <c r="B20" s="10">
        <v>4</v>
      </c>
      <c r="C20" s="10" t="s">
        <v>202</v>
      </c>
      <c r="D20" s="10" t="s">
        <v>135</v>
      </c>
      <c r="E20" s="11" t="s">
        <v>205</v>
      </c>
    </row>
    <row r="21" spans="1:5" s="12" customFormat="1" ht="17" hidden="1" x14ac:dyDescent="0.2">
      <c r="A21" s="9">
        <v>45867</v>
      </c>
      <c r="B21" s="10">
        <v>5</v>
      </c>
      <c r="C21" s="10" t="s">
        <v>202</v>
      </c>
      <c r="D21" s="10" t="s">
        <v>135</v>
      </c>
      <c r="E21" s="11" t="s">
        <v>206</v>
      </c>
    </row>
    <row r="22" spans="1:5" s="12" customFormat="1" ht="17" hidden="1" x14ac:dyDescent="0.2">
      <c r="A22" s="9">
        <v>45874</v>
      </c>
      <c r="B22" s="10">
        <v>6</v>
      </c>
      <c r="C22" s="10" t="s">
        <v>202</v>
      </c>
      <c r="D22" s="10" t="s">
        <v>135</v>
      </c>
      <c r="E22" s="11" t="s">
        <v>207</v>
      </c>
    </row>
    <row r="23" spans="1:5" s="12" customFormat="1" ht="17" hidden="1" x14ac:dyDescent="0.2">
      <c r="A23" s="9">
        <v>45876</v>
      </c>
      <c r="B23" s="10">
        <v>7</v>
      </c>
      <c r="C23" s="10" t="s">
        <v>202</v>
      </c>
      <c r="D23" s="10" t="s">
        <v>135</v>
      </c>
      <c r="E23" s="11" t="s">
        <v>208</v>
      </c>
    </row>
    <row r="24" spans="1:5" s="12" customFormat="1" ht="17" hidden="1" x14ac:dyDescent="0.2">
      <c r="A24" s="9">
        <v>45877</v>
      </c>
      <c r="B24" s="10">
        <v>8</v>
      </c>
      <c r="C24" s="10" t="s">
        <v>202</v>
      </c>
      <c r="D24" s="10" t="s">
        <v>135</v>
      </c>
      <c r="E24" s="11" t="s">
        <v>209</v>
      </c>
    </row>
    <row r="25" spans="1:5" ht="17" x14ac:dyDescent="0.2">
      <c r="A25" s="7">
        <v>45944</v>
      </c>
      <c r="B25" s="4">
        <v>1</v>
      </c>
      <c r="C25" s="4" t="s">
        <v>210</v>
      </c>
      <c r="D25" s="4" t="s">
        <v>135</v>
      </c>
      <c r="E25" s="8" t="s">
        <v>375</v>
      </c>
    </row>
    <row r="26" spans="1:5" ht="17" x14ac:dyDescent="0.2">
      <c r="A26" s="7">
        <v>45952</v>
      </c>
      <c r="B26" s="4">
        <v>2</v>
      </c>
      <c r="C26" s="4" t="s">
        <v>450</v>
      </c>
      <c r="D26" s="4" t="s">
        <v>166</v>
      </c>
      <c r="E26" s="8" t="s">
        <v>451</v>
      </c>
    </row>
    <row r="27" spans="1:5" ht="17" x14ac:dyDescent="0.2">
      <c r="A27" s="7">
        <v>45954</v>
      </c>
      <c r="B27" s="4">
        <v>3</v>
      </c>
      <c r="C27" s="4" t="s">
        <v>450</v>
      </c>
      <c r="D27" s="4" t="s">
        <v>135</v>
      </c>
      <c r="E27" s="8" t="s">
        <v>692</v>
      </c>
    </row>
    <row r="28" spans="1:5" ht="17" x14ac:dyDescent="0.2">
      <c r="A28" s="7">
        <v>1027</v>
      </c>
      <c r="B28" s="4">
        <v>4</v>
      </c>
      <c r="C28" s="4" t="s">
        <v>450</v>
      </c>
      <c r="D28" s="4" t="s">
        <v>701</v>
      </c>
      <c r="E28" s="8" t="s">
        <v>702</v>
      </c>
    </row>
    <row r="29" spans="1:5" ht="34" x14ac:dyDescent="0.2">
      <c r="A29" s="7">
        <v>45957</v>
      </c>
      <c r="B29" s="4">
        <v>5</v>
      </c>
      <c r="C29" s="4" t="s">
        <v>450</v>
      </c>
      <c r="D29" s="4" t="s">
        <v>135</v>
      </c>
      <c r="E29" s="8" t="s">
        <v>720</v>
      </c>
    </row>
    <row r="30" spans="1:5" ht="17" x14ac:dyDescent="0.2">
      <c r="A30" s="7">
        <v>45958</v>
      </c>
      <c r="B30" s="4">
        <v>6</v>
      </c>
      <c r="C30" s="4" t="s">
        <v>450</v>
      </c>
      <c r="D30" s="4" t="s">
        <v>135</v>
      </c>
      <c r="E30" s="8" t="s">
        <v>721</v>
      </c>
    </row>
    <row r="31" spans="1:5" ht="19" customHeight="1" x14ac:dyDescent="0.2">
      <c r="A31" s="7">
        <v>45958</v>
      </c>
      <c r="B31" s="4">
        <v>7</v>
      </c>
      <c r="C31" s="4" t="s">
        <v>450</v>
      </c>
      <c r="D31" s="4" t="s">
        <v>166</v>
      </c>
      <c r="E31" s="8" t="s">
        <v>724</v>
      </c>
    </row>
    <row r="32" spans="1:5" ht="17" x14ac:dyDescent="0.2">
      <c r="A32" s="7">
        <v>45965</v>
      </c>
      <c r="B32" s="4">
        <v>8</v>
      </c>
      <c r="C32" s="4" t="s">
        <v>450</v>
      </c>
      <c r="D32" s="4" t="s">
        <v>135</v>
      </c>
      <c r="E32" s="8" t="s">
        <v>739</v>
      </c>
    </row>
    <row r="33" spans="1:5" ht="17" x14ac:dyDescent="0.2">
      <c r="A33" s="7">
        <v>45965</v>
      </c>
      <c r="B33" s="4">
        <v>9</v>
      </c>
      <c r="C33" s="4" t="s">
        <v>450</v>
      </c>
      <c r="D33" s="4" t="s">
        <v>135</v>
      </c>
      <c r="E33" s="8" t="s">
        <v>741</v>
      </c>
    </row>
    <row r="34" spans="1:5" ht="17" x14ac:dyDescent="0.2">
      <c r="A34" s="7">
        <v>45965</v>
      </c>
      <c r="B34" s="4">
        <v>10</v>
      </c>
      <c r="C34" s="4" t="s">
        <v>450</v>
      </c>
      <c r="D34" s="4" t="s">
        <v>135</v>
      </c>
      <c r="E34" s="8" t="s">
        <v>742</v>
      </c>
    </row>
    <row r="35" spans="1:5" x14ac:dyDescent="0.2">
      <c r="A35" s="7"/>
      <c r="B35" s="4"/>
      <c r="C35" s="4"/>
      <c r="D35" s="4"/>
      <c r="E35" s="8"/>
    </row>
    <row r="36" spans="1:5" x14ac:dyDescent="0.2">
      <c r="A36" s="7"/>
      <c r="B36" s="4"/>
      <c r="C36" s="4"/>
      <c r="D36" s="4"/>
      <c r="E36" s="8"/>
    </row>
    <row r="37" spans="1:5" x14ac:dyDescent="0.2">
      <c r="A37" s="7"/>
      <c r="B37" s="4"/>
      <c r="C37" s="4"/>
      <c r="D37" s="4"/>
      <c r="E37" s="8"/>
    </row>
    <row r="38" spans="1:5" x14ac:dyDescent="0.2">
      <c r="A38" s="7"/>
      <c r="B38" s="4"/>
      <c r="C38" s="4"/>
      <c r="D38" s="4"/>
      <c r="E38" s="8"/>
    </row>
    <row r="39" spans="1:5" x14ac:dyDescent="0.2">
      <c r="A39" s="7"/>
      <c r="B39" s="4"/>
      <c r="C39" s="4"/>
      <c r="D39" s="4"/>
      <c r="E39" s="8"/>
    </row>
    <row r="40" spans="1:5" x14ac:dyDescent="0.2">
      <c r="A40" s="7"/>
      <c r="B40" s="4"/>
      <c r="C40" s="4"/>
      <c r="D40" s="4"/>
      <c r="E40" s="8"/>
    </row>
    <row r="41" spans="1:5" x14ac:dyDescent="0.2">
      <c r="A41" s="7"/>
      <c r="B41" s="4"/>
      <c r="C41" s="4"/>
      <c r="D41" s="4"/>
      <c r="E41" s="8"/>
    </row>
    <row r="42" spans="1:5" x14ac:dyDescent="0.2">
      <c r="A42" s="7"/>
      <c r="B42" s="4"/>
      <c r="C42" s="4"/>
      <c r="D42" s="4"/>
      <c r="E42" s="8"/>
    </row>
    <row r="43" spans="1:5" x14ac:dyDescent="0.2">
      <c r="A43" s="7"/>
      <c r="B43" s="4"/>
      <c r="C43" s="4"/>
      <c r="D43" s="4"/>
      <c r="E43" s="8"/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BA4F1-FBD4-134E-AEBD-98AB8B48AC70}">
  <sheetPr codeName="Sheet2"/>
  <dimension ref="A1:CO88"/>
  <sheetViews>
    <sheetView tabSelected="1" topLeftCell="BO51" zoomScale="80" zoomScaleNormal="80" workbookViewId="0">
      <selection activeCell="BC86" sqref="A86:XFD88"/>
    </sheetView>
  </sheetViews>
  <sheetFormatPr baseColWidth="10" defaultRowHeight="16" x14ac:dyDescent="0.2"/>
  <cols>
    <col min="1" max="1" width="9.6640625" customWidth="1"/>
    <col min="2" max="2" width="8" customWidth="1"/>
    <col min="3" max="3" width="7" customWidth="1"/>
    <col min="4" max="4" width="9.83203125" customWidth="1"/>
    <col min="5" max="5" width="9.83203125" bestFit="1" customWidth="1"/>
    <col min="6" max="6" width="7.83203125" customWidth="1"/>
    <col min="7" max="7" width="11.33203125" customWidth="1"/>
    <col min="8" max="8" width="9.1640625" bestFit="1" customWidth="1"/>
    <col min="9" max="9" width="17.6640625" bestFit="1" customWidth="1"/>
    <col min="10" max="11" width="9.83203125" bestFit="1" customWidth="1"/>
    <col min="12" max="12" width="9.83203125" customWidth="1"/>
    <col min="13" max="13" width="12.83203125" customWidth="1"/>
    <col min="14" max="14" width="11.33203125" customWidth="1"/>
    <col min="15" max="15" width="10.6640625" bestFit="1" customWidth="1"/>
    <col min="16" max="16" width="109.83203125" bestFit="1" customWidth="1"/>
    <col min="17" max="17" width="9.33203125" bestFit="1" customWidth="1"/>
    <col min="18" max="18" width="10.6640625" bestFit="1" customWidth="1"/>
    <col min="19" max="19" width="6.1640625" bestFit="1" customWidth="1"/>
    <col min="20" max="20" width="7.1640625" bestFit="1" customWidth="1"/>
    <col min="21" max="21" width="6" bestFit="1" customWidth="1"/>
    <col min="22" max="22" width="57.83203125" bestFit="1" customWidth="1"/>
    <col min="23" max="23" width="63.6640625" bestFit="1" customWidth="1"/>
    <col min="24" max="24" width="61.5" bestFit="1" customWidth="1"/>
    <col min="25" max="25" width="61.83203125" bestFit="1" customWidth="1"/>
    <col min="26" max="26" width="59" bestFit="1" customWidth="1"/>
    <col min="27" max="27" width="58" bestFit="1" customWidth="1"/>
    <col min="28" max="28" width="55.33203125" bestFit="1" customWidth="1"/>
    <col min="29" max="29" width="66.6640625" bestFit="1" customWidth="1"/>
    <col min="30" max="30" width="59.33203125" bestFit="1" customWidth="1"/>
    <col min="31" max="31" width="8.33203125" bestFit="1" customWidth="1"/>
    <col min="32" max="32" width="63" customWidth="1"/>
    <col min="33" max="33" width="55.5" bestFit="1" customWidth="1"/>
    <col min="34" max="34" width="56.33203125" bestFit="1" customWidth="1"/>
    <col min="35" max="35" width="51.6640625" bestFit="1" customWidth="1"/>
    <col min="36" max="38" width="9.6640625" customWidth="1"/>
    <col min="39" max="39" width="16.1640625" customWidth="1"/>
    <col min="40" max="48" width="7.5" customWidth="1"/>
    <col min="49" max="49" width="11.5" bestFit="1" customWidth="1"/>
    <col min="50" max="81" width="7.5" customWidth="1"/>
    <col min="82" max="82" width="8" bestFit="1" customWidth="1"/>
    <col min="83" max="83" width="13" bestFit="1" customWidth="1"/>
    <col min="84" max="84" width="5.5" bestFit="1" customWidth="1"/>
    <col min="85" max="85" width="21.5" bestFit="1" customWidth="1"/>
    <col min="86" max="86" width="8.5" bestFit="1" customWidth="1"/>
    <col min="87" max="87" width="6.5" bestFit="1" customWidth="1"/>
    <col min="88" max="88" width="7.33203125" bestFit="1" customWidth="1"/>
    <col min="89" max="89" width="15.5" bestFit="1" customWidth="1"/>
    <col min="90" max="93" width="8" customWidth="1"/>
  </cols>
  <sheetData>
    <row r="1" spans="1:93" x14ac:dyDescent="0.2">
      <c r="A1" t="s">
        <v>154</v>
      </c>
      <c r="E1" t="s">
        <v>155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P1" t="s">
        <v>5</v>
      </c>
      <c r="Q1" t="s">
        <v>6</v>
      </c>
      <c r="R1" t="s">
        <v>6</v>
      </c>
      <c r="S1" t="s">
        <v>6</v>
      </c>
      <c r="T1" t="s">
        <v>6</v>
      </c>
      <c r="U1" t="s">
        <v>6</v>
      </c>
      <c r="AN1" t="s">
        <v>7</v>
      </c>
      <c r="AQ1" t="s">
        <v>8</v>
      </c>
      <c r="AT1" t="s">
        <v>9</v>
      </c>
      <c r="AW1" t="s">
        <v>10</v>
      </c>
      <c r="AZ1" t="s">
        <v>11</v>
      </c>
      <c r="BC1" t="s">
        <v>12</v>
      </c>
      <c r="BF1" t="s">
        <v>13</v>
      </c>
      <c r="BI1" t="s">
        <v>82</v>
      </c>
      <c r="BL1" t="s">
        <v>14</v>
      </c>
      <c r="BO1" t="s">
        <v>128</v>
      </c>
      <c r="BR1" t="s">
        <v>15</v>
      </c>
      <c r="BU1" t="s">
        <v>16</v>
      </c>
      <c r="BX1" t="s">
        <v>17</v>
      </c>
      <c r="CA1" t="s">
        <v>133</v>
      </c>
      <c r="CD1" t="s">
        <v>18</v>
      </c>
      <c r="CF1" t="s">
        <v>19</v>
      </c>
      <c r="CL1" t="s">
        <v>78</v>
      </c>
    </row>
    <row r="2" spans="1:93" s="1" customFormat="1" x14ac:dyDescent="0.2">
      <c r="A2" s="5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38</v>
      </c>
      <c r="T2" s="1" t="s">
        <v>39</v>
      </c>
      <c r="U2" s="1" t="s">
        <v>40</v>
      </c>
      <c r="V2" s="1" t="s">
        <v>41</v>
      </c>
      <c r="W2" s="1" t="s">
        <v>42</v>
      </c>
      <c r="X2" s="1" t="s">
        <v>43</v>
      </c>
      <c r="Y2" s="1" t="s">
        <v>44</v>
      </c>
      <c r="Z2" s="1" t="s">
        <v>45</v>
      </c>
      <c r="AA2" s="1" t="s">
        <v>46</v>
      </c>
      <c r="AB2" s="1" t="s">
        <v>47</v>
      </c>
      <c r="AC2" s="1" t="s">
        <v>48</v>
      </c>
      <c r="AD2" s="1" t="s">
        <v>49</v>
      </c>
      <c r="AE2" s="1" t="s">
        <v>50</v>
      </c>
      <c r="AF2" s="1" t="s">
        <v>51</v>
      </c>
      <c r="AG2" s="1" t="s">
        <v>52</v>
      </c>
      <c r="AH2" s="1" t="s">
        <v>53</v>
      </c>
      <c r="AI2" s="1" t="s">
        <v>54</v>
      </c>
      <c r="AJ2" s="1" t="s">
        <v>55</v>
      </c>
      <c r="AK2" s="1" t="s">
        <v>97</v>
      </c>
      <c r="AL2" s="1" t="s">
        <v>98</v>
      </c>
      <c r="AM2" s="1" t="s">
        <v>56</v>
      </c>
      <c r="AN2" s="1" t="s">
        <v>57</v>
      </c>
      <c r="AO2" s="1" t="s">
        <v>58</v>
      </c>
      <c r="AP2" s="1" t="s">
        <v>59</v>
      </c>
      <c r="AQ2" s="1" t="s">
        <v>57</v>
      </c>
      <c r="AR2" s="1" t="s">
        <v>58</v>
      </c>
      <c r="AS2" s="1" t="s">
        <v>59</v>
      </c>
      <c r="AT2" s="1" t="s">
        <v>57</v>
      </c>
      <c r="AU2" s="1" t="s">
        <v>58</v>
      </c>
      <c r="AV2" s="1" t="s">
        <v>59</v>
      </c>
      <c r="AW2" s="1" t="s">
        <v>57</v>
      </c>
      <c r="AX2" s="1" t="s">
        <v>58</v>
      </c>
      <c r="AY2" s="1" t="s">
        <v>59</v>
      </c>
      <c r="AZ2" s="1" t="s">
        <v>57</v>
      </c>
      <c r="BA2" s="1" t="s">
        <v>58</v>
      </c>
      <c r="BB2" s="1" t="s">
        <v>59</v>
      </c>
      <c r="BC2" s="1" t="s">
        <v>57</v>
      </c>
      <c r="BD2" s="1" t="s">
        <v>58</v>
      </c>
      <c r="BE2" s="1" t="s">
        <v>59</v>
      </c>
      <c r="BF2" s="1" t="s">
        <v>57</v>
      </c>
      <c r="BG2" s="1" t="s">
        <v>58</v>
      </c>
      <c r="BH2" s="1" t="s">
        <v>59</v>
      </c>
      <c r="BI2" s="1" t="s">
        <v>57</v>
      </c>
      <c r="BJ2" s="1" t="s">
        <v>58</v>
      </c>
      <c r="BK2" s="1" t="s">
        <v>59</v>
      </c>
      <c r="BL2" s="1" t="s">
        <v>57</v>
      </c>
      <c r="BM2" s="1" t="s">
        <v>58</v>
      </c>
      <c r="BN2" s="1" t="s">
        <v>59</v>
      </c>
      <c r="BO2" s="1" t="s">
        <v>57</v>
      </c>
      <c r="BP2" s="1" t="s">
        <v>58</v>
      </c>
      <c r="BQ2" s="1" t="s">
        <v>59</v>
      </c>
      <c r="BR2" s="1" t="s">
        <v>57</v>
      </c>
      <c r="BS2" s="1" t="s">
        <v>58</v>
      </c>
      <c r="BT2" s="1" t="s">
        <v>59</v>
      </c>
      <c r="BU2" s="1" t="s">
        <v>57</v>
      </c>
      <c r="BV2" s="1" t="s">
        <v>58</v>
      </c>
      <c r="BW2" s="1" t="s">
        <v>59</v>
      </c>
      <c r="BX2" s="1" t="s">
        <v>57</v>
      </c>
      <c r="BY2" s="1" t="s">
        <v>58</v>
      </c>
      <c r="BZ2" s="1" t="s">
        <v>59</v>
      </c>
      <c r="CA2" s="1" t="s">
        <v>57</v>
      </c>
      <c r="CB2" s="1" t="s">
        <v>58</v>
      </c>
      <c r="CC2" s="1" t="s">
        <v>59</v>
      </c>
      <c r="CD2" s="1" t="s">
        <v>60</v>
      </c>
      <c r="CE2" s="1" t="s">
        <v>61</v>
      </c>
      <c r="CF2" s="1" t="s">
        <v>62</v>
      </c>
      <c r="CG2" s="1" t="s">
        <v>63</v>
      </c>
      <c r="CH2" s="1" t="s">
        <v>64</v>
      </c>
      <c r="CI2" s="1" t="s">
        <v>65</v>
      </c>
      <c r="CJ2" s="1" t="s">
        <v>66</v>
      </c>
      <c r="CK2" s="1" t="s">
        <v>137</v>
      </c>
      <c r="CL2" s="1" t="s">
        <v>144</v>
      </c>
      <c r="CM2" s="1" t="s">
        <v>145</v>
      </c>
      <c r="CN2" s="1" t="s">
        <v>146</v>
      </c>
      <c r="CO2" s="1" t="s">
        <v>147</v>
      </c>
    </row>
    <row r="3" spans="1:93" x14ac:dyDescent="0.2">
      <c r="A3" t="s">
        <v>67</v>
      </c>
      <c r="E3" t="s">
        <v>78</v>
      </c>
      <c r="F3" t="s">
        <v>69</v>
      </c>
      <c r="G3" t="s">
        <v>92</v>
      </c>
      <c r="H3" t="s">
        <v>88</v>
      </c>
      <c r="I3" t="s">
        <v>115</v>
      </c>
      <c r="J3" t="s">
        <v>242</v>
      </c>
      <c r="K3" t="s">
        <v>73</v>
      </c>
      <c r="L3" t="s">
        <v>73</v>
      </c>
      <c r="M3" t="s">
        <v>243</v>
      </c>
      <c r="N3" t="s">
        <v>182</v>
      </c>
      <c r="O3" t="s">
        <v>83</v>
      </c>
      <c r="P3" t="s">
        <v>244</v>
      </c>
      <c r="S3" t="s">
        <v>245</v>
      </c>
      <c r="T3" t="s">
        <v>246</v>
      </c>
      <c r="U3" t="s">
        <v>74</v>
      </c>
      <c r="V3" t="s">
        <v>103</v>
      </c>
      <c r="W3" t="s">
        <v>104</v>
      </c>
      <c r="X3" t="s">
        <v>105</v>
      </c>
      <c r="Y3" t="s">
        <v>106</v>
      </c>
      <c r="Z3" t="s">
        <v>107</v>
      </c>
      <c r="AA3" t="s">
        <v>183</v>
      </c>
      <c r="AB3" t="s">
        <v>108</v>
      </c>
      <c r="AC3" t="s">
        <v>247</v>
      </c>
      <c r="AD3" t="s">
        <v>248</v>
      </c>
      <c r="AF3" t="s">
        <v>249</v>
      </c>
      <c r="AM3" t="s">
        <v>117</v>
      </c>
      <c r="AN3" t="s">
        <v>250</v>
      </c>
      <c r="AO3" t="s">
        <v>250</v>
      </c>
      <c r="AQ3" t="s">
        <v>217</v>
      </c>
      <c r="AR3" t="s">
        <v>217</v>
      </c>
      <c r="AT3" t="s">
        <v>218</v>
      </c>
      <c r="AU3" t="s">
        <v>218</v>
      </c>
      <c r="AW3" t="s">
        <v>219</v>
      </c>
      <c r="AX3" t="s">
        <v>219</v>
      </c>
      <c r="AZ3" t="s">
        <v>220</v>
      </c>
      <c r="BA3" t="s">
        <v>220</v>
      </c>
      <c r="BC3" t="s">
        <v>221</v>
      </c>
      <c r="BD3" t="s">
        <v>221</v>
      </c>
      <c r="BF3" t="s">
        <v>251</v>
      </c>
      <c r="BG3" t="s">
        <v>252</v>
      </c>
      <c r="BH3" t="s">
        <v>224</v>
      </c>
      <c r="BI3" t="s">
        <v>225</v>
      </c>
      <c r="BJ3" t="s">
        <v>225</v>
      </c>
      <c r="BL3" t="s">
        <v>225</v>
      </c>
      <c r="BM3" t="s">
        <v>225</v>
      </c>
      <c r="BO3" t="s">
        <v>226</v>
      </c>
      <c r="BP3" t="s">
        <v>226</v>
      </c>
      <c r="BR3" t="s">
        <v>227</v>
      </c>
      <c r="BS3" t="s">
        <v>227</v>
      </c>
      <c r="BU3" t="s">
        <v>228</v>
      </c>
      <c r="BV3" t="s">
        <v>228</v>
      </c>
      <c r="BX3" t="s">
        <v>227</v>
      </c>
      <c r="BY3" t="s">
        <v>227</v>
      </c>
      <c r="CA3" t="s">
        <v>253</v>
      </c>
      <c r="CB3" t="s">
        <v>253</v>
      </c>
      <c r="CD3" t="s">
        <v>75</v>
      </c>
      <c r="CE3" t="s">
        <v>246</v>
      </c>
      <c r="CF3" t="s">
        <v>245</v>
      </c>
      <c r="CI3">
        <v>1</v>
      </c>
      <c r="CL3" t="s">
        <v>149</v>
      </c>
    </row>
    <row r="4" spans="1:93" x14ac:dyDescent="0.2">
      <c r="A4" t="s">
        <v>67</v>
      </c>
      <c r="E4" t="s">
        <v>78</v>
      </c>
      <c r="F4" t="s">
        <v>69</v>
      </c>
      <c r="G4" t="s">
        <v>92</v>
      </c>
      <c r="H4" t="s">
        <v>180</v>
      </c>
      <c r="I4" t="s">
        <v>115</v>
      </c>
      <c r="J4" t="s">
        <v>242</v>
      </c>
      <c r="K4" t="s">
        <v>73</v>
      </c>
      <c r="L4" t="s">
        <v>73</v>
      </c>
      <c r="M4" t="s">
        <v>243</v>
      </c>
      <c r="N4" t="s">
        <v>182</v>
      </c>
      <c r="O4" t="s">
        <v>83</v>
      </c>
      <c r="P4" t="s">
        <v>254</v>
      </c>
      <c r="S4" t="s">
        <v>245</v>
      </c>
      <c r="T4" t="s">
        <v>246</v>
      </c>
      <c r="U4" t="s">
        <v>74</v>
      </c>
      <c r="V4" t="s">
        <v>103</v>
      </c>
      <c r="W4" t="s">
        <v>104</v>
      </c>
      <c r="X4" t="s">
        <v>105</v>
      </c>
      <c r="Y4" t="s">
        <v>106</v>
      </c>
      <c r="Z4" t="s">
        <v>107</v>
      </c>
      <c r="AA4" t="s">
        <v>255</v>
      </c>
      <c r="AB4" t="s">
        <v>108</v>
      </c>
      <c r="AC4" t="s">
        <v>256</v>
      </c>
      <c r="AD4" t="s">
        <v>248</v>
      </c>
      <c r="AF4" t="s">
        <v>249</v>
      </c>
      <c r="AM4" t="s">
        <v>117</v>
      </c>
      <c r="AN4" t="s">
        <v>257</v>
      </c>
      <c r="AO4" t="s">
        <v>257</v>
      </c>
      <c r="AQ4" t="s">
        <v>217</v>
      </c>
      <c r="AR4" t="s">
        <v>217</v>
      </c>
      <c r="AT4" t="s">
        <v>218</v>
      </c>
      <c r="AU4" t="s">
        <v>218</v>
      </c>
      <c r="AW4" t="s">
        <v>219</v>
      </c>
      <c r="AX4" t="s">
        <v>219</v>
      </c>
      <c r="AZ4" t="s">
        <v>220</v>
      </c>
      <c r="BA4" t="s">
        <v>220</v>
      </c>
      <c r="BC4" t="s">
        <v>221</v>
      </c>
      <c r="BD4" t="s">
        <v>221</v>
      </c>
      <c r="BF4" t="s">
        <v>251</v>
      </c>
      <c r="BG4" t="s">
        <v>252</v>
      </c>
      <c r="BH4" t="s">
        <v>224</v>
      </c>
      <c r="BI4" t="s">
        <v>225</v>
      </c>
      <c r="BJ4" t="s">
        <v>225</v>
      </c>
      <c r="BL4" t="s">
        <v>225</v>
      </c>
      <c r="BM4" t="s">
        <v>225</v>
      </c>
      <c r="BO4" t="s">
        <v>226</v>
      </c>
      <c r="BP4" t="s">
        <v>226</v>
      </c>
      <c r="BR4" t="s">
        <v>227</v>
      </c>
      <c r="BS4" t="s">
        <v>227</v>
      </c>
      <c r="BU4" t="s">
        <v>228</v>
      </c>
      <c r="BV4" t="s">
        <v>228</v>
      </c>
      <c r="BX4" t="s">
        <v>227</v>
      </c>
      <c r="BY4" t="s">
        <v>227</v>
      </c>
      <c r="CA4" t="s">
        <v>253</v>
      </c>
      <c r="CB4" t="s">
        <v>253</v>
      </c>
      <c r="CD4" t="s">
        <v>75</v>
      </c>
      <c r="CE4" t="s">
        <v>246</v>
      </c>
      <c r="CF4" t="s">
        <v>245</v>
      </c>
      <c r="CI4">
        <v>1</v>
      </c>
      <c r="CL4" t="s">
        <v>149</v>
      </c>
    </row>
    <row r="5" spans="1:93" x14ac:dyDescent="0.2">
      <c r="A5" t="s">
        <v>67</v>
      </c>
      <c r="E5" t="s">
        <v>78</v>
      </c>
      <c r="F5" t="s">
        <v>69</v>
      </c>
      <c r="G5" t="s">
        <v>92</v>
      </c>
      <c r="H5" t="s">
        <v>181</v>
      </c>
      <c r="I5" t="s">
        <v>115</v>
      </c>
      <c r="J5" t="s">
        <v>242</v>
      </c>
      <c r="K5" t="s">
        <v>73</v>
      </c>
      <c r="L5" t="s">
        <v>73</v>
      </c>
      <c r="M5" t="s">
        <v>243</v>
      </c>
      <c r="N5" t="s">
        <v>182</v>
      </c>
      <c r="O5" t="s">
        <v>83</v>
      </c>
      <c r="P5" t="s">
        <v>258</v>
      </c>
      <c r="S5" t="s">
        <v>259</v>
      </c>
      <c r="T5" t="s">
        <v>260</v>
      </c>
      <c r="U5" t="s">
        <v>74</v>
      </c>
      <c r="V5" t="s">
        <v>103</v>
      </c>
      <c r="W5" t="s">
        <v>104</v>
      </c>
      <c r="X5" t="s">
        <v>105</v>
      </c>
      <c r="Y5" t="s">
        <v>106</v>
      </c>
      <c r="Z5" t="s">
        <v>107</v>
      </c>
      <c r="AA5" t="s">
        <v>261</v>
      </c>
      <c r="AB5" t="s">
        <v>108</v>
      </c>
      <c r="AC5" t="s">
        <v>262</v>
      </c>
      <c r="AD5" t="s">
        <v>248</v>
      </c>
      <c r="AF5" t="s">
        <v>249</v>
      </c>
      <c r="AM5" t="s">
        <v>117</v>
      </c>
      <c r="AN5" t="s">
        <v>263</v>
      </c>
      <c r="AO5" t="s">
        <v>263</v>
      </c>
      <c r="AQ5" t="s">
        <v>217</v>
      </c>
      <c r="AR5" t="s">
        <v>217</v>
      </c>
      <c r="AT5" t="s">
        <v>218</v>
      </c>
      <c r="AU5" t="s">
        <v>218</v>
      </c>
      <c r="AW5" t="s">
        <v>219</v>
      </c>
      <c r="AX5" t="s">
        <v>219</v>
      </c>
      <c r="AZ5" t="s">
        <v>220</v>
      </c>
      <c r="BA5" t="s">
        <v>220</v>
      </c>
      <c r="BC5" t="s">
        <v>221</v>
      </c>
      <c r="BD5" t="s">
        <v>221</v>
      </c>
      <c r="BF5" t="s">
        <v>264</v>
      </c>
      <c r="BG5" t="s">
        <v>265</v>
      </c>
      <c r="BH5" t="s">
        <v>224</v>
      </c>
      <c r="BI5" t="s">
        <v>225</v>
      </c>
      <c r="BJ5" t="s">
        <v>225</v>
      </c>
      <c r="BL5" t="s">
        <v>225</v>
      </c>
      <c r="BM5" t="s">
        <v>225</v>
      </c>
      <c r="BO5" t="s">
        <v>226</v>
      </c>
      <c r="BP5" t="s">
        <v>226</v>
      </c>
      <c r="BR5" t="s">
        <v>227</v>
      </c>
      <c r="BS5" t="s">
        <v>227</v>
      </c>
      <c r="BU5" t="s">
        <v>228</v>
      </c>
      <c r="BV5" t="s">
        <v>228</v>
      </c>
      <c r="BX5" t="s">
        <v>227</v>
      </c>
      <c r="BY5" t="s">
        <v>227</v>
      </c>
      <c r="CA5" t="s">
        <v>253</v>
      </c>
      <c r="CB5" t="s">
        <v>253</v>
      </c>
      <c r="CD5" t="s">
        <v>75</v>
      </c>
      <c r="CE5" t="s">
        <v>266</v>
      </c>
      <c r="CF5" t="s">
        <v>259</v>
      </c>
      <c r="CI5">
        <v>1</v>
      </c>
      <c r="CL5" t="s">
        <v>149</v>
      </c>
    </row>
    <row r="6" spans="1:93" x14ac:dyDescent="0.2">
      <c r="A6" t="s">
        <v>67</v>
      </c>
      <c r="E6" t="s">
        <v>78</v>
      </c>
      <c r="F6" t="s">
        <v>86</v>
      </c>
      <c r="G6" t="s">
        <v>92</v>
      </c>
      <c r="H6" t="s">
        <v>93</v>
      </c>
      <c r="I6" t="s">
        <v>95</v>
      </c>
      <c r="J6" t="s">
        <v>168</v>
      </c>
      <c r="K6" t="s">
        <v>71</v>
      </c>
      <c r="L6" t="s">
        <v>169</v>
      </c>
      <c r="M6" t="s">
        <v>170</v>
      </c>
      <c r="N6" t="s">
        <v>73</v>
      </c>
      <c r="O6" t="s">
        <v>83</v>
      </c>
      <c r="P6" t="s">
        <v>267</v>
      </c>
      <c r="S6" t="s">
        <v>268</v>
      </c>
      <c r="T6" t="s">
        <v>269</v>
      </c>
      <c r="U6" t="s">
        <v>74</v>
      </c>
      <c r="V6" t="s">
        <v>214</v>
      </c>
      <c r="W6" t="s">
        <v>91</v>
      </c>
      <c r="X6" t="s">
        <v>270</v>
      </c>
      <c r="Y6" t="s">
        <v>171</v>
      </c>
      <c r="AF6" t="s">
        <v>172</v>
      </c>
      <c r="AG6" t="s">
        <v>171</v>
      </c>
      <c r="AM6" t="s">
        <v>117</v>
      </c>
      <c r="AN6" t="s">
        <v>271</v>
      </c>
      <c r="AO6" t="s">
        <v>271</v>
      </c>
      <c r="AQ6" t="s">
        <v>217</v>
      </c>
      <c r="AR6" t="s">
        <v>217</v>
      </c>
      <c r="AT6" t="s">
        <v>218</v>
      </c>
      <c r="AU6" t="s">
        <v>218</v>
      </c>
      <c r="AW6" t="s">
        <v>219</v>
      </c>
      <c r="AX6" t="s">
        <v>219</v>
      </c>
      <c r="AZ6" t="s">
        <v>220</v>
      </c>
      <c r="BA6" t="s">
        <v>220</v>
      </c>
      <c r="BC6" t="s">
        <v>221</v>
      </c>
      <c r="BD6" t="s">
        <v>221</v>
      </c>
      <c r="BF6" t="s">
        <v>222</v>
      </c>
      <c r="BG6" t="s">
        <v>272</v>
      </c>
      <c r="BH6" t="s">
        <v>224</v>
      </c>
      <c r="BI6" t="s">
        <v>225</v>
      </c>
      <c r="BJ6" t="s">
        <v>225</v>
      </c>
      <c r="BL6" t="s">
        <v>225</v>
      </c>
      <c r="BM6" t="s">
        <v>225</v>
      </c>
      <c r="BO6" t="s">
        <v>226</v>
      </c>
      <c r="BP6" t="s">
        <v>226</v>
      </c>
      <c r="BR6" t="s">
        <v>227</v>
      </c>
      <c r="BS6" t="s">
        <v>227</v>
      </c>
      <c r="BU6" t="s">
        <v>228</v>
      </c>
      <c r="BV6" t="s">
        <v>228</v>
      </c>
      <c r="BX6" t="s">
        <v>227</v>
      </c>
      <c r="BY6" t="s">
        <v>227</v>
      </c>
      <c r="CA6" t="s">
        <v>216</v>
      </c>
      <c r="CB6" t="s">
        <v>216</v>
      </c>
      <c r="CD6" t="s">
        <v>75</v>
      </c>
      <c r="CE6" t="s">
        <v>273</v>
      </c>
      <c r="CF6" t="s">
        <v>268</v>
      </c>
      <c r="CI6">
        <v>1</v>
      </c>
      <c r="CK6" t="s">
        <v>138</v>
      </c>
      <c r="CL6" t="s">
        <v>149</v>
      </c>
    </row>
    <row r="7" spans="1:93" x14ac:dyDescent="0.2">
      <c r="A7" t="s">
        <v>67</v>
      </c>
      <c r="E7" t="s">
        <v>78</v>
      </c>
      <c r="F7" t="s">
        <v>86</v>
      </c>
      <c r="G7" t="s">
        <v>92</v>
      </c>
      <c r="H7" t="s">
        <v>93</v>
      </c>
      <c r="I7" t="s">
        <v>95</v>
      </c>
      <c r="J7" t="s">
        <v>168</v>
      </c>
      <c r="K7" t="s">
        <v>71</v>
      </c>
      <c r="L7" t="s">
        <v>199</v>
      </c>
      <c r="M7" t="s">
        <v>170</v>
      </c>
      <c r="N7" t="s">
        <v>73</v>
      </c>
      <c r="O7" t="s">
        <v>83</v>
      </c>
      <c r="P7" t="s">
        <v>274</v>
      </c>
      <c r="S7" t="s">
        <v>268</v>
      </c>
      <c r="T7" t="s">
        <v>269</v>
      </c>
      <c r="U7" t="s">
        <v>74</v>
      </c>
      <c r="V7" t="s">
        <v>214</v>
      </c>
      <c r="W7" t="s">
        <v>91</v>
      </c>
      <c r="X7" t="s">
        <v>270</v>
      </c>
      <c r="Y7" t="s">
        <v>171</v>
      </c>
      <c r="AF7" t="s">
        <v>275</v>
      </c>
      <c r="AG7" t="s">
        <v>171</v>
      </c>
      <c r="AM7" t="s">
        <v>117</v>
      </c>
      <c r="AN7" t="s">
        <v>271</v>
      </c>
      <c r="AO7" t="s">
        <v>271</v>
      </c>
      <c r="AQ7" t="s">
        <v>217</v>
      </c>
      <c r="AR7" t="s">
        <v>217</v>
      </c>
      <c r="AT7" t="s">
        <v>218</v>
      </c>
      <c r="AU7" t="s">
        <v>218</v>
      </c>
      <c r="AW7" t="s">
        <v>219</v>
      </c>
      <c r="AX7" t="s">
        <v>219</v>
      </c>
      <c r="AZ7" t="s">
        <v>220</v>
      </c>
      <c r="BA7" t="s">
        <v>220</v>
      </c>
      <c r="BC7" t="s">
        <v>221</v>
      </c>
      <c r="BD7" t="s">
        <v>221</v>
      </c>
      <c r="BF7" t="s">
        <v>222</v>
      </c>
      <c r="BG7" t="s">
        <v>272</v>
      </c>
      <c r="BH7" t="s">
        <v>224</v>
      </c>
      <c r="BI7" t="s">
        <v>225</v>
      </c>
      <c r="BJ7" t="s">
        <v>225</v>
      </c>
      <c r="BL7" t="s">
        <v>225</v>
      </c>
      <c r="BM7" t="s">
        <v>225</v>
      </c>
      <c r="BO7" t="s">
        <v>226</v>
      </c>
      <c r="BP7" t="s">
        <v>226</v>
      </c>
      <c r="BR7" t="s">
        <v>227</v>
      </c>
      <c r="BS7" t="s">
        <v>227</v>
      </c>
      <c r="BU7" t="s">
        <v>228</v>
      </c>
      <c r="BV7" t="s">
        <v>228</v>
      </c>
      <c r="BX7" t="s">
        <v>227</v>
      </c>
      <c r="BY7" t="s">
        <v>227</v>
      </c>
      <c r="CA7" t="s">
        <v>216</v>
      </c>
      <c r="CB7" t="s">
        <v>216</v>
      </c>
      <c r="CD7" t="s">
        <v>75</v>
      </c>
      <c r="CE7" t="s">
        <v>273</v>
      </c>
      <c r="CF7" t="s">
        <v>268</v>
      </c>
      <c r="CI7">
        <v>1</v>
      </c>
      <c r="CK7" t="s">
        <v>138</v>
      </c>
      <c r="CL7" t="s">
        <v>149</v>
      </c>
    </row>
    <row r="8" spans="1:93" x14ac:dyDescent="0.2">
      <c r="A8" t="s">
        <v>67</v>
      </c>
      <c r="E8" t="s">
        <v>78</v>
      </c>
      <c r="F8" t="s">
        <v>86</v>
      </c>
      <c r="G8" t="s">
        <v>92</v>
      </c>
      <c r="H8" t="s">
        <v>88</v>
      </c>
      <c r="I8" t="s">
        <v>95</v>
      </c>
      <c r="J8" t="s">
        <v>94</v>
      </c>
      <c r="K8" t="s">
        <v>71</v>
      </c>
      <c r="L8" t="s">
        <v>89</v>
      </c>
      <c r="M8" t="s">
        <v>90</v>
      </c>
      <c r="N8" t="s">
        <v>73</v>
      </c>
      <c r="O8" t="s">
        <v>83</v>
      </c>
      <c r="P8" t="s">
        <v>276</v>
      </c>
      <c r="S8" t="s">
        <v>245</v>
      </c>
      <c r="T8" t="s">
        <v>246</v>
      </c>
      <c r="U8" t="s">
        <v>74</v>
      </c>
      <c r="V8" t="s">
        <v>214</v>
      </c>
      <c r="W8" t="s">
        <v>91</v>
      </c>
      <c r="X8" t="s">
        <v>277</v>
      </c>
      <c r="AF8" t="s">
        <v>96</v>
      </c>
      <c r="AM8" t="s">
        <v>117</v>
      </c>
      <c r="AN8" t="s">
        <v>250</v>
      </c>
      <c r="AO8" t="s">
        <v>250</v>
      </c>
      <c r="AQ8" t="s">
        <v>217</v>
      </c>
      <c r="AR8" t="s">
        <v>217</v>
      </c>
      <c r="AT8" t="s">
        <v>218</v>
      </c>
      <c r="AU8" t="s">
        <v>218</v>
      </c>
      <c r="AW8" t="s">
        <v>219</v>
      </c>
      <c r="AX8" t="s">
        <v>219</v>
      </c>
      <c r="AZ8" t="s">
        <v>220</v>
      </c>
      <c r="BA8" t="s">
        <v>220</v>
      </c>
      <c r="BC8" t="s">
        <v>221</v>
      </c>
      <c r="BD8" t="s">
        <v>221</v>
      </c>
      <c r="BF8" t="s">
        <v>278</v>
      </c>
      <c r="BG8" t="s">
        <v>279</v>
      </c>
      <c r="BH8" t="s">
        <v>224</v>
      </c>
      <c r="BI8" t="s">
        <v>225</v>
      </c>
      <c r="BJ8" t="s">
        <v>225</v>
      </c>
      <c r="BL8" t="s">
        <v>225</v>
      </c>
      <c r="BM8" t="s">
        <v>225</v>
      </c>
      <c r="BO8" t="s">
        <v>226</v>
      </c>
      <c r="BP8" t="s">
        <v>226</v>
      </c>
      <c r="BR8" t="s">
        <v>227</v>
      </c>
      <c r="BS8" t="s">
        <v>227</v>
      </c>
      <c r="BU8" t="s">
        <v>228</v>
      </c>
      <c r="BV8" t="s">
        <v>228</v>
      </c>
      <c r="BX8" t="s">
        <v>227</v>
      </c>
      <c r="BY8" t="s">
        <v>227</v>
      </c>
      <c r="CA8" t="s">
        <v>216</v>
      </c>
      <c r="CB8" t="s">
        <v>216</v>
      </c>
      <c r="CD8" t="s">
        <v>75</v>
      </c>
      <c r="CE8" t="s">
        <v>246</v>
      </c>
      <c r="CF8" t="s">
        <v>245</v>
      </c>
      <c r="CI8">
        <v>1</v>
      </c>
      <c r="CL8" t="s">
        <v>149</v>
      </c>
    </row>
    <row r="9" spans="1:93" x14ac:dyDescent="0.2">
      <c r="A9" t="s">
        <v>67</v>
      </c>
      <c r="E9" t="s">
        <v>78</v>
      </c>
      <c r="F9" t="s">
        <v>86</v>
      </c>
      <c r="G9" t="s">
        <v>92</v>
      </c>
      <c r="H9" t="s">
        <v>180</v>
      </c>
      <c r="I9" t="s">
        <v>95</v>
      </c>
      <c r="J9" t="s">
        <v>94</v>
      </c>
      <c r="K9" t="s">
        <v>71</v>
      </c>
      <c r="L9" t="s">
        <v>89</v>
      </c>
      <c r="M9" t="s">
        <v>90</v>
      </c>
      <c r="N9" t="s">
        <v>73</v>
      </c>
      <c r="O9" t="s">
        <v>83</v>
      </c>
      <c r="P9" t="s">
        <v>280</v>
      </c>
      <c r="S9" t="s">
        <v>245</v>
      </c>
      <c r="T9" t="s">
        <v>246</v>
      </c>
      <c r="U9" t="s">
        <v>74</v>
      </c>
      <c r="V9" t="s">
        <v>214</v>
      </c>
      <c r="W9" t="s">
        <v>91</v>
      </c>
      <c r="X9" t="s">
        <v>281</v>
      </c>
      <c r="AF9" t="s">
        <v>96</v>
      </c>
      <c r="AM9" t="s">
        <v>117</v>
      </c>
      <c r="AN9" t="s">
        <v>257</v>
      </c>
      <c r="AO9" t="s">
        <v>257</v>
      </c>
      <c r="AQ9" t="s">
        <v>217</v>
      </c>
      <c r="AR9" t="s">
        <v>217</v>
      </c>
      <c r="AT9" t="s">
        <v>218</v>
      </c>
      <c r="AU9" t="s">
        <v>218</v>
      </c>
      <c r="AW9" t="s">
        <v>219</v>
      </c>
      <c r="AX9" t="s">
        <v>219</v>
      </c>
      <c r="AZ9" t="s">
        <v>220</v>
      </c>
      <c r="BA9" t="s">
        <v>220</v>
      </c>
      <c r="BC9" t="s">
        <v>221</v>
      </c>
      <c r="BD9" t="s">
        <v>221</v>
      </c>
      <c r="BF9" t="s">
        <v>278</v>
      </c>
      <c r="BG9" t="s">
        <v>279</v>
      </c>
      <c r="BH9" t="s">
        <v>224</v>
      </c>
      <c r="BI9" t="s">
        <v>225</v>
      </c>
      <c r="BJ9" t="s">
        <v>225</v>
      </c>
      <c r="BL9" t="s">
        <v>225</v>
      </c>
      <c r="BM9" t="s">
        <v>225</v>
      </c>
      <c r="BO9" t="s">
        <v>226</v>
      </c>
      <c r="BP9" t="s">
        <v>226</v>
      </c>
      <c r="BR9" t="s">
        <v>227</v>
      </c>
      <c r="BS9" t="s">
        <v>227</v>
      </c>
      <c r="BU9" t="s">
        <v>228</v>
      </c>
      <c r="BV9" t="s">
        <v>228</v>
      </c>
      <c r="BX9" t="s">
        <v>227</v>
      </c>
      <c r="BY9" t="s">
        <v>227</v>
      </c>
      <c r="CA9" t="s">
        <v>216</v>
      </c>
      <c r="CB9" t="s">
        <v>216</v>
      </c>
      <c r="CD9" t="s">
        <v>75</v>
      </c>
      <c r="CE9" t="s">
        <v>246</v>
      </c>
      <c r="CF9" t="s">
        <v>245</v>
      </c>
      <c r="CI9">
        <v>1</v>
      </c>
      <c r="CL9" t="s">
        <v>149</v>
      </c>
    </row>
    <row r="10" spans="1:93" x14ac:dyDescent="0.2">
      <c r="A10" t="s">
        <v>67</v>
      </c>
      <c r="E10" t="s">
        <v>78</v>
      </c>
      <c r="F10" t="s">
        <v>86</v>
      </c>
      <c r="G10" t="s">
        <v>92</v>
      </c>
      <c r="H10" t="s">
        <v>181</v>
      </c>
      <c r="I10" t="s">
        <v>95</v>
      </c>
      <c r="J10" t="s">
        <v>94</v>
      </c>
      <c r="K10" t="s">
        <v>71</v>
      </c>
      <c r="L10" t="s">
        <v>89</v>
      </c>
      <c r="M10" t="s">
        <v>90</v>
      </c>
      <c r="N10" t="s">
        <v>73</v>
      </c>
      <c r="O10" t="s">
        <v>83</v>
      </c>
      <c r="P10" t="s">
        <v>282</v>
      </c>
      <c r="S10" t="s">
        <v>259</v>
      </c>
      <c r="T10" t="s">
        <v>260</v>
      </c>
      <c r="U10" t="s">
        <v>74</v>
      </c>
      <c r="V10" t="s">
        <v>214</v>
      </c>
      <c r="W10" t="s">
        <v>91</v>
      </c>
      <c r="X10" t="s">
        <v>283</v>
      </c>
      <c r="AF10" t="s">
        <v>96</v>
      </c>
      <c r="AM10" t="s">
        <v>117</v>
      </c>
      <c r="AN10" t="s">
        <v>263</v>
      </c>
      <c r="AO10" t="s">
        <v>263</v>
      </c>
      <c r="AQ10" t="s">
        <v>217</v>
      </c>
      <c r="AR10" t="s">
        <v>217</v>
      </c>
      <c r="AT10" t="s">
        <v>218</v>
      </c>
      <c r="AU10" t="s">
        <v>218</v>
      </c>
      <c r="AW10" t="s">
        <v>219</v>
      </c>
      <c r="AX10" t="s">
        <v>219</v>
      </c>
      <c r="AZ10" t="s">
        <v>220</v>
      </c>
      <c r="BA10" t="s">
        <v>220</v>
      </c>
      <c r="BC10" t="s">
        <v>221</v>
      </c>
      <c r="BD10" t="s">
        <v>221</v>
      </c>
      <c r="BF10" t="s">
        <v>278</v>
      </c>
      <c r="BG10" t="s">
        <v>279</v>
      </c>
      <c r="BH10" t="s">
        <v>224</v>
      </c>
      <c r="BI10" t="s">
        <v>225</v>
      </c>
      <c r="BJ10" t="s">
        <v>225</v>
      </c>
      <c r="BL10" t="s">
        <v>225</v>
      </c>
      <c r="BM10" t="s">
        <v>225</v>
      </c>
      <c r="BO10" t="s">
        <v>226</v>
      </c>
      <c r="BP10" t="s">
        <v>226</v>
      </c>
      <c r="BR10" t="s">
        <v>227</v>
      </c>
      <c r="BS10" t="s">
        <v>227</v>
      </c>
      <c r="BU10" t="s">
        <v>228</v>
      </c>
      <c r="BV10" t="s">
        <v>228</v>
      </c>
      <c r="BX10" t="s">
        <v>227</v>
      </c>
      <c r="BY10" t="s">
        <v>227</v>
      </c>
      <c r="CA10" t="s">
        <v>216</v>
      </c>
      <c r="CB10" t="s">
        <v>216</v>
      </c>
      <c r="CD10" t="s">
        <v>75</v>
      </c>
      <c r="CE10" t="s">
        <v>266</v>
      </c>
      <c r="CF10" t="s">
        <v>259</v>
      </c>
      <c r="CI10">
        <v>1</v>
      </c>
      <c r="CL10" t="s">
        <v>149</v>
      </c>
    </row>
    <row r="11" spans="1:93" x14ac:dyDescent="0.2">
      <c r="A11" t="s">
        <v>67</v>
      </c>
      <c r="E11" t="s">
        <v>78</v>
      </c>
      <c r="F11" t="s">
        <v>86</v>
      </c>
      <c r="G11" t="s">
        <v>92</v>
      </c>
      <c r="H11" t="s">
        <v>284</v>
      </c>
      <c r="I11" t="s">
        <v>95</v>
      </c>
      <c r="J11" t="s">
        <v>94</v>
      </c>
      <c r="K11" t="s">
        <v>71</v>
      </c>
      <c r="L11" t="s">
        <v>89</v>
      </c>
      <c r="M11" t="s">
        <v>90</v>
      </c>
      <c r="N11" t="s">
        <v>73</v>
      </c>
      <c r="O11" t="s">
        <v>83</v>
      </c>
      <c r="P11" t="s">
        <v>285</v>
      </c>
      <c r="S11" t="s">
        <v>286</v>
      </c>
      <c r="T11" t="s">
        <v>287</v>
      </c>
      <c r="U11" t="s">
        <v>74</v>
      </c>
      <c r="V11" t="s">
        <v>214</v>
      </c>
      <c r="W11" t="s">
        <v>91</v>
      </c>
      <c r="X11" t="s">
        <v>288</v>
      </c>
      <c r="AF11" t="s">
        <v>96</v>
      </c>
      <c r="AM11" t="s">
        <v>117</v>
      </c>
      <c r="AN11" t="s">
        <v>289</v>
      </c>
      <c r="AO11" t="s">
        <v>289</v>
      </c>
      <c r="AQ11" t="s">
        <v>217</v>
      </c>
      <c r="AR11" t="s">
        <v>217</v>
      </c>
      <c r="AT11" t="s">
        <v>218</v>
      </c>
      <c r="AU11" t="s">
        <v>218</v>
      </c>
      <c r="AW11" t="s">
        <v>219</v>
      </c>
      <c r="AX11" t="s">
        <v>219</v>
      </c>
      <c r="AZ11" t="s">
        <v>220</v>
      </c>
      <c r="BA11" t="s">
        <v>220</v>
      </c>
      <c r="BC11" t="s">
        <v>221</v>
      </c>
      <c r="BD11" t="s">
        <v>221</v>
      </c>
      <c r="BF11" t="s">
        <v>237</v>
      </c>
      <c r="BG11" t="s">
        <v>238</v>
      </c>
      <c r="BH11" t="s">
        <v>224</v>
      </c>
      <c r="BI11" t="s">
        <v>225</v>
      </c>
      <c r="BJ11" t="s">
        <v>225</v>
      </c>
      <c r="BL11" t="s">
        <v>225</v>
      </c>
      <c r="BM11" t="s">
        <v>225</v>
      </c>
      <c r="BO11" t="s">
        <v>226</v>
      </c>
      <c r="BP11" t="s">
        <v>226</v>
      </c>
      <c r="BR11" t="s">
        <v>227</v>
      </c>
      <c r="BS11" t="s">
        <v>227</v>
      </c>
      <c r="BU11" t="s">
        <v>228</v>
      </c>
      <c r="BV11" t="s">
        <v>228</v>
      </c>
      <c r="BX11" t="s">
        <v>227</v>
      </c>
      <c r="BY11" t="s">
        <v>227</v>
      </c>
      <c r="CA11" t="s">
        <v>216</v>
      </c>
      <c r="CB11" t="s">
        <v>216</v>
      </c>
      <c r="CD11" t="s">
        <v>75</v>
      </c>
      <c r="CE11" t="s">
        <v>290</v>
      </c>
      <c r="CF11" t="s">
        <v>286</v>
      </c>
      <c r="CI11">
        <v>1</v>
      </c>
      <c r="CL11" t="s">
        <v>149</v>
      </c>
    </row>
    <row r="12" spans="1:93" x14ac:dyDescent="0.2">
      <c r="A12" t="s">
        <v>67</v>
      </c>
      <c r="E12" t="s">
        <v>78</v>
      </c>
      <c r="F12" t="s">
        <v>86</v>
      </c>
      <c r="G12" t="s">
        <v>92</v>
      </c>
      <c r="H12" t="s">
        <v>232</v>
      </c>
      <c r="I12" t="s">
        <v>95</v>
      </c>
      <c r="J12" t="s">
        <v>94</v>
      </c>
      <c r="K12" t="s">
        <v>71</v>
      </c>
      <c r="L12" t="s">
        <v>89</v>
      </c>
      <c r="M12" t="s">
        <v>90</v>
      </c>
      <c r="N12" t="s">
        <v>73</v>
      </c>
      <c r="O12" t="s">
        <v>83</v>
      </c>
      <c r="P12" t="s">
        <v>291</v>
      </c>
      <c r="S12" t="s">
        <v>233</v>
      </c>
      <c r="T12" t="s">
        <v>234</v>
      </c>
      <c r="U12" t="s">
        <v>74</v>
      </c>
      <c r="V12" t="s">
        <v>214</v>
      </c>
      <c r="W12" t="s">
        <v>91</v>
      </c>
      <c r="X12" t="s">
        <v>235</v>
      </c>
      <c r="AF12" t="s">
        <v>96</v>
      </c>
      <c r="AM12" t="s">
        <v>117</v>
      </c>
      <c r="AN12" t="s">
        <v>236</v>
      </c>
      <c r="AO12" t="s">
        <v>236</v>
      </c>
      <c r="AQ12" t="s">
        <v>217</v>
      </c>
      <c r="AR12" t="s">
        <v>217</v>
      </c>
      <c r="AT12" t="s">
        <v>218</v>
      </c>
      <c r="AU12" t="s">
        <v>218</v>
      </c>
      <c r="AW12" t="s">
        <v>219</v>
      </c>
      <c r="AX12" t="s">
        <v>219</v>
      </c>
      <c r="AZ12" t="s">
        <v>220</v>
      </c>
      <c r="BA12" t="s">
        <v>220</v>
      </c>
      <c r="BC12" t="s">
        <v>221</v>
      </c>
      <c r="BD12" t="s">
        <v>221</v>
      </c>
      <c r="BF12" t="s">
        <v>237</v>
      </c>
      <c r="BG12" t="s">
        <v>238</v>
      </c>
      <c r="BH12" t="s">
        <v>224</v>
      </c>
      <c r="BI12" t="s">
        <v>225</v>
      </c>
      <c r="BJ12" t="s">
        <v>225</v>
      </c>
      <c r="BL12" t="s">
        <v>225</v>
      </c>
      <c r="BM12" t="s">
        <v>225</v>
      </c>
      <c r="BO12" t="s">
        <v>226</v>
      </c>
      <c r="BP12" t="s">
        <v>226</v>
      </c>
      <c r="BR12" t="s">
        <v>227</v>
      </c>
      <c r="BS12" t="s">
        <v>227</v>
      </c>
      <c r="BU12" t="s">
        <v>228</v>
      </c>
      <c r="BV12" t="s">
        <v>228</v>
      </c>
      <c r="BX12" t="s">
        <v>227</v>
      </c>
      <c r="BY12" t="s">
        <v>227</v>
      </c>
      <c r="CA12" t="s">
        <v>216</v>
      </c>
      <c r="CB12" t="s">
        <v>216</v>
      </c>
      <c r="CD12" t="s">
        <v>75</v>
      </c>
      <c r="CE12" t="s">
        <v>239</v>
      </c>
      <c r="CF12" t="s">
        <v>233</v>
      </c>
      <c r="CI12">
        <v>1</v>
      </c>
      <c r="CL12" t="s">
        <v>149</v>
      </c>
    </row>
    <row r="13" spans="1:93" x14ac:dyDescent="0.2">
      <c r="A13" t="s">
        <v>67</v>
      </c>
      <c r="E13" t="s">
        <v>78</v>
      </c>
      <c r="F13" t="s">
        <v>86</v>
      </c>
      <c r="G13" t="s">
        <v>92</v>
      </c>
      <c r="H13" t="s">
        <v>93</v>
      </c>
      <c r="I13" t="s">
        <v>95</v>
      </c>
      <c r="J13" t="s">
        <v>94</v>
      </c>
      <c r="K13" t="s">
        <v>71</v>
      </c>
      <c r="L13" t="s">
        <v>89</v>
      </c>
      <c r="M13" t="s">
        <v>90</v>
      </c>
      <c r="N13" t="s">
        <v>73</v>
      </c>
      <c r="O13" t="s">
        <v>83</v>
      </c>
      <c r="P13" t="s">
        <v>292</v>
      </c>
      <c r="S13" t="s">
        <v>268</v>
      </c>
      <c r="T13" t="s">
        <v>269</v>
      </c>
      <c r="U13" t="s">
        <v>74</v>
      </c>
      <c r="V13" t="s">
        <v>214</v>
      </c>
      <c r="W13" t="s">
        <v>91</v>
      </c>
      <c r="X13" t="s">
        <v>270</v>
      </c>
      <c r="AF13" t="s">
        <v>96</v>
      </c>
      <c r="AM13" t="s">
        <v>117</v>
      </c>
      <c r="AN13" t="s">
        <v>271</v>
      </c>
      <c r="AO13" t="s">
        <v>271</v>
      </c>
      <c r="AQ13" t="s">
        <v>217</v>
      </c>
      <c r="AR13" t="s">
        <v>217</v>
      </c>
      <c r="AT13" t="s">
        <v>218</v>
      </c>
      <c r="AU13" t="s">
        <v>218</v>
      </c>
      <c r="AW13" t="s">
        <v>219</v>
      </c>
      <c r="AX13" t="s">
        <v>219</v>
      </c>
      <c r="AZ13" t="s">
        <v>220</v>
      </c>
      <c r="BA13" t="s">
        <v>220</v>
      </c>
      <c r="BC13" t="s">
        <v>221</v>
      </c>
      <c r="BD13" t="s">
        <v>221</v>
      </c>
      <c r="BF13" t="s">
        <v>222</v>
      </c>
      <c r="BG13" t="s">
        <v>272</v>
      </c>
      <c r="BH13" t="s">
        <v>224</v>
      </c>
      <c r="BI13" t="s">
        <v>225</v>
      </c>
      <c r="BJ13" t="s">
        <v>225</v>
      </c>
      <c r="BL13" t="s">
        <v>225</v>
      </c>
      <c r="BM13" t="s">
        <v>225</v>
      </c>
      <c r="BO13" t="s">
        <v>226</v>
      </c>
      <c r="BP13" t="s">
        <v>226</v>
      </c>
      <c r="BR13" t="s">
        <v>227</v>
      </c>
      <c r="BS13" t="s">
        <v>227</v>
      </c>
      <c r="BU13" t="s">
        <v>228</v>
      </c>
      <c r="BV13" t="s">
        <v>228</v>
      </c>
      <c r="BX13" t="s">
        <v>227</v>
      </c>
      <c r="BY13" t="s">
        <v>227</v>
      </c>
      <c r="CA13" t="s">
        <v>216</v>
      </c>
      <c r="CB13" t="s">
        <v>216</v>
      </c>
      <c r="CD13" t="s">
        <v>75</v>
      </c>
      <c r="CE13" t="s">
        <v>273</v>
      </c>
      <c r="CF13" t="s">
        <v>268</v>
      </c>
      <c r="CI13">
        <v>1</v>
      </c>
      <c r="CK13" t="s">
        <v>138</v>
      </c>
      <c r="CL13" t="s">
        <v>149</v>
      </c>
    </row>
    <row r="14" spans="1:93" x14ac:dyDescent="0.2">
      <c r="A14" t="s">
        <v>67</v>
      </c>
      <c r="E14" t="s">
        <v>78</v>
      </c>
      <c r="F14" t="s">
        <v>86</v>
      </c>
      <c r="G14" t="s">
        <v>92</v>
      </c>
      <c r="H14" t="s">
        <v>211</v>
      </c>
      <c r="I14" t="s">
        <v>95</v>
      </c>
      <c r="J14" t="s">
        <v>94</v>
      </c>
      <c r="K14" t="s">
        <v>71</v>
      </c>
      <c r="L14" t="s">
        <v>89</v>
      </c>
      <c r="M14" t="s">
        <v>170</v>
      </c>
      <c r="N14" t="s">
        <v>73</v>
      </c>
      <c r="O14" t="s">
        <v>83</v>
      </c>
      <c r="P14" t="s">
        <v>230</v>
      </c>
      <c r="S14" t="s">
        <v>212</v>
      </c>
      <c r="T14" t="s">
        <v>213</v>
      </c>
      <c r="U14" t="s">
        <v>74</v>
      </c>
      <c r="V14" t="s">
        <v>214</v>
      </c>
      <c r="W14" t="s">
        <v>91</v>
      </c>
      <c r="X14" t="s">
        <v>215</v>
      </c>
      <c r="AF14" t="s">
        <v>231</v>
      </c>
      <c r="AM14" t="s">
        <v>117</v>
      </c>
      <c r="AN14" t="s">
        <v>216</v>
      </c>
      <c r="AO14" t="s">
        <v>216</v>
      </c>
      <c r="AQ14" t="s">
        <v>217</v>
      </c>
      <c r="AR14" t="s">
        <v>217</v>
      </c>
      <c r="AT14" t="s">
        <v>218</v>
      </c>
      <c r="AU14" t="s">
        <v>218</v>
      </c>
      <c r="AW14" t="s">
        <v>219</v>
      </c>
      <c r="AX14" t="s">
        <v>219</v>
      </c>
      <c r="AZ14" t="s">
        <v>220</v>
      </c>
      <c r="BA14" t="s">
        <v>220</v>
      </c>
      <c r="BC14" t="s">
        <v>221</v>
      </c>
      <c r="BD14" t="s">
        <v>221</v>
      </c>
      <c r="BF14" t="s">
        <v>222</v>
      </c>
      <c r="BG14" t="s">
        <v>223</v>
      </c>
      <c r="BH14" t="s">
        <v>224</v>
      </c>
      <c r="BI14" t="s">
        <v>225</v>
      </c>
      <c r="BJ14" t="s">
        <v>225</v>
      </c>
      <c r="BL14" t="s">
        <v>225</v>
      </c>
      <c r="BM14" t="s">
        <v>225</v>
      </c>
      <c r="BO14" t="s">
        <v>226</v>
      </c>
      <c r="BP14" t="s">
        <v>226</v>
      </c>
      <c r="BR14" t="s">
        <v>227</v>
      </c>
      <c r="BS14" t="s">
        <v>227</v>
      </c>
      <c r="BU14" t="s">
        <v>228</v>
      </c>
      <c r="BV14" t="s">
        <v>228</v>
      </c>
      <c r="BX14" t="s">
        <v>227</v>
      </c>
      <c r="BY14" t="s">
        <v>227</v>
      </c>
      <c r="CA14" t="s">
        <v>216</v>
      </c>
      <c r="CB14" t="s">
        <v>216</v>
      </c>
      <c r="CD14" t="s">
        <v>75</v>
      </c>
      <c r="CE14" t="s">
        <v>229</v>
      </c>
      <c r="CF14" t="s">
        <v>212</v>
      </c>
      <c r="CI14">
        <v>1</v>
      </c>
      <c r="CL14" t="s">
        <v>149</v>
      </c>
    </row>
    <row r="15" spans="1:93" x14ac:dyDescent="0.2">
      <c r="A15" t="s">
        <v>67</v>
      </c>
      <c r="E15" t="s">
        <v>78</v>
      </c>
      <c r="F15" t="s">
        <v>86</v>
      </c>
      <c r="G15" t="s">
        <v>92</v>
      </c>
      <c r="H15" t="s">
        <v>293</v>
      </c>
      <c r="I15" t="s">
        <v>95</v>
      </c>
      <c r="J15" t="s">
        <v>94</v>
      </c>
      <c r="K15" t="s">
        <v>71</v>
      </c>
      <c r="L15" t="s">
        <v>89</v>
      </c>
      <c r="M15" t="s">
        <v>170</v>
      </c>
      <c r="N15" t="s">
        <v>73</v>
      </c>
      <c r="O15" t="s">
        <v>83</v>
      </c>
      <c r="P15" t="s">
        <v>294</v>
      </c>
      <c r="S15" t="s">
        <v>295</v>
      </c>
      <c r="T15" t="s">
        <v>296</v>
      </c>
      <c r="U15" t="s">
        <v>74</v>
      </c>
      <c r="V15" t="s">
        <v>214</v>
      </c>
      <c r="W15" t="s">
        <v>91</v>
      </c>
      <c r="X15" t="s">
        <v>297</v>
      </c>
      <c r="AF15" t="s">
        <v>231</v>
      </c>
      <c r="AM15" t="s">
        <v>117</v>
      </c>
      <c r="AN15" t="s">
        <v>216</v>
      </c>
      <c r="AO15" t="s">
        <v>216</v>
      </c>
      <c r="AQ15" t="s">
        <v>217</v>
      </c>
      <c r="AR15" t="s">
        <v>217</v>
      </c>
      <c r="AT15" t="s">
        <v>218</v>
      </c>
      <c r="AU15" t="s">
        <v>218</v>
      </c>
      <c r="AW15" t="s">
        <v>219</v>
      </c>
      <c r="AX15" t="s">
        <v>219</v>
      </c>
      <c r="AZ15" t="s">
        <v>220</v>
      </c>
      <c r="BA15" t="s">
        <v>220</v>
      </c>
      <c r="BC15" t="s">
        <v>221</v>
      </c>
      <c r="BD15" t="s">
        <v>221</v>
      </c>
      <c r="BF15" t="s">
        <v>222</v>
      </c>
      <c r="BG15" t="s">
        <v>223</v>
      </c>
      <c r="BH15" t="s">
        <v>224</v>
      </c>
      <c r="BI15" t="s">
        <v>225</v>
      </c>
      <c r="BJ15" t="s">
        <v>225</v>
      </c>
      <c r="BL15" t="s">
        <v>225</v>
      </c>
      <c r="BM15" t="s">
        <v>225</v>
      </c>
      <c r="BO15" t="s">
        <v>226</v>
      </c>
      <c r="BP15" t="s">
        <v>226</v>
      </c>
      <c r="BR15" t="s">
        <v>227</v>
      </c>
      <c r="BS15" t="s">
        <v>227</v>
      </c>
      <c r="BU15" t="s">
        <v>228</v>
      </c>
      <c r="BV15" t="s">
        <v>228</v>
      </c>
      <c r="BX15" t="s">
        <v>227</v>
      </c>
      <c r="BY15" t="s">
        <v>227</v>
      </c>
      <c r="CA15" t="s">
        <v>216</v>
      </c>
      <c r="CB15" t="s">
        <v>216</v>
      </c>
      <c r="CD15" t="s">
        <v>75</v>
      </c>
      <c r="CE15" t="s">
        <v>298</v>
      </c>
      <c r="CF15" t="s">
        <v>295</v>
      </c>
      <c r="CI15">
        <v>1</v>
      </c>
      <c r="CK15" t="s">
        <v>138</v>
      </c>
      <c r="CL15" t="s">
        <v>149</v>
      </c>
    </row>
    <row r="16" spans="1:93" x14ac:dyDescent="0.2">
      <c r="A16" t="s">
        <v>67</v>
      </c>
      <c r="E16" t="s">
        <v>78</v>
      </c>
      <c r="F16" t="s">
        <v>86</v>
      </c>
      <c r="G16" t="s">
        <v>92</v>
      </c>
      <c r="H16" t="s">
        <v>232</v>
      </c>
      <c r="I16" t="s">
        <v>95</v>
      </c>
      <c r="J16" t="s">
        <v>94</v>
      </c>
      <c r="K16" t="s">
        <v>71</v>
      </c>
      <c r="L16" t="s">
        <v>169</v>
      </c>
      <c r="M16" t="s">
        <v>90</v>
      </c>
      <c r="N16" t="s">
        <v>73</v>
      </c>
      <c r="O16" t="s">
        <v>83</v>
      </c>
      <c r="P16" t="s">
        <v>240</v>
      </c>
      <c r="S16" t="s">
        <v>233</v>
      </c>
      <c r="T16" t="s">
        <v>234</v>
      </c>
      <c r="U16" t="s">
        <v>74</v>
      </c>
      <c r="V16" t="s">
        <v>214</v>
      </c>
      <c r="W16" t="s">
        <v>91</v>
      </c>
      <c r="X16" t="s">
        <v>235</v>
      </c>
      <c r="AF16" t="s">
        <v>241</v>
      </c>
      <c r="AM16" t="s">
        <v>117</v>
      </c>
      <c r="AN16" t="s">
        <v>236</v>
      </c>
      <c r="AO16" t="s">
        <v>236</v>
      </c>
      <c r="AQ16" t="s">
        <v>217</v>
      </c>
      <c r="AR16" t="s">
        <v>217</v>
      </c>
      <c r="AT16" t="s">
        <v>218</v>
      </c>
      <c r="AU16" t="s">
        <v>218</v>
      </c>
      <c r="AW16" t="s">
        <v>219</v>
      </c>
      <c r="AX16" t="s">
        <v>219</v>
      </c>
      <c r="AZ16" t="s">
        <v>220</v>
      </c>
      <c r="BA16" t="s">
        <v>220</v>
      </c>
      <c r="BC16" t="s">
        <v>221</v>
      </c>
      <c r="BD16" t="s">
        <v>221</v>
      </c>
      <c r="BF16" t="s">
        <v>237</v>
      </c>
      <c r="BG16" t="s">
        <v>238</v>
      </c>
      <c r="BH16" t="s">
        <v>224</v>
      </c>
      <c r="BI16" t="s">
        <v>225</v>
      </c>
      <c r="BJ16" t="s">
        <v>225</v>
      </c>
      <c r="BL16" t="s">
        <v>225</v>
      </c>
      <c r="BM16" t="s">
        <v>225</v>
      </c>
      <c r="BO16" t="s">
        <v>226</v>
      </c>
      <c r="BP16" t="s">
        <v>226</v>
      </c>
      <c r="BR16" t="s">
        <v>227</v>
      </c>
      <c r="BS16" t="s">
        <v>227</v>
      </c>
      <c r="BU16" t="s">
        <v>228</v>
      </c>
      <c r="BV16" t="s">
        <v>228</v>
      </c>
      <c r="BX16" t="s">
        <v>227</v>
      </c>
      <c r="BY16" t="s">
        <v>227</v>
      </c>
      <c r="CA16" t="s">
        <v>216</v>
      </c>
      <c r="CB16" t="s">
        <v>216</v>
      </c>
      <c r="CD16" t="s">
        <v>75</v>
      </c>
      <c r="CE16" t="s">
        <v>239</v>
      </c>
      <c r="CF16" t="s">
        <v>233</v>
      </c>
      <c r="CI16">
        <v>1</v>
      </c>
      <c r="CL16" t="s">
        <v>149</v>
      </c>
    </row>
    <row r="17" spans="1:90" x14ac:dyDescent="0.2">
      <c r="A17" t="s">
        <v>67</v>
      </c>
      <c r="E17" t="s">
        <v>78</v>
      </c>
      <c r="F17" t="s">
        <v>86</v>
      </c>
      <c r="G17" t="s">
        <v>92</v>
      </c>
      <c r="H17" t="s">
        <v>299</v>
      </c>
      <c r="I17" t="s">
        <v>95</v>
      </c>
      <c r="J17" t="s">
        <v>94</v>
      </c>
      <c r="K17" t="s">
        <v>71</v>
      </c>
      <c r="L17" t="s">
        <v>89</v>
      </c>
      <c r="M17" t="s">
        <v>90</v>
      </c>
      <c r="N17" t="s">
        <v>73</v>
      </c>
      <c r="O17" t="s">
        <v>83</v>
      </c>
      <c r="P17" t="str">
        <f t="shared" ref="P17" si="0">E17&amp;"_"&amp;F17&amp;"_"&amp;G17&amp;"_"&amp;H17&amp;"_"&amp;I17&amp;"_"&amp;J17&amp;"_"&amp;K17&amp;"_"&amp;L17&amp;"_"&amp;M17&amp;"_"&amp;N17&amp;"_"&amp;O17&amp;"_"</f>
        <v>DFTL_CPU_CPUSRAM_MPX00K_CPUBST_H0HX_PLLP_59N_REPREST_X_SelsrmSSSS_</v>
      </c>
      <c r="S17" t="s">
        <v>253</v>
      </c>
      <c r="T17" t="s">
        <v>216</v>
      </c>
      <c r="U17" t="s">
        <v>74</v>
      </c>
      <c r="V17" t="s">
        <v>214</v>
      </c>
      <c r="W17" t="s">
        <v>91</v>
      </c>
      <c r="X17" t="s">
        <v>300</v>
      </c>
      <c r="AF17" t="s">
        <v>96</v>
      </c>
      <c r="AM17" t="s">
        <v>117</v>
      </c>
      <c r="AN17" t="s">
        <v>271</v>
      </c>
      <c r="AO17" t="s">
        <v>271</v>
      </c>
      <c r="AQ17" t="s">
        <v>217</v>
      </c>
      <c r="AR17" t="s">
        <v>217</v>
      </c>
      <c r="AT17" t="s">
        <v>218</v>
      </c>
      <c r="AU17" t="s">
        <v>218</v>
      </c>
      <c r="AW17" t="s">
        <v>219</v>
      </c>
      <c r="AX17" t="s">
        <v>219</v>
      </c>
      <c r="AZ17" t="s">
        <v>220</v>
      </c>
      <c r="BA17" t="s">
        <v>220</v>
      </c>
      <c r="BC17" t="s">
        <v>221</v>
      </c>
      <c r="BD17" t="s">
        <v>221</v>
      </c>
      <c r="BF17" t="s">
        <v>222</v>
      </c>
      <c r="BG17" t="s">
        <v>301</v>
      </c>
      <c r="BH17" t="s">
        <v>224</v>
      </c>
      <c r="BI17" t="s">
        <v>225</v>
      </c>
      <c r="BJ17" t="s">
        <v>225</v>
      </c>
      <c r="BL17" t="s">
        <v>225</v>
      </c>
      <c r="BM17" t="s">
        <v>225</v>
      </c>
      <c r="BO17" t="s">
        <v>226</v>
      </c>
      <c r="BP17" t="s">
        <v>226</v>
      </c>
      <c r="BR17" t="s">
        <v>227</v>
      </c>
      <c r="BS17" t="s">
        <v>227</v>
      </c>
      <c r="BU17" t="s">
        <v>228</v>
      </c>
      <c r="BV17" t="s">
        <v>228</v>
      </c>
      <c r="BX17" t="s">
        <v>227</v>
      </c>
      <c r="BY17" t="s">
        <v>227</v>
      </c>
      <c r="CA17" t="s">
        <v>216</v>
      </c>
      <c r="CB17" t="s">
        <v>216</v>
      </c>
      <c r="CD17" t="s">
        <v>75</v>
      </c>
      <c r="CE17" t="s">
        <v>253</v>
      </c>
      <c r="CF17" t="s">
        <v>216</v>
      </c>
      <c r="CI17">
        <v>1</v>
      </c>
      <c r="CK17" t="s">
        <v>138</v>
      </c>
      <c r="CL17" t="s">
        <v>149</v>
      </c>
    </row>
    <row r="18" spans="1:90" x14ac:dyDescent="0.2">
      <c r="A18" t="s">
        <v>67</v>
      </c>
      <c r="E18" t="s">
        <v>78</v>
      </c>
      <c r="F18" t="s">
        <v>86</v>
      </c>
      <c r="G18" t="s">
        <v>87</v>
      </c>
      <c r="H18" t="s">
        <v>173</v>
      </c>
      <c r="I18" t="s">
        <v>200</v>
      </c>
      <c r="J18" t="s">
        <v>130</v>
      </c>
      <c r="K18" t="s">
        <v>131</v>
      </c>
      <c r="L18" t="s">
        <v>139</v>
      </c>
      <c r="M18" t="s">
        <v>302</v>
      </c>
      <c r="N18" t="s">
        <v>303</v>
      </c>
      <c r="O18" t="s">
        <v>83</v>
      </c>
      <c r="P18" t="s">
        <v>304</v>
      </c>
      <c r="S18" t="s">
        <v>268</v>
      </c>
      <c r="T18" t="s">
        <v>269</v>
      </c>
      <c r="U18" t="s">
        <v>74</v>
      </c>
      <c r="V18" t="s">
        <v>305</v>
      </c>
      <c r="W18" s="13" t="s">
        <v>693</v>
      </c>
      <c r="X18" t="s">
        <v>306</v>
      </c>
      <c r="AF18" s="13" t="s">
        <v>700</v>
      </c>
      <c r="AM18" t="s">
        <v>117</v>
      </c>
      <c r="AN18" t="s">
        <v>222</v>
      </c>
      <c r="AO18" t="s">
        <v>272</v>
      </c>
      <c r="AP18" t="s">
        <v>224</v>
      </c>
      <c r="AQ18" t="s">
        <v>301</v>
      </c>
      <c r="AR18" t="s">
        <v>301</v>
      </c>
      <c r="AT18" t="s">
        <v>307</v>
      </c>
      <c r="AU18" t="s">
        <v>307</v>
      </c>
      <c r="AW18" t="s">
        <v>212</v>
      </c>
      <c r="AX18" t="s">
        <v>212</v>
      </c>
      <c r="AZ18" t="s">
        <v>218</v>
      </c>
      <c r="BA18" t="s">
        <v>218</v>
      </c>
      <c r="BC18" t="s">
        <v>308</v>
      </c>
      <c r="BD18" t="s">
        <v>308</v>
      </c>
      <c r="BF18" t="s">
        <v>268</v>
      </c>
      <c r="BG18" t="s">
        <v>268</v>
      </c>
      <c r="BI18" t="s">
        <v>309</v>
      </c>
      <c r="BJ18" t="s">
        <v>309</v>
      </c>
      <c r="BL18" t="s">
        <v>309</v>
      </c>
      <c r="BM18" t="s">
        <v>309</v>
      </c>
      <c r="BO18" t="s">
        <v>310</v>
      </c>
      <c r="BP18" t="s">
        <v>310</v>
      </c>
      <c r="BR18" t="s">
        <v>311</v>
      </c>
      <c r="BS18" t="s">
        <v>311</v>
      </c>
      <c r="BU18" t="s">
        <v>227</v>
      </c>
      <c r="BV18" t="s">
        <v>227</v>
      </c>
      <c r="BX18" t="s">
        <v>227</v>
      </c>
      <c r="BY18" t="s">
        <v>227</v>
      </c>
      <c r="CA18" t="s">
        <v>253</v>
      </c>
      <c r="CB18" t="s">
        <v>253</v>
      </c>
      <c r="CD18" t="s">
        <v>75</v>
      </c>
      <c r="CE18" t="s">
        <v>273</v>
      </c>
      <c r="CF18" t="s">
        <v>268</v>
      </c>
      <c r="CI18">
        <v>1</v>
      </c>
      <c r="CK18" t="s">
        <v>138</v>
      </c>
      <c r="CL18" t="s">
        <v>149</v>
      </c>
    </row>
    <row r="19" spans="1:90" x14ac:dyDescent="0.2">
      <c r="A19" t="s">
        <v>67</v>
      </c>
      <c r="E19" t="s">
        <v>78</v>
      </c>
      <c r="F19" t="s">
        <v>86</v>
      </c>
      <c r="G19" t="s">
        <v>87</v>
      </c>
      <c r="H19" t="s">
        <v>173</v>
      </c>
      <c r="I19" t="s">
        <v>200</v>
      </c>
      <c r="J19" t="s">
        <v>130</v>
      </c>
      <c r="K19" t="s">
        <v>131</v>
      </c>
      <c r="L19" t="s">
        <v>140</v>
      </c>
      <c r="M19" t="s">
        <v>302</v>
      </c>
      <c r="N19" t="s">
        <v>303</v>
      </c>
      <c r="O19" t="s">
        <v>83</v>
      </c>
      <c r="P19" t="s">
        <v>312</v>
      </c>
      <c r="S19" t="s">
        <v>268</v>
      </c>
      <c r="T19" t="s">
        <v>269</v>
      </c>
      <c r="U19" t="s">
        <v>74</v>
      </c>
      <c r="V19" t="s">
        <v>305</v>
      </c>
      <c r="W19" s="13" t="s">
        <v>694</v>
      </c>
      <c r="X19" t="s">
        <v>306</v>
      </c>
      <c r="AF19" s="13" t="s">
        <v>700</v>
      </c>
      <c r="AM19" t="s">
        <v>117</v>
      </c>
      <c r="AN19" t="s">
        <v>222</v>
      </c>
      <c r="AO19" t="s">
        <v>272</v>
      </c>
      <c r="AP19" t="s">
        <v>224</v>
      </c>
      <c r="AQ19" t="s">
        <v>301</v>
      </c>
      <c r="AR19" t="s">
        <v>301</v>
      </c>
      <c r="AT19" t="s">
        <v>307</v>
      </c>
      <c r="AU19" t="s">
        <v>307</v>
      </c>
      <c r="AW19" t="s">
        <v>212</v>
      </c>
      <c r="AX19" t="s">
        <v>212</v>
      </c>
      <c r="AZ19" t="s">
        <v>218</v>
      </c>
      <c r="BA19" t="s">
        <v>218</v>
      </c>
      <c r="BC19" t="s">
        <v>308</v>
      </c>
      <c r="BD19" t="s">
        <v>308</v>
      </c>
      <c r="BF19" t="s">
        <v>268</v>
      </c>
      <c r="BG19" t="s">
        <v>268</v>
      </c>
      <c r="BI19" t="s">
        <v>309</v>
      </c>
      <c r="BJ19" t="s">
        <v>309</v>
      </c>
      <c r="BL19" t="s">
        <v>309</v>
      </c>
      <c r="BM19" t="s">
        <v>309</v>
      </c>
      <c r="BO19" t="s">
        <v>310</v>
      </c>
      <c r="BP19" t="s">
        <v>310</v>
      </c>
      <c r="BR19" t="s">
        <v>311</v>
      </c>
      <c r="BS19" t="s">
        <v>311</v>
      </c>
      <c r="BU19" t="s">
        <v>227</v>
      </c>
      <c r="BV19" t="s">
        <v>227</v>
      </c>
      <c r="BX19" t="s">
        <v>227</v>
      </c>
      <c r="BY19" t="s">
        <v>227</v>
      </c>
      <c r="CA19" t="s">
        <v>253</v>
      </c>
      <c r="CB19" t="s">
        <v>253</v>
      </c>
      <c r="CD19" t="s">
        <v>75</v>
      </c>
      <c r="CE19" t="s">
        <v>273</v>
      </c>
      <c r="CF19" t="s">
        <v>268</v>
      </c>
      <c r="CI19">
        <v>1</v>
      </c>
      <c r="CK19" t="s">
        <v>138</v>
      </c>
      <c r="CL19" t="s">
        <v>149</v>
      </c>
    </row>
    <row r="20" spans="1:90" x14ac:dyDescent="0.2">
      <c r="A20" t="s">
        <v>67</v>
      </c>
      <c r="E20" t="s">
        <v>78</v>
      </c>
      <c r="F20" t="s">
        <v>86</v>
      </c>
      <c r="G20" t="s">
        <v>87</v>
      </c>
      <c r="H20" t="s">
        <v>173</v>
      </c>
      <c r="I20" t="s">
        <v>200</v>
      </c>
      <c r="J20" t="s">
        <v>129</v>
      </c>
      <c r="K20" t="s">
        <v>131</v>
      </c>
      <c r="L20" t="s">
        <v>150</v>
      </c>
      <c r="M20" t="s">
        <v>73</v>
      </c>
      <c r="N20" t="s">
        <v>303</v>
      </c>
      <c r="O20" t="s">
        <v>83</v>
      </c>
      <c r="P20" t="s">
        <v>313</v>
      </c>
      <c r="S20" t="s">
        <v>268</v>
      </c>
      <c r="T20" t="s">
        <v>269</v>
      </c>
      <c r="U20" t="s">
        <v>74</v>
      </c>
      <c r="V20" t="s">
        <v>305</v>
      </c>
      <c r="W20" s="13" t="s">
        <v>695</v>
      </c>
      <c r="X20" t="s">
        <v>306</v>
      </c>
      <c r="AF20" s="13" t="s">
        <v>699</v>
      </c>
      <c r="AM20" t="s">
        <v>117</v>
      </c>
      <c r="AN20" t="s">
        <v>222</v>
      </c>
      <c r="AO20" t="s">
        <v>311</v>
      </c>
      <c r="AP20" t="s">
        <v>224</v>
      </c>
      <c r="AQ20" t="s">
        <v>217</v>
      </c>
      <c r="AR20" t="s">
        <v>217</v>
      </c>
      <c r="AT20" t="s">
        <v>218</v>
      </c>
      <c r="AU20" t="s">
        <v>218</v>
      </c>
      <c r="AW20" t="s">
        <v>219</v>
      </c>
      <c r="AX20" t="s">
        <v>219</v>
      </c>
      <c r="AZ20" t="s">
        <v>220</v>
      </c>
      <c r="BA20" t="s">
        <v>220</v>
      </c>
      <c r="BC20" t="s">
        <v>221</v>
      </c>
      <c r="BD20" t="s">
        <v>221</v>
      </c>
      <c r="BF20" t="s">
        <v>216</v>
      </c>
      <c r="BG20" t="s">
        <v>216</v>
      </c>
      <c r="BI20" t="s">
        <v>225</v>
      </c>
      <c r="BJ20" t="s">
        <v>225</v>
      </c>
      <c r="BL20" t="s">
        <v>225</v>
      </c>
      <c r="BM20" t="s">
        <v>225</v>
      </c>
      <c r="BO20" t="s">
        <v>226</v>
      </c>
      <c r="BP20" t="s">
        <v>226</v>
      </c>
      <c r="BR20" t="s">
        <v>227</v>
      </c>
      <c r="BS20" t="s">
        <v>227</v>
      </c>
      <c r="BU20" t="s">
        <v>228</v>
      </c>
      <c r="BV20" t="s">
        <v>228</v>
      </c>
      <c r="BX20" t="s">
        <v>227</v>
      </c>
      <c r="BY20" t="s">
        <v>227</v>
      </c>
      <c r="CA20" t="s">
        <v>216</v>
      </c>
      <c r="CB20" t="s">
        <v>216</v>
      </c>
      <c r="CD20" t="s">
        <v>75</v>
      </c>
      <c r="CE20" t="s">
        <v>314</v>
      </c>
      <c r="CF20" t="s">
        <v>216</v>
      </c>
      <c r="CI20">
        <v>1</v>
      </c>
      <c r="CK20" t="s">
        <v>138</v>
      </c>
      <c r="CL20" t="s">
        <v>149</v>
      </c>
    </row>
    <row r="21" spans="1:90" x14ac:dyDescent="0.2">
      <c r="A21" t="s">
        <v>67</v>
      </c>
      <c r="E21" t="s">
        <v>78</v>
      </c>
      <c r="F21" t="s">
        <v>86</v>
      </c>
      <c r="G21" t="s">
        <v>87</v>
      </c>
      <c r="H21" t="s">
        <v>173</v>
      </c>
      <c r="I21" t="s">
        <v>200</v>
      </c>
      <c r="J21" t="s">
        <v>129</v>
      </c>
      <c r="K21" t="s">
        <v>131</v>
      </c>
      <c r="L21" t="s">
        <v>151</v>
      </c>
      <c r="M21" t="s">
        <v>73</v>
      </c>
      <c r="N21" t="s">
        <v>303</v>
      </c>
      <c r="O21" t="s">
        <v>83</v>
      </c>
      <c r="P21" t="s">
        <v>315</v>
      </c>
      <c r="S21" t="s">
        <v>268</v>
      </c>
      <c r="T21" t="s">
        <v>269</v>
      </c>
      <c r="U21" t="s">
        <v>74</v>
      </c>
      <c r="V21" t="s">
        <v>305</v>
      </c>
      <c r="W21" s="13" t="s">
        <v>696</v>
      </c>
      <c r="X21" t="s">
        <v>306</v>
      </c>
      <c r="AF21" s="13" t="s">
        <v>699</v>
      </c>
      <c r="AM21" t="s">
        <v>117</v>
      </c>
      <c r="AN21" t="s">
        <v>222</v>
      </c>
      <c r="AO21" t="s">
        <v>311</v>
      </c>
      <c r="AP21" t="s">
        <v>224</v>
      </c>
      <c r="AQ21" t="s">
        <v>217</v>
      </c>
      <c r="AR21" t="s">
        <v>217</v>
      </c>
      <c r="AT21" t="s">
        <v>218</v>
      </c>
      <c r="AU21" t="s">
        <v>218</v>
      </c>
      <c r="AW21" t="s">
        <v>219</v>
      </c>
      <c r="AX21" t="s">
        <v>219</v>
      </c>
      <c r="AZ21" t="s">
        <v>220</v>
      </c>
      <c r="BA21" t="s">
        <v>220</v>
      </c>
      <c r="BC21" t="s">
        <v>221</v>
      </c>
      <c r="BD21" t="s">
        <v>221</v>
      </c>
      <c r="BF21" t="s">
        <v>216</v>
      </c>
      <c r="BG21" t="s">
        <v>216</v>
      </c>
      <c r="BI21" t="s">
        <v>225</v>
      </c>
      <c r="BJ21" t="s">
        <v>225</v>
      </c>
      <c r="BL21" t="s">
        <v>225</v>
      </c>
      <c r="BM21" t="s">
        <v>225</v>
      </c>
      <c r="BO21" t="s">
        <v>226</v>
      </c>
      <c r="BP21" t="s">
        <v>226</v>
      </c>
      <c r="BR21" t="s">
        <v>227</v>
      </c>
      <c r="BS21" t="s">
        <v>227</v>
      </c>
      <c r="BU21" t="s">
        <v>228</v>
      </c>
      <c r="BV21" t="s">
        <v>228</v>
      </c>
      <c r="BX21" t="s">
        <v>227</v>
      </c>
      <c r="BY21" t="s">
        <v>227</v>
      </c>
      <c r="CA21" t="s">
        <v>216</v>
      </c>
      <c r="CB21" t="s">
        <v>216</v>
      </c>
      <c r="CD21" t="s">
        <v>75</v>
      </c>
      <c r="CE21" t="s">
        <v>314</v>
      </c>
      <c r="CF21" t="s">
        <v>216</v>
      </c>
      <c r="CI21">
        <v>1</v>
      </c>
      <c r="CK21" t="s">
        <v>138</v>
      </c>
      <c r="CL21" t="s">
        <v>149</v>
      </c>
    </row>
    <row r="22" spans="1:90" x14ac:dyDescent="0.2">
      <c r="A22" t="s">
        <v>67</v>
      </c>
      <c r="E22" t="s">
        <v>78</v>
      </c>
      <c r="F22" t="s">
        <v>86</v>
      </c>
      <c r="G22" t="s">
        <v>87</v>
      </c>
      <c r="H22" t="s">
        <v>173</v>
      </c>
      <c r="I22" t="s">
        <v>200</v>
      </c>
      <c r="J22" t="s">
        <v>129</v>
      </c>
      <c r="K22" t="s">
        <v>131</v>
      </c>
      <c r="L22" t="s">
        <v>152</v>
      </c>
      <c r="M22" t="s">
        <v>73</v>
      </c>
      <c r="N22" t="s">
        <v>303</v>
      </c>
      <c r="O22" t="s">
        <v>83</v>
      </c>
      <c r="P22" t="s">
        <v>316</v>
      </c>
      <c r="S22" t="s">
        <v>268</v>
      </c>
      <c r="T22" t="s">
        <v>269</v>
      </c>
      <c r="U22" t="s">
        <v>74</v>
      </c>
      <c r="V22" t="s">
        <v>305</v>
      </c>
      <c r="W22" s="13" t="s">
        <v>697</v>
      </c>
      <c r="X22" t="s">
        <v>306</v>
      </c>
      <c r="AF22" s="13" t="s">
        <v>699</v>
      </c>
      <c r="AM22" t="s">
        <v>117</v>
      </c>
      <c r="AN22" t="s">
        <v>222</v>
      </c>
      <c r="AO22" t="s">
        <v>311</v>
      </c>
      <c r="AP22" t="s">
        <v>224</v>
      </c>
      <c r="AQ22" t="s">
        <v>217</v>
      </c>
      <c r="AR22" t="s">
        <v>217</v>
      </c>
      <c r="AT22" t="s">
        <v>218</v>
      </c>
      <c r="AU22" t="s">
        <v>218</v>
      </c>
      <c r="AW22" t="s">
        <v>219</v>
      </c>
      <c r="AX22" t="s">
        <v>219</v>
      </c>
      <c r="AZ22" t="s">
        <v>220</v>
      </c>
      <c r="BA22" t="s">
        <v>220</v>
      </c>
      <c r="BC22" t="s">
        <v>221</v>
      </c>
      <c r="BD22" t="s">
        <v>221</v>
      </c>
      <c r="BF22" t="s">
        <v>216</v>
      </c>
      <c r="BG22" t="s">
        <v>216</v>
      </c>
      <c r="BI22" t="s">
        <v>225</v>
      </c>
      <c r="BJ22" t="s">
        <v>225</v>
      </c>
      <c r="BL22" t="s">
        <v>225</v>
      </c>
      <c r="BM22" t="s">
        <v>225</v>
      </c>
      <c r="BO22" t="s">
        <v>226</v>
      </c>
      <c r="BP22" t="s">
        <v>226</v>
      </c>
      <c r="BR22" t="s">
        <v>227</v>
      </c>
      <c r="BS22" t="s">
        <v>227</v>
      </c>
      <c r="BU22" t="s">
        <v>228</v>
      </c>
      <c r="BV22" t="s">
        <v>228</v>
      </c>
      <c r="BX22" t="s">
        <v>227</v>
      </c>
      <c r="BY22" t="s">
        <v>227</v>
      </c>
      <c r="CA22" t="s">
        <v>216</v>
      </c>
      <c r="CB22" t="s">
        <v>216</v>
      </c>
      <c r="CD22" t="s">
        <v>75</v>
      </c>
      <c r="CE22" t="s">
        <v>314</v>
      </c>
      <c r="CF22" t="s">
        <v>216</v>
      </c>
      <c r="CI22">
        <v>1</v>
      </c>
      <c r="CK22" t="s">
        <v>138</v>
      </c>
      <c r="CL22" t="s">
        <v>149</v>
      </c>
    </row>
    <row r="23" spans="1:90" x14ac:dyDescent="0.2">
      <c r="A23" t="s">
        <v>67</v>
      </c>
      <c r="E23" t="s">
        <v>78</v>
      </c>
      <c r="F23" t="s">
        <v>86</v>
      </c>
      <c r="G23" t="s">
        <v>87</v>
      </c>
      <c r="H23" t="s">
        <v>173</v>
      </c>
      <c r="I23" t="s">
        <v>200</v>
      </c>
      <c r="J23" t="s">
        <v>129</v>
      </c>
      <c r="K23" t="s">
        <v>131</v>
      </c>
      <c r="L23" t="s">
        <v>153</v>
      </c>
      <c r="M23" t="s">
        <v>73</v>
      </c>
      <c r="N23" t="s">
        <v>303</v>
      </c>
      <c r="O23" t="s">
        <v>83</v>
      </c>
      <c r="P23" t="s">
        <v>317</v>
      </c>
      <c r="S23" t="s">
        <v>268</v>
      </c>
      <c r="T23" t="s">
        <v>269</v>
      </c>
      <c r="U23" t="s">
        <v>74</v>
      </c>
      <c r="V23" t="s">
        <v>305</v>
      </c>
      <c r="W23" s="13" t="s">
        <v>698</v>
      </c>
      <c r="X23" t="s">
        <v>306</v>
      </c>
      <c r="AF23" s="13" t="s">
        <v>699</v>
      </c>
      <c r="AM23" t="s">
        <v>117</v>
      </c>
      <c r="AN23" t="s">
        <v>222</v>
      </c>
      <c r="AO23" t="s">
        <v>311</v>
      </c>
      <c r="AP23" t="s">
        <v>224</v>
      </c>
      <c r="AQ23" t="s">
        <v>217</v>
      </c>
      <c r="AR23" t="s">
        <v>217</v>
      </c>
      <c r="AT23" t="s">
        <v>218</v>
      </c>
      <c r="AU23" t="s">
        <v>218</v>
      </c>
      <c r="AW23" t="s">
        <v>219</v>
      </c>
      <c r="AX23" t="s">
        <v>219</v>
      </c>
      <c r="AZ23" t="s">
        <v>220</v>
      </c>
      <c r="BA23" t="s">
        <v>220</v>
      </c>
      <c r="BC23" t="s">
        <v>221</v>
      </c>
      <c r="BD23" t="s">
        <v>221</v>
      </c>
      <c r="BF23" t="s">
        <v>216</v>
      </c>
      <c r="BG23" t="s">
        <v>216</v>
      </c>
      <c r="BI23" t="s">
        <v>225</v>
      </c>
      <c r="BJ23" t="s">
        <v>225</v>
      </c>
      <c r="BL23" t="s">
        <v>225</v>
      </c>
      <c r="BM23" t="s">
        <v>225</v>
      </c>
      <c r="BO23" t="s">
        <v>226</v>
      </c>
      <c r="BP23" t="s">
        <v>226</v>
      </c>
      <c r="BR23" t="s">
        <v>227</v>
      </c>
      <c r="BS23" t="s">
        <v>227</v>
      </c>
      <c r="BU23" t="s">
        <v>228</v>
      </c>
      <c r="BV23" t="s">
        <v>228</v>
      </c>
      <c r="BX23" t="s">
        <v>227</v>
      </c>
      <c r="BY23" t="s">
        <v>227</v>
      </c>
      <c r="CA23" t="s">
        <v>216</v>
      </c>
      <c r="CB23" t="s">
        <v>216</v>
      </c>
      <c r="CD23" t="s">
        <v>75</v>
      </c>
      <c r="CE23" t="s">
        <v>314</v>
      </c>
      <c r="CF23" t="s">
        <v>216</v>
      </c>
      <c r="CI23">
        <v>1</v>
      </c>
      <c r="CK23" t="s">
        <v>138</v>
      </c>
      <c r="CL23" t="s">
        <v>149</v>
      </c>
    </row>
    <row r="24" spans="1:90" x14ac:dyDescent="0.2">
      <c r="A24" t="s">
        <v>67</v>
      </c>
      <c r="E24" t="s">
        <v>78</v>
      </c>
      <c r="F24" t="s">
        <v>69</v>
      </c>
      <c r="G24" t="s">
        <v>85</v>
      </c>
      <c r="H24" t="s">
        <v>81</v>
      </c>
      <c r="I24" t="s">
        <v>100</v>
      </c>
      <c r="J24" t="s">
        <v>190</v>
      </c>
      <c r="K24" t="s">
        <v>73</v>
      </c>
      <c r="L24" t="s">
        <v>73</v>
      </c>
      <c r="M24" t="s">
        <v>102</v>
      </c>
      <c r="N24" t="s">
        <v>73</v>
      </c>
      <c r="O24" t="s">
        <v>84</v>
      </c>
      <c r="P24" t="s">
        <v>330</v>
      </c>
      <c r="S24" t="s">
        <v>225</v>
      </c>
      <c r="T24" t="s">
        <v>320</v>
      </c>
      <c r="U24" t="s">
        <v>74</v>
      </c>
      <c r="V24" t="s">
        <v>103</v>
      </c>
      <c r="W24" t="s">
        <v>104</v>
      </c>
      <c r="X24" t="s">
        <v>105</v>
      </c>
      <c r="Y24" t="s">
        <v>106</v>
      </c>
      <c r="Z24" t="s">
        <v>113</v>
      </c>
      <c r="AA24" t="s">
        <v>108</v>
      </c>
      <c r="AC24" t="s">
        <v>109</v>
      </c>
      <c r="AF24" t="s">
        <v>191</v>
      </c>
      <c r="AG24" t="s">
        <v>110</v>
      </c>
      <c r="AH24" t="s">
        <v>192</v>
      </c>
      <c r="AM24" t="s">
        <v>117</v>
      </c>
      <c r="AN24" t="s">
        <v>250</v>
      </c>
      <c r="AO24" t="s">
        <v>250</v>
      </c>
      <c r="AQ24" t="s">
        <v>217</v>
      </c>
      <c r="AR24" t="s">
        <v>217</v>
      </c>
      <c r="AT24" t="s">
        <v>218</v>
      </c>
      <c r="AU24" t="s">
        <v>218</v>
      </c>
      <c r="AW24" t="s">
        <v>324</v>
      </c>
      <c r="AX24" t="s">
        <v>325</v>
      </c>
      <c r="AY24" t="s">
        <v>224</v>
      </c>
      <c r="AZ24" t="s">
        <v>324</v>
      </c>
      <c r="BA24" t="s">
        <v>325</v>
      </c>
      <c r="BB24" t="s">
        <v>224</v>
      </c>
      <c r="BC24" t="s">
        <v>324</v>
      </c>
      <c r="BD24" t="s">
        <v>325</v>
      </c>
      <c r="BE24" t="s">
        <v>224</v>
      </c>
      <c r="BF24" t="s">
        <v>245</v>
      </c>
      <c r="BG24" t="s">
        <v>245</v>
      </c>
      <c r="BI24" t="s">
        <v>324</v>
      </c>
      <c r="BJ24" t="s">
        <v>325</v>
      </c>
      <c r="BK24" t="s">
        <v>224</v>
      </c>
      <c r="BL24" t="s">
        <v>225</v>
      </c>
      <c r="BM24" t="s">
        <v>225</v>
      </c>
      <c r="BO24" t="s">
        <v>226</v>
      </c>
      <c r="BP24" t="s">
        <v>226</v>
      </c>
      <c r="BR24" t="s">
        <v>227</v>
      </c>
      <c r="BS24" t="s">
        <v>227</v>
      </c>
      <c r="BU24" t="s">
        <v>228</v>
      </c>
      <c r="BV24" t="s">
        <v>228</v>
      </c>
      <c r="BX24" t="s">
        <v>227</v>
      </c>
      <c r="BY24" t="s">
        <v>227</v>
      </c>
      <c r="CA24" t="s">
        <v>253</v>
      </c>
      <c r="CB24" t="s">
        <v>253</v>
      </c>
      <c r="CD24" t="s">
        <v>75</v>
      </c>
      <c r="CE24" t="s">
        <v>326</v>
      </c>
      <c r="CF24" t="s">
        <v>225</v>
      </c>
      <c r="CI24">
        <v>1</v>
      </c>
      <c r="CL24" t="s">
        <v>149</v>
      </c>
    </row>
    <row r="25" spans="1:90" x14ac:dyDescent="0.2">
      <c r="A25" t="s">
        <v>67</v>
      </c>
      <c r="E25" t="s">
        <v>78</v>
      </c>
      <c r="F25" t="s">
        <v>69</v>
      </c>
      <c r="G25" t="s">
        <v>85</v>
      </c>
      <c r="H25" t="s">
        <v>81</v>
      </c>
      <c r="I25" t="s">
        <v>100</v>
      </c>
      <c r="J25" t="s">
        <v>101</v>
      </c>
      <c r="K25" t="s">
        <v>73</v>
      </c>
      <c r="L25" t="s">
        <v>73</v>
      </c>
      <c r="M25" t="s">
        <v>331</v>
      </c>
      <c r="N25" t="s">
        <v>73</v>
      </c>
      <c r="O25" t="s">
        <v>84</v>
      </c>
      <c r="P25" t="s">
        <v>332</v>
      </c>
      <c r="S25" t="s">
        <v>225</v>
      </c>
      <c r="T25" t="s">
        <v>320</v>
      </c>
      <c r="U25" t="s">
        <v>74</v>
      </c>
      <c r="V25" t="s">
        <v>103</v>
      </c>
      <c r="W25" t="s">
        <v>104</v>
      </c>
      <c r="X25" t="s">
        <v>105</v>
      </c>
      <c r="Y25" t="s">
        <v>106</v>
      </c>
      <c r="Z25" t="s">
        <v>113</v>
      </c>
      <c r="AA25" t="s">
        <v>108</v>
      </c>
      <c r="AC25" t="s">
        <v>109</v>
      </c>
      <c r="AF25" t="s">
        <v>333</v>
      </c>
      <c r="AG25" t="s">
        <v>110</v>
      </c>
      <c r="AH25" t="s">
        <v>334</v>
      </c>
      <c r="AM25" t="s">
        <v>117</v>
      </c>
      <c r="AN25" t="s">
        <v>250</v>
      </c>
      <c r="AO25" t="s">
        <v>250</v>
      </c>
      <c r="AQ25" t="s">
        <v>217</v>
      </c>
      <c r="AR25" t="s">
        <v>217</v>
      </c>
      <c r="AT25" t="s">
        <v>218</v>
      </c>
      <c r="AU25" t="s">
        <v>218</v>
      </c>
      <c r="AW25" t="s">
        <v>324</v>
      </c>
      <c r="AX25" t="s">
        <v>325</v>
      </c>
      <c r="AY25" t="s">
        <v>224</v>
      </c>
      <c r="AZ25" t="s">
        <v>324</v>
      </c>
      <c r="BA25" t="s">
        <v>325</v>
      </c>
      <c r="BB25" t="s">
        <v>224</v>
      </c>
      <c r="BC25" t="s">
        <v>324</v>
      </c>
      <c r="BD25" t="s">
        <v>325</v>
      </c>
      <c r="BE25" t="s">
        <v>224</v>
      </c>
      <c r="BF25" t="s">
        <v>245</v>
      </c>
      <c r="BG25" t="s">
        <v>245</v>
      </c>
      <c r="BI25" t="s">
        <v>324</v>
      </c>
      <c r="BJ25" t="s">
        <v>325</v>
      </c>
      <c r="BK25" t="s">
        <v>224</v>
      </c>
      <c r="BL25" t="s">
        <v>225</v>
      </c>
      <c r="BM25" t="s">
        <v>225</v>
      </c>
      <c r="BO25" t="s">
        <v>226</v>
      </c>
      <c r="BP25" t="s">
        <v>226</v>
      </c>
      <c r="BR25" t="s">
        <v>227</v>
      </c>
      <c r="BS25" t="s">
        <v>227</v>
      </c>
      <c r="BU25" t="s">
        <v>228</v>
      </c>
      <c r="BV25" t="s">
        <v>228</v>
      </c>
      <c r="BX25" t="s">
        <v>227</v>
      </c>
      <c r="BY25" t="s">
        <v>227</v>
      </c>
      <c r="CA25" t="s">
        <v>253</v>
      </c>
      <c r="CB25" t="s">
        <v>253</v>
      </c>
      <c r="CD25" t="s">
        <v>75</v>
      </c>
      <c r="CE25" t="s">
        <v>326</v>
      </c>
      <c r="CF25" t="s">
        <v>225</v>
      </c>
      <c r="CI25">
        <v>1</v>
      </c>
      <c r="CL25" t="s">
        <v>149</v>
      </c>
    </row>
    <row r="26" spans="1:90" x14ac:dyDescent="0.2">
      <c r="A26" t="s">
        <v>67</v>
      </c>
      <c r="E26" t="s">
        <v>78</v>
      </c>
      <c r="F26" t="s">
        <v>69</v>
      </c>
      <c r="G26" t="s">
        <v>85</v>
      </c>
      <c r="H26" t="s">
        <v>111</v>
      </c>
      <c r="I26" t="s">
        <v>100</v>
      </c>
      <c r="J26" t="s">
        <v>101</v>
      </c>
      <c r="K26" t="s">
        <v>73</v>
      </c>
      <c r="L26" t="s">
        <v>73</v>
      </c>
      <c r="M26" t="s">
        <v>331</v>
      </c>
      <c r="N26" t="s">
        <v>73</v>
      </c>
      <c r="O26" t="s">
        <v>84</v>
      </c>
      <c r="P26" t="s">
        <v>335</v>
      </c>
      <c r="S26" t="s">
        <v>328</v>
      </c>
      <c r="T26" t="s">
        <v>225</v>
      </c>
      <c r="U26" t="s">
        <v>74</v>
      </c>
      <c r="V26" t="s">
        <v>103</v>
      </c>
      <c r="W26" t="s">
        <v>104</v>
      </c>
      <c r="X26" t="s">
        <v>105</v>
      </c>
      <c r="Y26" t="s">
        <v>106</v>
      </c>
      <c r="Z26" t="s">
        <v>112</v>
      </c>
      <c r="AA26" t="s">
        <v>108</v>
      </c>
      <c r="AC26" t="s">
        <v>109</v>
      </c>
      <c r="AF26" t="s">
        <v>333</v>
      </c>
      <c r="AG26" t="s">
        <v>110</v>
      </c>
      <c r="AH26" t="s">
        <v>334</v>
      </c>
      <c r="AM26" t="s">
        <v>117</v>
      </c>
      <c r="AN26" t="s">
        <v>250</v>
      </c>
      <c r="AO26" t="s">
        <v>250</v>
      </c>
      <c r="AQ26" t="s">
        <v>217</v>
      </c>
      <c r="AR26" t="s">
        <v>217</v>
      </c>
      <c r="AT26" t="s">
        <v>218</v>
      </c>
      <c r="AU26" t="s">
        <v>218</v>
      </c>
      <c r="AW26" t="s">
        <v>222</v>
      </c>
      <c r="AX26" t="s">
        <v>325</v>
      </c>
      <c r="AY26" t="s">
        <v>224</v>
      </c>
      <c r="AZ26" t="s">
        <v>222</v>
      </c>
      <c r="BA26" t="s">
        <v>325</v>
      </c>
      <c r="BB26" t="s">
        <v>224</v>
      </c>
      <c r="BC26" t="s">
        <v>222</v>
      </c>
      <c r="BD26" t="s">
        <v>325</v>
      </c>
      <c r="BE26" t="s">
        <v>224</v>
      </c>
      <c r="BF26" t="s">
        <v>245</v>
      </c>
      <c r="BG26" t="s">
        <v>245</v>
      </c>
      <c r="BI26" t="s">
        <v>222</v>
      </c>
      <c r="BJ26" t="s">
        <v>325</v>
      </c>
      <c r="BK26" t="s">
        <v>224</v>
      </c>
      <c r="BL26" t="s">
        <v>225</v>
      </c>
      <c r="BM26" t="s">
        <v>225</v>
      </c>
      <c r="BO26" t="s">
        <v>226</v>
      </c>
      <c r="BP26" t="s">
        <v>226</v>
      </c>
      <c r="BR26" t="s">
        <v>227</v>
      </c>
      <c r="BS26" t="s">
        <v>227</v>
      </c>
      <c r="BU26" t="s">
        <v>228</v>
      </c>
      <c r="BV26" t="s">
        <v>228</v>
      </c>
      <c r="BX26" t="s">
        <v>227</v>
      </c>
      <c r="BY26" t="s">
        <v>227</v>
      </c>
      <c r="CA26" t="s">
        <v>253</v>
      </c>
      <c r="CB26" t="s">
        <v>253</v>
      </c>
      <c r="CD26" t="s">
        <v>75</v>
      </c>
      <c r="CE26" t="s">
        <v>328</v>
      </c>
      <c r="CF26" t="s">
        <v>225</v>
      </c>
      <c r="CI26">
        <v>1</v>
      </c>
      <c r="CL26" t="s">
        <v>149</v>
      </c>
    </row>
    <row r="27" spans="1:90" x14ac:dyDescent="0.2">
      <c r="A27" t="s">
        <v>67</v>
      </c>
      <c r="E27" t="s">
        <v>78</v>
      </c>
      <c r="F27" t="s">
        <v>69</v>
      </c>
      <c r="G27" t="s">
        <v>85</v>
      </c>
      <c r="H27" t="s">
        <v>81</v>
      </c>
      <c r="I27" t="s">
        <v>115</v>
      </c>
      <c r="J27" t="s">
        <v>318</v>
      </c>
      <c r="K27" t="s">
        <v>73</v>
      </c>
      <c r="L27" t="s">
        <v>73</v>
      </c>
      <c r="M27" t="s">
        <v>102</v>
      </c>
      <c r="N27" t="s">
        <v>73</v>
      </c>
      <c r="O27" t="s">
        <v>84</v>
      </c>
      <c r="P27" t="s">
        <v>319</v>
      </c>
      <c r="S27" t="s">
        <v>225</v>
      </c>
      <c r="T27" t="s">
        <v>320</v>
      </c>
      <c r="U27" t="s">
        <v>74</v>
      </c>
      <c r="V27" t="s">
        <v>103</v>
      </c>
      <c r="W27" t="s">
        <v>104</v>
      </c>
      <c r="X27" t="s">
        <v>105</v>
      </c>
      <c r="Y27" t="s">
        <v>106</v>
      </c>
      <c r="Z27" t="s">
        <v>113</v>
      </c>
      <c r="AA27" t="s">
        <v>321</v>
      </c>
      <c r="AB27" t="s">
        <v>108</v>
      </c>
      <c r="AC27" t="s">
        <v>109</v>
      </c>
      <c r="AD27" t="s">
        <v>114</v>
      </c>
      <c r="AF27" t="s">
        <v>322</v>
      </c>
      <c r="AG27" t="s">
        <v>110</v>
      </c>
      <c r="AH27" t="s">
        <v>323</v>
      </c>
      <c r="AM27" t="s">
        <v>117</v>
      </c>
      <c r="AN27" t="s">
        <v>250</v>
      </c>
      <c r="AO27" t="s">
        <v>250</v>
      </c>
      <c r="AQ27" t="s">
        <v>217</v>
      </c>
      <c r="AR27" t="s">
        <v>217</v>
      </c>
      <c r="AT27" t="s">
        <v>218</v>
      </c>
      <c r="AU27" t="s">
        <v>218</v>
      </c>
      <c r="AW27" t="s">
        <v>324</v>
      </c>
      <c r="AX27" t="s">
        <v>325</v>
      </c>
      <c r="AY27" t="s">
        <v>224</v>
      </c>
      <c r="AZ27" t="s">
        <v>324</v>
      </c>
      <c r="BA27" t="s">
        <v>325</v>
      </c>
      <c r="BB27" t="s">
        <v>224</v>
      </c>
      <c r="BC27" t="s">
        <v>324</v>
      </c>
      <c r="BD27" t="s">
        <v>325</v>
      </c>
      <c r="BE27" t="s">
        <v>224</v>
      </c>
      <c r="BF27" t="s">
        <v>245</v>
      </c>
      <c r="BG27" t="s">
        <v>245</v>
      </c>
      <c r="BI27" t="s">
        <v>324</v>
      </c>
      <c r="BJ27" t="s">
        <v>325</v>
      </c>
      <c r="BK27" t="s">
        <v>224</v>
      </c>
      <c r="BL27" t="s">
        <v>225</v>
      </c>
      <c r="BM27" t="s">
        <v>225</v>
      </c>
      <c r="BO27" t="s">
        <v>226</v>
      </c>
      <c r="BP27" t="s">
        <v>226</v>
      </c>
      <c r="BR27" t="s">
        <v>227</v>
      </c>
      <c r="BS27" t="s">
        <v>227</v>
      </c>
      <c r="BU27" t="s">
        <v>228</v>
      </c>
      <c r="BV27" t="s">
        <v>228</v>
      </c>
      <c r="BX27" t="s">
        <v>227</v>
      </c>
      <c r="BY27" t="s">
        <v>227</v>
      </c>
      <c r="CA27" t="s">
        <v>253</v>
      </c>
      <c r="CB27" t="s">
        <v>253</v>
      </c>
      <c r="CD27" t="s">
        <v>75</v>
      </c>
      <c r="CE27" t="s">
        <v>326</v>
      </c>
      <c r="CF27" t="s">
        <v>225</v>
      </c>
      <c r="CI27">
        <v>1</v>
      </c>
      <c r="CL27" t="s">
        <v>149</v>
      </c>
    </row>
    <row r="28" spans="1:90" x14ac:dyDescent="0.2">
      <c r="A28" t="s">
        <v>67</v>
      </c>
      <c r="E28" t="s">
        <v>78</v>
      </c>
      <c r="F28" t="s">
        <v>69</v>
      </c>
      <c r="G28" t="s">
        <v>85</v>
      </c>
      <c r="H28" t="s">
        <v>111</v>
      </c>
      <c r="I28" t="s">
        <v>115</v>
      </c>
      <c r="J28" t="s">
        <v>318</v>
      </c>
      <c r="K28" t="s">
        <v>73</v>
      </c>
      <c r="L28" t="s">
        <v>73</v>
      </c>
      <c r="M28" t="s">
        <v>102</v>
      </c>
      <c r="N28" t="s">
        <v>73</v>
      </c>
      <c r="O28" t="s">
        <v>84</v>
      </c>
      <c r="P28" t="s">
        <v>327</v>
      </c>
      <c r="S28" t="s">
        <v>328</v>
      </c>
      <c r="T28" t="s">
        <v>225</v>
      </c>
      <c r="U28" t="s">
        <v>74</v>
      </c>
      <c r="V28" t="s">
        <v>103</v>
      </c>
      <c r="W28" t="s">
        <v>104</v>
      </c>
      <c r="X28" t="s">
        <v>105</v>
      </c>
      <c r="Y28" t="s">
        <v>106</v>
      </c>
      <c r="Z28" t="s">
        <v>107</v>
      </c>
      <c r="AA28" t="s">
        <v>329</v>
      </c>
      <c r="AB28" t="s">
        <v>108</v>
      </c>
      <c r="AC28" t="s">
        <v>109</v>
      </c>
      <c r="AD28" t="s">
        <v>114</v>
      </c>
      <c r="AF28" t="s">
        <v>322</v>
      </c>
      <c r="AG28" t="s">
        <v>110</v>
      </c>
      <c r="AH28" t="s">
        <v>323</v>
      </c>
      <c r="AM28" t="s">
        <v>117</v>
      </c>
      <c r="AN28" t="s">
        <v>250</v>
      </c>
      <c r="AO28" t="s">
        <v>250</v>
      </c>
      <c r="AQ28" t="s">
        <v>217</v>
      </c>
      <c r="AR28" t="s">
        <v>217</v>
      </c>
      <c r="AT28" t="s">
        <v>218</v>
      </c>
      <c r="AU28" t="s">
        <v>218</v>
      </c>
      <c r="AW28" t="s">
        <v>222</v>
      </c>
      <c r="AX28" t="s">
        <v>325</v>
      </c>
      <c r="AY28" t="s">
        <v>224</v>
      </c>
      <c r="AZ28" t="s">
        <v>222</v>
      </c>
      <c r="BA28" t="s">
        <v>325</v>
      </c>
      <c r="BB28" t="s">
        <v>224</v>
      </c>
      <c r="BC28" t="s">
        <v>222</v>
      </c>
      <c r="BD28" t="s">
        <v>325</v>
      </c>
      <c r="BE28" t="s">
        <v>224</v>
      </c>
      <c r="BF28" t="s">
        <v>245</v>
      </c>
      <c r="BG28" t="s">
        <v>245</v>
      </c>
      <c r="BI28" t="s">
        <v>222</v>
      </c>
      <c r="BJ28" t="s">
        <v>325</v>
      </c>
      <c r="BK28" t="s">
        <v>224</v>
      </c>
      <c r="BL28" t="s">
        <v>225</v>
      </c>
      <c r="BM28" t="s">
        <v>225</v>
      </c>
      <c r="BO28" t="s">
        <v>226</v>
      </c>
      <c r="BP28" t="s">
        <v>226</v>
      </c>
      <c r="BR28" t="s">
        <v>227</v>
      </c>
      <c r="BS28" t="s">
        <v>227</v>
      </c>
      <c r="BU28" t="s">
        <v>228</v>
      </c>
      <c r="BV28" t="s">
        <v>228</v>
      </c>
      <c r="BX28" t="s">
        <v>227</v>
      </c>
      <c r="BY28" t="s">
        <v>227</v>
      </c>
      <c r="CA28" t="s">
        <v>253</v>
      </c>
      <c r="CB28" t="s">
        <v>253</v>
      </c>
      <c r="CD28" t="s">
        <v>75</v>
      </c>
      <c r="CE28" t="s">
        <v>328</v>
      </c>
      <c r="CF28" t="s">
        <v>225</v>
      </c>
      <c r="CI28">
        <v>1</v>
      </c>
      <c r="CL28" t="s">
        <v>149</v>
      </c>
    </row>
    <row r="29" spans="1:90" x14ac:dyDescent="0.2">
      <c r="A29" t="s">
        <v>67</v>
      </c>
      <c r="E29" t="s">
        <v>78</v>
      </c>
      <c r="F29" t="s">
        <v>69</v>
      </c>
      <c r="G29" t="s">
        <v>85</v>
      </c>
      <c r="H29" t="s">
        <v>81</v>
      </c>
      <c r="I29" t="s">
        <v>115</v>
      </c>
      <c r="J29" t="s">
        <v>190</v>
      </c>
      <c r="K29" t="s">
        <v>73</v>
      </c>
      <c r="L29" t="s">
        <v>73</v>
      </c>
      <c r="M29" t="s">
        <v>102</v>
      </c>
      <c r="N29" t="s">
        <v>73</v>
      </c>
      <c r="O29" t="s">
        <v>84</v>
      </c>
      <c r="P29" t="s">
        <v>336</v>
      </c>
      <c r="S29" t="s">
        <v>225</v>
      </c>
      <c r="T29" t="s">
        <v>320</v>
      </c>
      <c r="U29" t="s">
        <v>74</v>
      </c>
      <c r="V29" t="s">
        <v>103</v>
      </c>
      <c r="W29" t="s">
        <v>104</v>
      </c>
      <c r="X29" t="s">
        <v>105</v>
      </c>
      <c r="Y29" t="s">
        <v>106</v>
      </c>
      <c r="Z29" t="s">
        <v>113</v>
      </c>
      <c r="AA29" t="s">
        <v>108</v>
      </c>
      <c r="AC29" t="s">
        <v>109</v>
      </c>
      <c r="AD29" t="s">
        <v>114</v>
      </c>
      <c r="AF29" t="s">
        <v>193</v>
      </c>
      <c r="AG29" t="s">
        <v>110</v>
      </c>
      <c r="AH29" t="s">
        <v>194</v>
      </c>
      <c r="AM29" t="s">
        <v>117</v>
      </c>
      <c r="AN29" t="s">
        <v>250</v>
      </c>
      <c r="AO29" t="s">
        <v>250</v>
      </c>
      <c r="AQ29" t="s">
        <v>217</v>
      </c>
      <c r="AR29" t="s">
        <v>217</v>
      </c>
      <c r="AT29" t="s">
        <v>218</v>
      </c>
      <c r="AU29" t="s">
        <v>218</v>
      </c>
      <c r="AW29" t="s">
        <v>324</v>
      </c>
      <c r="AX29" t="s">
        <v>325</v>
      </c>
      <c r="AY29" t="s">
        <v>224</v>
      </c>
      <c r="AZ29" t="s">
        <v>324</v>
      </c>
      <c r="BA29" t="s">
        <v>325</v>
      </c>
      <c r="BB29" t="s">
        <v>224</v>
      </c>
      <c r="BC29" t="s">
        <v>324</v>
      </c>
      <c r="BD29" t="s">
        <v>325</v>
      </c>
      <c r="BE29" t="s">
        <v>224</v>
      </c>
      <c r="BF29" t="s">
        <v>245</v>
      </c>
      <c r="BG29" t="s">
        <v>245</v>
      </c>
      <c r="BI29" t="s">
        <v>324</v>
      </c>
      <c r="BJ29" t="s">
        <v>325</v>
      </c>
      <c r="BK29" t="s">
        <v>224</v>
      </c>
      <c r="BL29" t="s">
        <v>225</v>
      </c>
      <c r="BM29" t="s">
        <v>225</v>
      </c>
      <c r="BO29" t="s">
        <v>226</v>
      </c>
      <c r="BP29" t="s">
        <v>226</v>
      </c>
      <c r="BR29" t="s">
        <v>227</v>
      </c>
      <c r="BS29" t="s">
        <v>227</v>
      </c>
      <c r="BU29" t="s">
        <v>228</v>
      </c>
      <c r="BV29" t="s">
        <v>228</v>
      </c>
      <c r="BX29" t="s">
        <v>227</v>
      </c>
      <c r="BY29" t="s">
        <v>227</v>
      </c>
      <c r="CA29" t="s">
        <v>253</v>
      </c>
      <c r="CB29" t="s">
        <v>253</v>
      </c>
      <c r="CD29" t="s">
        <v>75</v>
      </c>
      <c r="CE29" t="s">
        <v>326</v>
      </c>
      <c r="CF29" t="s">
        <v>225</v>
      </c>
      <c r="CI29">
        <v>1</v>
      </c>
      <c r="CL29" t="s">
        <v>149</v>
      </c>
    </row>
    <row r="30" spans="1:90" x14ac:dyDescent="0.2">
      <c r="A30" t="s">
        <v>67</v>
      </c>
      <c r="E30" t="s">
        <v>78</v>
      </c>
      <c r="F30" t="s">
        <v>69</v>
      </c>
      <c r="G30" t="s">
        <v>85</v>
      </c>
      <c r="H30" t="s">
        <v>81</v>
      </c>
      <c r="I30" t="s">
        <v>115</v>
      </c>
      <c r="J30" t="s">
        <v>101</v>
      </c>
      <c r="K30" t="s">
        <v>73</v>
      </c>
      <c r="L30" t="s">
        <v>73</v>
      </c>
      <c r="M30" t="s">
        <v>331</v>
      </c>
      <c r="N30" t="s">
        <v>73</v>
      </c>
      <c r="O30" t="s">
        <v>84</v>
      </c>
      <c r="P30" t="s">
        <v>337</v>
      </c>
      <c r="S30" t="s">
        <v>225</v>
      </c>
      <c r="T30" t="s">
        <v>320</v>
      </c>
      <c r="U30" t="s">
        <v>74</v>
      </c>
      <c r="V30" t="s">
        <v>103</v>
      </c>
      <c r="W30" t="s">
        <v>104</v>
      </c>
      <c r="X30" t="s">
        <v>105</v>
      </c>
      <c r="Y30" t="s">
        <v>106</v>
      </c>
      <c r="Z30" t="s">
        <v>113</v>
      </c>
      <c r="AA30" t="s">
        <v>108</v>
      </c>
      <c r="AC30" t="s">
        <v>109</v>
      </c>
      <c r="AD30" t="s">
        <v>338</v>
      </c>
      <c r="AF30" t="s">
        <v>339</v>
      </c>
      <c r="AG30" t="s">
        <v>110</v>
      </c>
      <c r="AH30" t="s">
        <v>340</v>
      </c>
      <c r="AM30" t="s">
        <v>117</v>
      </c>
      <c r="AN30" t="s">
        <v>250</v>
      </c>
      <c r="AO30" t="s">
        <v>250</v>
      </c>
      <c r="AQ30" t="s">
        <v>217</v>
      </c>
      <c r="AR30" t="s">
        <v>217</v>
      </c>
      <c r="AT30" t="s">
        <v>218</v>
      </c>
      <c r="AU30" t="s">
        <v>218</v>
      </c>
      <c r="AW30" t="s">
        <v>324</v>
      </c>
      <c r="AX30" t="s">
        <v>325</v>
      </c>
      <c r="AY30" t="s">
        <v>224</v>
      </c>
      <c r="AZ30" t="s">
        <v>324</v>
      </c>
      <c r="BA30" t="s">
        <v>325</v>
      </c>
      <c r="BB30" t="s">
        <v>224</v>
      </c>
      <c r="BC30" t="s">
        <v>324</v>
      </c>
      <c r="BD30" t="s">
        <v>325</v>
      </c>
      <c r="BE30" t="s">
        <v>224</v>
      </c>
      <c r="BF30" t="s">
        <v>245</v>
      </c>
      <c r="BG30" t="s">
        <v>245</v>
      </c>
      <c r="BI30" t="s">
        <v>324</v>
      </c>
      <c r="BJ30" t="s">
        <v>325</v>
      </c>
      <c r="BK30" t="s">
        <v>224</v>
      </c>
      <c r="BL30" t="s">
        <v>225</v>
      </c>
      <c r="BM30" t="s">
        <v>225</v>
      </c>
      <c r="BO30" t="s">
        <v>226</v>
      </c>
      <c r="BP30" t="s">
        <v>226</v>
      </c>
      <c r="BR30" t="s">
        <v>227</v>
      </c>
      <c r="BS30" t="s">
        <v>227</v>
      </c>
      <c r="BU30" t="s">
        <v>228</v>
      </c>
      <c r="BV30" t="s">
        <v>228</v>
      </c>
      <c r="BX30" t="s">
        <v>227</v>
      </c>
      <c r="BY30" t="s">
        <v>227</v>
      </c>
      <c r="CA30" t="s">
        <v>253</v>
      </c>
      <c r="CB30" t="s">
        <v>253</v>
      </c>
      <c r="CD30" t="s">
        <v>75</v>
      </c>
      <c r="CE30" t="s">
        <v>326</v>
      </c>
      <c r="CF30" t="s">
        <v>225</v>
      </c>
      <c r="CI30">
        <v>1</v>
      </c>
      <c r="CL30" t="s">
        <v>149</v>
      </c>
    </row>
    <row r="31" spans="1:90" x14ac:dyDescent="0.2">
      <c r="A31" t="s">
        <v>67</v>
      </c>
      <c r="E31" t="s">
        <v>78</v>
      </c>
      <c r="F31" t="s">
        <v>69</v>
      </c>
      <c r="G31" t="s">
        <v>85</v>
      </c>
      <c r="H31" t="s">
        <v>111</v>
      </c>
      <c r="I31" t="s">
        <v>115</v>
      </c>
      <c r="J31" t="s">
        <v>101</v>
      </c>
      <c r="K31" t="s">
        <v>73</v>
      </c>
      <c r="L31" t="s">
        <v>73</v>
      </c>
      <c r="M31" t="s">
        <v>331</v>
      </c>
      <c r="N31" t="s">
        <v>73</v>
      </c>
      <c r="O31" t="s">
        <v>84</v>
      </c>
      <c r="P31" t="s">
        <v>341</v>
      </c>
      <c r="S31" t="s">
        <v>328</v>
      </c>
      <c r="T31" t="s">
        <v>225</v>
      </c>
      <c r="U31" t="s">
        <v>74</v>
      </c>
      <c r="V31" t="s">
        <v>103</v>
      </c>
      <c r="W31" t="s">
        <v>104</v>
      </c>
      <c r="X31" t="s">
        <v>105</v>
      </c>
      <c r="Y31" t="s">
        <v>106</v>
      </c>
      <c r="Z31" t="s">
        <v>112</v>
      </c>
      <c r="AA31" t="s">
        <v>108</v>
      </c>
      <c r="AC31" t="s">
        <v>109</v>
      </c>
      <c r="AD31" t="s">
        <v>338</v>
      </c>
      <c r="AF31" t="s">
        <v>339</v>
      </c>
      <c r="AG31" t="s">
        <v>110</v>
      </c>
      <c r="AH31" t="s">
        <v>340</v>
      </c>
      <c r="AM31" t="s">
        <v>117</v>
      </c>
      <c r="AN31" t="s">
        <v>250</v>
      </c>
      <c r="AO31" t="s">
        <v>250</v>
      </c>
      <c r="AQ31" t="s">
        <v>217</v>
      </c>
      <c r="AR31" t="s">
        <v>217</v>
      </c>
      <c r="AT31" t="s">
        <v>218</v>
      </c>
      <c r="AU31" t="s">
        <v>218</v>
      </c>
      <c r="AW31" t="s">
        <v>222</v>
      </c>
      <c r="AX31" t="s">
        <v>325</v>
      </c>
      <c r="AY31" t="s">
        <v>224</v>
      </c>
      <c r="AZ31" t="s">
        <v>222</v>
      </c>
      <c r="BA31" t="s">
        <v>325</v>
      </c>
      <c r="BB31" t="s">
        <v>224</v>
      </c>
      <c r="BC31" t="s">
        <v>222</v>
      </c>
      <c r="BD31" t="s">
        <v>325</v>
      </c>
      <c r="BE31" t="s">
        <v>224</v>
      </c>
      <c r="BF31" t="s">
        <v>245</v>
      </c>
      <c r="BG31" t="s">
        <v>245</v>
      </c>
      <c r="BI31" t="s">
        <v>222</v>
      </c>
      <c r="BJ31" t="s">
        <v>325</v>
      </c>
      <c r="BK31" t="s">
        <v>224</v>
      </c>
      <c r="BL31" t="s">
        <v>225</v>
      </c>
      <c r="BM31" t="s">
        <v>225</v>
      </c>
      <c r="BO31" t="s">
        <v>226</v>
      </c>
      <c r="BP31" t="s">
        <v>226</v>
      </c>
      <c r="BR31" t="s">
        <v>227</v>
      </c>
      <c r="BS31" t="s">
        <v>227</v>
      </c>
      <c r="BU31" t="s">
        <v>228</v>
      </c>
      <c r="BV31" t="s">
        <v>228</v>
      </c>
      <c r="BX31" t="s">
        <v>227</v>
      </c>
      <c r="BY31" t="s">
        <v>227</v>
      </c>
      <c r="CA31" t="s">
        <v>253</v>
      </c>
      <c r="CB31" t="s">
        <v>253</v>
      </c>
      <c r="CD31" t="s">
        <v>75</v>
      </c>
      <c r="CE31" t="s">
        <v>328</v>
      </c>
      <c r="CF31" t="s">
        <v>225</v>
      </c>
      <c r="CI31">
        <v>1</v>
      </c>
      <c r="CL31" t="s">
        <v>149</v>
      </c>
    </row>
    <row r="32" spans="1:90" x14ac:dyDescent="0.2">
      <c r="A32" t="s">
        <v>67</v>
      </c>
      <c r="E32" t="s">
        <v>78</v>
      </c>
      <c r="F32" t="s">
        <v>68</v>
      </c>
      <c r="G32" t="s">
        <v>76</v>
      </c>
      <c r="H32" t="s">
        <v>132</v>
      </c>
      <c r="I32" t="s">
        <v>70</v>
      </c>
      <c r="J32" t="s">
        <v>77</v>
      </c>
      <c r="K32" t="s">
        <v>71</v>
      </c>
      <c r="L32" t="s">
        <v>72</v>
      </c>
      <c r="M32" t="s">
        <v>73</v>
      </c>
      <c r="N32" t="s">
        <v>73</v>
      </c>
      <c r="O32" t="s">
        <v>134</v>
      </c>
      <c r="P32" t="s">
        <v>342</v>
      </c>
      <c r="S32" t="s">
        <v>328</v>
      </c>
      <c r="T32" t="s">
        <v>225</v>
      </c>
      <c r="U32" t="s">
        <v>74</v>
      </c>
      <c r="V32" t="s">
        <v>343</v>
      </c>
      <c r="W32" t="s">
        <v>344</v>
      </c>
      <c r="X32" t="s">
        <v>345</v>
      </c>
      <c r="Z32" t="s">
        <v>346</v>
      </c>
      <c r="AA32" t="s">
        <v>347</v>
      </c>
      <c r="AF32" t="s">
        <v>348</v>
      </c>
      <c r="AM32" t="s">
        <v>117</v>
      </c>
      <c r="AN32" t="s">
        <v>250</v>
      </c>
      <c r="AO32" t="s">
        <v>250</v>
      </c>
      <c r="AQ32" t="s">
        <v>217</v>
      </c>
      <c r="AR32" t="s">
        <v>217</v>
      </c>
      <c r="AT32" t="s">
        <v>222</v>
      </c>
      <c r="AU32" t="s">
        <v>349</v>
      </c>
      <c r="AV32" t="s">
        <v>224</v>
      </c>
      <c r="AW32" t="s">
        <v>350</v>
      </c>
      <c r="AX32" t="s">
        <v>350</v>
      </c>
      <c r="AZ32" t="s">
        <v>220</v>
      </c>
      <c r="BA32" t="s">
        <v>220</v>
      </c>
      <c r="BC32" t="s">
        <v>221</v>
      </c>
      <c r="BD32" t="s">
        <v>221</v>
      </c>
      <c r="BF32" t="s">
        <v>245</v>
      </c>
      <c r="BG32" t="s">
        <v>245</v>
      </c>
      <c r="BI32" t="s">
        <v>225</v>
      </c>
      <c r="BJ32" t="s">
        <v>225</v>
      </c>
      <c r="BL32" t="s">
        <v>222</v>
      </c>
      <c r="BM32" t="s">
        <v>349</v>
      </c>
      <c r="BN32" t="s">
        <v>224</v>
      </c>
      <c r="BO32" t="s">
        <v>226</v>
      </c>
      <c r="BP32" t="s">
        <v>226</v>
      </c>
      <c r="BR32" t="s">
        <v>227</v>
      </c>
      <c r="BS32" t="s">
        <v>227</v>
      </c>
      <c r="BU32" t="s">
        <v>228</v>
      </c>
      <c r="BV32" t="s">
        <v>228</v>
      </c>
      <c r="BX32" t="s">
        <v>227</v>
      </c>
      <c r="BY32" t="s">
        <v>227</v>
      </c>
      <c r="CA32" t="s">
        <v>253</v>
      </c>
      <c r="CB32" t="s">
        <v>253</v>
      </c>
      <c r="CD32" t="s">
        <v>75</v>
      </c>
      <c r="CE32" t="s">
        <v>328</v>
      </c>
      <c r="CF32" t="s">
        <v>225</v>
      </c>
      <c r="CI32">
        <v>1</v>
      </c>
      <c r="CL32" t="s">
        <v>149</v>
      </c>
    </row>
    <row r="33" spans="1:91" x14ac:dyDescent="0.2">
      <c r="A33" t="s">
        <v>67</v>
      </c>
      <c r="E33" t="s">
        <v>78</v>
      </c>
      <c r="F33" t="s">
        <v>68</v>
      </c>
      <c r="G33" t="s">
        <v>76</v>
      </c>
      <c r="H33" t="s">
        <v>79</v>
      </c>
      <c r="I33" t="s">
        <v>70</v>
      </c>
      <c r="J33" t="s">
        <v>77</v>
      </c>
      <c r="K33" t="s">
        <v>71</v>
      </c>
      <c r="L33" t="s">
        <v>72</v>
      </c>
      <c r="M33" t="s">
        <v>73</v>
      </c>
      <c r="N33" t="s">
        <v>73</v>
      </c>
      <c r="O33" t="s">
        <v>351</v>
      </c>
      <c r="P33" t="s">
        <v>352</v>
      </c>
      <c r="S33" t="s">
        <v>225</v>
      </c>
      <c r="T33" t="s">
        <v>320</v>
      </c>
      <c r="U33" t="s">
        <v>74</v>
      </c>
      <c r="V33" t="s">
        <v>343</v>
      </c>
      <c r="W33" t="s">
        <v>344</v>
      </c>
      <c r="X33" t="s">
        <v>345</v>
      </c>
      <c r="Z33" t="s">
        <v>353</v>
      </c>
      <c r="AA33" t="s">
        <v>347</v>
      </c>
      <c r="AF33" t="s">
        <v>348</v>
      </c>
      <c r="AM33" t="s">
        <v>117</v>
      </c>
      <c r="AN33" t="s">
        <v>250</v>
      </c>
      <c r="AO33" t="s">
        <v>250</v>
      </c>
      <c r="AQ33" t="s">
        <v>217</v>
      </c>
      <c r="AR33" t="s">
        <v>217</v>
      </c>
      <c r="AT33" t="s">
        <v>324</v>
      </c>
      <c r="AU33" t="s">
        <v>349</v>
      </c>
      <c r="AV33" t="s">
        <v>224</v>
      </c>
      <c r="AW33" t="s">
        <v>219</v>
      </c>
      <c r="AX33" t="s">
        <v>219</v>
      </c>
      <c r="AZ33" t="s">
        <v>220</v>
      </c>
      <c r="BA33" t="s">
        <v>220</v>
      </c>
      <c r="BC33" t="s">
        <v>221</v>
      </c>
      <c r="BD33" t="s">
        <v>221</v>
      </c>
      <c r="BF33" t="s">
        <v>245</v>
      </c>
      <c r="BG33" t="s">
        <v>245</v>
      </c>
      <c r="BI33" t="s">
        <v>225</v>
      </c>
      <c r="BJ33" t="s">
        <v>225</v>
      </c>
      <c r="BL33" t="s">
        <v>324</v>
      </c>
      <c r="BM33" t="s">
        <v>349</v>
      </c>
      <c r="BN33" t="s">
        <v>224</v>
      </c>
      <c r="BO33" t="s">
        <v>226</v>
      </c>
      <c r="BP33" t="s">
        <v>226</v>
      </c>
      <c r="BR33" t="s">
        <v>227</v>
      </c>
      <c r="BS33" t="s">
        <v>227</v>
      </c>
      <c r="BU33" t="s">
        <v>228</v>
      </c>
      <c r="BV33" t="s">
        <v>228</v>
      </c>
      <c r="BX33" t="s">
        <v>227</v>
      </c>
      <c r="BY33" t="s">
        <v>227</v>
      </c>
      <c r="CA33" t="s">
        <v>253</v>
      </c>
      <c r="CB33" t="s">
        <v>253</v>
      </c>
      <c r="CD33" t="s">
        <v>75</v>
      </c>
      <c r="CE33" t="s">
        <v>326</v>
      </c>
      <c r="CF33" t="s">
        <v>225</v>
      </c>
      <c r="CI33">
        <v>1</v>
      </c>
      <c r="CL33" t="s">
        <v>149</v>
      </c>
    </row>
    <row r="34" spans="1:91" x14ac:dyDescent="0.2">
      <c r="A34" t="s">
        <v>67</v>
      </c>
      <c r="E34" t="s">
        <v>78</v>
      </c>
      <c r="F34" t="s">
        <v>68</v>
      </c>
      <c r="G34" t="s">
        <v>76</v>
      </c>
      <c r="H34" t="s">
        <v>132</v>
      </c>
      <c r="I34" t="s">
        <v>80</v>
      </c>
      <c r="J34" t="s">
        <v>77</v>
      </c>
      <c r="K34" t="s">
        <v>71</v>
      </c>
      <c r="L34" t="s">
        <v>72</v>
      </c>
      <c r="M34" t="s">
        <v>73</v>
      </c>
      <c r="N34" t="s">
        <v>73</v>
      </c>
      <c r="O34" t="s">
        <v>134</v>
      </c>
      <c r="P34" t="s">
        <v>354</v>
      </c>
      <c r="S34" t="s">
        <v>328</v>
      </c>
      <c r="T34" t="s">
        <v>225</v>
      </c>
      <c r="U34" t="s">
        <v>74</v>
      </c>
      <c r="V34" t="s">
        <v>343</v>
      </c>
      <c r="W34" t="s">
        <v>344</v>
      </c>
      <c r="X34" t="s">
        <v>345</v>
      </c>
      <c r="Y34" t="s">
        <v>355</v>
      </c>
      <c r="Z34" t="s">
        <v>346</v>
      </c>
      <c r="AA34" t="s">
        <v>347</v>
      </c>
      <c r="AF34" t="s">
        <v>356</v>
      </c>
      <c r="AM34" t="s">
        <v>117</v>
      </c>
      <c r="AN34" t="s">
        <v>250</v>
      </c>
      <c r="AO34" t="s">
        <v>250</v>
      </c>
      <c r="AQ34" t="s">
        <v>217</v>
      </c>
      <c r="AR34" t="s">
        <v>217</v>
      </c>
      <c r="AT34" t="s">
        <v>222</v>
      </c>
      <c r="AU34" t="s">
        <v>349</v>
      </c>
      <c r="AV34" t="s">
        <v>224</v>
      </c>
      <c r="AW34" t="s">
        <v>350</v>
      </c>
      <c r="AX34" t="s">
        <v>350</v>
      </c>
      <c r="AZ34" t="s">
        <v>220</v>
      </c>
      <c r="BA34" t="s">
        <v>220</v>
      </c>
      <c r="BC34" t="s">
        <v>221</v>
      </c>
      <c r="BD34" t="s">
        <v>221</v>
      </c>
      <c r="BF34" t="s">
        <v>245</v>
      </c>
      <c r="BG34" t="s">
        <v>245</v>
      </c>
      <c r="BI34" t="s">
        <v>225</v>
      </c>
      <c r="BJ34" t="s">
        <v>225</v>
      </c>
      <c r="BL34" t="s">
        <v>222</v>
      </c>
      <c r="BM34" t="s">
        <v>349</v>
      </c>
      <c r="BN34" t="s">
        <v>224</v>
      </c>
      <c r="BO34" t="s">
        <v>226</v>
      </c>
      <c r="BP34" t="s">
        <v>226</v>
      </c>
      <c r="BR34" t="s">
        <v>227</v>
      </c>
      <c r="BS34" t="s">
        <v>227</v>
      </c>
      <c r="BU34" t="s">
        <v>228</v>
      </c>
      <c r="BV34" t="s">
        <v>228</v>
      </c>
      <c r="BX34" t="s">
        <v>227</v>
      </c>
      <c r="BY34" t="s">
        <v>227</v>
      </c>
      <c r="CA34" t="s">
        <v>253</v>
      </c>
      <c r="CB34" t="s">
        <v>253</v>
      </c>
      <c r="CD34" t="s">
        <v>75</v>
      </c>
      <c r="CE34" t="s">
        <v>328</v>
      </c>
      <c r="CF34" t="s">
        <v>225</v>
      </c>
      <c r="CI34">
        <v>1</v>
      </c>
      <c r="CL34" t="s">
        <v>149</v>
      </c>
    </row>
    <row r="35" spans="1:91" x14ac:dyDescent="0.2">
      <c r="A35" t="s">
        <v>67</v>
      </c>
      <c r="E35" t="s">
        <v>78</v>
      </c>
      <c r="F35" t="s">
        <v>68</v>
      </c>
      <c r="G35" t="s">
        <v>76</v>
      </c>
      <c r="H35" t="s">
        <v>79</v>
      </c>
      <c r="I35" t="s">
        <v>80</v>
      </c>
      <c r="J35" t="s">
        <v>77</v>
      </c>
      <c r="K35" t="s">
        <v>71</v>
      </c>
      <c r="L35" t="s">
        <v>72</v>
      </c>
      <c r="M35" t="s">
        <v>73</v>
      </c>
      <c r="N35" t="s">
        <v>73</v>
      </c>
      <c r="O35" t="s">
        <v>351</v>
      </c>
      <c r="P35" t="s">
        <v>357</v>
      </c>
      <c r="S35" t="s">
        <v>225</v>
      </c>
      <c r="T35" t="s">
        <v>320</v>
      </c>
      <c r="U35" t="s">
        <v>74</v>
      </c>
      <c r="V35" t="s">
        <v>343</v>
      </c>
      <c r="W35" t="s">
        <v>344</v>
      </c>
      <c r="X35" t="s">
        <v>345</v>
      </c>
      <c r="Y35" t="s">
        <v>355</v>
      </c>
      <c r="Z35" t="s">
        <v>353</v>
      </c>
      <c r="AA35" t="s">
        <v>347</v>
      </c>
      <c r="AF35" t="s">
        <v>356</v>
      </c>
      <c r="AM35" t="s">
        <v>117</v>
      </c>
      <c r="AN35" t="s">
        <v>250</v>
      </c>
      <c r="AO35" t="s">
        <v>250</v>
      </c>
      <c r="AQ35" t="s">
        <v>217</v>
      </c>
      <c r="AR35" t="s">
        <v>217</v>
      </c>
      <c r="AT35" t="s">
        <v>324</v>
      </c>
      <c r="AU35" t="s">
        <v>349</v>
      </c>
      <c r="AV35" t="s">
        <v>224</v>
      </c>
      <c r="AW35" t="s">
        <v>219</v>
      </c>
      <c r="AX35" t="s">
        <v>219</v>
      </c>
      <c r="AZ35" t="s">
        <v>220</v>
      </c>
      <c r="BA35" t="s">
        <v>220</v>
      </c>
      <c r="BC35" t="s">
        <v>221</v>
      </c>
      <c r="BD35" t="s">
        <v>221</v>
      </c>
      <c r="BF35" t="s">
        <v>245</v>
      </c>
      <c r="BG35" t="s">
        <v>245</v>
      </c>
      <c r="BI35" t="s">
        <v>225</v>
      </c>
      <c r="BJ35" t="s">
        <v>225</v>
      </c>
      <c r="BL35" t="s">
        <v>324</v>
      </c>
      <c r="BM35" t="s">
        <v>349</v>
      </c>
      <c r="BN35" t="s">
        <v>224</v>
      </c>
      <c r="BO35" t="s">
        <v>226</v>
      </c>
      <c r="BP35" t="s">
        <v>226</v>
      </c>
      <c r="BR35" t="s">
        <v>227</v>
      </c>
      <c r="BS35" t="s">
        <v>227</v>
      </c>
      <c r="BU35" t="s">
        <v>228</v>
      </c>
      <c r="BV35" t="s">
        <v>228</v>
      </c>
      <c r="BX35" t="s">
        <v>227</v>
      </c>
      <c r="BY35" t="s">
        <v>227</v>
      </c>
      <c r="CA35" t="s">
        <v>253</v>
      </c>
      <c r="CB35" t="s">
        <v>253</v>
      </c>
      <c r="CD35" t="s">
        <v>75</v>
      </c>
      <c r="CE35" t="s">
        <v>326</v>
      </c>
      <c r="CF35" t="s">
        <v>225</v>
      </c>
      <c r="CI35">
        <v>1</v>
      </c>
      <c r="CL35" t="s">
        <v>149</v>
      </c>
    </row>
    <row r="36" spans="1:91" x14ac:dyDescent="0.2">
      <c r="A36" t="s">
        <v>67</v>
      </c>
      <c r="E36" t="s">
        <v>78</v>
      </c>
      <c r="F36" t="s">
        <v>69</v>
      </c>
      <c r="G36" t="s">
        <v>99</v>
      </c>
      <c r="H36" t="s">
        <v>116</v>
      </c>
      <c r="I36" t="s">
        <v>100</v>
      </c>
      <c r="J36" t="s">
        <v>242</v>
      </c>
      <c r="K36" t="s">
        <v>73</v>
      </c>
      <c r="L36" t="s">
        <v>73</v>
      </c>
      <c r="M36" t="s">
        <v>102</v>
      </c>
      <c r="N36" t="s">
        <v>73</v>
      </c>
      <c r="O36" t="s">
        <v>83</v>
      </c>
      <c r="P36" t="s">
        <v>358</v>
      </c>
      <c r="S36" t="s">
        <v>359</v>
      </c>
      <c r="T36" t="s">
        <v>227</v>
      </c>
      <c r="U36" t="s">
        <v>74</v>
      </c>
      <c r="V36" t="s">
        <v>103</v>
      </c>
      <c r="W36" t="s">
        <v>104</v>
      </c>
      <c r="X36" t="s">
        <v>105</v>
      </c>
      <c r="Y36" t="s">
        <v>106</v>
      </c>
      <c r="Z36" t="s">
        <v>107</v>
      </c>
      <c r="AA36" t="s">
        <v>108</v>
      </c>
      <c r="AC36" t="s">
        <v>109</v>
      </c>
      <c r="AF36" t="s">
        <v>360</v>
      </c>
      <c r="AG36" t="s">
        <v>110</v>
      </c>
      <c r="AH36" t="s">
        <v>361</v>
      </c>
      <c r="AM36" t="s">
        <v>117</v>
      </c>
      <c r="AN36" t="s">
        <v>250</v>
      </c>
      <c r="AO36" t="s">
        <v>250</v>
      </c>
      <c r="AQ36" t="s">
        <v>217</v>
      </c>
      <c r="AR36" t="s">
        <v>217</v>
      </c>
      <c r="AT36" t="s">
        <v>218</v>
      </c>
      <c r="AU36" t="s">
        <v>218</v>
      </c>
      <c r="AW36" t="s">
        <v>219</v>
      </c>
      <c r="AX36" t="s">
        <v>219</v>
      </c>
      <c r="AZ36" t="s">
        <v>225</v>
      </c>
      <c r="BA36" t="s">
        <v>225</v>
      </c>
      <c r="BC36" t="s">
        <v>221</v>
      </c>
      <c r="BD36" t="s">
        <v>221</v>
      </c>
      <c r="BF36" t="s">
        <v>245</v>
      </c>
      <c r="BG36" t="s">
        <v>245</v>
      </c>
      <c r="BI36" t="s">
        <v>225</v>
      </c>
      <c r="BJ36" t="s">
        <v>225</v>
      </c>
      <c r="BL36" t="s">
        <v>225</v>
      </c>
      <c r="BM36" t="s">
        <v>225</v>
      </c>
      <c r="BO36" t="s">
        <v>226</v>
      </c>
      <c r="BP36" t="s">
        <v>226</v>
      </c>
      <c r="BR36" t="s">
        <v>222</v>
      </c>
      <c r="BS36" t="s">
        <v>362</v>
      </c>
      <c r="BT36" t="s">
        <v>224</v>
      </c>
      <c r="BU36" t="s">
        <v>228</v>
      </c>
      <c r="BV36" t="s">
        <v>228</v>
      </c>
      <c r="BX36" t="s">
        <v>227</v>
      </c>
      <c r="BY36" t="s">
        <v>227</v>
      </c>
      <c r="CA36" t="s">
        <v>253</v>
      </c>
      <c r="CB36" t="s">
        <v>253</v>
      </c>
      <c r="CD36" t="s">
        <v>75</v>
      </c>
      <c r="CE36" t="s">
        <v>359</v>
      </c>
      <c r="CF36" t="s">
        <v>227</v>
      </c>
      <c r="CI36">
        <v>1</v>
      </c>
      <c r="CL36" t="s">
        <v>149</v>
      </c>
    </row>
    <row r="37" spans="1:91" x14ac:dyDescent="0.2">
      <c r="A37" t="s">
        <v>67</v>
      </c>
      <c r="E37" t="s">
        <v>78</v>
      </c>
      <c r="F37" t="s">
        <v>69</v>
      </c>
      <c r="G37" t="s">
        <v>99</v>
      </c>
      <c r="H37" t="s">
        <v>363</v>
      </c>
      <c r="I37" t="s">
        <v>100</v>
      </c>
      <c r="J37" t="s">
        <v>242</v>
      </c>
      <c r="K37" t="s">
        <v>73</v>
      </c>
      <c r="L37" t="s">
        <v>73</v>
      </c>
      <c r="M37" t="s">
        <v>102</v>
      </c>
      <c r="N37" t="s">
        <v>73</v>
      </c>
      <c r="O37" t="s">
        <v>83</v>
      </c>
      <c r="P37" t="s">
        <v>364</v>
      </c>
      <c r="S37" t="s">
        <v>359</v>
      </c>
      <c r="T37" t="s">
        <v>227</v>
      </c>
      <c r="U37" t="s">
        <v>74</v>
      </c>
      <c r="V37" t="s">
        <v>103</v>
      </c>
      <c r="W37" t="s">
        <v>104</v>
      </c>
      <c r="X37" t="s">
        <v>105</v>
      </c>
      <c r="Y37" t="s">
        <v>106</v>
      </c>
      <c r="Z37" t="s">
        <v>112</v>
      </c>
      <c r="AA37" t="s">
        <v>108</v>
      </c>
      <c r="AC37" t="s">
        <v>109</v>
      </c>
      <c r="AF37" t="s">
        <v>360</v>
      </c>
      <c r="AG37" t="s">
        <v>110</v>
      </c>
      <c r="AH37" t="s">
        <v>361</v>
      </c>
      <c r="AM37" t="s">
        <v>117</v>
      </c>
      <c r="AN37" t="s">
        <v>250</v>
      </c>
      <c r="AO37" t="s">
        <v>250</v>
      </c>
      <c r="AQ37" t="s">
        <v>217</v>
      </c>
      <c r="AR37" t="s">
        <v>217</v>
      </c>
      <c r="AT37" t="s">
        <v>218</v>
      </c>
      <c r="AU37" t="s">
        <v>218</v>
      </c>
      <c r="AW37" t="s">
        <v>350</v>
      </c>
      <c r="AX37" t="s">
        <v>350</v>
      </c>
      <c r="AZ37" t="s">
        <v>220</v>
      </c>
      <c r="BA37" t="s">
        <v>220</v>
      </c>
      <c r="BC37" t="s">
        <v>221</v>
      </c>
      <c r="BD37" t="s">
        <v>221</v>
      </c>
      <c r="BF37" t="s">
        <v>245</v>
      </c>
      <c r="BG37" t="s">
        <v>245</v>
      </c>
      <c r="BI37" t="s">
        <v>225</v>
      </c>
      <c r="BJ37" t="s">
        <v>225</v>
      </c>
      <c r="BL37" t="s">
        <v>225</v>
      </c>
      <c r="BM37" t="s">
        <v>225</v>
      </c>
      <c r="BO37" t="s">
        <v>226</v>
      </c>
      <c r="BP37" t="s">
        <v>226</v>
      </c>
      <c r="BR37" t="s">
        <v>222</v>
      </c>
      <c r="BS37" t="s">
        <v>362</v>
      </c>
      <c r="BT37" t="s">
        <v>224</v>
      </c>
      <c r="BU37" t="s">
        <v>228</v>
      </c>
      <c r="BV37" t="s">
        <v>228</v>
      </c>
      <c r="BX37" t="s">
        <v>227</v>
      </c>
      <c r="BY37" t="s">
        <v>227</v>
      </c>
      <c r="CA37" t="s">
        <v>253</v>
      </c>
      <c r="CB37" t="s">
        <v>253</v>
      </c>
      <c r="CD37" t="s">
        <v>75</v>
      </c>
      <c r="CE37" t="s">
        <v>359</v>
      </c>
      <c r="CF37" t="s">
        <v>227</v>
      </c>
      <c r="CI37">
        <v>1</v>
      </c>
      <c r="CL37" t="s">
        <v>149</v>
      </c>
    </row>
    <row r="38" spans="1:91" x14ac:dyDescent="0.2">
      <c r="A38" t="s">
        <v>67</v>
      </c>
      <c r="E38" t="s">
        <v>78</v>
      </c>
      <c r="F38" t="s">
        <v>69</v>
      </c>
      <c r="G38" t="s">
        <v>99</v>
      </c>
      <c r="H38" t="s">
        <v>116</v>
      </c>
      <c r="I38" t="s">
        <v>115</v>
      </c>
      <c r="J38" t="s">
        <v>242</v>
      </c>
      <c r="K38" t="s">
        <v>73</v>
      </c>
      <c r="L38" t="s">
        <v>73</v>
      </c>
      <c r="M38" t="s">
        <v>102</v>
      </c>
      <c r="N38" t="s">
        <v>73</v>
      </c>
      <c r="O38" t="s">
        <v>83</v>
      </c>
      <c r="P38" t="s">
        <v>365</v>
      </c>
      <c r="S38" t="s">
        <v>359</v>
      </c>
      <c r="T38" t="s">
        <v>227</v>
      </c>
      <c r="U38" t="s">
        <v>74</v>
      </c>
      <c r="V38" t="s">
        <v>103</v>
      </c>
      <c r="W38" t="s">
        <v>104</v>
      </c>
      <c r="X38" t="s">
        <v>105</v>
      </c>
      <c r="Y38" t="s">
        <v>106</v>
      </c>
      <c r="Z38" t="s">
        <v>107</v>
      </c>
      <c r="AA38" t="s">
        <v>108</v>
      </c>
      <c r="AC38" t="s">
        <v>109</v>
      </c>
      <c r="AD38" t="s">
        <v>114</v>
      </c>
      <c r="AF38" t="s">
        <v>366</v>
      </c>
      <c r="AG38" t="s">
        <v>110</v>
      </c>
      <c r="AH38" t="s">
        <v>367</v>
      </c>
      <c r="AM38" t="s">
        <v>117</v>
      </c>
      <c r="AN38" t="s">
        <v>250</v>
      </c>
      <c r="AO38" t="s">
        <v>250</v>
      </c>
      <c r="AQ38" t="s">
        <v>217</v>
      </c>
      <c r="AR38" t="s">
        <v>217</v>
      </c>
      <c r="AT38" t="s">
        <v>218</v>
      </c>
      <c r="AU38" t="s">
        <v>218</v>
      </c>
      <c r="AW38" t="s">
        <v>219</v>
      </c>
      <c r="AX38" t="s">
        <v>219</v>
      </c>
      <c r="AZ38" t="s">
        <v>225</v>
      </c>
      <c r="BA38" t="s">
        <v>225</v>
      </c>
      <c r="BC38" t="s">
        <v>221</v>
      </c>
      <c r="BD38" t="s">
        <v>221</v>
      </c>
      <c r="BF38" t="s">
        <v>245</v>
      </c>
      <c r="BG38" t="s">
        <v>245</v>
      </c>
      <c r="BI38" t="s">
        <v>225</v>
      </c>
      <c r="BJ38" t="s">
        <v>225</v>
      </c>
      <c r="BL38" t="s">
        <v>225</v>
      </c>
      <c r="BM38" t="s">
        <v>225</v>
      </c>
      <c r="BO38" t="s">
        <v>226</v>
      </c>
      <c r="BP38" t="s">
        <v>226</v>
      </c>
      <c r="BR38" t="s">
        <v>222</v>
      </c>
      <c r="BS38" t="s">
        <v>362</v>
      </c>
      <c r="BT38" t="s">
        <v>224</v>
      </c>
      <c r="BU38" t="s">
        <v>228</v>
      </c>
      <c r="BV38" t="s">
        <v>228</v>
      </c>
      <c r="BX38" t="s">
        <v>227</v>
      </c>
      <c r="BY38" t="s">
        <v>227</v>
      </c>
      <c r="CA38" t="s">
        <v>253</v>
      </c>
      <c r="CB38" t="s">
        <v>253</v>
      </c>
      <c r="CD38" t="s">
        <v>75</v>
      </c>
      <c r="CE38" t="s">
        <v>359</v>
      </c>
      <c r="CF38" t="s">
        <v>227</v>
      </c>
      <c r="CI38">
        <v>1</v>
      </c>
      <c r="CL38" t="s">
        <v>149</v>
      </c>
    </row>
    <row r="39" spans="1:91" x14ac:dyDescent="0.2">
      <c r="A39" t="s">
        <v>67</v>
      </c>
      <c r="E39" t="s">
        <v>78</v>
      </c>
      <c r="F39" t="s">
        <v>69</v>
      </c>
      <c r="G39" t="s">
        <v>99</v>
      </c>
      <c r="H39" t="s">
        <v>363</v>
      </c>
      <c r="I39" t="s">
        <v>115</v>
      </c>
      <c r="J39" t="s">
        <v>242</v>
      </c>
      <c r="K39" t="s">
        <v>73</v>
      </c>
      <c r="L39" t="s">
        <v>73</v>
      </c>
      <c r="M39" t="s">
        <v>102</v>
      </c>
      <c r="N39" t="s">
        <v>73</v>
      </c>
      <c r="O39" t="s">
        <v>83</v>
      </c>
      <c r="P39" t="s">
        <v>368</v>
      </c>
      <c r="S39" t="s">
        <v>359</v>
      </c>
      <c r="T39" t="s">
        <v>227</v>
      </c>
      <c r="U39" t="s">
        <v>74</v>
      </c>
      <c r="V39" t="s">
        <v>103</v>
      </c>
      <c r="W39" t="s">
        <v>104</v>
      </c>
      <c r="X39" t="s">
        <v>105</v>
      </c>
      <c r="Y39" t="s">
        <v>106</v>
      </c>
      <c r="Z39" t="s">
        <v>112</v>
      </c>
      <c r="AA39" t="s">
        <v>108</v>
      </c>
      <c r="AC39" t="s">
        <v>109</v>
      </c>
      <c r="AD39" t="s">
        <v>114</v>
      </c>
      <c r="AF39" t="s">
        <v>366</v>
      </c>
      <c r="AG39" t="s">
        <v>110</v>
      </c>
      <c r="AH39" t="s">
        <v>367</v>
      </c>
      <c r="AM39" t="s">
        <v>117</v>
      </c>
      <c r="AN39" t="s">
        <v>250</v>
      </c>
      <c r="AO39" t="s">
        <v>250</v>
      </c>
      <c r="AQ39" t="s">
        <v>217</v>
      </c>
      <c r="AR39" t="s">
        <v>217</v>
      </c>
      <c r="AT39" t="s">
        <v>218</v>
      </c>
      <c r="AU39" t="s">
        <v>218</v>
      </c>
      <c r="AW39" t="s">
        <v>350</v>
      </c>
      <c r="AX39" t="s">
        <v>350</v>
      </c>
      <c r="AZ39" t="s">
        <v>220</v>
      </c>
      <c r="BA39" t="s">
        <v>220</v>
      </c>
      <c r="BC39" t="s">
        <v>221</v>
      </c>
      <c r="BD39" t="s">
        <v>221</v>
      </c>
      <c r="BF39" t="s">
        <v>245</v>
      </c>
      <c r="BG39" t="s">
        <v>245</v>
      </c>
      <c r="BI39" t="s">
        <v>225</v>
      </c>
      <c r="BJ39" t="s">
        <v>225</v>
      </c>
      <c r="BL39" t="s">
        <v>225</v>
      </c>
      <c r="BM39" t="s">
        <v>225</v>
      </c>
      <c r="BO39" t="s">
        <v>226</v>
      </c>
      <c r="BP39" t="s">
        <v>226</v>
      </c>
      <c r="BR39" t="s">
        <v>222</v>
      </c>
      <c r="BS39" t="s">
        <v>362</v>
      </c>
      <c r="BT39" t="s">
        <v>224</v>
      </c>
      <c r="BU39" t="s">
        <v>228</v>
      </c>
      <c r="BV39" t="s">
        <v>228</v>
      </c>
      <c r="BX39" t="s">
        <v>227</v>
      </c>
      <c r="BY39" t="s">
        <v>227</v>
      </c>
      <c r="CA39" t="s">
        <v>253</v>
      </c>
      <c r="CB39" t="s">
        <v>253</v>
      </c>
      <c r="CD39" t="s">
        <v>75</v>
      </c>
      <c r="CE39" t="s">
        <v>359</v>
      </c>
      <c r="CF39" t="s">
        <v>227</v>
      </c>
      <c r="CI39">
        <v>1</v>
      </c>
      <c r="CL39" t="s">
        <v>149</v>
      </c>
    </row>
    <row r="40" spans="1:91" x14ac:dyDescent="0.2">
      <c r="A40" t="s">
        <v>67</v>
      </c>
      <c r="E40" t="s">
        <v>78</v>
      </c>
      <c r="F40" t="s">
        <v>69</v>
      </c>
      <c r="G40" t="s">
        <v>126</v>
      </c>
      <c r="H40" t="s">
        <v>127</v>
      </c>
      <c r="I40" t="s">
        <v>124</v>
      </c>
      <c r="J40" t="s">
        <v>369</v>
      </c>
      <c r="K40" t="s">
        <v>125</v>
      </c>
      <c r="L40" t="s">
        <v>370</v>
      </c>
      <c r="M40" t="s">
        <v>73</v>
      </c>
      <c r="N40" t="s">
        <v>73</v>
      </c>
      <c r="O40" t="s">
        <v>83</v>
      </c>
      <c r="P40" t="str">
        <f t="shared" ref="P40" si="1">E40&amp;"_"&amp;F40&amp;"_"&amp;G40&amp;"_"&amp;H40&amp;"_"&amp;I40&amp;"_"&amp;J40&amp;"_"&amp;K40&amp;"_"&amp;L40&amp;"_"&amp;M40&amp;"_"&amp;N40&amp;"_"&amp;O40&amp;"_"</f>
        <v>DFTL_SOC_FIXED_MFX001_SOCTDF_CHI3_PL10_UNC_X_X_SelsrmSSSS_</v>
      </c>
      <c r="S40" t="s">
        <v>371</v>
      </c>
      <c r="T40" t="s">
        <v>310</v>
      </c>
      <c r="U40" t="s">
        <v>74</v>
      </c>
      <c r="V40" t="s">
        <v>121</v>
      </c>
      <c r="W40" t="s">
        <v>122</v>
      </c>
      <c r="X40" t="s">
        <v>123</v>
      </c>
      <c r="Y40" t="s">
        <v>372</v>
      </c>
      <c r="AF40" t="s">
        <v>373</v>
      </c>
      <c r="AM40" t="s">
        <v>117</v>
      </c>
      <c r="AN40" t="s">
        <v>374</v>
      </c>
      <c r="AO40" t="s">
        <v>374</v>
      </c>
      <c r="AQ40" t="s">
        <v>301</v>
      </c>
      <c r="AR40" t="s">
        <v>301</v>
      </c>
      <c r="AT40" t="s">
        <v>307</v>
      </c>
      <c r="AU40" t="s">
        <v>307</v>
      </c>
      <c r="AW40" t="s">
        <v>212</v>
      </c>
      <c r="AX40" t="s">
        <v>212</v>
      </c>
      <c r="AZ40" t="s">
        <v>218</v>
      </c>
      <c r="BA40" t="s">
        <v>218</v>
      </c>
      <c r="BC40" t="s">
        <v>308</v>
      </c>
      <c r="BD40" t="s">
        <v>308</v>
      </c>
      <c r="BF40" t="s">
        <v>374</v>
      </c>
      <c r="BG40" t="s">
        <v>374</v>
      </c>
      <c r="BI40" t="s">
        <v>309</v>
      </c>
      <c r="BJ40" t="s">
        <v>309</v>
      </c>
      <c r="BL40" t="s">
        <v>309</v>
      </c>
      <c r="BM40" t="s">
        <v>309</v>
      </c>
      <c r="BO40">
        <v>0.75</v>
      </c>
      <c r="BP40">
        <v>0.6</v>
      </c>
      <c r="BQ40" t="s">
        <v>224</v>
      </c>
      <c r="BR40" t="s">
        <v>311</v>
      </c>
      <c r="BS40" t="s">
        <v>311</v>
      </c>
      <c r="BU40" t="s">
        <v>227</v>
      </c>
      <c r="BV40" t="s">
        <v>227</v>
      </c>
      <c r="BX40" t="s">
        <v>227</v>
      </c>
      <c r="BY40" t="s">
        <v>227</v>
      </c>
      <c r="CA40" t="s">
        <v>253</v>
      </c>
      <c r="CB40" t="s">
        <v>253</v>
      </c>
      <c r="CD40" t="s">
        <v>75</v>
      </c>
      <c r="CE40" t="s">
        <v>371</v>
      </c>
      <c r="CF40" t="s">
        <v>310</v>
      </c>
      <c r="CI40">
        <v>1</v>
      </c>
      <c r="CJ40" t="s">
        <v>740</v>
      </c>
      <c r="CL40" t="s">
        <v>149</v>
      </c>
      <c r="CM40" t="s">
        <v>149</v>
      </c>
    </row>
    <row r="41" spans="1:91" x14ac:dyDescent="0.2">
      <c r="A41" t="s">
        <v>67</v>
      </c>
      <c r="E41" t="s">
        <v>78</v>
      </c>
      <c r="F41" t="s">
        <v>69</v>
      </c>
      <c r="G41" t="s">
        <v>126</v>
      </c>
      <c r="H41" t="s">
        <v>127</v>
      </c>
      <c r="I41" t="s">
        <v>124</v>
      </c>
      <c r="J41" t="s">
        <v>703</v>
      </c>
      <c r="K41" t="s">
        <v>125</v>
      </c>
      <c r="L41" t="s">
        <v>455</v>
      </c>
      <c r="M41" t="s">
        <v>73</v>
      </c>
      <c r="N41" t="s">
        <v>73</v>
      </c>
      <c r="O41" t="s">
        <v>83</v>
      </c>
      <c r="P41" t="str">
        <f t="shared" ref="P41" si="2">E41&amp;"_"&amp;F41&amp;"_"&amp;G41&amp;"_"&amp;H41&amp;"_"&amp;I41&amp;"_"&amp;J41&amp;"_"&amp;K41&amp;"_"&amp;L41&amp;"_"&amp;M41&amp;"_"&amp;N41&amp;"_"&amp;O41&amp;"_"</f>
        <v>DFTL_SOC_FIXED_MFX001_SOCTDF_CHI2_PL10_SSC_X_X_SelsrmSSSS_</v>
      </c>
      <c r="S41" t="s">
        <v>371</v>
      </c>
      <c r="T41" t="s">
        <v>310</v>
      </c>
      <c r="U41" t="s">
        <v>74</v>
      </c>
      <c r="V41" t="s">
        <v>121</v>
      </c>
      <c r="W41" t="s">
        <v>122</v>
      </c>
      <c r="X41" t="s">
        <v>123</v>
      </c>
      <c r="Y41" t="s">
        <v>704</v>
      </c>
      <c r="AF41" t="s">
        <v>705</v>
      </c>
      <c r="AM41" t="s">
        <v>117</v>
      </c>
      <c r="AN41" t="s">
        <v>374</v>
      </c>
      <c r="AO41" t="s">
        <v>374</v>
      </c>
      <c r="AQ41" t="s">
        <v>301</v>
      </c>
      <c r="AR41" t="s">
        <v>301</v>
      </c>
      <c r="AT41" t="s">
        <v>307</v>
      </c>
      <c r="AU41" t="s">
        <v>307</v>
      </c>
      <c r="AW41" t="s">
        <v>212</v>
      </c>
      <c r="AX41" t="s">
        <v>212</v>
      </c>
      <c r="AZ41" t="s">
        <v>218</v>
      </c>
      <c r="BA41" t="s">
        <v>218</v>
      </c>
      <c r="BC41" t="s">
        <v>308</v>
      </c>
      <c r="BD41" t="s">
        <v>308</v>
      </c>
      <c r="BF41" t="s">
        <v>374</v>
      </c>
      <c r="BG41" t="s">
        <v>374</v>
      </c>
      <c r="BI41" t="s">
        <v>309</v>
      </c>
      <c r="BJ41" t="s">
        <v>309</v>
      </c>
      <c r="BL41" t="s">
        <v>309</v>
      </c>
      <c r="BM41" t="s">
        <v>309</v>
      </c>
      <c r="BO41">
        <v>0.75</v>
      </c>
      <c r="BP41">
        <v>0.6</v>
      </c>
      <c r="BQ41" t="s">
        <v>224</v>
      </c>
      <c r="BR41" t="s">
        <v>311</v>
      </c>
      <c r="BS41" t="s">
        <v>311</v>
      </c>
      <c r="BU41" t="s">
        <v>227</v>
      </c>
      <c r="BV41" t="s">
        <v>227</v>
      </c>
      <c r="BX41" t="s">
        <v>227</v>
      </c>
      <c r="BY41" t="s">
        <v>227</v>
      </c>
      <c r="CA41" t="s">
        <v>253</v>
      </c>
      <c r="CB41" t="s">
        <v>253</v>
      </c>
      <c r="CD41" t="s">
        <v>75</v>
      </c>
      <c r="CE41" t="s">
        <v>371</v>
      </c>
      <c r="CF41" t="s">
        <v>310</v>
      </c>
      <c r="CI41">
        <v>1</v>
      </c>
      <c r="CJ41" t="s">
        <v>740</v>
      </c>
      <c r="CL41" t="s">
        <v>149</v>
      </c>
      <c r="CM41" t="s">
        <v>149</v>
      </c>
    </row>
    <row r="42" spans="1:91" x14ac:dyDescent="0.2">
      <c r="A42" t="s">
        <v>67</v>
      </c>
      <c r="E42" t="s">
        <v>78</v>
      </c>
      <c r="F42" t="s">
        <v>69</v>
      </c>
      <c r="G42" t="s">
        <v>452</v>
      </c>
      <c r="H42" t="s">
        <v>453</v>
      </c>
      <c r="I42" t="s">
        <v>124</v>
      </c>
      <c r="J42" t="s">
        <v>454</v>
      </c>
      <c r="K42" t="s">
        <v>125</v>
      </c>
      <c r="L42" t="s">
        <v>455</v>
      </c>
      <c r="M42" t="s">
        <v>73</v>
      </c>
      <c r="N42" t="s">
        <v>73</v>
      </c>
      <c r="O42" t="s">
        <v>83</v>
      </c>
      <c r="P42" t="s">
        <v>456</v>
      </c>
      <c r="S42" t="s">
        <v>236</v>
      </c>
      <c r="T42" t="s">
        <v>457</v>
      </c>
      <c r="U42" t="s">
        <v>74</v>
      </c>
      <c r="V42" t="s">
        <v>121</v>
      </c>
      <c r="W42" t="s">
        <v>122</v>
      </c>
      <c r="X42" t="s">
        <v>123</v>
      </c>
      <c r="Y42" t="s">
        <v>458</v>
      </c>
      <c r="AF42" t="s">
        <v>459</v>
      </c>
      <c r="AM42" t="s">
        <v>117</v>
      </c>
      <c r="AN42" t="s">
        <v>374</v>
      </c>
      <c r="AO42" t="s">
        <v>374</v>
      </c>
      <c r="AQ42" t="s">
        <v>301</v>
      </c>
      <c r="AR42" t="s">
        <v>301</v>
      </c>
      <c r="AT42" t="s">
        <v>307</v>
      </c>
      <c r="AU42" t="s">
        <v>307</v>
      </c>
      <c r="AW42" t="s">
        <v>212</v>
      </c>
      <c r="AX42" t="s">
        <v>212</v>
      </c>
      <c r="AZ42" t="s">
        <v>460</v>
      </c>
      <c r="BA42" t="s">
        <v>461</v>
      </c>
      <c r="BB42" t="s">
        <v>224</v>
      </c>
      <c r="BC42" t="s">
        <v>308</v>
      </c>
      <c r="BD42" t="s">
        <v>308</v>
      </c>
      <c r="BF42" t="s">
        <v>374</v>
      </c>
      <c r="BG42" t="s">
        <v>374</v>
      </c>
      <c r="BI42" t="s">
        <v>309</v>
      </c>
      <c r="BJ42" t="s">
        <v>309</v>
      </c>
      <c r="BL42" t="s">
        <v>309</v>
      </c>
      <c r="BM42" t="s">
        <v>309</v>
      </c>
      <c r="BO42" t="s">
        <v>310</v>
      </c>
      <c r="BP42" t="s">
        <v>310</v>
      </c>
      <c r="BR42" t="s">
        <v>311</v>
      </c>
      <c r="BS42" t="s">
        <v>311</v>
      </c>
      <c r="BU42" t="s">
        <v>227</v>
      </c>
      <c r="BV42" t="s">
        <v>227</v>
      </c>
      <c r="BX42" t="s">
        <v>227</v>
      </c>
      <c r="BY42" t="s">
        <v>227</v>
      </c>
      <c r="CA42" t="s">
        <v>253</v>
      </c>
      <c r="CB42" t="s">
        <v>253</v>
      </c>
      <c r="CD42" t="s">
        <v>75</v>
      </c>
      <c r="CE42" t="s">
        <v>457</v>
      </c>
      <c r="CF42" t="s">
        <v>236</v>
      </c>
      <c r="CI42">
        <v>1</v>
      </c>
      <c r="CL42" t="s">
        <v>149</v>
      </c>
    </row>
    <row r="43" spans="1:91" x14ac:dyDescent="0.2">
      <c r="A43" t="s">
        <v>67</v>
      </c>
      <c r="E43" t="s">
        <v>78</v>
      </c>
      <c r="F43" t="s">
        <v>69</v>
      </c>
      <c r="G43" t="s">
        <v>452</v>
      </c>
      <c r="H43" t="s">
        <v>463</v>
      </c>
      <c r="I43" t="s">
        <v>124</v>
      </c>
      <c r="J43" t="s">
        <v>454</v>
      </c>
      <c r="K43" t="s">
        <v>125</v>
      </c>
      <c r="L43" t="s">
        <v>455</v>
      </c>
      <c r="M43" t="s">
        <v>73</v>
      </c>
      <c r="N43" t="s">
        <v>73</v>
      </c>
      <c r="O43" t="s">
        <v>83</v>
      </c>
      <c r="P43" t="s">
        <v>464</v>
      </c>
      <c r="S43" t="s">
        <v>286</v>
      </c>
      <c r="T43" t="s">
        <v>287</v>
      </c>
      <c r="U43" t="s">
        <v>74</v>
      </c>
      <c r="V43" t="s">
        <v>121</v>
      </c>
      <c r="W43" t="s">
        <v>122</v>
      </c>
      <c r="X43" t="s">
        <v>123</v>
      </c>
      <c r="Y43" t="s">
        <v>465</v>
      </c>
      <c r="AF43" t="s">
        <v>459</v>
      </c>
      <c r="AM43" t="s">
        <v>117</v>
      </c>
      <c r="AN43" t="s">
        <v>374</v>
      </c>
      <c r="AO43" t="s">
        <v>374</v>
      </c>
      <c r="AQ43" t="s">
        <v>301</v>
      </c>
      <c r="AR43" t="s">
        <v>301</v>
      </c>
      <c r="AT43" t="s">
        <v>307</v>
      </c>
      <c r="AU43" t="s">
        <v>307</v>
      </c>
      <c r="AW43" t="s">
        <v>212</v>
      </c>
      <c r="AX43" t="s">
        <v>212</v>
      </c>
      <c r="AZ43" t="s">
        <v>466</v>
      </c>
      <c r="BA43" t="s">
        <v>467</v>
      </c>
      <c r="BB43" t="s">
        <v>224</v>
      </c>
      <c r="BC43" t="s">
        <v>308</v>
      </c>
      <c r="BD43" t="s">
        <v>308</v>
      </c>
      <c r="BF43" t="s">
        <v>374</v>
      </c>
      <c r="BG43" t="s">
        <v>374</v>
      </c>
      <c r="BI43" t="s">
        <v>309</v>
      </c>
      <c r="BJ43" t="s">
        <v>309</v>
      </c>
      <c r="BL43" t="s">
        <v>309</v>
      </c>
      <c r="BM43" t="s">
        <v>309</v>
      </c>
      <c r="BO43" t="s">
        <v>310</v>
      </c>
      <c r="BP43" t="s">
        <v>310</v>
      </c>
      <c r="BR43" t="s">
        <v>311</v>
      </c>
      <c r="BS43" t="s">
        <v>311</v>
      </c>
      <c r="BU43" t="s">
        <v>227</v>
      </c>
      <c r="BV43" t="s">
        <v>227</v>
      </c>
      <c r="BX43" t="s">
        <v>227</v>
      </c>
      <c r="BY43" t="s">
        <v>227</v>
      </c>
      <c r="CA43" t="s">
        <v>253</v>
      </c>
      <c r="CB43" t="s">
        <v>253</v>
      </c>
      <c r="CD43" t="s">
        <v>75</v>
      </c>
      <c r="CE43" t="s">
        <v>290</v>
      </c>
      <c r="CF43" t="s">
        <v>286</v>
      </c>
      <c r="CI43">
        <v>1</v>
      </c>
      <c r="CL43" t="s">
        <v>149</v>
      </c>
    </row>
    <row r="44" spans="1:91" x14ac:dyDescent="0.2">
      <c r="A44" t="s">
        <v>67</v>
      </c>
      <c r="E44" t="s">
        <v>78</v>
      </c>
      <c r="F44" t="s">
        <v>69</v>
      </c>
      <c r="G44" t="s">
        <v>452</v>
      </c>
      <c r="H44" t="s">
        <v>468</v>
      </c>
      <c r="I44" t="s">
        <v>124</v>
      </c>
      <c r="J44" t="s">
        <v>454</v>
      </c>
      <c r="K44" t="s">
        <v>125</v>
      </c>
      <c r="L44" t="s">
        <v>455</v>
      </c>
      <c r="M44" t="s">
        <v>73</v>
      </c>
      <c r="N44" t="s">
        <v>73</v>
      </c>
      <c r="O44" t="s">
        <v>83</v>
      </c>
      <c r="P44" t="s">
        <v>469</v>
      </c>
      <c r="S44" t="s">
        <v>264</v>
      </c>
      <c r="T44" t="s">
        <v>470</v>
      </c>
      <c r="U44" t="s">
        <v>74</v>
      </c>
      <c r="V44" t="s">
        <v>121</v>
      </c>
      <c r="W44" t="s">
        <v>122</v>
      </c>
      <c r="X44" t="s">
        <v>123</v>
      </c>
      <c r="Y44" t="s">
        <v>471</v>
      </c>
      <c r="AF44" t="s">
        <v>459</v>
      </c>
      <c r="AM44" t="s">
        <v>117</v>
      </c>
      <c r="AN44" t="s">
        <v>374</v>
      </c>
      <c r="AO44" t="s">
        <v>374</v>
      </c>
      <c r="AQ44" t="s">
        <v>301</v>
      </c>
      <c r="AR44" t="s">
        <v>301</v>
      </c>
      <c r="AT44" t="s">
        <v>307</v>
      </c>
      <c r="AU44" t="s">
        <v>307</v>
      </c>
      <c r="AW44" t="s">
        <v>212</v>
      </c>
      <c r="AX44" t="s">
        <v>212</v>
      </c>
      <c r="AZ44" t="s">
        <v>472</v>
      </c>
      <c r="BA44" t="s">
        <v>473</v>
      </c>
      <c r="BB44" t="s">
        <v>224</v>
      </c>
      <c r="BC44" t="s">
        <v>308</v>
      </c>
      <c r="BD44" t="s">
        <v>308</v>
      </c>
      <c r="BF44" t="s">
        <v>374</v>
      </c>
      <c r="BG44" t="s">
        <v>374</v>
      </c>
      <c r="BI44" t="s">
        <v>309</v>
      </c>
      <c r="BJ44" t="s">
        <v>309</v>
      </c>
      <c r="BL44" t="s">
        <v>309</v>
      </c>
      <c r="BM44" t="s">
        <v>309</v>
      </c>
      <c r="BO44" t="s">
        <v>310</v>
      </c>
      <c r="BP44" t="s">
        <v>310</v>
      </c>
      <c r="BR44" t="s">
        <v>311</v>
      </c>
      <c r="BS44" t="s">
        <v>311</v>
      </c>
      <c r="BU44" t="s">
        <v>227</v>
      </c>
      <c r="BV44" t="s">
        <v>227</v>
      </c>
      <c r="BX44" t="s">
        <v>227</v>
      </c>
      <c r="BY44" t="s">
        <v>227</v>
      </c>
      <c r="CA44" t="s">
        <v>253</v>
      </c>
      <c r="CB44" t="s">
        <v>253</v>
      </c>
      <c r="CD44" t="s">
        <v>75</v>
      </c>
      <c r="CE44" t="s">
        <v>474</v>
      </c>
      <c r="CF44" t="s">
        <v>264</v>
      </c>
      <c r="CI44">
        <v>1</v>
      </c>
      <c r="CL44" t="s">
        <v>149</v>
      </c>
    </row>
    <row r="45" spans="1:91" x14ac:dyDescent="0.2">
      <c r="A45" t="s">
        <v>67</v>
      </c>
      <c r="E45" t="s">
        <v>78</v>
      </c>
      <c r="F45" t="s">
        <v>69</v>
      </c>
      <c r="G45" t="s">
        <v>452</v>
      </c>
      <c r="H45" t="s">
        <v>475</v>
      </c>
      <c r="I45" t="s">
        <v>124</v>
      </c>
      <c r="J45" t="s">
        <v>454</v>
      </c>
      <c r="K45" t="s">
        <v>125</v>
      </c>
      <c r="L45" t="s">
        <v>455</v>
      </c>
      <c r="M45" t="s">
        <v>73</v>
      </c>
      <c r="N45" t="s">
        <v>73</v>
      </c>
      <c r="O45" t="s">
        <v>83</v>
      </c>
      <c r="P45" t="s">
        <v>476</v>
      </c>
      <c r="S45" t="s">
        <v>477</v>
      </c>
      <c r="T45" t="s">
        <v>478</v>
      </c>
      <c r="U45" t="s">
        <v>74</v>
      </c>
      <c r="V45" t="s">
        <v>121</v>
      </c>
      <c r="W45" t="s">
        <v>122</v>
      </c>
      <c r="X45" t="s">
        <v>123</v>
      </c>
      <c r="Y45" t="s">
        <v>479</v>
      </c>
      <c r="AF45" t="s">
        <v>459</v>
      </c>
      <c r="AM45" t="s">
        <v>117</v>
      </c>
      <c r="AN45" t="s">
        <v>374</v>
      </c>
      <c r="AO45" t="s">
        <v>374</v>
      </c>
      <c r="AQ45" t="s">
        <v>301</v>
      </c>
      <c r="AR45" t="s">
        <v>301</v>
      </c>
      <c r="AT45" t="s">
        <v>307</v>
      </c>
      <c r="AU45" t="s">
        <v>307</v>
      </c>
      <c r="AW45" t="s">
        <v>212</v>
      </c>
      <c r="AX45" t="s">
        <v>212</v>
      </c>
      <c r="AZ45" t="s">
        <v>480</v>
      </c>
      <c r="BA45" t="s">
        <v>481</v>
      </c>
      <c r="BB45" t="s">
        <v>224</v>
      </c>
      <c r="BC45" t="s">
        <v>308</v>
      </c>
      <c r="BD45" t="s">
        <v>308</v>
      </c>
      <c r="BF45" t="s">
        <v>374</v>
      </c>
      <c r="BG45" t="s">
        <v>374</v>
      </c>
      <c r="BI45" t="s">
        <v>309</v>
      </c>
      <c r="BJ45" t="s">
        <v>309</v>
      </c>
      <c r="BL45" t="s">
        <v>309</v>
      </c>
      <c r="BM45" t="s">
        <v>309</v>
      </c>
      <c r="BO45" t="s">
        <v>310</v>
      </c>
      <c r="BP45" t="s">
        <v>310</v>
      </c>
      <c r="BR45" t="s">
        <v>311</v>
      </c>
      <c r="BS45" t="s">
        <v>311</v>
      </c>
      <c r="BU45" t="s">
        <v>227</v>
      </c>
      <c r="BV45" t="s">
        <v>227</v>
      </c>
      <c r="BX45" t="s">
        <v>227</v>
      </c>
      <c r="BY45" t="s">
        <v>227</v>
      </c>
      <c r="CA45" t="s">
        <v>253</v>
      </c>
      <c r="CB45" t="s">
        <v>253</v>
      </c>
      <c r="CD45" t="s">
        <v>75</v>
      </c>
      <c r="CE45" t="s">
        <v>482</v>
      </c>
      <c r="CF45" t="s">
        <v>477</v>
      </c>
      <c r="CI45">
        <v>1</v>
      </c>
      <c r="CL45" t="s">
        <v>149</v>
      </c>
    </row>
    <row r="46" spans="1:91" x14ac:dyDescent="0.2">
      <c r="A46" t="s">
        <v>67</v>
      </c>
      <c r="E46" t="s">
        <v>78</v>
      </c>
      <c r="F46" t="s">
        <v>69</v>
      </c>
      <c r="G46" t="s">
        <v>452</v>
      </c>
      <c r="H46" t="s">
        <v>483</v>
      </c>
      <c r="I46" t="s">
        <v>124</v>
      </c>
      <c r="J46" t="s">
        <v>454</v>
      </c>
      <c r="K46" t="s">
        <v>125</v>
      </c>
      <c r="L46" t="s">
        <v>455</v>
      </c>
      <c r="M46" t="s">
        <v>73</v>
      </c>
      <c r="N46" t="s">
        <v>73</v>
      </c>
      <c r="O46" t="s">
        <v>83</v>
      </c>
      <c r="P46" t="s">
        <v>484</v>
      </c>
      <c r="S46" t="s">
        <v>485</v>
      </c>
      <c r="T46" t="s">
        <v>486</v>
      </c>
      <c r="U46" t="s">
        <v>74</v>
      </c>
      <c r="V46" t="s">
        <v>121</v>
      </c>
      <c r="W46" t="s">
        <v>122</v>
      </c>
      <c r="X46" t="s">
        <v>123</v>
      </c>
      <c r="Y46" t="s">
        <v>487</v>
      </c>
      <c r="AF46" t="s">
        <v>459</v>
      </c>
      <c r="AM46" t="s">
        <v>117</v>
      </c>
      <c r="AN46" t="s">
        <v>374</v>
      </c>
      <c r="AO46" t="s">
        <v>374</v>
      </c>
      <c r="AQ46" t="s">
        <v>301</v>
      </c>
      <c r="AR46" t="s">
        <v>301</v>
      </c>
      <c r="AT46" t="s">
        <v>307</v>
      </c>
      <c r="AU46" t="s">
        <v>307</v>
      </c>
      <c r="AW46" t="s">
        <v>212</v>
      </c>
      <c r="AX46" t="s">
        <v>212</v>
      </c>
      <c r="AZ46" t="s">
        <v>222</v>
      </c>
      <c r="BA46" t="s">
        <v>488</v>
      </c>
      <c r="BB46" t="s">
        <v>224</v>
      </c>
      <c r="BC46" t="s">
        <v>308</v>
      </c>
      <c r="BD46" t="s">
        <v>308</v>
      </c>
      <c r="BF46" t="s">
        <v>374</v>
      </c>
      <c r="BG46" t="s">
        <v>374</v>
      </c>
      <c r="BI46" t="s">
        <v>309</v>
      </c>
      <c r="BJ46" t="s">
        <v>309</v>
      </c>
      <c r="BL46" t="s">
        <v>309</v>
      </c>
      <c r="BM46" t="s">
        <v>309</v>
      </c>
      <c r="BO46" t="s">
        <v>310</v>
      </c>
      <c r="BP46" t="s">
        <v>310</v>
      </c>
      <c r="BR46" t="s">
        <v>311</v>
      </c>
      <c r="BS46" t="s">
        <v>311</v>
      </c>
      <c r="BU46" t="s">
        <v>227</v>
      </c>
      <c r="BV46" t="s">
        <v>227</v>
      </c>
      <c r="BX46" t="s">
        <v>227</v>
      </c>
      <c r="BY46" t="s">
        <v>227</v>
      </c>
      <c r="CA46" t="s">
        <v>253</v>
      </c>
      <c r="CB46" t="s">
        <v>253</v>
      </c>
      <c r="CD46" t="s">
        <v>75</v>
      </c>
      <c r="CE46" t="s">
        <v>489</v>
      </c>
      <c r="CF46" t="s">
        <v>485</v>
      </c>
      <c r="CI46">
        <v>1</v>
      </c>
      <c r="CL46" t="s">
        <v>149</v>
      </c>
    </row>
    <row r="47" spans="1:91" x14ac:dyDescent="0.2">
      <c r="A47" t="s">
        <v>67</v>
      </c>
      <c r="E47" t="s">
        <v>78</v>
      </c>
      <c r="F47" t="s">
        <v>69</v>
      </c>
      <c r="G47" t="s">
        <v>490</v>
      </c>
      <c r="H47" t="s">
        <v>491</v>
      </c>
      <c r="I47" t="s">
        <v>124</v>
      </c>
      <c r="J47" t="s">
        <v>492</v>
      </c>
      <c r="K47" t="s">
        <v>125</v>
      </c>
      <c r="L47" t="s">
        <v>455</v>
      </c>
      <c r="M47" t="s">
        <v>73</v>
      </c>
      <c r="N47" t="s">
        <v>73</v>
      </c>
      <c r="O47" t="s">
        <v>83</v>
      </c>
      <c r="P47" t="s">
        <v>493</v>
      </c>
      <c r="S47" t="s">
        <v>462</v>
      </c>
      <c r="T47" t="s">
        <v>494</v>
      </c>
      <c r="U47" t="s">
        <v>74</v>
      </c>
      <c r="V47" t="s">
        <v>121</v>
      </c>
      <c r="W47" t="s">
        <v>122</v>
      </c>
      <c r="X47" t="s">
        <v>123</v>
      </c>
      <c r="Y47" t="s">
        <v>495</v>
      </c>
      <c r="AF47" t="s">
        <v>496</v>
      </c>
      <c r="AM47" t="s">
        <v>117</v>
      </c>
      <c r="AN47" t="s">
        <v>374</v>
      </c>
      <c r="AO47" t="s">
        <v>374</v>
      </c>
      <c r="AQ47" t="s">
        <v>301</v>
      </c>
      <c r="AR47" t="s">
        <v>301</v>
      </c>
      <c r="AT47" t="s">
        <v>307</v>
      </c>
      <c r="AU47" t="s">
        <v>307</v>
      </c>
      <c r="AW47" t="s">
        <v>212</v>
      </c>
      <c r="AX47" t="s">
        <v>212</v>
      </c>
      <c r="AZ47" t="s">
        <v>218</v>
      </c>
      <c r="BA47" t="s">
        <v>218</v>
      </c>
      <c r="BC47" t="s">
        <v>497</v>
      </c>
      <c r="BD47" t="s">
        <v>498</v>
      </c>
      <c r="BE47" t="s">
        <v>224</v>
      </c>
      <c r="BF47" t="s">
        <v>374</v>
      </c>
      <c r="BG47" t="s">
        <v>374</v>
      </c>
      <c r="BI47" t="s">
        <v>309</v>
      </c>
      <c r="BJ47" t="s">
        <v>309</v>
      </c>
      <c r="BL47" t="s">
        <v>309</v>
      </c>
      <c r="BM47" t="s">
        <v>309</v>
      </c>
      <c r="BO47" t="s">
        <v>310</v>
      </c>
      <c r="BP47" t="s">
        <v>310</v>
      </c>
      <c r="BR47" t="s">
        <v>311</v>
      </c>
      <c r="BS47" t="s">
        <v>311</v>
      </c>
      <c r="BU47" t="s">
        <v>227</v>
      </c>
      <c r="BV47" t="s">
        <v>227</v>
      </c>
      <c r="BX47" t="s">
        <v>227</v>
      </c>
      <c r="BY47" t="s">
        <v>227</v>
      </c>
      <c r="CA47" t="s">
        <v>253</v>
      </c>
      <c r="CB47" t="s">
        <v>253</v>
      </c>
      <c r="CD47" t="s">
        <v>75</v>
      </c>
      <c r="CE47" t="s">
        <v>499</v>
      </c>
      <c r="CF47" t="s">
        <v>462</v>
      </c>
      <c r="CI47">
        <v>1</v>
      </c>
      <c r="CL47" t="s">
        <v>149</v>
      </c>
    </row>
    <row r="48" spans="1:91" x14ac:dyDescent="0.2">
      <c r="A48" t="s">
        <v>67</v>
      </c>
      <c r="E48" t="s">
        <v>78</v>
      </c>
      <c r="F48" t="s">
        <v>69</v>
      </c>
      <c r="G48" t="s">
        <v>490</v>
      </c>
      <c r="H48" t="s">
        <v>500</v>
      </c>
      <c r="I48" t="s">
        <v>124</v>
      </c>
      <c r="J48" t="s">
        <v>492</v>
      </c>
      <c r="K48" t="s">
        <v>125</v>
      </c>
      <c r="L48" t="s">
        <v>455</v>
      </c>
      <c r="M48" t="s">
        <v>73</v>
      </c>
      <c r="N48" t="s">
        <v>73</v>
      </c>
      <c r="O48" t="s">
        <v>83</v>
      </c>
      <c r="P48" t="s">
        <v>501</v>
      </c>
      <c r="S48" t="s">
        <v>502</v>
      </c>
      <c r="T48" t="s">
        <v>503</v>
      </c>
      <c r="U48" t="s">
        <v>74</v>
      </c>
      <c r="V48" t="s">
        <v>121</v>
      </c>
      <c r="W48" t="s">
        <v>122</v>
      </c>
      <c r="X48" t="s">
        <v>123</v>
      </c>
      <c r="Y48" t="s">
        <v>504</v>
      </c>
      <c r="AF48" t="s">
        <v>496</v>
      </c>
      <c r="AM48" t="s">
        <v>117</v>
      </c>
      <c r="AN48" t="s">
        <v>374</v>
      </c>
      <c r="AO48" t="s">
        <v>374</v>
      </c>
      <c r="AQ48" t="s">
        <v>301</v>
      </c>
      <c r="AR48" t="s">
        <v>301</v>
      </c>
      <c r="AT48" t="s">
        <v>307</v>
      </c>
      <c r="AU48" t="s">
        <v>307</v>
      </c>
      <c r="AW48" t="s">
        <v>212</v>
      </c>
      <c r="AX48" t="s">
        <v>212</v>
      </c>
      <c r="AZ48" t="s">
        <v>218</v>
      </c>
      <c r="BA48" t="s">
        <v>218</v>
      </c>
      <c r="BC48" t="s">
        <v>222</v>
      </c>
      <c r="BD48" t="s">
        <v>505</v>
      </c>
      <c r="BE48" t="s">
        <v>224</v>
      </c>
      <c r="BF48" t="s">
        <v>374</v>
      </c>
      <c r="BG48" t="s">
        <v>374</v>
      </c>
      <c r="BI48" t="s">
        <v>309</v>
      </c>
      <c r="BJ48" t="s">
        <v>309</v>
      </c>
      <c r="BL48" t="s">
        <v>309</v>
      </c>
      <c r="BM48" t="s">
        <v>309</v>
      </c>
      <c r="BO48" t="s">
        <v>310</v>
      </c>
      <c r="BP48" t="s">
        <v>310</v>
      </c>
      <c r="BR48" t="s">
        <v>311</v>
      </c>
      <c r="BS48" t="s">
        <v>311</v>
      </c>
      <c r="BU48" t="s">
        <v>227</v>
      </c>
      <c r="BV48" t="s">
        <v>227</v>
      </c>
      <c r="BX48" t="s">
        <v>227</v>
      </c>
      <c r="BY48" t="s">
        <v>227</v>
      </c>
      <c r="CA48" t="s">
        <v>253</v>
      </c>
      <c r="CB48" t="s">
        <v>253</v>
      </c>
      <c r="CD48" t="s">
        <v>75</v>
      </c>
      <c r="CE48" t="s">
        <v>506</v>
      </c>
      <c r="CF48" t="s">
        <v>503</v>
      </c>
      <c r="CI48">
        <v>1</v>
      </c>
      <c r="CL48" t="s">
        <v>149</v>
      </c>
    </row>
    <row r="49" spans="1:90" x14ac:dyDescent="0.2">
      <c r="A49" t="s">
        <v>67</v>
      </c>
      <c r="E49" t="s">
        <v>78</v>
      </c>
      <c r="F49" t="s">
        <v>86</v>
      </c>
      <c r="G49" t="s">
        <v>507</v>
      </c>
      <c r="H49" t="s">
        <v>517</v>
      </c>
      <c r="I49" t="s">
        <v>95</v>
      </c>
      <c r="J49" t="s">
        <v>509</v>
      </c>
      <c r="K49" t="s">
        <v>71</v>
      </c>
      <c r="L49" t="s">
        <v>89</v>
      </c>
      <c r="M49" t="s">
        <v>510</v>
      </c>
      <c r="N49" t="s">
        <v>73</v>
      </c>
      <c r="O49" t="s">
        <v>83</v>
      </c>
      <c r="P49" t="s">
        <v>518</v>
      </c>
      <c r="S49" t="s">
        <v>519</v>
      </c>
      <c r="T49" t="s">
        <v>520</v>
      </c>
      <c r="U49" t="s">
        <v>74</v>
      </c>
      <c r="V49" t="s">
        <v>511</v>
      </c>
      <c r="W49" t="s">
        <v>512</v>
      </c>
      <c r="X49" t="s">
        <v>521</v>
      </c>
      <c r="AF49" t="s">
        <v>513</v>
      </c>
      <c r="AM49" t="s">
        <v>117</v>
      </c>
      <c r="AN49" t="s">
        <v>250</v>
      </c>
      <c r="AO49" t="s">
        <v>250</v>
      </c>
      <c r="AQ49" t="s">
        <v>462</v>
      </c>
      <c r="AR49" t="s">
        <v>522</v>
      </c>
      <c r="AS49" t="s">
        <v>515</v>
      </c>
      <c r="AT49" t="s">
        <v>218</v>
      </c>
      <c r="AU49" t="s">
        <v>218</v>
      </c>
      <c r="AW49" t="s">
        <v>219</v>
      </c>
      <c r="AX49" t="s">
        <v>219</v>
      </c>
      <c r="AZ49" t="s">
        <v>220</v>
      </c>
      <c r="BA49" t="s">
        <v>220</v>
      </c>
      <c r="BC49" t="s">
        <v>221</v>
      </c>
      <c r="BD49" t="s">
        <v>221</v>
      </c>
      <c r="BF49" t="s">
        <v>523</v>
      </c>
      <c r="BG49" t="s">
        <v>523</v>
      </c>
      <c r="BI49" t="s">
        <v>225</v>
      </c>
      <c r="BJ49" t="s">
        <v>225</v>
      </c>
      <c r="BL49" t="s">
        <v>225</v>
      </c>
      <c r="BM49" t="s">
        <v>225</v>
      </c>
      <c r="BO49" t="s">
        <v>226</v>
      </c>
      <c r="BP49" t="s">
        <v>226</v>
      </c>
      <c r="BR49" t="s">
        <v>227</v>
      </c>
      <c r="BS49" t="s">
        <v>227</v>
      </c>
      <c r="BU49" t="s">
        <v>228</v>
      </c>
      <c r="BV49" t="s">
        <v>228</v>
      </c>
      <c r="BX49" t="s">
        <v>227</v>
      </c>
      <c r="BY49" t="s">
        <v>227</v>
      </c>
      <c r="CA49" t="s">
        <v>216</v>
      </c>
      <c r="CB49" t="s">
        <v>216</v>
      </c>
      <c r="CD49" t="s">
        <v>75</v>
      </c>
      <c r="CE49" t="s">
        <v>524</v>
      </c>
      <c r="CF49" t="s">
        <v>519</v>
      </c>
      <c r="CI49">
        <v>1</v>
      </c>
      <c r="CL49" t="s">
        <v>149</v>
      </c>
    </row>
    <row r="50" spans="1:90" x14ac:dyDescent="0.2">
      <c r="A50" t="s">
        <v>67</v>
      </c>
      <c r="E50" t="s">
        <v>78</v>
      </c>
      <c r="F50" t="s">
        <v>86</v>
      </c>
      <c r="G50" t="s">
        <v>507</v>
      </c>
      <c r="H50" t="s">
        <v>525</v>
      </c>
      <c r="I50" t="s">
        <v>95</v>
      </c>
      <c r="J50" t="s">
        <v>509</v>
      </c>
      <c r="K50" t="s">
        <v>71</v>
      </c>
      <c r="L50" t="s">
        <v>89</v>
      </c>
      <c r="M50" t="s">
        <v>510</v>
      </c>
      <c r="N50" t="s">
        <v>73</v>
      </c>
      <c r="O50" t="s">
        <v>83</v>
      </c>
      <c r="P50" t="s">
        <v>526</v>
      </c>
      <c r="S50" t="s">
        <v>228</v>
      </c>
      <c r="T50" t="s">
        <v>527</v>
      </c>
      <c r="U50" t="s">
        <v>74</v>
      </c>
      <c r="V50" t="s">
        <v>511</v>
      </c>
      <c r="W50" t="s">
        <v>512</v>
      </c>
      <c r="X50" t="s">
        <v>528</v>
      </c>
      <c r="AF50" t="s">
        <v>513</v>
      </c>
      <c r="AM50" t="s">
        <v>117</v>
      </c>
      <c r="AN50" t="s">
        <v>250</v>
      </c>
      <c r="AO50" t="s">
        <v>250</v>
      </c>
      <c r="AQ50" t="s">
        <v>462</v>
      </c>
      <c r="AR50" t="s">
        <v>522</v>
      </c>
      <c r="AS50" t="s">
        <v>515</v>
      </c>
      <c r="AT50" t="s">
        <v>218</v>
      </c>
      <c r="AU50" t="s">
        <v>218</v>
      </c>
      <c r="AW50" t="s">
        <v>219</v>
      </c>
      <c r="AX50" t="s">
        <v>219</v>
      </c>
      <c r="AZ50" t="s">
        <v>220</v>
      </c>
      <c r="BA50" t="s">
        <v>220</v>
      </c>
      <c r="BC50" t="s">
        <v>221</v>
      </c>
      <c r="BD50" t="s">
        <v>221</v>
      </c>
      <c r="BF50" t="s">
        <v>529</v>
      </c>
      <c r="BG50" t="s">
        <v>529</v>
      </c>
      <c r="BI50" t="s">
        <v>225</v>
      </c>
      <c r="BJ50" t="s">
        <v>225</v>
      </c>
      <c r="BL50" t="s">
        <v>225</v>
      </c>
      <c r="BM50" t="s">
        <v>225</v>
      </c>
      <c r="BO50" t="s">
        <v>226</v>
      </c>
      <c r="BP50" t="s">
        <v>226</v>
      </c>
      <c r="BR50" t="s">
        <v>227</v>
      </c>
      <c r="BS50" t="s">
        <v>227</v>
      </c>
      <c r="BU50" t="s">
        <v>228</v>
      </c>
      <c r="BV50" t="s">
        <v>228</v>
      </c>
      <c r="BX50" t="s">
        <v>227</v>
      </c>
      <c r="BY50" t="s">
        <v>227</v>
      </c>
      <c r="CA50" t="s">
        <v>216</v>
      </c>
      <c r="CB50" t="s">
        <v>216</v>
      </c>
      <c r="CD50" t="s">
        <v>75</v>
      </c>
      <c r="CE50" t="s">
        <v>530</v>
      </c>
      <c r="CF50" t="s">
        <v>228</v>
      </c>
      <c r="CI50">
        <v>1</v>
      </c>
      <c r="CL50" t="s">
        <v>149</v>
      </c>
    </row>
    <row r="51" spans="1:90" x14ac:dyDescent="0.2">
      <c r="A51" t="s">
        <v>67</v>
      </c>
      <c r="E51" t="s">
        <v>78</v>
      </c>
      <c r="F51" t="s">
        <v>86</v>
      </c>
      <c r="G51" t="s">
        <v>507</v>
      </c>
      <c r="H51" t="s">
        <v>508</v>
      </c>
      <c r="I51" t="s">
        <v>531</v>
      </c>
      <c r="J51" t="s">
        <v>532</v>
      </c>
      <c r="K51" t="s">
        <v>125</v>
      </c>
      <c r="L51" t="s">
        <v>73</v>
      </c>
      <c r="M51" t="s">
        <v>73</v>
      </c>
      <c r="N51" t="s">
        <v>533</v>
      </c>
      <c r="O51" t="s">
        <v>83</v>
      </c>
      <c r="P51" t="s">
        <v>534</v>
      </c>
      <c r="S51" t="s">
        <v>350</v>
      </c>
      <c r="T51" t="s">
        <v>535</v>
      </c>
      <c r="U51" t="s">
        <v>74</v>
      </c>
      <c r="V51" t="s">
        <v>536</v>
      </c>
      <c r="W51" t="s">
        <v>537</v>
      </c>
      <c r="X51" t="s">
        <v>538</v>
      </c>
      <c r="AF51" t="s">
        <v>539</v>
      </c>
      <c r="AM51" t="s">
        <v>117</v>
      </c>
      <c r="AN51" t="s">
        <v>374</v>
      </c>
      <c r="AO51" t="s">
        <v>374</v>
      </c>
      <c r="AQ51" t="s">
        <v>540</v>
      </c>
      <c r="AR51" t="s">
        <v>362</v>
      </c>
      <c r="AS51" t="s">
        <v>224</v>
      </c>
      <c r="AT51" t="s">
        <v>307</v>
      </c>
      <c r="AU51" t="s">
        <v>307</v>
      </c>
      <c r="AW51" t="s">
        <v>212</v>
      </c>
      <c r="AX51" t="s">
        <v>212</v>
      </c>
      <c r="AZ51" t="s">
        <v>218</v>
      </c>
      <c r="BA51" t="s">
        <v>218</v>
      </c>
      <c r="BC51" t="s">
        <v>308</v>
      </c>
      <c r="BD51" t="s">
        <v>308</v>
      </c>
      <c r="BF51" t="s">
        <v>350</v>
      </c>
      <c r="BG51" t="s">
        <v>350</v>
      </c>
      <c r="BI51" t="s">
        <v>309</v>
      </c>
      <c r="BJ51" t="s">
        <v>309</v>
      </c>
      <c r="BL51" t="s">
        <v>309</v>
      </c>
      <c r="BM51" t="s">
        <v>309</v>
      </c>
      <c r="BO51" t="s">
        <v>310</v>
      </c>
      <c r="BP51" t="s">
        <v>310</v>
      </c>
      <c r="BR51" t="s">
        <v>311</v>
      </c>
      <c r="BS51" t="s">
        <v>311</v>
      </c>
      <c r="BU51" t="s">
        <v>227</v>
      </c>
      <c r="BV51" t="s">
        <v>227</v>
      </c>
      <c r="BX51" t="s">
        <v>227</v>
      </c>
      <c r="BY51" t="s">
        <v>227</v>
      </c>
      <c r="CA51" t="s">
        <v>253</v>
      </c>
      <c r="CB51" t="s">
        <v>253</v>
      </c>
      <c r="CD51" t="s">
        <v>75</v>
      </c>
      <c r="CE51" t="s">
        <v>541</v>
      </c>
      <c r="CF51" t="s">
        <v>350</v>
      </c>
      <c r="CI51">
        <v>1</v>
      </c>
      <c r="CL51" t="s">
        <v>149</v>
      </c>
    </row>
    <row r="52" spans="1:90" x14ac:dyDescent="0.2">
      <c r="A52" t="s">
        <v>67</v>
      </c>
      <c r="E52" t="s">
        <v>78</v>
      </c>
      <c r="F52" t="s">
        <v>86</v>
      </c>
      <c r="G52" t="s">
        <v>507</v>
      </c>
      <c r="H52" t="s">
        <v>517</v>
      </c>
      <c r="I52" t="s">
        <v>531</v>
      </c>
      <c r="J52" t="s">
        <v>532</v>
      </c>
      <c r="K52" t="s">
        <v>125</v>
      </c>
      <c r="L52" t="s">
        <v>73</v>
      </c>
      <c r="M52" t="s">
        <v>73</v>
      </c>
      <c r="N52" t="s">
        <v>533</v>
      </c>
      <c r="O52" t="s">
        <v>83</v>
      </c>
      <c r="P52" t="s">
        <v>542</v>
      </c>
      <c r="S52" t="s">
        <v>359</v>
      </c>
      <c r="T52" t="s">
        <v>543</v>
      </c>
      <c r="U52" t="s">
        <v>74</v>
      </c>
      <c r="V52" t="s">
        <v>536</v>
      </c>
      <c r="W52" t="s">
        <v>537</v>
      </c>
      <c r="X52" t="s">
        <v>544</v>
      </c>
      <c r="AF52" t="s">
        <v>539</v>
      </c>
      <c r="AM52" t="s">
        <v>117</v>
      </c>
      <c r="AN52" t="s">
        <v>374</v>
      </c>
      <c r="AO52" t="s">
        <v>374</v>
      </c>
      <c r="AQ52" t="s">
        <v>545</v>
      </c>
      <c r="AR52" t="s">
        <v>546</v>
      </c>
      <c r="AS52" t="s">
        <v>224</v>
      </c>
      <c r="AT52" t="s">
        <v>307</v>
      </c>
      <c r="AU52" t="s">
        <v>307</v>
      </c>
      <c r="AW52" t="s">
        <v>212</v>
      </c>
      <c r="AX52" t="s">
        <v>212</v>
      </c>
      <c r="AZ52" t="s">
        <v>218</v>
      </c>
      <c r="BA52" t="s">
        <v>218</v>
      </c>
      <c r="BC52" t="s">
        <v>308</v>
      </c>
      <c r="BD52" t="s">
        <v>308</v>
      </c>
      <c r="BF52" t="s">
        <v>359</v>
      </c>
      <c r="BG52" t="s">
        <v>359</v>
      </c>
      <c r="BI52" t="s">
        <v>309</v>
      </c>
      <c r="BJ52" t="s">
        <v>309</v>
      </c>
      <c r="BL52" t="s">
        <v>309</v>
      </c>
      <c r="BM52" t="s">
        <v>309</v>
      </c>
      <c r="BO52" t="s">
        <v>310</v>
      </c>
      <c r="BP52" t="s">
        <v>310</v>
      </c>
      <c r="BR52" t="s">
        <v>311</v>
      </c>
      <c r="BS52" t="s">
        <v>311</v>
      </c>
      <c r="BU52" t="s">
        <v>227</v>
      </c>
      <c r="BV52" t="s">
        <v>227</v>
      </c>
      <c r="BX52" t="s">
        <v>227</v>
      </c>
      <c r="BY52" t="s">
        <v>227</v>
      </c>
      <c r="CA52" t="s">
        <v>253</v>
      </c>
      <c r="CB52" t="s">
        <v>253</v>
      </c>
      <c r="CD52" t="s">
        <v>75</v>
      </c>
      <c r="CE52" t="s">
        <v>547</v>
      </c>
      <c r="CF52" t="s">
        <v>359</v>
      </c>
      <c r="CI52">
        <v>1</v>
      </c>
      <c r="CL52" t="s">
        <v>149</v>
      </c>
    </row>
    <row r="53" spans="1:90" x14ac:dyDescent="0.2">
      <c r="A53" t="s">
        <v>67</v>
      </c>
      <c r="E53" t="s">
        <v>78</v>
      </c>
      <c r="F53" t="s">
        <v>86</v>
      </c>
      <c r="G53" t="s">
        <v>507</v>
      </c>
      <c r="H53" t="s">
        <v>525</v>
      </c>
      <c r="I53" t="s">
        <v>531</v>
      </c>
      <c r="J53" t="s">
        <v>532</v>
      </c>
      <c r="K53" t="s">
        <v>125</v>
      </c>
      <c r="L53" t="s">
        <v>73</v>
      </c>
      <c r="M53" t="s">
        <v>73</v>
      </c>
      <c r="N53" t="s">
        <v>533</v>
      </c>
      <c r="O53" t="s">
        <v>83</v>
      </c>
      <c r="P53" t="s">
        <v>548</v>
      </c>
      <c r="S53" t="s">
        <v>514</v>
      </c>
      <c r="T53" t="s">
        <v>549</v>
      </c>
      <c r="U53" t="s">
        <v>74</v>
      </c>
      <c r="V53" t="s">
        <v>536</v>
      </c>
      <c r="W53" t="s">
        <v>537</v>
      </c>
      <c r="X53" t="s">
        <v>550</v>
      </c>
      <c r="AF53" t="s">
        <v>539</v>
      </c>
      <c r="AM53" t="s">
        <v>117</v>
      </c>
      <c r="AN53" t="s">
        <v>374</v>
      </c>
      <c r="AO53" t="s">
        <v>374</v>
      </c>
      <c r="AQ53" t="s">
        <v>551</v>
      </c>
      <c r="AR53" t="s">
        <v>552</v>
      </c>
      <c r="AS53" t="s">
        <v>224</v>
      </c>
      <c r="AT53" t="s">
        <v>307</v>
      </c>
      <c r="AU53" t="s">
        <v>307</v>
      </c>
      <c r="AW53" t="s">
        <v>212</v>
      </c>
      <c r="AX53" t="s">
        <v>212</v>
      </c>
      <c r="AZ53" t="s">
        <v>218</v>
      </c>
      <c r="BA53" t="s">
        <v>218</v>
      </c>
      <c r="BC53" t="s">
        <v>308</v>
      </c>
      <c r="BD53" t="s">
        <v>308</v>
      </c>
      <c r="BF53" t="s">
        <v>514</v>
      </c>
      <c r="BG53" t="s">
        <v>514</v>
      </c>
      <c r="BI53" t="s">
        <v>309</v>
      </c>
      <c r="BJ53" t="s">
        <v>309</v>
      </c>
      <c r="BL53" t="s">
        <v>309</v>
      </c>
      <c r="BM53" t="s">
        <v>309</v>
      </c>
      <c r="BO53" t="s">
        <v>310</v>
      </c>
      <c r="BP53" t="s">
        <v>310</v>
      </c>
      <c r="BR53" t="s">
        <v>311</v>
      </c>
      <c r="BS53" t="s">
        <v>311</v>
      </c>
      <c r="BU53" t="s">
        <v>227</v>
      </c>
      <c r="BV53" t="s">
        <v>227</v>
      </c>
      <c r="BX53" t="s">
        <v>227</v>
      </c>
      <c r="BY53" t="s">
        <v>227</v>
      </c>
      <c r="CA53" t="s">
        <v>253</v>
      </c>
      <c r="CB53" t="s">
        <v>253</v>
      </c>
      <c r="CD53" t="s">
        <v>75</v>
      </c>
      <c r="CE53" t="s">
        <v>553</v>
      </c>
      <c r="CF53" t="s">
        <v>514</v>
      </c>
      <c r="CI53">
        <v>1</v>
      </c>
      <c r="CL53" t="s">
        <v>149</v>
      </c>
    </row>
    <row r="54" spans="1:90" x14ac:dyDescent="0.2">
      <c r="A54" t="s">
        <v>67</v>
      </c>
      <c r="E54" t="s">
        <v>78</v>
      </c>
      <c r="F54" t="s">
        <v>68</v>
      </c>
      <c r="G54" t="s">
        <v>68</v>
      </c>
      <c r="H54" t="s">
        <v>554</v>
      </c>
      <c r="I54" t="s">
        <v>555</v>
      </c>
      <c r="J54" t="s">
        <v>556</v>
      </c>
      <c r="K54" t="s">
        <v>125</v>
      </c>
      <c r="L54" t="s">
        <v>73</v>
      </c>
      <c r="M54" t="s">
        <v>73</v>
      </c>
      <c r="N54" t="s">
        <v>557</v>
      </c>
      <c r="O54" t="s">
        <v>83</v>
      </c>
      <c r="P54" t="s">
        <v>558</v>
      </c>
      <c r="S54" t="s">
        <v>263</v>
      </c>
      <c r="T54" t="s">
        <v>559</v>
      </c>
      <c r="U54" t="s">
        <v>74</v>
      </c>
      <c r="V54" t="s">
        <v>560</v>
      </c>
      <c r="Y54" t="s">
        <v>561</v>
      </c>
      <c r="Z54" t="s">
        <v>562</v>
      </c>
      <c r="AA54" t="s">
        <v>563</v>
      </c>
      <c r="AB54" t="s">
        <v>564</v>
      </c>
      <c r="AC54" t="s">
        <v>565</v>
      </c>
      <c r="AF54" t="s">
        <v>566</v>
      </c>
      <c r="AM54" t="s">
        <v>408</v>
      </c>
      <c r="AN54" t="s">
        <v>374</v>
      </c>
      <c r="AO54" t="s">
        <v>374</v>
      </c>
      <c r="AQ54" t="s">
        <v>301</v>
      </c>
      <c r="AR54" t="s">
        <v>301</v>
      </c>
      <c r="AT54" t="s">
        <v>567</v>
      </c>
      <c r="AU54" t="s">
        <v>362</v>
      </c>
      <c r="AV54" t="s">
        <v>224</v>
      </c>
      <c r="AW54" t="s">
        <v>212</v>
      </c>
      <c r="AX54" t="s">
        <v>212</v>
      </c>
      <c r="AZ54" t="s">
        <v>218</v>
      </c>
      <c r="BA54" t="s">
        <v>218</v>
      </c>
      <c r="BC54" t="s">
        <v>308</v>
      </c>
      <c r="BD54" t="s">
        <v>308</v>
      </c>
      <c r="BF54" t="s">
        <v>374</v>
      </c>
      <c r="BG54" t="s">
        <v>374</v>
      </c>
      <c r="BI54" t="s">
        <v>309</v>
      </c>
      <c r="BJ54" t="s">
        <v>309</v>
      </c>
      <c r="BL54" t="s">
        <v>309</v>
      </c>
      <c r="BM54" t="s">
        <v>309</v>
      </c>
      <c r="BO54" t="s">
        <v>310</v>
      </c>
      <c r="BP54" t="s">
        <v>310</v>
      </c>
      <c r="BR54" t="s">
        <v>311</v>
      </c>
      <c r="BS54" t="s">
        <v>311</v>
      </c>
      <c r="BU54" t="s">
        <v>227</v>
      </c>
      <c r="BV54" t="s">
        <v>227</v>
      </c>
      <c r="BX54" t="s">
        <v>227</v>
      </c>
      <c r="BY54" t="s">
        <v>227</v>
      </c>
      <c r="CA54" t="s">
        <v>253</v>
      </c>
      <c r="CB54" t="s">
        <v>253</v>
      </c>
      <c r="CD54" t="s">
        <v>75</v>
      </c>
      <c r="CE54" t="s">
        <v>568</v>
      </c>
      <c r="CF54" t="s">
        <v>263</v>
      </c>
      <c r="CI54">
        <v>1</v>
      </c>
      <c r="CL54" t="s">
        <v>149</v>
      </c>
    </row>
    <row r="55" spans="1:90" x14ac:dyDescent="0.2">
      <c r="A55" t="s">
        <v>67</v>
      </c>
      <c r="E55" t="s">
        <v>78</v>
      </c>
      <c r="F55" t="s">
        <v>68</v>
      </c>
      <c r="G55" t="s">
        <v>68</v>
      </c>
      <c r="H55" t="s">
        <v>569</v>
      </c>
      <c r="I55" t="s">
        <v>555</v>
      </c>
      <c r="J55" t="s">
        <v>556</v>
      </c>
      <c r="K55" t="s">
        <v>125</v>
      </c>
      <c r="L55" t="s">
        <v>73</v>
      </c>
      <c r="M55" t="s">
        <v>73</v>
      </c>
      <c r="N55" t="s">
        <v>557</v>
      </c>
      <c r="O55" t="s">
        <v>83</v>
      </c>
      <c r="P55" t="s">
        <v>570</v>
      </c>
      <c r="S55" t="s">
        <v>571</v>
      </c>
      <c r="T55" t="s">
        <v>572</v>
      </c>
      <c r="U55" t="s">
        <v>74</v>
      </c>
      <c r="V55" t="s">
        <v>560</v>
      </c>
      <c r="Y55" t="s">
        <v>561</v>
      </c>
      <c r="Z55" t="s">
        <v>562</v>
      </c>
      <c r="AA55" t="s">
        <v>563</v>
      </c>
      <c r="AB55" t="s">
        <v>573</v>
      </c>
      <c r="AC55" t="s">
        <v>565</v>
      </c>
      <c r="AF55" t="s">
        <v>566</v>
      </c>
      <c r="AM55" t="s">
        <v>408</v>
      </c>
      <c r="AN55" t="s">
        <v>374</v>
      </c>
      <c r="AO55" t="s">
        <v>374</v>
      </c>
      <c r="AQ55" t="s">
        <v>301</v>
      </c>
      <c r="AR55" t="s">
        <v>301</v>
      </c>
      <c r="AT55" t="s">
        <v>574</v>
      </c>
      <c r="AU55" t="s">
        <v>362</v>
      </c>
      <c r="AV55" t="s">
        <v>224</v>
      </c>
      <c r="AW55" t="s">
        <v>212</v>
      </c>
      <c r="AX55" t="s">
        <v>212</v>
      </c>
      <c r="AZ55" t="s">
        <v>218</v>
      </c>
      <c r="BA55" t="s">
        <v>218</v>
      </c>
      <c r="BC55" t="s">
        <v>308</v>
      </c>
      <c r="BD55" t="s">
        <v>308</v>
      </c>
      <c r="BF55" t="s">
        <v>374</v>
      </c>
      <c r="BG55" t="s">
        <v>374</v>
      </c>
      <c r="BI55" t="s">
        <v>309</v>
      </c>
      <c r="BJ55" t="s">
        <v>309</v>
      </c>
      <c r="BL55" t="s">
        <v>309</v>
      </c>
      <c r="BM55" t="s">
        <v>309</v>
      </c>
      <c r="BO55" t="s">
        <v>310</v>
      </c>
      <c r="BP55" t="s">
        <v>310</v>
      </c>
      <c r="BR55" t="s">
        <v>311</v>
      </c>
      <c r="BS55" t="s">
        <v>311</v>
      </c>
      <c r="BU55" t="s">
        <v>227</v>
      </c>
      <c r="BV55" t="s">
        <v>227</v>
      </c>
      <c r="BX55" t="s">
        <v>227</v>
      </c>
      <c r="BY55" t="s">
        <v>227</v>
      </c>
      <c r="CA55" t="s">
        <v>253</v>
      </c>
      <c r="CB55" t="s">
        <v>253</v>
      </c>
      <c r="CD55" t="s">
        <v>75</v>
      </c>
      <c r="CE55" t="s">
        <v>575</v>
      </c>
      <c r="CF55" t="s">
        <v>571</v>
      </c>
      <c r="CI55">
        <v>1</v>
      </c>
      <c r="CL55" t="s">
        <v>149</v>
      </c>
    </row>
    <row r="56" spans="1:90" x14ac:dyDescent="0.2">
      <c r="A56" t="s">
        <v>67</v>
      </c>
      <c r="E56" t="s">
        <v>78</v>
      </c>
      <c r="F56" t="s">
        <v>68</v>
      </c>
      <c r="G56" t="s">
        <v>68</v>
      </c>
      <c r="H56" t="s">
        <v>576</v>
      </c>
      <c r="I56" t="s">
        <v>555</v>
      </c>
      <c r="J56" t="s">
        <v>556</v>
      </c>
      <c r="K56" t="s">
        <v>125</v>
      </c>
      <c r="L56" t="s">
        <v>73</v>
      </c>
      <c r="M56" t="s">
        <v>73</v>
      </c>
      <c r="N56" t="s">
        <v>557</v>
      </c>
      <c r="O56" t="s">
        <v>83</v>
      </c>
      <c r="P56" t="s">
        <v>577</v>
      </c>
      <c r="S56" t="s">
        <v>523</v>
      </c>
      <c r="T56" t="s">
        <v>578</v>
      </c>
      <c r="U56" t="s">
        <v>74</v>
      </c>
      <c r="V56" t="s">
        <v>560</v>
      </c>
      <c r="Y56" t="s">
        <v>561</v>
      </c>
      <c r="Z56" t="s">
        <v>562</v>
      </c>
      <c r="AA56" t="s">
        <v>563</v>
      </c>
      <c r="AB56" t="s">
        <v>579</v>
      </c>
      <c r="AC56" t="s">
        <v>565</v>
      </c>
      <c r="AF56" t="s">
        <v>566</v>
      </c>
      <c r="AM56" t="s">
        <v>408</v>
      </c>
      <c r="AN56" t="s">
        <v>374</v>
      </c>
      <c r="AO56" t="s">
        <v>374</v>
      </c>
      <c r="AQ56" t="s">
        <v>301</v>
      </c>
      <c r="AR56" t="s">
        <v>301</v>
      </c>
      <c r="AT56" t="s">
        <v>580</v>
      </c>
      <c r="AU56" t="s">
        <v>581</v>
      </c>
      <c r="AV56" t="s">
        <v>224</v>
      </c>
      <c r="AW56" t="s">
        <v>212</v>
      </c>
      <c r="AX56" t="s">
        <v>212</v>
      </c>
      <c r="AZ56" t="s">
        <v>218</v>
      </c>
      <c r="BA56" t="s">
        <v>218</v>
      </c>
      <c r="BC56" t="s">
        <v>308</v>
      </c>
      <c r="BD56" t="s">
        <v>308</v>
      </c>
      <c r="BF56" t="s">
        <v>374</v>
      </c>
      <c r="BG56" t="s">
        <v>374</v>
      </c>
      <c r="BI56" t="s">
        <v>309</v>
      </c>
      <c r="BJ56" t="s">
        <v>309</v>
      </c>
      <c r="BL56" t="s">
        <v>309</v>
      </c>
      <c r="BM56" t="s">
        <v>309</v>
      </c>
      <c r="BO56" t="s">
        <v>310</v>
      </c>
      <c r="BP56" t="s">
        <v>310</v>
      </c>
      <c r="BR56" t="s">
        <v>311</v>
      </c>
      <c r="BS56" t="s">
        <v>311</v>
      </c>
      <c r="BU56" t="s">
        <v>227</v>
      </c>
      <c r="BV56" t="s">
        <v>227</v>
      </c>
      <c r="BX56" t="s">
        <v>227</v>
      </c>
      <c r="BY56" t="s">
        <v>227</v>
      </c>
      <c r="CA56" t="s">
        <v>253</v>
      </c>
      <c r="CB56" t="s">
        <v>253</v>
      </c>
      <c r="CD56" t="s">
        <v>75</v>
      </c>
      <c r="CE56" t="s">
        <v>582</v>
      </c>
      <c r="CF56" t="s">
        <v>523</v>
      </c>
      <c r="CI56">
        <v>1</v>
      </c>
      <c r="CL56" t="s">
        <v>149</v>
      </c>
    </row>
    <row r="57" spans="1:90" x14ac:dyDescent="0.2">
      <c r="A57" t="s">
        <v>67</v>
      </c>
      <c r="E57" t="s">
        <v>78</v>
      </c>
      <c r="F57" t="s">
        <v>68</v>
      </c>
      <c r="G57" t="s">
        <v>68</v>
      </c>
      <c r="H57" t="s">
        <v>583</v>
      </c>
      <c r="I57" t="s">
        <v>555</v>
      </c>
      <c r="J57" t="s">
        <v>556</v>
      </c>
      <c r="K57" t="s">
        <v>125</v>
      </c>
      <c r="L57" t="s">
        <v>73</v>
      </c>
      <c r="M57" t="s">
        <v>73</v>
      </c>
      <c r="N57" t="s">
        <v>557</v>
      </c>
      <c r="O57" t="s">
        <v>83</v>
      </c>
      <c r="P57" t="s">
        <v>584</v>
      </c>
      <c r="S57" t="s">
        <v>585</v>
      </c>
      <c r="T57" t="s">
        <v>586</v>
      </c>
      <c r="U57" t="s">
        <v>74</v>
      </c>
      <c r="V57" t="s">
        <v>560</v>
      </c>
      <c r="Y57" t="s">
        <v>561</v>
      </c>
      <c r="Z57" t="s">
        <v>562</v>
      </c>
      <c r="AA57" t="s">
        <v>563</v>
      </c>
      <c r="AB57" t="s">
        <v>587</v>
      </c>
      <c r="AC57" t="s">
        <v>565</v>
      </c>
      <c r="AF57" t="s">
        <v>566</v>
      </c>
      <c r="AM57" t="s">
        <v>408</v>
      </c>
      <c r="AN57" t="s">
        <v>374</v>
      </c>
      <c r="AO57" t="s">
        <v>374</v>
      </c>
      <c r="AQ57" t="s">
        <v>301</v>
      </c>
      <c r="AR57" t="s">
        <v>301</v>
      </c>
      <c r="AT57" t="s">
        <v>588</v>
      </c>
      <c r="AU57" t="s">
        <v>589</v>
      </c>
      <c r="AV57" t="s">
        <v>224</v>
      </c>
      <c r="AW57" t="s">
        <v>212</v>
      </c>
      <c r="AX57" t="s">
        <v>212</v>
      </c>
      <c r="AZ57" t="s">
        <v>218</v>
      </c>
      <c r="BA57" t="s">
        <v>218</v>
      </c>
      <c r="BC57" t="s">
        <v>308</v>
      </c>
      <c r="BD57" t="s">
        <v>308</v>
      </c>
      <c r="BF57" t="s">
        <v>374</v>
      </c>
      <c r="BG57" t="s">
        <v>374</v>
      </c>
      <c r="BI57" t="s">
        <v>309</v>
      </c>
      <c r="BJ57" t="s">
        <v>309</v>
      </c>
      <c r="BL57" t="s">
        <v>309</v>
      </c>
      <c r="BM57" t="s">
        <v>309</v>
      </c>
      <c r="BO57" t="s">
        <v>310</v>
      </c>
      <c r="BP57" t="s">
        <v>310</v>
      </c>
      <c r="BR57" t="s">
        <v>311</v>
      </c>
      <c r="BS57" t="s">
        <v>311</v>
      </c>
      <c r="BU57" t="s">
        <v>227</v>
      </c>
      <c r="BV57" t="s">
        <v>227</v>
      </c>
      <c r="BX57" t="s">
        <v>227</v>
      </c>
      <c r="BY57" t="s">
        <v>227</v>
      </c>
      <c r="CA57" t="s">
        <v>253</v>
      </c>
      <c r="CB57" t="s">
        <v>253</v>
      </c>
      <c r="CD57" t="s">
        <v>75</v>
      </c>
      <c r="CE57" t="s">
        <v>590</v>
      </c>
      <c r="CF57" t="s">
        <v>585</v>
      </c>
      <c r="CI57">
        <v>1</v>
      </c>
      <c r="CL57" t="s">
        <v>149</v>
      </c>
    </row>
    <row r="58" spans="1:90" x14ac:dyDescent="0.2">
      <c r="A58" t="s">
        <v>67</v>
      </c>
      <c r="E58" t="s">
        <v>78</v>
      </c>
      <c r="F58" t="s">
        <v>68</v>
      </c>
      <c r="G58" t="s">
        <v>68</v>
      </c>
      <c r="H58" t="s">
        <v>591</v>
      </c>
      <c r="I58" t="s">
        <v>555</v>
      </c>
      <c r="J58" t="s">
        <v>556</v>
      </c>
      <c r="K58" t="s">
        <v>125</v>
      </c>
      <c r="L58" t="s">
        <v>73</v>
      </c>
      <c r="M58" t="s">
        <v>73</v>
      </c>
      <c r="N58" t="s">
        <v>557</v>
      </c>
      <c r="O58" t="s">
        <v>83</v>
      </c>
      <c r="P58" t="s">
        <v>592</v>
      </c>
      <c r="S58" t="s">
        <v>593</v>
      </c>
      <c r="T58" t="s">
        <v>594</v>
      </c>
      <c r="U58" t="s">
        <v>74</v>
      </c>
      <c r="V58" t="s">
        <v>560</v>
      </c>
      <c r="Y58" t="s">
        <v>561</v>
      </c>
      <c r="Z58" t="s">
        <v>562</v>
      </c>
      <c r="AA58" t="s">
        <v>563</v>
      </c>
      <c r="AB58" t="s">
        <v>595</v>
      </c>
      <c r="AC58" t="s">
        <v>565</v>
      </c>
      <c r="AF58" t="s">
        <v>566</v>
      </c>
      <c r="AM58" t="s">
        <v>408</v>
      </c>
      <c r="AN58" t="s">
        <v>374</v>
      </c>
      <c r="AO58" t="s">
        <v>374</v>
      </c>
      <c r="AQ58" t="s">
        <v>301</v>
      </c>
      <c r="AR58" t="s">
        <v>301</v>
      </c>
      <c r="AT58" t="s">
        <v>596</v>
      </c>
      <c r="AU58" t="s">
        <v>597</v>
      </c>
      <c r="AV58" t="s">
        <v>224</v>
      </c>
      <c r="AW58" t="s">
        <v>212</v>
      </c>
      <c r="AX58" t="s">
        <v>212</v>
      </c>
      <c r="AZ58" t="s">
        <v>218</v>
      </c>
      <c r="BA58" t="s">
        <v>218</v>
      </c>
      <c r="BC58" t="s">
        <v>308</v>
      </c>
      <c r="BD58" t="s">
        <v>308</v>
      </c>
      <c r="BF58" t="s">
        <v>374</v>
      </c>
      <c r="BG58" t="s">
        <v>374</v>
      </c>
      <c r="BI58" t="s">
        <v>309</v>
      </c>
      <c r="BJ58" t="s">
        <v>309</v>
      </c>
      <c r="BL58" t="s">
        <v>309</v>
      </c>
      <c r="BM58" t="s">
        <v>309</v>
      </c>
      <c r="BO58" t="s">
        <v>310</v>
      </c>
      <c r="BP58" t="s">
        <v>310</v>
      </c>
      <c r="BR58" t="s">
        <v>311</v>
      </c>
      <c r="BS58" t="s">
        <v>311</v>
      </c>
      <c r="BU58" t="s">
        <v>227</v>
      </c>
      <c r="BV58" t="s">
        <v>227</v>
      </c>
      <c r="BX58" t="s">
        <v>227</v>
      </c>
      <c r="BY58" t="s">
        <v>227</v>
      </c>
      <c r="CA58" t="s">
        <v>253</v>
      </c>
      <c r="CB58" t="s">
        <v>253</v>
      </c>
      <c r="CD58" t="s">
        <v>75</v>
      </c>
      <c r="CE58" t="s">
        <v>598</v>
      </c>
      <c r="CF58" t="s">
        <v>593</v>
      </c>
      <c r="CI58">
        <v>1</v>
      </c>
      <c r="CL58" t="s">
        <v>149</v>
      </c>
    </row>
    <row r="59" spans="1:90" x14ac:dyDescent="0.2">
      <c r="A59" t="s">
        <v>67</v>
      </c>
      <c r="E59" t="s">
        <v>78</v>
      </c>
      <c r="F59" t="s">
        <v>68</v>
      </c>
      <c r="G59" t="s">
        <v>68</v>
      </c>
      <c r="H59" t="s">
        <v>599</v>
      </c>
      <c r="I59" t="s">
        <v>555</v>
      </c>
      <c r="J59" t="s">
        <v>556</v>
      </c>
      <c r="K59" t="s">
        <v>125</v>
      </c>
      <c r="L59" t="s">
        <v>73</v>
      </c>
      <c r="M59" t="s">
        <v>73</v>
      </c>
      <c r="N59" t="s">
        <v>557</v>
      </c>
      <c r="O59" t="s">
        <v>83</v>
      </c>
      <c r="P59" t="s">
        <v>600</v>
      </c>
      <c r="S59" t="s">
        <v>601</v>
      </c>
      <c r="T59" t="s">
        <v>602</v>
      </c>
      <c r="U59" t="s">
        <v>74</v>
      </c>
      <c r="V59" t="s">
        <v>560</v>
      </c>
      <c r="Y59" t="s">
        <v>561</v>
      </c>
      <c r="Z59" t="s">
        <v>562</v>
      </c>
      <c r="AA59" t="s">
        <v>563</v>
      </c>
      <c r="AB59" t="s">
        <v>603</v>
      </c>
      <c r="AC59" t="s">
        <v>565</v>
      </c>
      <c r="AF59" t="s">
        <v>566</v>
      </c>
      <c r="AM59" t="s">
        <v>408</v>
      </c>
      <c r="AN59" t="s">
        <v>374</v>
      </c>
      <c r="AO59" t="s">
        <v>374</v>
      </c>
      <c r="AQ59" t="s">
        <v>301</v>
      </c>
      <c r="AR59" t="s">
        <v>301</v>
      </c>
      <c r="AT59" t="s">
        <v>604</v>
      </c>
      <c r="AU59" t="s">
        <v>605</v>
      </c>
      <c r="AV59" t="s">
        <v>224</v>
      </c>
      <c r="AW59" t="s">
        <v>212</v>
      </c>
      <c r="AX59" t="s">
        <v>212</v>
      </c>
      <c r="AZ59" t="s">
        <v>218</v>
      </c>
      <c r="BA59" t="s">
        <v>218</v>
      </c>
      <c r="BC59" t="s">
        <v>308</v>
      </c>
      <c r="BD59" t="s">
        <v>308</v>
      </c>
      <c r="BF59" t="s">
        <v>374</v>
      </c>
      <c r="BG59" t="s">
        <v>374</v>
      </c>
      <c r="BI59" t="s">
        <v>309</v>
      </c>
      <c r="BJ59" t="s">
        <v>309</v>
      </c>
      <c r="BL59" t="s">
        <v>309</v>
      </c>
      <c r="BM59" t="s">
        <v>309</v>
      </c>
      <c r="BO59" t="s">
        <v>310</v>
      </c>
      <c r="BP59" t="s">
        <v>310</v>
      </c>
      <c r="BR59" t="s">
        <v>311</v>
      </c>
      <c r="BS59" t="s">
        <v>311</v>
      </c>
      <c r="BU59" t="s">
        <v>227</v>
      </c>
      <c r="BV59" t="s">
        <v>227</v>
      </c>
      <c r="BX59" t="s">
        <v>227</v>
      </c>
      <c r="BY59" t="s">
        <v>227</v>
      </c>
      <c r="CA59" t="s">
        <v>253</v>
      </c>
      <c r="CB59" t="s">
        <v>253</v>
      </c>
      <c r="CD59" t="s">
        <v>75</v>
      </c>
      <c r="CE59" t="s">
        <v>606</v>
      </c>
      <c r="CF59" t="s">
        <v>601</v>
      </c>
      <c r="CI59">
        <v>1</v>
      </c>
      <c r="CL59" t="s">
        <v>149</v>
      </c>
    </row>
    <row r="60" spans="1:90" x14ac:dyDescent="0.2">
      <c r="A60" t="s">
        <v>67</v>
      </c>
      <c r="E60" t="s">
        <v>78</v>
      </c>
      <c r="F60" t="s">
        <v>68</v>
      </c>
      <c r="G60" t="s">
        <v>68</v>
      </c>
      <c r="H60" t="s">
        <v>607</v>
      </c>
      <c r="I60" t="s">
        <v>555</v>
      </c>
      <c r="J60" t="s">
        <v>556</v>
      </c>
      <c r="K60" t="s">
        <v>125</v>
      </c>
      <c r="L60" t="s">
        <v>73</v>
      </c>
      <c r="M60" t="s">
        <v>73</v>
      </c>
      <c r="N60" t="s">
        <v>557</v>
      </c>
      <c r="O60" t="s">
        <v>83</v>
      </c>
      <c r="P60" t="s">
        <v>608</v>
      </c>
      <c r="S60" t="s">
        <v>609</v>
      </c>
      <c r="T60" t="s">
        <v>610</v>
      </c>
      <c r="U60" t="s">
        <v>74</v>
      </c>
      <c r="V60" t="s">
        <v>560</v>
      </c>
      <c r="Y60" t="s">
        <v>561</v>
      </c>
      <c r="Z60" t="s">
        <v>562</v>
      </c>
      <c r="AA60" t="s">
        <v>563</v>
      </c>
      <c r="AB60" t="s">
        <v>611</v>
      </c>
      <c r="AC60" t="s">
        <v>565</v>
      </c>
      <c r="AF60" t="s">
        <v>566</v>
      </c>
      <c r="AM60" t="s">
        <v>408</v>
      </c>
      <c r="AN60" t="s">
        <v>374</v>
      </c>
      <c r="AO60" t="s">
        <v>374</v>
      </c>
      <c r="AQ60" t="s">
        <v>301</v>
      </c>
      <c r="AR60" t="s">
        <v>301</v>
      </c>
      <c r="AT60" t="s">
        <v>612</v>
      </c>
      <c r="AU60" t="s">
        <v>613</v>
      </c>
      <c r="AV60" t="s">
        <v>224</v>
      </c>
      <c r="AW60" t="s">
        <v>212</v>
      </c>
      <c r="AX60" t="s">
        <v>212</v>
      </c>
      <c r="AZ60" t="s">
        <v>218</v>
      </c>
      <c r="BA60" t="s">
        <v>218</v>
      </c>
      <c r="BC60" t="s">
        <v>308</v>
      </c>
      <c r="BD60" t="s">
        <v>308</v>
      </c>
      <c r="BF60" t="s">
        <v>374</v>
      </c>
      <c r="BG60" t="s">
        <v>374</v>
      </c>
      <c r="BI60" t="s">
        <v>309</v>
      </c>
      <c r="BJ60" t="s">
        <v>309</v>
      </c>
      <c r="BL60" t="s">
        <v>309</v>
      </c>
      <c r="BM60" t="s">
        <v>309</v>
      </c>
      <c r="BO60" t="s">
        <v>310</v>
      </c>
      <c r="BP60" t="s">
        <v>310</v>
      </c>
      <c r="BR60" t="s">
        <v>311</v>
      </c>
      <c r="BS60" t="s">
        <v>311</v>
      </c>
      <c r="BU60" t="s">
        <v>227</v>
      </c>
      <c r="BV60" t="s">
        <v>227</v>
      </c>
      <c r="BX60" t="s">
        <v>227</v>
      </c>
      <c r="BY60" t="s">
        <v>227</v>
      </c>
      <c r="CA60" t="s">
        <v>253</v>
      </c>
      <c r="CB60" t="s">
        <v>253</v>
      </c>
      <c r="CD60" t="s">
        <v>75</v>
      </c>
      <c r="CE60" t="s">
        <v>324</v>
      </c>
      <c r="CF60" t="s">
        <v>609</v>
      </c>
      <c r="CI60">
        <v>1</v>
      </c>
      <c r="CL60" t="s">
        <v>149</v>
      </c>
    </row>
    <row r="61" spans="1:90" x14ac:dyDescent="0.2">
      <c r="A61" t="s">
        <v>67</v>
      </c>
      <c r="E61" t="s">
        <v>78</v>
      </c>
      <c r="F61" t="s">
        <v>86</v>
      </c>
      <c r="G61" t="s">
        <v>87</v>
      </c>
      <c r="H61" t="s">
        <v>180</v>
      </c>
      <c r="I61" t="s">
        <v>614</v>
      </c>
      <c r="J61" t="s">
        <v>129</v>
      </c>
      <c r="K61" t="s">
        <v>125</v>
      </c>
      <c r="L61" t="s">
        <v>615</v>
      </c>
      <c r="M61" t="s">
        <v>615</v>
      </c>
      <c r="N61" t="s">
        <v>533</v>
      </c>
      <c r="O61" t="s">
        <v>83</v>
      </c>
      <c r="P61" t="s">
        <v>616</v>
      </c>
      <c r="S61" t="s">
        <v>250</v>
      </c>
      <c r="T61" t="s">
        <v>617</v>
      </c>
      <c r="U61" t="s">
        <v>74</v>
      </c>
      <c r="V61" t="s">
        <v>305</v>
      </c>
      <c r="W61" t="s">
        <v>618</v>
      </c>
      <c r="X61" t="s">
        <v>619</v>
      </c>
      <c r="AF61" t="s">
        <v>620</v>
      </c>
      <c r="AM61" t="s">
        <v>117</v>
      </c>
      <c r="AN61" t="s">
        <v>621</v>
      </c>
      <c r="AO61" t="s">
        <v>362</v>
      </c>
      <c r="AP61" t="s">
        <v>224</v>
      </c>
      <c r="AQ61" t="s">
        <v>301</v>
      </c>
      <c r="AR61" t="s">
        <v>301</v>
      </c>
      <c r="AT61" t="s">
        <v>307</v>
      </c>
      <c r="AU61" t="s">
        <v>307</v>
      </c>
      <c r="AW61" t="s">
        <v>212</v>
      </c>
      <c r="AX61" t="s">
        <v>212</v>
      </c>
      <c r="AZ61" t="s">
        <v>218</v>
      </c>
      <c r="BA61" t="s">
        <v>218</v>
      </c>
      <c r="BC61" t="s">
        <v>308</v>
      </c>
      <c r="BD61" t="s">
        <v>308</v>
      </c>
      <c r="BF61" t="s">
        <v>309</v>
      </c>
      <c r="BG61" t="s">
        <v>309</v>
      </c>
      <c r="BI61" t="s">
        <v>309</v>
      </c>
      <c r="BJ61" t="s">
        <v>309</v>
      </c>
      <c r="BL61" t="s">
        <v>309</v>
      </c>
      <c r="BM61" t="s">
        <v>309</v>
      </c>
      <c r="BO61" t="s">
        <v>310</v>
      </c>
      <c r="BP61" t="s">
        <v>310</v>
      </c>
      <c r="BR61" t="s">
        <v>311</v>
      </c>
      <c r="BS61" t="s">
        <v>311</v>
      </c>
      <c r="BU61" t="s">
        <v>227</v>
      </c>
      <c r="BV61" t="s">
        <v>227</v>
      </c>
      <c r="BX61" t="s">
        <v>227</v>
      </c>
      <c r="BY61" t="s">
        <v>227</v>
      </c>
      <c r="CA61" t="s">
        <v>253</v>
      </c>
      <c r="CB61" t="s">
        <v>253</v>
      </c>
      <c r="CD61" t="s">
        <v>75</v>
      </c>
      <c r="CE61" t="s">
        <v>622</v>
      </c>
      <c r="CF61" t="s">
        <v>309</v>
      </c>
      <c r="CI61">
        <v>1</v>
      </c>
      <c r="CL61" t="s">
        <v>149</v>
      </c>
    </row>
    <row r="62" spans="1:90" x14ac:dyDescent="0.2">
      <c r="A62" t="s">
        <v>67</v>
      </c>
      <c r="E62" t="s">
        <v>78</v>
      </c>
      <c r="F62" t="s">
        <v>86</v>
      </c>
      <c r="G62" t="s">
        <v>87</v>
      </c>
      <c r="H62" t="s">
        <v>180</v>
      </c>
      <c r="I62" t="s">
        <v>614</v>
      </c>
      <c r="J62" t="s">
        <v>130</v>
      </c>
      <c r="K62" t="s">
        <v>125</v>
      </c>
      <c r="L62" t="s">
        <v>623</v>
      </c>
      <c r="M62" t="s">
        <v>623</v>
      </c>
      <c r="N62" t="s">
        <v>533</v>
      </c>
      <c r="O62" t="s">
        <v>83</v>
      </c>
      <c r="P62" t="s">
        <v>624</v>
      </c>
      <c r="S62" t="s">
        <v>250</v>
      </c>
      <c r="T62" t="s">
        <v>617</v>
      </c>
      <c r="U62" t="s">
        <v>74</v>
      </c>
      <c r="V62" t="s">
        <v>305</v>
      </c>
      <c r="W62" t="s">
        <v>625</v>
      </c>
      <c r="X62" t="s">
        <v>619</v>
      </c>
      <c r="AF62" t="s">
        <v>626</v>
      </c>
      <c r="AM62" t="s">
        <v>117</v>
      </c>
      <c r="AN62" t="s">
        <v>621</v>
      </c>
      <c r="AO62" t="s">
        <v>362</v>
      </c>
      <c r="AP62" t="s">
        <v>224</v>
      </c>
      <c r="AQ62" t="s">
        <v>301</v>
      </c>
      <c r="AR62" t="s">
        <v>301</v>
      </c>
      <c r="AT62" t="s">
        <v>307</v>
      </c>
      <c r="AU62" t="s">
        <v>307</v>
      </c>
      <c r="AW62" t="s">
        <v>212</v>
      </c>
      <c r="AX62" t="s">
        <v>212</v>
      </c>
      <c r="AZ62" t="s">
        <v>218</v>
      </c>
      <c r="BA62" t="s">
        <v>218</v>
      </c>
      <c r="BC62" t="s">
        <v>308</v>
      </c>
      <c r="BD62" t="s">
        <v>308</v>
      </c>
      <c r="BF62" t="s">
        <v>309</v>
      </c>
      <c r="BG62" t="s">
        <v>309</v>
      </c>
      <c r="BI62" t="s">
        <v>309</v>
      </c>
      <c r="BJ62" t="s">
        <v>309</v>
      </c>
      <c r="BL62" t="s">
        <v>309</v>
      </c>
      <c r="BM62" t="s">
        <v>309</v>
      </c>
      <c r="BO62" t="s">
        <v>310</v>
      </c>
      <c r="BP62" t="s">
        <v>310</v>
      </c>
      <c r="BR62" t="s">
        <v>311</v>
      </c>
      <c r="BS62" t="s">
        <v>311</v>
      </c>
      <c r="BU62" t="s">
        <v>227</v>
      </c>
      <c r="BV62" t="s">
        <v>227</v>
      </c>
      <c r="BX62" t="s">
        <v>227</v>
      </c>
      <c r="BY62" t="s">
        <v>227</v>
      </c>
      <c r="CA62" t="s">
        <v>253</v>
      </c>
      <c r="CB62" t="s">
        <v>253</v>
      </c>
      <c r="CD62" t="s">
        <v>75</v>
      </c>
      <c r="CE62" t="s">
        <v>622</v>
      </c>
      <c r="CF62" t="s">
        <v>309</v>
      </c>
      <c r="CI62">
        <v>1</v>
      </c>
      <c r="CL62" t="s">
        <v>149</v>
      </c>
    </row>
    <row r="63" spans="1:90" x14ac:dyDescent="0.2">
      <c r="A63" t="s">
        <v>67</v>
      </c>
      <c r="E63" t="s">
        <v>78</v>
      </c>
      <c r="F63" t="s">
        <v>86</v>
      </c>
      <c r="G63" t="s">
        <v>87</v>
      </c>
      <c r="H63" t="s">
        <v>181</v>
      </c>
      <c r="I63" t="s">
        <v>614</v>
      </c>
      <c r="J63" t="s">
        <v>129</v>
      </c>
      <c r="K63" t="s">
        <v>125</v>
      </c>
      <c r="L63" t="s">
        <v>615</v>
      </c>
      <c r="M63" t="s">
        <v>615</v>
      </c>
      <c r="N63" t="s">
        <v>533</v>
      </c>
      <c r="O63" t="s">
        <v>83</v>
      </c>
      <c r="P63" t="s">
        <v>627</v>
      </c>
      <c r="S63" t="s">
        <v>250</v>
      </c>
      <c r="T63" t="s">
        <v>617</v>
      </c>
      <c r="U63" t="s">
        <v>74</v>
      </c>
      <c r="V63" t="s">
        <v>305</v>
      </c>
      <c r="W63" t="s">
        <v>618</v>
      </c>
      <c r="X63" t="s">
        <v>628</v>
      </c>
      <c r="AF63" t="s">
        <v>620</v>
      </c>
      <c r="AM63" t="s">
        <v>117</v>
      </c>
      <c r="AN63" t="s">
        <v>629</v>
      </c>
      <c r="AO63" t="s">
        <v>630</v>
      </c>
      <c r="AP63" t="s">
        <v>224</v>
      </c>
      <c r="AQ63" t="s">
        <v>301</v>
      </c>
      <c r="AR63" t="s">
        <v>301</v>
      </c>
      <c r="AT63" t="s">
        <v>307</v>
      </c>
      <c r="AU63" t="s">
        <v>307</v>
      </c>
      <c r="AW63" t="s">
        <v>212</v>
      </c>
      <c r="AX63" t="s">
        <v>212</v>
      </c>
      <c r="AZ63" t="s">
        <v>218</v>
      </c>
      <c r="BA63" t="s">
        <v>218</v>
      </c>
      <c r="BC63" t="s">
        <v>308</v>
      </c>
      <c r="BD63" t="s">
        <v>308</v>
      </c>
      <c r="BF63" t="s">
        <v>631</v>
      </c>
      <c r="BG63" t="s">
        <v>631</v>
      </c>
      <c r="BI63" t="s">
        <v>309</v>
      </c>
      <c r="BJ63" t="s">
        <v>309</v>
      </c>
      <c r="BL63" t="s">
        <v>309</v>
      </c>
      <c r="BM63" t="s">
        <v>309</v>
      </c>
      <c r="BO63" t="s">
        <v>310</v>
      </c>
      <c r="BP63" t="s">
        <v>310</v>
      </c>
      <c r="BR63" t="s">
        <v>311</v>
      </c>
      <c r="BS63" t="s">
        <v>311</v>
      </c>
      <c r="BU63" t="s">
        <v>227</v>
      </c>
      <c r="BV63" t="s">
        <v>227</v>
      </c>
      <c r="BX63" t="s">
        <v>227</v>
      </c>
      <c r="BY63" t="s">
        <v>227</v>
      </c>
      <c r="CA63" t="s">
        <v>253</v>
      </c>
      <c r="CB63" t="s">
        <v>253</v>
      </c>
      <c r="CD63" t="s">
        <v>75</v>
      </c>
      <c r="CE63" t="s">
        <v>632</v>
      </c>
      <c r="CF63" t="s">
        <v>631</v>
      </c>
      <c r="CI63">
        <v>1</v>
      </c>
      <c r="CL63" t="s">
        <v>149</v>
      </c>
    </row>
    <row r="64" spans="1:90" x14ac:dyDescent="0.2">
      <c r="A64" t="s">
        <v>67</v>
      </c>
      <c r="E64" t="s">
        <v>78</v>
      </c>
      <c r="F64" t="s">
        <v>86</v>
      </c>
      <c r="G64" t="s">
        <v>87</v>
      </c>
      <c r="H64" t="s">
        <v>181</v>
      </c>
      <c r="I64" t="s">
        <v>614</v>
      </c>
      <c r="J64" t="s">
        <v>130</v>
      </c>
      <c r="K64" t="s">
        <v>125</v>
      </c>
      <c r="L64" t="s">
        <v>623</v>
      </c>
      <c r="M64" t="s">
        <v>623</v>
      </c>
      <c r="N64" t="s">
        <v>533</v>
      </c>
      <c r="O64" t="s">
        <v>83</v>
      </c>
      <c r="P64" t="s">
        <v>633</v>
      </c>
      <c r="S64" t="s">
        <v>250</v>
      </c>
      <c r="T64" t="s">
        <v>617</v>
      </c>
      <c r="U64" t="s">
        <v>74</v>
      </c>
      <c r="V64" t="s">
        <v>305</v>
      </c>
      <c r="W64" t="s">
        <v>625</v>
      </c>
      <c r="X64" t="s">
        <v>628</v>
      </c>
      <c r="AF64" t="s">
        <v>626</v>
      </c>
      <c r="AM64" t="s">
        <v>117</v>
      </c>
      <c r="AN64" t="s">
        <v>629</v>
      </c>
      <c r="AO64" t="s">
        <v>630</v>
      </c>
      <c r="AP64" t="s">
        <v>224</v>
      </c>
      <c r="AQ64" t="s">
        <v>301</v>
      </c>
      <c r="AR64" t="s">
        <v>301</v>
      </c>
      <c r="AT64" t="s">
        <v>307</v>
      </c>
      <c r="AU64" t="s">
        <v>307</v>
      </c>
      <c r="AW64" t="s">
        <v>212</v>
      </c>
      <c r="AX64" t="s">
        <v>212</v>
      </c>
      <c r="AZ64" t="s">
        <v>218</v>
      </c>
      <c r="BA64" t="s">
        <v>218</v>
      </c>
      <c r="BC64" t="s">
        <v>308</v>
      </c>
      <c r="BD64" t="s">
        <v>308</v>
      </c>
      <c r="BF64" t="s">
        <v>631</v>
      </c>
      <c r="BG64" t="s">
        <v>631</v>
      </c>
      <c r="BI64" t="s">
        <v>309</v>
      </c>
      <c r="BJ64" t="s">
        <v>309</v>
      </c>
      <c r="BL64" t="s">
        <v>309</v>
      </c>
      <c r="BM64" t="s">
        <v>309</v>
      </c>
      <c r="BO64" t="s">
        <v>310</v>
      </c>
      <c r="BP64" t="s">
        <v>310</v>
      </c>
      <c r="BR64" t="s">
        <v>311</v>
      </c>
      <c r="BS64" t="s">
        <v>311</v>
      </c>
      <c r="BU64" t="s">
        <v>227</v>
      </c>
      <c r="BV64" t="s">
        <v>227</v>
      </c>
      <c r="BX64" t="s">
        <v>227</v>
      </c>
      <c r="BY64" t="s">
        <v>227</v>
      </c>
      <c r="CA64" t="s">
        <v>253</v>
      </c>
      <c r="CB64" t="s">
        <v>253</v>
      </c>
      <c r="CD64" t="s">
        <v>75</v>
      </c>
      <c r="CE64" t="s">
        <v>632</v>
      </c>
      <c r="CF64" t="s">
        <v>631</v>
      </c>
      <c r="CI64">
        <v>1</v>
      </c>
      <c r="CL64" t="s">
        <v>149</v>
      </c>
    </row>
    <row r="65" spans="1:90" x14ac:dyDescent="0.2">
      <c r="A65" t="s">
        <v>67</v>
      </c>
      <c r="E65" t="s">
        <v>78</v>
      </c>
      <c r="F65" t="s">
        <v>86</v>
      </c>
      <c r="G65" t="s">
        <v>87</v>
      </c>
      <c r="H65" t="s">
        <v>634</v>
      </c>
      <c r="I65" t="s">
        <v>614</v>
      </c>
      <c r="J65" t="s">
        <v>129</v>
      </c>
      <c r="K65" t="s">
        <v>125</v>
      </c>
      <c r="L65" t="s">
        <v>615</v>
      </c>
      <c r="M65" t="s">
        <v>615</v>
      </c>
      <c r="N65" t="s">
        <v>533</v>
      </c>
      <c r="O65" t="s">
        <v>83</v>
      </c>
      <c r="P65" t="s">
        <v>635</v>
      </c>
      <c r="S65" t="s">
        <v>250</v>
      </c>
      <c r="T65" t="s">
        <v>617</v>
      </c>
      <c r="U65" t="s">
        <v>74</v>
      </c>
      <c r="V65" t="s">
        <v>305</v>
      </c>
      <c r="W65" t="s">
        <v>618</v>
      </c>
      <c r="X65" t="s">
        <v>636</v>
      </c>
      <c r="AF65" t="s">
        <v>620</v>
      </c>
      <c r="AM65" t="s">
        <v>117</v>
      </c>
      <c r="AN65" t="s">
        <v>264</v>
      </c>
      <c r="AO65" t="s">
        <v>265</v>
      </c>
      <c r="AP65" t="s">
        <v>224</v>
      </c>
      <c r="AQ65" t="s">
        <v>301</v>
      </c>
      <c r="AR65" t="s">
        <v>301</v>
      </c>
      <c r="AT65" t="s">
        <v>307</v>
      </c>
      <c r="AU65" t="s">
        <v>307</v>
      </c>
      <c r="AW65" t="s">
        <v>212</v>
      </c>
      <c r="AX65" t="s">
        <v>212</v>
      </c>
      <c r="AZ65" t="s">
        <v>218</v>
      </c>
      <c r="BA65" t="s">
        <v>218</v>
      </c>
      <c r="BC65" t="s">
        <v>308</v>
      </c>
      <c r="BD65" t="s">
        <v>308</v>
      </c>
      <c r="BF65" t="s">
        <v>259</v>
      </c>
      <c r="BG65" t="s">
        <v>259</v>
      </c>
      <c r="BI65" t="s">
        <v>309</v>
      </c>
      <c r="BJ65" t="s">
        <v>309</v>
      </c>
      <c r="BL65" t="s">
        <v>309</v>
      </c>
      <c r="BM65" t="s">
        <v>309</v>
      </c>
      <c r="BO65" t="s">
        <v>310</v>
      </c>
      <c r="BP65" t="s">
        <v>310</v>
      </c>
      <c r="BR65" t="s">
        <v>311</v>
      </c>
      <c r="BS65" t="s">
        <v>311</v>
      </c>
      <c r="BU65" t="s">
        <v>227</v>
      </c>
      <c r="BV65" t="s">
        <v>227</v>
      </c>
      <c r="BX65" t="s">
        <v>227</v>
      </c>
      <c r="BY65" t="s">
        <v>227</v>
      </c>
      <c r="CA65" t="s">
        <v>253</v>
      </c>
      <c r="CB65" t="s">
        <v>253</v>
      </c>
      <c r="CD65" t="s">
        <v>75</v>
      </c>
      <c r="CE65" t="s">
        <v>266</v>
      </c>
      <c r="CF65" t="s">
        <v>259</v>
      </c>
      <c r="CI65">
        <v>1</v>
      </c>
      <c r="CL65" t="s">
        <v>149</v>
      </c>
    </row>
    <row r="66" spans="1:90" x14ac:dyDescent="0.2">
      <c r="A66" t="s">
        <v>67</v>
      </c>
      <c r="E66" t="s">
        <v>78</v>
      </c>
      <c r="F66" t="s">
        <v>86</v>
      </c>
      <c r="G66" t="s">
        <v>87</v>
      </c>
      <c r="H66" t="s">
        <v>634</v>
      </c>
      <c r="I66" t="s">
        <v>614</v>
      </c>
      <c r="J66" t="s">
        <v>130</v>
      </c>
      <c r="K66" t="s">
        <v>125</v>
      </c>
      <c r="L66" t="s">
        <v>623</v>
      </c>
      <c r="M66" t="s">
        <v>623</v>
      </c>
      <c r="N66" t="s">
        <v>533</v>
      </c>
      <c r="O66" t="s">
        <v>83</v>
      </c>
      <c r="P66" t="s">
        <v>637</v>
      </c>
      <c r="S66" t="s">
        <v>250</v>
      </c>
      <c r="T66" t="s">
        <v>617</v>
      </c>
      <c r="U66" t="s">
        <v>74</v>
      </c>
      <c r="V66" t="s">
        <v>305</v>
      </c>
      <c r="W66" t="s">
        <v>625</v>
      </c>
      <c r="X66" t="s">
        <v>636</v>
      </c>
      <c r="AF66" t="s">
        <v>626</v>
      </c>
      <c r="AM66" t="s">
        <v>117</v>
      </c>
      <c r="AN66" t="s">
        <v>264</v>
      </c>
      <c r="AO66" t="s">
        <v>265</v>
      </c>
      <c r="AP66" t="s">
        <v>224</v>
      </c>
      <c r="AQ66" t="s">
        <v>301</v>
      </c>
      <c r="AR66" t="s">
        <v>301</v>
      </c>
      <c r="AT66" t="s">
        <v>307</v>
      </c>
      <c r="AU66" t="s">
        <v>307</v>
      </c>
      <c r="AW66" t="s">
        <v>212</v>
      </c>
      <c r="AX66" t="s">
        <v>212</v>
      </c>
      <c r="AZ66" t="s">
        <v>218</v>
      </c>
      <c r="BA66" t="s">
        <v>218</v>
      </c>
      <c r="BC66" t="s">
        <v>308</v>
      </c>
      <c r="BD66" t="s">
        <v>308</v>
      </c>
      <c r="BF66" t="s">
        <v>259</v>
      </c>
      <c r="BG66" t="s">
        <v>259</v>
      </c>
      <c r="BI66" t="s">
        <v>309</v>
      </c>
      <c r="BJ66" t="s">
        <v>309</v>
      </c>
      <c r="BL66" t="s">
        <v>309</v>
      </c>
      <c r="BM66" t="s">
        <v>309</v>
      </c>
      <c r="BO66" t="s">
        <v>310</v>
      </c>
      <c r="BP66" t="s">
        <v>310</v>
      </c>
      <c r="BR66" t="s">
        <v>311</v>
      </c>
      <c r="BS66" t="s">
        <v>311</v>
      </c>
      <c r="BU66" t="s">
        <v>227</v>
      </c>
      <c r="BV66" t="s">
        <v>227</v>
      </c>
      <c r="BX66" t="s">
        <v>227</v>
      </c>
      <c r="BY66" t="s">
        <v>227</v>
      </c>
      <c r="CA66" t="s">
        <v>253</v>
      </c>
      <c r="CB66" t="s">
        <v>253</v>
      </c>
      <c r="CD66" t="s">
        <v>75</v>
      </c>
      <c r="CE66" t="s">
        <v>266</v>
      </c>
      <c r="CF66" t="s">
        <v>259</v>
      </c>
      <c r="CI66">
        <v>1</v>
      </c>
      <c r="CL66" t="s">
        <v>149</v>
      </c>
    </row>
    <row r="67" spans="1:90" x14ac:dyDescent="0.2">
      <c r="A67" t="s">
        <v>67</v>
      </c>
      <c r="E67" t="s">
        <v>78</v>
      </c>
      <c r="F67" t="s">
        <v>86</v>
      </c>
      <c r="G67" t="s">
        <v>87</v>
      </c>
      <c r="H67" t="s">
        <v>638</v>
      </c>
      <c r="I67" t="s">
        <v>614</v>
      </c>
      <c r="J67" t="s">
        <v>129</v>
      </c>
      <c r="K67" t="s">
        <v>125</v>
      </c>
      <c r="L67" t="s">
        <v>615</v>
      </c>
      <c r="M67" t="s">
        <v>615</v>
      </c>
      <c r="N67" t="s">
        <v>533</v>
      </c>
      <c r="O67" t="s">
        <v>83</v>
      </c>
      <c r="P67" t="s">
        <v>639</v>
      </c>
      <c r="S67" t="s">
        <v>250</v>
      </c>
      <c r="T67" t="s">
        <v>617</v>
      </c>
      <c r="U67" t="s">
        <v>74</v>
      </c>
      <c r="V67" t="s">
        <v>305</v>
      </c>
      <c r="W67" t="s">
        <v>618</v>
      </c>
      <c r="X67" t="s">
        <v>640</v>
      </c>
      <c r="AF67" t="s">
        <v>620</v>
      </c>
      <c r="AM67" t="s">
        <v>117</v>
      </c>
      <c r="AN67" t="s">
        <v>580</v>
      </c>
      <c r="AO67" t="s">
        <v>581</v>
      </c>
      <c r="AP67" t="s">
        <v>224</v>
      </c>
      <c r="AQ67" t="s">
        <v>301</v>
      </c>
      <c r="AR67" t="s">
        <v>301</v>
      </c>
      <c r="AT67" t="s">
        <v>307</v>
      </c>
      <c r="AU67" t="s">
        <v>307</v>
      </c>
      <c r="AW67" t="s">
        <v>212</v>
      </c>
      <c r="AX67" t="s">
        <v>212</v>
      </c>
      <c r="AZ67" t="s">
        <v>218</v>
      </c>
      <c r="BA67" t="s">
        <v>218</v>
      </c>
      <c r="BC67" t="s">
        <v>308</v>
      </c>
      <c r="BD67" t="s">
        <v>308</v>
      </c>
      <c r="BF67" t="s">
        <v>523</v>
      </c>
      <c r="BG67" t="s">
        <v>523</v>
      </c>
      <c r="BI67" t="s">
        <v>309</v>
      </c>
      <c r="BJ67" t="s">
        <v>309</v>
      </c>
      <c r="BL67" t="s">
        <v>309</v>
      </c>
      <c r="BM67" t="s">
        <v>309</v>
      </c>
      <c r="BO67" t="s">
        <v>310</v>
      </c>
      <c r="BP67" t="s">
        <v>310</v>
      </c>
      <c r="BR67" t="s">
        <v>311</v>
      </c>
      <c r="BS67" t="s">
        <v>311</v>
      </c>
      <c r="BU67" t="s">
        <v>227</v>
      </c>
      <c r="BV67" t="s">
        <v>227</v>
      </c>
      <c r="BX67" t="s">
        <v>227</v>
      </c>
      <c r="BY67" t="s">
        <v>227</v>
      </c>
      <c r="CA67" t="s">
        <v>253</v>
      </c>
      <c r="CB67" t="s">
        <v>253</v>
      </c>
      <c r="CD67" t="s">
        <v>75</v>
      </c>
      <c r="CE67" t="s">
        <v>582</v>
      </c>
      <c r="CF67" t="s">
        <v>523</v>
      </c>
      <c r="CI67">
        <v>1</v>
      </c>
      <c r="CL67" t="s">
        <v>149</v>
      </c>
    </row>
    <row r="68" spans="1:90" x14ac:dyDescent="0.2">
      <c r="A68" t="s">
        <v>67</v>
      </c>
      <c r="E68" t="s">
        <v>78</v>
      </c>
      <c r="F68" t="s">
        <v>86</v>
      </c>
      <c r="G68" t="s">
        <v>87</v>
      </c>
      <c r="H68" t="s">
        <v>638</v>
      </c>
      <c r="I68" t="s">
        <v>614</v>
      </c>
      <c r="J68" t="s">
        <v>130</v>
      </c>
      <c r="K68" t="s">
        <v>125</v>
      </c>
      <c r="L68" t="s">
        <v>623</v>
      </c>
      <c r="M68" t="s">
        <v>623</v>
      </c>
      <c r="N68" t="s">
        <v>533</v>
      </c>
      <c r="O68" t="s">
        <v>83</v>
      </c>
      <c r="P68" t="s">
        <v>641</v>
      </c>
      <c r="S68" t="s">
        <v>250</v>
      </c>
      <c r="T68" t="s">
        <v>617</v>
      </c>
      <c r="U68" t="s">
        <v>74</v>
      </c>
      <c r="V68" t="s">
        <v>305</v>
      </c>
      <c r="W68" t="s">
        <v>625</v>
      </c>
      <c r="X68" t="s">
        <v>640</v>
      </c>
      <c r="AF68" t="s">
        <v>626</v>
      </c>
      <c r="AM68" t="s">
        <v>117</v>
      </c>
      <c r="AN68" t="s">
        <v>580</v>
      </c>
      <c r="AO68" t="s">
        <v>581</v>
      </c>
      <c r="AP68" t="s">
        <v>224</v>
      </c>
      <c r="AQ68" t="s">
        <v>301</v>
      </c>
      <c r="AR68" t="s">
        <v>301</v>
      </c>
      <c r="AT68" t="s">
        <v>307</v>
      </c>
      <c r="AU68" t="s">
        <v>307</v>
      </c>
      <c r="AW68" t="s">
        <v>212</v>
      </c>
      <c r="AX68" t="s">
        <v>212</v>
      </c>
      <c r="AZ68" t="s">
        <v>218</v>
      </c>
      <c r="BA68" t="s">
        <v>218</v>
      </c>
      <c r="BC68" t="s">
        <v>308</v>
      </c>
      <c r="BD68" t="s">
        <v>308</v>
      </c>
      <c r="BF68" t="s">
        <v>523</v>
      </c>
      <c r="BG68" t="s">
        <v>523</v>
      </c>
      <c r="BI68" t="s">
        <v>309</v>
      </c>
      <c r="BJ68" t="s">
        <v>309</v>
      </c>
      <c r="BL68" t="s">
        <v>309</v>
      </c>
      <c r="BM68" t="s">
        <v>309</v>
      </c>
      <c r="BO68" t="s">
        <v>310</v>
      </c>
      <c r="BP68" t="s">
        <v>310</v>
      </c>
      <c r="BR68" t="s">
        <v>311</v>
      </c>
      <c r="BS68" t="s">
        <v>311</v>
      </c>
      <c r="BU68" t="s">
        <v>227</v>
      </c>
      <c r="BV68" t="s">
        <v>227</v>
      </c>
      <c r="BX68" t="s">
        <v>227</v>
      </c>
      <c r="BY68" t="s">
        <v>227</v>
      </c>
      <c r="CA68" t="s">
        <v>253</v>
      </c>
      <c r="CB68" t="s">
        <v>253</v>
      </c>
      <c r="CD68" t="s">
        <v>75</v>
      </c>
      <c r="CE68" t="s">
        <v>582</v>
      </c>
      <c r="CF68" t="s">
        <v>523</v>
      </c>
      <c r="CI68">
        <v>1</v>
      </c>
      <c r="CL68" t="s">
        <v>149</v>
      </c>
    </row>
    <row r="69" spans="1:90" x14ac:dyDescent="0.2">
      <c r="A69" t="s">
        <v>67</v>
      </c>
      <c r="E69" t="s">
        <v>78</v>
      </c>
      <c r="F69" t="s">
        <v>86</v>
      </c>
      <c r="G69" t="s">
        <v>87</v>
      </c>
      <c r="H69" t="s">
        <v>232</v>
      </c>
      <c r="I69" t="s">
        <v>614</v>
      </c>
      <c r="J69" t="s">
        <v>129</v>
      </c>
      <c r="K69" t="s">
        <v>125</v>
      </c>
      <c r="L69" t="s">
        <v>615</v>
      </c>
      <c r="M69" t="s">
        <v>615</v>
      </c>
      <c r="N69" t="s">
        <v>533</v>
      </c>
      <c r="O69" t="s">
        <v>83</v>
      </c>
      <c r="P69" t="s">
        <v>642</v>
      </c>
      <c r="S69" t="s">
        <v>250</v>
      </c>
      <c r="T69" t="s">
        <v>617</v>
      </c>
      <c r="U69" t="s">
        <v>74</v>
      </c>
      <c r="V69" t="s">
        <v>305</v>
      </c>
      <c r="W69" t="s">
        <v>618</v>
      </c>
      <c r="X69" t="s">
        <v>643</v>
      </c>
      <c r="AF69" t="s">
        <v>620</v>
      </c>
      <c r="AM69" t="s">
        <v>117</v>
      </c>
      <c r="AN69" t="s">
        <v>644</v>
      </c>
      <c r="AO69" t="s">
        <v>645</v>
      </c>
      <c r="AP69" t="s">
        <v>224</v>
      </c>
      <c r="AQ69" t="s">
        <v>301</v>
      </c>
      <c r="AR69" t="s">
        <v>301</v>
      </c>
      <c r="AT69" t="s">
        <v>307</v>
      </c>
      <c r="AU69" t="s">
        <v>307</v>
      </c>
      <c r="AW69" t="s">
        <v>212</v>
      </c>
      <c r="AX69" t="s">
        <v>212</v>
      </c>
      <c r="AZ69" t="s">
        <v>218</v>
      </c>
      <c r="BA69" t="s">
        <v>218</v>
      </c>
      <c r="BC69" t="s">
        <v>308</v>
      </c>
      <c r="BD69" t="s">
        <v>308</v>
      </c>
      <c r="BF69" t="s">
        <v>574</v>
      </c>
      <c r="BG69" t="s">
        <v>574</v>
      </c>
      <c r="BI69" t="s">
        <v>309</v>
      </c>
      <c r="BJ69" t="s">
        <v>309</v>
      </c>
      <c r="BL69" t="s">
        <v>309</v>
      </c>
      <c r="BM69" t="s">
        <v>309</v>
      </c>
      <c r="BO69" t="s">
        <v>310</v>
      </c>
      <c r="BP69" t="s">
        <v>310</v>
      </c>
      <c r="BR69" t="s">
        <v>311</v>
      </c>
      <c r="BS69" t="s">
        <v>311</v>
      </c>
      <c r="BU69" t="s">
        <v>227</v>
      </c>
      <c r="BV69" t="s">
        <v>227</v>
      </c>
      <c r="BX69" t="s">
        <v>227</v>
      </c>
      <c r="BY69" t="s">
        <v>227</v>
      </c>
      <c r="CA69" t="s">
        <v>253</v>
      </c>
      <c r="CB69" t="s">
        <v>253</v>
      </c>
      <c r="CD69" t="s">
        <v>75</v>
      </c>
      <c r="CE69" t="s">
        <v>514</v>
      </c>
      <c r="CF69" t="s">
        <v>574</v>
      </c>
      <c r="CI69">
        <v>1</v>
      </c>
      <c r="CL69" t="s">
        <v>149</v>
      </c>
    </row>
    <row r="70" spans="1:90" x14ac:dyDescent="0.2">
      <c r="A70" t="s">
        <v>67</v>
      </c>
      <c r="E70" t="s">
        <v>78</v>
      </c>
      <c r="F70" t="s">
        <v>86</v>
      </c>
      <c r="G70" t="s">
        <v>87</v>
      </c>
      <c r="H70" t="s">
        <v>232</v>
      </c>
      <c r="I70" t="s">
        <v>614</v>
      </c>
      <c r="J70" t="s">
        <v>130</v>
      </c>
      <c r="K70" t="s">
        <v>125</v>
      </c>
      <c r="L70" t="s">
        <v>623</v>
      </c>
      <c r="M70" t="s">
        <v>623</v>
      </c>
      <c r="N70" t="s">
        <v>533</v>
      </c>
      <c r="O70" t="s">
        <v>83</v>
      </c>
      <c r="P70" t="s">
        <v>646</v>
      </c>
      <c r="S70" t="s">
        <v>250</v>
      </c>
      <c r="T70" t="s">
        <v>617</v>
      </c>
      <c r="U70" t="s">
        <v>74</v>
      </c>
      <c r="V70" t="s">
        <v>305</v>
      </c>
      <c r="W70" t="s">
        <v>625</v>
      </c>
      <c r="X70" t="s">
        <v>643</v>
      </c>
      <c r="AF70" t="s">
        <v>626</v>
      </c>
      <c r="AM70" t="s">
        <v>117</v>
      </c>
      <c r="AN70" t="s">
        <v>644</v>
      </c>
      <c r="AO70" t="s">
        <v>645</v>
      </c>
      <c r="AP70" t="s">
        <v>224</v>
      </c>
      <c r="AQ70" t="s">
        <v>301</v>
      </c>
      <c r="AR70" t="s">
        <v>301</v>
      </c>
      <c r="AT70" t="s">
        <v>307</v>
      </c>
      <c r="AU70" t="s">
        <v>307</v>
      </c>
      <c r="AW70" t="s">
        <v>212</v>
      </c>
      <c r="AX70" t="s">
        <v>212</v>
      </c>
      <c r="AZ70" t="s">
        <v>218</v>
      </c>
      <c r="BA70" t="s">
        <v>218</v>
      </c>
      <c r="BC70" t="s">
        <v>308</v>
      </c>
      <c r="BD70" t="s">
        <v>308</v>
      </c>
      <c r="BF70" t="s">
        <v>574</v>
      </c>
      <c r="BG70" t="s">
        <v>574</v>
      </c>
      <c r="BI70" t="s">
        <v>309</v>
      </c>
      <c r="BJ70" t="s">
        <v>309</v>
      </c>
      <c r="BL70" t="s">
        <v>309</v>
      </c>
      <c r="BM70" t="s">
        <v>309</v>
      </c>
      <c r="BO70" t="s">
        <v>310</v>
      </c>
      <c r="BP70" t="s">
        <v>310</v>
      </c>
      <c r="BR70" t="s">
        <v>311</v>
      </c>
      <c r="BS70" t="s">
        <v>311</v>
      </c>
      <c r="BU70" t="s">
        <v>227</v>
      </c>
      <c r="BV70" t="s">
        <v>227</v>
      </c>
      <c r="BX70" t="s">
        <v>227</v>
      </c>
      <c r="BY70" t="s">
        <v>227</v>
      </c>
      <c r="CA70" t="s">
        <v>253</v>
      </c>
      <c r="CB70" t="s">
        <v>253</v>
      </c>
      <c r="CD70" t="s">
        <v>75</v>
      </c>
      <c r="CE70" t="s">
        <v>514</v>
      </c>
      <c r="CF70" t="s">
        <v>574</v>
      </c>
      <c r="CI70">
        <v>1</v>
      </c>
      <c r="CL70" t="s">
        <v>149</v>
      </c>
    </row>
    <row r="71" spans="1:90" x14ac:dyDescent="0.2">
      <c r="A71" t="s">
        <v>67</v>
      </c>
      <c r="E71" t="s">
        <v>78</v>
      </c>
      <c r="F71" t="s">
        <v>86</v>
      </c>
      <c r="G71" t="s">
        <v>87</v>
      </c>
      <c r="H71" t="s">
        <v>647</v>
      </c>
      <c r="I71" t="s">
        <v>614</v>
      </c>
      <c r="J71" t="s">
        <v>129</v>
      </c>
      <c r="K71" t="s">
        <v>125</v>
      </c>
      <c r="L71" t="s">
        <v>615</v>
      </c>
      <c r="M71" t="s">
        <v>615</v>
      </c>
      <c r="N71" t="s">
        <v>533</v>
      </c>
      <c r="O71" t="s">
        <v>83</v>
      </c>
      <c r="P71" t="s">
        <v>648</v>
      </c>
      <c r="S71" t="s">
        <v>250</v>
      </c>
      <c r="T71" t="s">
        <v>617</v>
      </c>
      <c r="U71" t="s">
        <v>74</v>
      </c>
      <c r="V71" t="s">
        <v>305</v>
      </c>
      <c r="W71" t="s">
        <v>618</v>
      </c>
      <c r="X71" t="s">
        <v>649</v>
      </c>
      <c r="AF71" t="s">
        <v>620</v>
      </c>
      <c r="AM71" t="s">
        <v>117</v>
      </c>
      <c r="AN71" t="s">
        <v>650</v>
      </c>
      <c r="AO71" t="s">
        <v>651</v>
      </c>
      <c r="AP71" t="s">
        <v>224</v>
      </c>
      <c r="AQ71" t="s">
        <v>301</v>
      </c>
      <c r="AR71" t="s">
        <v>301</v>
      </c>
      <c r="AT71" t="s">
        <v>307</v>
      </c>
      <c r="AU71" t="s">
        <v>307</v>
      </c>
      <c r="AW71" t="s">
        <v>212</v>
      </c>
      <c r="AX71" t="s">
        <v>212</v>
      </c>
      <c r="AZ71" t="s">
        <v>218</v>
      </c>
      <c r="BA71" t="s">
        <v>218</v>
      </c>
      <c r="BC71" t="s">
        <v>308</v>
      </c>
      <c r="BD71" t="s">
        <v>308</v>
      </c>
      <c r="BF71" t="s">
        <v>219</v>
      </c>
      <c r="BG71" t="s">
        <v>219</v>
      </c>
      <c r="BI71" t="s">
        <v>309</v>
      </c>
      <c r="BJ71" t="s">
        <v>309</v>
      </c>
      <c r="BL71" t="s">
        <v>309</v>
      </c>
      <c r="BM71" t="s">
        <v>309</v>
      </c>
      <c r="BO71" t="s">
        <v>310</v>
      </c>
      <c r="BP71" t="s">
        <v>310</v>
      </c>
      <c r="BR71" t="s">
        <v>311</v>
      </c>
      <c r="BS71" t="s">
        <v>311</v>
      </c>
      <c r="BU71" t="s">
        <v>227</v>
      </c>
      <c r="BV71" t="s">
        <v>227</v>
      </c>
      <c r="BX71" t="s">
        <v>227</v>
      </c>
      <c r="BY71" t="s">
        <v>227</v>
      </c>
      <c r="CA71" t="s">
        <v>253</v>
      </c>
      <c r="CB71" t="s">
        <v>253</v>
      </c>
      <c r="CD71" t="s">
        <v>75</v>
      </c>
      <c r="CE71" t="s">
        <v>652</v>
      </c>
      <c r="CF71" t="s">
        <v>219</v>
      </c>
      <c r="CI71">
        <v>1</v>
      </c>
      <c r="CL71" t="s">
        <v>149</v>
      </c>
    </row>
    <row r="72" spans="1:90" x14ac:dyDescent="0.2">
      <c r="A72" t="s">
        <v>67</v>
      </c>
      <c r="E72" t="s">
        <v>78</v>
      </c>
      <c r="F72" t="s">
        <v>86</v>
      </c>
      <c r="G72" t="s">
        <v>87</v>
      </c>
      <c r="H72" t="s">
        <v>647</v>
      </c>
      <c r="I72" t="s">
        <v>614</v>
      </c>
      <c r="J72" t="s">
        <v>130</v>
      </c>
      <c r="K72" t="s">
        <v>125</v>
      </c>
      <c r="L72" t="s">
        <v>623</v>
      </c>
      <c r="M72" t="s">
        <v>623</v>
      </c>
      <c r="N72" t="s">
        <v>533</v>
      </c>
      <c r="O72" t="s">
        <v>83</v>
      </c>
      <c r="P72" t="s">
        <v>653</v>
      </c>
      <c r="S72" t="s">
        <v>250</v>
      </c>
      <c r="T72" t="s">
        <v>617</v>
      </c>
      <c r="U72" t="s">
        <v>74</v>
      </c>
      <c r="V72" t="s">
        <v>305</v>
      </c>
      <c r="W72" t="s">
        <v>625</v>
      </c>
      <c r="X72" t="s">
        <v>649</v>
      </c>
      <c r="AF72" t="s">
        <v>626</v>
      </c>
      <c r="AM72" t="s">
        <v>117</v>
      </c>
      <c r="AN72" t="s">
        <v>650</v>
      </c>
      <c r="AO72" t="s">
        <v>651</v>
      </c>
      <c r="AP72" t="s">
        <v>224</v>
      </c>
      <c r="AQ72" t="s">
        <v>301</v>
      </c>
      <c r="AR72" t="s">
        <v>301</v>
      </c>
      <c r="AT72" t="s">
        <v>307</v>
      </c>
      <c r="AU72" t="s">
        <v>307</v>
      </c>
      <c r="AW72" t="s">
        <v>212</v>
      </c>
      <c r="AX72" t="s">
        <v>212</v>
      </c>
      <c r="AZ72" t="s">
        <v>218</v>
      </c>
      <c r="BA72" t="s">
        <v>218</v>
      </c>
      <c r="BC72" t="s">
        <v>308</v>
      </c>
      <c r="BD72" t="s">
        <v>308</v>
      </c>
      <c r="BF72" t="s">
        <v>219</v>
      </c>
      <c r="BG72" t="s">
        <v>219</v>
      </c>
      <c r="BI72" t="s">
        <v>309</v>
      </c>
      <c r="BJ72" t="s">
        <v>309</v>
      </c>
      <c r="BL72" t="s">
        <v>309</v>
      </c>
      <c r="BM72" t="s">
        <v>309</v>
      </c>
      <c r="BO72" t="s">
        <v>310</v>
      </c>
      <c r="BP72" t="s">
        <v>310</v>
      </c>
      <c r="BR72" t="s">
        <v>311</v>
      </c>
      <c r="BS72" t="s">
        <v>311</v>
      </c>
      <c r="BU72" t="s">
        <v>227</v>
      </c>
      <c r="BV72" t="s">
        <v>227</v>
      </c>
      <c r="BX72" t="s">
        <v>227</v>
      </c>
      <c r="BY72" t="s">
        <v>227</v>
      </c>
      <c r="CA72" t="s">
        <v>253</v>
      </c>
      <c r="CB72" t="s">
        <v>253</v>
      </c>
      <c r="CD72" t="s">
        <v>75</v>
      </c>
      <c r="CE72" t="s">
        <v>652</v>
      </c>
      <c r="CF72" t="s">
        <v>219</v>
      </c>
      <c r="CI72">
        <v>1</v>
      </c>
      <c r="CL72" t="s">
        <v>149</v>
      </c>
    </row>
    <row r="73" spans="1:90" x14ac:dyDescent="0.2">
      <c r="A73" t="s">
        <v>67</v>
      </c>
      <c r="E73" t="s">
        <v>78</v>
      </c>
      <c r="F73" t="s">
        <v>86</v>
      </c>
      <c r="G73" t="s">
        <v>87</v>
      </c>
      <c r="H73" t="s">
        <v>654</v>
      </c>
      <c r="I73" t="s">
        <v>614</v>
      </c>
      <c r="J73" t="s">
        <v>129</v>
      </c>
      <c r="K73" t="s">
        <v>125</v>
      </c>
      <c r="L73" t="s">
        <v>615</v>
      </c>
      <c r="M73" t="s">
        <v>615</v>
      </c>
      <c r="N73" t="s">
        <v>533</v>
      </c>
      <c r="O73" t="s">
        <v>83</v>
      </c>
      <c r="P73" t="s">
        <v>655</v>
      </c>
      <c r="S73" t="s">
        <v>250</v>
      </c>
      <c r="T73" t="s">
        <v>617</v>
      </c>
      <c r="U73" t="s">
        <v>74</v>
      </c>
      <c r="V73" t="s">
        <v>305</v>
      </c>
      <c r="W73" t="s">
        <v>618</v>
      </c>
      <c r="X73" t="s">
        <v>656</v>
      </c>
      <c r="AF73" t="s">
        <v>620</v>
      </c>
      <c r="AM73" t="s">
        <v>117</v>
      </c>
      <c r="AN73" t="s">
        <v>657</v>
      </c>
      <c r="AO73" t="s">
        <v>505</v>
      </c>
      <c r="AP73" t="s">
        <v>224</v>
      </c>
      <c r="AQ73" t="s">
        <v>301</v>
      </c>
      <c r="AR73" t="s">
        <v>301</v>
      </c>
      <c r="AT73" t="s">
        <v>307</v>
      </c>
      <c r="AU73" t="s">
        <v>307</v>
      </c>
      <c r="AW73" t="s">
        <v>212</v>
      </c>
      <c r="AX73" t="s">
        <v>212</v>
      </c>
      <c r="AZ73" t="s">
        <v>218</v>
      </c>
      <c r="BA73" t="s">
        <v>218</v>
      </c>
      <c r="BC73" t="s">
        <v>308</v>
      </c>
      <c r="BD73" t="s">
        <v>308</v>
      </c>
      <c r="BF73" t="s">
        <v>503</v>
      </c>
      <c r="BG73" t="s">
        <v>503</v>
      </c>
      <c r="BI73" t="s">
        <v>309</v>
      </c>
      <c r="BJ73" t="s">
        <v>309</v>
      </c>
      <c r="BL73" t="s">
        <v>309</v>
      </c>
      <c r="BM73" t="s">
        <v>309</v>
      </c>
      <c r="BO73" t="s">
        <v>310</v>
      </c>
      <c r="BP73" t="s">
        <v>310</v>
      </c>
      <c r="BR73" t="s">
        <v>311</v>
      </c>
      <c r="BS73" t="s">
        <v>311</v>
      </c>
      <c r="BU73" t="s">
        <v>227</v>
      </c>
      <c r="BV73" t="s">
        <v>227</v>
      </c>
      <c r="BX73" t="s">
        <v>227</v>
      </c>
      <c r="BY73" t="s">
        <v>227</v>
      </c>
      <c r="CA73" t="s">
        <v>253</v>
      </c>
      <c r="CB73" t="s">
        <v>253</v>
      </c>
      <c r="CD73" t="s">
        <v>75</v>
      </c>
      <c r="CE73" t="s">
        <v>658</v>
      </c>
      <c r="CF73" t="s">
        <v>503</v>
      </c>
      <c r="CI73">
        <v>1</v>
      </c>
      <c r="CL73" t="s">
        <v>149</v>
      </c>
    </row>
    <row r="74" spans="1:90" x14ac:dyDescent="0.2">
      <c r="A74" t="s">
        <v>67</v>
      </c>
      <c r="E74" t="s">
        <v>78</v>
      </c>
      <c r="F74" t="s">
        <v>86</v>
      </c>
      <c r="G74" t="s">
        <v>87</v>
      </c>
      <c r="H74" t="s">
        <v>654</v>
      </c>
      <c r="I74" t="s">
        <v>614</v>
      </c>
      <c r="J74" t="s">
        <v>130</v>
      </c>
      <c r="K74" t="s">
        <v>125</v>
      </c>
      <c r="L74" t="s">
        <v>623</v>
      </c>
      <c r="M74" t="s">
        <v>623</v>
      </c>
      <c r="N74" t="s">
        <v>533</v>
      </c>
      <c r="O74" t="s">
        <v>83</v>
      </c>
      <c r="P74" t="s">
        <v>659</v>
      </c>
      <c r="S74" t="s">
        <v>250</v>
      </c>
      <c r="T74" t="s">
        <v>617</v>
      </c>
      <c r="U74" t="s">
        <v>74</v>
      </c>
      <c r="V74" t="s">
        <v>305</v>
      </c>
      <c r="W74" t="s">
        <v>625</v>
      </c>
      <c r="X74" t="s">
        <v>656</v>
      </c>
      <c r="AF74" t="s">
        <v>626</v>
      </c>
      <c r="AM74" t="s">
        <v>117</v>
      </c>
      <c r="AN74" t="s">
        <v>657</v>
      </c>
      <c r="AO74" t="s">
        <v>505</v>
      </c>
      <c r="AP74" t="s">
        <v>224</v>
      </c>
      <c r="AQ74" t="s">
        <v>301</v>
      </c>
      <c r="AR74" t="s">
        <v>301</v>
      </c>
      <c r="AT74" t="s">
        <v>307</v>
      </c>
      <c r="AU74" t="s">
        <v>307</v>
      </c>
      <c r="AW74" t="s">
        <v>212</v>
      </c>
      <c r="AX74" t="s">
        <v>212</v>
      </c>
      <c r="AZ74" t="s">
        <v>218</v>
      </c>
      <c r="BA74" t="s">
        <v>218</v>
      </c>
      <c r="BC74" t="s">
        <v>308</v>
      </c>
      <c r="BD74" t="s">
        <v>308</v>
      </c>
      <c r="BF74" t="s">
        <v>503</v>
      </c>
      <c r="BG74" t="s">
        <v>503</v>
      </c>
      <c r="BI74" t="s">
        <v>309</v>
      </c>
      <c r="BJ74" t="s">
        <v>309</v>
      </c>
      <c r="BL74" t="s">
        <v>309</v>
      </c>
      <c r="BM74" t="s">
        <v>309</v>
      </c>
      <c r="BO74" t="s">
        <v>310</v>
      </c>
      <c r="BP74" t="s">
        <v>310</v>
      </c>
      <c r="BR74" t="s">
        <v>311</v>
      </c>
      <c r="BS74" t="s">
        <v>311</v>
      </c>
      <c r="BU74" t="s">
        <v>227</v>
      </c>
      <c r="BV74" t="s">
        <v>227</v>
      </c>
      <c r="BX74" t="s">
        <v>227</v>
      </c>
      <c r="BY74" t="s">
        <v>227</v>
      </c>
      <c r="CA74" t="s">
        <v>253</v>
      </c>
      <c r="CB74" t="s">
        <v>253</v>
      </c>
      <c r="CD74" t="s">
        <v>75</v>
      </c>
      <c r="CE74" t="s">
        <v>658</v>
      </c>
      <c r="CF74" t="s">
        <v>503</v>
      </c>
      <c r="CI74">
        <v>1</v>
      </c>
      <c r="CL74" t="s">
        <v>149</v>
      </c>
    </row>
    <row r="75" spans="1:90" x14ac:dyDescent="0.2">
      <c r="A75" t="s">
        <v>67</v>
      </c>
      <c r="E75" t="s">
        <v>78</v>
      </c>
      <c r="F75" t="s">
        <v>69</v>
      </c>
      <c r="G75" t="s">
        <v>87</v>
      </c>
      <c r="H75" t="s">
        <v>654</v>
      </c>
      <c r="I75" t="s">
        <v>124</v>
      </c>
      <c r="J75" t="s">
        <v>660</v>
      </c>
      <c r="K75" t="s">
        <v>125</v>
      </c>
      <c r="L75" t="s">
        <v>73</v>
      </c>
      <c r="M75" t="s">
        <v>73</v>
      </c>
      <c r="N75" t="s">
        <v>73</v>
      </c>
      <c r="O75" t="s">
        <v>83</v>
      </c>
      <c r="P75" t="str">
        <f t="shared" ref="P75" si="3">E75&amp;"_"&amp;F75&amp;"_"&amp;G75&amp;"_"&amp;H75&amp;"_"&amp;I75&amp;"_"&amp;J75&amp;"_"&amp;K75&amp;"_"&amp;L75&amp;"_"&amp;M75&amp;"_"&amp;N75&amp;"_"&amp;O75&amp;"_"</f>
        <v>DFTL_SOC_PCPU_MPX00A_SOCTDF_CAN0_PL10_X_X_X_SelsrmSSSS_</v>
      </c>
      <c r="S75" t="s">
        <v>503</v>
      </c>
      <c r="T75" t="s">
        <v>661</v>
      </c>
      <c r="U75" t="s">
        <v>74</v>
      </c>
      <c r="V75" t="s">
        <v>121</v>
      </c>
      <c r="W75" t="s">
        <v>122</v>
      </c>
      <c r="X75" t="s">
        <v>123</v>
      </c>
      <c r="Y75" t="s">
        <v>662</v>
      </c>
      <c r="AF75" t="s">
        <v>663</v>
      </c>
      <c r="AM75" t="s">
        <v>117</v>
      </c>
      <c r="AN75" t="s">
        <v>657</v>
      </c>
      <c r="AO75" t="s">
        <v>505</v>
      </c>
      <c r="AP75" t="s">
        <v>224</v>
      </c>
      <c r="AQ75" t="s">
        <v>301</v>
      </c>
      <c r="AR75" t="s">
        <v>301</v>
      </c>
      <c r="AT75" t="s">
        <v>307</v>
      </c>
      <c r="AU75" t="s">
        <v>307</v>
      </c>
      <c r="AW75" t="s">
        <v>212</v>
      </c>
      <c r="AX75" t="s">
        <v>212</v>
      </c>
      <c r="AZ75" t="s">
        <v>218</v>
      </c>
      <c r="BA75" t="s">
        <v>218</v>
      </c>
      <c r="BC75" t="s">
        <v>308</v>
      </c>
      <c r="BD75" t="s">
        <v>308</v>
      </c>
      <c r="BF75" t="s">
        <v>503</v>
      </c>
      <c r="BG75" t="s">
        <v>503</v>
      </c>
      <c r="BI75" t="s">
        <v>309</v>
      </c>
      <c r="BJ75" t="s">
        <v>309</v>
      </c>
      <c r="BL75" t="s">
        <v>309</v>
      </c>
      <c r="BM75" t="s">
        <v>309</v>
      </c>
      <c r="BO75" t="s">
        <v>310</v>
      </c>
      <c r="BP75" t="s">
        <v>310</v>
      </c>
      <c r="BR75" t="s">
        <v>311</v>
      </c>
      <c r="BS75" t="s">
        <v>311</v>
      </c>
      <c r="BU75" t="s">
        <v>227</v>
      </c>
      <c r="BV75" t="s">
        <v>227</v>
      </c>
      <c r="BX75" t="s">
        <v>227</v>
      </c>
      <c r="BY75" t="s">
        <v>227</v>
      </c>
      <c r="CA75" t="s">
        <v>253</v>
      </c>
      <c r="CB75" t="s">
        <v>253</v>
      </c>
      <c r="CD75" t="s">
        <v>75</v>
      </c>
      <c r="CE75" t="s">
        <v>658</v>
      </c>
      <c r="CF75" t="s">
        <v>503</v>
      </c>
      <c r="CI75">
        <v>1</v>
      </c>
      <c r="CL75" t="s">
        <v>149</v>
      </c>
    </row>
    <row r="76" spans="1:90" x14ac:dyDescent="0.2">
      <c r="A76" t="s">
        <v>67</v>
      </c>
      <c r="E76" t="s">
        <v>78</v>
      </c>
      <c r="F76" t="s">
        <v>69</v>
      </c>
      <c r="G76" t="s">
        <v>69</v>
      </c>
      <c r="H76" t="s">
        <v>664</v>
      </c>
      <c r="I76" t="s">
        <v>124</v>
      </c>
      <c r="J76" t="s">
        <v>665</v>
      </c>
      <c r="K76" t="s">
        <v>125</v>
      </c>
      <c r="L76" t="s">
        <v>455</v>
      </c>
      <c r="M76" t="s">
        <v>73</v>
      </c>
      <c r="N76" t="s">
        <v>73</v>
      </c>
      <c r="O76" t="s">
        <v>83</v>
      </c>
      <c r="P76" t="s">
        <v>666</v>
      </c>
      <c r="S76" t="s">
        <v>516</v>
      </c>
      <c r="T76" t="s">
        <v>667</v>
      </c>
      <c r="U76" t="s">
        <v>74</v>
      </c>
      <c r="V76" t="s">
        <v>121</v>
      </c>
      <c r="W76" t="s">
        <v>122</v>
      </c>
      <c r="X76" t="s">
        <v>123</v>
      </c>
      <c r="Y76" t="s">
        <v>668</v>
      </c>
      <c r="AF76" t="s">
        <v>669</v>
      </c>
      <c r="AM76" t="s">
        <v>117</v>
      </c>
      <c r="AN76" t="s">
        <v>374</v>
      </c>
      <c r="AO76" t="s">
        <v>374</v>
      </c>
      <c r="AQ76" t="s">
        <v>301</v>
      </c>
      <c r="AR76" t="s">
        <v>301</v>
      </c>
      <c r="AT76" t="s">
        <v>307</v>
      </c>
      <c r="AU76" t="s">
        <v>307</v>
      </c>
      <c r="AW76" t="s">
        <v>670</v>
      </c>
      <c r="AX76" t="s">
        <v>671</v>
      </c>
      <c r="AY76" t="s">
        <v>224</v>
      </c>
      <c r="AZ76" t="s">
        <v>485</v>
      </c>
      <c r="BA76" t="s">
        <v>485</v>
      </c>
      <c r="BC76" t="s">
        <v>545</v>
      </c>
      <c r="BD76" t="s">
        <v>545</v>
      </c>
      <c r="BF76" t="s">
        <v>374</v>
      </c>
      <c r="BG76" t="s">
        <v>374</v>
      </c>
      <c r="BI76" t="s">
        <v>309</v>
      </c>
      <c r="BJ76" t="s">
        <v>309</v>
      </c>
      <c r="BL76" t="s">
        <v>309</v>
      </c>
      <c r="BM76" t="s">
        <v>309</v>
      </c>
      <c r="BO76" t="s">
        <v>310</v>
      </c>
      <c r="BP76" t="s">
        <v>310</v>
      </c>
      <c r="BR76" t="s">
        <v>311</v>
      </c>
      <c r="BS76" t="s">
        <v>311</v>
      </c>
      <c r="BU76" t="s">
        <v>227</v>
      </c>
      <c r="BV76" t="s">
        <v>227</v>
      </c>
      <c r="BX76" t="s">
        <v>227</v>
      </c>
      <c r="BY76" t="s">
        <v>227</v>
      </c>
      <c r="CA76" t="s">
        <v>253</v>
      </c>
      <c r="CB76" t="s">
        <v>253</v>
      </c>
      <c r="CD76" t="s">
        <v>75</v>
      </c>
      <c r="CE76" t="s">
        <v>672</v>
      </c>
      <c r="CF76" t="s">
        <v>516</v>
      </c>
      <c r="CI76">
        <v>1</v>
      </c>
      <c r="CL76" t="s">
        <v>149</v>
      </c>
    </row>
    <row r="77" spans="1:90" x14ac:dyDescent="0.2">
      <c r="A77" t="s">
        <v>67</v>
      </c>
      <c r="E77" t="s">
        <v>78</v>
      </c>
      <c r="F77" t="s">
        <v>69</v>
      </c>
      <c r="G77" t="s">
        <v>69</v>
      </c>
      <c r="H77" t="s">
        <v>673</v>
      </c>
      <c r="I77" t="s">
        <v>124</v>
      </c>
      <c r="J77" t="s">
        <v>665</v>
      </c>
      <c r="K77" t="s">
        <v>125</v>
      </c>
      <c r="L77" t="s">
        <v>455</v>
      </c>
      <c r="M77" t="s">
        <v>73</v>
      </c>
      <c r="N77" t="s">
        <v>73</v>
      </c>
      <c r="O77" t="s">
        <v>83</v>
      </c>
      <c r="P77" t="s">
        <v>674</v>
      </c>
      <c r="S77" t="s">
        <v>233</v>
      </c>
      <c r="T77" t="s">
        <v>234</v>
      </c>
      <c r="U77" t="s">
        <v>74</v>
      </c>
      <c r="V77" t="s">
        <v>121</v>
      </c>
      <c r="W77" t="s">
        <v>122</v>
      </c>
      <c r="X77" t="s">
        <v>123</v>
      </c>
      <c r="Y77" t="s">
        <v>675</v>
      </c>
      <c r="AF77" t="s">
        <v>669</v>
      </c>
      <c r="AM77" t="s">
        <v>117</v>
      </c>
      <c r="AN77" t="s">
        <v>374</v>
      </c>
      <c r="AO77" t="s">
        <v>374</v>
      </c>
      <c r="AQ77" t="s">
        <v>301</v>
      </c>
      <c r="AR77" t="s">
        <v>301</v>
      </c>
      <c r="AT77" t="s">
        <v>307</v>
      </c>
      <c r="AU77" t="s">
        <v>307</v>
      </c>
      <c r="AW77" t="s">
        <v>676</v>
      </c>
      <c r="AX77" t="s">
        <v>677</v>
      </c>
      <c r="AY77" t="s">
        <v>224</v>
      </c>
      <c r="AZ77" t="s">
        <v>678</v>
      </c>
      <c r="BA77" t="s">
        <v>678</v>
      </c>
      <c r="BC77" t="s">
        <v>545</v>
      </c>
      <c r="BD77" t="s">
        <v>545</v>
      </c>
      <c r="BF77" t="s">
        <v>374</v>
      </c>
      <c r="BG77" t="s">
        <v>374</v>
      </c>
      <c r="BI77" t="s">
        <v>309</v>
      </c>
      <c r="BJ77" t="s">
        <v>309</v>
      </c>
      <c r="BL77" t="s">
        <v>309</v>
      </c>
      <c r="BM77" t="s">
        <v>309</v>
      </c>
      <c r="BO77" t="s">
        <v>310</v>
      </c>
      <c r="BP77" t="s">
        <v>310</v>
      </c>
      <c r="BR77" t="s">
        <v>311</v>
      </c>
      <c r="BS77" t="s">
        <v>311</v>
      </c>
      <c r="BU77" t="s">
        <v>227</v>
      </c>
      <c r="BV77" t="s">
        <v>227</v>
      </c>
      <c r="BX77" t="s">
        <v>227</v>
      </c>
      <c r="BY77" t="s">
        <v>227</v>
      </c>
      <c r="CA77" t="s">
        <v>253</v>
      </c>
      <c r="CB77" t="s">
        <v>253</v>
      </c>
      <c r="CD77" t="s">
        <v>75</v>
      </c>
      <c r="CE77" t="s">
        <v>239</v>
      </c>
      <c r="CF77" t="s">
        <v>233</v>
      </c>
      <c r="CI77">
        <v>1</v>
      </c>
      <c r="CL77" t="s">
        <v>149</v>
      </c>
    </row>
    <row r="78" spans="1:90" x14ac:dyDescent="0.2">
      <c r="A78" t="s">
        <v>67</v>
      </c>
      <c r="E78" t="s">
        <v>78</v>
      </c>
      <c r="F78" t="s">
        <v>69</v>
      </c>
      <c r="G78" t="s">
        <v>69</v>
      </c>
      <c r="H78" t="s">
        <v>664</v>
      </c>
      <c r="I78" t="s">
        <v>124</v>
      </c>
      <c r="J78" t="s">
        <v>679</v>
      </c>
      <c r="K78" t="s">
        <v>125</v>
      </c>
      <c r="L78" t="s">
        <v>455</v>
      </c>
      <c r="M78" t="s">
        <v>73</v>
      </c>
      <c r="N78" t="s">
        <v>73</v>
      </c>
      <c r="O78" t="s">
        <v>83</v>
      </c>
      <c r="P78" t="s">
        <v>680</v>
      </c>
      <c r="S78" t="s">
        <v>516</v>
      </c>
      <c r="T78" t="s">
        <v>667</v>
      </c>
      <c r="U78" t="s">
        <v>74</v>
      </c>
      <c r="V78" t="s">
        <v>681</v>
      </c>
      <c r="W78" t="s">
        <v>122</v>
      </c>
      <c r="X78" t="s">
        <v>123</v>
      </c>
      <c r="Y78" t="s">
        <v>682</v>
      </c>
      <c r="AF78" t="s">
        <v>683</v>
      </c>
      <c r="AM78" t="s">
        <v>117</v>
      </c>
      <c r="AN78" t="s">
        <v>374</v>
      </c>
      <c r="AO78" t="s">
        <v>374</v>
      </c>
      <c r="AQ78" t="s">
        <v>301</v>
      </c>
      <c r="AR78" t="s">
        <v>301</v>
      </c>
      <c r="AT78" t="s">
        <v>307</v>
      </c>
      <c r="AU78" t="s">
        <v>307</v>
      </c>
      <c r="AW78" t="s">
        <v>670</v>
      </c>
      <c r="AX78" t="s">
        <v>671</v>
      </c>
      <c r="AY78" t="s">
        <v>224</v>
      </c>
      <c r="AZ78" t="s">
        <v>485</v>
      </c>
      <c r="BA78" t="s">
        <v>485</v>
      </c>
      <c r="BC78" t="s">
        <v>545</v>
      </c>
      <c r="BD78" t="s">
        <v>545</v>
      </c>
      <c r="BF78" t="s">
        <v>374</v>
      </c>
      <c r="BG78" t="s">
        <v>374</v>
      </c>
      <c r="BI78" t="s">
        <v>309</v>
      </c>
      <c r="BJ78" t="s">
        <v>309</v>
      </c>
      <c r="BL78" t="s">
        <v>309</v>
      </c>
      <c r="BM78" t="s">
        <v>309</v>
      </c>
      <c r="BO78" t="s">
        <v>310</v>
      </c>
      <c r="BP78" t="s">
        <v>310</v>
      </c>
      <c r="BR78" t="s">
        <v>311</v>
      </c>
      <c r="BS78" t="s">
        <v>311</v>
      </c>
      <c r="BU78" t="s">
        <v>227</v>
      </c>
      <c r="BV78" t="s">
        <v>227</v>
      </c>
      <c r="BX78" t="s">
        <v>227</v>
      </c>
      <c r="BY78" t="s">
        <v>227</v>
      </c>
      <c r="CA78" t="s">
        <v>253</v>
      </c>
      <c r="CB78" t="s">
        <v>253</v>
      </c>
      <c r="CD78" t="s">
        <v>75</v>
      </c>
      <c r="CE78" t="s">
        <v>672</v>
      </c>
      <c r="CF78" t="s">
        <v>516</v>
      </c>
      <c r="CI78">
        <v>1</v>
      </c>
      <c r="CL78" t="s">
        <v>149</v>
      </c>
    </row>
    <row r="79" spans="1:90" x14ac:dyDescent="0.2">
      <c r="A79" t="s">
        <v>67</v>
      </c>
      <c r="E79" t="s">
        <v>78</v>
      </c>
      <c r="F79" t="s">
        <v>69</v>
      </c>
      <c r="G79" t="s">
        <v>69</v>
      </c>
      <c r="H79" t="s">
        <v>673</v>
      </c>
      <c r="I79" t="s">
        <v>124</v>
      </c>
      <c r="J79" t="s">
        <v>679</v>
      </c>
      <c r="K79" t="s">
        <v>125</v>
      </c>
      <c r="L79" t="s">
        <v>455</v>
      </c>
      <c r="M79" t="s">
        <v>73</v>
      </c>
      <c r="N79" t="s">
        <v>73</v>
      </c>
      <c r="O79" t="s">
        <v>83</v>
      </c>
      <c r="P79" t="s">
        <v>684</v>
      </c>
      <c r="S79" t="s">
        <v>233</v>
      </c>
      <c r="T79" t="s">
        <v>234</v>
      </c>
      <c r="U79" t="s">
        <v>74</v>
      </c>
      <c r="V79" t="s">
        <v>681</v>
      </c>
      <c r="W79" t="s">
        <v>122</v>
      </c>
      <c r="X79" t="s">
        <v>123</v>
      </c>
      <c r="Y79" t="s">
        <v>685</v>
      </c>
      <c r="AF79" t="s">
        <v>683</v>
      </c>
      <c r="AM79" t="s">
        <v>117</v>
      </c>
      <c r="AN79" t="s">
        <v>374</v>
      </c>
      <c r="AO79" t="s">
        <v>374</v>
      </c>
      <c r="AQ79" t="s">
        <v>301</v>
      </c>
      <c r="AR79" t="s">
        <v>301</v>
      </c>
      <c r="AT79" t="s">
        <v>307</v>
      </c>
      <c r="AU79" t="s">
        <v>307</v>
      </c>
      <c r="AW79" t="s">
        <v>676</v>
      </c>
      <c r="AX79" t="s">
        <v>677</v>
      </c>
      <c r="AY79" t="s">
        <v>224</v>
      </c>
      <c r="AZ79" t="s">
        <v>678</v>
      </c>
      <c r="BA79" t="s">
        <v>678</v>
      </c>
      <c r="BC79" t="s">
        <v>545</v>
      </c>
      <c r="BD79" t="s">
        <v>545</v>
      </c>
      <c r="BF79" t="s">
        <v>374</v>
      </c>
      <c r="BG79" t="s">
        <v>374</v>
      </c>
      <c r="BI79" t="s">
        <v>309</v>
      </c>
      <c r="BJ79" t="s">
        <v>309</v>
      </c>
      <c r="BL79" t="s">
        <v>309</v>
      </c>
      <c r="BM79" t="s">
        <v>309</v>
      </c>
      <c r="BO79" t="s">
        <v>310</v>
      </c>
      <c r="BP79" t="s">
        <v>310</v>
      </c>
      <c r="BR79" t="s">
        <v>311</v>
      </c>
      <c r="BS79" t="s">
        <v>311</v>
      </c>
      <c r="BU79" t="s">
        <v>227</v>
      </c>
      <c r="BV79" t="s">
        <v>227</v>
      </c>
      <c r="BX79" t="s">
        <v>227</v>
      </c>
      <c r="BY79" t="s">
        <v>227</v>
      </c>
      <c r="CA79" t="s">
        <v>253</v>
      </c>
      <c r="CB79" t="s">
        <v>253</v>
      </c>
      <c r="CD79" t="s">
        <v>75</v>
      </c>
      <c r="CE79" t="s">
        <v>239</v>
      </c>
      <c r="CF79" t="s">
        <v>233</v>
      </c>
      <c r="CI79">
        <v>1</v>
      </c>
      <c r="CL79" t="s">
        <v>149</v>
      </c>
    </row>
    <row r="80" spans="1:90" x14ac:dyDescent="0.2">
      <c r="A80" t="s">
        <v>67</v>
      </c>
      <c r="E80" t="s">
        <v>78</v>
      </c>
      <c r="F80" t="s">
        <v>69</v>
      </c>
      <c r="G80" t="s">
        <v>69</v>
      </c>
      <c r="H80" t="s">
        <v>664</v>
      </c>
      <c r="I80" t="s">
        <v>124</v>
      </c>
      <c r="J80" t="s">
        <v>686</v>
      </c>
      <c r="K80" t="s">
        <v>125</v>
      </c>
      <c r="L80" t="s">
        <v>455</v>
      </c>
      <c r="M80" t="s">
        <v>73</v>
      </c>
      <c r="N80" t="s">
        <v>73</v>
      </c>
      <c r="O80" t="s">
        <v>83</v>
      </c>
      <c r="P80" t="s">
        <v>687</v>
      </c>
      <c r="S80" t="s">
        <v>516</v>
      </c>
      <c r="T80" t="s">
        <v>667</v>
      </c>
      <c r="U80" t="s">
        <v>74</v>
      </c>
      <c r="V80" t="s">
        <v>121</v>
      </c>
      <c r="W80" t="s">
        <v>122</v>
      </c>
      <c r="X80" t="s">
        <v>123</v>
      </c>
      <c r="Y80" t="s">
        <v>688</v>
      </c>
      <c r="AF80" t="s">
        <v>689</v>
      </c>
      <c r="AM80" t="s">
        <v>117</v>
      </c>
      <c r="AN80" t="s">
        <v>374</v>
      </c>
      <c r="AO80" t="s">
        <v>374</v>
      </c>
      <c r="AQ80" t="s">
        <v>301</v>
      </c>
      <c r="AR80" t="s">
        <v>301</v>
      </c>
      <c r="AT80" t="s">
        <v>307</v>
      </c>
      <c r="AU80" t="s">
        <v>307</v>
      </c>
      <c r="AW80" t="s">
        <v>670</v>
      </c>
      <c r="AX80" t="s">
        <v>671</v>
      </c>
      <c r="AY80" t="s">
        <v>224</v>
      </c>
      <c r="AZ80" t="s">
        <v>485</v>
      </c>
      <c r="BA80" t="s">
        <v>485</v>
      </c>
      <c r="BC80" t="s">
        <v>545</v>
      </c>
      <c r="BD80" t="s">
        <v>545</v>
      </c>
      <c r="BF80" t="s">
        <v>374</v>
      </c>
      <c r="BG80" t="s">
        <v>374</v>
      </c>
      <c r="BI80" t="s">
        <v>309</v>
      </c>
      <c r="BJ80" t="s">
        <v>309</v>
      </c>
      <c r="BL80" t="s">
        <v>309</v>
      </c>
      <c r="BM80" t="s">
        <v>309</v>
      </c>
      <c r="BO80" t="s">
        <v>310</v>
      </c>
      <c r="BP80" t="s">
        <v>310</v>
      </c>
      <c r="BR80" t="s">
        <v>311</v>
      </c>
      <c r="BS80" t="s">
        <v>311</v>
      </c>
      <c r="BU80" t="s">
        <v>227</v>
      </c>
      <c r="BV80" t="s">
        <v>227</v>
      </c>
      <c r="BX80" t="s">
        <v>227</v>
      </c>
      <c r="BY80" t="s">
        <v>227</v>
      </c>
      <c r="CA80" t="s">
        <v>253</v>
      </c>
      <c r="CB80" t="s">
        <v>253</v>
      </c>
      <c r="CD80" t="s">
        <v>75</v>
      </c>
      <c r="CE80" t="s">
        <v>672</v>
      </c>
      <c r="CF80" t="s">
        <v>516</v>
      </c>
      <c r="CI80">
        <v>1</v>
      </c>
      <c r="CL80" t="s">
        <v>149</v>
      </c>
    </row>
    <row r="81" spans="1:93" x14ac:dyDescent="0.2">
      <c r="A81" t="s">
        <v>67</v>
      </c>
      <c r="E81" t="s">
        <v>78</v>
      </c>
      <c r="F81" t="s">
        <v>69</v>
      </c>
      <c r="G81" t="s">
        <v>69</v>
      </c>
      <c r="H81" t="s">
        <v>673</v>
      </c>
      <c r="I81" t="s">
        <v>124</v>
      </c>
      <c r="J81" t="s">
        <v>686</v>
      </c>
      <c r="K81" t="s">
        <v>125</v>
      </c>
      <c r="L81" t="s">
        <v>455</v>
      </c>
      <c r="M81" t="s">
        <v>73</v>
      </c>
      <c r="N81" t="s">
        <v>73</v>
      </c>
      <c r="O81" t="s">
        <v>83</v>
      </c>
      <c r="P81" t="s">
        <v>690</v>
      </c>
      <c r="S81" t="s">
        <v>233</v>
      </c>
      <c r="T81" t="s">
        <v>234</v>
      </c>
      <c r="U81" t="s">
        <v>74</v>
      </c>
      <c r="V81" t="s">
        <v>121</v>
      </c>
      <c r="W81" t="s">
        <v>122</v>
      </c>
      <c r="X81" t="s">
        <v>123</v>
      </c>
      <c r="Y81" t="s">
        <v>691</v>
      </c>
      <c r="AF81" t="s">
        <v>689</v>
      </c>
      <c r="AM81" t="s">
        <v>117</v>
      </c>
      <c r="AN81" t="s">
        <v>374</v>
      </c>
      <c r="AO81" t="s">
        <v>374</v>
      </c>
      <c r="AQ81" t="s">
        <v>301</v>
      </c>
      <c r="AR81" t="s">
        <v>301</v>
      </c>
      <c r="AT81" t="s">
        <v>307</v>
      </c>
      <c r="AU81" t="s">
        <v>307</v>
      </c>
      <c r="AW81" t="s">
        <v>676</v>
      </c>
      <c r="AX81" t="s">
        <v>677</v>
      </c>
      <c r="AY81" t="s">
        <v>224</v>
      </c>
      <c r="AZ81" t="s">
        <v>678</v>
      </c>
      <c r="BA81" t="s">
        <v>678</v>
      </c>
      <c r="BC81" t="s">
        <v>545</v>
      </c>
      <c r="BD81" t="s">
        <v>545</v>
      </c>
      <c r="BF81" t="s">
        <v>374</v>
      </c>
      <c r="BG81" t="s">
        <v>374</v>
      </c>
      <c r="BI81" t="s">
        <v>309</v>
      </c>
      <c r="BJ81" t="s">
        <v>309</v>
      </c>
      <c r="BL81" t="s">
        <v>309</v>
      </c>
      <c r="BM81" t="s">
        <v>309</v>
      </c>
      <c r="BO81" t="s">
        <v>310</v>
      </c>
      <c r="BP81" t="s">
        <v>310</v>
      </c>
      <c r="BR81" t="s">
        <v>311</v>
      </c>
      <c r="BS81" t="s">
        <v>311</v>
      </c>
      <c r="BU81" t="s">
        <v>227</v>
      </c>
      <c r="BV81" t="s">
        <v>227</v>
      </c>
      <c r="BX81" t="s">
        <v>227</v>
      </c>
      <c r="BY81" t="s">
        <v>227</v>
      </c>
      <c r="CA81" t="s">
        <v>253</v>
      </c>
      <c r="CB81" t="s">
        <v>253</v>
      </c>
      <c r="CD81" t="s">
        <v>75</v>
      </c>
      <c r="CE81" t="s">
        <v>239</v>
      </c>
      <c r="CF81" t="s">
        <v>233</v>
      </c>
      <c r="CI81">
        <v>1</v>
      </c>
      <c r="CL81" t="s">
        <v>149</v>
      </c>
    </row>
    <row r="82" spans="1:93" x14ac:dyDescent="0.2">
      <c r="A82" t="s">
        <v>67</v>
      </c>
      <c r="E82" t="s">
        <v>78</v>
      </c>
      <c r="F82" t="s">
        <v>86</v>
      </c>
      <c r="G82" t="s">
        <v>87</v>
      </c>
      <c r="H82" t="s">
        <v>706</v>
      </c>
      <c r="I82" t="s">
        <v>707</v>
      </c>
      <c r="J82" t="s">
        <v>130</v>
      </c>
      <c r="K82" t="s">
        <v>125</v>
      </c>
      <c r="L82" t="s">
        <v>139</v>
      </c>
      <c r="M82" t="s">
        <v>708</v>
      </c>
      <c r="N82" t="s">
        <v>709</v>
      </c>
      <c r="O82" t="s">
        <v>83</v>
      </c>
      <c r="P82" t="s">
        <v>710</v>
      </c>
      <c r="S82" t="s">
        <v>250</v>
      </c>
      <c r="T82" t="s">
        <v>617</v>
      </c>
      <c r="U82" t="s">
        <v>74</v>
      </c>
      <c r="V82" t="s">
        <v>305</v>
      </c>
      <c r="W82" t="s">
        <v>711</v>
      </c>
      <c r="X82" t="s">
        <v>712</v>
      </c>
      <c r="AF82" t="s">
        <v>713</v>
      </c>
      <c r="AM82" t="s">
        <v>117</v>
      </c>
      <c r="AN82" t="s">
        <v>222</v>
      </c>
      <c r="AO82" t="s">
        <v>301</v>
      </c>
      <c r="AP82" t="s">
        <v>224</v>
      </c>
      <c r="AQ82" t="s">
        <v>301</v>
      </c>
      <c r="AR82" t="s">
        <v>301</v>
      </c>
      <c r="AT82" t="s">
        <v>307</v>
      </c>
      <c r="AU82" t="s">
        <v>307</v>
      </c>
      <c r="AW82" t="s">
        <v>212</v>
      </c>
      <c r="AX82" t="s">
        <v>212</v>
      </c>
      <c r="AZ82" t="s">
        <v>218</v>
      </c>
      <c r="BA82" t="s">
        <v>218</v>
      </c>
      <c r="BC82" t="s">
        <v>308</v>
      </c>
      <c r="BD82" t="s">
        <v>308</v>
      </c>
      <c r="BF82" t="s">
        <v>216</v>
      </c>
      <c r="BG82" t="s">
        <v>216</v>
      </c>
      <c r="BI82" t="s">
        <v>309</v>
      </c>
      <c r="BJ82" t="s">
        <v>309</v>
      </c>
      <c r="BL82" t="s">
        <v>309</v>
      </c>
      <c r="BM82" t="s">
        <v>309</v>
      </c>
      <c r="BO82" t="s">
        <v>310</v>
      </c>
      <c r="BP82" t="s">
        <v>310</v>
      </c>
      <c r="BR82" t="s">
        <v>311</v>
      </c>
      <c r="BS82" t="s">
        <v>311</v>
      </c>
      <c r="BU82" t="s">
        <v>227</v>
      </c>
      <c r="BV82" t="s">
        <v>227</v>
      </c>
      <c r="BX82" t="s">
        <v>227</v>
      </c>
      <c r="BY82" t="s">
        <v>227</v>
      </c>
      <c r="CA82" t="s">
        <v>253</v>
      </c>
      <c r="CB82" t="s">
        <v>253</v>
      </c>
      <c r="CD82" t="s">
        <v>75</v>
      </c>
      <c r="CE82" t="s">
        <v>714</v>
      </c>
      <c r="CF82" t="s">
        <v>250</v>
      </c>
      <c r="CI82">
        <v>1</v>
      </c>
      <c r="CK82" t="s">
        <v>138</v>
      </c>
      <c r="CL82" t="s">
        <v>149</v>
      </c>
      <c r="CM82" t="s">
        <v>149</v>
      </c>
      <c r="CN82" t="s">
        <v>149</v>
      </c>
      <c r="CO82" t="s">
        <v>149</v>
      </c>
    </row>
    <row r="83" spans="1:93" x14ac:dyDescent="0.2">
      <c r="A83" t="s">
        <v>67</v>
      </c>
      <c r="E83" t="s">
        <v>78</v>
      </c>
      <c r="F83" t="s">
        <v>86</v>
      </c>
      <c r="G83" t="s">
        <v>87</v>
      </c>
      <c r="H83" t="s">
        <v>706</v>
      </c>
      <c r="I83" t="s">
        <v>707</v>
      </c>
      <c r="J83" t="s">
        <v>130</v>
      </c>
      <c r="K83" t="s">
        <v>125</v>
      </c>
      <c r="L83" t="s">
        <v>140</v>
      </c>
      <c r="M83" t="s">
        <v>708</v>
      </c>
      <c r="N83" t="s">
        <v>709</v>
      </c>
      <c r="O83" t="s">
        <v>83</v>
      </c>
      <c r="P83" t="s">
        <v>715</v>
      </c>
      <c r="S83" t="s">
        <v>250</v>
      </c>
      <c r="T83" t="s">
        <v>617</v>
      </c>
      <c r="U83" t="s">
        <v>74</v>
      </c>
      <c r="V83" t="s">
        <v>305</v>
      </c>
      <c r="W83" t="s">
        <v>716</v>
      </c>
      <c r="X83" t="s">
        <v>712</v>
      </c>
      <c r="AF83" t="s">
        <v>713</v>
      </c>
      <c r="AM83" t="s">
        <v>117</v>
      </c>
      <c r="AN83" t="s">
        <v>222</v>
      </c>
      <c r="AO83" t="s">
        <v>301</v>
      </c>
      <c r="AP83" t="s">
        <v>224</v>
      </c>
      <c r="AQ83" t="s">
        <v>301</v>
      </c>
      <c r="AR83" t="s">
        <v>301</v>
      </c>
      <c r="AT83" t="s">
        <v>307</v>
      </c>
      <c r="AU83" t="s">
        <v>307</v>
      </c>
      <c r="AW83" t="s">
        <v>212</v>
      </c>
      <c r="AX83" t="s">
        <v>212</v>
      </c>
      <c r="AZ83" t="s">
        <v>218</v>
      </c>
      <c r="BA83" t="s">
        <v>218</v>
      </c>
      <c r="BC83" t="s">
        <v>308</v>
      </c>
      <c r="BD83" t="s">
        <v>308</v>
      </c>
      <c r="BF83" t="s">
        <v>216</v>
      </c>
      <c r="BG83" t="s">
        <v>216</v>
      </c>
      <c r="BI83" t="s">
        <v>309</v>
      </c>
      <c r="BJ83" t="s">
        <v>309</v>
      </c>
      <c r="BL83" t="s">
        <v>309</v>
      </c>
      <c r="BM83" t="s">
        <v>309</v>
      </c>
      <c r="BO83" t="s">
        <v>310</v>
      </c>
      <c r="BP83" t="s">
        <v>310</v>
      </c>
      <c r="BR83" t="s">
        <v>311</v>
      </c>
      <c r="BS83" t="s">
        <v>311</v>
      </c>
      <c r="BU83" t="s">
        <v>227</v>
      </c>
      <c r="BV83" t="s">
        <v>227</v>
      </c>
      <c r="BX83" t="s">
        <v>227</v>
      </c>
      <c r="BY83" t="s">
        <v>227</v>
      </c>
      <c r="CA83" t="s">
        <v>253</v>
      </c>
      <c r="CB83" t="s">
        <v>253</v>
      </c>
      <c r="CD83" t="s">
        <v>75</v>
      </c>
      <c r="CE83" t="s">
        <v>714</v>
      </c>
      <c r="CF83" t="s">
        <v>250</v>
      </c>
      <c r="CI83">
        <v>1</v>
      </c>
      <c r="CK83" t="s">
        <v>138</v>
      </c>
      <c r="CL83" t="s">
        <v>149</v>
      </c>
      <c r="CM83" t="s">
        <v>149</v>
      </c>
      <c r="CN83" t="s">
        <v>149</v>
      </c>
      <c r="CO83" t="s">
        <v>149</v>
      </c>
    </row>
    <row r="84" spans="1:93" x14ac:dyDescent="0.2">
      <c r="A84" t="s">
        <v>67</v>
      </c>
      <c r="E84" t="s">
        <v>78</v>
      </c>
      <c r="F84" t="s">
        <v>86</v>
      </c>
      <c r="G84" t="s">
        <v>87</v>
      </c>
      <c r="H84" t="s">
        <v>299</v>
      </c>
      <c r="I84" t="s">
        <v>707</v>
      </c>
      <c r="J84" t="s">
        <v>130</v>
      </c>
      <c r="K84" t="s">
        <v>125</v>
      </c>
      <c r="L84" t="s">
        <v>139</v>
      </c>
      <c r="M84" t="s">
        <v>708</v>
      </c>
      <c r="N84" t="s">
        <v>709</v>
      </c>
      <c r="O84" t="s">
        <v>83</v>
      </c>
      <c r="P84" t="s">
        <v>717</v>
      </c>
      <c r="S84" t="s">
        <v>250</v>
      </c>
      <c r="T84" t="s">
        <v>617</v>
      </c>
      <c r="U84" t="s">
        <v>74</v>
      </c>
      <c r="V84" t="s">
        <v>305</v>
      </c>
      <c r="W84" t="s">
        <v>711</v>
      </c>
      <c r="X84" t="s">
        <v>718</v>
      </c>
      <c r="AF84" t="s">
        <v>713</v>
      </c>
      <c r="AM84" t="s">
        <v>117</v>
      </c>
      <c r="AN84" t="s">
        <v>222</v>
      </c>
      <c r="AO84" t="s">
        <v>301</v>
      </c>
      <c r="AP84" t="s">
        <v>224</v>
      </c>
      <c r="AQ84" t="s">
        <v>301</v>
      </c>
      <c r="AR84" t="s">
        <v>301</v>
      </c>
      <c r="AT84" t="s">
        <v>307</v>
      </c>
      <c r="AU84" t="s">
        <v>307</v>
      </c>
      <c r="AW84" t="s">
        <v>212</v>
      </c>
      <c r="AX84" t="s">
        <v>212</v>
      </c>
      <c r="AZ84" t="s">
        <v>218</v>
      </c>
      <c r="BA84" t="s">
        <v>218</v>
      </c>
      <c r="BC84" t="s">
        <v>308</v>
      </c>
      <c r="BD84" t="s">
        <v>308</v>
      </c>
      <c r="BF84" t="s">
        <v>216</v>
      </c>
      <c r="BG84" t="s">
        <v>216</v>
      </c>
      <c r="BI84" t="s">
        <v>309</v>
      </c>
      <c r="BJ84" t="s">
        <v>309</v>
      </c>
      <c r="BL84" t="s">
        <v>309</v>
      </c>
      <c r="BM84" t="s">
        <v>309</v>
      </c>
      <c r="BO84" t="s">
        <v>310</v>
      </c>
      <c r="BP84" t="s">
        <v>310</v>
      </c>
      <c r="BR84" t="s">
        <v>311</v>
      </c>
      <c r="BS84" t="s">
        <v>311</v>
      </c>
      <c r="BU84" t="s">
        <v>227</v>
      </c>
      <c r="BV84" t="s">
        <v>227</v>
      </c>
      <c r="BX84" t="s">
        <v>227</v>
      </c>
      <c r="BY84" t="s">
        <v>227</v>
      </c>
      <c r="CA84" t="s">
        <v>253</v>
      </c>
      <c r="CB84" t="s">
        <v>253</v>
      </c>
      <c r="CD84" t="s">
        <v>75</v>
      </c>
      <c r="CE84" t="s">
        <v>714</v>
      </c>
      <c r="CF84" t="s">
        <v>250</v>
      </c>
      <c r="CI84">
        <v>1</v>
      </c>
      <c r="CK84" t="s">
        <v>138</v>
      </c>
      <c r="CL84" t="s">
        <v>149</v>
      </c>
      <c r="CM84" t="s">
        <v>149</v>
      </c>
      <c r="CN84" t="s">
        <v>149</v>
      </c>
      <c r="CO84" t="s">
        <v>149</v>
      </c>
    </row>
    <row r="85" spans="1:93" x14ac:dyDescent="0.2">
      <c r="A85" t="s">
        <v>67</v>
      </c>
      <c r="E85" t="s">
        <v>78</v>
      </c>
      <c r="F85" t="s">
        <v>86</v>
      </c>
      <c r="G85" t="s">
        <v>87</v>
      </c>
      <c r="H85" t="s">
        <v>299</v>
      </c>
      <c r="I85" t="s">
        <v>707</v>
      </c>
      <c r="J85" t="s">
        <v>130</v>
      </c>
      <c r="K85" t="s">
        <v>125</v>
      </c>
      <c r="L85" t="s">
        <v>140</v>
      </c>
      <c r="M85" t="s">
        <v>708</v>
      </c>
      <c r="N85" t="s">
        <v>709</v>
      </c>
      <c r="O85" t="s">
        <v>83</v>
      </c>
      <c r="P85" t="s">
        <v>719</v>
      </c>
      <c r="S85" t="s">
        <v>250</v>
      </c>
      <c r="T85" t="s">
        <v>617</v>
      </c>
      <c r="U85" t="s">
        <v>74</v>
      </c>
      <c r="V85" t="s">
        <v>305</v>
      </c>
      <c r="W85" t="s">
        <v>716</v>
      </c>
      <c r="X85" t="s">
        <v>718</v>
      </c>
      <c r="AF85" t="s">
        <v>713</v>
      </c>
      <c r="AM85" t="s">
        <v>117</v>
      </c>
      <c r="AN85" t="s">
        <v>222</v>
      </c>
      <c r="AO85" t="s">
        <v>301</v>
      </c>
      <c r="AP85" t="s">
        <v>224</v>
      </c>
      <c r="AQ85" t="s">
        <v>301</v>
      </c>
      <c r="AR85" t="s">
        <v>301</v>
      </c>
      <c r="AT85" t="s">
        <v>307</v>
      </c>
      <c r="AU85" t="s">
        <v>307</v>
      </c>
      <c r="AW85" t="s">
        <v>212</v>
      </c>
      <c r="AX85" t="s">
        <v>212</v>
      </c>
      <c r="AZ85" t="s">
        <v>218</v>
      </c>
      <c r="BA85" t="s">
        <v>218</v>
      </c>
      <c r="BC85" t="s">
        <v>308</v>
      </c>
      <c r="BD85" t="s">
        <v>308</v>
      </c>
      <c r="BF85" t="s">
        <v>216</v>
      </c>
      <c r="BG85" t="s">
        <v>216</v>
      </c>
      <c r="BI85" t="s">
        <v>309</v>
      </c>
      <c r="BJ85" t="s">
        <v>309</v>
      </c>
      <c r="BL85" t="s">
        <v>309</v>
      </c>
      <c r="BM85" t="s">
        <v>309</v>
      </c>
      <c r="BO85" t="s">
        <v>310</v>
      </c>
      <c r="BP85" t="s">
        <v>310</v>
      </c>
      <c r="BR85" t="s">
        <v>311</v>
      </c>
      <c r="BS85" t="s">
        <v>311</v>
      </c>
      <c r="BU85" t="s">
        <v>227</v>
      </c>
      <c r="BV85" t="s">
        <v>227</v>
      </c>
      <c r="BX85" t="s">
        <v>227</v>
      </c>
      <c r="BY85" t="s">
        <v>227</v>
      </c>
      <c r="CA85" t="s">
        <v>253</v>
      </c>
      <c r="CB85" t="s">
        <v>253</v>
      </c>
      <c r="CD85" t="s">
        <v>75</v>
      </c>
      <c r="CE85" t="s">
        <v>714</v>
      </c>
      <c r="CF85" t="s">
        <v>250</v>
      </c>
      <c r="CI85">
        <v>1</v>
      </c>
      <c r="CK85" t="s">
        <v>138</v>
      </c>
      <c r="CL85" t="s">
        <v>149</v>
      </c>
      <c r="CM85" t="s">
        <v>149</v>
      </c>
      <c r="CN85" t="s">
        <v>149</v>
      </c>
      <c r="CO85" t="s">
        <v>149</v>
      </c>
    </row>
    <row r="86" spans="1:93" x14ac:dyDescent="0.2">
      <c r="A86" t="s">
        <v>67</v>
      </c>
      <c r="E86" t="s">
        <v>725</v>
      </c>
      <c r="F86" t="s">
        <v>69</v>
      </c>
      <c r="G86" t="s">
        <v>99</v>
      </c>
      <c r="H86" t="s">
        <v>116</v>
      </c>
      <c r="I86" t="s">
        <v>124</v>
      </c>
      <c r="J86" t="s">
        <v>726</v>
      </c>
      <c r="K86" t="s">
        <v>125</v>
      </c>
      <c r="L86" t="s">
        <v>455</v>
      </c>
      <c r="M86" t="s">
        <v>73</v>
      </c>
      <c r="N86" t="s">
        <v>73</v>
      </c>
      <c r="O86" t="s">
        <v>83</v>
      </c>
      <c r="P86" t="s">
        <v>727</v>
      </c>
      <c r="S86" t="s">
        <v>728</v>
      </c>
      <c r="T86" t="s">
        <v>311</v>
      </c>
      <c r="U86" t="s">
        <v>74</v>
      </c>
      <c r="V86" t="s">
        <v>121</v>
      </c>
      <c r="W86" t="s">
        <v>122</v>
      </c>
      <c r="X86" t="s">
        <v>123</v>
      </c>
      <c r="Y86" t="s">
        <v>729</v>
      </c>
      <c r="AF86" t="s">
        <v>730</v>
      </c>
      <c r="AM86" t="s">
        <v>117</v>
      </c>
      <c r="AN86" t="s">
        <v>374</v>
      </c>
      <c r="AO86" t="s">
        <v>374</v>
      </c>
      <c r="AQ86" t="s">
        <v>301</v>
      </c>
      <c r="AR86" t="s">
        <v>301</v>
      </c>
      <c r="AT86" t="s">
        <v>307</v>
      </c>
      <c r="AU86" t="s">
        <v>307</v>
      </c>
      <c r="AW86" t="s">
        <v>212</v>
      </c>
      <c r="AX86" t="s">
        <v>212</v>
      </c>
      <c r="AZ86" t="s">
        <v>218</v>
      </c>
      <c r="BA86" t="s">
        <v>218</v>
      </c>
      <c r="BC86" t="s">
        <v>308</v>
      </c>
      <c r="BD86" t="s">
        <v>308</v>
      </c>
      <c r="BF86" t="s">
        <v>374</v>
      </c>
      <c r="BG86" t="s">
        <v>374</v>
      </c>
      <c r="BI86" t="s">
        <v>309</v>
      </c>
      <c r="BJ86" t="s">
        <v>309</v>
      </c>
      <c r="BL86" t="s">
        <v>309</v>
      </c>
      <c r="BM86" t="s">
        <v>309</v>
      </c>
      <c r="BO86" t="s">
        <v>310</v>
      </c>
      <c r="BP86" t="s">
        <v>310</v>
      </c>
      <c r="BR86" t="s">
        <v>222</v>
      </c>
      <c r="BS86" t="s">
        <v>362</v>
      </c>
      <c r="BT86" t="s">
        <v>224</v>
      </c>
      <c r="BU86" t="s">
        <v>227</v>
      </c>
      <c r="BV86" t="s">
        <v>227</v>
      </c>
      <c r="BX86" t="s">
        <v>227</v>
      </c>
      <c r="BY86" t="s">
        <v>227</v>
      </c>
      <c r="CA86" t="s">
        <v>253</v>
      </c>
      <c r="CB86" t="s">
        <v>253</v>
      </c>
      <c r="CD86" t="s">
        <v>75</v>
      </c>
      <c r="CE86" t="s">
        <v>728</v>
      </c>
      <c r="CF86" t="s">
        <v>311</v>
      </c>
      <c r="CH86" t="s">
        <v>731</v>
      </c>
      <c r="CI86" t="s">
        <v>462</v>
      </c>
      <c r="CJ86" t="s">
        <v>731</v>
      </c>
      <c r="CL86" t="s">
        <v>149</v>
      </c>
    </row>
    <row r="87" spans="1:93" x14ac:dyDescent="0.2">
      <c r="A87" t="s">
        <v>67</v>
      </c>
      <c r="E87" t="s">
        <v>725</v>
      </c>
      <c r="F87" t="s">
        <v>69</v>
      </c>
      <c r="G87" t="s">
        <v>378</v>
      </c>
      <c r="H87" t="s">
        <v>732</v>
      </c>
      <c r="I87" t="s">
        <v>124</v>
      </c>
      <c r="J87" t="s">
        <v>686</v>
      </c>
      <c r="K87" t="s">
        <v>125</v>
      </c>
      <c r="L87" t="s">
        <v>455</v>
      </c>
      <c r="M87" t="s">
        <v>73</v>
      </c>
      <c r="N87" t="s">
        <v>73</v>
      </c>
      <c r="O87" t="s">
        <v>83</v>
      </c>
      <c r="P87" t="s">
        <v>733</v>
      </c>
      <c r="S87" t="s">
        <v>359</v>
      </c>
      <c r="T87" t="s">
        <v>227</v>
      </c>
      <c r="U87" t="s">
        <v>74</v>
      </c>
      <c r="V87" t="s">
        <v>121</v>
      </c>
      <c r="W87" t="s">
        <v>122</v>
      </c>
      <c r="X87" t="s">
        <v>123</v>
      </c>
      <c r="Y87" t="s">
        <v>734</v>
      </c>
      <c r="AF87" t="s">
        <v>689</v>
      </c>
      <c r="AM87" t="s">
        <v>117</v>
      </c>
      <c r="AN87" t="s">
        <v>374</v>
      </c>
      <c r="AO87" t="s">
        <v>374</v>
      </c>
      <c r="AQ87" t="s">
        <v>301</v>
      </c>
      <c r="AR87" t="s">
        <v>301</v>
      </c>
      <c r="AT87" t="s">
        <v>307</v>
      </c>
      <c r="AU87" t="s">
        <v>307</v>
      </c>
      <c r="AW87" t="s">
        <v>212</v>
      </c>
      <c r="AX87" t="s">
        <v>212</v>
      </c>
      <c r="AZ87" t="s">
        <v>218</v>
      </c>
      <c r="BA87" t="s">
        <v>218</v>
      </c>
      <c r="BC87" t="s">
        <v>308</v>
      </c>
      <c r="BD87" t="s">
        <v>308</v>
      </c>
      <c r="BF87" t="s">
        <v>374</v>
      </c>
      <c r="BG87" t="s">
        <v>374</v>
      </c>
      <c r="BI87" t="s">
        <v>309</v>
      </c>
      <c r="BJ87" t="s">
        <v>309</v>
      </c>
      <c r="BL87" t="s">
        <v>309</v>
      </c>
      <c r="BM87" t="s">
        <v>309</v>
      </c>
      <c r="BO87" t="s">
        <v>310</v>
      </c>
      <c r="BP87" t="s">
        <v>310</v>
      </c>
      <c r="BR87" t="s">
        <v>311</v>
      </c>
      <c r="BS87" t="s">
        <v>311</v>
      </c>
      <c r="BU87">
        <v>0.75</v>
      </c>
      <c r="BV87">
        <v>0.6</v>
      </c>
      <c r="BW87" t="s">
        <v>224</v>
      </c>
      <c r="BX87" t="s">
        <v>227</v>
      </c>
      <c r="BY87" t="s">
        <v>227</v>
      </c>
      <c r="CA87" t="s">
        <v>253</v>
      </c>
      <c r="CB87" t="s">
        <v>253</v>
      </c>
      <c r="CD87" t="s">
        <v>75</v>
      </c>
      <c r="CE87" t="s">
        <v>359</v>
      </c>
      <c r="CF87" t="s">
        <v>227</v>
      </c>
      <c r="CH87" t="s">
        <v>731</v>
      </c>
      <c r="CI87" t="s">
        <v>462</v>
      </c>
      <c r="CJ87" t="s">
        <v>740</v>
      </c>
      <c r="CL87" t="s">
        <v>149</v>
      </c>
    </row>
    <row r="88" spans="1:93" x14ac:dyDescent="0.2">
      <c r="A88" t="s">
        <v>67</v>
      </c>
      <c r="E88" t="s">
        <v>725</v>
      </c>
      <c r="F88" t="s">
        <v>69</v>
      </c>
      <c r="G88" t="s">
        <v>99</v>
      </c>
      <c r="H88" t="s">
        <v>116</v>
      </c>
      <c r="I88" t="s">
        <v>124</v>
      </c>
      <c r="J88" t="s">
        <v>735</v>
      </c>
      <c r="K88" t="s">
        <v>125</v>
      </c>
      <c r="L88" t="s">
        <v>455</v>
      </c>
      <c r="M88" t="s">
        <v>73</v>
      </c>
      <c r="N88" t="s">
        <v>73</v>
      </c>
      <c r="O88" t="s">
        <v>83</v>
      </c>
      <c r="P88" t="s">
        <v>736</v>
      </c>
      <c r="S88" t="s">
        <v>728</v>
      </c>
      <c r="T88" t="s">
        <v>311</v>
      </c>
      <c r="U88" t="s">
        <v>74</v>
      </c>
      <c r="V88" t="s">
        <v>121</v>
      </c>
      <c r="W88" t="s">
        <v>122</v>
      </c>
      <c r="X88" t="s">
        <v>123</v>
      </c>
      <c r="Y88" t="s">
        <v>737</v>
      </c>
      <c r="AF88" t="s">
        <v>738</v>
      </c>
      <c r="AM88" t="s">
        <v>117</v>
      </c>
      <c r="AN88" t="s">
        <v>374</v>
      </c>
      <c r="AO88" t="s">
        <v>374</v>
      </c>
      <c r="AQ88" t="s">
        <v>301</v>
      </c>
      <c r="AR88" t="s">
        <v>301</v>
      </c>
      <c r="AT88" t="s">
        <v>307</v>
      </c>
      <c r="AU88" t="s">
        <v>307</v>
      </c>
      <c r="AW88" t="s">
        <v>212</v>
      </c>
      <c r="AX88" t="s">
        <v>212</v>
      </c>
      <c r="AZ88" t="s">
        <v>218</v>
      </c>
      <c r="BA88" t="s">
        <v>218</v>
      </c>
      <c r="BC88" t="s">
        <v>308</v>
      </c>
      <c r="BD88" t="s">
        <v>308</v>
      </c>
      <c r="BF88" t="s">
        <v>374</v>
      </c>
      <c r="BG88" t="s">
        <v>374</v>
      </c>
      <c r="BI88" t="s">
        <v>309</v>
      </c>
      <c r="BJ88" t="s">
        <v>309</v>
      </c>
      <c r="BL88" t="s">
        <v>309</v>
      </c>
      <c r="BM88" t="s">
        <v>309</v>
      </c>
      <c r="BO88" t="s">
        <v>310</v>
      </c>
      <c r="BP88" t="s">
        <v>310</v>
      </c>
      <c r="BR88" t="s">
        <v>222</v>
      </c>
      <c r="BS88" t="s">
        <v>362</v>
      </c>
      <c r="BT88" t="s">
        <v>224</v>
      </c>
      <c r="BU88" t="s">
        <v>227</v>
      </c>
      <c r="BV88" t="s">
        <v>227</v>
      </c>
      <c r="BX88" t="s">
        <v>227</v>
      </c>
      <c r="BY88" t="s">
        <v>227</v>
      </c>
      <c r="CA88" t="s">
        <v>253</v>
      </c>
      <c r="CB88" t="s">
        <v>253</v>
      </c>
      <c r="CD88" t="s">
        <v>75</v>
      </c>
      <c r="CE88" t="s">
        <v>728</v>
      </c>
      <c r="CF88" t="s">
        <v>311</v>
      </c>
      <c r="CH88" t="s">
        <v>731</v>
      </c>
      <c r="CI88" t="s">
        <v>462</v>
      </c>
      <c r="CJ88" t="s">
        <v>731</v>
      </c>
      <c r="CL88" t="s">
        <v>149</v>
      </c>
    </row>
  </sheetData>
  <autoFilter ref="A2:CO88" xr:uid="{CD4BA4F1-FBD4-134E-AEBD-98AB8B48AC70}"/>
  <phoneticPr fontId="6" type="noConversion"/>
  <conditionalFormatting sqref="P1:P2">
    <cfRule type="duplicateValues" dxfId="119" priority="211"/>
  </conditionalFormatting>
  <conditionalFormatting sqref="P3:P5">
    <cfRule type="duplicateValues" dxfId="118" priority="120"/>
    <cfRule type="duplicateValues" dxfId="117" priority="119"/>
    <cfRule type="duplicateValues" dxfId="116" priority="118"/>
    <cfRule type="duplicateValues" dxfId="115" priority="117"/>
    <cfRule type="duplicateValues" dxfId="114" priority="116"/>
    <cfRule type="duplicateValues" dxfId="113" priority="115"/>
  </conditionalFormatting>
  <conditionalFormatting sqref="P6:P16">
    <cfRule type="duplicateValues" dxfId="112" priority="110"/>
    <cfRule type="duplicateValues" dxfId="111" priority="114"/>
    <cfRule type="duplicateValues" dxfId="110" priority="113"/>
    <cfRule type="duplicateValues" dxfId="109" priority="112"/>
    <cfRule type="duplicateValues" dxfId="108" priority="111"/>
  </conditionalFormatting>
  <conditionalFormatting sqref="P17">
    <cfRule type="duplicateValues" dxfId="107" priority="105"/>
    <cfRule type="duplicateValues" dxfId="106" priority="106"/>
    <cfRule type="duplicateValues" dxfId="105" priority="107"/>
    <cfRule type="duplicateValues" dxfId="104" priority="108"/>
    <cfRule type="duplicateValues" dxfId="103" priority="109"/>
  </conditionalFormatting>
  <conditionalFormatting sqref="P18:P23">
    <cfRule type="duplicateValues" dxfId="102" priority="102"/>
    <cfRule type="duplicateValues" dxfId="101" priority="104"/>
    <cfRule type="duplicateValues" dxfId="100" priority="103"/>
    <cfRule type="duplicateValues" dxfId="99" priority="101"/>
    <cfRule type="duplicateValues" dxfId="98" priority="100"/>
  </conditionalFormatting>
  <conditionalFormatting sqref="P24:P31">
    <cfRule type="duplicateValues" dxfId="97" priority="93"/>
    <cfRule type="duplicateValues" dxfId="96" priority="92"/>
    <cfRule type="duplicateValues" dxfId="95" priority="91"/>
    <cfRule type="duplicateValues" dxfId="94" priority="90"/>
    <cfRule type="duplicateValues" dxfId="93" priority="89"/>
    <cfRule type="duplicateValues" dxfId="92" priority="88"/>
  </conditionalFormatting>
  <conditionalFormatting sqref="P32:P35">
    <cfRule type="duplicateValues" dxfId="91" priority="87"/>
    <cfRule type="duplicateValues" dxfId="90" priority="86"/>
    <cfRule type="duplicateValues" dxfId="89" priority="85"/>
    <cfRule type="duplicateValues" dxfId="88" priority="84"/>
    <cfRule type="duplicateValues" dxfId="87" priority="83"/>
  </conditionalFormatting>
  <conditionalFormatting sqref="P36:P39">
    <cfRule type="duplicateValues" dxfId="86" priority="82"/>
    <cfRule type="duplicateValues" dxfId="85" priority="77"/>
    <cfRule type="duplicateValues" dxfId="84" priority="78"/>
    <cfRule type="duplicateValues" dxfId="83" priority="79"/>
    <cfRule type="duplicateValues" dxfId="82" priority="80"/>
    <cfRule type="duplicateValues" dxfId="81" priority="81"/>
  </conditionalFormatting>
  <conditionalFormatting sqref="P40">
    <cfRule type="duplicateValues" dxfId="80" priority="71"/>
    <cfRule type="duplicateValues" dxfId="79" priority="76"/>
    <cfRule type="duplicateValues" dxfId="78" priority="75"/>
    <cfRule type="duplicateValues" dxfId="77" priority="74"/>
    <cfRule type="duplicateValues" dxfId="76" priority="73"/>
    <cfRule type="duplicateValues" dxfId="75" priority="72"/>
  </conditionalFormatting>
  <conditionalFormatting sqref="P41">
    <cfRule type="duplicateValues" dxfId="74" priority="17"/>
    <cfRule type="duplicateValues" dxfId="73" priority="18"/>
    <cfRule type="duplicateValues" dxfId="72" priority="19"/>
    <cfRule type="duplicateValues" dxfId="71" priority="20"/>
    <cfRule type="duplicateValues" dxfId="70" priority="21"/>
    <cfRule type="duplicateValues" dxfId="69" priority="22"/>
  </conditionalFormatting>
  <conditionalFormatting sqref="P42:P46">
    <cfRule type="duplicateValues" dxfId="68" priority="62"/>
    <cfRule type="duplicateValues" dxfId="67" priority="64"/>
    <cfRule type="duplicateValues" dxfId="66" priority="65"/>
    <cfRule type="duplicateValues" dxfId="65" priority="66"/>
    <cfRule type="duplicateValues" dxfId="64" priority="63"/>
    <cfRule type="duplicateValues" dxfId="63" priority="61"/>
  </conditionalFormatting>
  <conditionalFormatting sqref="P47:P48">
    <cfRule type="duplicateValues" dxfId="62" priority="60"/>
    <cfRule type="duplicateValues" dxfId="61" priority="59"/>
    <cfRule type="duplicateValues" dxfId="60" priority="58"/>
    <cfRule type="duplicateValues" dxfId="59" priority="57"/>
    <cfRule type="duplicateValues" dxfId="58" priority="56"/>
    <cfRule type="duplicateValues" dxfId="57" priority="55"/>
  </conditionalFormatting>
  <conditionalFormatting sqref="P49:P50">
    <cfRule type="duplicateValues" dxfId="56" priority="214"/>
    <cfRule type="duplicateValues" dxfId="55" priority="218"/>
    <cfRule type="duplicateValues" dxfId="54" priority="217"/>
    <cfRule type="duplicateValues" dxfId="53" priority="216"/>
    <cfRule type="duplicateValues" dxfId="52" priority="215"/>
  </conditionalFormatting>
  <conditionalFormatting sqref="P51:P53">
    <cfRule type="duplicateValues" dxfId="51" priority="48"/>
    <cfRule type="duplicateValues" dxfId="50" priority="47"/>
    <cfRule type="duplicateValues" dxfId="49" priority="46"/>
    <cfRule type="duplicateValues" dxfId="48" priority="45"/>
    <cfRule type="duplicateValues" dxfId="47" priority="49"/>
  </conditionalFormatting>
  <conditionalFormatting sqref="P54:P60">
    <cfRule type="duplicateValues" dxfId="46" priority="44"/>
    <cfRule type="duplicateValues" dxfId="45" priority="43"/>
    <cfRule type="duplicateValues" dxfId="44" priority="42"/>
    <cfRule type="duplicateValues" dxfId="43" priority="41"/>
    <cfRule type="duplicateValues" dxfId="42" priority="40"/>
  </conditionalFormatting>
  <conditionalFormatting sqref="P61:P74">
    <cfRule type="duplicateValues" dxfId="41" priority="36"/>
    <cfRule type="duplicateValues" dxfId="40" priority="35"/>
    <cfRule type="duplicateValues" dxfId="39" priority="37"/>
    <cfRule type="duplicateValues" dxfId="38" priority="38"/>
    <cfRule type="duplicateValues" dxfId="37" priority="39"/>
  </conditionalFormatting>
  <conditionalFormatting sqref="P75">
    <cfRule type="duplicateValues" dxfId="36" priority="33"/>
    <cfRule type="duplicateValues" dxfId="35" priority="32"/>
    <cfRule type="duplicateValues" dxfId="34" priority="31"/>
    <cfRule type="duplicateValues" dxfId="33" priority="34"/>
    <cfRule type="duplicateValues" dxfId="32" priority="29"/>
    <cfRule type="duplicateValues" dxfId="31" priority="30"/>
  </conditionalFormatting>
  <conditionalFormatting sqref="P76:P81">
    <cfRule type="duplicateValues" dxfId="30" priority="28"/>
    <cfRule type="duplicateValues" dxfId="29" priority="27"/>
    <cfRule type="duplicateValues" dxfId="28" priority="26"/>
    <cfRule type="duplicateValues" dxfId="27" priority="25"/>
    <cfRule type="duplicateValues" dxfId="26" priority="24"/>
    <cfRule type="duplicateValues" dxfId="25" priority="23"/>
  </conditionalFormatting>
  <conditionalFormatting sqref="P82:P85">
    <cfRule type="duplicateValues" dxfId="24" priority="16"/>
    <cfRule type="duplicateValues" dxfId="23" priority="15"/>
    <cfRule type="duplicateValues" dxfId="22" priority="14"/>
    <cfRule type="duplicateValues" dxfId="21" priority="13"/>
    <cfRule type="duplicateValues" dxfId="20" priority="12"/>
  </conditionalFormatting>
  <conditionalFormatting sqref="P84:P85">
    <cfRule type="duplicateValues" dxfId="19" priority="7"/>
    <cfRule type="duplicateValues" dxfId="18" priority="11"/>
    <cfRule type="duplicateValues" dxfId="17" priority="10"/>
    <cfRule type="duplicateValues" dxfId="16" priority="9"/>
    <cfRule type="duplicateValues" dxfId="15" priority="8"/>
  </conditionalFormatting>
  <conditionalFormatting sqref="P86:P88">
    <cfRule type="duplicateValues" dxfId="14" priority="256"/>
    <cfRule type="duplicateValues" dxfId="13" priority="258"/>
    <cfRule type="duplicateValues" dxfId="12" priority="259"/>
    <cfRule type="duplicateValues" dxfId="11" priority="260"/>
    <cfRule type="duplicateValues" dxfId="10" priority="261"/>
    <cfRule type="duplicateValues" dxfId="9" priority="262"/>
  </conditionalFormatting>
  <conditionalFormatting sqref="P89:P1048576 P1:P2">
    <cfRule type="duplicateValues" dxfId="8" priority="207"/>
    <cfRule type="duplicateValues" dxfId="7" priority="18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456BC-C2D4-7845-949C-E5772C7F0AAF}">
  <dimension ref="A1:DQ44"/>
  <sheetViews>
    <sheetView workbookViewId="0">
      <selection activeCell="K26" sqref="K26"/>
    </sheetView>
  </sheetViews>
  <sheetFormatPr baseColWidth="10" defaultRowHeight="16" x14ac:dyDescent="0.2"/>
  <cols>
    <col min="7" max="7" width="16" bestFit="1" customWidth="1"/>
  </cols>
  <sheetData>
    <row r="1" spans="1:121" x14ac:dyDescent="0.2">
      <c r="A1" t="s">
        <v>154</v>
      </c>
      <c r="E1" t="s">
        <v>155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P1" t="s">
        <v>5</v>
      </c>
      <c r="Q1" t="s">
        <v>6</v>
      </c>
      <c r="R1" t="s">
        <v>6</v>
      </c>
      <c r="S1" t="s">
        <v>6</v>
      </c>
      <c r="T1" t="s">
        <v>6</v>
      </c>
      <c r="U1" t="s">
        <v>6</v>
      </c>
      <c r="AN1" t="s">
        <v>7</v>
      </c>
      <c r="AQ1" t="s">
        <v>8</v>
      </c>
      <c r="AT1" t="s">
        <v>9</v>
      </c>
      <c r="AW1" t="s">
        <v>10</v>
      </c>
      <c r="AZ1" t="s">
        <v>12</v>
      </c>
      <c r="BC1" t="s">
        <v>13</v>
      </c>
      <c r="BF1" t="s">
        <v>82</v>
      </c>
      <c r="BI1" t="s">
        <v>14</v>
      </c>
      <c r="BL1" t="s">
        <v>128</v>
      </c>
      <c r="BO1" t="s">
        <v>15</v>
      </c>
      <c r="BR1" t="s">
        <v>16</v>
      </c>
      <c r="BU1" t="s">
        <v>17</v>
      </c>
      <c r="BX1" t="s">
        <v>133</v>
      </c>
      <c r="CA1" t="s">
        <v>156</v>
      </c>
      <c r="CD1" t="s">
        <v>159</v>
      </c>
      <c r="CG1" t="s">
        <v>157</v>
      </c>
      <c r="CJ1" t="s">
        <v>160</v>
      </c>
      <c r="CM1" t="s">
        <v>158</v>
      </c>
      <c r="CP1" t="s">
        <v>161</v>
      </c>
      <c r="CS1" t="s">
        <v>162</v>
      </c>
      <c r="CV1" t="s">
        <v>163</v>
      </c>
      <c r="CY1" t="s">
        <v>164</v>
      </c>
      <c r="DB1" t="s">
        <v>165</v>
      </c>
      <c r="DE1" t="s">
        <v>18</v>
      </c>
      <c r="DG1" t="s">
        <v>19</v>
      </c>
      <c r="DN1" t="s">
        <v>78</v>
      </c>
    </row>
    <row r="2" spans="1:121" x14ac:dyDescent="0.2">
      <c r="A2" s="5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38</v>
      </c>
      <c r="T2" s="1" t="s">
        <v>39</v>
      </c>
      <c r="U2" s="1" t="s">
        <v>40</v>
      </c>
      <c r="V2" s="1" t="s">
        <v>41</v>
      </c>
      <c r="W2" s="1" t="s">
        <v>42</v>
      </c>
      <c r="X2" s="1" t="s">
        <v>43</v>
      </c>
      <c r="Y2" s="1" t="s">
        <v>44</v>
      </c>
      <c r="Z2" s="1" t="s">
        <v>45</v>
      </c>
      <c r="AA2" s="1" t="s">
        <v>46</v>
      </c>
      <c r="AB2" s="1" t="s">
        <v>47</v>
      </c>
      <c r="AC2" s="1" t="s">
        <v>48</v>
      </c>
      <c r="AD2" s="1" t="s">
        <v>49</v>
      </c>
      <c r="AE2" s="1" t="s">
        <v>50</v>
      </c>
      <c r="AF2" s="1" t="s">
        <v>51</v>
      </c>
      <c r="AG2" s="1" t="s">
        <v>52</v>
      </c>
      <c r="AH2" s="1" t="s">
        <v>53</v>
      </c>
      <c r="AI2" s="1" t="s">
        <v>54</v>
      </c>
      <c r="AJ2" s="1" t="s">
        <v>55</v>
      </c>
      <c r="AK2" s="1" t="s">
        <v>97</v>
      </c>
      <c r="AL2" s="1" t="s">
        <v>98</v>
      </c>
      <c r="AM2" s="1" t="s">
        <v>56</v>
      </c>
      <c r="AN2" s="1" t="s">
        <v>57</v>
      </c>
      <c r="AO2" s="1" t="s">
        <v>58</v>
      </c>
      <c r="AP2" s="1" t="s">
        <v>59</v>
      </c>
      <c r="AQ2" s="1" t="s">
        <v>57</v>
      </c>
      <c r="AR2" s="1" t="s">
        <v>58</v>
      </c>
      <c r="AS2" s="1" t="s">
        <v>59</v>
      </c>
      <c r="AT2" s="1" t="s">
        <v>57</v>
      </c>
      <c r="AU2" s="1" t="s">
        <v>58</v>
      </c>
      <c r="AV2" s="1" t="s">
        <v>59</v>
      </c>
      <c r="AW2" s="1" t="s">
        <v>57</v>
      </c>
      <c r="AX2" s="1" t="s">
        <v>58</v>
      </c>
      <c r="AY2" s="1" t="s">
        <v>59</v>
      </c>
      <c r="AZ2" s="1" t="s">
        <v>57</v>
      </c>
      <c r="BA2" s="1" t="s">
        <v>58</v>
      </c>
      <c r="BB2" s="1" t="s">
        <v>59</v>
      </c>
      <c r="BC2" s="1" t="s">
        <v>57</v>
      </c>
      <c r="BD2" s="1" t="s">
        <v>58</v>
      </c>
      <c r="BE2" s="1" t="s">
        <v>59</v>
      </c>
      <c r="BF2" s="1" t="s">
        <v>57</v>
      </c>
      <c r="BG2" s="1" t="s">
        <v>58</v>
      </c>
      <c r="BH2" s="1" t="s">
        <v>59</v>
      </c>
      <c r="BI2" s="1" t="s">
        <v>57</v>
      </c>
      <c r="BJ2" s="1" t="s">
        <v>58</v>
      </c>
      <c r="BK2" s="1" t="s">
        <v>59</v>
      </c>
      <c r="BL2" s="1" t="s">
        <v>57</v>
      </c>
      <c r="BM2" s="1" t="s">
        <v>58</v>
      </c>
      <c r="BN2" s="1" t="s">
        <v>59</v>
      </c>
      <c r="BO2" s="1" t="s">
        <v>57</v>
      </c>
      <c r="BP2" s="1" t="s">
        <v>58</v>
      </c>
      <c r="BQ2" s="1" t="s">
        <v>59</v>
      </c>
      <c r="BR2" s="1" t="s">
        <v>57</v>
      </c>
      <c r="BS2" s="1" t="s">
        <v>58</v>
      </c>
      <c r="BT2" s="1" t="s">
        <v>59</v>
      </c>
      <c r="BU2" s="1" t="s">
        <v>57</v>
      </c>
      <c r="BV2" s="1" t="s">
        <v>58</v>
      </c>
      <c r="BW2" s="1" t="s">
        <v>59</v>
      </c>
      <c r="BX2" s="1" t="s">
        <v>57</v>
      </c>
      <c r="BY2" s="1" t="s">
        <v>58</v>
      </c>
      <c r="BZ2" s="1" t="s">
        <v>59</v>
      </c>
      <c r="CA2" s="1" t="s">
        <v>57</v>
      </c>
      <c r="CB2" s="1" t="s">
        <v>58</v>
      </c>
      <c r="CC2" s="1" t="s">
        <v>59</v>
      </c>
      <c r="CD2" s="1" t="s">
        <v>57</v>
      </c>
      <c r="CE2" s="1" t="s">
        <v>58</v>
      </c>
      <c r="CF2" s="1" t="s">
        <v>59</v>
      </c>
      <c r="CG2" s="1" t="s">
        <v>57</v>
      </c>
      <c r="CH2" s="1" t="s">
        <v>58</v>
      </c>
      <c r="CI2" s="1" t="s">
        <v>59</v>
      </c>
      <c r="CJ2" s="1" t="s">
        <v>57</v>
      </c>
      <c r="CK2" s="1" t="s">
        <v>58</v>
      </c>
      <c r="CL2" s="1" t="s">
        <v>59</v>
      </c>
      <c r="CM2" s="1" t="s">
        <v>57</v>
      </c>
      <c r="CN2" s="1" t="s">
        <v>58</v>
      </c>
      <c r="CO2" s="1" t="s">
        <v>59</v>
      </c>
      <c r="CP2" s="1" t="s">
        <v>57</v>
      </c>
      <c r="CQ2" s="1" t="s">
        <v>58</v>
      </c>
      <c r="CR2" s="1" t="s">
        <v>59</v>
      </c>
      <c r="CS2" s="1" t="s">
        <v>57</v>
      </c>
      <c r="CT2" s="1" t="s">
        <v>58</v>
      </c>
      <c r="CU2" s="1" t="s">
        <v>59</v>
      </c>
      <c r="CV2" s="1" t="s">
        <v>57</v>
      </c>
      <c r="CW2" s="1" t="s">
        <v>58</v>
      </c>
      <c r="CX2" s="1" t="s">
        <v>59</v>
      </c>
      <c r="CY2" s="1" t="s">
        <v>57</v>
      </c>
      <c r="CZ2" s="1" t="s">
        <v>58</v>
      </c>
      <c r="DA2" s="1" t="s">
        <v>59</v>
      </c>
      <c r="DB2" s="1" t="s">
        <v>57</v>
      </c>
      <c r="DC2" s="1" t="s">
        <v>58</v>
      </c>
      <c r="DD2" s="1" t="s">
        <v>59</v>
      </c>
      <c r="DE2" s="1" t="s">
        <v>60</v>
      </c>
      <c r="DF2" s="1" t="s">
        <v>61</v>
      </c>
      <c r="DG2" s="1" t="s">
        <v>62</v>
      </c>
      <c r="DH2" s="6" t="s">
        <v>177</v>
      </c>
      <c r="DI2" s="1" t="s">
        <v>63</v>
      </c>
      <c r="DJ2" s="1" t="s">
        <v>64</v>
      </c>
      <c r="DK2" s="1" t="s">
        <v>65</v>
      </c>
      <c r="DL2" s="1" t="s">
        <v>66</v>
      </c>
      <c r="DM2" s="1" t="s">
        <v>137</v>
      </c>
      <c r="DN2" s="1" t="s">
        <v>144</v>
      </c>
      <c r="DO2" s="1" t="s">
        <v>145</v>
      </c>
      <c r="DP2" s="1" t="s">
        <v>146</v>
      </c>
      <c r="DQ2" s="1" t="s">
        <v>147</v>
      </c>
    </row>
    <row r="3" spans="1:121" x14ac:dyDescent="0.2">
      <c r="A3" t="s">
        <v>67</v>
      </c>
      <c r="E3" t="s">
        <v>722</v>
      </c>
      <c r="F3" t="s">
        <v>376</v>
      </c>
      <c r="G3" t="s">
        <v>16</v>
      </c>
      <c r="H3" t="s">
        <v>377</v>
      </c>
      <c r="I3" t="s">
        <v>378</v>
      </c>
      <c r="J3" t="s">
        <v>73</v>
      </c>
      <c r="K3" t="s">
        <v>73</v>
      </c>
      <c r="L3" t="s">
        <v>449</v>
      </c>
      <c r="M3" t="s">
        <v>73</v>
      </c>
      <c r="N3" t="s">
        <v>73</v>
      </c>
      <c r="O3" t="s">
        <v>73</v>
      </c>
      <c r="P3" t="str">
        <f t="shared" ref="P3:P44" si="0">E3&amp;"_"&amp;F3&amp;"_"&amp;G3&amp;"_"&amp;H3&amp;"_"&amp;I3&amp;"_"&amp;J3&amp;"_"&amp;K3&amp;"_"&amp;L3&amp;"_"&amp;M3&amp;"_"&amp;N3&amp;"_"&amp;O3&amp;"_"</f>
        <v>HFL_N_VDDCIO_USBG1DP_CIO_X_X_ELB_X_X_X_</v>
      </c>
      <c r="V3" t="s">
        <v>404</v>
      </c>
      <c r="W3" t="s">
        <v>405</v>
      </c>
      <c r="X3" t="s">
        <v>406</v>
      </c>
      <c r="AF3" t="s">
        <v>407</v>
      </c>
      <c r="AM3" t="s">
        <v>408</v>
      </c>
      <c r="AN3">
        <v>0.78</v>
      </c>
      <c r="AO3">
        <v>0.78</v>
      </c>
      <c r="AQ3">
        <v>0.78</v>
      </c>
      <c r="AR3">
        <v>0.78</v>
      </c>
      <c r="AT3">
        <v>0.78</v>
      </c>
      <c r="AU3">
        <v>0.78</v>
      </c>
      <c r="AW3">
        <v>0.78</v>
      </c>
      <c r="AX3">
        <v>0.78</v>
      </c>
      <c r="AZ3">
        <v>0.78</v>
      </c>
      <c r="BA3">
        <v>0.78</v>
      </c>
      <c r="BC3">
        <v>0.78</v>
      </c>
      <c r="BD3">
        <v>0.78</v>
      </c>
      <c r="BF3">
        <v>0.78</v>
      </c>
      <c r="BG3">
        <v>0.78</v>
      </c>
      <c r="BI3">
        <v>0.78</v>
      </c>
      <c r="BJ3">
        <v>0.78</v>
      </c>
      <c r="BL3">
        <v>0.76500000000000001</v>
      </c>
      <c r="BM3">
        <v>0.76500000000000001</v>
      </c>
      <c r="BO3">
        <v>0.72499999999999998</v>
      </c>
      <c r="BP3">
        <v>0.72499999999999998</v>
      </c>
      <c r="BR3">
        <v>0.55000000000000004</v>
      </c>
      <c r="BS3">
        <v>0.85</v>
      </c>
      <c r="BT3">
        <v>5.0000000000000001E-3</v>
      </c>
      <c r="BU3">
        <v>0.55000000000000004</v>
      </c>
      <c r="BV3">
        <v>0.85</v>
      </c>
      <c r="BW3">
        <v>5.0000000000000001E-3</v>
      </c>
      <c r="BX3">
        <v>1.32</v>
      </c>
      <c r="BY3">
        <v>1.32</v>
      </c>
      <c r="CA3">
        <v>1.06</v>
      </c>
      <c r="CB3">
        <v>1.06</v>
      </c>
      <c r="CD3">
        <v>0.76500000000000001</v>
      </c>
      <c r="CE3">
        <v>0.76500000000000001</v>
      </c>
      <c r="CG3">
        <v>0.76500000000000001</v>
      </c>
      <c r="CH3">
        <v>0.76500000000000001</v>
      </c>
      <c r="CJ3">
        <v>1.06</v>
      </c>
      <c r="CK3">
        <v>1.06</v>
      </c>
      <c r="CM3">
        <v>1.06</v>
      </c>
      <c r="CN3">
        <v>1.06</v>
      </c>
      <c r="CP3">
        <v>0.76500000000000001</v>
      </c>
      <c r="CQ3">
        <v>0.76500000000000001</v>
      </c>
      <c r="CS3">
        <v>1.06</v>
      </c>
      <c r="CT3">
        <v>1.06</v>
      </c>
      <c r="CV3">
        <v>0.76500000000000001</v>
      </c>
      <c r="CW3">
        <v>0.76500000000000001</v>
      </c>
      <c r="CY3">
        <v>1.06</v>
      </c>
      <c r="CZ3">
        <v>1.06</v>
      </c>
      <c r="DB3">
        <v>0.70499999999999996</v>
      </c>
      <c r="DC3">
        <v>0.70499999999999996</v>
      </c>
      <c r="DE3" t="s">
        <v>75</v>
      </c>
      <c r="DF3">
        <v>0.65</v>
      </c>
      <c r="DG3">
        <v>0.76500000000000001</v>
      </c>
      <c r="DJ3">
        <v>0</v>
      </c>
      <c r="DK3">
        <v>0</v>
      </c>
      <c r="DL3">
        <v>0</v>
      </c>
      <c r="DN3" t="s">
        <v>148</v>
      </c>
      <c r="DO3" s="14"/>
      <c r="DP3" s="14"/>
      <c r="DQ3" s="14"/>
    </row>
    <row r="4" spans="1:121" x14ac:dyDescent="0.2">
      <c r="A4" t="s">
        <v>67</v>
      </c>
      <c r="E4" t="s">
        <v>722</v>
      </c>
      <c r="F4" t="s">
        <v>376</v>
      </c>
      <c r="G4" t="s">
        <v>16</v>
      </c>
      <c r="H4" t="s">
        <v>379</v>
      </c>
      <c r="I4" t="s">
        <v>378</v>
      </c>
      <c r="J4" t="s">
        <v>73</v>
      </c>
      <c r="K4" t="s">
        <v>73</v>
      </c>
      <c r="L4" t="s">
        <v>449</v>
      </c>
      <c r="M4" t="s">
        <v>73</v>
      </c>
      <c r="N4" t="s">
        <v>73</v>
      </c>
      <c r="O4" t="s">
        <v>73</v>
      </c>
      <c r="P4" t="str">
        <f t="shared" si="0"/>
        <v>HFL_N_VDDCIO_DPUSBG1_CIO_X_X_ELB_X_X_X_</v>
      </c>
      <c r="V4" t="s">
        <v>404</v>
      </c>
      <c r="W4" t="s">
        <v>405</v>
      </c>
      <c r="X4" t="s">
        <v>409</v>
      </c>
      <c r="AF4" t="s">
        <v>410</v>
      </c>
      <c r="AM4" t="s">
        <v>408</v>
      </c>
      <c r="AN4">
        <v>0.78</v>
      </c>
      <c r="AO4">
        <v>0.78</v>
      </c>
      <c r="AQ4">
        <v>0.78</v>
      </c>
      <c r="AR4">
        <v>0.78</v>
      </c>
      <c r="AT4">
        <v>0.78</v>
      </c>
      <c r="AU4">
        <v>0.78</v>
      </c>
      <c r="AW4">
        <v>0.78</v>
      </c>
      <c r="AX4">
        <v>0.78</v>
      </c>
      <c r="AZ4">
        <v>0.78</v>
      </c>
      <c r="BA4">
        <v>0.78</v>
      </c>
      <c r="BC4">
        <v>0.78</v>
      </c>
      <c r="BD4">
        <v>0.78</v>
      </c>
      <c r="BF4">
        <v>0.78</v>
      </c>
      <c r="BG4">
        <v>0.78</v>
      </c>
      <c r="BI4">
        <v>0.78</v>
      </c>
      <c r="BJ4">
        <v>0.78</v>
      </c>
      <c r="BL4">
        <v>0.76500000000000001</v>
      </c>
      <c r="BM4">
        <v>0.76500000000000001</v>
      </c>
      <c r="BO4">
        <v>0.72499999999999998</v>
      </c>
      <c r="BP4">
        <v>0.72499999999999998</v>
      </c>
      <c r="BR4">
        <v>0.55000000000000004</v>
      </c>
      <c r="BS4">
        <v>0.85</v>
      </c>
      <c r="BT4">
        <v>5.0000000000000001E-3</v>
      </c>
      <c r="BU4">
        <v>0.55000000000000004</v>
      </c>
      <c r="BV4">
        <v>0.85</v>
      </c>
      <c r="BW4">
        <v>5.0000000000000001E-3</v>
      </c>
      <c r="BX4">
        <v>1.32</v>
      </c>
      <c r="BY4">
        <v>1.32</v>
      </c>
      <c r="CA4">
        <v>1.06</v>
      </c>
      <c r="CB4">
        <v>1.06</v>
      </c>
      <c r="CD4">
        <v>0.76500000000000001</v>
      </c>
      <c r="CE4">
        <v>0.76500000000000001</v>
      </c>
      <c r="CG4">
        <v>0.76500000000000001</v>
      </c>
      <c r="CH4">
        <v>0.76500000000000001</v>
      </c>
      <c r="CJ4">
        <v>1.06</v>
      </c>
      <c r="CK4">
        <v>1.06</v>
      </c>
      <c r="CM4">
        <v>1.06</v>
      </c>
      <c r="CN4">
        <v>1.06</v>
      </c>
      <c r="CP4">
        <v>0.76500000000000001</v>
      </c>
      <c r="CQ4">
        <v>0.76500000000000001</v>
      </c>
      <c r="CS4">
        <v>1.06</v>
      </c>
      <c r="CT4">
        <v>1.06</v>
      </c>
      <c r="CV4">
        <v>0.76500000000000001</v>
      </c>
      <c r="CW4">
        <v>0.76500000000000001</v>
      </c>
      <c r="CY4">
        <v>1.06</v>
      </c>
      <c r="CZ4">
        <v>1.06</v>
      </c>
      <c r="DB4">
        <v>0.70499999999999996</v>
      </c>
      <c r="DC4">
        <v>0.70499999999999996</v>
      </c>
      <c r="DE4" t="s">
        <v>75</v>
      </c>
      <c r="DF4">
        <v>0.65</v>
      </c>
      <c r="DG4">
        <v>0.76500000000000001</v>
      </c>
      <c r="DJ4">
        <v>0</v>
      </c>
      <c r="DK4">
        <v>0</v>
      </c>
      <c r="DL4">
        <v>0</v>
      </c>
      <c r="DN4" t="s">
        <v>148</v>
      </c>
      <c r="DO4" s="14"/>
      <c r="DP4" s="14"/>
      <c r="DQ4" s="14"/>
    </row>
    <row r="5" spans="1:121" x14ac:dyDescent="0.2">
      <c r="A5" t="s">
        <v>67</v>
      </c>
      <c r="E5" t="s">
        <v>722</v>
      </c>
      <c r="F5" t="s">
        <v>376</v>
      </c>
      <c r="G5" t="s">
        <v>16</v>
      </c>
      <c r="H5" t="s">
        <v>380</v>
      </c>
      <c r="I5" t="s">
        <v>378</v>
      </c>
      <c r="J5" t="s">
        <v>73</v>
      </c>
      <c r="K5" t="s">
        <v>73</v>
      </c>
      <c r="L5" t="s">
        <v>449</v>
      </c>
      <c r="M5" t="s">
        <v>73</v>
      </c>
      <c r="N5" t="s">
        <v>73</v>
      </c>
      <c r="O5" t="s">
        <v>73</v>
      </c>
      <c r="P5" t="str">
        <f t="shared" si="0"/>
        <v>HFL_N_VDDCIO_USBG2DP_CIO_X_X_ELB_X_X_X_</v>
      </c>
      <c r="V5" t="s">
        <v>404</v>
      </c>
      <c r="W5" t="s">
        <v>405</v>
      </c>
      <c r="X5" t="s">
        <v>406</v>
      </c>
      <c r="AF5" t="s">
        <v>411</v>
      </c>
      <c r="AM5" t="s">
        <v>408</v>
      </c>
      <c r="AN5">
        <v>0.78</v>
      </c>
      <c r="AO5">
        <v>0.78</v>
      </c>
      <c r="AQ5">
        <v>0.78</v>
      </c>
      <c r="AR5">
        <v>0.78</v>
      </c>
      <c r="AT5">
        <v>0.78</v>
      </c>
      <c r="AU5">
        <v>0.78</v>
      </c>
      <c r="AW5">
        <v>0.78</v>
      </c>
      <c r="AX5">
        <v>0.78</v>
      </c>
      <c r="AZ5">
        <v>0.78</v>
      </c>
      <c r="BA5">
        <v>0.78</v>
      </c>
      <c r="BC5">
        <v>0.78</v>
      </c>
      <c r="BD5">
        <v>0.78</v>
      </c>
      <c r="BF5">
        <v>0.78</v>
      </c>
      <c r="BG5">
        <v>0.78</v>
      </c>
      <c r="BI5">
        <v>0.78</v>
      </c>
      <c r="BJ5">
        <v>0.78</v>
      </c>
      <c r="BL5">
        <v>0.76500000000000001</v>
      </c>
      <c r="BM5">
        <v>0.76500000000000001</v>
      </c>
      <c r="BO5">
        <v>0.72499999999999998</v>
      </c>
      <c r="BP5">
        <v>0.72499999999999998</v>
      </c>
      <c r="BR5">
        <v>0.55000000000000004</v>
      </c>
      <c r="BS5">
        <v>0.85</v>
      </c>
      <c r="BT5">
        <v>5.0000000000000001E-3</v>
      </c>
      <c r="BU5">
        <v>0.55000000000000004</v>
      </c>
      <c r="BV5">
        <v>0.85</v>
      </c>
      <c r="BW5">
        <v>5.0000000000000001E-3</v>
      </c>
      <c r="BX5">
        <v>1.32</v>
      </c>
      <c r="BY5">
        <v>1.32</v>
      </c>
      <c r="CA5">
        <v>1.06</v>
      </c>
      <c r="CB5">
        <v>1.06</v>
      </c>
      <c r="CD5">
        <v>0.76500000000000001</v>
      </c>
      <c r="CE5">
        <v>0.76500000000000001</v>
      </c>
      <c r="CG5">
        <v>0.76500000000000001</v>
      </c>
      <c r="CH5">
        <v>0.76500000000000001</v>
      </c>
      <c r="CJ5">
        <v>1.06</v>
      </c>
      <c r="CK5">
        <v>1.06</v>
      </c>
      <c r="CM5">
        <v>1.06</v>
      </c>
      <c r="CN5">
        <v>1.06</v>
      </c>
      <c r="CP5">
        <v>0.76500000000000001</v>
      </c>
      <c r="CQ5">
        <v>0.76500000000000001</v>
      </c>
      <c r="CS5">
        <v>1.06</v>
      </c>
      <c r="CT5">
        <v>1.06</v>
      </c>
      <c r="CV5">
        <v>0.76500000000000001</v>
      </c>
      <c r="CW5">
        <v>0.76500000000000001</v>
      </c>
      <c r="CY5">
        <v>1.06</v>
      </c>
      <c r="CZ5">
        <v>1.06</v>
      </c>
      <c r="DB5">
        <v>0.70499999999999996</v>
      </c>
      <c r="DC5">
        <v>0.70499999999999996</v>
      </c>
      <c r="DE5" t="s">
        <v>75</v>
      </c>
      <c r="DF5">
        <v>0.65</v>
      </c>
      <c r="DG5">
        <v>0.76500000000000001</v>
      </c>
      <c r="DJ5">
        <v>0</v>
      </c>
      <c r="DK5">
        <v>0</v>
      </c>
      <c r="DL5">
        <v>0</v>
      </c>
      <c r="DN5" t="s">
        <v>148</v>
      </c>
      <c r="DO5" s="14"/>
      <c r="DP5" s="14"/>
      <c r="DQ5" s="14"/>
    </row>
    <row r="6" spans="1:121" x14ac:dyDescent="0.2">
      <c r="A6" t="s">
        <v>67</v>
      </c>
      <c r="E6" t="s">
        <v>722</v>
      </c>
      <c r="F6" t="s">
        <v>376</v>
      </c>
      <c r="G6" t="s">
        <v>16</v>
      </c>
      <c r="H6" t="s">
        <v>381</v>
      </c>
      <c r="I6" t="s">
        <v>378</v>
      </c>
      <c r="J6" t="s">
        <v>73</v>
      </c>
      <c r="K6" t="s">
        <v>73</v>
      </c>
      <c r="L6" t="s">
        <v>449</v>
      </c>
      <c r="M6" t="s">
        <v>73</v>
      </c>
      <c r="N6" t="s">
        <v>73</v>
      </c>
      <c r="O6" t="s">
        <v>73</v>
      </c>
      <c r="P6" t="str">
        <f t="shared" si="0"/>
        <v>HFL_N_VDDCIO_DPUSBG2_CIO_X_X_ELB_X_X_X_</v>
      </c>
      <c r="V6" t="s">
        <v>404</v>
      </c>
      <c r="W6" t="s">
        <v>405</v>
      </c>
      <c r="X6" t="s">
        <v>409</v>
      </c>
      <c r="AF6" t="s">
        <v>412</v>
      </c>
      <c r="AM6" t="s">
        <v>408</v>
      </c>
      <c r="AN6">
        <v>0.78</v>
      </c>
      <c r="AO6">
        <v>0.78</v>
      </c>
      <c r="AQ6">
        <v>0.78</v>
      </c>
      <c r="AR6">
        <v>0.78</v>
      </c>
      <c r="AT6">
        <v>0.78</v>
      </c>
      <c r="AU6">
        <v>0.78</v>
      </c>
      <c r="AW6">
        <v>0.78</v>
      </c>
      <c r="AX6">
        <v>0.78</v>
      </c>
      <c r="AZ6">
        <v>0.78</v>
      </c>
      <c r="BA6">
        <v>0.78</v>
      </c>
      <c r="BC6">
        <v>0.78</v>
      </c>
      <c r="BD6">
        <v>0.78</v>
      </c>
      <c r="BF6">
        <v>0.78</v>
      </c>
      <c r="BG6">
        <v>0.78</v>
      </c>
      <c r="BI6">
        <v>0.78</v>
      </c>
      <c r="BJ6">
        <v>0.78</v>
      </c>
      <c r="BL6">
        <v>0.76500000000000001</v>
      </c>
      <c r="BM6">
        <v>0.76500000000000001</v>
      </c>
      <c r="BO6">
        <v>0.72499999999999998</v>
      </c>
      <c r="BP6">
        <v>0.72499999999999998</v>
      </c>
      <c r="BR6">
        <v>0.55000000000000004</v>
      </c>
      <c r="BS6">
        <v>0.85</v>
      </c>
      <c r="BT6">
        <v>5.0000000000000001E-3</v>
      </c>
      <c r="BU6">
        <v>0.55000000000000004</v>
      </c>
      <c r="BV6">
        <v>0.85</v>
      </c>
      <c r="BW6">
        <v>5.0000000000000001E-3</v>
      </c>
      <c r="BX6">
        <v>1.32</v>
      </c>
      <c r="BY6">
        <v>1.32</v>
      </c>
      <c r="CA6">
        <v>1.06</v>
      </c>
      <c r="CB6">
        <v>1.06</v>
      </c>
      <c r="CD6">
        <v>0.76500000000000001</v>
      </c>
      <c r="CE6">
        <v>0.76500000000000001</v>
      </c>
      <c r="CG6">
        <v>0.76500000000000001</v>
      </c>
      <c r="CH6">
        <v>0.76500000000000001</v>
      </c>
      <c r="CJ6">
        <v>1.06</v>
      </c>
      <c r="CK6">
        <v>1.06</v>
      </c>
      <c r="CM6">
        <v>1.06</v>
      </c>
      <c r="CN6">
        <v>1.06</v>
      </c>
      <c r="CP6">
        <v>0.76500000000000001</v>
      </c>
      <c r="CQ6">
        <v>0.76500000000000001</v>
      </c>
      <c r="CS6">
        <v>1.06</v>
      </c>
      <c r="CT6">
        <v>1.06</v>
      </c>
      <c r="CV6">
        <v>0.76500000000000001</v>
      </c>
      <c r="CW6">
        <v>0.76500000000000001</v>
      </c>
      <c r="CY6">
        <v>1.06</v>
      </c>
      <c r="CZ6">
        <v>1.06</v>
      </c>
      <c r="DB6">
        <v>0.70499999999999996</v>
      </c>
      <c r="DC6">
        <v>0.70499999999999996</v>
      </c>
      <c r="DE6" t="s">
        <v>75</v>
      </c>
      <c r="DF6">
        <v>0.65</v>
      </c>
      <c r="DG6">
        <v>0.76500000000000001</v>
      </c>
      <c r="DJ6">
        <v>0</v>
      </c>
      <c r="DK6">
        <v>0</v>
      </c>
      <c r="DL6">
        <v>0</v>
      </c>
      <c r="DN6" t="s">
        <v>148</v>
      </c>
      <c r="DO6" s="14"/>
      <c r="DP6" s="14"/>
      <c r="DQ6" s="14"/>
    </row>
    <row r="7" spans="1:121" x14ac:dyDescent="0.2">
      <c r="A7" t="s">
        <v>67</v>
      </c>
      <c r="E7" t="s">
        <v>722</v>
      </c>
      <c r="F7" t="s">
        <v>376</v>
      </c>
      <c r="G7" t="s">
        <v>16</v>
      </c>
      <c r="H7" t="s">
        <v>382</v>
      </c>
      <c r="I7" t="s">
        <v>378</v>
      </c>
      <c r="J7" t="s">
        <v>73</v>
      </c>
      <c r="K7" t="s">
        <v>73</v>
      </c>
      <c r="L7" t="s">
        <v>449</v>
      </c>
      <c r="M7" t="s">
        <v>73</v>
      </c>
      <c r="N7" t="s">
        <v>73</v>
      </c>
      <c r="O7" t="s">
        <v>73</v>
      </c>
      <c r="P7" t="str">
        <f t="shared" si="0"/>
        <v>HFL_N_VDDCIO_CIOG1_CIO_X_X_ELB_X_X_X_</v>
      </c>
      <c r="V7" t="s">
        <v>404</v>
      </c>
      <c r="W7" t="s">
        <v>405</v>
      </c>
      <c r="X7" t="s">
        <v>413</v>
      </c>
      <c r="AF7" t="s">
        <v>414</v>
      </c>
      <c r="AM7" t="s">
        <v>408</v>
      </c>
      <c r="AN7">
        <v>0.78</v>
      </c>
      <c r="AO7">
        <v>0.78</v>
      </c>
      <c r="AQ7">
        <v>0.78</v>
      </c>
      <c r="AR7">
        <v>0.78</v>
      </c>
      <c r="AT7">
        <v>0.78</v>
      </c>
      <c r="AU7">
        <v>0.78</v>
      </c>
      <c r="AW7">
        <v>0.78</v>
      </c>
      <c r="AX7">
        <v>0.78</v>
      </c>
      <c r="AZ7">
        <v>0.78</v>
      </c>
      <c r="BA7">
        <v>0.78</v>
      </c>
      <c r="BC7">
        <v>0.78</v>
      </c>
      <c r="BD7">
        <v>0.78</v>
      </c>
      <c r="BF7">
        <v>0.78</v>
      </c>
      <c r="BG7">
        <v>0.78</v>
      </c>
      <c r="BI7">
        <v>0.78</v>
      </c>
      <c r="BJ7">
        <v>0.78</v>
      </c>
      <c r="BL7">
        <v>0.76500000000000001</v>
      </c>
      <c r="BM7">
        <v>0.76500000000000001</v>
      </c>
      <c r="BO7">
        <v>0.72499999999999998</v>
      </c>
      <c r="BP7">
        <v>0.72499999999999998</v>
      </c>
      <c r="BR7">
        <v>0.55000000000000004</v>
      </c>
      <c r="BS7">
        <v>0.85</v>
      </c>
      <c r="BT7">
        <v>5.0000000000000001E-3</v>
      </c>
      <c r="BU7">
        <v>0.55000000000000004</v>
      </c>
      <c r="BV7">
        <v>0.85</v>
      </c>
      <c r="BW7">
        <v>5.0000000000000001E-3</v>
      </c>
      <c r="BX7">
        <v>1.32</v>
      </c>
      <c r="BY7">
        <v>1.32</v>
      </c>
      <c r="CA7">
        <v>1.06</v>
      </c>
      <c r="CB7">
        <v>1.06</v>
      </c>
      <c r="CD7">
        <v>0.76500000000000001</v>
      </c>
      <c r="CE7">
        <v>0.76500000000000001</v>
      </c>
      <c r="CG7">
        <v>0.76500000000000001</v>
      </c>
      <c r="CH7">
        <v>0.76500000000000001</v>
      </c>
      <c r="CJ7">
        <v>1.06</v>
      </c>
      <c r="CK7">
        <v>1.06</v>
      </c>
      <c r="CM7">
        <v>1.06</v>
      </c>
      <c r="CN7">
        <v>1.06</v>
      </c>
      <c r="CP7">
        <v>0.76500000000000001</v>
      </c>
      <c r="CQ7">
        <v>0.76500000000000001</v>
      </c>
      <c r="CS7">
        <v>1.06</v>
      </c>
      <c r="CT7">
        <v>1.06</v>
      </c>
      <c r="CV7">
        <v>0.76500000000000001</v>
      </c>
      <c r="CW7">
        <v>0.76500000000000001</v>
      </c>
      <c r="CY7">
        <v>1.06</v>
      </c>
      <c r="CZ7">
        <v>1.06</v>
      </c>
      <c r="DB7">
        <v>0.70499999999999996</v>
      </c>
      <c r="DC7">
        <v>0.70499999999999996</v>
      </c>
      <c r="DE7" t="s">
        <v>75</v>
      </c>
      <c r="DF7">
        <v>0.65</v>
      </c>
      <c r="DG7">
        <v>0.76500000000000001</v>
      </c>
      <c r="DJ7">
        <v>0</v>
      </c>
      <c r="DK7">
        <v>0</v>
      </c>
      <c r="DL7">
        <v>0</v>
      </c>
      <c r="DN7" t="s">
        <v>148</v>
      </c>
      <c r="DO7" s="14"/>
      <c r="DP7" s="14"/>
      <c r="DQ7" s="14"/>
    </row>
    <row r="8" spans="1:121" x14ac:dyDescent="0.2">
      <c r="A8" t="s">
        <v>67</v>
      </c>
      <c r="E8" t="s">
        <v>722</v>
      </c>
      <c r="F8" t="s">
        <v>376</v>
      </c>
      <c r="G8" t="s">
        <v>16</v>
      </c>
      <c r="H8" t="s">
        <v>383</v>
      </c>
      <c r="I8" t="s">
        <v>378</v>
      </c>
      <c r="J8" t="s">
        <v>73</v>
      </c>
      <c r="K8" t="s">
        <v>73</v>
      </c>
      <c r="L8" t="s">
        <v>449</v>
      </c>
      <c r="M8" t="s">
        <v>73</v>
      </c>
      <c r="N8" t="s">
        <v>73</v>
      </c>
      <c r="O8" t="s">
        <v>73</v>
      </c>
      <c r="P8" t="str">
        <f t="shared" si="0"/>
        <v>HFL_N_VDDCIO_CIOG4_CIO_X_X_ELB_X_X_X_</v>
      </c>
      <c r="V8" t="s">
        <v>404</v>
      </c>
      <c r="W8" t="s">
        <v>405</v>
      </c>
      <c r="X8" t="s">
        <v>415</v>
      </c>
      <c r="AF8" t="s">
        <v>416</v>
      </c>
      <c r="AM8" t="s">
        <v>408</v>
      </c>
      <c r="AN8">
        <v>0.78</v>
      </c>
      <c r="AO8">
        <v>0.78</v>
      </c>
      <c r="AQ8">
        <v>0.78</v>
      </c>
      <c r="AR8">
        <v>0.78</v>
      </c>
      <c r="AT8">
        <v>0.78</v>
      </c>
      <c r="AU8">
        <v>0.78</v>
      </c>
      <c r="AW8">
        <v>0.78</v>
      </c>
      <c r="AX8">
        <v>0.78</v>
      </c>
      <c r="AZ8">
        <v>0.78</v>
      </c>
      <c r="BA8">
        <v>0.78</v>
      </c>
      <c r="BC8">
        <v>0.78</v>
      </c>
      <c r="BD8">
        <v>0.78</v>
      </c>
      <c r="BF8">
        <v>0.78</v>
      </c>
      <c r="BG8">
        <v>0.78</v>
      </c>
      <c r="BI8">
        <v>0.78</v>
      </c>
      <c r="BJ8">
        <v>0.78</v>
      </c>
      <c r="BL8">
        <v>0.76500000000000001</v>
      </c>
      <c r="BM8">
        <v>0.76500000000000001</v>
      </c>
      <c r="BO8">
        <v>0.72499999999999998</v>
      </c>
      <c r="BP8">
        <v>0.72499999999999998</v>
      </c>
      <c r="BR8">
        <v>0.55000000000000004</v>
      </c>
      <c r="BS8">
        <v>0.85</v>
      </c>
      <c r="BT8">
        <v>5.0000000000000001E-3</v>
      </c>
      <c r="BU8">
        <v>0.55000000000000004</v>
      </c>
      <c r="BV8">
        <v>0.85</v>
      </c>
      <c r="BW8">
        <v>5.0000000000000001E-3</v>
      </c>
      <c r="BX8">
        <v>1.32</v>
      </c>
      <c r="BY8">
        <v>1.32</v>
      </c>
      <c r="CA8">
        <v>1.06</v>
      </c>
      <c r="CB8">
        <v>1.06</v>
      </c>
      <c r="CD8">
        <v>0.76500000000000001</v>
      </c>
      <c r="CE8">
        <v>0.76500000000000001</v>
      </c>
      <c r="CG8">
        <v>0.76500000000000001</v>
      </c>
      <c r="CH8">
        <v>0.76500000000000001</v>
      </c>
      <c r="CJ8">
        <v>1.06</v>
      </c>
      <c r="CK8">
        <v>1.06</v>
      </c>
      <c r="CM8">
        <v>1.06</v>
      </c>
      <c r="CN8">
        <v>1.06</v>
      </c>
      <c r="CP8">
        <v>0.76500000000000001</v>
      </c>
      <c r="CQ8">
        <v>0.76500000000000001</v>
      </c>
      <c r="CS8">
        <v>1.06</v>
      </c>
      <c r="CT8">
        <v>1.06</v>
      </c>
      <c r="CV8">
        <v>0.76500000000000001</v>
      </c>
      <c r="CW8">
        <v>0.76500000000000001</v>
      </c>
      <c r="CY8">
        <v>1.06</v>
      </c>
      <c r="CZ8">
        <v>1.06</v>
      </c>
      <c r="DB8">
        <v>0.70499999999999996</v>
      </c>
      <c r="DC8">
        <v>0.70499999999999996</v>
      </c>
      <c r="DE8" t="s">
        <v>75</v>
      </c>
      <c r="DF8">
        <v>0.65</v>
      </c>
      <c r="DG8">
        <v>0.76500000000000001</v>
      </c>
      <c r="DJ8">
        <v>0</v>
      </c>
      <c r="DK8">
        <v>0</v>
      </c>
      <c r="DL8">
        <v>0</v>
      </c>
      <c r="DN8" t="s">
        <v>149</v>
      </c>
      <c r="DO8" s="14"/>
      <c r="DP8" s="14"/>
      <c r="DQ8" s="14"/>
    </row>
    <row r="9" spans="1:121" x14ac:dyDescent="0.2">
      <c r="A9" t="s">
        <v>67</v>
      </c>
      <c r="E9" t="s">
        <v>722</v>
      </c>
      <c r="F9" t="s">
        <v>376</v>
      </c>
      <c r="G9" t="s">
        <v>156</v>
      </c>
      <c r="H9" t="s">
        <v>377</v>
      </c>
      <c r="I9" t="s">
        <v>378</v>
      </c>
      <c r="J9" t="s">
        <v>73</v>
      </c>
      <c r="K9" t="s">
        <v>73</v>
      </c>
      <c r="L9" t="s">
        <v>449</v>
      </c>
      <c r="M9" t="s">
        <v>73</v>
      </c>
      <c r="N9" t="s">
        <v>73</v>
      </c>
      <c r="O9" t="s">
        <v>73</v>
      </c>
      <c r="P9" t="str">
        <f t="shared" si="0"/>
        <v>HFL_N_VDD10CIO_USBG1DP_CIO_X_X_ELB_X_X_X_</v>
      </c>
      <c r="V9" t="s">
        <v>404</v>
      </c>
      <c r="W9" t="s">
        <v>405</v>
      </c>
      <c r="X9" t="s">
        <v>406</v>
      </c>
      <c r="AF9" t="s">
        <v>407</v>
      </c>
      <c r="AM9" t="s">
        <v>408</v>
      </c>
      <c r="AN9">
        <v>0.78</v>
      </c>
      <c r="AO9">
        <v>0.78</v>
      </c>
      <c r="AQ9">
        <v>0.78</v>
      </c>
      <c r="AR9">
        <v>0.78</v>
      </c>
      <c r="AT9">
        <v>0.78</v>
      </c>
      <c r="AU9">
        <v>0.78</v>
      </c>
      <c r="AW9">
        <v>0.78</v>
      </c>
      <c r="AX9">
        <v>0.78</v>
      </c>
      <c r="AZ9">
        <v>0.78</v>
      </c>
      <c r="BA9">
        <v>0.78</v>
      </c>
      <c r="BC9">
        <v>0.78</v>
      </c>
      <c r="BD9">
        <v>0.78</v>
      </c>
      <c r="BF9">
        <v>0.78</v>
      </c>
      <c r="BG9">
        <v>0.78</v>
      </c>
      <c r="BI9">
        <v>0.78</v>
      </c>
      <c r="BJ9">
        <v>0.78</v>
      </c>
      <c r="BL9">
        <v>0.76500000000000001</v>
      </c>
      <c r="BM9">
        <v>0.76500000000000001</v>
      </c>
      <c r="BO9">
        <v>0.72499999999999998</v>
      </c>
      <c r="BP9">
        <v>0.72499999999999998</v>
      </c>
      <c r="BR9">
        <v>0.76500000000000001</v>
      </c>
      <c r="BS9">
        <v>0.76500000000000001</v>
      </c>
      <c r="BU9">
        <v>0.76500000000000001</v>
      </c>
      <c r="BV9">
        <v>0.76500000000000001</v>
      </c>
      <c r="BX9">
        <v>1.32</v>
      </c>
      <c r="BY9">
        <v>1.32</v>
      </c>
      <c r="CA9">
        <v>0.65</v>
      </c>
      <c r="CB9">
        <v>1.17</v>
      </c>
      <c r="CC9">
        <v>5.0000000000000001E-3</v>
      </c>
      <c r="CD9">
        <v>0.76500000000000001</v>
      </c>
      <c r="CE9">
        <v>0.76500000000000001</v>
      </c>
      <c r="CG9">
        <v>0.76500000000000001</v>
      </c>
      <c r="CH9">
        <v>0.76500000000000001</v>
      </c>
      <c r="CJ9">
        <v>1.06</v>
      </c>
      <c r="CK9">
        <v>1.06</v>
      </c>
      <c r="CM9">
        <v>1.06</v>
      </c>
      <c r="CN9">
        <v>1.06</v>
      </c>
      <c r="CP9">
        <v>0.76500000000000001</v>
      </c>
      <c r="CQ9">
        <v>0.76500000000000001</v>
      </c>
      <c r="CS9">
        <v>1.06</v>
      </c>
      <c r="CT9">
        <v>1.06</v>
      </c>
      <c r="CV9">
        <v>0.76500000000000001</v>
      </c>
      <c r="CW9">
        <v>0.76500000000000001</v>
      </c>
      <c r="CY9">
        <v>1.06</v>
      </c>
      <c r="CZ9">
        <v>1.06</v>
      </c>
      <c r="DB9">
        <v>0.70499999999999996</v>
      </c>
      <c r="DC9">
        <v>0.70499999999999996</v>
      </c>
      <c r="DE9" t="s">
        <v>75</v>
      </c>
      <c r="DF9">
        <v>0.9</v>
      </c>
      <c r="DG9">
        <v>1.06</v>
      </c>
      <c r="DJ9">
        <v>0</v>
      </c>
      <c r="DK9">
        <v>0</v>
      </c>
      <c r="DL9">
        <v>0</v>
      </c>
      <c r="DN9" t="s">
        <v>148</v>
      </c>
      <c r="DO9" s="14"/>
      <c r="DP9" s="14"/>
      <c r="DQ9" s="14"/>
    </row>
    <row r="10" spans="1:121" x14ac:dyDescent="0.2">
      <c r="A10" t="s">
        <v>67</v>
      </c>
      <c r="E10" t="s">
        <v>722</v>
      </c>
      <c r="F10" t="s">
        <v>376</v>
      </c>
      <c r="G10" t="s">
        <v>156</v>
      </c>
      <c r="H10" t="s">
        <v>379</v>
      </c>
      <c r="I10" t="s">
        <v>378</v>
      </c>
      <c r="J10" t="s">
        <v>73</v>
      </c>
      <c r="K10" t="s">
        <v>73</v>
      </c>
      <c r="L10" t="s">
        <v>449</v>
      </c>
      <c r="M10" t="s">
        <v>73</v>
      </c>
      <c r="N10" t="s">
        <v>73</v>
      </c>
      <c r="O10" t="s">
        <v>73</v>
      </c>
      <c r="P10" t="str">
        <f t="shared" si="0"/>
        <v>HFL_N_VDD10CIO_DPUSBG1_CIO_X_X_ELB_X_X_X_</v>
      </c>
      <c r="V10" t="s">
        <v>404</v>
      </c>
      <c r="W10" t="s">
        <v>405</v>
      </c>
      <c r="X10" t="s">
        <v>409</v>
      </c>
      <c r="AF10" t="s">
        <v>410</v>
      </c>
      <c r="AM10" t="s">
        <v>408</v>
      </c>
      <c r="AN10">
        <v>0.78</v>
      </c>
      <c r="AO10">
        <v>0.78</v>
      </c>
      <c r="AQ10">
        <v>0.78</v>
      </c>
      <c r="AR10">
        <v>0.78</v>
      </c>
      <c r="AT10">
        <v>0.78</v>
      </c>
      <c r="AU10">
        <v>0.78</v>
      </c>
      <c r="AW10">
        <v>0.78</v>
      </c>
      <c r="AX10">
        <v>0.78</v>
      </c>
      <c r="AZ10">
        <v>0.78</v>
      </c>
      <c r="BA10">
        <v>0.78</v>
      </c>
      <c r="BC10">
        <v>0.78</v>
      </c>
      <c r="BD10">
        <v>0.78</v>
      </c>
      <c r="BF10">
        <v>0.78</v>
      </c>
      <c r="BG10">
        <v>0.78</v>
      </c>
      <c r="BI10">
        <v>0.78</v>
      </c>
      <c r="BJ10">
        <v>0.78</v>
      </c>
      <c r="BL10">
        <v>0.76500000000000001</v>
      </c>
      <c r="BM10">
        <v>0.76500000000000001</v>
      </c>
      <c r="BO10">
        <v>0.72499999999999998</v>
      </c>
      <c r="BP10">
        <v>0.72499999999999998</v>
      </c>
      <c r="BR10">
        <v>0.76500000000000001</v>
      </c>
      <c r="BS10">
        <v>0.76500000000000001</v>
      </c>
      <c r="BU10">
        <v>0.76500000000000001</v>
      </c>
      <c r="BV10">
        <v>0.76500000000000001</v>
      </c>
      <c r="BX10">
        <v>1.32</v>
      </c>
      <c r="BY10">
        <v>1.32</v>
      </c>
      <c r="CA10">
        <v>0.65</v>
      </c>
      <c r="CB10">
        <v>1.17</v>
      </c>
      <c r="CC10">
        <v>5.0000000000000001E-3</v>
      </c>
      <c r="CD10">
        <v>0.76500000000000001</v>
      </c>
      <c r="CE10">
        <v>0.76500000000000001</v>
      </c>
      <c r="CG10">
        <v>0.76500000000000001</v>
      </c>
      <c r="CH10">
        <v>0.76500000000000001</v>
      </c>
      <c r="CJ10">
        <v>1.06</v>
      </c>
      <c r="CK10">
        <v>1.06</v>
      </c>
      <c r="CM10">
        <v>1.06</v>
      </c>
      <c r="CN10">
        <v>1.06</v>
      </c>
      <c r="CP10">
        <v>0.76500000000000001</v>
      </c>
      <c r="CQ10">
        <v>0.76500000000000001</v>
      </c>
      <c r="CS10">
        <v>1.06</v>
      </c>
      <c r="CT10">
        <v>1.06</v>
      </c>
      <c r="CV10">
        <v>0.76500000000000001</v>
      </c>
      <c r="CW10">
        <v>0.76500000000000001</v>
      </c>
      <c r="CY10">
        <v>1.06</v>
      </c>
      <c r="CZ10">
        <v>1.06</v>
      </c>
      <c r="DB10">
        <v>0.70499999999999996</v>
      </c>
      <c r="DC10">
        <v>0.70499999999999996</v>
      </c>
      <c r="DE10" t="s">
        <v>75</v>
      </c>
      <c r="DF10">
        <v>0.9</v>
      </c>
      <c r="DG10">
        <v>1.06</v>
      </c>
      <c r="DJ10">
        <v>0</v>
      </c>
      <c r="DK10">
        <v>0</v>
      </c>
      <c r="DL10">
        <v>0</v>
      </c>
      <c r="DN10" t="s">
        <v>148</v>
      </c>
      <c r="DO10" s="14"/>
      <c r="DP10" s="14"/>
      <c r="DQ10" s="14"/>
    </row>
    <row r="11" spans="1:121" x14ac:dyDescent="0.2">
      <c r="A11" t="s">
        <v>67</v>
      </c>
      <c r="E11" t="s">
        <v>722</v>
      </c>
      <c r="F11" t="s">
        <v>376</v>
      </c>
      <c r="G11" t="s">
        <v>156</v>
      </c>
      <c r="H11" t="s">
        <v>380</v>
      </c>
      <c r="I11" t="s">
        <v>378</v>
      </c>
      <c r="J11" t="s">
        <v>73</v>
      </c>
      <c r="K11" t="s">
        <v>73</v>
      </c>
      <c r="L11" t="s">
        <v>449</v>
      </c>
      <c r="M11" t="s">
        <v>73</v>
      </c>
      <c r="N11" t="s">
        <v>73</v>
      </c>
      <c r="O11" t="s">
        <v>73</v>
      </c>
      <c r="P11" t="str">
        <f t="shared" si="0"/>
        <v>HFL_N_VDD10CIO_USBG2DP_CIO_X_X_ELB_X_X_X_</v>
      </c>
      <c r="V11" t="s">
        <v>404</v>
      </c>
      <c r="W11" t="s">
        <v>405</v>
      </c>
      <c r="X11" t="s">
        <v>406</v>
      </c>
      <c r="AF11" t="s">
        <v>411</v>
      </c>
      <c r="AM11" t="s">
        <v>408</v>
      </c>
      <c r="AN11">
        <v>0.78</v>
      </c>
      <c r="AO11">
        <v>0.78</v>
      </c>
      <c r="AQ11">
        <v>0.78</v>
      </c>
      <c r="AR11">
        <v>0.78</v>
      </c>
      <c r="AT11">
        <v>0.78</v>
      </c>
      <c r="AU11">
        <v>0.78</v>
      </c>
      <c r="AW11">
        <v>0.78</v>
      </c>
      <c r="AX11">
        <v>0.78</v>
      </c>
      <c r="AZ11">
        <v>0.78</v>
      </c>
      <c r="BA11">
        <v>0.78</v>
      </c>
      <c r="BC11">
        <v>0.78</v>
      </c>
      <c r="BD11">
        <v>0.78</v>
      </c>
      <c r="BF11">
        <v>0.78</v>
      </c>
      <c r="BG11">
        <v>0.78</v>
      </c>
      <c r="BI11">
        <v>0.78</v>
      </c>
      <c r="BJ11">
        <v>0.78</v>
      </c>
      <c r="BL11">
        <v>0.76500000000000001</v>
      </c>
      <c r="BM11">
        <v>0.76500000000000001</v>
      </c>
      <c r="BO11">
        <v>0.72499999999999998</v>
      </c>
      <c r="BP11">
        <v>0.72499999999999998</v>
      </c>
      <c r="BR11">
        <v>0.76500000000000001</v>
      </c>
      <c r="BS11">
        <v>0.76500000000000001</v>
      </c>
      <c r="BU11">
        <v>0.76500000000000001</v>
      </c>
      <c r="BV11">
        <v>0.76500000000000001</v>
      </c>
      <c r="BX11">
        <v>1.32</v>
      </c>
      <c r="BY11">
        <v>1.32</v>
      </c>
      <c r="CA11">
        <v>0.65</v>
      </c>
      <c r="CB11">
        <v>1.17</v>
      </c>
      <c r="CC11">
        <v>5.0000000000000001E-3</v>
      </c>
      <c r="CD11">
        <v>0.76500000000000001</v>
      </c>
      <c r="CE11">
        <v>0.76500000000000001</v>
      </c>
      <c r="CG11">
        <v>0.76500000000000001</v>
      </c>
      <c r="CH11">
        <v>0.76500000000000001</v>
      </c>
      <c r="CJ11">
        <v>1.06</v>
      </c>
      <c r="CK11">
        <v>1.06</v>
      </c>
      <c r="CM11">
        <v>1.06</v>
      </c>
      <c r="CN11">
        <v>1.06</v>
      </c>
      <c r="CP11">
        <v>0.76500000000000001</v>
      </c>
      <c r="CQ11">
        <v>0.76500000000000001</v>
      </c>
      <c r="CS11">
        <v>1.06</v>
      </c>
      <c r="CT11">
        <v>1.06</v>
      </c>
      <c r="CV11">
        <v>0.76500000000000001</v>
      </c>
      <c r="CW11">
        <v>0.76500000000000001</v>
      </c>
      <c r="CY11">
        <v>1.06</v>
      </c>
      <c r="CZ11">
        <v>1.06</v>
      </c>
      <c r="DB11">
        <v>0.70499999999999996</v>
      </c>
      <c r="DC11">
        <v>0.70499999999999996</v>
      </c>
      <c r="DE11" t="s">
        <v>75</v>
      </c>
      <c r="DF11">
        <v>0.9</v>
      </c>
      <c r="DG11">
        <v>1.06</v>
      </c>
      <c r="DJ11">
        <v>0</v>
      </c>
      <c r="DK11">
        <v>0</v>
      </c>
      <c r="DL11">
        <v>0</v>
      </c>
      <c r="DN11" t="s">
        <v>148</v>
      </c>
      <c r="DO11" s="14"/>
      <c r="DP11" s="14"/>
      <c r="DQ11" s="14"/>
    </row>
    <row r="12" spans="1:121" x14ac:dyDescent="0.2">
      <c r="A12" t="s">
        <v>67</v>
      </c>
      <c r="E12" t="s">
        <v>722</v>
      </c>
      <c r="F12" t="s">
        <v>376</v>
      </c>
      <c r="G12" t="s">
        <v>156</v>
      </c>
      <c r="H12" t="s">
        <v>381</v>
      </c>
      <c r="I12" t="s">
        <v>378</v>
      </c>
      <c r="J12" t="s">
        <v>73</v>
      </c>
      <c r="K12" t="s">
        <v>73</v>
      </c>
      <c r="L12" t="s">
        <v>449</v>
      </c>
      <c r="M12" t="s">
        <v>73</v>
      </c>
      <c r="N12" t="s">
        <v>73</v>
      </c>
      <c r="O12" t="s">
        <v>73</v>
      </c>
      <c r="P12" t="str">
        <f t="shared" si="0"/>
        <v>HFL_N_VDD10CIO_DPUSBG2_CIO_X_X_ELB_X_X_X_</v>
      </c>
      <c r="V12" t="s">
        <v>404</v>
      </c>
      <c r="W12" t="s">
        <v>405</v>
      </c>
      <c r="X12" t="s">
        <v>409</v>
      </c>
      <c r="AF12" t="s">
        <v>412</v>
      </c>
      <c r="AM12" t="s">
        <v>408</v>
      </c>
      <c r="AN12">
        <v>0.78</v>
      </c>
      <c r="AO12">
        <v>0.78</v>
      </c>
      <c r="AQ12">
        <v>0.78</v>
      </c>
      <c r="AR12">
        <v>0.78</v>
      </c>
      <c r="AT12">
        <v>0.78</v>
      </c>
      <c r="AU12">
        <v>0.78</v>
      </c>
      <c r="AW12">
        <v>0.78</v>
      </c>
      <c r="AX12">
        <v>0.78</v>
      </c>
      <c r="AZ12">
        <v>0.78</v>
      </c>
      <c r="BA12">
        <v>0.78</v>
      </c>
      <c r="BC12">
        <v>0.78</v>
      </c>
      <c r="BD12">
        <v>0.78</v>
      </c>
      <c r="BF12">
        <v>0.78</v>
      </c>
      <c r="BG12">
        <v>0.78</v>
      </c>
      <c r="BI12">
        <v>0.78</v>
      </c>
      <c r="BJ12">
        <v>0.78</v>
      </c>
      <c r="BL12">
        <v>0.76500000000000001</v>
      </c>
      <c r="BM12">
        <v>0.76500000000000001</v>
      </c>
      <c r="BO12">
        <v>0.72499999999999998</v>
      </c>
      <c r="BP12">
        <v>0.72499999999999998</v>
      </c>
      <c r="BR12">
        <v>0.76500000000000001</v>
      </c>
      <c r="BS12">
        <v>0.76500000000000001</v>
      </c>
      <c r="BU12">
        <v>0.76500000000000001</v>
      </c>
      <c r="BV12">
        <v>0.76500000000000001</v>
      </c>
      <c r="BX12">
        <v>1.32</v>
      </c>
      <c r="BY12">
        <v>1.32</v>
      </c>
      <c r="CA12">
        <v>0.65</v>
      </c>
      <c r="CB12">
        <v>1.17</v>
      </c>
      <c r="CC12">
        <v>5.0000000000000001E-3</v>
      </c>
      <c r="CD12">
        <v>0.76500000000000001</v>
      </c>
      <c r="CE12">
        <v>0.76500000000000001</v>
      </c>
      <c r="CG12">
        <v>0.76500000000000001</v>
      </c>
      <c r="CH12">
        <v>0.76500000000000001</v>
      </c>
      <c r="CJ12">
        <v>1.06</v>
      </c>
      <c r="CK12">
        <v>1.06</v>
      </c>
      <c r="CM12">
        <v>1.06</v>
      </c>
      <c r="CN12">
        <v>1.06</v>
      </c>
      <c r="CP12">
        <v>0.76500000000000001</v>
      </c>
      <c r="CQ12">
        <v>0.76500000000000001</v>
      </c>
      <c r="CS12">
        <v>1.06</v>
      </c>
      <c r="CT12">
        <v>1.06</v>
      </c>
      <c r="CV12">
        <v>0.76500000000000001</v>
      </c>
      <c r="CW12">
        <v>0.76500000000000001</v>
      </c>
      <c r="CY12">
        <v>1.06</v>
      </c>
      <c r="CZ12">
        <v>1.06</v>
      </c>
      <c r="DB12">
        <v>0.70499999999999996</v>
      </c>
      <c r="DC12">
        <v>0.70499999999999996</v>
      </c>
      <c r="DE12" t="s">
        <v>75</v>
      </c>
      <c r="DF12">
        <v>0.9</v>
      </c>
      <c r="DG12">
        <v>1.06</v>
      </c>
      <c r="DJ12">
        <v>0</v>
      </c>
      <c r="DK12">
        <v>0</v>
      </c>
      <c r="DL12">
        <v>0</v>
      </c>
      <c r="DN12" t="s">
        <v>148</v>
      </c>
      <c r="DO12" s="14"/>
      <c r="DP12" s="14"/>
      <c r="DQ12" s="14"/>
    </row>
    <row r="13" spans="1:121" x14ac:dyDescent="0.2">
      <c r="A13" t="s">
        <v>67</v>
      </c>
      <c r="E13" t="s">
        <v>722</v>
      </c>
      <c r="F13" t="s">
        <v>376</v>
      </c>
      <c r="G13" t="s">
        <v>156</v>
      </c>
      <c r="H13" t="s">
        <v>382</v>
      </c>
      <c r="I13" t="s">
        <v>378</v>
      </c>
      <c r="J13" t="s">
        <v>73</v>
      </c>
      <c r="K13" t="s">
        <v>73</v>
      </c>
      <c r="L13" t="s">
        <v>449</v>
      </c>
      <c r="M13" t="s">
        <v>73</v>
      </c>
      <c r="N13" t="s">
        <v>73</v>
      </c>
      <c r="O13" t="s">
        <v>73</v>
      </c>
      <c r="P13" t="str">
        <f t="shared" si="0"/>
        <v>HFL_N_VDD10CIO_CIOG1_CIO_X_X_ELB_X_X_X_</v>
      </c>
      <c r="V13" t="s">
        <v>404</v>
      </c>
      <c r="W13" t="s">
        <v>405</v>
      </c>
      <c r="X13" t="s">
        <v>413</v>
      </c>
      <c r="AF13" t="s">
        <v>414</v>
      </c>
      <c r="AM13" t="s">
        <v>408</v>
      </c>
      <c r="AN13">
        <v>0.78</v>
      </c>
      <c r="AO13">
        <v>0.78</v>
      </c>
      <c r="AQ13">
        <v>0.78</v>
      </c>
      <c r="AR13">
        <v>0.78</v>
      </c>
      <c r="AT13">
        <v>0.78</v>
      </c>
      <c r="AU13">
        <v>0.78</v>
      </c>
      <c r="AW13">
        <v>0.78</v>
      </c>
      <c r="AX13">
        <v>0.78</v>
      </c>
      <c r="AZ13">
        <v>0.78</v>
      </c>
      <c r="BA13">
        <v>0.78</v>
      </c>
      <c r="BC13">
        <v>0.78</v>
      </c>
      <c r="BD13">
        <v>0.78</v>
      </c>
      <c r="BF13">
        <v>0.78</v>
      </c>
      <c r="BG13">
        <v>0.78</v>
      </c>
      <c r="BI13">
        <v>0.78</v>
      </c>
      <c r="BJ13">
        <v>0.78</v>
      </c>
      <c r="BL13">
        <v>0.76500000000000001</v>
      </c>
      <c r="BM13">
        <v>0.76500000000000001</v>
      </c>
      <c r="BO13">
        <v>0.72499999999999998</v>
      </c>
      <c r="BP13">
        <v>0.72499999999999998</v>
      </c>
      <c r="BR13">
        <v>0.76500000000000001</v>
      </c>
      <c r="BS13">
        <v>0.76500000000000001</v>
      </c>
      <c r="BU13">
        <v>0.76500000000000001</v>
      </c>
      <c r="BV13">
        <v>0.76500000000000001</v>
      </c>
      <c r="BX13">
        <v>1.32</v>
      </c>
      <c r="BY13">
        <v>1.32</v>
      </c>
      <c r="CA13">
        <v>0.65</v>
      </c>
      <c r="CB13">
        <v>1.17</v>
      </c>
      <c r="CC13">
        <v>5.0000000000000001E-3</v>
      </c>
      <c r="CD13">
        <v>0.76500000000000001</v>
      </c>
      <c r="CE13">
        <v>0.76500000000000001</v>
      </c>
      <c r="CG13">
        <v>0.76500000000000001</v>
      </c>
      <c r="CH13">
        <v>0.76500000000000001</v>
      </c>
      <c r="CJ13">
        <v>1.06</v>
      </c>
      <c r="CK13">
        <v>1.06</v>
      </c>
      <c r="CM13">
        <v>1.06</v>
      </c>
      <c r="CN13">
        <v>1.06</v>
      </c>
      <c r="CP13">
        <v>0.76500000000000001</v>
      </c>
      <c r="CQ13">
        <v>0.76500000000000001</v>
      </c>
      <c r="CS13">
        <v>1.06</v>
      </c>
      <c r="CT13">
        <v>1.06</v>
      </c>
      <c r="CV13">
        <v>0.76500000000000001</v>
      </c>
      <c r="CW13">
        <v>0.76500000000000001</v>
      </c>
      <c r="CY13">
        <v>1.06</v>
      </c>
      <c r="CZ13">
        <v>1.06</v>
      </c>
      <c r="DB13">
        <v>0.70499999999999996</v>
      </c>
      <c r="DC13">
        <v>0.70499999999999996</v>
      </c>
      <c r="DE13" t="s">
        <v>75</v>
      </c>
      <c r="DF13">
        <v>0.9</v>
      </c>
      <c r="DG13">
        <v>1.06</v>
      </c>
      <c r="DJ13">
        <v>0</v>
      </c>
      <c r="DK13">
        <v>0</v>
      </c>
      <c r="DL13">
        <v>0</v>
      </c>
      <c r="DN13" t="s">
        <v>148</v>
      </c>
      <c r="DO13" s="14"/>
      <c r="DP13" s="14"/>
      <c r="DQ13" s="14"/>
    </row>
    <row r="14" spans="1:121" x14ac:dyDescent="0.2">
      <c r="A14" t="s">
        <v>67</v>
      </c>
      <c r="E14" t="s">
        <v>722</v>
      </c>
      <c r="F14" t="s">
        <v>376</v>
      </c>
      <c r="G14" t="s">
        <v>156</v>
      </c>
      <c r="H14" t="s">
        <v>383</v>
      </c>
      <c r="I14" t="s">
        <v>378</v>
      </c>
      <c r="J14" t="s">
        <v>73</v>
      </c>
      <c r="K14" t="s">
        <v>73</v>
      </c>
      <c r="L14" t="s">
        <v>449</v>
      </c>
      <c r="M14" t="s">
        <v>73</v>
      </c>
      <c r="N14" t="s">
        <v>73</v>
      </c>
      <c r="O14" t="s">
        <v>73</v>
      </c>
      <c r="P14" t="str">
        <f t="shared" si="0"/>
        <v>HFL_N_VDD10CIO_CIOG4_CIO_X_X_ELB_X_X_X_</v>
      </c>
      <c r="V14" t="s">
        <v>404</v>
      </c>
      <c r="W14" t="s">
        <v>405</v>
      </c>
      <c r="X14" t="s">
        <v>415</v>
      </c>
      <c r="AF14" t="s">
        <v>416</v>
      </c>
      <c r="AM14" t="s">
        <v>408</v>
      </c>
      <c r="AN14">
        <v>0.78</v>
      </c>
      <c r="AO14">
        <v>0.78</v>
      </c>
      <c r="AQ14">
        <v>0.78</v>
      </c>
      <c r="AR14">
        <v>0.78</v>
      </c>
      <c r="AT14">
        <v>0.78</v>
      </c>
      <c r="AU14">
        <v>0.78</v>
      </c>
      <c r="AW14">
        <v>0.78</v>
      </c>
      <c r="AX14">
        <v>0.78</v>
      </c>
      <c r="AZ14">
        <v>0.78</v>
      </c>
      <c r="BA14">
        <v>0.78</v>
      </c>
      <c r="BC14">
        <v>0.78</v>
      </c>
      <c r="BD14">
        <v>0.78</v>
      </c>
      <c r="BF14">
        <v>0.78</v>
      </c>
      <c r="BG14">
        <v>0.78</v>
      </c>
      <c r="BI14">
        <v>0.78</v>
      </c>
      <c r="BJ14">
        <v>0.78</v>
      </c>
      <c r="BL14">
        <v>0.76500000000000001</v>
      </c>
      <c r="BM14">
        <v>0.76500000000000001</v>
      </c>
      <c r="BO14">
        <v>0.72499999999999998</v>
      </c>
      <c r="BP14">
        <v>0.72499999999999998</v>
      </c>
      <c r="BR14">
        <v>0.76500000000000001</v>
      </c>
      <c r="BS14">
        <v>0.76500000000000001</v>
      </c>
      <c r="BU14">
        <v>0.76500000000000001</v>
      </c>
      <c r="BV14">
        <v>0.76500000000000001</v>
      </c>
      <c r="BX14">
        <v>1.32</v>
      </c>
      <c r="BY14">
        <v>1.32</v>
      </c>
      <c r="CA14">
        <v>0.65</v>
      </c>
      <c r="CB14">
        <v>1.17</v>
      </c>
      <c r="CC14">
        <v>5.0000000000000001E-3</v>
      </c>
      <c r="CD14">
        <v>0.76500000000000001</v>
      </c>
      <c r="CE14">
        <v>0.76500000000000001</v>
      </c>
      <c r="CG14">
        <v>0.76500000000000001</v>
      </c>
      <c r="CH14">
        <v>0.76500000000000001</v>
      </c>
      <c r="CJ14">
        <v>1.06</v>
      </c>
      <c r="CK14">
        <v>1.06</v>
      </c>
      <c r="CM14">
        <v>1.06</v>
      </c>
      <c r="CN14">
        <v>1.06</v>
      </c>
      <c r="CP14">
        <v>0.76500000000000001</v>
      </c>
      <c r="CQ14">
        <v>0.76500000000000001</v>
      </c>
      <c r="CS14">
        <v>1.06</v>
      </c>
      <c r="CT14">
        <v>1.06</v>
      </c>
      <c r="CV14">
        <v>0.76500000000000001</v>
      </c>
      <c r="CW14">
        <v>0.76500000000000001</v>
      </c>
      <c r="CY14">
        <v>1.06</v>
      </c>
      <c r="CZ14">
        <v>1.06</v>
      </c>
      <c r="DB14">
        <v>0.70499999999999996</v>
      </c>
      <c r="DC14">
        <v>0.70499999999999996</v>
      </c>
      <c r="DE14" t="s">
        <v>75</v>
      </c>
      <c r="DF14">
        <v>0.9</v>
      </c>
      <c r="DG14">
        <v>1.06</v>
      </c>
      <c r="DJ14">
        <v>0</v>
      </c>
      <c r="DK14">
        <v>0</v>
      </c>
      <c r="DL14">
        <v>0</v>
      </c>
      <c r="DN14" t="s">
        <v>148</v>
      </c>
      <c r="DO14" s="14"/>
      <c r="DP14" s="14"/>
      <c r="DQ14" s="14"/>
    </row>
    <row r="15" spans="1:121" x14ac:dyDescent="0.2">
      <c r="A15" t="s">
        <v>67</v>
      </c>
      <c r="E15" t="s">
        <v>722</v>
      </c>
      <c r="F15" t="s">
        <v>376</v>
      </c>
      <c r="G15" t="s">
        <v>157</v>
      </c>
      <c r="H15" t="s">
        <v>384</v>
      </c>
      <c r="I15" t="s">
        <v>385</v>
      </c>
      <c r="J15" t="s">
        <v>73</v>
      </c>
      <c r="K15" t="s">
        <v>73</v>
      </c>
      <c r="L15" t="s">
        <v>449</v>
      </c>
      <c r="M15" t="s">
        <v>73</v>
      </c>
      <c r="N15" t="s">
        <v>73</v>
      </c>
      <c r="O15" t="s">
        <v>73</v>
      </c>
      <c r="P15" t="str">
        <f t="shared" si="0"/>
        <v>HFL_N_VDDFIXEDPCIE_G1_PCIE5_X_X_ELB_X_X_X_</v>
      </c>
      <c r="V15" t="s">
        <v>417</v>
      </c>
      <c r="W15" t="s">
        <v>418</v>
      </c>
      <c r="X15" t="s">
        <v>419</v>
      </c>
      <c r="AF15" t="s">
        <v>420</v>
      </c>
      <c r="AM15" t="s">
        <v>408</v>
      </c>
      <c r="AN15">
        <v>0.78</v>
      </c>
      <c r="AO15">
        <v>0.78</v>
      </c>
      <c r="AQ15">
        <v>0.78</v>
      </c>
      <c r="AR15">
        <v>0.78</v>
      </c>
      <c r="AT15">
        <v>0.78</v>
      </c>
      <c r="AU15">
        <v>0.78</v>
      </c>
      <c r="AW15">
        <v>0.78</v>
      </c>
      <c r="AX15">
        <v>0.78</v>
      </c>
      <c r="AZ15">
        <v>0.78</v>
      </c>
      <c r="BA15">
        <v>0.78</v>
      </c>
      <c r="BC15">
        <v>0.78</v>
      </c>
      <c r="BD15">
        <v>0.78</v>
      </c>
      <c r="BF15">
        <v>0.78</v>
      </c>
      <c r="BG15">
        <v>0.78</v>
      </c>
      <c r="BI15">
        <v>0.78</v>
      </c>
      <c r="BJ15">
        <v>0.78</v>
      </c>
      <c r="BL15">
        <v>0.76500000000000001</v>
      </c>
      <c r="BM15">
        <v>0.76500000000000001</v>
      </c>
      <c r="BO15">
        <v>0.72499999999999998</v>
      </c>
      <c r="BP15">
        <v>0.72499999999999998</v>
      </c>
      <c r="BR15">
        <v>0.76500000000000001</v>
      </c>
      <c r="BS15">
        <v>0.76500000000000001</v>
      </c>
      <c r="BU15">
        <v>0.76500000000000001</v>
      </c>
      <c r="BV15">
        <v>0.76500000000000001</v>
      </c>
      <c r="BX15">
        <v>1.32</v>
      </c>
      <c r="BY15">
        <v>1.32</v>
      </c>
      <c r="CA15">
        <v>1.06</v>
      </c>
      <c r="CB15">
        <v>1.06</v>
      </c>
      <c r="CD15">
        <v>0.55000000000000004</v>
      </c>
      <c r="CE15">
        <v>0.85</v>
      </c>
      <c r="CF15">
        <v>5.0000000000000001E-3</v>
      </c>
      <c r="CG15">
        <v>0.55000000000000004</v>
      </c>
      <c r="CH15">
        <v>0.85</v>
      </c>
      <c r="CI15">
        <v>5.0000000000000001E-3</v>
      </c>
      <c r="CJ15">
        <v>1.06</v>
      </c>
      <c r="CK15">
        <v>1.06</v>
      </c>
      <c r="CM15">
        <v>1.06</v>
      </c>
      <c r="CN15">
        <v>1.06</v>
      </c>
      <c r="CP15">
        <v>0.76500000000000001</v>
      </c>
      <c r="CQ15">
        <v>0.76500000000000001</v>
      </c>
      <c r="CS15">
        <v>1.06</v>
      </c>
      <c r="CT15">
        <v>1.06</v>
      </c>
      <c r="CV15">
        <v>0.76500000000000001</v>
      </c>
      <c r="CW15">
        <v>0.76500000000000001</v>
      </c>
      <c r="CY15">
        <v>1.06</v>
      </c>
      <c r="CZ15">
        <v>1.06</v>
      </c>
      <c r="DB15">
        <v>0.70499999999999996</v>
      </c>
      <c r="DC15">
        <v>0.70499999999999996</v>
      </c>
      <c r="DE15" t="s">
        <v>75</v>
      </c>
      <c r="DF15">
        <v>0.65</v>
      </c>
      <c r="DG15">
        <v>0.76500000000000001</v>
      </c>
      <c r="DJ15">
        <v>0</v>
      </c>
      <c r="DK15">
        <v>0</v>
      </c>
      <c r="DL15">
        <v>0</v>
      </c>
      <c r="DN15" t="s">
        <v>148</v>
      </c>
      <c r="DO15" s="14"/>
      <c r="DP15" s="14"/>
      <c r="DQ15" s="14"/>
    </row>
    <row r="16" spans="1:121" x14ac:dyDescent="0.2">
      <c r="A16" t="s">
        <v>67</v>
      </c>
      <c r="E16" t="s">
        <v>722</v>
      </c>
      <c r="F16" t="s">
        <v>376</v>
      </c>
      <c r="G16" t="s">
        <v>157</v>
      </c>
      <c r="H16" t="s">
        <v>386</v>
      </c>
      <c r="I16" t="s">
        <v>385</v>
      </c>
      <c r="J16" t="s">
        <v>73</v>
      </c>
      <c r="K16" t="s">
        <v>73</v>
      </c>
      <c r="L16" t="s">
        <v>449</v>
      </c>
      <c r="M16" t="s">
        <v>73</v>
      </c>
      <c r="N16" t="s">
        <v>73</v>
      </c>
      <c r="O16" t="s">
        <v>73</v>
      </c>
      <c r="P16" t="str">
        <f t="shared" si="0"/>
        <v>HFL_N_VDDFIXEDPCIE_G5_PCIE5_X_X_ELB_X_X_X_</v>
      </c>
      <c r="V16" t="s">
        <v>417</v>
      </c>
      <c r="W16" t="s">
        <v>421</v>
      </c>
      <c r="X16" t="s">
        <v>422</v>
      </c>
      <c r="AF16" t="s">
        <v>423</v>
      </c>
      <c r="AM16" t="s">
        <v>408</v>
      </c>
      <c r="AN16">
        <v>0.78</v>
      </c>
      <c r="AO16">
        <v>0.78</v>
      </c>
      <c r="AQ16">
        <v>0.78</v>
      </c>
      <c r="AR16">
        <v>0.78</v>
      </c>
      <c r="AT16">
        <v>0.78</v>
      </c>
      <c r="AU16">
        <v>0.78</v>
      </c>
      <c r="AW16">
        <v>0.78</v>
      </c>
      <c r="AX16">
        <v>0.78</v>
      </c>
      <c r="AZ16">
        <v>0.78</v>
      </c>
      <c r="BA16">
        <v>0.78</v>
      </c>
      <c r="BC16">
        <v>0.78</v>
      </c>
      <c r="BD16">
        <v>0.78</v>
      </c>
      <c r="BF16">
        <v>0.78</v>
      </c>
      <c r="BG16">
        <v>0.78</v>
      </c>
      <c r="BI16">
        <v>0.78</v>
      </c>
      <c r="BJ16">
        <v>0.78</v>
      </c>
      <c r="BL16">
        <v>0.76500000000000001</v>
      </c>
      <c r="BM16">
        <v>0.76500000000000001</v>
      </c>
      <c r="BO16">
        <v>0.72499999999999998</v>
      </c>
      <c r="BP16">
        <v>0.72499999999999998</v>
      </c>
      <c r="BR16">
        <v>0.76500000000000001</v>
      </c>
      <c r="BS16">
        <v>0.76500000000000001</v>
      </c>
      <c r="BU16">
        <v>0.76500000000000001</v>
      </c>
      <c r="BV16">
        <v>0.76500000000000001</v>
      </c>
      <c r="BX16">
        <v>1.32</v>
      </c>
      <c r="BY16">
        <v>1.32</v>
      </c>
      <c r="CA16">
        <v>1.06</v>
      </c>
      <c r="CB16">
        <v>1.06</v>
      </c>
      <c r="CD16">
        <v>0.55000000000000004</v>
      </c>
      <c r="CE16">
        <v>0.85</v>
      </c>
      <c r="CF16">
        <v>5.0000000000000001E-3</v>
      </c>
      <c r="CG16">
        <v>0.55000000000000004</v>
      </c>
      <c r="CH16">
        <v>0.85</v>
      </c>
      <c r="CI16">
        <v>5.0000000000000001E-3</v>
      </c>
      <c r="CJ16">
        <v>1.06</v>
      </c>
      <c r="CK16">
        <v>1.06</v>
      </c>
      <c r="CM16">
        <v>1.06</v>
      </c>
      <c r="CN16">
        <v>1.06</v>
      </c>
      <c r="CP16">
        <v>0.76500000000000001</v>
      </c>
      <c r="CQ16">
        <v>0.76500000000000001</v>
      </c>
      <c r="CS16">
        <v>1.06</v>
      </c>
      <c r="CT16">
        <v>1.06</v>
      </c>
      <c r="CV16">
        <v>0.76500000000000001</v>
      </c>
      <c r="CW16">
        <v>0.76500000000000001</v>
      </c>
      <c r="CY16">
        <v>1.06</v>
      </c>
      <c r="CZ16">
        <v>1.06</v>
      </c>
      <c r="DB16">
        <v>0.70499999999999996</v>
      </c>
      <c r="DC16">
        <v>0.70499999999999996</v>
      </c>
      <c r="DE16" t="s">
        <v>75</v>
      </c>
      <c r="DF16">
        <v>0.65</v>
      </c>
      <c r="DG16">
        <v>0.76500000000000001</v>
      </c>
      <c r="DJ16">
        <v>0</v>
      </c>
      <c r="DK16">
        <v>0</v>
      </c>
      <c r="DL16">
        <v>0</v>
      </c>
      <c r="DN16" t="s">
        <v>149</v>
      </c>
      <c r="DO16" s="14"/>
      <c r="DP16" s="14"/>
      <c r="DQ16" s="14"/>
    </row>
    <row r="17" spans="1:121" x14ac:dyDescent="0.2">
      <c r="A17" t="s">
        <v>67</v>
      </c>
      <c r="E17" t="s">
        <v>722</v>
      </c>
      <c r="F17" t="s">
        <v>376</v>
      </c>
      <c r="G17" t="s">
        <v>158</v>
      </c>
      <c r="H17" t="s">
        <v>384</v>
      </c>
      <c r="I17" t="s">
        <v>385</v>
      </c>
      <c r="J17" t="s">
        <v>73</v>
      </c>
      <c r="K17" t="s">
        <v>73</v>
      </c>
      <c r="L17" t="s">
        <v>449</v>
      </c>
      <c r="M17" t="s">
        <v>73</v>
      </c>
      <c r="N17" t="s">
        <v>73</v>
      </c>
      <c r="O17" t="s">
        <v>73</v>
      </c>
      <c r="P17" t="str">
        <f t="shared" si="0"/>
        <v>HFL_N_VDD10PCIE_G1_PCIE5_X_X_ELB_X_X_X_</v>
      </c>
      <c r="V17" t="s">
        <v>417</v>
      </c>
      <c r="W17" t="s">
        <v>418</v>
      </c>
      <c r="X17" t="s">
        <v>419</v>
      </c>
      <c r="AF17" t="s">
        <v>420</v>
      </c>
      <c r="AM17" t="s">
        <v>408</v>
      </c>
      <c r="AN17">
        <v>0.78</v>
      </c>
      <c r="AO17">
        <v>0.78</v>
      </c>
      <c r="AQ17">
        <v>0.78</v>
      </c>
      <c r="AR17">
        <v>0.78</v>
      </c>
      <c r="AT17">
        <v>0.78</v>
      </c>
      <c r="AU17">
        <v>0.78</v>
      </c>
      <c r="AW17">
        <v>0.78</v>
      </c>
      <c r="AX17">
        <v>0.78</v>
      </c>
      <c r="AZ17">
        <v>0.78</v>
      </c>
      <c r="BA17">
        <v>0.78</v>
      </c>
      <c r="BC17">
        <v>0.78</v>
      </c>
      <c r="BD17">
        <v>0.78</v>
      </c>
      <c r="BF17">
        <v>0.78</v>
      </c>
      <c r="BG17">
        <v>0.78</v>
      </c>
      <c r="BI17">
        <v>0.78</v>
      </c>
      <c r="BJ17">
        <v>0.78</v>
      </c>
      <c r="BL17">
        <v>0.76500000000000001</v>
      </c>
      <c r="BM17">
        <v>0.76500000000000001</v>
      </c>
      <c r="BO17">
        <v>0.72499999999999998</v>
      </c>
      <c r="BP17">
        <v>0.72499999999999998</v>
      </c>
      <c r="BR17">
        <v>0.76500000000000001</v>
      </c>
      <c r="BS17">
        <v>0.76500000000000001</v>
      </c>
      <c r="BU17">
        <v>0.76500000000000001</v>
      </c>
      <c r="BV17">
        <v>0.76500000000000001</v>
      </c>
      <c r="BX17">
        <v>1.32</v>
      </c>
      <c r="BY17">
        <v>1.32</v>
      </c>
      <c r="CA17">
        <v>1.06</v>
      </c>
      <c r="CB17">
        <v>1.06</v>
      </c>
      <c r="CD17">
        <v>0.76500000000000001</v>
      </c>
      <c r="CE17">
        <v>0.76500000000000001</v>
      </c>
      <c r="CG17">
        <v>0.76500000000000001</v>
      </c>
      <c r="CH17">
        <v>0.76500000000000001</v>
      </c>
      <c r="CJ17">
        <v>0.65</v>
      </c>
      <c r="CK17">
        <v>1.17</v>
      </c>
      <c r="CL17">
        <v>5.0000000000000001E-3</v>
      </c>
      <c r="CM17">
        <v>0.65</v>
      </c>
      <c r="CN17">
        <v>1.17</v>
      </c>
      <c r="CO17">
        <v>5.0000000000000001E-3</v>
      </c>
      <c r="CP17">
        <v>0.76500000000000001</v>
      </c>
      <c r="CQ17">
        <v>0.76500000000000001</v>
      </c>
      <c r="CS17">
        <v>1.06</v>
      </c>
      <c r="CT17">
        <v>1.06</v>
      </c>
      <c r="CV17">
        <v>0.76500000000000001</v>
      </c>
      <c r="CW17">
        <v>0.76500000000000001</v>
      </c>
      <c r="CY17">
        <v>1.06</v>
      </c>
      <c r="CZ17">
        <v>1.06</v>
      </c>
      <c r="DB17">
        <v>0.70499999999999996</v>
      </c>
      <c r="DC17">
        <v>0.70499999999999996</v>
      </c>
      <c r="DE17" t="s">
        <v>75</v>
      </c>
      <c r="DF17">
        <v>0.9</v>
      </c>
      <c r="DG17">
        <v>1.06</v>
      </c>
      <c r="DJ17">
        <v>0</v>
      </c>
      <c r="DK17">
        <v>0</v>
      </c>
      <c r="DL17">
        <v>0</v>
      </c>
      <c r="DN17" t="s">
        <v>148</v>
      </c>
      <c r="DO17" s="14"/>
      <c r="DP17" s="14"/>
      <c r="DQ17" s="14"/>
    </row>
    <row r="18" spans="1:121" x14ac:dyDescent="0.2">
      <c r="A18" t="s">
        <v>67</v>
      </c>
      <c r="E18" t="s">
        <v>722</v>
      </c>
      <c r="F18" t="s">
        <v>376</v>
      </c>
      <c r="G18" t="s">
        <v>158</v>
      </c>
      <c r="H18" t="s">
        <v>386</v>
      </c>
      <c r="I18" t="s">
        <v>385</v>
      </c>
      <c r="J18" t="s">
        <v>73</v>
      </c>
      <c r="K18" t="s">
        <v>73</v>
      </c>
      <c r="L18" t="s">
        <v>449</v>
      </c>
      <c r="M18" t="s">
        <v>73</v>
      </c>
      <c r="N18" t="s">
        <v>73</v>
      </c>
      <c r="O18" t="s">
        <v>73</v>
      </c>
      <c r="P18" t="str">
        <f t="shared" si="0"/>
        <v>HFL_N_VDD10PCIE_G5_PCIE5_X_X_ELB_X_X_X_</v>
      </c>
      <c r="V18" t="s">
        <v>417</v>
      </c>
      <c r="W18" t="s">
        <v>421</v>
      </c>
      <c r="X18" t="s">
        <v>422</v>
      </c>
      <c r="AF18" t="s">
        <v>423</v>
      </c>
      <c r="AM18" t="s">
        <v>408</v>
      </c>
      <c r="AN18">
        <v>0.78</v>
      </c>
      <c r="AO18">
        <v>0.78</v>
      </c>
      <c r="AQ18">
        <v>0.78</v>
      </c>
      <c r="AR18">
        <v>0.78</v>
      </c>
      <c r="AT18">
        <v>0.78</v>
      </c>
      <c r="AU18">
        <v>0.78</v>
      </c>
      <c r="AW18">
        <v>0.78</v>
      </c>
      <c r="AX18">
        <v>0.78</v>
      </c>
      <c r="AZ18">
        <v>0.78</v>
      </c>
      <c r="BA18">
        <v>0.78</v>
      </c>
      <c r="BC18">
        <v>0.78</v>
      </c>
      <c r="BD18">
        <v>0.78</v>
      </c>
      <c r="BF18">
        <v>0.78</v>
      </c>
      <c r="BG18">
        <v>0.78</v>
      </c>
      <c r="BI18">
        <v>0.78</v>
      </c>
      <c r="BJ18">
        <v>0.78</v>
      </c>
      <c r="BL18">
        <v>0.76500000000000001</v>
      </c>
      <c r="BM18">
        <v>0.76500000000000001</v>
      </c>
      <c r="BO18">
        <v>0.72499999999999998</v>
      </c>
      <c r="BP18">
        <v>0.72499999999999998</v>
      </c>
      <c r="BR18">
        <v>0.76500000000000001</v>
      </c>
      <c r="BS18">
        <v>0.76500000000000001</v>
      </c>
      <c r="BU18">
        <v>0.76500000000000001</v>
      </c>
      <c r="BV18">
        <v>0.76500000000000001</v>
      </c>
      <c r="BX18">
        <v>1.32</v>
      </c>
      <c r="BY18">
        <v>1.32</v>
      </c>
      <c r="CA18">
        <v>1.06</v>
      </c>
      <c r="CB18">
        <v>1.06</v>
      </c>
      <c r="CD18">
        <v>0.76500000000000001</v>
      </c>
      <c r="CE18">
        <v>0.76500000000000001</v>
      </c>
      <c r="CG18">
        <v>0.76500000000000001</v>
      </c>
      <c r="CH18">
        <v>0.76500000000000001</v>
      </c>
      <c r="CJ18">
        <v>0.65</v>
      </c>
      <c r="CK18">
        <v>1.17</v>
      </c>
      <c r="CL18">
        <v>5.0000000000000001E-3</v>
      </c>
      <c r="CM18">
        <v>0.65</v>
      </c>
      <c r="CN18">
        <v>1.17</v>
      </c>
      <c r="CO18">
        <v>5.0000000000000001E-3</v>
      </c>
      <c r="CP18">
        <v>0.76500000000000001</v>
      </c>
      <c r="CQ18">
        <v>0.76500000000000001</v>
      </c>
      <c r="CS18">
        <v>1.06</v>
      </c>
      <c r="CT18">
        <v>1.06</v>
      </c>
      <c r="CV18">
        <v>0.76500000000000001</v>
      </c>
      <c r="CW18">
        <v>0.76500000000000001</v>
      </c>
      <c r="CY18">
        <v>1.06</v>
      </c>
      <c r="CZ18">
        <v>1.06</v>
      </c>
      <c r="DB18">
        <v>0.70499999999999996</v>
      </c>
      <c r="DC18">
        <v>0.70499999999999996</v>
      </c>
      <c r="DE18" t="s">
        <v>75</v>
      </c>
      <c r="DF18">
        <v>0.9</v>
      </c>
      <c r="DG18">
        <v>1.06</v>
      </c>
      <c r="DJ18">
        <v>0</v>
      </c>
      <c r="DK18">
        <v>0</v>
      </c>
      <c r="DL18">
        <v>0</v>
      </c>
      <c r="DN18" t="s">
        <v>148</v>
      </c>
      <c r="DO18" s="14"/>
      <c r="DP18" s="14"/>
      <c r="DQ18" s="14"/>
    </row>
    <row r="19" spans="1:121" x14ac:dyDescent="0.2">
      <c r="A19" t="s">
        <v>67</v>
      </c>
      <c r="E19" t="s">
        <v>722</v>
      </c>
      <c r="F19" t="s">
        <v>376</v>
      </c>
      <c r="G19" t="s">
        <v>161</v>
      </c>
      <c r="H19" t="s">
        <v>387</v>
      </c>
      <c r="I19" t="s">
        <v>388</v>
      </c>
      <c r="J19" t="s">
        <v>73</v>
      </c>
      <c r="K19" t="s">
        <v>389</v>
      </c>
      <c r="L19" t="s">
        <v>449</v>
      </c>
      <c r="M19" t="s">
        <v>73</v>
      </c>
      <c r="N19" t="s">
        <v>73</v>
      </c>
      <c r="O19" t="s">
        <v>73</v>
      </c>
      <c r="P19" t="str">
        <f t="shared" si="0"/>
        <v>HFL_N_VDDFIXEDLPDPRX_ELB2P7_LPDPRX_X_ODD_ELB_X_X_X_</v>
      </c>
      <c r="V19" t="s">
        <v>424</v>
      </c>
      <c r="W19" t="s">
        <v>425</v>
      </c>
      <c r="AF19" t="s">
        <v>426</v>
      </c>
      <c r="AM19" t="s">
        <v>408</v>
      </c>
      <c r="AN19">
        <v>0.78</v>
      </c>
      <c r="AO19">
        <v>0.78</v>
      </c>
      <c r="AQ19">
        <v>0.78</v>
      </c>
      <c r="AR19">
        <v>0.78</v>
      </c>
      <c r="AT19">
        <v>0.78</v>
      </c>
      <c r="AU19">
        <v>0.78</v>
      </c>
      <c r="AW19">
        <v>0.78</v>
      </c>
      <c r="AX19">
        <v>0.78</v>
      </c>
      <c r="AZ19">
        <v>0.78</v>
      </c>
      <c r="BA19">
        <v>0.78</v>
      </c>
      <c r="BC19">
        <v>0.78</v>
      </c>
      <c r="BD19">
        <v>0.78</v>
      </c>
      <c r="BF19">
        <v>0.78</v>
      </c>
      <c r="BG19">
        <v>0.78</v>
      </c>
      <c r="BI19">
        <v>0.78</v>
      </c>
      <c r="BJ19">
        <v>0.78</v>
      </c>
      <c r="BL19">
        <v>0.76500000000000001</v>
      </c>
      <c r="BM19">
        <v>0.76500000000000001</v>
      </c>
      <c r="BO19">
        <v>0.72499999999999998</v>
      </c>
      <c r="BP19">
        <v>0.72499999999999998</v>
      </c>
      <c r="BR19">
        <v>0.76500000000000001</v>
      </c>
      <c r="BS19">
        <v>0.76500000000000001</v>
      </c>
      <c r="BU19">
        <v>0.76500000000000001</v>
      </c>
      <c r="BV19">
        <v>0.76500000000000001</v>
      </c>
      <c r="BX19">
        <v>1.32</v>
      </c>
      <c r="BY19">
        <v>1.32</v>
      </c>
      <c r="CA19">
        <v>1.06</v>
      </c>
      <c r="CB19">
        <v>1.06</v>
      </c>
      <c r="CD19">
        <v>0.76500000000000001</v>
      </c>
      <c r="CE19">
        <v>0.76500000000000001</v>
      </c>
      <c r="CG19">
        <v>0.76500000000000001</v>
      </c>
      <c r="CH19">
        <v>0.76500000000000001</v>
      </c>
      <c r="CJ19">
        <v>1.06</v>
      </c>
      <c r="CK19">
        <v>1.06</v>
      </c>
      <c r="CM19">
        <v>1.06</v>
      </c>
      <c r="CN19">
        <v>1.06</v>
      </c>
      <c r="CP19">
        <v>0.55000000000000004</v>
      </c>
      <c r="CQ19">
        <v>0.85</v>
      </c>
      <c r="CR19">
        <v>5.0000000000000001E-3</v>
      </c>
      <c r="CS19">
        <v>1.06</v>
      </c>
      <c r="CT19">
        <v>1.06</v>
      </c>
      <c r="CV19">
        <v>0.76500000000000001</v>
      </c>
      <c r="CW19">
        <v>0.76500000000000001</v>
      </c>
      <c r="CY19">
        <v>1.06</v>
      </c>
      <c r="CZ19">
        <v>1.06</v>
      </c>
      <c r="DB19">
        <v>0.70499999999999996</v>
      </c>
      <c r="DC19">
        <v>0.70499999999999996</v>
      </c>
      <c r="DE19" t="s">
        <v>75</v>
      </c>
      <c r="DF19">
        <v>0.65</v>
      </c>
      <c r="DG19">
        <v>0.76500000000000001</v>
      </c>
      <c r="DJ19">
        <v>0</v>
      </c>
      <c r="DK19">
        <v>0</v>
      </c>
      <c r="DL19">
        <v>0</v>
      </c>
      <c r="DN19" t="s">
        <v>148</v>
      </c>
      <c r="DO19" s="14"/>
      <c r="DP19" s="14"/>
      <c r="DQ19" s="14"/>
    </row>
    <row r="20" spans="1:121" x14ac:dyDescent="0.2">
      <c r="A20" t="s">
        <v>67</v>
      </c>
      <c r="E20" t="s">
        <v>722</v>
      </c>
      <c r="F20" t="s">
        <v>376</v>
      </c>
      <c r="G20" t="s">
        <v>161</v>
      </c>
      <c r="H20" t="s">
        <v>387</v>
      </c>
      <c r="I20" t="s">
        <v>388</v>
      </c>
      <c r="J20" t="s">
        <v>73</v>
      </c>
      <c r="K20" t="s">
        <v>390</v>
      </c>
      <c r="L20" t="s">
        <v>449</v>
      </c>
      <c r="M20" t="s">
        <v>73</v>
      </c>
      <c r="N20" t="s">
        <v>73</v>
      </c>
      <c r="O20" t="s">
        <v>73</v>
      </c>
      <c r="P20" t="str">
        <f t="shared" si="0"/>
        <v>HFL_N_VDDFIXEDLPDPRX_ELB2P7_LPDPRX_X_EVEN_ELB_X_X_X_</v>
      </c>
      <c r="V20" t="s">
        <v>424</v>
      </c>
      <c r="W20" t="s">
        <v>425</v>
      </c>
      <c r="AF20" t="s">
        <v>427</v>
      </c>
      <c r="AM20" t="s">
        <v>408</v>
      </c>
      <c r="AN20">
        <v>0.78</v>
      </c>
      <c r="AO20">
        <v>0.78</v>
      </c>
      <c r="AQ20">
        <v>0.78</v>
      </c>
      <c r="AR20">
        <v>0.78</v>
      </c>
      <c r="AT20">
        <v>0.78</v>
      </c>
      <c r="AU20">
        <v>0.78</v>
      </c>
      <c r="AW20">
        <v>0.78</v>
      </c>
      <c r="AX20">
        <v>0.78</v>
      </c>
      <c r="AZ20">
        <v>0.78</v>
      </c>
      <c r="BA20">
        <v>0.78</v>
      </c>
      <c r="BC20">
        <v>0.78</v>
      </c>
      <c r="BD20">
        <v>0.78</v>
      </c>
      <c r="BF20">
        <v>0.78</v>
      </c>
      <c r="BG20">
        <v>0.78</v>
      </c>
      <c r="BI20">
        <v>0.78</v>
      </c>
      <c r="BJ20">
        <v>0.78</v>
      </c>
      <c r="BL20">
        <v>0.76500000000000001</v>
      </c>
      <c r="BM20">
        <v>0.76500000000000001</v>
      </c>
      <c r="BO20">
        <v>0.72499999999999998</v>
      </c>
      <c r="BP20">
        <v>0.72499999999999998</v>
      </c>
      <c r="BR20">
        <v>0.76500000000000001</v>
      </c>
      <c r="BS20">
        <v>0.76500000000000001</v>
      </c>
      <c r="BU20">
        <v>0.76500000000000001</v>
      </c>
      <c r="BV20">
        <v>0.76500000000000001</v>
      </c>
      <c r="BX20">
        <v>1.32</v>
      </c>
      <c r="BY20">
        <v>1.32</v>
      </c>
      <c r="CA20">
        <v>1.06</v>
      </c>
      <c r="CB20">
        <v>1.06</v>
      </c>
      <c r="CD20">
        <v>0.76500000000000001</v>
      </c>
      <c r="CE20">
        <v>0.76500000000000001</v>
      </c>
      <c r="CG20">
        <v>0.76500000000000001</v>
      </c>
      <c r="CH20">
        <v>0.76500000000000001</v>
      </c>
      <c r="CJ20">
        <v>1.06</v>
      </c>
      <c r="CK20">
        <v>1.06</v>
      </c>
      <c r="CM20">
        <v>1.06</v>
      </c>
      <c r="CN20">
        <v>1.06</v>
      </c>
      <c r="CP20">
        <v>0.55000000000000004</v>
      </c>
      <c r="CQ20">
        <v>0.85</v>
      </c>
      <c r="CR20">
        <v>5.0000000000000001E-3</v>
      </c>
      <c r="CS20">
        <v>1.06</v>
      </c>
      <c r="CT20">
        <v>1.06</v>
      </c>
      <c r="CV20">
        <v>0.76500000000000001</v>
      </c>
      <c r="CW20">
        <v>0.76500000000000001</v>
      </c>
      <c r="CY20">
        <v>1.06</v>
      </c>
      <c r="CZ20">
        <v>1.06</v>
      </c>
      <c r="DB20">
        <v>0.70499999999999996</v>
      </c>
      <c r="DC20">
        <v>0.70499999999999996</v>
      </c>
      <c r="DE20" t="s">
        <v>75</v>
      </c>
      <c r="DF20">
        <v>0.65</v>
      </c>
      <c r="DG20">
        <v>0.76500000000000001</v>
      </c>
      <c r="DJ20">
        <v>0</v>
      </c>
      <c r="DK20">
        <v>0</v>
      </c>
      <c r="DL20">
        <v>0</v>
      </c>
      <c r="DN20" t="s">
        <v>148</v>
      </c>
      <c r="DO20" s="14"/>
      <c r="DP20" s="14"/>
      <c r="DQ20" s="14"/>
    </row>
    <row r="21" spans="1:121" x14ac:dyDescent="0.2">
      <c r="A21" t="s">
        <v>67</v>
      </c>
      <c r="E21" t="s">
        <v>722</v>
      </c>
      <c r="F21" t="s">
        <v>376</v>
      </c>
      <c r="G21" t="s">
        <v>161</v>
      </c>
      <c r="H21" t="s">
        <v>387</v>
      </c>
      <c r="I21" t="s">
        <v>388</v>
      </c>
      <c r="J21" t="s">
        <v>73</v>
      </c>
      <c r="K21" t="s">
        <v>391</v>
      </c>
      <c r="L21" t="s">
        <v>449</v>
      </c>
      <c r="M21" t="s">
        <v>73</v>
      </c>
      <c r="N21" t="s">
        <v>73</v>
      </c>
      <c r="O21" t="s">
        <v>73</v>
      </c>
      <c r="P21" t="str">
        <f t="shared" si="0"/>
        <v>HFL_N_VDDFIXEDLPDPRX_ELB2P7_LPDPRX_X_L5L6_ELB_X_X_X_</v>
      </c>
      <c r="V21" t="s">
        <v>424</v>
      </c>
      <c r="W21" t="s">
        <v>425</v>
      </c>
      <c r="AF21" t="s">
        <v>428</v>
      </c>
      <c r="AM21" t="s">
        <v>408</v>
      </c>
      <c r="AN21">
        <v>0.78</v>
      </c>
      <c r="AO21">
        <v>0.78</v>
      </c>
      <c r="AQ21">
        <v>0.78</v>
      </c>
      <c r="AR21">
        <v>0.78</v>
      </c>
      <c r="AT21">
        <v>0.78</v>
      </c>
      <c r="AU21">
        <v>0.78</v>
      </c>
      <c r="AW21">
        <v>0.78</v>
      </c>
      <c r="AX21">
        <v>0.78</v>
      </c>
      <c r="AZ21">
        <v>0.78</v>
      </c>
      <c r="BA21">
        <v>0.78</v>
      </c>
      <c r="BC21">
        <v>0.78</v>
      </c>
      <c r="BD21">
        <v>0.78</v>
      </c>
      <c r="BF21">
        <v>0.78</v>
      </c>
      <c r="BG21">
        <v>0.78</v>
      </c>
      <c r="BI21">
        <v>0.78</v>
      </c>
      <c r="BJ21">
        <v>0.78</v>
      </c>
      <c r="BL21">
        <v>0.76500000000000001</v>
      </c>
      <c r="BM21">
        <v>0.76500000000000001</v>
      </c>
      <c r="BO21">
        <v>0.72499999999999998</v>
      </c>
      <c r="BP21">
        <v>0.72499999999999998</v>
      </c>
      <c r="BR21">
        <v>0.76500000000000001</v>
      </c>
      <c r="BS21">
        <v>0.76500000000000001</v>
      </c>
      <c r="BU21">
        <v>0.76500000000000001</v>
      </c>
      <c r="BV21">
        <v>0.76500000000000001</v>
      </c>
      <c r="BX21">
        <v>1.32</v>
      </c>
      <c r="BY21">
        <v>1.32</v>
      </c>
      <c r="CA21">
        <v>1.06</v>
      </c>
      <c r="CB21">
        <v>1.06</v>
      </c>
      <c r="CD21">
        <v>0.76500000000000001</v>
      </c>
      <c r="CE21">
        <v>0.76500000000000001</v>
      </c>
      <c r="CG21">
        <v>0.76500000000000001</v>
      </c>
      <c r="CH21">
        <v>0.76500000000000001</v>
      </c>
      <c r="CJ21">
        <v>1.06</v>
      </c>
      <c r="CK21">
        <v>1.06</v>
      </c>
      <c r="CM21">
        <v>1.06</v>
      </c>
      <c r="CN21">
        <v>1.06</v>
      </c>
      <c r="CP21">
        <v>0.55000000000000004</v>
      </c>
      <c r="CQ21">
        <v>0.85</v>
      </c>
      <c r="CR21">
        <v>5.0000000000000001E-3</v>
      </c>
      <c r="CS21">
        <v>1.06</v>
      </c>
      <c r="CT21">
        <v>1.06</v>
      </c>
      <c r="CV21">
        <v>0.76500000000000001</v>
      </c>
      <c r="CW21">
        <v>0.76500000000000001</v>
      </c>
      <c r="CY21">
        <v>1.06</v>
      </c>
      <c r="CZ21">
        <v>1.06</v>
      </c>
      <c r="DB21">
        <v>0.70499999999999996</v>
      </c>
      <c r="DC21">
        <v>0.70499999999999996</v>
      </c>
      <c r="DE21" t="s">
        <v>75</v>
      </c>
      <c r="DF21">
        <v>0.65</v>
      </c>
      <c r="DG21">
        <v>0.76500000000000001</v>
      </c>
      <c r="DJ21">
        <v>0</v>
      </c>
      <c r="DK21">
        <v>0</v>
      </c>
      <c r="DL21">
        <v>0</v>
      </c>
      <c r="DN21" t="s">
        <v>148</v>
      </c>
      <c r="DO21" s="14"/>
      <c r="DP21" s="14"/>
      <c r="DQ21" s="14"/>
    </row>
    <row r="22" spans="1:121" x14ac:dyDescent="0.2">
      <c r="A22" t="s">
        <v>67</v>
      </c>
      <c r="E22" t="s">
        <v>722</v>
      </c>
      <c r="F22" t="s">
        <v>376</v>
      </c>
      <c r="G22" t="s">
        <v>161</v>
      </c>
      <c r="H22" t="s">
        <v>392</v>
      </c>
      <c r="I22" t="s">
        <v>388</v>
      </c>
      <c r="J22" t="s">
        <v>73</v>
      </c>
      <c r="K22" t="s">
        <v>389</v>
      </c>
      <c r="L22" t="s">
        <v>449</v>
      </c>
      <c r="M22" t="s">
        <v>73</v>
      </c>
      <c r="N22" t="s">
        <v>73</v>
      </c>
      <c r="O22" t="s">
        <v>73</v>
      </c>
      <c r="P22" t="str">
        <f t="shared" si="0"/>
        <v>HFL_N_VDDFIXEDLPDPRX_ELB14P0_LPDPRX_X_ODD_ELB_X_X_X_</v>
      </c>
      <c r="V22" t="s">
        <v>424</v>
      </c>
      <c r="W22" t="s">
        <v>429</v>
      </c>
      <c r="AF22" t="s">
        <v>430</v>
      </c>
      <c r="AM22" t="s">
        <v>408</v>
      </c>
      <c r="AN22">
        <v>0.78</v>
      </c>
      <c r="AO22">
        <v>0.78</v>
      </c>
      <c r="AQ22">
        <v>0.78</v>
      </c>
      <c r="AR22">
        <v>0.78</v>
      </c>
      <c r="AT22">
        <v>0.78</v>
      </c>
      <c r="AU22">
        <v>0.78</v>
      </c>
      <c r="AW22">
        <v>0.78</v>
      </c>
      <c r="AX22">
        <v>0.78</v>
      </c>
      <c r="AZ22">
        <v>0.78</v>
      </c>
      <c r="BA22">
        <v>0.78</v>
      </c>
      <c r="BC22">
        <v>0.78</v>
      </c>
      <c r="BD22">
        <v>0.78</v>
      </c>
      <c r="BF22">
        <v>0.78</v>
      </c>
      <c r="BG22">
        <v>0.78</v>
      </c>
      <c r="BI22">
        <v>0.78</v>
      </c>
      <c r="BJ22">
        <v>0.78</v>
      </c>
      <c r="BL22">
        <v>0.76500000000000001</v>
      </c>
      <c r="BM22">
        <v>0.76500000000000001</v>
      </c>
      <c r="BO22">
        <v>0.72499999999999998</v>
      </c>
      <c r="BP22">
        <v>0.72499999999999998</v>
      </c>
      <c r="BR22">
        <v>0.76500000000000001</v>
      </c>
      <c r="BS22">
        <v>0.76500000000000001</v>
      </c>
      <c r="BU22">
        <v>0.76500000000000001</v>
      </c>
      <c r="BV22">
        <v>0.76500000000000001</v>
      </c>
      <c r="BX22">
        <v>1.32</v>
      </c>
      <c r="BY22">
        <v>1.32</v>
      </c>
      <c r="CA22">
        <v>1.06</v>
      </c>
      <c r="CB22">
        <v>1.06</v>
      </c>
      <c r="CD22">
        <v>0.76500000000000001</v>
      </c>
      <c r="CE22">
        <v>0.76500000000000001</v>
      </c>
      <c r="CG22">
        <v>0.76500000000000001</v>
      </c>
      <c r="CH22">
        <v>0.76500000000000001</v>
      </c>
      <c r="CJ22">
        <v>1.06</v>
      </c>
      <c r="CK22">
        <v>1.06</v>
      </c>
      <c r="CM22">
        <v>1.06</v>
      </c>
      <c r="CN22">
        <v>1.06</v>
      </c>
      <c r="CP22">
        <v>0.55000000000000004</v>
      </c>
      <c r="CQ22">
        <v>0.85</v>
      </c>
      <c r="CR22">
        <v>5.0000000000000001E-3</v>
      </c>
      <c r="CS22">
        <v>1.06</v>
      </c>
      <c r="CT22">
        <v>1.06</v>
      </c>
      <c r="CV22">
        <v>0.76500000000000001</v>
      </c>
      <c r="CW22">
        <v>0.76500000000000001</v>
      </c>
      <c r="CY22">
        <v>1.06</v>
      </c>
      <c r="CZ22">
        <v>1.06</v>
      </c>
      <c r="DB22">
        <v>0.70499999999999996</v>
      </c>
      <c r="DC22">
        <v>0.70499999999999996</v>
      </c>
      <c r="DE22" t="s">
        <v>75</v>
      </c>
      <c r="DF22">
        <v>0.65</v>
      </c>
      <c r="DG22">
        <v>0.76500000000000001</v>
      </c>
      <c r="DJ22">
        <v>0</v>
      </c>
      <c r="DK22">
        <v>0</v>
      </c>
      <c r="DL22">
        <v>0</v>
      </c>
      <c r="DN22" t="s">
        <v>148</v>
      </c>
      <c r="DO22" s="14"/>
      <c r="DP22" s="14"/>
      <c r="DQ22" s="14"/>
    </row>
    <row r="23" spans="1:121" x14ac:dyDescent="0.2">
      <c r="A23" t="s">
        <v>67</v>
      </c>
      <c r="E23" t="s">
        <v>722</v>
      </c>
      <c r="F23" t="s">
        <v>376</v>
      </c>
      <c r="G23" t="s">
        <v>161</v>
      </c>
      <c r="H23" t="s">
        <v>392</v>
      </c>
      <c r="I23" t="s">
        <v>388</v>
      </c>
      <c r="J23" t="s">
        <v>73</v>
      </c>
      <c r="K23" t="s">
        <v>390</v>
      </c>
      <c r="L23" t="s">
        <v>449</v>
      </c>
      <c r="M23" t="s">
        <v>73</v>
      </c>
      <c r="N23" t="s">
        <v>73</v>
      </c>
      <c r="O23" t="s">
        <v>73</v>
      </c>
      <c r="P23" t="str">
        <f t="shared" si="0"/>
        <v>HFL_N_VDDFIXEDLPDPRX_ELB14P0_LPDPRX_X_EVEN_ELB_X_X_X_</v>
      </c>
      <c r="V23" t="s">
        <v>424</v>
      </c>
      <c r="W23" t="s">
        <v>429</v>
      </c>
      <c r="AF23" t="s">
        <v>431</v>
      </c>
      <c r="AM23" t="s">
        <v>408</v>
      </c>
      <c r="AN23">
        <v>0.78</v>
      </c>
      <c r="AO23">
        <v>0.78</v>
      </c>
      <c r="AQ23">
        <v>0.78</v>
      </c>
      <c r="AR23">
        <v>0.78</v>
      </c>
      <c r="AT23">
        <v>0.78</v>
      </c>
      <c r="AU23">
        <v>0.78</v>
      </c>
      <c r="AW23">
        <v>0.78</v>
      </c>
      <c r="AX23">
        <v>0.78</v>
      </c>
      <c r="AZ23">
        <v>0.78</v>
      </c>
      <c r="BA23">
        <v>0.78</v>
      </c>
      <c r="BC23">
        <v>0.78</v>
      </c>
      <c r="BD23">
        <v>0.78</v>
      </c>
      <c r="BF23">
        <v>0.78</v>
      </c>
      <c r="BG23">
        <v>0.78</v>
      </c>
      <c r="BI23">
        <v>0.78</v>
      </c>
      <c r="BJ23">
        <v>0.78</v>
      </c>
      <c r="BL23">
        <v>0.76500000000000001</v>
      </c>
      <c r="BM23">
        <v>0.76500000000000001</v>
      </c>
      <c r="BO23">
        <v>0.72499999999999998</v>
      </c>
      <c r="BP23">
        <v>0.72499999999999998</v>
      </c>
      <c r="BR23">
        <v>0.76500000000000001</v>
      </c>
      <c r="BS23">
        <v>0.76500000000000001</v>
      </c>
      <c r="BU23">
        <v>0.76500000000000001</v>
      </c>
      <c r="BV23">
        <v>0.76500000000000001</v>
      </c>
      <c r="BX23">
        <v>1.32</v>
      </c>
      <c r="BY23">
        <v>1.32</v>
      </c>
      <c r="CA23">
        <v>1.06</v>
      </c>
      <c r="CB23">
        <v>1.06</v>
      </c>
      <c r="CD23">
        <v>0.76500000000000001</v>
      </c>
      <c r="CE23">
        <v>0.76500000000000001</v>
      </c>
      <c r="CG23">
        <v>0.76500000000000001</v>
      </c>
      <c r="CH23">
        <v>0.76500000000000001</v>
      </c>
      <c r="CJ23">
        <v>1.06</v>
      </c>
      <c r="CK23">
        <v>1.06</v>
      </c>
      <c r="CM23">
        <v>1.06</v>
      </c>
      <c r="CN23">
        <v>1.06</v>
      </c>
      <c r="CP23">
        <v>0.55000000000000004</v>
      </c>
      <c r="CQ23">
        <v>0.85</v>
      </c>
      <c r="CR23">
        <v>5.0000000000000001E-3</v>
      </c>
      <c r="CS23">
        <v>1.06</v>
      </c>
      <c r="CT23">
        <v>1.06</v>
      </c>
      <c r="CV23">
        <v>0.76500000000000001</v>
      </c>
      <c r="CW23">
        <v>0.76500000000000001</v>
      </c>
      <c r="CY23">
        <v>1.06</v>
      </c>
      <c r="CZ23">
        <v>1.06</v>
      </c>
      <c r="DB23">
        <v>0.70499999999999996</v>
      </c>
      <c r="DC23">
        <v>0.70499999999999996</v>
      </c>
      <c r="DE23" t="s">
        <v>75</v>
      </c>
      <c r="DF23">
        <v>0.65</v>
      </c>
      <c r="DG23">
        <v>0.76500000000000001</v>
      </c>
      <c r="DJ23">
        <v>0</v>
      </c>
      <c r="DK23">
        <v>0</v>
      </c>
      <c r="DL23">
        <v>0</v>
      </c>
      <c r="DN23" t="s">
        <v>148</v>
      </c>
      <c r="DO23" s="14"/>
      <c r="DP23" s="14"/>
      <c r="DQ23" s="14"/>
    </row>
    <row r="24" spans="1:121" x14ac:dyDescent="0.2">
      <c r="A24" t="s">
        <v>67</v>
      </c>
      <c r="E24" t="s">
        <v>722</v>
      </c>
      <c r="F24" t="s">
        <v>376</v>
      </c>
      <c r="G24" t="s">
        <v>161</v>
      </c>
      <c r="H24" t="s">
        <v>392</v>
      </c>
      <c r="I24" t="s">
        <v>388</v>
      </c>
      <c r="J24" t="s">
        <v>73</v>
      </c>
      <c r="K24" t="s">
        <v>391</v>
      </c>
      <c r="L24" t="s">
        <v>449</v>
      </c>
      <c r="M24" t="s">
        <v>73</v>
      </c>
      <c r="N24" t="s">
        <v>73</v>
      </c>
      <c r="O24" t="s">
        <v>73</v>
      </c>
      <c r="P24" t="str">
        <f t="shared" si="0"/>
        <v>HFL_N_VDDFIXEDLPDPRX_ELB14P0_LPDPRX_X_L5L6_ELB_X_X_X_</v>
      </c>
      <c r="V24" t="s">
        <v>424</v>
      </c>
      <c r="W24" t="s">
        <v>429</v>
      </c>
      <c r="AF24" t="s">
        <v>432</v>
      </c>
      <c r="AM24" t="s">
        <v>408</v>
      </c>
      <c r="AN24">
        <v>0.78</v>
      </c>
      <c r="AO24">
        <v>0.78</v>
      </c>
      <c r="AQ24">
        <v>0.78</v>
      </c>
      <c r="AR24">
        <v>0.78</v>
      </c>
      <c r="AT24">
        <v>0.78</v>
      </c>
      <c r="AU24">
        <v>0.78</v>
      </c>
      <c r="AW24">
        <v>0.78</v>
      </c>
      <c r="AX24">
        <v>0.78</v>
      </c>
      <c r="AZ24">
        <v>0.78</v>
      </c>
      <c r="BA24">
        <v>0.78</v>
      </c>
      <c r="BC24">
        <v>0.78</v>
      </c>
      <c r="BD24">
        <v>0.78</v>
      </c>
      <c r="BF24">
        <v>0.78</v>
      </c>
      <c r="BG24">
        <v>0.78</v>
      </c>
      <c r="BI24">
        <v>0.78</v>
      </c>
      <c r="BJ24">
        <v>0.78</v>
      </c>
      <c r="BL24">
        <v>0.76500000000000001</v>
      </c>
      <c r="BM24">
        <v>0.76500000000000001</v>
      </c>
      <c r="BO24">
        <v>0.72499999999999998</v>
      </c>
      <c r="BP24">
        <v>0.72499999999999998</v>
      </c>
      <c r="BR24">
        <v>0.76500000000000001</v>
      </c>
      <c r="BS24">
        <v>0.76500000000000001</v>
      </c>
      <c r="BU24">
        <v>0.76500000000000001</v>
      </c>
      <c r="BV24">
        <v>0.76500000000000001</v>
      </c>
      <c r="BX24">
        <v>1.32</v>
      </c>
      <c r="BY24">
        <v>1.32</v>
      </c>
      <c r="CA24">
        <v>1.06</v>
      </c>
      <c r="CB24">
        <v>1.06</v>
      </c>
      <c r="CD24">
        <v>0.76500000000000001</v>
      </c>
      <c r="CE24">
        <v>0.76500000000000001</v>
      </c>
      <c r="CG24">
        <v>0.76500000000000001</v>
      </c>
      <c r="CH24">
        <v>0.76500000000000001</v>
      </c>
      <c r="CJ24">
        <v>1.06</v>
      </c>
      <c r="CK24">
        <v>1.06</v>
      </c>
      <c r="CM24">
        <v>1.06</v>
      </c>
      <c r="CN24">
        <v>1.06</v>
      </c>
      <c r="CP24">
        <v>0.55000000000000004</v>
      </c>
      <c r="CQ24">
        <v>0.85</v>
      </c>
      <c r="CR24">
        <v>5.0000000000000001E-3</v>
      </c>
      <c r="CS24">
        <v>1.06</v>
      </c>
      <c r="CT24">
        <v>1.06</v>
      </c>
      <c r="CV24">
        <v>0.76500000000000001</v>
      </c>
      <c r="CW24">
        <v>0.76500000000000001</v>
      </c>
      <c r="CY24">
        <v>1.06</v>
      </c>
      <c r="CZ24">
        <v>1.06</v>
      </c>
      <c r="DB24">
        <v>0.70499999999999996</v>
      </c>
      <c r="DC24">
        <v>0.70499999999999996</v>
      </c>
      <c r="DE24" t="s">
        <v>75</v>
      </c>
      <c r="DF24">
        <v>0.65</v>
      </c>
      <c r="DG24">
        <v>0.76500000000000001</v>
      </c>
      <c r="DJ24">
        <v>0</v>
      </c>
      <c r="DK24">
        <v>0</v>
      </c>
      <c r="DL24">
        <v>0</v>
      </c>
      <c r="DN24" t="s">
        <v>148</v>
      </c>
      <c r="DO24" s="14"/>
      <c r="DP24" s="14"/>
      <c r="DQ24" s="14"/>
    </row>
    <row r="25" spans="1:121" x14ac:dyDescent="0.2">
      <c r="A25" t="s">
        <v>67</v>
      </c>
      <c r="E25" t="s">
        <v>722</v>
      </c>
      <c r="F25" t="s">
        <v>376</v>
      </c>
      <c r="G25" t="s">
        <v>162</v>
      </c>
      <c r="H25" t="s">
        <v>387</v>
      </c>
      <c r="I25" t="s">
        <v>388</v>
      </c>
      <c r="J25" t="s">
        <v>73</v>
      </c>
      <c r="K25" t="s">
        <v>389</v>
      </c>
      <c r="L25" t="s">
        <v>449</v>
      </c>
      <c r="M25" t="s">
        <v>73</v>
      </c>
      <c r="N25" t="s">
        <v>73</v>
      </c>
      <c r="O25" t="s">
        <v>73</v>
      </c>
      <c r="P25" t="str">
        <f t="shared" si="0"/>
        <v>HFL_N_VDD10LPDPRX_ELB2P7_LPDPRX_X_ODD_ELB_X_X_X_</v>
      </c>
      <c r="V25" t="s">
        <v>424</v>
      </c>
      <c r="W25" t="s">
        <v>425</v>
      </c>
      <c r="AF25" t="s">
        <v>426</v>
      </c>
      <c r="AM25" t="s">
        <v>408</v>
      </c>
      <c r="AN25">
        <v>0.78</v>
      </c>
      <c r="AO25">
        <v>0.78</v>
      </c>
      <c r="AQ25">
        <v>0.78</v>
      </c>
      <c r="AR25">
        <v>0.78</v>
      </c>
      <c r="AT25">
        <v>0.78</v>
      </c>
      <c r="AU25">
        <v>0.78</v>
      </c>
      <c r="AW25">
        <v>0.78</v>
      </c>
      <c r="AX25">
        <v>0.78</v>
      </c>
      <c r="AZ25">
        <v>0.78</v>
      </c>
      <c r="BA25">
        <v>0.78</v>
      </c>
      <c r="BC25">
        <v>0.78</v>
      </c>
      <c r="BD25">
        <v>0.78</v>
      </c>
      <c r="BF25">
        <v>0.78</v>
      </c>
      <c r="BG25">
        <v>0.78</v>
      </c>
      <c r="BI25">
        <v>0.78</v>
      </c>
      <c r="BJ25">
        <v>0.78</v>
      </c>
      <c r="BL25">
        <v>0.76500000000000001</v>
      </c>
      <c r="BM25">
        <v>0.76500000000000001</v>
      </c>
      <c r="BO25">
        <v>0.72499999999999998</v>
      </c>
      <c r="BP25">
        <v>0.72499999999999998</v>
      </c>
      <c r="BR25">
        <v>0.76500000000000001</v>
      </c>
      <c r="BS25">
        <v>0.76500000000000001</v>
      </c>
      <c r="BU25">
        <v>0.76500000000000001</v>
      </c>
      <c r="BV25">
        <v>0.76500000000000001</v>
      </c>
      <c r="BX25">
        <v>1.32</v>
      </c>
      <c r="BY25">
        <v>1.32</v>
      </c>
      <c r="CA25">
        <v>1.06</v>
      </c>
      <c r="CB25">
        <v>1.06</v>
      </c>
      <c r="CD25">
        <v>0.76500000000000001</v>
      </c>
      <c r="CE25">
        <v>0.76500000000000001</v>
      </c>
      <c r="CG25">
        <v>0.76500000000000001</v>
      </c>
      <c r="CH25">
        <v>0.76500000000000001</v>
      </c>
      <c r="CJ25">
        <v>1.06</v>
      </c>
      <c r="CK25">
        <v>1.06</v>
      </c>
      <c r="CM25">
        <v>1.06</v>
      </c>
      <c r="CN25">
        <v>1.06</v>
      </c>
      <c r="CP25">
        <v>0.76500000000000001</v>
      </c>
      <c r="CQ25">
        <v>0.76500000000000001</v>
      </c>
      <c r="CS25">
        <v>0.7</v>
      </c>
      <c r="CT25">
        <v>1.17</v>
      </c>
      <c r="CU25">
        <v>5.0000000000000001E-3</v>
      </c>
      <c r="CV25">
        <v>0.76500000000000001</v>
      </c>
      <c r="CW25">
        <v>0.76500000000000001</v>
      </c>
      <c r="CY25">
        <v>1.06</v>
      </c>
      <c r="CZ25">
        <v>1.06</v>
      </c>
      <c r="DB25">
        <v>0.70499999999999996</v>
      </c>
      <c r="DC25">
        <v>0.70499999999999996</v>
      </c>
      <c r="DE25" t="s">
        <v>75</v>
      </c>
      <c r="DF25">
        <v>0.9</v>
      </c>
      <c r="DG25">
        <v>1.06</v>
      </c>
      <c r="DJ25">
        <v>0</v>
      </c>
      <c r="DK25">
        <v>0</v>
      </c>
      <c r="DL25">
        <v>0</v>
      </c>
      <c r="DN25" t="s">
        <v>148</v>
      </c>
      <c r="DO25" s="14"/>
      <c r="DP25" s="14"/>
      <c r="DQ25" s="14"/>
    </row>
    <row r="26" spans="1:121" x14ac:dyDescent="0.2">
      <c r="A26" t="s">
        <v>67</v>
      </c>
      <c r="E26" t="s">
        <v>722</v>
      </c>
      <c r="F26" t="s">
        <v>376</v>
      </c>
      <c r="G26" t="s">
        <v>162</v>
      </c>
      <c r="H26" t="s">
        <v>387</v>
      </c>
      <c r="I26" t="s">
        <v>388</v>
      </c>
      <c r="J26" t="s">
        <v>73</v>
      </c>
      <c r="K26" t="s">
        <v>390</v>
      </c>
      <c r="L26" t="s">
        <v>449</v>
      </c>
      <c r="M26" t="s">
        <v>73</v>
      </c>
      <c r="N26" t="s">
        <v>73</v>
      </c>
      <c r="O26" t="s">
        <v>73</v>
      </c>
      <c r="P26" t="str">
        <f t="shared" si="0"/>
        <v>HFL_N_VDD10LPDPRX_ELB2P7_LPDPRX_X_EVEN_ELB_X_X_X_</v>
      </c>
      <c r="V26" t="s">
        <v>424</v>
      </c>
      <c r="W26" t="s">
        <v>425</v>
      </c>
      <c r="AF26" t="s">
        <v>427</v>
      </c>
      <c r="AM26" t="s">
        <v>408</v>
      </c>
      <c r="AN26">
        <v>0.78</v>
      </c>
      <c r="AO26">
        <v>0.78</v>
      </c>
      <c r="AQ26">
        <v>0.78</v>
      </c>
      <c r="AR26">
        <v>0.78</v>
      </c>
      <c r="AT26">
        <v>0.78</v>
      </c>
      <c r="AU26">
        <v>0.78</v>
      </c>
      <c r="AW26">
        <v>0.78</v>
      </c>
      <c r="AX26">
        <v>0.78</v>
      </c>
      <c r="AZ26">
        <v>0.78</v>
      </c>
      <c r="BA26">
        <v>0.78</v>
      </c>
      <c r="BC26">
        <v>0.78</v>
      </c>
      <c r="BD26">
        <v>0.78</v>
      </c>
      <c r="BF26">
        <v>0.78</v>
      </c>
      <c r="BG26">
        <v>0.78</v>
      </c>
      <c r="BI26">
        <v>0.78</v>
      </c>
      <c r="BJ26">
        <v>0.78</v>
      </c>
      <c r="BL26">
        <v>0.76500000000000001</v>
      </c>
      <c r="BM26">
        <v>0.76500000000000001</v>
      </c>
      <c r="BO26">
        <v>0.72499999999999998</v>
      </c>
      <c r="BP26">
        <v>0.72499999999999998</v>
      </c>
      <c r="BR26">
        <v>0.76500000000000001</v>
      </c>
      <c r="BS26">
        <v>0.76500000000000001</v>
      </c>
      <c r="BU26">
        <v>0.76500000000000001</v>
      </c>
      <c r="BV26">
        <v>0.76500000000000001</v>
      </c>
      <c r="BX26">
        <v>1.32</v>
      </c>
      <c r="BY26">
        <v>1.32</v>
      </c>
      <c r="CA26">
        <v>1.06</v>
      </c>
      <c r="CB26">
        <v>1.06</v>
      </c>
      <c r="CD26">
        <v>0.76500000000000001</v>
      </c>
      <c r="CE26">
        <v>0.76500000000000001</v>
      </c>
      <c r="CG26">
        <v>0.76500000000000001</v>
      </c>
      <c r="CH26">
        <v>0.76500000000000001</v>
      </c>
      <c r="CJ26">
        <v>1.06</v>
      </c>
      <c r="CK26">
        <v>1.06</v>
      </c>
      <c r="CM26">
        <v>1.06</v>
      </c>
      <c r="CN26">
        <v>1.06</v>
      </c>
      <c r="CP26">
        <v>0.76500000000000001</v>
      </c>
      <c r="CQ26">
        <v>0.76500000000000001</v>
      </c>
      <c r="CS26">
        <v>0.7</v>
      </c>
      <c r="CT26">
        <v>1.17</v>
      </c>
      <c r="CU26">
        <v>5.0000000000000001E-3</v>
      </c>
      <c r="CV26">
        <v>0.76500000000000001</v>
      </c>
      <c r="CW26">
        <v>0.76500000000000001</v>
      </c>
      <c r="CY26">
        <v>1.06</v>
      </c>
      <c r="CZ26">
        <v>1.06</v>
      </c>
      <c r="DB26">
        <v>0.70499999999999996</v>
      </c>
      <c r="DC26">
        <v>0.70499999999999996</v>
      </c>
      <c r="DE26" t="s">
        <v>75</v>
      </c>
      <c r="DF26">
        <v>0.9</v>
      </c>
      <c r="DG26">
        <v>1.06</v>
      </c>
      <c r="DJ26">
        <v>0</v>
      </c>
      <c r="DK26">
        <v>0</v>
      </c>
      <c r="DL26">
        <v>0</v>
      </c>
      <c r="DN26" t="s">
        <v>148</v>
      </c>
      <c r="DO26" s="14"/>
      <c r="DP26" s="14"/>
      <c r="DQ26" s="14"/>
    </row>
    <row r="27" spans="1:121" x14ac:dyDescent="0.2">
      <c r="A27" t="s">
        <v>67</v>
      </c>
      <c r="E27" t="s">
        <v>722</v>
      </c>
      <c r="F27" t="s">
        <v>376</v>
      </c>
      <c r="G27" t="s">
        <v>162</v>
      </c>
      <c r="H27" t="s">
        <v>387</v>
      </c>
      <c r="I27" t="s">
        <v>388</v>
      </c>
      <c r="J27" t="s">
        <v>73</v>
      </c>
      <c r="K27" t="s">
        <v>391</v>
      </c>
      <c r="L27" t="s">
        <v>449</v>
      </c>
      <c r="M27" t="s">
        <v>73</v>
      </c>
      <c r="N27" t="s">
        <v>73</v>
      </c>
      <c r="O27" t="s">
        <v>73</v>
      </c>
      <c r="P27" t="str">
        <f t="shared" si="0"/>
        <v>HFL_N_VDD10LPDPRX_ELB2P7_LPDPRX_X_L5L6_ELB_X_X_X_</v>
      </c>
      <c r="V27" t="s">
        <v>424</v>
      </c>
      <c r="W27" t="s">
        <v>425</v>
      </c>
      <c r="AF27" t="s">
        <v>428</v>
      </c>
      <c r="AM27" t="s">
        <v>408</v>
      </c>
      <c r="AN27">
        <v>0.78</v>
      </c>
      <c r="AO27">
        <v>0.78</v>
      </c>
      <c r="AQ27">
        <v>0.78</v>
      </c>
      <c r="AR27">
        <v>0.78</v>
      </c>
      <c r="AT27">
        <v>0.78</v>
      </c>
      <c r="AU27">
        <v>0.78</v>
      </c>
      <c r="AW27">
        <v>0.78</v>
      </c>
      <c r="AX27">
        <v>0.78</v>
      </c>
      <c r="AZ27">
        <v>0.78</v>
      </c>
      <c r="BA27">
        <v>0.78</v>
      </c>
      <c r="BC27">
        <v>0.78</v>
      </c>
      <c r="BD27">
        <v>0.78</v>
      </c>
      <c r="BF27">
        <v>0.78</v>
      </c>
      <c r="BG27">
        <v>0.78</v>
      </c>
      <c r="BI27">
        <v>0.78</v>
      </c>
      <c r="BJ27">
        <v>0.78</v>
      </c>
      <c r="BL27">
        <v>0.76500000000000001</v>
      </c>
      <c r="BM27">
        <v>0.76500000000000001</v>
      </c>
      <c r="BO27">
        <v>0.72499999999999998</v>
      </c>
      <c r="BP27">
        <v>0.72499999999999998</v>
      </c>
      <c r="BR27">
        <v>0.76500000000000001</v>
      </c>
      <c r="BS27">
        <v>0.76500000000000001</v>
      </c>
      <c r="BU27">
        <v>0.76500000000000001</v>
      </c>
      <c r="BV27">
        <v>0.76500000000000001</v>
      </c>
      <c r="BX27">
        <v>1.32</v>
      </c>
      <c r="BY27">
        <v>1.32</v>
      </c>
      <c r="CA27">
        <v>1.06</v>
      </c>
      <c r="CB27">
        <v>1.06</v>
      </c>
      <c r="CD27">
        <v>0.76500000000000001</v>
      </c>
      <c r="CE27">
        <v>0.76500000000000001</v>
      </c>
      <c r="CG27">
        <v>0.76500000000000001</v>
      </c>
      <c r="CH27">
        <v>0.76500000000000001</v>
      </c>
      <c r="CJ27">
        <v>1.06</v>
      </c>
      <c r="CK27">
        <v>1.06</v>
      </c>
      <c r="CM27">
        <v>1.06</v>
      </c>
      <c r="CN27">
        <v>1.06</v>
      </c>
      <c r="CP27">
        <v>0.76500000000000001</v>
      </c>
      <c r="CQ27">
        <v>0.76500000000000001</v>
      </c>
      <c r="CS27">
        <v>0.7</v>
      </c>
      <c r="CT27">
        <v>1.17</v>
      </c>
      <c r="CU27">
        <v>5.0000000000000001E-3</v>
      </c>
      <c r="CV27">
        <v>0.76500000000000001</v>
      </c>
      <c r="CW27">
        <v>0.76500000000000001</v>
      </c>
      <c r="CY27">
        <v>1.06</v>
      </c>
      <c r="CZ27">
        <v>1.06</v>
      </c>
      <c r="DB27">
        <v>0.70499999999999996</v>
      </c>
      <c r="DC27">
        <v>0.70499999999999996</v>
      </c>
      <c r="DE27" t="s">
        <v>75</v>
      </c>
      <c r="DF27">
        <v>0.9</v>
      </c>
      <c r="DG27">
        <v>1.06</v>
      </c>
      <c r="DJ27">
        <v>0</v>
      </c>
      <c r="DK27">
        <v>0</v>
      </c>
      <c r="DL27">
        <v>0</v>
      </c>
      <c r="DN27" t="s">
        <v>148</v>
      </c>
      <c r="DO27" s="14"/>
      <c r="DP27" s="14"/>
      <c r="DQ27" s="14"/>
    </row>
    <row r="28" spans="1:121" x14ac:dyDescent="0.2">
      <c r="A28" t="s">
        <v>67</v>
      </c>
      <c r="E28" t="s">
        <v>722</v>
      </c>
      <c r="F28" t="s">
        <v>376</v>
      </c>
      <c r="G28" t="s">
        <v>162</v>
      </c>
      <c r="H28" t="s">
        <v>392</v>
      </c>
      <c r="I28" t="s">
        <v>388</v>
      </c>
      <c r="J28" t="s">
        <v>73</v>
      </c>
      <c r="K28" t="s">
        <v>389</v>
      </c>
      <c r="L28" t="s">
        <v>449</v>
      </c>
      <c r="M28" t="s">
        <v>73</v>
      </c>
      <c r="N28" t="s">
        <v>73</v>
      </c>
      <c r="O28" t="s">
        <v>73</v>
      </c>
      <c r="P28" t="str">
        <f t="shared" si="0"/>
        <v>HFL_N_VDD10LPDPRX_ELB14P0_LPDPRX_X_ODD_ELB_X_X_X_</v>
      </c>
      <c r="V28" t="s">
        <v>424</v>
      </c>
      <c r="W28" t="s">
        <v>429</v>
      </c>
      <c r="AF28" t="s">
        <v>430</v>
      </c>
      <c r="AM28" t="s">
        <v>408</v>
      </c>
      <c r="AN28">
        <v>0.78</v>
      </c>
      <c r="AO28">
        <v>0.78</v>
      </c>
      <c r="AQ28">
        <v>0.78</v>
      </c>
      <c r="AR28">
        <v>0.78</v>
      </c>
      <c r="AT28">
        <v>0.78</v>
      </c>
      <c r="AU28">
        <v>0.78</v>
      </c>
      <c r="AW28">
        <v>0.78</v>
      </c>
      <c r="AX28">
        <v>0.78</v>
      </c>
      <c r="AZ28">
        <v>0.78</v>
      </c>
      <c r="BA28">
        <v>0.78</v>
      </c>
      <c r="BC28">
        <v>0.78</v>
      </c>
      <c r="BD28">
        <v>0.78</v>
      </c>
      <c r="BF28">
        <v>0.78</v>
      </c>
      <c r="BG28">
        <v>0.78</v>
      </c>
      <c r="BI28">
        <v>0.78</v>
      </c>
      <c r="BJ28">
        <v>0.78</v>
      </c>
      <c r="BL28">
        <v>0.76500000000000001</v>
      </c>
      <c r="BM28">
        <v>0.76500000000000001</v>
      </c>
      <c r="BO28">
        <v>0.72499999999999998</v>
      </c>
      <c r="BP28">
        <v>0.72499999999999998</v>
      </c>
      <c r="BR28">
        <v>0.76500000000000001</v>
      </c>
      <c r="BS28">
        <v>0.76500000000000001</v>
      </c>
      <c r="BU28">
        <v>0.76500000000000001</v>
      </c>
      <c r="BV28">
        <v>0.76500000000000001</v>
      </c>
      <c r="BX28">
        <v>1.32</v>
      </c>
      <c r="BY28">
        <v>1.32</v>
      </c>
      <c r="CA28">
        <v>1.06</v>
      </c>
      <c r="CB28">
        <v>1.06</v>
      </c>
      <c r="CD28">
        <v>0.76500000000000001</v>
      </c>
      <c r="CE28">
        <v>0.76500000000000001</v>
      </c>
      <c r="CG28">
        <v>0.76500000000000001</v>
      </c>
      <c r="CH28">
        <v>0.76500000000000001</v>
      </c>
      <c r="CJ28">
        <v>1.06</v>
      </c>
      <c r="CK28">
        <v>1.06</v>
      </c>
      <c r="CM28">
        <v>1.06</v>
      </c>
      <c r="CN28">
        <v>1.06</v>
      </c>
      <c r="CP28">
        <v>0.76500000000000001</v>
      </c>
      <c r="CQ28">
        <v>0.76500000000000001</v>
      </c>
      <c r="CS28">
        <v>0.7</v>
      </c>
      <c r="CT28">
        <v>1.17</v>
      </c>
      <c r="CU28">
        <v>5.0000000000000001E-3</v>
      </c>
      <c r="CV28">
        <v>0.76500000000000001</v>
      </c>
      <c r="CW28">
        <v>0.76500000000000001</v>
      </c>
      <c r="CY28">
        <v>1.06</v>
      </c>
      <c r="CZ28">
        <v>1.06</v>
      </c>
      <c r="DB28">
        <v>0.70499999999999996</v>
      </c>
      <c r="DC28">
        <v>0.70499999999999996</v>
      </c>
      <c r="DE28" t="s">
        <v>75</v>
      </c>
      <c r="DF28">
        <v>0.9</v>
      </c>
      <c r="DG28">
        <v>1.06</v>
      </c>
      <c r="DJ28">
        <v>0</v>
      </c>
      <c r="DK28">
        <v>0</v>
      </c>
      <c r="DL28">
        <v>0</v>
      </c>
      <c r="DN28" t="s">
        <v>148</v>
      </c>
      <c r="DO28" s="14"/>
      <c r="DP28" s="14"/>
      <c r="DQ28" s="14"/>
    </row>
    <row r="29" spans="1:121" x14ac:dyDescent="0.2">
      <c r="A29" t="s">
        <v>67</v>
      </c>
      <c r="E29" t="s">
        <v>722</v>
      </c>
      <c r="F29" t="s">
        <v>376</v>
      </c>
      <c r="G29" t="s">
        <v>162</v>
      </c>
      <c r="H29" t="s">
        <v>392</v>
      </c>
      <c r="I29" t="s">
        <v>388</v>
      </c>
      <c r="J29" t="s">
        <v>73</v>
      </c>
      <c r="K29" t="s">
        <v>390</v>
      </c>
      <c r="L29" t="s">
        <v>449</v>
      </c>
      <c r="M29" t="s">
        <v>73</v>
      </c>
      <c r="N29" t="s">
        <v>73</v>
      </c>
      <c r="O29" t="s">
        <v>73</v>
      </c>
      <c r="P29" t="str">
        <f t="shared" si="0"/>
        <v>HFL_N_VDD10LPDPRX_ELB14P0_LPDPRX_X_EVEN_ELB_X_X_X_</v>
      </c>
      <c r="V29" t="s">
        <v>424</v>
      </c>
      <c r="W29" t="s">
        <v>429</v>
      </c>
      <c r="AF29" t="s">
        <v>431</v>
      </c>
      <c r="AM29" t="s">
        <v>408</v>
      </c>
      <c r="AN29">
        <v>0.78</v>
      </c>
      <c r="AO29">
        <v>0.78</v>
      </c>
      <c r="AQ29">
        <v>0.78</v>
      </c>
      <c r="AR29">
        <v>0.78</v>
      </c>
      <c r="AT29">
        <v>0.78</v>
      </c>
      <c r="AU29">
        <v>0.78</v>
      </c>
      <c r="AW29">
        <v>0.78</v>
      </c>
      <c r="AX29">
        <v>0.78</v>
      </c>
      <c r="AZ29">
        <v>0.78</v>
      </c>
      <c r="BA29">
        <v>0.78</v>
      </c>
      <c r="BC29">
        <v>0.78</v>
      </c>
      <c r="BD29">
        <v>0.78</v>
      </c>
      <c r="BF29">
        <v>0.78</v>
      </c>
      <c r="BG29">
        <v>0.78</v>
      </c>
      <c r="BI29">
        <v>0.78</v>
      </c>
      <c r="BJ29">
        <v>0.78</v>
      </c>
      <c r="BL29">
        <v>0.76500000000000001</v>
      </c>
      <c r="BM29">
        <v>0.76500000000000001</v>
      </c>
      <c r="BO29">
        <v>0.72499999999999998</v>
      </c>
      <c r="BP29">
        <v>0.72499999999999998</v>
      </c>
      <c r="BR29">
        <v>0.76500000000000001</v>
      </c>
      <c r="BS29">
        <v>0.76500000000000001</v>
      </c>
      <c r="BU29">
        <v>0.76500000000000001</v>
      </c>
      <c r="BV29">
        <v>0.76500000000000001</v>
      </c>
      <c r="BX29">
        <v>1.32</v>
      </c>
      <c r="BY29">
        <v>1.32</v>
      </c>
      <c r="CA29">
        <v>1.06</v>
      </c>
      <c r="CB29">
        <v>1.06</v>
      </c>
      <c r="CD29">
        <v>0.76500000000000001</v>
      </c>
      <c r="CE29">
        <v>0.76500000000000001</v>
      </c>
      <c r="CG29">
        <v>0.76500000000000001</v>
      </c>
      <c r="CH29">
        <v>0.76500000000000001</v>
      </c>
      <c r="CJ29">
        <v>1.06</v>
      </c>
      <c r="CK29">
        <v>1.06</v>
      </c>
      <c r="CM29">
        <v>1.06</v>
      </c>
      <c r="CN29">
        <v>1.06</v>
      </c>
      <c r="CP29">
        <v>0.76500000000000001</v>
      </c>
      <c r="CQ29">
        <v>0.76500000000000001</v>
      </c>
      <c r="CS29">
        <v>0.7</v>
      </c>
      <c r="CT29">
        <v>1.17</v>
      </c>
      <c r="CU29">
        <v>5.0000000000000001E-3</v>
      </c>
      <c r="CV29">
        <v>0.76500000000000001</v>
      </c>
      <c r="CW29">
        <v>0.76500000000000001</v>
      </c>
      <c r="CY29">
        <v>1.06</v>
      </c>
      <c r="CZ29">
        <v>1.06</v>
      </c>
      <c r="DB29">
        <v>0.70499999999999996</v>
      </c>
      <c r="DC29">
        <v>0.70499999999999996</v>
      </c>
      <c r="DE29" t="s">
        <v>75</v>
      </c>
      <c r="DF29">
        <v>0.9</v>
      </c>
      <c r="DG29">
        <v>1.06</v>
      </c>
      <c r="DJ29">
        <v>0</v>
      </c>
      <c r="DK29">
        <v>0</v>
      </c>
      <c r="DL29">
        <v>0</v>
      </c>
      <c r="DN29" t="s">
        <v>148</v>
      </c>
      <c r="DO29" s="14"/>
      <c r="DP29" s="14"/>
      <c r="DQ29" s="14"/>
    </row>
    <row r="30" spans="1:121" x14ac:dyDescent="0.2">
      <c r="A30" t="s">
        <v>67</v>
      </c>
      <c r="E30" t="s">
        <v>722</v>
      </c>
      <c r="F30" t="s">
        <v>376</v>
      </c>
      <c r="G30" t="s">
        <v>162</v>
      </c>
      <c r="H30" t="s">
        <v>392</v>
      </c>
      <c r="I30" t="s">
        <v>388</v>
      </c>
      <c r="J30" t="s">
        <v>73</v>
      </c>
      <c r="K30" t="s">
        <v>391</v>
      </c>
      <c r="L30" t="s">
        <v>449</v>
      </c>
      <c r="M30" t="s">
        <v>73</v>
      </c>
      <c r="N30" t="s">
        <v>73</v>
      </c>
      <c r="O30" t="s">
        <v>73</v>
      </c>
      <c r="P30" t="str">
        <f t="shared" si="0"/>
        <v>HFL_N_VDD10LPDPRX_ELB14P0_LPDPRX_X_L5L6_ELB_X_X_X_</v>
      </c>
      <c r="V30" t="s">
        <v>424</v>
      </c>
      <c r="W30" t="s">
        <v>429</v>
      </c>
      <c r="AF30" t="s">
        <v>432</v>
      </c>
      <c r="AM30" t="s">
        <v>408</v>
      </c>
      <c r="AN30">
        <v>0.78</v>
      </c>
      <c r="AO30">
        <v>0.78</v>
      </c>
      <c r="AQ30">
        <v>0.78</v>
      </c>
      <c r="AR30">
        <v>0.78</v>
      </c>
      <c r="AT30">
        <v>0.78</v>
      </c>
      <c r="AU30">
        <v>0.78</v>
      </c>
      <c r="AW30">
        <v>0.78</v>
      </c>
      <c r="AX30">
        <v>0.78</v>
      </c>
      <c r="AZ30">
        <v>0.78</v>
      </c>
      <c r="BA30">
        <v>0.78</v>
      </c>
      <c r="BC30">
        <v>0.78</v>
      </c>
      <c r="BD30">
        <v>0.78</v>
      </c>
      <c r="BF30">
        <v>0.78</v>
      </c>
      <c r="BG30">
        <v>0.78</v>
      </c>
      <c r="BI30">
        <v>0.78</v>
      </c>
      <c r="BJ30">
        <v>0.78</v>
      </c>
      <c r="BL30">
        <v>0.76500000000000001</v>
      </c>
      <c r="BM30">
        <v>0.76500000000000001</v>
      </c>
      <c r="BO30">
        <v>0.72499999999999998</v>
      </c>
      <c r="BP30">
        <v>0.72499999999999998</v>
      </c>
      <c r="BR30">
        <v>0.76500000000000001</v>
      </c>
      <c r="BS30">
        <v>0.76500000000000001</v>
      </c>
      <c r="BU30">
        <v>0.76500000000000001</v>
      </c>
      <c r="BV30">
        <v>0.76500000000000001</v>
      </c>
      <c r="BX30">
        <v>1.32</v>
      </c>
      <c r="BY30">
        <v>1.32</v>
      </c>
      <c r="CA30">
        <v>1.06</v>
      </c>
      <c r="CB30">
        <v>1.06</v>
      </c>
      <c r="CD30">
        <v>0.76500000000000001</v>
      </c>
      <c r="CE30">
        <v>0.76500000000000001</v>
      </c>
      <c r="CG30">
        <v>0.76500000000000001</v>
      </c>
      <c r="CH30">
        <v>0.76500000000000001</v>
      </c>
      <c r="CJ30">
        <v>1.06</v>
      </c>
      <c r="CK30">
        <v>1.06</v>
      </c>
      <c r="CM30">
        <v>1.06</v>
      </c>
      <c r="CN30">
        <v>1.06</v>
      </c>
      <c r="CP30">
        <v>0.76500000000000001</v>
      </c>
      <c r="CQ30">
        <v>0.76500000000000001</v>
      </c>
      <c r="CS30">
        <v>0.7</v>
      </c>
      <c r="CT30">
        <v>1.17</v>
      </c>
      <c r="CU30">
        <v>5.0000000000000001E-3</v>
      </c>
      <c r="CV30">
        <v>0.76500000000000001</v>
      </c>
      <c r="CW30">
        <v>0.76500000000000001</v>
      </c>
      <c r="CY30">
        <v>1.06</v>
      </c>
      <c r="CZ30">
        <v>1.06</v>
      </c>
      <c r="DB30">
        <v>0.70499999999999996</v>
      </c>
      <c r="DC30">
        <v>0.70499999999999996</v>
      </c>
      <c r="DE30" t="s">
        <v>75</v>
      </c>
      <c r="DF30">
        <v>0.9</v>
      </c>
      <c r="DG30">
        <v>1.06</v>
      </c>
      <c r="DJ30">
        <v>0</v>
      </c>
      <c r="DK30">
        <v>0</v>
      </c>
      <c r="DL30">
        <v>0</v>
      </c>
      <c r="DN30" t="s">
        <v>148</v>
      </c>
      <c r="DO30" s="14"/>
      <c r="DP30" s="14"/>
      <c r="DQ30" s="14"/>
    </row>
    <row r="31" spans="1:121" x14ac:dyDescent="0.2">
      <c r="A31" t="s">
        <v>67</v>
      </c>
      <c r="E31" t="s">
        <v>722</v>
      </c>
      <c r="F31" t="s">
        <v>376</v>
      </c>
      <c r="G31" t="s">
        <v>163</v>
      </c>
      <c r="H31" t="s">
        <v>393</v>
      </c>
      <c r="I31" t="s">
        <v>394</v>
      </c>
      <c r="J31" t="s">
        <v>73</v>
      </c>
      <c r="K31" t="s">
        <v>73</v>
      </c>
      <c r="L31" t="s">
        <v>73</v>
      </c>
      <c r="M31" t="s">
        <v>73</v>
      </c>
      <c r="N31" t="s">
        <v>73</v>
      </c>
      <c r="O31" t="s">
        <v>73</v>
      </c>
      <c r="P31" t="str">
        <f t="shared" si="0"/>
        <v>HFL_N_VDDFIXEDLPDPTX_PLB_LPDPTX_X_X_X_X_X_X_</v>
      </c>
      <c r="V31" t="s">
        <v>433</v>
      </c>
      <c r="W31" t="s">
        <v>434</v>
      </c>
      <c r="X31" t="s">
        <v>435</v>
      </c>
      <c r="AF31" t="s">
        <v>436</v>
      </c>
      <c r="AM31" t="s">
        <v>408</v>
      </c>
      <c r="AN31">
        <v>0.78</v>
      </c>
      <c r="AO31">
        <v>0.78</v>
      </c>
      <c r="AQ31">
        <v>0.78</v>
      </c>
      <c r="AR31">
        <v>0.78</v>
      </c>
      <c r="AT31">
        <v>0.78</v>
      </c>
      <c r="AU31">
        <v>0.78</v>
      </c>
      <c r="AW31">
        <v>0.78</v>
      </c>
      <c r="AX31">
        <v>0.78</v>
      </c>
      <c r="AZ31">
        <v>0.78</v>
      </c>
      <c r="BA31">
        <v>0.78</v>
      </c>
      <c r="BC31">
        <v>0.78</v>
      </c>
      <c r="BD31">
        <v>0.78</v>
      </c>
      <c r="BF31">
        <v>0.78</v>
      </c>
      <c r="BG31">
        <v>0.78</v>
      </c>
      <c r="BI31">
        <v>0.78</v>
      </c>
      <c r="BJ31">
        <v>0.78</v>
      </c>
      <c r="BL31">
        <v>0.76500000000000001</v>
      </c>
      <c r="BM31">
        <v>0.76500000000000001</v>
      </c>
      <c r="BO31">
        <v>0.72499999999999998</v>
      </c>
      <c r="BP31">
        <v>0.72499999999999998</v>
      </c>
      <c r="BR31">
        <v>0.76500000000000001</v>
      </c>
      <c r="BS31">
        <v>0.76500000000000001</v>
      </c>
      <c r="BU31">
        <v>0.76500000000000001</v>
      </c>
      <c r="BV31">
        <v>0.76500000000000001</v>
      </c>
      <c r="BX31">
        <v>1.32</v>
      </c>
      <c r="BY31">
        <v>1.32</v>
      </c>
      <c r="CA31">
        <v>1.06</v>
      </c>
      <c r="CB31">
        <v>1.06</v>
      </c>
      <c r="CD31">
        <v>0.76500000000000001</v>
      </c>
      <c r="CE31">
        <v>0.76500000000000001</v>
      </c>
      <c r="CG31">
        <v>0.76500000000000001</v>
      </c>
      <c r="CH31">
        <v>0.76500000000000001</v>
      </c>
      <c r="CJ31">
        <v>1.06</v>
      </c>
      <c r="CK31">
        <v>1.06</v>
      </c>
      <c r="CM31">
        <v>1.06</v>
      </c>
      <c r="CN31">
        <v>1.06</v>
      </c>
      <c r="CP31">
        <v>0.76500000000000001</v>
      </c>
      <c r="CQ31">
        <v>0.76500000000000001</v>
      </c>
      <c r="CS31">
        <v>1.06</v>
      </c>
      <c r="CT31">
        <v>1.06</v>
      </c>
      <c r="CV31">
        <v>0.55000000000000004</v>
      </c>
      <c r="CW31">
        <v>0.85</v>
      </c>
      <c r="CX31">
        <v>5.0000000000000001E-3</v>
      </c>
      <c r="CY31">
        <v>1.06</v>
      </c>
      <c r="CZ31">
        <v>1.06</v>
      </c>
      <c r="DB31">
        <v>0.70499999999999996</v>
      </c>
      <c r="DC31">
        <v>0.70499999999999996</v>
      </c>
      <c r="DE31" t="s">
        <v>75</v>
      </c>
      <c r="DF31">
        <v>0.65</v>
      </c>
      <c r="DG31">
        <v>0.76500000000000001</v>
      </c>
      <c r="DJ31">
        <v>0</v>
      </c>
      <c r="DK31">
        <v>0</v>
      </c>
      <c r="DL31">
        <v>0</v>
      </c>
      <c r="DN31" t="s">
        <v>148</v>
      </c>
      <c r="DO31" s="14"/>
      <c r="DP31" s="14"/>
      <c r="DQ31" s="14"/>
    </row>
    <row r="32" spans="1:121" x14ac:dyDescent="0.2">
      <c r="A32" t="s">
        <v>67</v>
      </c>
      <c r="E32" t="s">
        <v>722</v>
      </c>
      <c r="F32" t="s">
        <v>376</v>
      </c>
      <c r="G32" t="s">
        <v>164</v>
      </c>
      <c r="H32" t="s">
        <v>393</v>
      </c>
      <c r="I32" t="s">
        <v>394</v>
      </c>
      <c r="J32" t="s">
        <v>73</v>
      </c>
      <c r="K32" t="s">
        <v>73</v>
      </c>
      <c r="L32" t="s">
        <v>73</v>
      </c>
      <c r="M32" t="s">
        <v>73</v>
      </c>
      <c r="N32" t="s">
        <v>73</v>
      </c>
      <c r="O32" t="s">
        <v>73</v>
      </c>
      <c r="P32" t="str">
        <f t="shared" si="0"/>
        <v>HFL_N_VDD10LPDPTX_PLB_LPDPTX_X_X_X_X_X_X_</v>
      </c>
      <c r="V32" t="s">
        <v>433</v>
      </c>
      <c r="W32" t="s">
        <v>434</v>
      </c>
      <c r="X32" t="s">
        <v>435</v>
      </c>
      <c r="AF32" t="s">
        <v>436</v>
      </c>
      <c r="AM32" t="s">
        <v>408</v>
      </c>
      <c r="AN32">
        <v>0.78</v>
      </c>
      <c r="AO32">
        <v>0.78</v>
      </c>
      <c r="AQ32">
        <v>0.78</v>
      </c>
      <c r="AR32">
        <v>0.78</v>
      </c>
      <c r="AT32">
        <v>0.78</v>
      </c>
      <c r="AU32">
        <v>0.78</v>
      </c>
      <c r="AW32">
        <v>0.78</v>
      </c>
      <c r="AX32">
        <v>0.78</v>
      </c>
      <c r="AZ32">
        <v>0.78</v>
      </c>
      <c r="BA32">
        <v>0.78</v>
      </c>
      <c r="BC32">
        <v>0.78</v>
      </c>
      <c r="BD32">
        <v>0.78</v>
      </c>
      <c r="BF32">
        <v>0.78</v>
      </c>
      <c r="BG32">
        <v>0.78</v>
      </c>
      <c r="BI32">
        <v>0.78</v>
      </c>
      <c r="BJ32">
        <v>0.78</v>
      </c>
      <c r="BL32">
        <v>0.76500000000000001</v>
      </c>
      <c r="BM32">
        <v>0.76500000000000001</v>
      </c>
      <c r="BO32">
        <v>0.72499999999999998</v>
      </c>
      <c r="BP32">
        <v>0.72499999999999998</v>
      </c>
      <c r="BR32">
        <v>0.76500000000000001</v>
      </c>
      <c r="BS32">
        <v>0.76500000000000001</v>
      </c>
      <c r="BU32">
        <v>0.76500000000000001</v>
      </c>
      <c r="BV32">
        <v>0.76500000000000001</v>
      </c>
      <c r="BX32">
        <v>1.32</v>
      </c>
      <c r="BY32">
        <v>1.32</v>
      </c>
      <c r="CA32">
        <v>1.06</v>
      </c>
      <c r="CB32">
        <v>1.06</v>
      </c>
      <c r="CD32">
        <v>0.76500000000000001</v>
      </c>
      <c r="CE32">
        <v>0.76500000000000001</v>
      </c>
      <c r="CG32">
        <v>0.76500000000000001</v>
      </c>
      <c r="CH32">
        <v>0.76500000000000001</v>
      </c>
      <c r="CJ32">
        <v>1.06</v>
      </c>
      <c r="CK32">
        <v>1.06</v>
      </c>
      <c r="CM32">
        <v>1.06</v>
      </c>
      <c r="CN32">
        <v>1.06</v>
      </c>
      <c r="CP32">
        <v>0.76500000000000001</v>
      </c>
      <c r="CQ32">
        <v>0.76500000000000001</v>
      </c>
      <c r="CS32">
        <v>1.06</v>
      </c>
      <c r="CT32">
        <v>1.06</v>
      </c>
      <c r="CV32">
        <v>0.76500000000000001</v>
      </c>
      <c r="CW32">
        <v>0.76500000000000001</v>
      </c>
      <c r="CY32">
        <v>0.65</v>
      </c>
      <c r="CZ32">
        <v>1.17</v>
      </c>
      <c r="DA32">
        <v>5.0000000000000001E-3</v>
      </c>
      <c r="DB32">
        <v>0.70499999999999996</v>
      </c>
      <c r="DC32">
        <v>0.70499999999999996</v>
      </c>
      <c r="DE32" t="s">
        <v>75</v>
      </c>
      <c r="DF32">
        <v>0.9</v>
      </c>
      <c r="DG32">
        <v>1.06</v>
      </c>
      <c r="DJ32">
        <v>0</v>
      </c>
      <c r="DK32">
        <v>0</v>
      </c>
      <c r="DL32">
        <v>0</v>
      </c>
      <c r="DN32" t="s">
        <v>148</v>
      </c>
      <c r="DO32" s="14"/>
      <c r="DP32" s="14"/>
      <c r="DQ32" s="14"/>
    </row>
    <row r="33" spans="1:121" x14ac:dyDescent="0.2">
      <c r="A33" s="15" t="s">
        <v>67</v>
      </c>
      <c r="B33" s="15"/>
      <c r="C33" s="16"/>
      <c r="D33" s="16"/>
      <c r="E33" t="s">
        <v>723</v>
      </c>
      <c r="F33" t="s">
        <v>395</v>
      </c>
      <c r="G33" t="s">
        <v>11</v>
      </c>
      <c r="H33" t="s">
        <v>396</v>
      </c>
      <c r="I33" t="s">
        <v>397</v>
      </c>
      <c r="J33" t="s">
        <v>73</v>
      </c>
      <c r="K33" t="s">
        <v>398</v>
      </c>
      <c r="L33" t="s">
        <v>73</v>
      </c>
      <c r="M33" t="s">
        <v>73</v>
      </c>
      <c r="N33" t="s">
        <v>73</v>
      </c>
      <c r="O33" t="s">
        <v>73</v>
      </c>
      <c r="P33" t="str">
        <f t="shared" si="0"/>
        <v>HFLH_AMP_VDDDCSDDR_MDX001_INTS_X_CA_X_X_X_X_</v>
      </c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t="s">
        <v>437</v>
      </c>
      <c r="AG33" s="16"/>
      <c r="AH33" s="16"/>
      <c r="AI33" s="16"/>
      <c r="AJ33" s="16"/>
      <c r="AK33" s="16"/>
      <c r="AL33" s="16"/>
      <c r="AM33" t="str">
        <f>"HardIP_X_X_MD"&amp;RIGHT(H33,3)&amp;" NV"</f>
        <v>HardIP_X_X_MD001 NV</v>
      </c>
      <c r="AN33">
        <v>0.78</v>
      </c>
      <c r="AO33">
        <v>0.78</v>
      </c>
      <c r="AQ33">
        <v>0.78</v>
      </c>
      <c r="AR33">
        <v>0.78</v>
      </c>
      <c r="AT33">
        <v>0.78</v>
      </c>
      <c r="AU33">
        <v>0.78</v>
      </c>
      <c r="AW33">
        <v>0.78</v>
      </c>
      <c r="AX33">
        <v>0.78</v>
      </c>
      <c r="AZ33">
        <v>0.78</v>
      </c>
      <c r="BA33">
        <v>0.78</v>
      </c>
      <c r="BC33">
        <v>0.78</v>
      </c>
      <c r="BD33">
        <v>0.78</v>
      </c>
      <c r="BF33">
        <v>0.78</v>
      </c>
      <c r="BG33">
        <v>0.78</v>
      </c>
      <c r="BI33">
        <v>0.78</v>
      </c>
      <c r="BJ33">
        <v>0.78</v>
      </c>
      <c r="BL33">
        <v>0.76500000000000001</v>
      </c>
      <c r="BM33">
        <v>0.76500000000000001</v>
      </c>
      <c r="BO33">
        <v>0.72499999999999998</v>
      </c>
      <c r="BP33">
        <v>0.72499999999999998</v>
      </c>
      <c r="BR33">
        <v>0.76500000000000001</v>
      </c>
      <c r="BS33">
        <v>0.76500000000000001</v>
      </c>
      <c r="BU33">
        <v>0.76500000000000001</v>
      </c>
      <c r="BV33">
        <v>0.76500000000000001</v>
      </c>
      <c r="BX33">
        <v>1.32</v>
      </c>
      <c r="BY33">
        <v>1.32</v>
      </c>
      <c r="CA33">
        <v>1.06</v>
      </c>
      <c r="CB33">
        <v>1.06</v>
      </c>
      <c r="CD33">
        <v>0.76500000000000001</v>
      </c>
      <c r="CE33">
        <v>0.76500000000000001</v>
      </c>
      <c r="CG33">
        <v>0.76500000000000001</v>
      </c>
      <c r="CH33">
        <v>0.76500000000000001</v>
      </c>
      <c r="CJ33">
        <v>1.06</v>
      </c>
      <c r="CK33">
        <v>1.06</v>
      </c>
      <c r="CM33">
        <v>1.06</v>
      </c>
      <c r="CN33">
        <v>1.06</v>
      </c>
      <c r="CP33">
        <v>0.76500000000000001</v>
      </c>
      <c r="CQ33">
        <v>0.76500000000000001</v>
      </c>
      <c r="CS33">
        <v>1.06</v>
      </c>
      <c r="CT33">
        <v>1.06</v>
      </c>
      <c r="CV33">
        <v>0.76500000000000001</v>
      </c>
      <c r="CW33">
        <v>0.76500000000000001</v>
      </c>
      <c r="CY33">
        <v>1.06</v>
      </c>
      <c r="CZ33">
        <v>1.06</v>
      </c>
      <c r="DB33">
        <v>1.1000000000000001</v>
      </c>
      <c r="DC33">
        <v>0.35</v>
      </c>
      <c r="DD33">
        <v>5.0000000000000001E-3</v>
      </c>
      <c r="DE33" t="s">
        <v>75</v>
      </c>
      <c r="DF33">
        <v>0.45</v>
      </c>
      <c r="DG33">
        <v>0.78</v>
      </c>
      <c r="DJ33">
        <v>0</v>
      </c>
      <c r="DK33">
        <v>0</v>
      </c>
      <c r="DL33">
        <v>0</v>
      </c>
      <c r="DN33" t="s">
        <v>148</v>
      </c>
      <c r="DO33" s="14"/>
      <c r="DP33" s="14"/>
      <c r="DQ33" s="14"/>
    </row>
    <row r="34" spans="1:121" x14ac:dyDescent="0.2">
      <c r="A34" s="15" t="s">
        <v>67</v>
      </c>
      <c r="B34" s="15"/>
      <c r="C34" s="16"/>
      <c r="D34" s="17"/>
      <c r="E34" t="s">
        <v>723</v>
      </c>
      <c r="F34" t="s">
        <v>395</v>
      </c>
      <c r="G34" t="s">
        <v>11</v>
      </c>
      <c r="H34" t="s">
        <v>399</v>
      </c>
      <c r="I34" t="s">
        <v>397</v>
      </c>
      <c r="J34" t="s">
        <v>73</v>
      </c>
      <c r="K34" t="s">
        <v>398</v>
      </c>
      <c r="L34" t="s">
        <v>73</v>
      </c>
      <c r="M34" t="s">
        <v>73</v>
      </c>
      <c r="N34" t="s">
        <v>73</v>
      </c>
      <c r="O34" t="s">
        <v>73</v>
      </c>
      <c r="P34" t="str">
        <f t="shared" si="0"/>
        <v>HFLH_AMP_VDDDCSDDR_MDX005_INTS_X_CA_X_X_X_X_</v>
      </c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t="s">
        <v>438</v>
      </c>
      <c r="AG34" s="16"/>
      <c r="AH34" s="16"/>
      <c r="AI34" s="16"/>
      <c r="AJ34" s="16"/>
      <c r="AK34" s="16"/>
      <c r="AL34" s="16"/>
      <c r="AM34" t="str">
        <f t="shared" ref="AM34:AM44" si="1">"HardIP_X_X_MD"&amp;RIGHT(H34,3)&amp;" NV"</f>
        <v>HardIP_X_X_MD005 NV</v>
      </c>
      <c r="AN34">
        <v>0.78</v>
      </c>
      <c r="AO34">
        <v>0.78</v>
      </c>
      <c r="AQ34">
        <v>0.78</v>
      </c>
      <c r="AR34">
        <v>0.78</v>
      </c>
      <c r="AT34">
        <v>0.78</v>
      </c>
      <c r="AU34">
        <v>0.78</v>
      </c>
      <c r="AW34">
        <v>0.78</v>
      </c>
      <c r="AX34">
        <v>0.78</v>
      </c>
      <c r="AZ34">
        <v>0.78</v>
      </c>
      <c r="BA34">
        <v>0.78</v>
      </c>
      <c r="BC34">
        <v>0.78</v>
      </c>
      <c r="BD34">
        <v>0.78</v>
      </c>
      <c r="BF34">
        <v>0.78</v>
      </c>
      <c r="BG34">
        <v>0.78</v>
      </c>
      <c r="BI34">
        <v>0.78</v>
      </c>
      <c r="BJ34">
        <v>0.78</v>
      </c>
      <c r="BL34">
        <v>0.76500000000000001</v>
      </c>
      <c r="BM34">
        <v>0.76500000000000001</v>
      </c>
      <c r="BO34">
        <v>0.72499999999999998</v>
      </c>
      <c r="BP34">
        <v>0.72499999999999998</v>
      </c>
      <c r="BR34">
        <v>0.76500000000000001</v>
      </c>
      <c r="BS34">
        <v>0.76500000000000001</v>
      </c>
      <c r="BU34">
        <v>0.76500000000000001</v>
      </c>
      <c r="BV34">
        <v>0.76500000000000001</v>
      </c>
      <c r="BX34">
        <v>1.32</v>
      </c>
      <c r="BY34">
        <v>1.32</v>
      </c>
      <c r="CA34">
        <v>1.06</v>
      </c>
      <c r="CB34">
        <v>1.06</v>
      </c>
      <c r="CD34">
        <v>0.76500000000000001</v>
      </c>
      <c r="CE34">
        <v>0.76500000000000001</v>
      </c>
      <c r="CG34">
        <v>0.76500000000000001</v>
      </c>
      <c r="CH34">
        <v>0.76500000000000001</v>
      </c>
      <c r="CJ34">
        <v>1.06</v>
      </c>
      <c r="CK34">
        <v>1.06</v>
      </c>
      <c r="CM34">
        <v>1.06</v>
      </c>
      <c r="CN34">
        <v>1.06</v>
      </c>
      <c r="CP34">
        <v>0.76500000000000001</v>
      </c>
      <c r="CQ34">
        <v>0.76500000000000001</v>
      </c>
      <c r="CS34">
        <v>1.06</v>
      </c>
      <c r="CT34">
        <v>1.06</v>
      </c>
      <c r="CV34">
        <v>0.76500000000000001</v>
      </c>
      <c r="CW34">
        <v>0.76500000000000001</v>
      </c>
      <c r="CY34">
        <v>1.06</v>
      </c>
      <c r="CZ34">
        <v>1.06</v>
      </c>
      <c r="DB34">
        <v>1.1000000000000001</v>
      </c>
      <c r="DC34">
        <v>0.55000000000000004</v>
      </c>
      <c r="DD34">
        <v>5.0000000000000001E-3</v>
      </c>
      <c r="DE34" t="s">
        <v>75</v>
      </c>
      <c r="DF34">
        <v>0.6</v>
      </c>
      <c r="DG34">
        <v>0.78</v>
      </c>
      <c r="DJ34">
        <v>0</v>
      </c>
      <c r="DK34">
        <v>0</v>
      </c>
      <c r="DL34">
        <v>0</v>
      </c>
      <c r="DN34" t="s">
        <v>148</v>
      </c>
      <c r="DO34" s="14"/>
      <c r="DP34" s="14"/>
      <c r="DQ34" s="14"/>
    </row>
    <row r="35" spans="1:121" x14ac:dyDescent="0.2">
      <c r="A35" s="15" t="s">
        <v>67</v>
      </c>
      <c r="B35" s="15"/>
      <c r="C35" s="16"/>
      <c r="D35" s="17"/>
      <c r="E35" t="s">
        <v>723</v>
      </c>
      <c r="F35" t="s">
        <v>395</v>
      </c>
      <c r="G35" t="s">
        <v>11</v>
      </c>
      <c r="H35" t="s">
        <v>400</v>
      </c>
      <c r="I35" t="s">
        <v>397</v>
      </c>
      <c r="J35" t="s">
        <v>73</v>
      </c>
      <c r="K35" t="s">
        <v>398</v>
      </c>
      <c r="L35" t="s">
        <v>73</v>
      </c>
      <c r="M35" t="s">
        <v>73</v>
      </c>
      <c r="N35" t="s">
        <v>73</v>
      </c>
      <c r="O35" t="s">
        <v>73</v>
      </c>
      <c r="P35" t="str">
        <f t="shared" si="0"/>
        <v>HFLH_AMP_VDDDCSDDR_MDX009_INTS_X_CA_X_X_X_X_</v>
      </c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t="s">
        <v>439</v>
      </c>
      <c r="AG35" s="16"/>
      <c r="AH35" s="16"/>
      <c r="AI35" s="16"/>
      <c r="AJ35" s="16"/>
      <c r="AK35" s="16"/>
      <c r="AL35" s="16"/>
      <c r="AM35" t="str">
        <f t="shared" si="1"/>
        <v>HardIP_X_X_MD009 NV</v>
      </c>
      <c r="AN35">
        <v>0.78</v>
      </c>
      <c r="AO35">
        <v>0.78</v>
      </c>
      <c r="AQ35">
        <v>0.78</v>
      </c>
      <c r="AR35">
        <v>0.78</v>
      </c>
      <c r="AT35">
        <v>0.78</v>
      </c>
      <c r="AU35">
        <v>0.78</v>
      </c>
      <c r="AW35">
        <v>0.78</v>
      </c>
      <c r="AX35">
        <v>0.78</v>
      </c>
      <c r="AZ35">
        <v>0.78</v>
      </c>
      <c r="BA35">
        <v>0.78</v>
      </c>
      <c r="BC35">
        <v>0.78</v>
      </c>
      <c r="BD35">
        <v>0.78</v>
      </c>
      <c r="BF35">
        <v>0.78</v>
      </c>
      <c r="BG35">
        <v>0.78</v>
      </c>
      <c r="BI35">
        <v>0.78</v>
      </c>
      <c r="BJ35">
        <v>0.78</v>
      </c>
      <c r="BL35">
        <v>0.76500000000000001</v>
      </c>
      <c r="BM35">
        <v>0.76500000000000001</v>
      </c>
      <c r="BO35">
        <v>0.72499999999999998</v>
      </c>
      <c r="BP35">
        <v>0.72499999999999998</v>
      </c>
      <c r="BR35">
        <v>0.76500000000000001</v>
      </c>
      <c r="BS35">
        <v>0.76500000000000001</v>
      </c>
      <c r="BU35">
        <v>0.76500000000000001</v>
      </c>
      <c r="BV35">
        <v>0.76500000000000001</v>
      </c>
      <c r="BX35">
        <v>1.32</v>
      </c>
      <c r="BY35">
        <v>1.32</v>
      </c>
      <c r="CA35">
        <v>1.06</v>
      </c>
      <c r="CB35">
        <v>1.06</v>
      </c>
      <c r="CD35">
        <v>0.76500000000000001</v>
      </c>
      <c r="CE35">
        <v>0.76500000000000001</v>
      </c>
      <c r="CG35">
        <v>0.76500000000000001</v>
      </c>
      <c r="CH35">
        <v>0.76500000000000001</v>
      </c>
      <c r="CJ35">
        <v>1.06</v>
      </c>
      <c r="CK35">
        <v>1.06</v>
      </c>
      <c r="CM35">
        <v>1.06</v>
      </c>
      <c r="CN35">
        <v>1.06</v>
      </c>
      <c r="CP35">
        <v>0.76500000000000001</v>
      </c>
      <c r="CQ35">
        <v>0.76500000000000001</v>
      </c>
      <c r="CS35">
        <v>1.06</v>
      </c>
      <c r="CT35">
        <v>1.06</v>
      </c>
      <c r="CV35">
        <v>0.76500000000000001</v>
      </c>
      <c r="CW35">
        <v>0.76500000000000001</v>
      </c>
      <c r="CY35">
        <v>1.06</v>
      </c>
      <c r="CZ35">
        <v>1.06</v>
      </c>
      <c r="DB35">
        <v>1.1000000000000001</v>
      </c>
      <c r="DC35">
        <v>0.75</v>
      </c>
      <c r="DD35">
        <v>5.0000000000000001E-3</v>
      </c>
      <c r="DE35" t="s">
        <v>75</v>
      </c>
      <c r="DF35">
        <v>0.65</v>
      </c>
      <c r="DG35">
        <v>0.78</v>
      </c>
      <c r="DJ35">
        <v>0</v>
      </c>
      <c r="DK35">
        <v>0</v>
      </c>
      <c r="DL35">
        <v>0</v>
      </c>
      <c r="DN35" t="s">
        <v>148</v>
      </c>
      <c r="DO35" s="14"/>
      <c r="DP35" s="14"/>
      <c r="DQ35" s="14"/>
    </row>
    <row r="36" spans="1:121" x14ac:dyDescent="0.2">
      <c r="A36" s="15" t="s">
        <v>67</v>
      </c>
      <c r="B36" s="15"/>
      <c r="C36" s="16"/>
      <c r="D36" s="17"/>
      <c r="E36" t="s">
        <v>723</v>
      </c>
      <c r="F36" t="s">
        <v>395</v>
      </c>
      <c r="G36" t="s">
        <v>11</v>
      </c>
      <c r="H36" t="s">
        <v>401</v>
      </c>
      <c r="I36" t="s">
        <v>397</v>
      </c>
      <c r="J36" t="s">
        <v>73</v>
      </c>
      <c r="K36" t="s">
        <v>398</v>
      </c>
      <c r="L36" t="s">
        <v>73</v>
      </c>
      <c r="M36" t="s">
        <v>73</v>
      </c>
      <c r="N36" t="s">
        <v>73</v>
      </c>
      <c r="O36" t="s">
        <v>73</v>
      </c>
      <c r="P36" t="str">
        <f t="shared" si="0"/>
        <v>HFLH_AMP_VDDDCSDDR_MDX00A_INTS_X_CA_X_X_X_X_</v>
      </c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t="s">
        <v>440</v>
      </c>
      <c r="AG36" s="16"/>
      <c r="AH36" s="16"/>
      <c r="AI36" s="16"/>
      <c r="AJ36" s="16"/>
      <c r="AK36" s="16"/>
      <c r="AL36" s="16"/>
      <c r="AM36" t="str">
        <f t="shared" si="1"/>
        <v>HardIP_X_X_MD00A NV</v>
      </c>
      <c r="AN36">
        <v>0.78</v>
      </c>
      <c r="AO36">
        <v>0.78</v>
      </c>
      <c r="AQ36">
        <v>0.78</v>
      </c>
      <c r="AR36">
        <v>0.78</v>
      </c>
      <c r="AT36">
        <v>0.78</v>
      </c>
      <c r="AU36">
        <v>0.78</v>
      </c>
      <c r="AW36">
        <v>0.78</v>
      </c>
      <c r="AX36">
        <v>0.78</v>
      </c>
      <c r="AZ36">
        <v>0.78</v>
      </c>
      <c r="BA36">
        <v>0.78</v>
      </c>
      <c r="BC36">
        <v>0.78</v>
      </c>
      <c r="BD36">
        <v>0.78</v>
      </c>
      <c r="BF36">
        <v>0.78</v>
      </c>
      <c r="BG36">
        <v>0.78</v>
      </c>
      <c r="BI36">
        <v>0.78</v>
      </c>
      <c r="BJ36">
        <v>0.78</v>
      </c>
      <c r="BL36">
        <v>0.76500000000000001</v>
      </c>
      <c r="BM36">
        <v>0.76500000000000001</v>
      </c>
      <c r="BO36">
        <v>0.72499999999999998</v>
      </c>
      <c r="BP36">
        <v>0.72499999999999998</v>
      </c>
      <c r="BR36">
        <v>0.76500000000000001</v>
      </c>
      <c r="BS36">
        <v>0.76500000000000001</v>
      </c>
      <c r="BU36">
        <v>0.76500000000000001</v>
      </c>
      <c r="BV36">
        <v>0.76500000000000001</v>
      </c>
      <c r="BX36">
        <v>1.32</v>
      </c>
      <c r="BY36">
        <v>1.32</v>
      </c>
      <c r="CA36">
        <v>1.06</v>
      </c>
      <c r="CB36">
        <v>1.06</v>
      </c>
      <c r="CD36">
        <v>0.76500000000000001</v>
      </c>
      <c r="CE36">
        <v>0.76500000000000001</v>
      </c>
      <c r="CG36">
        <v>0.76500000000000001</v>
      </c>
      <c r="CH36">
        <v>0.76500000000000001</v>
      </c>
      <c r="CJ36">
        <v>1.06</v>
      </c>
      <c r="CK36">
        <v>1.06</v>
      </c>
      <c r="CM36">
        <v>1.06</v>
      </c>
      <c r="CN36">
        <v>1.06</v>
      </c>
      <c r="CP36">
        <v>0.76500000000000001</v>
      </c>
      <c r="CQ36">
        <v>0.76500000000000001</v>
      </c>
      <c r="CS36">
        <v>1.06</v>
      </c>
      <c r="CT36">
        <v>1.06</v>
      </c>
      <c r="CV36">
        <v>0.76500000000000001</v>
      </c>
      <c r="CW36">
        <v>0.76500000000000001</v>
      </c>
      <c r="CY36">
        <v>1.06</v>
      </c>
      <c r="CZ36">
        <v>1.06</v>
      </c>
      <c r="DB36">
        <v>1.1000000000000001</v>
      </c>
      <c r="DC36">
        <v>0.8</v>
      </c>
      <c r="DD36">
        <v>5.0000000000000001E-3</v>
      </c>
      <c r="DE36" t="s">
        <v>75</v>
      </c>
      <c r="DF36">
        <v>0.7</v>
      </c>
      <c r="DG36">
        <v>0.78</v>
      </c>
      <c r="DJ36">
        <v>0</v>
      </c>
      <c r="DK36">
        <v>0</v>
      </c>
      <c r="DL36">
        <v>0</v>
      </c>
      <c r="DN36" t="s">
        <v>148</v>
      </c>
      <c r="DO36" s="14"/>
      <c r="DP36" s="14"/>
      <c r="DQ36" s="14"/>
    </row>
    <row r="37" spans="1:121" x14ac:dyDescent="0.2">
      <c r="A37" s="15" t="s">
        <v>67</v>
      </c>
      <c r="B37" s="15"/>
      <c r="C37" s="16"/>
      <c r="D37" s="17"/>
      <c r="E37" t="s">
        <v>723</v>
      </c>
      <c r="F37" t="s">
        <v>395</v>
      </c>
      <c r="G37" t="s">
        <v>11</v>
      </c>
      <c r="H37" t="s">
        <v>396</v>
      </c>
      <c r="I37" t="s">
        <v>397</v>
      </c>
      <c r="J37" t="s">
        <v>73</v>
      </c>
      <c r="K37" t="s">
        <v>402</v>
      </c>
      <c r="L37" t="s">
        <v>73</v>
      </c>
      <c r="M37" t="s">
        <v>73</v>
      </c>
      <c r="N37" t="s">
        <v>73</v>
      </c>
      <c r="O37" t="s">
        <v>73</v>
      </c>
      <c r="P37" t="str">
        <f t="shared" si="0"/>
        <v>HFLH_AMP_VDDDCSDDR_MDX001_INTS_X_DQW_X_X_X_X_</v>
      </c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t="s">
        <v>441</v>
      </c>
      <c r="AG37" s="16"/>
      <c r="AH37" s="16"/>
      <c r="AI37" s="16"/>
      <c r="AJ37" s="16"/>
      <c r="AK37" s="16"/>
      <c r="AL37" s="16"/>
      <c r="AM37" t="str">
        <f t="shared" si="1"/>
        <v>HardIP_X_X_MD001 NV</v>
      </c>
      <c r="AN37">
        <v>0.78</v>
      </c>
      <c r="AO37">
        <v>0.78</v>
      </c>
      <c r="AQ37">
        <v>0.78</v>
      </c>
      <c r="AR37">
        <v>0.78</v>
      </c>
      <c r="AT37">
        <v>0.78</v>
      </c>
      <c r="AU37">
        <v>0.78</v>
      </c>
      <c r="AW37">
        <v>0.78</v>
      </c>
      <c r="AX37">
        <v>0.78</v>
      </c>
      <c r="AZ37">
        <v>0.78</v>
      </c>
      <c r="BA37">
        <v>0.78</v>
      </c>
      <c r="BC37">
        <v>0.78</v>
      </c>
      <c r="BD37">
        <v>0.78</v>
      </c>
      <c r="BF37">
        <v>0.78</v>
      </c>
      <c r="BG37">
        <v>0.78</v>
      </c>
      <c r="BI37">
        <v>0.78</v>
      </c>
      <c r="BJ37">
        <v>0.78</v>
      </c>
      <c r="BL37">
        <v>0.76500000000000001</v>
      </c>
      <c r="BM37">
        <v>0.76500000000000001</v>
      </c>
      <c r="BO37">
        <v>0.72499999999999998</v>
      </c>
      <c r="BP37">
        <v>0.72499999999999998</v>
      </c>
      <c r="BR37">
        <v>0.76500000000000001</v>
      </c>
      <c r="BS37">
        <v>0.76500000000000001</v>
      </c>
      <c r="BU37">
        <v>0.76500000000000001</v>
      </c>
      <c r="BV37">
        <v>0.76500000000000001</v>
      </c>
      <c r="BX37">
        <v>1.32</v>
      </c>
      <c r="BY37">
        <v>1.32</v>
      </c>
      <c r="CA37">
        <v>1.06</v>
      </c>
      <c r="CB37">
        <v>1.06</v>
      </c>
      <c r="CD37">
        <v>0.76500000000000001</v>
      </c>
      <c r="CE37">
        <v>0.76500000000000001</v>
      </c>
      <c r="CG37">
        <v>0.76500000000000001</v>
      </c>
      <c r="CH37">
        <v>0.76500000000000001</v>
      </c>
      <c r="CJ37">
        <v>1.06</v>
      </c>
      <c r="CK37">
        <v>1.06</v>
      </c>
      <c r="CM37">
        <v>1.06</v>
      </c>
      <c r="CN37">
        <v>1.06</v>
      </c>
      <c r="CP37">
        <v>0.76500000000000001</v>
      </c>
      <c r="CQ37">
        <v>0.76500000000000001</v>
      </c>
      <c r="CS37">
        <v>1.06</v>
      </c>
      <c r="CT37">
        <v>1.06</v>
      </c>
      <c r="CV37">
        <v>0.76500000000000001</v>
      </c>
      <c r="CW37">
        <v>0.76500000000000001</v>
      </c>
      <c r="CY37">
        <v>1.06</v>
      </c>
      <c r="CZ37">
        <v>1.06</v>
      </c>
      <c r="DB37">
        <v>1.1000000000000001</v>
      </c>
      <c r="DC37">
        <v>0.35</v>
      </c>
      <c r="DD37">
        <v>5.0000000000000001E-3</v>
      </c>
      <c r="DE37" t="s">
        <v>75</v>
      </c>
      <c r="DF37">
        <v>0.45</v>
      </c>
      <c r="DG37">
        <v>0.78</v>
      </c>
      <c r="DJ37">
        <v>0</v>
      </c>
      <c r="DK37">
        <v>0</v>
      </c>
      <c r="DL37">
        <v>0</v>
      </c>
      <c r="DN37" t="s">
        <v>148</v>
      </c>
      <c r="DO37" s="14"/>
      <c r="DP37" s="14"/>
      <c r="DQ37" s="14"/>
    </row>
    <row r="38" spans="1:121" x14ac:dyDescent="0.2">
      <c r="A38" s="15" t="s">
        <v>67</v>
      </c>
      <c r="B38" s="15"/>
      <c r="C38" s="16"/>
      <c r="D38" s="17"/>
      <c r="E38" t="s">
        <v>723</v>
      </c>
      <c r="F38" t="s">
        <v>395</v>
      </c>
      <c r="G38" t="s">
        <v>11</v>
      </c>
      <c r="H38" t="s">
        <v>399</v>
      </c>
      <c r="I38" t="s">
        <v>397</v>
      </c>
      <c r="J38" t="s">
        <v>73</v>
      </c>
      <c r="K38" t="s">
        <v>402</v>
      </c>
      <c r="L38" t="s">
        <v>73</v>
      </c>
      <c r="M38" t="s">
        <v>73</v>
      </c>
      <c r="N38" t="s">
        <v>73</v>
      </c>
      <c r="O38" t="s">
        <v>73</v>
      </c>
      <c r="P38" t="str">
        <f t="shared" si="0"/>
        <v>HFLH_AMP_VDDDCSDDR_MDX005_INTS_X_DQW_X_X_X_X_</v>
      </c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t="s">
        <v>442</v>
      </c>
      <c r="AG38" s="16"/>
      <c r="AH38" s="16"/>
      <c r="AI38" s="16"/>
      <c r="AJ38" s="16"/>
      <c r="AK38" s="16"/>
      <c r="AL38" s="16"/>
      <c r="AM38" t="str">
        <f t="shared" si="1"/>
        <v>HardIP_X_X_MD005 NV</v>
      </c>
      <c r="AN38">
        <v>0.78</v>
      </c>
      <c r="AO38">
        <v>0.78</v>
      </c>
      <c r="AQ38">
        <v>0.78</v>
      </c>
      <c r="AR38">
        <v>0.78</v>
      </c>
      <c r="AT38">
        <v>0.78</v>
      </c>
      <c r="AU38">
        <v>0.78</v>
      </c>
      <c r="AW38">
        <v>0.78</v>
      </c>
      <c r="AX38">
        <v>0.78</v>
      </c>
      <c r="AZ38">
        <v>0.78</v>
      </c>
      <c r="BA38">
        <v>0.78</v>
      </c>
      <c r="BC38">
        <v>0.78</v>
      </c>
      <c r="BD38">
        <v>0.78</v>
      </c>
      <c r="BF38">
        <v>0.78</v>
      </c>
      <c r="BG38">
        <v>0.78</v>
      </c>
      <c r="BI38">
        <v>0.78</v>
      </c>
      <c r="BJ38">
        <v>0.78</v>
      </c>
      <c r="BL38">
        <v>0.76500000000000001</v>
      </c>
      <c r="BM38">
        <v>0.76500000000000001</v>
      </c>
      <c r="BO38">
        <v>0.72499999999999998</v>
      </c>
      <c r="BP38">
        <v>0.72499999999999998</v>
      </c>
      <c r="BR38">
        <v>0.76500000000000001</v>
      </c>
      <c r="BS38">
        <v>0.76500000000000001</v>
      </c>
      <c r="BU38">
        <v>0.76500000000000001</v>
      </c>
      <c r="BV38">
        <v>0.76500000000000001</v>
      </c>
      <c r="BX38">
        <v>1.32</v>
      </c>
      <c r="BY38">
        <v>1.32</v>
      </c>
      <c r="CA38">
        <v>1.06</v>
      </c>
      <c r="CB38">
        <v>1.06</v>
      </c>
      <c r="CD38">
        <v>0.76500000000000001</v>
      </c>
      <c r="CE38">
        <v>0.76500000000000001</v>
      </c>
      <c r="CG38">
        <v>0.76500000000000001</v>
      </c>
      <c r="CH38">
        <v>0.76500000000000001</v>
      </c>
      <c r="CJ38">
        <v>1.06</v>
      </c>
      <c r="CK38">
        <v>1.06</v>
      </c>
      <c r="CM38">
        <v>1.06</v>
      </c>
      <c r="CN38">
        <v>1.06</v>
      </c>
      <c r="CP38">
        <v>0.76500000000000001</v>
      </c>
      <c r="CQ38">
        <v>0.76500000000000001</v>
      </c>
      <c r="CS38">
        <v>1.06</v>
      </c>
      <c r="CT38">
        <v>1.06</v>
      </c>
      <c r="CV38">
        <v>0.76500000000000001</v>
      </c>
      <c r="CW38">
        <v>0.76500000000000001</v>
      </c>
      <c r="CY38">
        <v>1.06</v>
      </c>
      <c r="CZ38">
        <v>1.06</v>
      </c>
      <c r="DB38">
        <v>1.1000000000000001</v>
      </c>
      <c r="DC38">
        <v>0.55000000000000004</v>
      </c>
      <c r="DD38">
        <v>5.0000000000000001E-3</v>
      </c>
      <c r="DE38" t="s">
        <v>75</v>
      </c>
      <c r="DF38">
        <v>0.6</v>
      </c>
      <c r="DG38">
        <v>0.78</v>
      </c>
      <c r="DJ38">
        <v>0</v>
      </c>
      <c r="DK38">
        <v>0</v>
      </c>
      <c r="DL38">
        <v>0</v>
      </c>
      <c r="DN38" t="s">
        <v>148</v>
      </c>
      <c r="DO38" s="14"/>
      <c r="DP38" s="14"/>
      <c r="DQ38" s="14"/>
    </row>
    <row r="39" spans="1:121" x14ac:dyDescent="0.2">
      <c r="A39" s="15" t="s">
        <v>67</v>
      </c>
      <c r="B39" s="15"/>
      <c r="C39" s="16"/>
      <c r="D39" s="17"/>
      <c r="E39" t="s">
        <v>723</v>
      </c>
      <c r="F39" t="s">
        <v>395</v>
      </c>
      <c r="G39" t="s">
        <v>11</v>
      </c>
      <c r="H39" t="s">
        <v>400</v>
      </c>
      <c r="I39" t="s">
        <v>397</v>
      </c>
      <c r="J39" t="s">
        <v>73</v>
      </c>
      <c r="K39" t="s">
        <v>402</v>
      </c>
      <c r="L39" t="s">
        <v>73</v>
      </c>
      <c r="M39" t="s">
        <v>73</v>
      </c>
      <c r="N39" t="s">
        <v>73</v>
      </c>
      <c r="O39" t="s">
        <v>73</v>
      </c>
      <c r="P39" t="str">
        <f t="shared" si="0"/>
        <v>HFLH_AMP_VDDDCSDDR_MDX009_INTS_X_DQW_X_X_X_X_</v>
      </c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t="s">
        <v>443</v>
      </c>
      <c r="AG39" s="16"/>
      <c r="AH39" s="16"/>
      <c r="AI39" s="16"/>
      <c r="AJ39" s="16"/>
      <c r="AK39" s="16"/>
      <c r="AL39" s="16"/>
      <c r="AM39" t="str">
        <f t="shared" si="1"/>
        <v>HardIP_X_X_MD009 NV</v>
      </c>
      <c r="AN39">
        <v>0.78</v>
      </c>
      <c r="AO39">
        <v>0.78</v>
      </c>
      <c r="AQ39">
        <v>0.78</v>
      </c>
      <c r="AR39">
        <v>0.78</v>
      </c>
      <c r="AT39">
        <v>0.78</v>
      </c>
      <c r="AU39">
        <v>0.78</v>
      </c>
      <c r="AW39">
        <v>0.78</v>
      </c>
      <c r="AX39">
        <v>0.78</v>
      </c>
      <c r="AZ39">
        <v>0.78</v>
      </c>
      <c r="BA39">
        <v>0.78</v>
      </c>
      <c r="BC39">
        <v>0.78</v>
      </c>
      <c r="BD39">
        <v>0.78</v>
      </c>
      <c r="BF39">
        <v>0.78</v>
      </c>
      <c r="BG39">
        <v>0.78</v>
      </c>
      <c r="BI39">
        <v>0.78</v>
      </c>
      <c r="BJ39">
        <v>0.78</v>
      </c>
      <c r="BL39">
        <v>0.76500000000000001</v>
      </c>
      <c r="BM39">
        <v>0.76500000000000001</v>
      </c>
      <c r="BO39">
        <v>0.72499999999999998</v>
      </c>
      <c r="BP39">
        <v>0.72499999999999998</v>
      </c>
      <c r="BR39">
        <v>0.76500000000000001</v>
      </c>
      <c r="BS39">
        <v>0.76500000000000001</v>
      </c>
      <c r="BU39">
        <v>0.76500000000000001</v>
      </c>
      <c r="BV39">
        <v>0.76500000000000001</v>
      </c>
      <c r="BX39">
        <v>1.32</v>
      </c>
      <c r="BY39">
        <v>1.32</v>
      </c>
      <c r="CA39">
        <v>1.06</v>
      </c>
      <c r="CB39">
        <v>1.06</v>
      </c>
      <c r="CD39">
        <v>0.76500000000000001</v>
      </c>
      <c r="CE39">
        <v>0.76500000000000001</v>
      </c>
      <c r="CG39">
        <v>0.76500000000000001</v>
      </c>
      <c r="CH39">
        <v>0.76500000000000001</v>
      </c>
      <c r="CJ39">
        <v>1.06</v>
      </c>
      <c r="CK39">
        <v>1.06</v>
      </c>
      <c r="CM39">
        <v>1.06</v>
      </c>
      <c r="CN39">
        <v>1.06</v>
      </c>
      <c r="CP39">
        <v>0.76500000000000001</v>
      </c>
      <c r="CQ39">
        <v>0.76500000000000001</v>
      </c>
      <c r="CS39">
        <v>1.06</v>
      </c>
      <c r="CT39">
        <v>1.06</v>
      </c>
      <c r="CV39">
        <v>0.76500000000000001</v>
      </c>
      <c r="CW39">
        <v>0.76500000000000001</v>
      </c>
      <c r="CY39">
        <v>1.06</v>
      </c>
      <c r="CZ39">
        <v>1.06</v>
      </c>
      <c r="DB39">
        <v>1.1000000000000001</v>
      </c>
      <c r="DC39">
        <v>0.75</v>
      </c>
      <c r="DD39">
        <v>5.0000000000000001E-3</v>
      </c>
      <c r="DE39" t="s">
        <v>75</v>
      </c>
      <c r="DF39">
        <v>0.65</v>
      </c>
      <c r="DG39">
        <v>0.78</v>
      </c>
      <c r="DJ39">
        <v>0</v>
      </c>
      <c r="DK39">
        <v>0</v>
      </c>
      <c r="DL39">
        <v>0</v>
      </c>
      <c r="DN39" t="s">
        <v>148</v>
      </c>
      <c r="DO39" s="14"/>
      <c r="DP39" s="14"/>
      <c r="DQ39" s="14"/>
    </row>
    <row r="40" spans="1:121" x14ac:dyDescent="0.2">
      <c r="A40" s="15" t="s">
        <v>67</v>
      </c>
      <c r="B40" s="15"/>
      <c r="C40" s="16"/>
      <c r="D40" s="17"/>
      <c r="E40" t="s">
        <v>723</v>
      </c>
      <c r="F40" t="s">
        <v>395</v>
      </c>
      <c r="G40" t="s">
        <v>11</v>
      </c>
      <c r="H40" t="s">
        <v>401</v>
      </c>
      <c r="I40" t="s">
        <v>397</v>
      </c>
      <c r="J40" t="s">
        <v>73</v>
      </c>
      <c r="K40" t="s">
        <v>402</v>
      </c>
      <c r="L40" t="s">
        <v>73</v>
      </c>
      <c r="M40" t="s">
        <v>73</v>
      </c>
      <c r="N40" t="s">
        <v>73</v>
      </c>
      <c r="O40" t="s">
        <v>73</v>
      </c>
      <c r="P40" t="str">
        <f t="shared" si="0"/>
        <v>HFLH_AMP_VDDDCSDDR_MDX00A_INTS_X_DQW_X_X_X_X_</v>
      </c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t="s">
        <v>444</v>
      </c>
      <c r="AG40" s="16"/>
      <c r="AH40" s="16"/>
      <c r="AI40" s="16"/>
      <c r="AJ40" s="16"/>
      <c r="AK40" s="16"/>
      <c r="AL40" s="16"/>
      <c r="AM40" t="str">
        <f t="shared" si="1"/>
        <v>HardIP_X_X_MD00A NV</v>
      </c>
      <c r="AN40">
        <v>0.78</v>
      </c>
      <c r="AO40">
        <v>0.78</v>
      </c>
      <c r="AQ40">
        <v>0.78</v>
      </c>
      <c r="AR40">
        <v>0.78</v>
      </c>
      <c r="AT40">
        <v>0.78</v>
      </c>
      <c r="AU40">
        <v>0.78</v>
      </c>
      <c r="AW40">
        <v>0.78</v>
      </c>
      <c r="AX40">
        <v>0.78</v>
      </c>
      <c r="AZ40">
        <v>0.78</v>
      </c>
      <c r="BA40">
        <v>0.78</v>
      </c>
      <c r="BC40">
        <v>0.78</v>
      </c>
      <c r="BD40">
        <v>0.78</v>
      </c>
      <c r="BF40">
        <v>0.78</v>
      </c>
      <c r="BG40">
        <v>0.78</v>
      </c>
      <c r="BI40">
        <v>0.78</v>
      </c>
      <c r="BJ40">
        <v>0.78</v>
      </c>
      <c r="BL40">
        <v>0.76500000000000001</v>
      </c>
      <c r="BM40">
        <v>0.76500000000000001</v>
      </c>
      <c r="BO40">
        <v>0.72499999999999998</v>
      </c>
      <c r="BP40">
        <v>0.72499999999999998</v>
      </c>
      <c r="BR40">
        <v>0.76500000000000001</v>
      </c>
      <c r="BS40">
        <v>0.76500000000000001</v>
      </c>
      <c r="BU40">
        <v>0.76500000000000001</v>
      </c>
      <c r="BV40">
        <v>0.76500000000000001</v>
      </c>
      <c r="BX40">
        <v>1.32</v>
      </c>
      <c r="BY40">
        <v>1.32</v>
      </c>
      <c r="CA40">
        <v>1.06</v>
      </c>
      <c r="CB40">
        <v>1.06</v>
      </c>
      <c r="CD40">
        <v>0.76500000000000001</v>
      </c>
      <c r="CE40">
        <v>0.76500000000000001</v>
      </c>
      <c r="CG40">
        <v>0.76500000000000001</v>
      </c>
      <c r="CH40">
        <v>0.76500000000000001</v>
      </c>
      <c r="CJ40">
        <v>1.06</v>
      </c>
      <c r="CK40">
        <v>1.06</v>
      </c>
      <c r="CM40">
        <v>1.06</v>
      </c>
      <c r="CN40">
        <v>1.06</v>
      </c>
      <c r="CP40">
        <v>0.76500000000000001</v>
      </c>
      <c r="CQ40">
        <v>0.76500000000000001</v>
      </c>
      <c r="CS40">
        <v>1.06</v>
      </c>
      <c r="CT40">
        <v>1.06</v>
      </c>
      <c r="CV40">
        <v>0.76500000000000001</v>
      </c>
      <c r="CW40">
        <v>0.76500000000000001</v>
      </c>
      <c r="CY40">
        <v>1.06</v>
      </c>
      <c r="CZ40">
        <v>1.06</v>
      </c>
      <c r="DB40">
        <v>1.1000000000000001</v>
      </c>
      <c r="DC40">
        <v>0.8</v>
      </c>
      <c r="DD40">
        <v>5.0000000000000001E-3</v>
      </c>
      <c r="DE40" t="s">
        <v>75</v>
      </c>
      <c r="DF40">
        <v>0.7</v>
      </c>
      <c r="DG40">
        <v>0.78</v>
      </c>
      <c r="DJ40">
        <v>0</v>
      </c>
      <c r="DK40">
        <v>0</v>
      </c>
      <c r="DL40">
        <v>0</v>
      </c>
      <c r="DN40" t="s">
        <v>148</v>
      </c>
      <c r="DO40" s="14"/>
      <c r="DP40" s="14"/>
      <c r="DQ40" s="14"/>
    </row>
    <row r="41" spans="1:121" x14ac:dyDescent="0.2">
      <c r="A41" s="15" t="s">
        <v>67</v>
      </c>
      <c r="B41" s="15"/>
      <c r="C41" s="16"/>
      <c r="D41" s="17"/>
      <c r="E41" t="s">
        <v>723</v>
      </c>
      <c r="F41" t="s">
        <v>395</v>
      </c>
      <c r="G41" t="s">
        <v>11</v>
      </c>
      <c r="H41" t="s">
        <v>396</v>
      </c>
      <c r="I41" t="s">
        <v>397</v>
      </c>
      <c r="J41" t="s">
        <v>73</v>
      </c>
      <c r="K41" t="s">
        <v>403</v>
      </c>
      <c r="L41" t="s">
        <v>73</v>
      </c>
      <c r="M41" t="s">
        <v>73</v>
      </c>
      <c r="N41" t="s">
        <v>73</v>
      </c>
      <c r="O41" t="s">
        <v>73</v>
      </c>
      <c r="P41" t="str">
        <f t="shared" si="0"/>
        <v>HFLH_AMP_VDDDCSDDR_MDX001_INTS_X_DQR_X_X_X_X_</v>
      </c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t="s">
        <v>445</v>
      </c>
      <c r="AG41" s="16"/>
      <c r="AH41" s="16"/>
      <c r="AI41" s="16"/>
      <c r="AJ41" s="16"/>
      <c r="AK41" s="16"/>
      <c r="AL41" s="16"/>
      <c r="AM41" t="str">
        <f t="shared" si="1"/>
        <v>HardIP_X_X_MD001 NV</v>
      </c>
      <c r="AN41">
        <v>0.78</v>
      </c>
      <c r="AO41">
        <v>0.78</v>
      </c>
      <c r="AQ41">
        <v>0.78</v>
      </c>
      <c r="AR41">
        <v>0.78</v>
      </c>
      <c r="AT41">
        <v>0.78</v>
      </c>
      <c r="AU41">
        <v>0.78</v>
      </c>
      <c r="AW41">
        <v>0.78</v>
      </c>
      <c r="AX41">
        <v>0.78</v>
      </c>
      <c r="AZ41">
        <v>0.78</v>
      </c>
      <c r="BA41">
        <v>0.78</v>
      </c>
      <c r="BC41">
        <v>0.78</v>
      </c>
      <c r="BD41">
        <v>0.78</v>
      </c>
      <c r="BF41">
        <v>0.78</v>
      </c>
      <c r="BG41">
        <v>0.78</v>
      </c>
      <c r="BI41">
        <v>0.78</v>
      </c>
      <c r="BJ41">
        <v>0.78</v>
      </c>
      <c r="BL41">
        <v>0.76500000000000001</v>
      </c>
      <c r="BM41">
        <v>0.76500000000000001</v>
      </c>
      <c r="BO41">
        <v>0.72499999999999998</v>
      </c>
      <c r="BP41">
        <v>0.72499999999999998</v>
      </c>
      <c r="BR41">
        <v>0.76500000000000001</v>
      </c>
      <c r="BS41">
        <v>0.76500000000000001</v>
      </c>
      <c r="BU41">
        <v>0.76500000000000001</v>
      </c>
      <c r="BV41">
        <v>0.76500000000000001</v>
      </c>
      <c r="BX41">
        <v>1.32</v>
      </c>
      <c r="BY41">
        <v>1.32</v>
      </c>
      <c r="CA41">
        <v>1.06</v>
      </c>
      <c r="CB41">
        <v>1.06</v>
      </c>
      <c r="CD41">
        <v>0.76500000000000001</v>
      </c>
      <c r="CE41">
        <v>0.76500000000000001</v>
      </c>
      <c r="CG41">
        <v>0.76500000000000001</v>
      </c>
      <c r="CH41">
        <v>0.76500000000000001</v>
      </c>
      <c r="CJ41">
        <v>1.06</v>
      </c>
      <c r="CK41">
        <v>1.06</v>
      </c>
      <c r="CM41">
        <v>1.06</v>
      </c>
      <c r="CN41">
        <v>1.06</v>
      </c>
      <c r="CP41">
        <v>0.76500000000000001</v>
      </c>
      <c r="CQ41">
        <v>0.76500000000000001</v>
      </c>
      <c r="CS41">
        <v>1.06</v>
      </c>
      <c r="CT41">
        <v>1.06</v>
      </c>
      <c r="CV41">
        <v>0.76500000000000001</v>
      </c>
      <c r="CW41">
        <v>0.76500000000000001</v>
      </c>
      <c r="CY41">
        <v>1.06</v>
      </c>
      <c r="CZ41">
        <v>1.06</v>
      </c>
      <c r="DB41">
        <v>1.1000000000000001</v>
      </c>
      <c r="DC41">
        <v>0.35</v>
      </c>
      <c r="DD41">
        <v>5.0000000000000001E-3</v>
      </c>
      <c r="DE41" t="s">
        <v>75</v>
      </c>
      <c r="DF41">
        <v>0.45</v>
      </c>
      <c r="DG41">
        <v>0.78</v>
      </c>
      <c r="DJ41">
        <v>0</v>
      </c>
      <c r="DK41">
        <v>0</v>
      </c>
      <c r="DL41">
        <v>0</v>
      </c>
      <c r="DN41" t="s">
        <v>148</v>
      </c>
      <c r="DO41" s="14"/>
      <c r="DP41" s="14"/>
      <c r="DQ41" s="14"/>
    </row>
    <row r="42" spans="1:121" x14ac:dyDescent="0.2">
      <c r="A42" s="15" t="s">
        <v>67</v>
      </c>
      <c r="B42" s="15"/>
      <c r="C42" s="16"/>
      <c r="D42" s="17"/>
      <c r="E42" t="s">
        <v>723</v>
      </c>
      <c r="F42" t="s">
        <v>395</v>
      </c>
      <c r="G42" t="s">
        <v>11</v>
      </c>
      <c r="H42" t="s">
        <v>399</v>
      </c>
      <c r="I42" t="s">
        <v>397</v>
      </c>
      <c r="J42" t="s">
        <v>73</v>
      </c>
      <c r="K42" t="s">
        <v>403</v>
      </c>
      <c r="L42" t="s">
        <v>73</v>
      </c>
      <c r="M42" t="s">
        <v>73</v>
      </c>
      <c r="N42" t="s">
        <v>73</v>
      </c>
      <c r="O42" t="s">
        <v>73</v>
      </c>
      <c r="P42" t="str">
        <f t="shared" si="0"/>
        <v>HFLH_AMP_VDDDCSDDR_MDX005_INTS_X_DQR_X_X_X_X_</v>
      </c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t="s">
        <v>446</v>
      </c>
      <c r="AG42" s="16"/>
      <c r="AH42" s="16"/>
      <c r="AI42" s="16"/>
      <c r="AJ42" s="16"/>
      <c r="AK42" s="16"/>
      <c r="AL42" s="16"/>
      <c r="AM42" t="str">
        <f t="shared" si="1"/>
        <v>HardIP_X_X_MD005 NV</v>
      </c>
      <c r="AN42">
        <v>0.78</v>
      </c>
      <c r="AO42">
        <v>0.78</v>
      </c>
      <c r="AQ42">
        <v>0.78</v>
      </c>
      <c r="AR42">
        <v>0.78</v>
      </c>
      <c r="AT42">
        <v>0.78</v>
      </c>
      <c r="AU42">
        <v>0.78</v>
      </c>
      <c r="AW42">
        <v>0.78</v>
      </c>
      <c r="AX42">
        <v>0.78</v>
      </c>
      <c r="AZ42">
        <v>0.78</v>
      </c>
      <c r="BA42">
        <v>0.78</v>
      </c>
      <c r="BC42">
        <v>0.78</v>
      </c>
      <c r="BD42">
        <v>0.78</v>
      </c>
      <c r="BF42">
        <v>0.78</v>
      </c>
      <c r="BG42">
        <v>0.78</v>
      </c>
      <c r="BI42">
        <v>0.78</v>
      </c>
      <c r="BJ42">
        <v>0.78</v>
      </c>
      <c r="BL42">
        <v>0.76500000000000001</v>
      </c>
      <c r="BM42">
        <v>0.76500000000000001</v>
      </c>
      <c r="BO42">
        <v>0.72499999999999998</v>
      </c>
      <c r="BP42">
        <v>0.72499999999999998</v>
      </c>
      <c r="BR42">
        <v>0.76500000000000001</v>
      </c>
      <c r="BS42">
        <v>0.76500000000000001</v>
      </c>
      <c r="BU42">
        <v>0.76500000000000001</v>
      </c>
      <c r="BV42">
        <v>0.76500000000000001</v>
      </c>
      <c r="BX42">
        <v>1.32</v>
      </c>
      <c r="BY42">
        <v>1.32</v>
      </c>
      <c r="CA42">
        <v>1.06</v>
      </c>
      <c r="CB42">
        <v>1.06</v>
      </c>
      <c r="CD42">
        <v>0.76500000000000001</v>
      </c>
      <c r="CE42">
        <v>0.76500000000000001</v>
      </c>
      <c r="CG42">
        <v>0.76500000000000001</v>
      </c>
      <c r="CH42">
        <v>0.76500000000000001</v>
      </c>
      <c r="CJ42">
        <v>1.06</v>
      </c>
      <c r="CK42">
        <v>1.06</v>
      </c>
      <c r="CM42">
        <v>1.06</v>
      </c>
      <c r="CN42">
        <v>1.06</v>
      </c>
      <c r="CP42">
        <v>0.76500000000000001</v>
      </c>
      <c r="CQ42">
        <v>0.76500000000000001</v>
      </c>
      <c r="CS42">
        <v>1.06</v>
      </c>
      <c r="CT42">
        <v>1.06</v>
      </c>
      <c r="CV42">
        <v>0.76500000000000001</v>
      </c>
      <c r="CW42">
        <v>0.76500000000000001</v>
      </c>
      <c r="CY42">
        <v>1.06</v>
      </c>
      <c r="CZ42">
        <v>1.06</v>
      </c>
      <c r="DB42">
        <v>1.1000000000000001</v>
      </c>
      <c r="DC42">
        <v>0.55000000000000004</v>
      </c>
      <c r="DD42">
        <v>5.0000000000000001E-3</v>
      </c>
      <c r="DE42" t="s">
        <v>75</v>
      </c>
      <c r="DF42">
        <v>0.6</v>
      </c>
      <c r="DG42">
        <v>0.78</v>
      </c>
      <c r="DJ42">
        <v>0</v>
      </c>
      <c r="DK42">
        <v>0</v>
      </c>
      <c r="DL42">
        <v>0</v>
      </c>
      <c r="DN42" t="s">
        <v>148</v>
      </c>
      <c r="DO42" s="14"/>
      <c r="DP42" s="14"/>
      <c r="DQ42" s="14"/>
    </row>
    <row r="43" spans="1:121" x14ac:dyDescent="0.2">
      <c r="A43" s="15" t="s">
        <v>67</v>
      </c>
      <c r="B43" s="15"/>
      <c r="C43" s="16"/>
      <c r="D43" s="17"/>
      <c r="E43" t="s">
        <v>723</v>
      </c>
      <c r="F43" t="s">
        <v>395</v>
      </c>
      <c r="G43" t="s">
        <v>11</v>
      </c>
      <c r="H43" t="s">
        <v>400</v>
      </c>
      <c r="I43" t="s">
        <v>397</v>
      </c>
      <c r="J43" t="s">
        <v>73</v>
      </c>
      <c r="K43" t="s">
        <v>403</v>
      </c>
      <c r="L43" t="s">
        <v>73</v>
      </c>
      <c r="M43" t="s">
        <v>73</v>
      </c>
      <c r="N43" t="s">
        <v>73</v>
      </c>
      <c r="O43" t="s">
        <v>73</v>
      </c>
      <c r="P43" t="str">
        <f t="shared" si="0"/>
        <v>HFLH_AMP_VDDDCSDDR_MDX009_INTS_X_DQR_X_X_X_X_</v>
      </c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t="s">
        <v>447</v>
      </c>
      <c r="AG43" s="16"/>
      <c r="AH43" s="16"/>
      <c r="AI43" s="16"/>
      <c r="AJ43" s="16"/>
      <c r="AK43" s="16"/>
      <c r="AL43" s="16"/>
      <c r="AM43" t="str">
        <f t="shared" si="1"/>
        <v>HardIP_X_X_MD009 NV</v>
      </c>
      <c r="AN43">
        <v>0.78</v>
      </c>
      <c r="AO43">
        <v>0.78</v>
      </c>
      <c r="AQ43">
        <v>0.78</v>
      </c>
      <c r="AR43">
        <v>0.78</v>
      </c>
      <c r="AT43">
        <v>0.78</v>
      </c>
      <c r="AU43">
        <v>0.78</v>
      </c>
      <c r="AW43">
        <v>0.78</v>
      </c>
      <c r="AX43">
        <v>0.78</v>
      </c>
      <c r="AZ43">
        <v>0.78</v>
      </c>
      <c r="BA43">
        <v>0.78</v>
      </c>
      <c r="BC43">
        <v>0.78</v>
      </c>
      <c r="BD43">
        <v>0.78</v>
      </c>
      <c r="BF43">
        <v>0.78</v>
      </c>
      <c r="BG43">
        <v>0.78</v>
      </c>
      <c r="BI43">
        <v>0.78</v>
      </c>
      <c r="BJ43">
        <v>0.78</v>
      </c>
      <c r="BL43">
        <v>0.76500000000000001</v>
      </c>
      <c r="BM43">
        <v>0.76500000000000001</v>
      </c>
      <c r="BO43">
        <v>0.72499999999999998</v>
      </c>
      <c r="BP43">
        <v>0.72499999999999998</v>
      </c>
      <c r="BR43">
        <v>0.76500000000000001</v>
      </c>
      <c r="BS43">
        <v>0.76500000000000001</v>
      </c>
      <c r="BU43">
        <v>0.76500000000000001</v>
      </c>
      <c r="BV43">
        <v>0.76500000000000001</v>
      </c>
      <c r="BX43">
        <v>1.32</v>
      </c>
      <c r="BY43">
        <v>1.32</v>
      </c>
      <c r="CA43">
        <v>1.06</v>
      </c>
      <c r="CB43">
        <v>1.06</v>
      </c>
      <c r="CD43">
        <v>0.76500000000000001</v>
      </c>
      <c r="CE43">
        <v>0.76500000000000001</v>
      </c>
      <c r="CG43">
        <v>0.76500000000000001</v>
      </c>
      <c r="CH43">
        <v>0.76500000000000001</v>
      </c>
      <c r="CJ43">
        <v>1.06</v>
      </c>
      <c r="CK43">
        <v>1.06</v>
      </c>
      <c r="CM43">
        <v>1.06</v>
      </c>
      <c r="CN43">
        <v>1.06</v>
      </c>
      <c r="CP43">
        <v>0.76500000000000001</v>
      </c>
      <c r="CQ43">
        <v>0.76500000000000001</v>
      </c>
      <c r="CS43">
        <v>1.06</v>
      </c>
      <c r="CT43">
        <v>1.06</v>
      </c>
      <c r="CV43">
        <v>0.76500000000000001</v>
      </c>
      <c r="CW43">
        <v>0.76500000000000001</v>
      </c>
      <c r="CY43">
        <v>1.06</v>
      </c>
      <c r="CZ43">
        <v>1.06</v>
      </c>
      <c r="DB43">
        <v>1.1000000000000001</v>
      </c>
      <c r="DC43">
        <v>0.75</v>
      </c>
      <c r="DD43">
        <v>5.0000000000000001E-3</v>
      </c>
      <c r="DE43" t="s">
        <v>75</v>
      </c>
      <c r="DF43">
        <v>0.65</v>
      </c>
      <c r="DG43">
        <v>0.78</v>
      </c>
      <c r="DJ43">
        <v>0</v>
      </c>
      <c r="DK43">
        <v>0</v>
      </c>
      <c r="DL43">
        <v>0</v>
      </c>
      <c r="DN43" t="s">
        <v>148</v>
      </c>
      <c r="DO43" s="14"/>
      <c r="DP43" s="14"/>
      <c r="DQ43" s="14"/>
    </row>
    <row r="44" spans="1:121" x14ac:dyDescent="0.2">
      <c r="A44" s="15" t="s">
        <v>67</v>
      </c>
      <c r="B44" s="15"/>
      <c r="C44" s="16"/>
      <c r="D44" s="17"/>
      <c r="E44" t="s">
        <v>723</v>
      </c>
      <c r="F44" t="s">
        <v>395</v>
      </c>
      <c r="G44" t="s">
        <v>11</v>
      </c>
      <c r="H44" t="s">
        <v>401</v>
      </c>
      <c r="I44" t="s">
        <v>397</v>
      </c>
      <c r="J44" t="s">
        <v>73</v>
      </c>
      <c r="K44" t="s">
        <v>403</v>
      </c>
      <c r="L44" t="s">
        <v>73</v>
      </c>
      <c r="M44" t="s">
        <v>73</v>
      </c>
      <c r="N44" t="s">
        <v>73</v>
      </c>
      <c r="O44" t="s">
        <v>73</v>
      </c>
      <c r="P44" t="str">
        <f t="shared" si="0"/>
        <v>HFLH_AMP_VDDDCSDDR_MDX00A_INTS_X_DQR_X_X_X_X_</v>
      </c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t="s">
        <v>448</v>
      </c>
      <c r="AG44" s="16"/>
      <c r="AH44" s="16"/>
      <c r="AI44" s="16"/>
      <c r="AJ44" s="16"/>
      <c r="AK44" s="16"/>
      <c r="AL44" s="16"/>
      <c r="AM44" t="str">
        <f t="shared" si="1"/>
        <v>HardIP_X_X_MD00A NV</v>
      </c>
      <c r="AN44">
        <v>0.78</v>
      </c>
      <c r="AO44">
        <v>0.78</v>
      </c>
      <c r="AQ44">
        <v>0.78</v>
      </c>
      <c r="AR44">
        <v>0.78</v>
      </c>
      <c r="AT44">
        <v>0.78</v>
      </c>
      <c r="AU44">
        <v>0.78</v>
      </c>
      <c r="AW44">
        <v>0.78</v>
      </c>
      <c r="AX44">
        <v>0.78</v>
      </c>
      <c r="AZ44">
        <v>0.78</v>
      </c>
      <c r="BA44">
        <v>0.78</v>
      </c>
      <c r="BC44">
        <v>0.78</v>
      </c>
      <c r="BD44">
        <v>0.78</v>
      </c>
      <c r="BF44">
        <v>0.78</v>
      </c>
      <c r="BG44">
        <v>0.78</v>
      </c>
      <c r="BI44">
        <v>0.78</v>
      </c>
      <c r="BJ44">
        <v>0.78</v>
      </c>
      <c r="BL44">
        <v>0.76500000000000001</v>
      </c>
      <c r="BM44">
        <v>0.76500000000000001</v>
      </c>
      <c r="BO44">
        <v>0.72499999999999998</v>
      </c>
      <c r="BP44">
        <v>0.72499999999999998</v>
      </c>
      <c r="BR44">
        <v>0.76500000000000001</v>
      </c>
      <c r="BS44">
        <v>0.76500000000000001</v>
      </c>
      <c r="BU44">
        <v>0.76500000000000001</v>
      </c>
      <c r="BV44">
        <v>0.76500000000000001</v>
      </c>
      <c r="BX44">
        <v>1.32</v>
      </c>
      <c r="BY44">
        <v>1.32</v>
      </c>
      <c r="CA44">
        <v>1.06</v>
      </c>
      <c r="CB44">
        <v>1.06</v>
      </c>
      <c r="CD44">
        <v>0.76500000000000001</v>
      </c>
      <c r="CE44">
        <v>0.76500000000000001</v>
      </c>
      <c r="CG44">
        <v>0.76500000000000001</v>
      </c>
      <c r="CH44">
        <v>0.76500000000000001</v>
      </c>
      <c r="CJ44">
        <v>1.06</v>
      </c>
      <c r="CK44">
        <v>1.06</v>
      </c>
      <c r="CM44">
        <v>1.06</v>
      </c>
      <c r="CN44">
        <v>1.06</v>
      </c>
      <c r="CP44">
        <v>0.76500000000000001</v>
      </c>
      <c r="CQ44">
        <v>0.76500000000000001</v>
      </c>
      <c r="CS44">
        <v>1.06</v>
      </c>
      <c r="CT44">
        <v>1.06</v>
      </c>
      <c r="CV44">
        <v>0.76500000000000001</v>
      </c>
      <c r="CW44">
        <v>0.76500000000000001</v>
      </c>
      <c r="CY44">
        <v>1.06</v>
      </c>
      <c r="CZ44">
        <v>1.06</v>
      </c>
      <c r="DB44">
        <v>1.1000000000000001</v>
      </c>
      <c r="DC44">
        <v>0.8</v>
      </c>
      <c r="DD44">
        <v>5.0000000000000001E-3</v>
      </c>
      <c r="DE44" t="s">
        <v>75</v>
      </c>
      <c r="DF44">
        <v>0.7</v>
      </c>
      <c r="DG44">
        <v>0.78</v>
      </c>
      <c r="DJ44">
        <v>0</v>
      </c>
      <c r="DK44">
        <v>0</v>
      </c>
      <c r="DL44">
        <v>0</v>
      </c>
      <c r="DN44" t="s">
        <v>148</v>
      </c>
      <c r="DO44" s="14"/>
      <c r="DP44" s="14"/>
      <c r="DQ44" s="14"/>
    </row>
  </sheetData>
  <autoFilter ref="A2:DQ44" xr:uid="{383456BC-C2D4-7845-949C-E5772C7F0AAF}"/>
  <conditionalFormatting sqref="P1:P2">
    <cfRule type="duplicateValues" dxfId="6" priority="108"/>
    <cfRule type="duplicateValues" dxfId="5" priority="109"/>
    <cfRule type="duplicateValues" dxfId="4" priority="110"/>
  </conditionalFormatting>
  <conditionalFormatting sqref="P3:P44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Version</vt:lpstr>
      <vt:lpstr>STR_DFTL</vt:lpstr>
      <vt:lpstr>HIP_DFTL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Bakshi</dc:creator>
  <cp:lastModifiedBy>Alan Lee</cp:lastModifiedBy>
  <dcterms:created xsi:type="dcterms:W3CDTF">2025-03-13T20:23:28Z</dcterms:created>
  <dcterms:modified xsi:type="dcterms:W3CDTF">2025-11-06T00:56:06Z</dcterms:modified>
</cp:coreProperties>
</file>