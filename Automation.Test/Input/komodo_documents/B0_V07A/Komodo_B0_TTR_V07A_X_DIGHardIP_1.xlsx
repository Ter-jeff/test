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B0_V07A/"/>
    </mc:Choice>
  </mc:AlternateContent>
  <xr:revisionPtr revIDLastSave="0" documentId="13_ncr:1_{554C3794-5967-CC46-A72D-01294E09D31D}" xr6:coauthVersionLast="47" xr6:coauthVersionMax="47" xr10:uidLastSave="{00000000-0000-0000-0000-000000000000}"/>
  <bookViews>
    <workbookView xWindow="880" yWindow="760" windowWidth="33680" windowHeight="21580" activeTab="10" xr2:uid="{00000000-000D-0000-FFFF-FFFF00000000}"/>
  </bookViews>
  <sheets>
    <sheet name="TTR Summary" sheetId="1" r:id="rId1"/>
    <sheet name="DAPS" sheetId="43" r:id="rId2"/>
    <sheet name="CLKMON" sheetId="58" r:id="rId3"/>
    <sheet name="PWRDET " sheetId="57" r:id="rId4"/>
    <sheet name="DSGVTHSENSOR" sheetId="47" r:id="rId5"/>
    <sheet name="IVDM" sheetId="52" r:id="rId6"/>
    <sheet name="ABSMIN" sheetId="46" r:id="rId7"/>
    <sheet name="LLPSMN" sheetId="45" r:id="rId8"/>
    <sheet name="NCKM" sheetId="44" r:id="rId9"/>
    <sheet name="NPMS" sheetId="42" r:id="rId10"/>
    <sheet name="DSGRINGS" sheetId="51" r:id="rId11"/>
    <sheet name="dsg_pm" sheetId="5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7" l="1"/>
  <c r="C69" i="1"/>
  <c r="O3" i="59"/>
  <c r="L3" i="59"/>
  <c r="I3" i="59"/>
  <c r="F3" i="59"/>
  <c r="O2" i="57"/>
  <c r="L2" i="57"/>
  <c r="I2" i="57"/>
  <c r="F2" i="58"/>
  <c r="F2" i="57"/>
  <c r="O2" i="52"/>
  <c r="L2" i="52"/>
  <c r="E54" i="1" s="1"/>
  <c r="Q54" i="1" s="1"/>
  <c r="I2" i="52"/>
  <c r="F2" i="52"/>
  <c r="O2" i="51"/>
  <c r="L2" i="51"/>
  <c r="I2" i="51"/>
  <c r="F2" i="51"/>
  <c r="C53" i="1" s="1"/>
  <c r="O53" i="1" s="1"/>
  <c r="E51" i="1"/>
  <c r="Q51" i="1" s="1"/>
  <c r="C51" i="1"/>
  <c r="F50" i="1"/>
  <c r="R50" i="1" s="1"/>
  <c r="O2" i="47"/>
  <c r="L2" i="47"/>
  <c r="I2" i="47"/>
  <c r="F2" i="47"/>
  <c r="O2" i="46"/>
  <c r="L2" i="46"/>
  <c r="I2" i="46"/>
  <c r="F2" i="46"/>
  <c r="C48" i="1" s="1"/>
  <c r="O48" i="1" s="1"/>
  <c r="O2" i="45"/>
  <c r="L2" i="45"/>
  <c r="I2" i="45"/>
  <c r="D47" i="1" s="1"/>
  <c r="P47" i="1" s="1"/>
  <c r="F2" i="45"/>
  <c r="O2" i="44"/>
  <c r="F46" i="1" s="1"/>
  <c r="R46" i="1" s="1"/>
  <c r="L2" i="44"/>
  <c r="I2" i="44"/>
  <c r="F2" i="44"/>
  <c r="O2" i="43"/>
  <c r="L2" i="43"/>
  <c r="I2" i="43"/>
  <c r="D45" i="1" s="1"/>
  <c r="P45" i="1" s="1"/>
  <c r="F2" i="43"/>
  <c r="C45" i="1" s="1"/>
  <c r="O2" i="42"/>
  <c r="L2" i="42"/>
  <c r="I2" i="42"/>
  <c r="F2" i="42"/>
  <c r="C44" i="1" s="1"/>
  <c r="O44" i="1" s="1"/>
  <c r="C42" i="1"/>
  <c r="E39" i="1"/>
  <c r="Q39" i="1" s="1"/>
  <c r="C39" i="1"/>
  <c r="F38" i="1"/>
  <c r="R38" i="1" s="1"/>
  <c r="C37" i="1"/>
  <c r="D35" i="1"/>
  <c r="P35" i="1" s="1"/>
  <c r="F34" i="1"/>
  <c r="R34" i="1" s="1"/>
  <c r="C33" i="1"/>
  <c r="E31" i="1"/>
  <c r="Q31" i="1" s="1"/>
  <c r="D30" i="1"/>
  <c r="P30" i="1" s="1"/>
  <c r="C30" i="1"/>
  <c r="E27" i="1"/>
  <c r="Q27" i="1" s="1"/>
  <c r="D27" i="1"/>
  <c r="P27" i="1" s="1"/>
  <c r="C27" i="1"/>
  <c r="F26" i="1"/>
  <c r="R26" i="1" s="1"/>
  <c r="C25" i="1"/>
  <c r="E23" i="1"/>
  <c r="Q23" i="1" s="1"/>
  <c r="D23" i="1"/>
  <c r="P23" i="1" s="1"/>
  <c r="F22" i="1"/>
  <c r="R22" i="1" s="1"/>
  <c r="D21" i="1"/>
  <c r="P21" i="1" s="1"/>
  <c r="C21" i="1"/>
  <c r="F20" i="1"/>
  <c r="R20" i="1" s="1"/>
  <c r="E19" i="1"/>
  <c r="Q19" i="1" s="1"/>
  <c r="D18" i="1"/>
  <c r="P18" i="1" s="1"/>
  <c r="C18" i="1"/>
  <c r="F16" i="1"/>
  <c r="R16" i="1" s="1"/>
  <c r="E15" i="1"/>
  <c r="Q15" i="1" s="1"/>
  <c r="D15" i="1"/>
  <c r="P15" i="1" s="1"/>
  <c r="C15" i="1"/>
  <c r="F14" i="1"/>
  <c r="R14" i="1" s="1"/>
  <c r="D14" i="1"/>
  <c r="P14" i="1" s="1"/>
  <c r="C13" i="1"/>
  <c r="C12" i="1"/>
  <c r="F11" i="1"/>
  <c r="R11" i="1" s="1"/>
  <c r="E11" i="1"/>
  <c r="Q11" i="1" s="1"/>
  <c r="D11" i="1"/>
  <c r="P11" i="1" s="1"/>
  <c r="F10" i="1"/>
  <c r="R10" i="1" s="1"/>
  <c r="D10" i="1"/>
  <c r="P10" i="1" s="1"/>
  <c r="D9" i="1"/>
  <c r="P9" i="1" s="1"/>
  <c r="C9" i="1"/>
  <c r="F8" i="1"/>
  <c r="R8" i="1" s="1"/>
  <c r="E7" i="1"/>
  <c r="Q7" i="1" s="1"/>
  <c r="D7" i="1"/>
  <c r="P7" i="1" s="1"/>
  <c r="F6" i="1"/>
  <c r="R6" i="1" s="1"/>
  <c r="D6" i="1"/>
  <c r="P6" i="1" s="1"/>
  <c r="C6" i="1"/>
  <c r="F4" i="1"/>
  <c r="M60" i="1"/>
  <c r="L60" i="1"/>
  <c r="K60" i="1"/>
  <c r="J60" i="1"/>
  <c r="I60" i="1"/>
  <c r="F58" i="1"/>
  <c r="R58" i="1" s="1"/>
  <c r="E58" i="1"/>
  <c r="Q58" i="1" s="1"/>
  <c r="D58" i="1"/>
  <c r="P58" i="1" s="1"/>
  <c r="C58" i="1"/>
  <c r="O58" i="1" s="1"/>
  <c r="F57" i="1"/>
  <c r="E57" i="1"/>
  <c r="Q57" i="1" s="1"/>
  <c r="D57" i="1"/>
  <c r="P57" i="1" s="1"/>
  <c r="C57" i="1"/>
  <c r="O57" i="1" s="1"/>
  <c r="F56" i="1"/>
  <c r="R56" i="1" s="1"/>
  <c r="E56" i="1"/>
  <c r="Q56" i="1" s="1"/>
  <c r="D56" i="1"/>
  <c r="P56" i="1" s="1"/>
  <c r="C56" i="1"/>
  <c r="O56" i="1" s="1"/>
  <c r="F55" i="1"/>
  <c r="R55" i="1" s="1"/>
  <c r="E55" i="1"/>
  <c r="Q55" i="1" s="1"/>
  <c r="D55" i="1"/>
  <c r="P55" i="1" s="1"/>
  <c r="C55" i="1"/>
  <c r="G55" i="1" s="1"/>
  <c r="F54" i="1"/>
  <c r="R54" i="1" s="1"/>
  <c r="D54" i="1"/>
  <c r="P54" i="1" s="1"/>
  <c r="C54" i="1"/>
  <c r="O54" i="1" s="1"/>
  <c r="F53" i="1"/>
  <c r="E53" i="1"/>
  <c r="Q53" i="1" s="1"/>
  <c r="D53" i="1"/>
  <c r="P53" i="1" s="1"/>
  <c r="F52" i="1"/>
  <c r="R52" i="1" s="1"/>
  <c r="E52" i="1"/>
  <c r="Q52" i="1" s="1"/>
  <c r="D52" i="1"/>
  <c r="P52" i="1" s="1"/>
  <c r="C52" i="1"/>
  <c r="O52" i="1" s="1"/>
  <c r="F51" i="1"/>
  <c r="R51" i="1" s="1"/>
  <c r="D51" i="1"/>
  <c r="P51" i="1" s="1"/>
  <c r="E50" i="1"/>
  <c r="Q50" i="1" s="1"/>
  <c r="D50" i="1"/>
  <c r="P50" i="1" s="1"/>
  <c r="C50" i="1"/>
  <c r="O50" i="1" s="1"/>
  <c r="F49" i="1"/>
  <c r="E49" i="1"/>
  <c r="Q49" i="1" s="1"/>
  <c r="D49" i="1"/>
  <c r="P49" i="1" s="1"/>
  <c r="C49" i="1"/>
  <c r="O49" i="1" s="1"/>
  <c r="F48" i="1"/>
  <c r="R48" i="1" s="1"/>
  <c r="E48" i="1"/>
  <c r="Q48" i="1" s="1"/>
  <c r="D48" i="1"/>
  <c r="P48" i="1" s="1"/>
  <c r="F47" i="1"/>
  <c r="R47" i="1" s="1"/>
  <c r="E47" i="1"/>
  <c r="Q47" i="1" s="1"/>
  <c r="C47" i="1"/>
  <c r="O47" i="1" s="1"/>
  <c r="Q46" i="1"/>
  <c r="P46" i="1"/>
  <c r="E46" i="1"/>
  <c r="D46" i="1"/>
  <c r="C46" i="1"/>
  <c r="O46" i="1" s="1"/>
  <c r="F45" i="1"/>
  <c r="R45" i="1" s="1"/>
  <c r="E45" i="1"/>
  <c r="Q45" i="1" s="1"/>
  <c r="F44" i="1"/>
  <c r="R44" i="1" s="1"/>
  <c r="E44" i="1"/>
  <c r="Q44" i="1" s="1"/>
  <c r="D44" i="1"/>
  <c r="P44" i="1" s="1"/>
  <c r="F43" i="1"/>
  <c r="R43" i="1" s="1"/>
  <c r="E43" i="1"/>
  <c r="Q43" i="1" s="1"/>
  <c r="D43" i="1"/>
  <c r="P43" i="1" s="1"/>
  <c r="C43" i="1"/>
  <c r="G43" i="1" s="1"/>
  <c r="F42" i="1"/>
  <c r="R42" i="1" s="1"/>
  <c r="E42" i="1"/>
  <c r="Q42" i="1" s="1"/>
  <c r="D42" i="1"/>
  <c r="P42" i="1" s="1"/>
  <c r="F41" i="1"/>
  <c r="E41" i="1"/>
  <c r="Q41" i="1" s="1"/>
  <c r="D41" i="1"/>
  <c r="P41" i="1" s="1"/>
  <c r="C41" i="1"/>
  <c r="O41" i="1" s="1"/>
  <c r="F40" i="1"/>
  <c r="R40" i="1" s="1"/>
  <c r="E40" i="1"/>
  <c r="Q40" i="1" s="1"/>
  <c r="D40" i="1"/>
  <c r="P40" i="1" s="1"/>
  <c r="C40" i="1"/>
  <c r="O40" i="1" s="1"/>
  <c r="F39" i="1"/>
  <c r="R39" i="1" s="1"/>
  <c r="D39" i="1"/>
  <c r="P39" i="1" s="1"/>
  <c r="E38" i="1"/>
  <c r="Q38" i="1" s="1"/>
  <c r="D38" i="1"/>
  <c r="P38" i="1" s="1"/>
  <c r="C38" i="1"/>
  <c r="O38" i="1" s="1"/>
  <c r="F37" i="1"/>
  <c r="R37" i="1" s="1"/>
  <c r="E37" i="1"/>
  <c r="Q37" i="1" s="1"/>
  <c r="D37" i="1"/>
  <c r="P37" i="1" s="1"/>
  <c r="F36" i="1"/>
  <c r="R36" i="1" s="1"/>
  <c r="E36" i="1"/>
  <c r="Q36" i="1" s="1"/>
  <c r="D36" i="1"/>
  <c r="P36" i="1" s="1"/>
  <c r="C36" i="1"/>
  <c r="O36" i="1" s="1"/>
  <c r="F35" i="1"/>
  <c r="R35" i="1" s="1"/>
  <c r="E35" i="1"/>
  <c r="Q35" i="1" s="1"/>
  <c r="C35" i="1"/>
  <c r="O35" i="1" s="1"/>
  <c r="E34" i="1"/>
  <c r="Q34" i="1" s="1"/>
  <c r="D34" i="1"/>
  <c r="P34" i="1" s="1"/>
  <c r="C34" i="1"/>
  <c r="O34" i="1" s="1"/>
  <c r="F33" i="1"/>
  <c r="R33" i="1" s="1"/>
  <c r="E33" i="1"/>
  <c r="Q33" i="1" s="1"/>
  <c r="D33" i="1"/>
  <c r="P33" i="1" s="1"/>
  <c r="F32" i="1"/>
  <c r="R32" i="1" s="1"/>
  <c r="E32" i="1"/>
  <c r="Q32" i="1" s="1"/>
  <c r="D32" i="1"/>
  <c r="P32" i="1" s="1"/>
  <c r="C32" i="1"/>
  <c r="O32" i="1" s="1"/>
  <c r="F31" i="1"/>
  <c r="R31" i="1" s="1"/>
  <c r="D31" i="1"/>
  <c r="P31" i="1" s="1"/>
  <c r="C31" i="1"/>
  <c r="G31" i="1" s="1"/>
  <c r="F30" i="1"/>
  <c r="R30" i="1" s="1"/>
  <c r="E30" i="1"/>
  <c r="Q30" i="1" s="1"/>
  <c r="F29" i="1"/>
  <c r="E29" i="1"/>
  <c r="Q29" i="1" s="1"/>
  <c r="D29" i="1"/>
  <c r="P29" i="1" s="1"/>
  <c r="C29" i="1"/>
  <c r="O29" i="1" s="1"/>
  <c r="F28" i="1"/>
  <c r="R28" i="1" s="1"/>
  <c r="E28" i="1"/>
  <c r="Q28" i="1" s="1"/>
  <c r="D28" i="1"/>
  <c r="P28" i="1" s="1"/>
  <c r="C28" i="1"/>
  <c r="O28" i="1" s="1"/>
  <c r="F27" i="1"/>
  <c r="R27" i="1" s="1"/>
  <c r="E26" i="1"/>
  <c r="Q26" i="1" s="1"/>
  <c r="D26" i="1"/>
  <c r="P26" i="1" s="1"/>
  <c r="C26" i="1"/>
  <c r="O26" i="1" s="1"/>
  <c r="F25" i="1"/>
  <c r="R25" i="1" s="1"/>
  <c r="E25" i="1"/>
  <c r="Q25" i="1" s="1"/>
  <c r="D25" i="1"/>
  <c r="P25" i="1" s="1"/>
  <c r="F24" i="1"/>
  <c r="R24" i="1" s="1"/>
  <c r="E24" i="1"/>
  <c r="Q24" i="1" s="1"/>
  <c r="D24" i="1"/>
  <c r="P24" i="1" s="1"/>
  <c r="C24" i="1"/>
  <c r="O24" i="1" s="1"/>
  <c r="F23" i="1"/>
  <c r="R23" i="1" s="1"/>
  <c r="C23" i="1"/>
  <c r="O23" i="1" s="1"/>
  <c r="E22" i="1"/>
  <c r="Q22" i="1" s="1"/>
  <c r="D22" i="1"/>
  <c r="P22" i="1" s="1"/>
  <c r="C22" i="1"/>
  <c r="O22" i="1" s="1"/>
  <c r="F21" i="1"/>
  <c r="R21" i="1" s="1"/>
  <c r="E21" i="1"/>
  <c r="Q21" i="1" s="1"/>
  <c r="E20" i="1"/>
  <c r="Q20" i="1" s="1"/>
  <c r="D20" i="1"/>
  <c r="P20" i="1" s="1"/>
  <c r="C20" i="1"/>
  <c r="O20" i="1" s="1"/>
  <c r="F19" i="1"/>
  <c r="R19" i="1" s="1"/>
  <c r="D19" i="1"/>
  <c r="P19" i="1" s="1"/>
  <c r="C19" i="1"/>
  <c r="G19" i="1" s="1"/>
  <c r="F18" i="1"/>
  <c r="R18" i="1" s="1"/>
  <c r="E18" i="1"/>
  <c r="Q18" i="1" s="1"/>
  <c r="F17" i="1"/>
  <c r="E17" i="1"/>
  <c r="Q17" i="1" s="1"/>
  <c r="D17" i="1"/>
  <c r="P17" i="1" s="1"/>
  <c r="C17" i="1"/>
  <c r="O17" i="1" s="1"/>
  <c r="E16" i="1"/>
  <c r="Q16" i="1" s="1"/>
  <c r="D16" i="1"/>
  <c r="P16" i="1" s="1"/>
  <c r="C16" i="1"/>
  <c r="O16" i="1" s="1"/>
  <c r="F15" i="1"/>
  <c r="R15" i="1" s="1"/>
  <c r="E14" i="1"/>
  <c r="Q14" i="1" s="1"/>
  <c r="C14" i="1"/>
  <c r="O14" i="1" s="1"/>
  <c r="F13" i="1"/>
  <c r="R13" i="1" s="1"/>
  <c r="E13" i="1"/>
  <c r="Q13" i="1" s="1"/>
  <c r="D13" i="1"/>
  <c r="P13" i="1" s="1"/>
  <c r="F12" i="1"/>
  <c r="R12" i="1" s="1"/>
  <c r="E12" i="1"/>
  <c r="Q12" i="1" s="1"/>
  <c r="D12" i="1"/>
  <c r="P12" i="1" s="1"/>
  <c r="C11" i="1"/>
  <c r="O11" i="1" s="1"/>
  <c r="E10" i="1"/>
  <c r="Q10" i="1" s="1"/>
  <c r="C10" i="1"/>
  <c r="O10" i="1" s="1"/>
  <c r="F9" i="1"/>
  <c r="R9" i="1" s="1"/>
  <c r="E9" i="1"/>
  <c r="Q9" i="1" s="1"/>
  <c r="E8" i="1"/>
  <c r="Q8" i="1" s="1"/>
  <c r="D8" i="1"/>
  <c r="P8" i="1" s="1"/>
  <c r="C8" i="1"/>
  <c r="O8" i="1" s="1"/>
  <c r="F7" i="1"/>
  <c r="R7" i="1" s="1"/>
  <c r="C7" i="1"/>
  <c r="G7" i="1" s="1"/>
  <c r="E6" i="1"/>
  <c r="Q6" i="1" s="1"/>
  <c r="F5" i="1"/>
  <c r="R5" i="1" s="1"/>
  <c r="E5" i="1"/>
  <c r="Q5" i="1" s="1"/>
  <c r="D5" i="1"/>
  <c r="P5" i="1" s="1"/>
  <c r="C5" i="1"/>
  <c r="O5" i="1" s="1"/>
  <c r="E4" i="1"/>
  <c r="Q4" i="1" s="1"/>
  <c r="D4" i="1"/>
  <c r="P4" i="1" s="1"/>
  <c r="C4" i="1"/>
  <c r="O4" i="1" s="1"/>
  <c r="G49" i="1" l="1"/>
  <c r="G53" i="1"/>
  <c r="G57" i="1"/>
  <c r="O55" i="1"/>
  <c r="G29" i="1"/>
  <c r="O19" i="1"/>
  <c r="O7" i="1"/>
  <c r="G17" i="1"/>
  <c r="O31" i="1"/>
  <c r="G41" i="1"/>
  <c r="O43" i="1"/>
  <c r="G11" i="1"/>
  <c r="O6" i="1"/>
  <c r="G6" i="1"/>
  <c r="G51" i="1"/>
  <c r="O51" i="1"/>
  <c r="O21" i="1"/>
  <c r="G21" i="1"/>
  <c r="O42" i="1"/>
  <c r="G42" i="1"/>
  <c r="O9" i="1"/>
  <c r="G9" i="1"/>
  <c r="G27" i="1"/>
  <c r="O27" i="1"/>
  <c r="G39" i="1"/>
  <c r="O39" i="1"/>
  <c r="G13" i="1"/>
  <c r="O13" i="1"/>
  <c r="G25" i="1"/>
  <c r="O25" i="1"/>
  <c r="G37" i="1"/>
  <c r="O37" i="1"/>
  <c r="G15" i="1"/>
  <c r="O15" i="1"/>
  <c r="G45" i="1"/>
  <c r="O45" i="1"/>
  <c r="O12" i="1"/>
  <c r="G12" i="1"/>
  <c r="O33" i="1"/>
  <c r="G33" i="1"/>
  <c r="G47" i="1"/>
  <c r="O18" i="1"/>
  <c r="G18" i="1"/>
  <c r="O30" i="1"/>
  <c r="G30" i="1"/>
  <c r="G23" i="1"/>
  <c r="G35" i="1"/>
  <c r="F60" i="1"/>
  <c r="R60" i="1" s="1"/>
  <c r="R4" i="1"/>
  <c r="G5" i="1"/>
  <c r="G10" i="1"/>
  <c r="G14" i="1"/>
  <c r="G22" i="1"/>
  <c r="G26" i="1"/>
  <c r="G34" i="1"/>
  <c r="G38" i="1"/>
  <c r="G46" i="1"/>
  <c r="G50" i="1"/>
  <c r="G54" i="1"/>
  <c r="G58" i="1"/>
  <c r="C60" i="1"/>
  <c r="O60" i="1" s="1"/>
  <c r="G4" i="1"/>
  <c r="G8" i="1"/>
  <c r="G16" i="1"/>
  <c r="G20" i="1"/>
  <c r="G24" i="1"/>
  <c r="G28" i="1"/>
  <c r="G32" i="1"/>
  <c r="G36" i="1"/>
  <c r="G40" i="1"/>
  <c r="G44" i="1"/>
  <c r="G48" i="1"/>
  <c r="G52" i="1"/>
  <c r="G56" i="1"/>
  <c r="D60" i="1"/>
  <c r="P60" i="1" s="1"/>
  <c r="R17" i="1"/>
  <c r="R29" i="1"/>
  <c r="R41" i="1"/>
  <c r="R49" i="1"/>
  <c r="R53" i="1"/>
  <c r="R57" i="1"/>
  <c r="E60" i="1"/>
  <c r="Q60" i="1" s="1"/>
  <c r="G60" i="1" l="1"/>
</calcChain>
</file>

<file path=xl/sharedStrings.xml><?xml version="1.0" encoding="utf-8"?>
<sst xmlns="http://schemas.openxmlformats.org/spreadsheetml/2006/main" count="939" uniqueCount="346">
  <si>
    <t>Single-Site</t>
  </si>
  <si>
    <t>Multi-Site</t>
  </si>
  <si>
    <t>PTE</t>
  </si>
  <si>
    <t>IP</t>
  </si>
  <si>
    <t>CP1 TT (s)</t>
  </si>
  <si>
    <t>CP2 TT (s)</t>
  </si>
  <si>
    <t>FT1 TT (s)</t>
  </si>
  <si>
    <t>FT2 TT (s)</t>
  </si>
  <si>
    <t>Total (s)</t>
  </si>
  <si>
    <t>CP1</t>
  </si>
  <si>
    <t>CP2</t>
  </si>
  <si>
    <t>FT1</t>
  </si>
  <si>
    <t>FT2</t>
  </si>
  <si>
    <t>IO_JTAG</t>
  </si>
  <si>
    <t>ADCDFT</t>
  </si>
  <si>
    <t>ADCDFT_TRIM</t>
  </si>
  <si>
    <t>MTRICTS</t>
  </si>
  <si>
    <t>NTSE</t>
  </si>
  <si>
    <t>NTSR</t>
  </si>
  <si>
    <t>ADCDFT_RETRIM</t>
  </si>
  <si>
    <t>MISC</t>
  </si>
  <si>
    <t>FRO</t>
  </si>
  <si>
    <t>CPLL</t>
  </si>
  <si>
    <t>ADCLK</t>
  </si>
  <si>
    <t>LAPLL</t>
  </si>
  <si>
    <t>LAPLL_1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</si>
  <si>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</si>
  <si>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</si>
  <si>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</si>
  <si>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</si>
  <si>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</si>
  <si>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</si>
  <si>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</si>
  <si>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</si>
  <si>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</t>
  </si>
  <si>
    <t>CIODPPLL</t>
  </si>
  <si>
    <t>LPDPDPPLL</t>
  </si>
  <si>
    <t>LPDDRPLL</t>
  </si>
  <si>
    <t>HSCSAROSC</t>
  </si>
  <si>
    <t>ULPPLL</t>
  </si>
  <si>
    <t>FLPPLL</t>
  </si>
  <si>
    <t>SEPF2M</t>
  </si>
  <si>
    <t>SEPVMC</t>
  </si>
  <si>
    <t>MIDBIASLDO</t>
  </si>
  <si>
    <t>VMADC</t>
  </si>
  <si>
    <t>ACIOPHY</t>
  </si>
  <si>
    <t>ACIPHY</t>
  </si>
  <si>
    <t>LPDPTX</t>
  </si>
  <si>
    <t>PCIE5</t>
  </si>
  <si>
    <t>NTSX</t>
  </si>
  <si>
    <t>PCIEREFBUF</t>
  </si>
  <si>
    <t>EUSB</t>
  </si>
  <si>
    <t>AMP_TRIM</t>
  </si>
  <si>
    <t>NPMS</t>
  </si>
  <si>
    <t>DAPS</t>
  </si>
  <si>
    <t>NCKM</t>
  </si>
  <si>
    <t>LLPSMN</t>
  </si>
  <si>
    <t>ABSMIN</t>
  </si>
  <si>
    <t>DSGVTHSENSOR</t>
  </si>
  <si>
    <t>PWRDET</t>
  </si>
  <si>
    <t>CLKMON</t>
  </si>
  <si>
    <t>AMP</t>
  </si>
  <si>
    <t>DSGRINGS</t>
  </si>
  <si>
    <t>IVDM</t>
  </si>
  <si>
    <t>AMP_CREATE_OVERLAY</t>
  </si>
  <si>
    <t>AMP_CLEAR_OVERLAY</t>
  </si>
  <si>
    <t>DSGVTHSENSER</t>
  </si>
  <si>
    <t>DRAM</t>
  </si>
  <si>
    <t>Total:</t>
  </si>
  <si>
    <t>Proposal for TTR</t>
  </si>
  <si>
    <t>Total (ms)</t>
  </si>
  <si>
    <t>CP1 (ms)</t>
  </si>
  <si>
    <t>CP2 (ms)</t>
  </si>
  <si>
    <t>FT1 (ms)</t>
  </si>
  <si>
    <t>FT2 (ms)</t>
  </si>
  <si>
    <t>Category</t>
  </si>
  <si>
    <t>SubBlock</t>
  </si>
  <si>
    <t>Pattern</t>
  </si>
  <si>
    <t>HIP_FailRun</t>
  </si>
  <si>
    <t>LV</t>
  </si>
  <si>
    <t>NV</t>
  </si>
  <si>
    <t>HV</t>
  </si>
  <si>
    <t>Prod CP1</t>
  </si>
  <si>
    <t>Prod CP2</t>
  </si>
  <si>
    <t>Prod FT1</t>
  </si>
  <si>
    <t>Prod FT2</t>
  </si>
  <si>
    <t>Mon</t>
  </si>
  <si>
    <t>T0Tx</t>
  </si>
  <si>
    <t>RMA Room</t>
  </si>
  <si>
    <t>RMA Hot</t>
  </si>
  <si>
    <t>OTHER</t>
  </si>
  <si>
    <t>NPMST3</t>
  </si>
  <si>
    <t>PP_KMDA0_S_FULP_AN_NPMS_FRQ_JTG_COD_ALLFRV_SI_NPMS_T3</t>
  </si>
  <si>
    <t>NPMST4</t>
  </si>
  <si>
    <t>PP_KMDA0_S_FULP_AN_NPMS_FRQ_JTG_COD_ALLFRV_SI_NPMS_T4</t>
  </si>
  <si>
    <t>MNNPMST5</t>
  </si>
  <si>
    <t>MN_KMDA0_S_FULP_AN_NPMS_FRQ_JTG_COD_ALLFRV_SI_NPMS_T5</t>
  </si>
  <si>
    <t>MNNPMST3</t>
  </si>
  <si>
    <t>MN_KMDA0_S_FULP_AN_NPMS_FRQ_JTG_COD_ALLFRV_SI_NPMS_T3</t>
  </si>
  <si>
    <t>MNNPMST4</t>
  </si>
  <si>
    <t>MN_KMDA0_S_FULP_AN_NPMS_FRQ_JTG_COD_ALLFRV_SI_NPMS_T4</t>
  </si>
  <si>
    <t>MEGAPP1</t>
  </si>
  <si>
    <t>PP_KMDA0_C_FULP_AN_DAPS_DLL_JTG_COD_ALLFRV_SI_MEGA_PP1</t>
  </si>
  <si>
    <t>MEGAPP2</t>
  </si>
  <si>
    <t>PP_KMDA0_C_FULP_AN_DAPS_DLL_JTG_COD_ALLFRV_SI_MEGA_PP2</t>
  </si>
  <si>
    <t>MEGAPP3</t>
  </si>
  <si>
    <t>PP_KMDA0_C_FULP_AN_DAPS_DLL_JTG_COD_ALLFRV_SI_MEGA_PP3</t>
  </si>
  <si>
    <t>MEGAPP4</t>
  </si>
  <si>
    <t>PP_KMDA0_C_FULP_AN_DAPS_DLL_JTG_COD_ALLFRV_SI_MEGA_PP4</t>
  </si>
  <si>
    <t>MEGAPP5</t>
  </si>
  <si>
    <t>PP_KMDA0_C_FULP_AN_DAPS_DLL_JTG_COD_ALLFRV_SI_MEGA_PP5</t>
  </si>
  <si>
    <t>MEGAPP6</t>
  </si>
  <si>
    <t>PP_KMDA0_C_FULP_AN_DAPS_DLL_JTG_COD_ALLFRV_SI_MEGA_PP6</t>
  </si>
  <si>
    <t>MEGAPP7</t>
  </si>
  <si>
    <t>PP_KMDA0_C_FULP_AN_DAPS_DLL_JTG_COD_ALLFRV_SI_MEGA_PP7</t>
  </si>
  <si>
    <t>MEGAPP8</t>
  </si>
  <si>
    <t>PP_KMDA0_C_FULP_AN_DAPS_DLL_JTG_COD_ALLFRV_SI_MEGA_PP8</t>
  </si>
  <si>
    <t>SYSPP1</t>
  </si>
  <si>
    <t>PP_KMDA0_C_FULP_AN_DAPS_DLL_JTG_COD_ALLFRV_SI_SYS_PP1</t>
  </si>
  <si>
    <t>SYSPP2</t>
  </si>
  <si>
    <t>PP_KMDA0_C_FULP_AN_DAPS_DLL_JTG_COD_ALLFRV_SI_SYS_PP2</t>
  </si>
  <si>
    <t>MNDCMTESTTS1P1</t>
  </si>
  <si>
    <t>MN_KMDA0_S_FULP_AN_NPR0_DLL_JTG_COD_ALLFRV_SI_DCMTEST_TS1P1</t>
  </si>
  <si>
    <t>MNDCMTESTTS1P4</t>
  </si>
  <si>
    <t>MN_KMDA0_S_FULP_AN_NPR0_DLL_JTG_COD_ALLFRV_SI_DCMTEST_TS1P4</t>
  </si>
  <si>
    <t>MNDCMTESTTS1P12</t>
  </si>
  <si>
    <t>MN_KMDA0_S_FULP_AN_NPR0_DLL_JTG_COD_ALLFRV_SI_DCMTEST_TS1P12</t>
  </si>
  <si>
    <t>MNDCMTESTTS2P1</t>
  </si>
  <si>
    <t>MN_KMDA0_S_FULP_AN_NPR0_DLL_JTG_COD_ALLFRV_SI_DCMTEST_TS2P1</t>
  </si>
  <si>
    <t>MNDCMTESTTS2P2</t>
  </si>
  <si>
    <t>MN_KMDA0_S_FULP_AN_NPR0_DLL_JTG_COD_ALLFRV_SI_DCMTEST_TS2P2</t>
  </si>
  <si>
    <t>MNDCMTESTTS2P3</t>
  </si>
  <si>
    <t>MN_KMDA0_S_FULP_AN_NPR0_DLL_JTG_COD_ALLFRV_SI_DCMTEST_TS2P3</t>
  </si>
  <si>
    <t>MNDCMTESTTS2P4</t>
  </si>
  <si>
    <t>MN_KMDA0_S_FULP_AN_NPR0_DLL_JTG_COD_ALLFRV_SI_DCMTEST_TS2P4</t>
  </si>
  <si>
    <t>MNDCMTESTTS2P5</t>
  </si>
  <si>
    <t>MN_KMDA0_S_FULP_AN_NPR0_DLL_JTG_COD_ALLFRV_SI_DCMTEST_TS2P5</t>
  </si>
  <si>
    <t>MNDCMTESTTS2P6</t>
  </si>
  <si>
    <t>MN_KMDA0_S_FULP_AN_NPR0_DLL_JTG_COD_ALLFRV_SI_DCMTEST_TS2P6</t>
  </si>
  <si>
    <t>MNDCMTESTTS2P7</t>
  </si>
  <si>
    <t>MN_KMDA0_S_FULP_AN_NPR0_DLL_JTG_COD_ALLFRV_SI_DCMTEST_TS2P7</t>
  </si>
  <si>
    <t>MNDCMTESTTS2P8</t>
  </si>
  <si>
    <t>MN_KMDA0_S_FULP_AN_NPR0_DLL_JTG_COD_ALLFRV_SI_DCMTEST_TS2P8</t>
  </si>
  <si>
    <t>MNDCMTESTTS2P9</t>
  </si>
  <si>
    <t>MN_KMDA0_S_FULP_AN_NPR0_DLL_JTG_COD_ALLFRV_SI_DCMTEST_TS2P9</t>
  </si>
  <si>
    <t>MNDCMTESTTS2P10</t>
  </si>
  <si>
    <t>MN_KMDA0_S_FULP_AN_NPR0_DLL_JTG_COD_ALLFRV_SI_DCMTEST_TS2P10</t>
  </si>
  <si>
    <t>MNDCMTESTTS2P11</t>
  </si>
  <si>
    <t>MN_KMDA0_S_FULP_AN_NPR0_DLL_JTG_COD_ALLFRV_SI_DCMTEST_TS2P11</t>
  </si>
  <si>
    <t>MNDCMTESTTS2P12</t>
  </si>
  <si>
    <t>MN_KMDA0_S_FULP_AN_NPR0_DLL_JTG_COD_ALLFRV_SI_DCMTEST_TS2P12</t>
  </si>
  <si>
    <t>MNLLPSOFFT3</t>
  </si>
  <si>
    <t>MN_KMDA0_C_FULP_AN_LLPS_DLL_JTG_CAL_ALLFRV_SI_LLPSOFF_T3</t>
  </si>
  <si>
    <t>MNLLPSONT4A</t>
  </si>
  <si>
    <t>MN_KMDA0_C_FULP_AN_LLPS_DLL_JTG_CAL_ALLFRV_SI_LLPSON_T4A</t>
  </si>
  <si>
    <t>MNLLPSONT10</t>
  </si>
  <si>
    <t>MN_KMDA0_C_FULP_AN_LLPS_DLL_JTG_CAL_ALLFRV_SI_LLPSON_T10</t>
  </si>
  <si>
    <t>CPUCON1A</t>
  </si>
  <si>
    <t>PP_KMDA0_C_FULP_AN_ABSM_VOT_JTG_DSG_ALLFRV_SI_CPU_CON1A</t>
  </si>
  <si>
    <t>CPUCON1B</t>
  </si>
  <si>
    <t>PP_KMDA0_C_FULP_AN_ABSM_VOT_JTG_DSG_ALLFRV_SI_CPU_CON1B</t>
  </si>
  <si>
    <t>CPUCON2</t>
  </si>
  <si>
    <t>PP_KMDA0_C_FULP_AN_ABSM_VOT_JTG_DSG_ALLFRV_SI_CPU_CON2</t>
  </si>
  <si>
    <t>CPUCON3</t>
  </si>
  <si>
    <t>PP_KMDA0_C_FULP_AN_ABSM_VOT_JTG_DSG_ALLFRV_SI_CPU_CON3</t>
  </si>
  <si>
    <t>CPUCON4</t>
  </si>
  <si>
    <t>PP_KMDA0_C_FULP_AN_ABSM_VOT_JTG_DSG_ALLFRV_SI_CPU_CON4</t>
  </si>
  <si>
    <t>CPUCON5</t>
  </si>
  <si>
    <t>PP_KMDA0_C_FULP_AN_ABSM_VOT_JTG_DSG_ALLFRV_SI_CPU_CON5</t>
  </si>
  <si>
    <t>CPUCON6</t>
  </si>
  <si>
    <t>PP_KMDA0_C_FULP_AN_ABSM_VOT_JTG_DSG_ALLFRV_SI_CPU_CON6</t>
  </si>
  <si>
    <t>CPUCON7</t>
  </si>
  <si>
    <t>PP_KMDA0_C_FULP_AN_ABSM_VOT_JTG_DSG_ALLFRV_SI_CPU_CON7</t>
  </si>
  <si>
    <t>CPUCON8</t>
  </si>
  <si>
    <t>PP_KMDA0_C_FULP_AN_ABSM_VOT_JTG_DSG_ALLFRV_SI_CPU_CON8</t>
  </si>
  <si>
    <t>CPUCON9</t>
  </si>
  <si>
    <t>PP_KMDA0_C_FULP_AN_ABSM_VOT_JTG_DSG_ALLFRV_SI_CPU_CON9</t>
  </si>
  <si>
    <t>CPUCON10</t>
  </si>
  <si>
    <t>PP_KMDA0_C_FULP_AN_ABSM_VOT_JTG_DSG_ALLFRV_SI_CPU_CON10</t>
  </si>
  <si>
    <t>CPUCON11</t>
  </si>
  <si>
    <t>PP_KMDA0_C_FULP_AN_ABSM_VOT_JTG_DSG_ALLFRV_SI_CPU_CON11</t>
  </si>
  <si>
    <t>CPUCON12</t>
  </si>
  <si>
    <t>PP_KMDA0_C_FULP_AN_ABSM_VOT_JTG_DSG_ALLFRV_SI_CPU_CON12</t>
  </si>
  <si>
    <t>CPUCON13</t>
  </si>
  <si>
    <t>PP_KMDA0_C_FULP_AN_ABSM_VOT_JTG_DSG_ALLFRV_SI_CPU_CON13</t>
  </si>
  <si>
    <t>CPUCON14</t>
  </si>
  <si>
    <t>PP_KMDA0_C_FULP_AN_ABSM_VOT_JTG_DSG_ALLFRV_SI_CPU_CON14</t>
  </si>
  <si>
    <t>CPUCON15</t>
  </si>
  <si>
    <t>PP_KMDA0_C_FULP_AN_ABSM_VOT_JTG_DSG_ALLFRV_SI_CPU_CON15</t>
  </si>
  <si>
    <t>VTHSPT42P253UA</t>
  </si>
  <si>
    <t>PP_KMDA0_C_FULP_AN_VSNR_DLL_JTG_FRQ_ALLFRV_SI_VTHSP_T4T5</t>
  </si>
  <si>
    <t>VTHSPT42P28UA</t>
  </si>
  <si>
    <t>VTHSPT42P32UA</t>
  </si>
  <si>
    <t>VTHSPT42P4UA</t>
  </si>
  <si>
    <t>VTHSPT42P133UA</t>
  </si>
  <si>
    <t>VTHSPT52P253UA</t>
  </si>
  <si>
    <t>VTHSPT52P28</t>
  </si>
  <si>
    <t>VTHSPT52P32UA</t>
  </si>
  <si>
    <t>VTHSPT52P4UA</t>
  </si>
  <si>
    <t>VTHSPT52P133UA</t>
  </si>
  <si>
    <t>VTHSET42P253UA</t>
  </si>
  <si>
    <t>PP_KMDA0_C_FULP_AN_VSNR_DLL_JTG_FRQ_ALLFRV_SI_VTHSE_T4T5</t>
  </si>
  <si>
    <t>VTHSET42P28UA</t>
  </si>
  <si>
    <t>VTHSET42P32UA</t>
  </si>
  <si>
    <t>VTHSET42P4UA</t>
  </si>
  <si>
    <t>VTHSET42P133UA</t>
  </si>
  <si>
    <t>VTHSET52P253UA</t>
  </si>
  <si>
    <t>VTHSET52P28UA</t>
  </si>
  <si>
    <t>VTHSET52P32UA</t>
  </si>
  <si>
    <t>VTHSET52P4UA</t>
  </si>
  <si>
    <t>VTHSET52P133UA</t>
  </si>
  <si>
    <t>PP_KMDA0_S_IN00_PW_PTSX_XXX_XXX_PWR_ALLFRV_SI_PWRAON_INIT</t>
  </si>
  <si>
    <t>PP_KMDA0_C_FULP_PW_PTSX_PFF_DAA_PWR_ALLFRV_SI_PWR_AONDIGC</t>
  </si>
  <si>
    <t>PWRAONINITEXPH</t>
  </si>
  <si>
    <t>PWRAONEXPH</t>
  </si>
  <si>
    <t>PP_KMDA0_C_FULP_PW_PTSX_PFF_DAA_PWR_ALLFRV_SI_PWR_AONEXPH</t>
  </si>
  <si>
    <t>PWRAONINITEXPL</t>
  </si>
  <si>
    <t>PWRAONEXPL</t>
  </si>
  <si>
    <t>PP_KMDA0_C_FULP_PW_PTSX_PFF_DAA_PWR_ALLFRV_SI_PWR_AONEXPL</t>
  </si>
  <si>
    <t>PP_KMDA0_S_IN00_PW_PTSX_XXX_XXX_PWR_ALLFRV_SI_PWRSOC_INIT</t>
  </si>
  <si>
    <t>PP_KMDA0_C_FULP_PW_PTSX_PFF_DAA_PWR_ALLFRV_SI_PWR_SOCDIGC</t>
  </si>
  <si>
    <t>PWRSOCINITEXPH</t>
  </si>
  <si>
    <t>PWRSOCEXPH</t>
  </si>
  <si>
    <t>PP_KMDA0_C_FULP_PW_PTSX_PFF_DAA_PWR_ALLFRV_SI_PWR_SOCEXPH</t>
  </si>
  <si>
    <t>PWRSOCINITEXPL</t>
  </si>
  <si>
    <t>PWRSOCEXPL</t>
  </si>
  <si>
    <t>PP_KMDA0_C_FULP_PW_PTSX_PFF_DAA_PWR_ALLFRV_SI_PWR_SOCEXPL</t>
  </si>
  <si>
    <t>PWRCIOINITEXPH</t>
  </si>
  <si>
    <t>PP_KMDA0_S_IN00_PW_PTSX_XXX_XXX_PWR_ALLFRV_SI_PWRCIO_INIT</t>
  </si>
  <si>
    <t>PWRCIOEXPH</t>
  </si>
  <si>
    <t>PP_KMDA0_C_FULP_PW_PTSX_PFF_DAA_PWR_ALLFRV_SI_PWR_CIOEXPH</t>
  </si>
  <si>
    <t>PWRCIOINITEXPL</t>
  </si>
  <si>
    <t>PWRCIOEXPL</t>
  </si>
  <si>
    <t>PP_KMDA0_C_FULP_PW_PTSX_PFF_DAA_PWR_ALLFRV_SI_PWR_CIOEXPL</t>
  </si>
  <si>
    <t>DCDMEAST1P1</t>
  </si>
  <si>
    <t>PP_KMDA0_C_FULP_AN_CM00_DLL_JTG_DYC_ALLFRV_SI_DCDMEAS_T1P1</t>
  </si>
  <si>
    <t>DCDMEAST1P2</t>
  </si>
  <si>
    <t>PP_KMDA0_C_FULP_AN_CM00_DLL_JTG_DYC_ALLFRV_SI_DCDMEAS_T1P2</t>
  </si>
  <si>
    <t>DCDCALT2P1</t>
  </si>
  <si>
    <t>PP_KMDA0_C_FULP_AN_CM00_DLL_JTG_DYC_ALLFRV_SI_DCDCAL_T2P1</t>
  </si>
  <si>
    <t>DCDCALT2P2</t>
  </si>
  <si>
    <t>PP_KMDA0_C_FULP_AN_CM00_DLL_JTG_DYC_ALLFRV_SI_DCDCAL_T2P2</t>
  </si>
  <si>
    <t>DCDMEAST1P1FINAL</t>
  </si>
  <si>
    <t>DCDMEAST1P2FINAL</t>
  </si>
  <si>
    <t>DCDMEAST3P1RAW</t>
  </si>
  <si>
    <t>PP_KMDA0_C_FULP_AN_CM00_DLL_JTG_DYC_ALLFRV_SI_DCDMEAS_T3P1</t>
  </si>
  <si>
    <t>DCDMEAST3P2RAW</t>
  </si>
  <si>
    <t>PP_KMDA0_C_FULP_AN_CM00_DLL_JTG_DYC_ALLFRV_SI_DCDMEAS_T3P2</t>
  </si>
  <si>
    <t>DCDCALT4P1</t>
  </si>
  <si>
    <t>PP_KMDA0_C_FULP_AN_CM00_DLL_JTG_DYC_ALLFRV_SI_DCDCAL_T4P1</t>
  </si>
  <si>
    <t>DCDCALT4P2</t>
  </si>
  <si>
    <t>PP_KMDA0_C_FULP_AN_CM00_DLL_JTG_DYC_ALLFRV_SI_DCDCAL_T4P2</t>
  </si>
  <si>
    <t>DCDMEAST3P1FINAL</t>
  </si>
  <si>
    <t>DCDMEAST3P2FINAL</t>
  </si>
  <si>
    <t>RNGLITEVAOPDC0</t>
  </si>
  <si>
    <t>PP_KMDA0_C_FULP_AN_RING_FRQ_JTG_RNG_ALLFRV_SI_RNGLITE_VAOPDC0</t>
  </si>
  <si>
    <t>MNRNGLITEVSOCDC0</t>
  </si>
  <si>
    <t>MN_KMDA0_C_FULP_AN_RING_FRQ_JTG_RNG_ALLFRV_SI_RNGLITE_VSOCDC0</t>
  </si>
  <si>
    <t>RNGSTDVSOCDC0</t>
  </si>
  <si>
    <t>PP_KMDA0_C_FULP_AN_RING_FRQ_JTG_RNG_ALLFRV_SI_RNGSTD_VSOCDC0</t>
  </si>
  <si>
    <t>MNRNGSTDVSOCDC0</t>
  </si>
  <si>
    <t>MN_KMDA0_C_FULP_AN_RING_FRQ_JTG_RNG_ALLFRV_SI_RNGSTD_VSOCDC0</t>
  </si>
  <si>
    <t>RNGLITEPCOREDC1</t>
  </si>
  <si>
    <t>PP_KMDA0_C_FULP_AN_RING_FRQ_JTG_RNG_ALLFRV_SI_RNGLITE_PCOREDC1</t>
  </si>
  <si>
    <t>RNGCPUHV</t>
  </si>
  <si>
    <t>PP_KMDA0_C_FULP_AN_RING_FRQ_JTG_RCR_ALLFRV_SI_RNG_CPUHV</t>
  </si>
  <si>
    <t>RNGCPUVER</t>
  </si>
  <si>
    <t>PP_KMDA0_C_FULP_AN_RING_FRQ_JTG_RCR_ALLFRV_SI_RNG_CPUVER</t>
  </si>
  <si>
    <t>RNGCPUHORI</t>
  </si>
  <si>
    <t>PP_KMDA0_C_FULP_AN_RING_FRQ_JTG_RCR_ALLFRV_SI_RNG_CPUHORI</t>
  </si>
  <si>
    <t>MNRNGCPUHV</t>
  </si>
  <si>
    <t>MN_KMDA0_C_FULP_AN_RING_FRQ_JTG_RCR_ALLFRV_SI_RNG_CPUHV</t>
  </si>
  <si>
    <t>MNRNGCPUVER</t>
  </si>
  <si>
    <t>MN_KMDA0_C_FULP_AN_RING_FRQ_JTG_RCR_ALLFRV_SI_RNG_CPUVER</t>
  </si>
  <si>
    <t>MNRNGCPUHORI</t>
  </si>
  <si>
    <t>MN_KMDA0_C_FULP_AN_RING_FRQ_JTG_RCR_ALLFRV_SI_RNG_CPUHORI</t>
  </si>
  <si>
    <t>PCPUFMINPTRIM3X0P750</t>
  </si>
  <si>
    <t>PP_KMDA0_C_FULP_AN_IVDM_FRQ_JTG_RCR_ALLFRV_SI_PCPUFMIN_PTRIM3X</t>
  </si>
  <si>
    <t>PCPUFMINPTRIM3X1P000</t>
  </si>
  <si>
    <t>PCPUFMINPTRIM10X0P750</t>
  </si>
  <si>
    <t>PP_KMDA0_C_FULP_AN_IVDM_FRQ_JTG_RCR_ALLFRV_SI_PCPUFMIN_PTRIM10X</t>
  </si>
  <si>
    <t>IVDM_FUSE_PREWRITE1</t>
  </si>
  <si>
    <t>IVDM_FUSE_PREWRITE2</t>
  </si>
  <si>
    <t>IVDM_FUSE_PREWRITE3</t>
  </si>
  <si>
    <t>IVDM_FUSE_PREWRITE4</t>
  </si>
  <si>
    <t>IVDM_FUSE_PREWRITE5</t>
  </si>
  <si>
    <t>IVDM_FUSE_PREWRITE6</t>
  </si>
  <si>
    <t>PCPUFMINPTRIM10X1P000</t>
  </si>
  <si>
    <t>GPUFMINGTRIM3X0P650HT</t>
  </si>
  <si>
    <t>PP_KMDA0_C_FULP_AN_IVDM_FRQ_JTG_RCR_ALLFRV_SI_GPUFMIN_GTRIM3X</t>
  </si>
  <si>
    <t>GPUFMINGTRIM3X0P650RT</t>
  </si>
  <si>
    <t>GPUFMINGTRIM3X0P750MID</t>
  </si>
  <si>
    <t>GPUFMINGTRIM3X1P000</t>
  </si>
  <si>
    <t>GPUFMINGTRIM10X0P650HT</t>
  </si>
  <si>
    <t>PP_KMDA0_C_FULP_AN_IVDM_FRQ_JTG_RCR_ALLFRV_SI_GPUFMIN_GTRIM10X</t>
  </si>
  <si>
    <t>GPUFMINGTRIM10X0P650RT</t>
  </si>
  <si>
    <t>GPUFMINGTRIM10X0P750MID</t>
  </si>
  <si>
    <t>GPUFMINGTRIM10X1P000</t>
  </si>
  <si>
    <t>GPUFMINGTR1B3X0P650HT</t>
  </si>
  <si>
    <t>PP_KMDA0_C_FULP_AN_IVDM_FRQ_JTG_RCR_ALLFRV_SI_GPUFMIN_GTR1B3X</t>
  </si>
  <si>
    <t>GPUFMINGTR1B3X0P650RT</t>
  </si>
  <si>
    <t>GPUFMINGTR1B3X0P750MID</t>
  </si>
  <si>
    <t>GPUFMINGTR1B3X1P000</t>
  </si>
  <si>
    <t>GPUFMINGTR1B10X0P650HT</t>
  </si>
  <si>
    <t>PP_KMDA0_C_FULP_AN_IVDM_FRQ_JTG_RCR_ALLFRV_SI_GPUFMIN_GTR1B10X</t>
  </si>
  <si>
    <t>GPUFMINGTR1B10X0P650RT</t>
  </si>
  <si>
    <t>GPUFMINGTR1B10X0P750MID</t>
  </si>
  <si>
    <t>GPUFMINGTR1B10X1P000</t>
  </si>
  <si>
    <t>GPUFMINGTR4B3X0P650HT</t>
  </si>
  <si>
    <t>PP_KMDA0_C_FULP_AN_IVDM_FRQ_JTG_RCR_ALLFRV_SI_GPUFMIN_GTR4B3X</t>
  </si>
  <si>
    <t>GPUFMINGTR4B3X0P650RT</t>
  </si>
  <si>
    <t>GPUFMINGTR4B3X0P750MID</t>
  </si>
  <si>
    <t>GPUFMINGTR4B3X1P000</t>
  </si>
  <si>
    <t>GPUFMINGTR4B10X0P650HT</t>
  </si>
  <si>
    <t>PP_KMDA0_C_FULP_AN_IVDM_FRQ_JTG_RCR_ALLFRV_SI_GPUFMIN_GTR4B10X</t>
  </si>
  <si>
    <t>GPUFMINGTR4B10X0P650RT</t>
  </si>
  <si>
    <t>GPUFMINGTR4B10X0P750MID</t>
  </si>
  <si>
    <t>GPUFMINGTR4B10X1P000</t>
  </si>
  <si>
    <t>PWRAONINITDIGCH</t>
  </si>
  <si>
    <t>PWRAONDIGCH</t>
  </si>
  <si>
    <t>PWRAONINITDIGCL</t>
  </si>
  <si>
    <t>PWRAONDIGCL</t>
  </si>
  <si>
    <t>PWRSOCINITDIGCH</t>
  </si>
  <si>
    <t>PWRSOCDIGCH</t>
  </si>
  <si>
    <t>PWRSOCINITDIGCL</t>
  </si>
  <si>
    <t>PWRSOCDIGCL</t>
  </si>
  <si>
    <t>DCDMEAST3P1</t>
  </si>
  <si>
    <t>DCDMEAST3P2</t>
  </si>
  <si>
    <t>WAT</t>
  </si>
  <si>
    <t>WAT-CP!</t>
  </si>
  <si>
    <t>CZ_KMDA0_C_FULP_AN_PDPM_FRQ_JTG_FRQ_ALLFRV_SI_EPM_CZ7</t>
  </si>
  <si>
    <t>CZ_KMDA0_C_FULP_AN_PDPM_FRQ_JTG_FRQ_ALLFRV_SI_PPM_CZ7</t>
  </si>
  <si>
    <t>CZ_KMDA0_C_FULP_AN_PDPM_FRQ_JTG_COD_ALLFRV_SI_PPM_CZ9</t>
  </si>
  <si>
    <t>CZ_PPM_CZ7</t>
  </si>
  <si>
    <t>CZ_EPM_CZ7</t>
  </si>
  <si>
    <t>CZ_KMDA0_C_FULP_AN_PDPM_FRQ_JTG_COD_ALLFRV_SI_EPM_CZ9</t>
  </si>
  <si>
    <t>CZ_EPM_CZ9</t>
  </si>
  <si>
    <t>CZ_PPM_CZ91</t>
  </si>
  <si>
    <t>CZ_PPM_CZ92</t>
  </si>
  <si>
    <t>sum</t>
  </si>
  <si>
    <t>DigHIP CP1</t>
  </si>
  <si>
    <t>sec</t>
  </si>
  <si>
    <t>dsg_pm</t>
  </si>
  <si>
    <t>LV,HV</t>
  </si>
  <si>
    <t>PP_KMDA0_C_FULP_AN_RING_FRQ_JTG_RNG_ALLFRV_SI_RNGLITE_PCORETTR</t>
  </si>
  <si>
    <t>RNGLITEPCORETTR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</si>
</sst>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6"/>
      <color rgb="FF0000FF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 (Body)"/>
    </font>
  </fonts>
  <fills count="14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2" borderId="1">
      <alignment horizontal="left" vertical="center"/>
    </xf>
    <xf numFmtId="0" fontId="2" fillId="0" borderId="1">
      <alignment horizontal="center" vertical="center"/>
    </xf>
    <xf numFmtId="0" fontId="2" fillId="2" borderId="2">
      <alignment horizontal="center" vertical="center"/>
    </xf>
    <xf numFmtId="0" fontId="3" fillId="0" borderId="2">
      <alignment horizontal="left" vertical="center"/>
    </xf>
    <xf numFmtId="0" fontId="1" fillId="0" borderId="2">
      <alignment horizontal="left" vertical="center"/>
    </xf>
    <xf numFmtId="0" fontId="1" fillId="0" borderId="2">
      <alignment horizontal="right" vertical="center"/>
    </xf>
    <xf numFmtId="0" fontId="1" fillId="0" borderId="1">
      <alignment horizontal="left" vertical="center" wrapText="1"/>
    </xf>
    <xf numFmtId="0" fontId="4" fillId="0" borderId="1">
      <alignment horizontal="left" vertical="center"/>
    </xf>
    <xf numFmtId="0" fontId="4" fillId="0" borderId="1">
      <alignment horizontal="right" vertical="center"/>
    </xf>
    <xf numFmtId="0" fontId="5" fillId="0" borderId="1"/>
    <xf numFmtId="0" fontId="7" fillId="0" borderId="0" applyNumberFormat="0" applyFill="0" applyBorder="0" applyAlignment="0" applyProtection="0"/>
  </cellStyleXfs>
  <cellXfs count="153">
    <xf numFmtId="0" fontId="0" fillId="0" borderId="0" xfId="0"/>
    <xf numFmtId="0" fontId="4" fillId="0" borderId="1" xfId="8">
      <alignment horizontal="left" vertical="center"/>
    </xf>
    <xf numFmtId="0" fontId="2" fillId="2" borderId="2" xfId="3">
      <alignment horizontal="center" vertical="center"/>
    </xf>
    <xf numFmtId="0" fontId="3" fillId="0" borderId="2" xfId="4">
      <alignment horizontal="left" vertical="center"/>
    </xf>
    <xf numFmtId="0" fontId="1" fillId="0" borderId="2" xfId="6">
      <alignment horizontal="right" vertical="center"/>
    </xf>
    <xf numFmtId="164" fontId="1" fillId="0" borderId="2" xfId="6" applyNumberFormat="1">
      <alignment horizontal="right" vertical="center"/>
    </xf>
    <xf numFmtId="0" fontId="4" fillId="0" borderId="1" xfId="9">
      <alignment horizontal="right" vertical="center"/>
    </xf>
    <xf numFmtId="164" fontId="4" fillId="0" borderId="1" xfId="9" applyNumberFormat="1">
      <alignment horizontal="right" vertical="center"/>
    </xf>
    <xf numFmtId="0" fontId="1" fillId="0" borderId="2" xfId="5">
      <alignment horizontal="left" vertical="center"/>
    </xf>
    <xf numFmtId="0" fontId="3" fillId="3" borderId="2" xfId="4" applyFill="1">
      <alignment horizontal="left" vertical="center"/>
    </xf>
    <xf numFmtId="0" fontId="3" fillId="4" borderId="2" xfId="4" applyFill="1">
      <alignment horizontal="left" vertical="center"/>
    </xf>
    <xf numFmtId="0" fontId="0" fillId="0" borderId="1" xfId="0" applyBorder="1"/>
    <xf numFmtId="0" fontId="2" fillId="2" borderId="3" xfId="3" applyBorder="1">
      <alignment horizontal="center" vertical="center"/>
    </xf>
    <xf numFmtId="0" fontId="1" fillId="0" borderId="3" xfId="6" applyBorder="1">
      <alignment horizontal="right" vertical="center"/>
    </xf>
    <xf numFmtId="0" fontId="2" fillId="2" borderId="4" xfId="3" applyBorder="1">
      <alignment horizontal="center" vertical="center"/>
    </xf>
    <xf numFmtId="0" fontId="1" fillId="0" borderId="4" xfId="6" applyBorder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9" applyBorder="1">
      <alignment horizontal="right" vertical="center"/>
    </xf>
    <xf numFmtId="0" fontId="4" fillId="0" borderId="9" xfId="9" applyBorder="1">
      <alignment horizontal="right" vertical="center"/>
    </xf>
    <xf numFmtId="0" fontId="2" fillId="2" borderId="10" xfId="3" applyBorder="1">
      <alignment horizontal="center" vertical="center"/>
    </xf>
    <xf numFmtId="0" fontId="2" fillId="2" borderId="11" xfId="3" applyBorder="1">
      <alignment horizontal="center" vertical="center"/>
    </xf>
    <xf numFmtId="0" fontId="1" fillId="0" borderId="10" xfId="6" applyBorder="1">
      <alignment horizontal="right" vertical="center"/>
    </xf>
    <xf numFmtId="0" fontId="1" fillId="0" borderId="11" xfId="6" applyBorder="1">
      <alignment horizontal="right" vertical="center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6" applyBorder="1" applyAlignment="1">
      <alignment horizontal="center" vertical="center"/>
    </xf>
    <xf numFmtId="0" fontId="1" fillId="0" borderId="2" xfId="6" applyAlignment="1">
      <alignment horizontal="center" vertical="center"/>
    </xf>
    <xf numFmtId="0" fontId="1" fillId="0" borderId="11" xfId="6" applyBorder="1" applyAlignment="1">
      <alignment horizontal="center" vertical="center"/>
    </xf>
    <xf numFmtId="0" fontId="1" fillId="4" borderId="2" xfId="5" applyFill="1">
      <alignment horizontal="left" vertical="center"/>
    </xf>
    <xf numFmtId="0" fontId="1" fillId="5" borderId="2" xfId="5" applyFill="1">
      <alignment horizontal="left" vertical="center"/>
    </xf>
    <xf numFmtId="0" fontId="1" fillId="6" borderId="2" xfId="5" applyFill="1">
      <alignment horizontal="left" vertical="center"/>
    </xf>
    <xf numFmtId="0" fontId="1" fillId="7" borderId="2" xfId="5" applyFill="1">
      <alignment horizontal="left" vertical="center"/>
    </xf>
    <xf numFmtId="0" fontId="1" fillId="8" borderId="2" xfId="5" applyFill="1">
      <alignment horizontal="left" vertical="center"/>
    </xf>
    <xf numFmtId="0" fontId="1" fillId="9" borderId="2" xfId="5" applyFill="1">
      <alignment horizontal="left" vertical="center"/>
    </xf>
    <xf numFmtId="0" fontId="1" fillId="10" borderId="2" xfId="5" applyFill="1">
      <alignment horizontal="left" vertical="center"/>
    </xf>
    <xf numFmtId="0" fontId="1" fillId="4" borderId="2" xfId="6" applyFill="1">
      <alignment horizontal="right" vertical="center"/>
    </xf>
    <xf numFmtId="0" fontId="1" fillId="5" borderId="2" xfId="6" applyFill="1">
      <alignment horizontal="right" vertical="center"/>
    </xf>
    <xf numFmtId="0" fontId="1" fillId="6" borderId="2" xfId="6" applyFill="1">
      <alignment horizontal="right" vertical="center"/>
    </xf>
    <xf numFmtId="0" fontId="1" fillId="6" borderId="10" xfId="6" applyFill="1" applyBorder="1" applyAlignment="1">
      <alignment horizontal="center" vertical="center"/>
    </xf>
    <xf numFmtId="0" fontId="1" fillId="8" borderId="10" xfId="6" applyFill="1" applyBorder="1" applyAlignment="1">
      <alignment horizontal="center" vertical="center"/>
    </xf>
    <xf numFmtId="0" fontId="1" fillId="4" borderId="10" xfId="6" applyFill="1" applyBorder="1" applyAlignment="1">
      <alignment horizontal="center" vertical="center"/>
    </xf>
    <xf numFmtId="0" fontId="1" fillId="5" borderId="10" xfId="6" applyFill="1" applyBorder="1" applyAlignment="1">
      <alignment horizontal="center" vertical="center"/>
    </xf>
    <xf numFmtId="0" fontId="1" fillId="7" borderId="10" xfId="6" applyFill="1" applyBorder="1" applyAlignment="1">
      <alignment horizontal="center" vertical="center"/>
    </xf>
    <xf numFmtId="0" fontId="1" fillId="9" borderId="10" xfId="6" applyFill="1" applyBorder="1" applyAlignment="1">
      <alignment horizontal="center" vertical="center"/>
    </xf>
    <xf numFmtId="0" fontId="1" fillId="10" borderId="10" xfId="6" applyFill="1" applyBorder="1" applyAlignment="1">
      <alignment horizontal="center" vertical="center"/>
    </xf>
    <xf numFmtId="0" fontId="5" fillId="0" borderId="1" xfId="10"/>
    <xf numFmtId="0" fontId="5" fillId="0" borderId="9" xfId="10" applyBorder="1"/>
    <xf numFmtId="0" fontId="5" fillId="0" borderId="8" xfId="10" applyBorder="1"/>
    <xf numFmtId="0" fontId="5" fillId="0" borderId="8" xfId="10" applyBorder="1" applyAlignment="1">
      <alignment horizontal="center"/>
    </xf>
    <xf numFmtId="0" fontId="1" fillId="10" borderId="3" xfId="6" applyFill="1" applyBorder="1">
      <alignment horizontal="right" vertical="center"/>
    </xf>
    <xf numFmtId="0" fontId="1" fillId="9" borderId="3" xfId="6" applyFill="1" applyBorder="1">
      <alignment horizontal="right" vertical="center"/>
    </xf>
    <xf numFmtId="0" fontId="1" fillId="6" borderId="3" xfId="6" applyFill="1" applyBorder="1">
      <alignment horizontal="right" vertical="center"/>
    </xf>
    <xf numFmtId="0" fontId="1" fillId="5" borderId="3" xfId="6" applyFill="1" applyBorder="1">
      <alignment horizontal="right" vertical="center"/>
    </xf>
    <xf numFmtId="0" fontId="1" fillId="4" borderId="3" xfId="6" applyFill="1" applyBorder="1">
      <alignment horizontal="right" vertical="center"/>
    </xf>
    <xf numFmtId="0" fontId="1" fillId="8" borderId="3" xfId="6" applyFill="1" applyBorder="1">
      <alignment horizontal="right" vertical="center"/>
    </xf>
    <xf numFmtId="0" fontId="1" fillId="11" borderId="2" xfId="5" applyFill="1">
      <alignment horizontal="left" vertical="center"/>
    </xf>
    <xf numFmtId="0" fontId="1" fillId="11" borderId="2" xfId="6" applyFill="1">
      <alignment horizontal="right" vertical="center"/>
    </xf>
    <xf numFmtId="0" fontId="1" fillId="11" borderId="3" xfId="6" applyFill="1" applyBorder="1">
      <alignment horizontal="right" vertical="center"/>
    </xf>
    <xf numFmtId="0" fontId="1" fillId="11" borderId="10" xfId="6" applyFill="1" applyBorder="1">
      <alignment horizontal="right" vertical="center"/>
    </xf>
    <xf numFmtId="0" fontId="1" fillId="11" borderId="11" xfId="6" applyFill="1" applyBorder="1">
      <alignment horizontal="right" vertical="center"/>
    </xf>
    <xf numFmtId="0" fontId="1" fillId="11" borderId="10" xfId="6" applyFill="1" applyBorder="1" applyAlignment="1">
      <alignment horizontal="center" vertical="center"/>
    </xf>
    <xf numFmtId="0" fontId="1" fillId="4" borderId="10" xfId="6" applyFill="1" applyBorder="1">
      <alignment horizontal="right" vertical="center"/>
    </xf>
    <xf numFmtId="0" fontId="1" fillId="4" borderId="11" xfId="6" applyFill="1" applyBorder="1">
      <alignment horizontal="right" vertical="center"/>
    </xf>
    <xf numFmtId="0" fontId="1" fillId="0" borderId="12" xfId="6" applyBorder="1">
      <alignment horizontal="right" vertical="center"/>
    </xf>
    <xf numFmtId="0" fontId="1" fillId="0" borderId="13" xfId="6" applyBorder="1">
      <alignment horizontal="right" vertical="center"/>
    </xf>
    <xf numFmtId="0" fontId="1" fillId="0" borderId="14" xfId="6" applyBorder="1">
      <alignment horizontal="right" vertical="center"/>
    </xf>
    <xf numFmtId="0" fontId="1" fillId="0" borderId="12" xfId="6" applyBorder="1" applyAlignment="1">
      <alignment horizontal="center" vertical="center"/>
    </xf>
    <xf numFmtId="0" fontId="1" fillId="0" borderId="8" xfId="6" applyBorder="1">
      <alignment horizontal="right" vertical="center"/>
    </xf>
    <xf numFmtId="0" fontId="1" fillId="0" borderId="9" xfId="6" applyBorder="1">
      <alignment horizontal="right" vertical="center"/>
    </xf>
    <xf numFmtId="0" fontId="1" fillId="0" borderId="16" xfId="5" applyBorder="1">
      <alignment horizontal="left" vertical="center"/>
    </xf>
    <xf numFmtId="0" fontId="1" fillId="4" borderId="16" xfId="5" applyFill="1" applyBorder="1">
      <alignment horizontal="left" vertical="center"/>
    </xf>
    <xf numFmtId="0" fontId="1" fillId="4" borderId="16" xfId="6" applyFill="1" applyBorder="1">
      <alignment horizontal="right" vertical="center"/>
    </xf>
    <xf numFmtId="0" fontId="1" fillId="4" borderId="17" xfId="6" applyFill="1" applyBorder="1">
      <alignment horizontal="right" vertical="center"/>
    </xf>
    <xf numFmtId="0" fontId="1" fillId="4" borderId="18" xfId="6" applyFill="1" applyBorder="1" applyAlignment="1">
      <alignment horizontal="center" vertical="center"/>
    </xf>
    <xf numFmtId="0" fontId="1" fillId="0" borderId="15" xfId="5" applyBorder="1">
      <alignment horizontal="left" vertical="center"/>
    </xf>
    <xf numFmtId="0" fontId="1" fillId="6" borderId="15" xfId="5" applyFill="1" applyBorder="1">
      <alignment horizontal="left" vertical="center"/>
    </xf>
    <xf numFmtId="0" fontId="1" fillId="6" borderId="15" xfId="6" applyFill="1" applyBorder="1">
      <alignment horizontal="right" vertical="center"/>
    </xf>
    <xf numFmtId="0" fontId="1" fillId="6" borderId="19" xfId="6" applyFill="1" applyBorder="1">
      <alignment horizontal="right" vertical="center"/>
    </xf>
    <xf numFmtId="0" fontId="1" fillId="6" borderId="20" xfId="6" applyFill="1" applyBorder="1" applyAlignment="1">
      <alignment horizontal="center" vertical="center"/>
    </xf>
    <xf numFmtId="0" fontId="1" fillId="12" borderId="2" xfId="5" applyFill="1">
      <alignment horizontal="left" vertical="center"/>
    </xf>
    <xf numFmtId="0" fontId="1" fillId="12" borderId="2" xfId="6" applyFill="1">
      <alignment horizontal="right" vertical="center"/>
    </xf>
    <xf numFmtId="0" fontId="0" fillId="12" borderId="0" xfId="0" applyFill="1"/>
    <xf numFmtId="0" fontId="0" fillId="5" borderId="0" xfId="0" applyFill="1"/>
    <xf numFmtId="0" fontId="1" fillId="3" borderId="2" xfId="5" applyFill="1">
      <alignment horizontal="left" vertical="center"/>
    </xf>
    <xf numFmtId="0" fontId="1" fillId="3" borderId="2" xfId="6" applyFill="1">
      <alignment horizontal="right" vertical="center"/>
    </xf>
    <xf numFmtId="0" fontId="0" fillId="3" borderId="0" xfId="0" applyFill="1"/>
    <xf numFmtId="0" fontId="1" fillId="6" borderId="11" xfId="6" applyFill="1" applyBorder="1">
      <alignment horizontal="right" vertical="center"/>
    </xf>
    <xf numFmtId="0" fontId="1" fillId="3" borderId="3" xfId="6" applyFill="1" applyBorder="1">
      <alignment horizontal="right" vertical="center"/>
    </xf>
    <xf numFmtId="0" fontId="1" fillId="12" borderId="3" xfId="6" applyFill="1" applyBorder="1">
      <alignment horizontal="right" vertical="center"/>
    </xf>
    <xf numFmtId="0" fontId="1" fillId="3" borderId="4" xfId="6" applyFill="1" applyBorder="1">
      <alignment horizontal="right" vertical="center"/>
    </xf>
    <xf numFmtId="0" fontId="1" fillId="5" borderId="4" xfId="6" applyFill="1" applyBorder="1">
      <alignment horizontal="right" vertical="center"/>
    </xf>
    <xf numFmtId="0" fontId="1" fillId="12" borderId="4" xfId="6" applyFill="1" applyBorder="1">
      <alignment horizontal="right" vertical="center"/>
    </xf>
    <xf numFmtId="0" fontId="1" fillId="3" borderId="10" xfId="6" applyFill="1" applyBorder="1">
      <alignment horizontal="right" vertical="center"/>
    </xf>
    <xf numFmtId="0" fontId="1" fillId="3" borderId="11" xfId="6" applyFill="1" applyBorder="1">
      <alignment horizontal="right" vertical="center"/>
    </xf>
    <xf numFmtId="0" fontId="1" fillId="5" borderId="10" xfId="6" applyFill="1" applyBorder="1">
      <alignment horizontal="right" vertical="center"/>
    </xf>
    <xf numFmtId="0" fontId="1" fillId="5" borderId="11" xfId="6" applyFill="1" applyBorder="1">
      <alignment horizontal="right" vertical="center"/>
    </xf>
    <xf numFmtId="0" fontId="1" fillId="12" borderId="10" xfId="6" applyFill="1" applyBorder="1">
      <alignment horizontal="right" vertical="center"/>
    </xf>
    <xf numFmtId="0" fontId="1" fillId="12" borderId="11" xfId="6" applyFill="1" applyBorder="1">
      <alignment horizontal="right" vertical="center"/>
    </xf>
    <xf numFmtId="0" fontId="1" fillId="6" borderId="4" xfId="6" applyFill="1" applyBorder="1">
      <alignment horizontal="right" vertical="center"/>
    </xf>
    <xf numFmtId="0" fontId="0" fillId="6" borderId="0" xfId="0" applyFill="1"/>
    <xf numFmtId="0" fontId="1" fillId="0" borderId="4" xfId="6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0" xfId="6" applyBorder="1">
      <alignment horizontal="right" vertical="center"/>
    </xf>
    <xf numFmtId="0" fontId="1" fillId="0" borderId="15" xfId="6" applyBorder="1">
      <alignment horizontal="right" vertical="center"/>
    </xf>
    <xf numFmtId="0" fontId="1" fillId="0" borderId="24" xfId="6" applyBorder="1">
      <alignment horizontal="right" vertical="center"/>
    </xf>
    <xf numFmtId="0" fontId="1" fillId="6" borderId="10" xfId="6" applyFill="1" applyBorder="1">
      <alignment horizontal="right" vertical="center"/>
    </xf>
    <xf numFmtId="0" fontId="1" fillId="8" borderId="10" xfId="6" applyFill="1" applyBorder="1">
      <alignment horizontal="right" vertical="center"/>
    </xf>
    <xf numFmtId="0" fontId="1" fillId="8" borderId="2" xfId="6" applyFill="1">
      <alignment horizontal="right" vertical="center"/>
    </xf>
    <xf numFmtId="0" fontId="1" fillId="8" borderId="11" xfId="6" applyFill="1" applyBorder="1">
      <alignment horizontal="right" vertical="center"/>
    </xf>
    <xf numFmtId="0" fontId="1" fillId="9" borderId="10" xfId="6" applyFill="1" applyBorder="1">
      <alignment horizontal="right" vertical="center"/>
    </xf>
    <xf numFmtId="0" fontId="1" fillId="9" borderId="2" xfId="6" applyFill="1">
      <alignment horizontal="right" vertical="center"/>
    </xf>
    <xf numFmtId="0" fontId="1" fillId="9" borderId="11" xfId="6" applyFill="1" applyBorder="1">
      <alignment horizontal="right" vertical="center"/>
    </xf>
    <xf numFmtId="0" fontId="1" fillId="10" borderId="10" xfId="6" applyFill="1" applyBorder="1">
      <alignment horizontal="right" vertical="center"/>
    </xf>
    <xf numFmtId="0" fontId="1" fillId="10" borderId="2" xfId="6" applyFill="1">
      <alignment horizontal="right" vertical="center"/>
    </xf>
    <xf numFmtId="0" fontId="1" fillId="10" borderId="11" xfId="6" applyFill="1" applyBorder="1">
      <alignment horizontal="right" vertical="center"/>
    </xf>
    <xf numFmtId="0" fontId="1" fillId="10" borderId="20" xfId="6" applyFill="1" applyBorder="1">
      <alignment horizontal="right" vertical="center"/>
    </xf>
    <xf numFmtId="0" fontId="1" fillId="10" borderId="15" xfId="6" applyFill="1" applyBorder="1">
      <alignment horizontal="right" vertical="center"/>
    </xf>
    <xf numFmtId="0" fontId="1" fillId="10" borderId="24" xfId="6" applyFill="1" applyBorder="1">
      <alignment horizontal="right" vertical="center"/>
    </xf>
    <xf numFmtId="0" fontId="6" fillId="6" borderId="2" xfId="0" applyFont="1" applyFill="1" applyBorder="1" applyAlignment="1">
      <alignment horizontal="right" vertical="center"/>
    </xf>
    <xf numFmtId="0" fontId="6" fillId="6" borderId="16" xfId="0" applyFont="1" applyFill="1" applyBorder="1" applyAlignment="1">
      <alignment horizontal="right" vertical="center"/>
    </xf>
    <xf numFmtId="0" fontId="1" fillId="13" borderId="2" xfId="5" applyFill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6" borderId="25" xfId="0" applyFill="1" applyBorder="1"/>
    <xf numFmtId="0" fontId="0" fillId="6" borderId="26" xfId="0" applyFill="1" applyBorder="1"/>
    <xf numFmtId="0" fontId="0" fillId="6" borderId="27" xfId="0" applyFill="1" applyBorder="1"/>
    <xf numFmtId="0" fontId="0" fillId="0" borderId="27" xfId="0" applyBorder="1"/>
    <xf numFmtId="0" fontId="7" fillId="3" borderId="0" xfId="11" applyFill="1"/>
    <xf numFmtId="0" fontId="2" fillId="2" borderId="2" xfId="3">
      <alignment horizontal="center" vertical="center"/>
    </xf>
    <xf numFmtId="0" fontId="2" fillId="2" borderId="10" xfId="3" applyBorder="1">
      <alignment horizontal="center" vertical="center"/>
    </xf>
    <xf numFmtId="0" fontId="2" fillId="2" borderId="11" xfId="3" applyBorder="1">
      <alignment horizontal="center" vertical="center"/>
    </xf>
    <xf numFmtId="0" fontId="2" fillId="2" borderId="4" xfId="3" applyBorder="1">
      <alignment horizontal="center" vertical="center"/>
    </xf>
    <xf numFmtId="0" fontId="2" fillId="2" borderId="21" xfId="3" applyBorder="1">
      <alignment horizontal="center" vertical="center"/>
    </xf>
    <xf numFmtId="0" fontId="2" fillId="2" borderId="22" xfId="3" applyBorder="1">
      <alignment horizontal="center" vertical="center"/>
    </xf>
    <xf numFmtId="0" fontId="2" fillId="2" borderId="23" xfId="3" applyBorder="1">
      <alignment horizontal="center" vertical="center"/>
    </xf>
    <xf numFmtId="0" fontId="2" fillId="2" borderId="3" xfId="3" applyBorder="1">
      <alignment horizontal="center" vertical="center"/>
    </xf>
    <xf numFmtId="0" fontId="8" fillId="0" borderId="2" xfId="5" applyFo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2" xfId="6" applyFont="1">
      <alignment horizontal="right" vertical="center"/>
    </xf>
    <xf numFmtId="0" fontId="8" fillId="0" borderId="3" xfId="6" applyFont="1" applyBorder="1">
      <alignment horizontal="right" vertical="center"/>
    </xf>
    <xf numFmtId="0" fontId="8" fillId="6" borderId="10" xfId="6" applyFont="1" applyFill="1" applyBorder="1" applyAlignment="1">
      <alignment horizontal="center" vertical="center"/>
    </xf>
    <xf numFmtId="0" fontId="8" fillId="0" borderId="11" xfId="6" applyFont="1" applyBorder="1">
      <alignment horizontal="right" vertical="center"/>
    </xf>
    <xf numFmtId="0" fontId="8" fillId="0" borderId="4" xfId="6" applyFont="1" applyBorder="1">
      <alignment horizontal="right" vertical="center"/>
    </xf>
    <xf numFmtId="0" fontId="8" fillId="0" borderId="0" xfId="0" applyFont="1"/>
  </cellXfs>
  <cellStyles count="12">
    <cellStyle name="data" xfId="7" xr:uid="{00000000-0005-0000-0000-00000B000000}"/>
    <cellStyle name="data_16_b_blu_l" xfId="8" xr:uid="{00000000-0005-0000-0000-000010000000}"/>
    <cellStyle name="data_16_b_blu_r" xfId="9" xr:uid="{00000000-0005-0000-0000-000011000000}"/>
    <cellStyle name="divider" xfId="1" xr:uid="{00000000-0005-0000-0000-000001000000}"/>
    <cellStyle name="header" xfId="2" xr:uid="{00000000-0005-0000-0000-000006000000}"/>
    <cellStyle name="Hyperlink" xfId="11" builtinId="8"/>
    <cellStyle name="Normal" xfId="0" builtinId="0"/>
    <cellStyle name="Normal 2" xfId="10" xr:uid="{B885E952-53CD-D643-9FEC-3826035503BC}"/>
    <cellStyle name="ttr_data_l" xfId="5" xr:uid="{00000000-0005-0000-0000-000009000000}"/>
    <cellStyle name="ttr_data_r" xfId="6" xr:uid="{00000000-0005-0000-0000-00000A000000}"/>
    <cellStyle name="ttr_header" xfId="3" xr:uid="{00000000-0005-0000-0000-000007000000}"/>
    <cellStyle name="ttr_hyperlink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69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F66" sqref="F66:F67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6" width="12" customWidth="1"/>
    <col min="7" max="7" width="11" customWidth="1"/>
    <col min="8" max="8" width="8" customWidth="1"/>
    <col min="9" max="12" width="12" customWidth="1"/>
    <col min="13" max="13" width="11" customWidth="1"/>
    <col min="14" max="18" width="8" customWidth="1"/>
  </cols>
  <sheetData>
    <row r="2" spans="1:18" ht="21" x14ac:dyDescent="0.2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>
        <v>4</v>
      </c>
      <c r="N2" s="1"/>
      <c r="O2" s="1" t="s">
        <v>2</v>
      </c>
      <c r="P2" s="1"/>
      <c r="Q2" s="1"/>
      <c r="R2" s="1"/>
    </row>
    <row r="3" spans="1:18" x14ac:dyDescent="0.2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O3" s="2" t="s">
        <v>9</v>
      </c>
      <c r="P3" s="2" t="s">
        <v>10</v>
      </c>
      <c r="Q3" s="2" t="s">
        <v>11</v>
      </c>
      <c r="R3" s="2" t="s">
        <v>12</v>
      </c>
    </row>
    <row r="4" spans="1:18" x14ac:dyDescent="0.2">
      <c r="B4" s="3" t="s">
        <v>13</v>
      </c>
      <c r="C4" s="4" t="e">
        <f>ROUND(#REF!/1000, 2)</f>
        <v>#REF!</v>
      </c>
      <c r="D4" s="4" t="e">
        <f>ROUND(#REF!/1000, 2)</f>
        <v>#REF!</v>
      </c>
      <c r="E4" s="4" t="e">
        <f>ROUND(#REF!/1000, 2)</f>
        <v>#REF!</v>
      </c>
      <c r="F4" s="4" t="e">
        <f>ROUND(#REF!/1000, 2)</f>
        <v>#REF!</v>
      </c>
      <c r="G4" s="4" t="e">
        <f t="shared" ref="G4:G35" si="0">SUM(C4:F4)</f>
        <v>#REF!</v>
      </c>
      <c r="I4" s="4"/>
      <c r="J4" s="4"/>
      <c r="K4" s="4"/>
      <c r="L4" s="4"/>
      <c r="M4" s="4"/>
      <c r="O4" s="5" t="e">
        <f>1-(I4-C4)/((M2-1)*C4)</f>
        <v>#REF!</v>
      </c>
      <c r="P4" s="5" t="e">
        <f>1-(J4-D4)/((M2-1)*D4)</f>
        <v>#REF!</v>
      </c>
      <c r="Q4" s="5" t="e">
        <f>1-(K4-E4)/((M2-1)*E4)</f>
        <v>#REF!</v>
      </c>
      <c r="R4" s="5" t="e">
        <f>1-(L4-F4)/((M2-1)*F4)</f>
        <v>#REF!</v>
      </c>
    </row>
    <row r="5" spans="1:18" x14ac:dyDescent="0.2">
      <c r="B5" s="3" t="s">
        <v>14</v>
      </c>
      <c r="C5" s="4" t="e">
        <f>ROUND(#REF!/1000, 2)</f>
        <v>#REF!</v>
      </c>
      <c r="D5" s="4" t="e">
        <f>ROUND(#REF!/1000, 2)</f>
        <v>#REF!</v>
      </c>
      <c r="E5" s="4" t="e">
        <f>ROUND(#REF!/1000, 2)</f>
        <v>#REF!</v>
      </c>
      <c r="F5" s="4" t="e">
        <f>ROUND(#REF!/1000, 2)</f>
        <v>#REF!</v>
      </c>
      <c r="G5" s="4" t="e">
        <f t="shared" si="0"/>
        <v>#REF!</v>
      </c>
      <c r="I5" s="4"/>
      <c r="J5" s="4"/>
      <c r="K5" s="4"/>
      <c r="L5" s="4"/>
      <c r="M5" s="4"/>
      <c r="O5" s="5" t="e">
        <f>1-(I5-C5)/((M2-1)*C5)</f>
        <v>#REF!</v>
      </c>
      <c r="P5" s="5" t="e">
        <f>1-(J5-D5)/((M2-1)*D5)</f>
        <v>#REF!</v>
      </c>
      <c r="Q5" s="5" t="e">
        <f>1-(K5-E5)/((M2-1)*E5)</f>
        <v>#REF!</v>
      </c>
      <c r="R5" s="5" t="e">
        <f>1-(L5-F5)/((M2-1)*F5)</f>
        <v>#REF!</v>
      </c>
    </row>
    <row r="6" spans="1:18" x14ac:dyDescent="0.2">
      <c r="B6" s="3" t="s">
        <v>15</v>
      </c>
      <c r="C6" s="4" t="e">
        <f>ROUND(#REF!/1000, 2)</f>
        <v>#REF!</v>
      </c>
      <c r="D6" s="4" t="e">
        <f>ROUND(#REF!/1000, 2)</f>
        <v>#REF!</v>
      </c>
      <c r="E6" s="4" t="e">
        <f>ROUND(#REF!/1000, 2)</f>
        <v>#REF!</v>
      </c>
      <c r="F6" s="4" t="e">
        <f>ROUND(#REF!/1000, 2)</f>
        <v>#REF!</v>
      </c>
      <c r="G6" s="4" t="e">
        <f t="shared" si="0"/>
        <v>#REF!</v>
      </c>
      <c r="I6" s="4"/>
      <c r="J6" s="4"/>
      <c r="K6" s="4"/>
      <c r="L6" s="4"/>
      <c r="M6" s="4"/>
      <c r="O6" s="5" t="e">
        <f>1-(I6-C6)/((M2-1)*C6)</f>
        <v>#REF!</v>
      </c>
      <c r="P6" s="5" t="e">
        <f>1-(J6-D6)/((M2-1)*D6)</f>
        <v>#REF!</v>
      </c>
      <c r="Q6" s="5" t="e">
        <f>1-(K6-E6)/((M2-1)*E6)</f>
        <v>#REF!</v>
      </c>
      <c r="R6" s="5" t="e">
        <f>1-(L6-F6)/((M2-1)*F6)</f>
        <v>#REF!</v>
      </c>
    </row>
    <row r="7" spans="1:18" x14ac:dyDescent="0.2">
      <c r="B7" s="3" t="s">
        <v>16</v>
      </c>
      <c r="C7" s="4" t="e">
        <f>ROUND(#REF!/1000, 2)</f>
        <v>#REF!</v>
      </c>
      <c r="D7" s="4" t="e">
        <f>ROUND(#REF!/1000, 2)</f>
        <v>#REF!</v>
      </c>
      <c r="E7" s="4" t="e">
        <f>ROUND(#REF!/1000, 2)</f>
        <v>#REF!</v>
      </c>
      <c r="F7" s="4" t="e">
        <f>ROUND(#REF!/1000, 2)</f>
        <v>#REF!</v>
      </c>
      <c r="G7" s="4" t="e">
        <f t="shared" si="0"/>
        <v>#REF!</v>
      </c>
      <c r="I7" s="4"/>
      <c r="J7" s="4"/>
      <c r="K7" s="4"/>
      <c r="L7" s="4"/>
      <c r="M7" s="4"/>
      <c r="O7" s="5" t="e">
        <f>1-(I7-C7)/((M2-1)*C7)</f>
        <v>#REF!</v>
      </c>
      <c r="P7" s="5" t="e">
        <f>1-(J7-D7)/((M2-1)*D7)</f>
        <v>#REF!</v>
      </c>
      <c r="Q7" s="5" t="e">
        <f>1-(K7-E7)/((M2-1)*E7)</f>
        <v>#REF!</v>
      </c>
      <c r="R7" s="5" t="e">
        <f>1-(L7-F7)/((M2-1)*F7)</f>
        <v>#REF!</v>
      </c>
    </row>
    <row r="8" spans="1:18" x14ac:dyDescent="0.2">
      <c r="B8" s="3" t="s">
        <v>17</v>
      </c>
      <c r="C8" s="4" t="e">
        <f>ROUND(#REF!/1000, 2)</f>
        <v>#REF!</v>
      </c>
      <c r="D8" s="4" t="e">
        <f>ROUND(#REF!/1000, 2)</f>
        <v>#REF!</v>
      </c>
      <c r="E8" s="4" t="e">
        <f>ROUND(#REF!/1000, 2)</f>
        <v>#REF!</v>
      </c>
      <c r="F8" s="4" t="e">
        <f>ROUND(#REF!/1000, 2)</f>
        <v>#REF!</v>
      </c>
      <c r="G8" s="4" t="e">
        <f t="shared" si="0"/>
        <v>#REF!</v>
      </c>
      <c r="I8" s="4"/>
      <c r="J8" s="4"/>
      <c r="K8" s="4"/>
      <c r="L8" s="4"/>
      <c r="M8" s="4"/>
      <c r="O8" s="5" t="e">
        <f>1-(I8-C8)/((M2-1)*C8)</f>
        <v>#REF!</v>
      </c>
      <c r="P8" s="5" t="e">
        <f>1-(J8-D8)/((M2-1)*D8)</f>
        <v>#REF!</v>
      </c>
      <c r="Q8" s="5" t="e">
        <f>1-(K8-E8)/((M2-1)*E8)</f>
        <v>#REF!</v>
      </c>
      <c r="R8" s="5" t="e">
        <f>1-(L8-F8)/((M2-1)*F8)</f>
        <v>#REF!</v>
      </c>
    </row>
    <row r="9" spans="1:18" x14ac:dyDescent="0.2">
      <c r="B9" s="3" t="s">
        <v>18</v>
      </c>
      <c r="C9" s="4" t="e">
        <f>ROUND(#REF!/1000, 2)</f>
        <v>#REF!</v>
      </c>
      <c r="D9" s="4" t="e">
        <f>ROUND(#REF!/1000, 2)</f>
        <v>#REF!</v>
      </c>
      <c r="E9" s="4" t="e">
        <f>ROUND(#REF!/1000, 2)</f>
        <v>#REF!</v>
      </c>
      <c r="F9" s="4" t="e">
        <f>ROUND(#REF!/1000, 2)</f>
        <v>#REF!</v>
      </c>
      <c r="G9" s="4" t="e">
        <f t="shared" si="0"/>
        <v>#REF!</v>
      </c>
      <c r="I9" s="4"/>
      <c r="J9" s="4"/>
      <c r="K9" s="4"/>
      <c r="L9" s="4"/>
      <c r="M9" s="4"/>
      <c r="O9" s="5" t="e">
        <f>1-(I9-C9)/((M2-1)*C9)</f>
        <v>#REF!</v>
      </c>
      <c r="P9" s="5" t="e">
        <f>1-(J9-D9)/((M2-1)*D9)</f>
        <v>#REF!</v>
      </c>
      <c r="Q9" s="5" t="e">
        <f>1-(K9-E9)/((M2-1)*E9)</f>
        <v>#REF!</v>
      </c>
      <c r="R9" s="5" t="e">
        <f>1-(L9-F9)/((M2-1)*F9)</f>
        <v>#REF!</v>
      </c>
    </row>
    <row r="10" spans="1:18" x14ac:dyDescent="0.2">
      <c r="B10" s="3" t="s">
        <v>19</v>
      </c>
      <c r="C10" s="4" t="e">
        <f>ROUND(#REF!/1000, 2)</f>
        <v>#REF!</v>
      </c>
      <c r="D10" s="4" t="e">
        <f>ROUND(#REF!/1000, 2)</f>
        <v>#REF!</v>
      </c>
      <c r="E10" s="4" t="e">
        <f>ROUND(#REF!/1000, 2)</f>
        <v>#REF!</v>
      </c>
      <c r="F10" s="4" t="e">
        <f>ROUND(#REF!/1000, 2)</f>
        <v>#REF!</v>
      </c>
      <c r="G10" s="4" t="e">
        <f t="shared" si="0"/>
        <v>#REF!</v>
      </c>
      <c r="I10" s="4"/>
      <c r="J10" s="4"/>
      <c r="K10" s="4"/>
      <c r="L10" s="4"/>
      <c r="M10" s="4"/>
      <c r="O10" s="5" t="e">
        <f>1-(I10-C10)/((M2-1)*C10)</f>
        <v>#REF!</v>
      </c>
      <c r="P10" s="5" t="e">
        <f>1-(J10-D10)/((M2-1)*D10)</f>
        <v>#REF!</v>
      </c>
      <c r="Q10" s="5" t="e">
        <f>1-(K10-E10)/((M2-1)*E10)</f>
        <v>#REF!</v>
      </c>
      <c r="R10" s="5" t="e">
        <f>1-(L10-F10)/((M2-1)*F10)</f>
        <v>#REF!</v>
      </c>
    </row>
    <row r="11" spans="1:18" x14ac:dyDescent="0.2">
      <c r="B11" s="3" t="s">
        <v>20</v>
      </c>
      <c r="C11" s="4" t="e">
        <f>ROUND(#REF!/1000, 2)</f>
        <v>#REF!</v>
      </c>
      <c r="D11" s="4" t="e">
        <f>ROUND(#REF!/1000, 2)</f>
        <v>#REF!</v>
      </c>
      <c r="E11" s="4" t="e">
        <f>ROUND(#REF!/1000, 2)</f>
        <v>#REF!</v>
      </c>
      <c r="F11" s="4" t="e">
        <f>ROUND(#REF!/1000, 2)</f>
        <v>#REF!</v>
      </c>
      <c r="G11" s="4" t="e">
        <f t="shared" si="0"/>
        <v>#REF!</v>
      </c>
      <c r="I11" s="4"/>
      <c r="J11" s="4"/>
      <c r="K11" s="4"/>
      <c r="L11" s="4"/>
      <c r="M11" s="4"/>
      <c r="O11" s="5" t="e">
        <f>1-(I11-C11)/((M2-1)*C11)</f>
        <v>#REF!</v>
      </c>
      <c r="P11" s="5" t="e">
        <f>1-(J11-D11)/((M2-1)*D11)</f>
        <v>#REF!</v>
      </c>
      <c r="Q11" s="5" t="e">
        <f>1-(K11-E11)/((M2-1)*E11)</f>
        <v>#REF!</v>
      </c>
      <c r="R11" s="5" t="e">
        <f>1-(L11-F11)/((M2-1)*F11)</f>
        <v>#REF!</v>
      </c>
    </row>
    <row r="12" spans="1:18" x14ac:dyDescent="0.2">
      <c r="B12" s="3" t="s">
        <v>21</v>
      </c>
      <c r="C12" s="4" t="e">
        <f>ROUND(#REF!/1000, 2)</f>
        <v>#REF!</v>
      </c>
      <c r="D12" s="4" t="e">
        <f>ROUND(#REF!/1000, 2)</f>
        <v>#REF!</v>
      </c>
      <c r="E12" s="4" t="e">
        <f>ROUND(#REF!/1000, 2)</f>
        <v>#REF!</v>
      </c>
      <c r="F12" s="4" t="e">
        <f>ROUND(#REF!/1000, 2)</f>
        <v>#REF!</v>
      </c>
      <c r="G12" s="4" t="e">
        <f t="shared" si="0"/>
        <v>#REF!</v>
      </c>
      <c r="I12" s="4"/>
      <c r="J12" s="4"/>
      <c r="K12" s="4"/>
      <c r="L12" s="4"/>
      <c r="M12" s="4"/>
      <c r="O12" s="5" t="e">
        <f>1-(I12-C12)/((M2-1)*C12)</f>
        <v>#REF!</v>
      </c>
      <c r="P12" s="5" t="e">
        <f>1-(J12-D12)/((M2-1)*D12)</f>
        <v>#REF!</v>
      </c>
      <c r="Q12" s="5" t="e">
        <f>1-(K12-E12)/((M2-1)*E12)</f>
        <v>#REF!</v>
      </c>
      <c r="R12" s="5" t="e">
        <f>1-(L12-F12)/((M2-1)*F12)</f>
        <v>#REF!</v>
      </c>
    </row>
    <row r="13" spans="1:18" x14ac:dyDescent="0.2">
      <c r="B13" s="3" t="s">
        <v>22</v>
      </c>
      <c r="C13" s="4" t="e">
        <f>ROUND(#REF!/1000, 2)</f>
        <v>#REF!</v>
      </c>
      <c r="D13" s="4" t="e">
        <f>ROUND(#REF!/1000, 2)</f>
        <v>#REF!</v>
      </c>
      <c r="E13" s="4" t="e">
        <f>ROUND(#REF!/1000, 2)</f>
        <v>#REF!</v>
      </c>
      <c r="F13" s="4" t="e">
        <f>ROUND(#REF!/1000, 2)</f>
        <v>#REF!</v>
      </c>
      <c r="G13" s="4" t="e">
        <f t="shared" si="0"/>
        <v>#REF!</v>
      </c>
      <c r="I13" s="4"/>
      <c r="J13" s="4"/>
      <c r="K13" s="4"/>
      <c r="L13" s="4"/>
      <c r="M13" s="4"/>
      <c r="O13" s="5" t="e">
        <f>1-(I13-C13)/((M2-1)*C13)</f>
        <v>#REF!</v>
      </c>
      <c r="P13" s="5" t="e">
        <f>1-(J13-D13)/((M2-1)*D13)</f>
        <v>#REF!</v>
      </c>
      <c r="Q13" s="5" t="e">
        <f>1-(K13-E13)/((M2-1)*E13)</f>
        <v>#REF!</v>
      </c>
      <c r="R13" s="5" t="e">
        <f>1-(L13-F13)/((M2-1)*F13)</f>
        <v>#REF!</v>
      </c>
    </row>
    <row r="14" spans="1:18" x14ac:dyDescent="0.2">
      <c r="B14" s="3" t="s">
        <v>23</v>
      </c>
      <c r="C14" s="4" t="e">
        <f>ROUND(#REF!/1000, 2)</f>
        <v>#REF!</v>
      </c>
      <c r="D14" s="4" t="e">
        <f>ROUND(#REF!/1000, 2)</f>
        <v>#REF!</v>
      </c>
      <c r="E14" s="4" t="e">
        <f>ROUND(#REF!/1000, 2)</f>
        <v>#REF!</v>
      </c>
      <c r="F14" s="4" t="e">
        <f>ROUND(#REF!/1000, 2)</f>
        <v>#REF!</v>
      </c>
      <c r="G14" s="4" t="e">
        <f t="shared" si="0"/>
        <v>#REF!</v>
      </c>
      <c r="I14" s="4"/>
      <c r="J14" s="4"/>
      <c r="K14" s="4"/>
      <c r="L14" s="4"/>
      <c r="M14" s="4"/>
      <c r="O14" s="5" t="e">
        <f>1-(I14-C14)/((M2-1)*C14)</f>
        <v>#REF!</v>
      </c>
      <c r="P14" s="5" t="e">
        <f>1-(J14-D14)/((M2-1)*D14)</f>
        <v>#REF!</v>
      </c>
      <c r="Q14" s="5" t="e">
        <f>1-(K14-E14)/((M2-1)*E14)</f>
        <v>#REF!</v>
      </c>
      <c r="R14" s="5" t="e">
        <f>1-(L14-F14)/((M2-1)*F14)</f>
        <v>#REF!</v>
      </c>
    </row>
    <row r="15" spans="1:18" x14ac:dyDescent="0.2">
      <c r="B15" s="3" t="s">
        <v>24</v>
      </c>
      <c r="C15" s="4" t="e">
        <f>ROUND(#REF!/1000, 2)</f>
        <v>#REF!</v>
      </c>
      <c r="D15" s="4" t="e">
        <f>ROUND(#REF!/1000, 2)</f>
        <v>#REF!</v>
      </c>
      <c r="E15" s="4" t="e">
        <f>ROUND(#REF!/1000, 2)</f>
        <v>#REF!</v>
      </c>
      <c r="F15" s="4" t="e">
        <f>ROUND(#REF!/1000, 2)</f>
        <v>#REF!</v>
      </c>
      <c r="G15" s="4" t="e">
        <f t="shared" si="0"/>
        <v>#REF!</v>
      </c>
      <c r="I15" s="4"/>
      <c r="J15" s="4"/>
      <c r="K15" s="4"/>
      <c r="L15" s="4"/>
      <c r="M15" s="4"/>
      <c r="O15" s="5" t="e">
        <f>1-(I15-C15)/((M2-1)*C15)</f>
        <v>#REF!</v>
      </c>
      <c r="P15" s="5" t="e">
        <f>1-(J15-D15)/((M2-1)*D15)</f>
        <v>#REF!</v>
      </c>
      <c r="Q15" s="5" t="e">
        <f>1-(K15-E15)/((M2-1)*E15)</f>
        <v>#REF!</v>
      </c>
      <c r="R15" s="5" t="e">
        <f>1-(L15-F15)/((M2-1)*F15)</f>
        <v>#REF!</v>
      </c>
    </row>
    <row r="16" spans="1:18" x14ac:dyDescent="0.2">
      <c r="B16" s="3" t="s">
        <v>25</v>
      </c>
      <c r="C16" s="4" t="e">
        <f>ROUND(#REF!/1000, 2)</f>
        <v>#REF!</v>
      </c>
      <c r="D16" s="4" t="e">
        <f>ROUND(#REF!/1000, 2)</f>
        <v>#REF!</v>
      </c>
      <c r="E16" s="4" t="e">
        <f>ROUND(#REF!/1000, 2)</f>
        <v>#REF!</v>
      </c>
      <c r="F16" s="4" t="e">
        <f>ROUND(#REF!/1000, 2)</f>
        <v>#REF!</v>
      </c>
      <c r="G16" s="4" t="e">
        <f t="shared" si="0"/>
        <v>#REF!</v>
      </c>
      <c r="I16" s="4"/>
      <c r="J16" s="4"/>
      <c r="K16" s="4"/>
      <c r="L16" s="4"/>
      <c r="M16" s="4"/>
      <c r="O16" s="5" t="e">
        <f>1-(I16-C16)/((M2-1)*C16)</f>
        <v>#REF!</v>
      </c>
      <c r="P16" s="5" t="e">
        <f>1-(J16-D16)/((M2-1)*D16)</f>
        <v>#REF!</v>
      </c>
      <c r="Q16" s="5" t="e">
        <f>1-(K16-E16)/((M2-1)*E16)</f>
        <v>#REF!</v>
      </c>
      <c r="R16" s="5" t="e">
        <f>1-(L16-F16)/((M2-1)*F16)</f>
        <v>#REF!</v>
      </c>
    </row>
    <row r="17" spans="2:18" x14ac:dyDescent="0.2">
      <c r="B17" s="3" t="s">
        <v>26</v>
      </c>
      <c r="C17" s="4" t="e">
        <f>ROUND(#REF!/1000, 2)</f>
        <v>#REF!</v>
      </c>
      <c r="D17" s="4" t="e">
        <f>ROUND(#REF!/1000, 2)</f>
        <v>#REF!</v>
      </c>
      <c r="E17" s="4" t="e">
        <f>ROUND(#REF!/1000, 2)</f>
        <v>#REF!</v>
      </c>
      <c r="F17" s="4" t="e">
        <f>ROUND(#REF!/1000, 2)</f>
        <v>#REF!</v>
      </c>
      <c r="G17" s="4" t="e">
        <f t="shared" si="0"/>
        <v>#REF!</v>
      </c>
      <c r="I17" s="4"/>
      <c r="J17" s="4"/>
      <c r="K17" s="4"/>
      <c r="L17" s="4"/>
      <c r="M17" s="4"/>
      <c r="O17" s="5" t="e">
        <f>1-(I17-C17)/((M2-1)*C17)</f>
        <v>#REF!</v>
      </c>
      <c r="P17" s="5" t="e">
        <f>1-(J17-D17)/((M2-1)*D17)</f>
        <v>#REF!</v>
      </c>
      <c r="Q17" s="5" t="e">
        <f>1-(K17-E17)/((M2-1)*E17)</f>
        <v>#REF!</v>
      </c>
      <c r="R17" s="5" t="e">
        <f>1-(L17-F17)/((M2-1)*F17)</f>
        <v>#REF!</v>
      </c>
    </row>
    <row r="18" spans="2:18" x14ac:dyDescent="0.2">
      <c r="B18" s="3" t="s">
        <v>27</v>
      </c>
      <c r="C18" s="4" t="e">
        <f>ROUND(#REF!/1000, 2)</f>
        <v>#REF!</v>
      </c>
      <c r="D18" s="4" t="e">
        <f>ROUND(#REF!/1000, 2)</f>
        <v>#REF!</v>
      </c>
      <c r="E18" s="4" t="e">
        <f>ROUND(#REF!/1000, 2)</f>
        <v>#REF!</v>
      </c>
      <c r="F18" s="4" t="e">
        <f>ROUND(#REF!/1000, 2)</f>
        <v>#REF!</v>
      </c>
      <c r="G18" s="4" t="e">
        <f t="shared" si="0"/>
        <v>#REF!</v>
      </c>
      <c r="I18" s="4"/>
      <c r="J18" s="4"/>
      <c r="K18" s="4"/>
      <c r="L18" s="4"/>
      <c r="M18" s="4"/>
      <c r="O18" s="5" t="e">
        <f>1-(I18-C18)/((M2-1)*C18)</f>
        <v>#REF!</v>
      </c>
      <c r="P18" s="5" t="e">
        <f>1-(J18-D18)/((M2-1)*D18)</f>
        <v>#REF!</v>
      </c>
      <c r="Q18" s="5" t="e">
        <f>1-(K18-E18)/((M2-1)*E18)</f>
        <v>#REF!</v>
      </c>
      <c r="R18" s="5" t="e">
        <f>1-(L18-F18)/((M2-1)*F18)</f>
        <v>#REF!</v>
      </c>
    </row>
    <row r="19" spans="2:18" x14ac:dyDescent="0.2">
      <c r="B19" s="3" t="s">
        <v>28</v>
      </c>
      <c r="C19" s="4" t="e">
        <f>ROUND(#REF!/1000, 2)</f>
        <v>#REF!</v>
      </c>
      <c r="D19" s="4" t="e">
        <f>ROUND(#REF!/1000, 2)</f>
        <v>#REF!</v>
      </c>
      <c r="E19" s="4" t="e">
        <f>ROUND(#REF!/1000, 2)</f>
        <v>#REF!</v>
      </c>
      <c r="F19" s="4" t="e">
        <f>ROUND(#REF!/1000, 2)</f>
        <v>#REF!</v>
      </c>
      <c r="G19" s="4" t="e">
        <f t="shared" si="0"/>
        <v>#REF!</v>
      </c>
      <c r="I19" s="4"/>
      <c r="J19" s="4"/>
      <c r="K19" s="4"/>
      <c r="L19" s="4"/>
      <c r="M19" s="4"/>
      <c r="O19" s="5" t="e">
        <f>1-(I19-C19)/((M2-1)*C19)</f>
        <v>#REF!</v>
      </c>
      <c r="P19" s="5" t="e">
        <f>1-(J19-D19)/((M2-1)*D19)</f>
        <v>#REF!</v>
      </c>
      <c r="Q19" s="5" t="e">
        <f>1-(K19-E19)/((M2-1)*E19)</f>
        <v>#REF!</v>
      </c>
      <c r="R19" s="5" t="e">
        <f>1-(L19-F19)/((M2-1)*F19)</f>
        <v>#REF!</v>
      </c>
    </row>
    <row r="20" spans="2:18" x14ac:dyDescent="0.2">
      <c r="B20" s="3" t="s">
        <v>29</v>
      </c>
      <c r="C20" s="4" t="e">
        <f>ROUND(#REF!/1000, 2)</f>
        <v>#REF!</v>
      </c>
      <c r="D20" s="4" t="e">
        <f>ROUND(#REF!/1000, 2)</f>
        <v>#REF!</v>
      </c>
      <c r="E20" s="4" t="e">
        <f>ROUND(#REF!/1000, 2)</f>
        <v>#REF!</v>
      </c>
      <c r="F20" s="4" t="e">
        <f>ROUND(#REF!/1000, 2)</f>
        <v>#REF!</v>
      </c>
      <c r="G20" s="4" t="e">
        <f t="shared" si="0"/>
        <v>#REF!</v>
      </c>
      <c r="I20" s="4"/>
      <c r="J20" s="4"/>
      <c r="K20" s="4"/>
      <c r="L20" s="4"/>
      <c r="M20" s="4"/>
      <c r="O20" s="5" t="e">
        <f>1-(I20-C20)/((M2-1)*C20)</f>
        <v>#REF!</v>
      </c>
      <c r="P20" s="5" t="e">
        <f>1-(J20-D20)/((M2-1)*D20)</f>
        <v>#REF!</v>
      </c>
      <c r="Q20" s="5" t="e">
        <f>1-(K20-E20)/((M2-1)*E20)</f>
        <v>#REF!</v>
      </c>
      <c r="R20" s="5" t="e">
        <f>1-(L20-F20)/((M2-1)*F20)</f>
        <v>#REF!</v>
      </c>
    </row>
    <row r="21" spans="2:18" x14ac:dyDescent="0.2">
      <c r="B21" s="3" t="s">
        <v>30</v>
      </c>
      <c r="C21" s="4" t="e">
        <f>ROUND(#REF!/1000, 2)</f>
        <v>#REF!</v>
      </c>
      <c r="D21" s="4" t="e">
        <f>ROUND(#REF!/1000, 2)</f>
        <v>#REF!</v>
      </c>
      <c r="E21" s="4" t="e">
        <f>ROUND(#REF!/1000, 2)</f>
        <v>#REF!</v>
      </c>
      <c r="F21" s="4" t="e">
        <f>ROUND(#REF!/1000, 2)</f>
        <v>#REF!</v>
      </c>
      <c r="G21" s="4" t="e">
        <f t="shared" si="0"/>
        <v>#REF!</v>
      </c>
      <c r="I21" s="4"/>
      <c r="J21" s="4"/>
      <c r="K21" s="4"/>
      <c r="L21" s="4"/>
      <c r="M21" s="4"/>
      <c r="O21" s="5" t="e">
        <f>1-(I21-C21)/((M2-1)*C21)</f>
        <v>#REF!</v>
      </c>
      <c r="P21" s="5" t="e">
        <f>1-(J21-D21)/((M2-1)*D21)</f>
        <v>#REF!</v>
      </c>
      <c r="Q21" s="5" t="e">
        <f>1-(K21-E21)/((M2-1)*E21)</f>
        <v>#REF!</v>
      </c>
      <c r="R21" s="5" t="e">
        <f>1-(L21-F21)/((M2-1)*F21)</f>
        <v>#REF!</v>
      </c>
    </row>
    <row r="22" spans="2:18" x14ac:dyDescent="0.2">
      <c r="B22" s="3" t="s">
        <v>31</v>
      </c>
      <c r="C22" s="4" t="e">
        <f>ROUND(#REF!/1000, 2)</f>
        <v>#REF!</v>
      </c>
      <c r="D22" s="4" t="e">
        <f>ROUND(#REF!/1000, 2)</f>
        <v>#REF!</v>
      </c>
      <c r="E22" s="4" t="e">
        <f>ROUND(#REF!/1000, 2)</f>
        <v>#REF!</v>
      </c>
      <c r="F22" s="4" t="e">
        <f>ROUND(#REF!/1000, 2)</f>
        <v>#REF!</v>
      </c>
      <c r="G22" s="4" t="e">
        <f t="shared" si="0"/>
        <v>#REF!</v>
      </c>
      <c r="I22" s="4"/>
      <c r="J22" s="4"/>
      <c r="K22" s="4"/>
      <c r="L22" s="4"/>
      <c r="M22" s="4"/>
      <c r="O22" s="5" t="e">
        <f>1-(I22-C22)/((M2-1)*C22)</f>
        <v>#REF!</v>
      </c>
      <c r="P22" s="5" t="e">
        <f>1-(J22-D22)/((M2-1)*D22)</f>
        <v>#REF!</v>
      </c>
      <c r="Q22" s="5" t="e">
        <f>1-(K22-E22)/((M2-1)*E22)</f>
        <v>#REF!</v>
      </c>
      <c r="R22" s="5" t="e">
        <f>1-(L22-F22)/((M2-1)*F22)</f>
        <v>#REF!</v>
      </c>
    </row>
    <row r="23" spans="2:18" x14ac:dyDescent="0.2">
      <c r="B23" s="3" t="s">
        <v>32</v>
      </c>
      <c r="C23" s="4" t="e">
        <f>ROUND(#REF!/1000, 2)</f>
        <v>#REF!</v>
      </c>
      <c r="D23" s="4" t="e">
        <f>ROUND(#REF!/1000, 2)</f>
        <v>#REF!</v>
      </c>
      <c r="E23" s="4" t="e">
        <f>ROUND(#REF!/1000, 2)</f>
        <v>#REF!</v>
      </c>
      <c r="F23" s="4" t="e">
        <f>ROUND(#REF!/1000, 2)</f>
        <v>#REF!</v>
      </c>
      <c r="G23" s="4" t="e">
        <f t="shared" si="0"/>
        <v>#REF!</v>
      </c>
      <c r="I23" s="4"/>
      <c r="J23" s="4"/>
      <c r="K23" s="4"/>
      <c r="L23" s="4"/>
      <c r="M23" s="4"/>
      <c r="O23" s="5" t="e">
        <f>1-(I23-C23)/((M2-1)*C23)</f>
        <v>#REF!</v>
      </c>
      <c r="P23" s="5" t="e">
        <f>1-(J23-D23)/((M2-1)*D23)</f>
        <v>#REF!</v>
      </c>
      <c r="Q23" s="5" t="e">
        <f>1-(K23-E23)/((M2-1)*E23)</f>
        <v>#REF!</v>
      </c>
      <c r="R23" s="5" t="e">
        <f>1-(L23-F23)/((M2-1)*F23)</f>
        <v>#REF!</v>
      </c>
    </row>
    <row r="24" spans="2:18" x14ac:dyDescent="0.2">
      <c r="B24" s="3" t="s">
        <v>33</v>
      </c>
      <c r="C24" s="4" t="e">
        <f>ROUND(#REF!/1000, 2)</f>
        <v>#REF!</v>
      </c>
      <c r="D24" s="4" t="e">
        <f>ROUND(#REF!/1000, 2)</f>
        <v>#REF!</v>
      </c>
      <c r="E24" s="4" t="e">
        <f>ROUND(#REF!/1000, 2)</f>
        <v>#REF!</v>
      </c>
      <c r="F24" s="4" t="e">
        <f>ROUND(#REF!/1000, 2)</f>
        <v>#REF!</v>
      </c>
      <c r="G24" s="4" t="e">
        <f t="shared" si="0"/>
        <v>#REF!</v>
      </c>
      <c r="I24" s="4"/>
      <c r="J24" s="4"/>
      <c r="K24" s="4"/>
      <c r="L24" s="4"/>
      <c r="M24" s="4"/>
      <c r="O24" s="5" t="e">
        <f>1-(I24-C24)/((M2-1)*C24)</f>
        <v>#REF!</v>
      </c>
      <c r="P24" s="5" t="e">
        <f>1-(J24-D24)/((M2-1)*D24)</f>
        <v>#REF!</v>
      </c>
      <c r="Q24" s="5" t="e">
        <f>1-(K24-E24)/((M2-1)*E24)</f>
        <v>#REF!</v>
      </c>
      <c r="R24" s="5" t="e">
        <f>1-(L24-F24)/((M2-1)*F24)</f>
        <v>#REF!</v>
      </c>
    </row>
    <row r="25" spans="2:18" x14ac:dyDescent="0.2">
      <c r="B25" s="3" t="s">
        <v>34</v>
      </c>
      <c r="C25" s="4" t="e">
        <f>ROUND(#REF!/1000, 2)</f>
        <v>#REF!</v>
      </c>
      <c r="D25" s="4" t="e">
        <f>ROUND(#REF!/1000, 2)</f>
        <v>#REF!</v>
      </c>
      <c r="E25" s="4" t="e">
        <f>ROUND(#REF!/1000, 2)</f>
        <v>#REF!</v>
      </c>
      <c r="F25" s="4" t="e">
        <f>ROUND(#REF!/1000, 2)</f>
        <v>#REF!</v>
      </c>
      <c r="G25" s="4" t="e">
        <f t="shared" si="0"/>
        <v>#REF!</v>
      </c>
      <c r="I25" s="4"/>
      <c r="J25" s="4"/>
      <c r="K25" s="4"/>
      <c r="L25" s="4"/>
      <c r="M25" s="4"/>
      <c r="O25" s="5" t="e">
        <f>1-(I25-C25)/((M2-1)*C25)</f>
        <v>#REF!</v>
      </c>
      <c r="P25" s="5" t="e">
        <f>1-(J25-D25)/((M2-1)*D25)</f>
        <v>#REF!</v>
      </c>
      <c r="Q25" s="5" t="e">
        <f>1-(K25-E25)/((M2-1)*E25)</f>
        <v>#REF!</v>
      </c>
      <c r="R25" s="5" t="e">
        <f>1-(L25-F25)/((M2-1)*F25)</f>
        <v>#REF!</v>
      </c>
    </row>
    <row r="26" spans="2:18" x14ac:dyDescent="0.2">
      <c r="B26" s="3" t="s">
        <v>35</v>
      </c>
      <c r="C26" s="4" t="e">
        <f>ROUND(#REF!/1000, 2)</f>
        <v>#REF!</v>
      </c>
      <c r="D26" s="4" t="e">
        <f>ROUND(#REF!/1000, 2)</f>
        <v>#REF!</v>
      </c>
      <c r="E26" s="4" t="e">
        <f>ROUND(#REF!/1000, 2)</f>
        <v>#REF!</v>
      </c>
      <c r="F26" s="4" t="e">
        <f>ROUND(#REF!/1000, 2)</f>
        <v>#REF!</v>
      </c>
      <c r="G26" s="4" t="e">
        <f t="shared" si="0"/>
        <v>#REF!</v>
      </c>
      <c r="I26" s="4"/>
      <c r="J26" s="4"/>
      <c r="K26" s="4"/>
      <c r="L26" s="4"/>
      <c r="M26" s="4"/>
      <c r="O26" s="5" t="e">
        <f>1-(I26-C26)/((M2-1)*C26)</f>
        <v>#REF!</v>
      </c>
      <c r="P26" s="5" t="e">
        <f>1-(J26-D26)/((M2-1)*D26)</f>
        <v>#REF!</v>
      </c>
      <c r="Q26" s="5" t="e">
        <f>1-(K26-E26)/((M2-1)*E26)</f>
        <v>#REF!</v>
      </c>
      <c r="R26" s="5" t="e">
        <f>1-(L26-F26)/((M2-1)*F26)</f>
        <v>#REF!</v>
      </c>
    </row>
    <row r="27" spans="2:18" x14ac:dyDescent="0.2">
      <c r="B27" s="3" t="s">
        <v>36</v>
      </c>
      <c r="C27" s="4" t="e">
        <f>ROUND(#REF!/1000, 2)</f>
        <v>#REF!</v>
      </c>
      <c r="D27" s="4" t="e">
        <f>ROUND(#REF!/1000, 2)</f>
        <v>#REF!</v>
      </c>
      <c r="E27" s="4" t="e">
        <f>ROUND(#REF!/1000, 2)</f>
        <v>#REF!</v>
      </c>
      <c r="F27" s="4" t="e">
        <f>ROUND(#REF!/1000, 2)</f>
        <v>#REF!</v>
      </c>
      <c r="G27" s="4" t="e">
        <f t="shared" si="0"/>
        <v>#REF!</v>
      </c>
      <c r="I27" s="4"/>
      <c r="J27" s="4"/>
      <c r="K27" s="4"/>
      <c r="L27" s="4"/>
      <c r="M27" s="4"/>
      <c r="O27" s="5" t="e">
        <f>1-(I27-C27)/((M2-1)*C27)</f>
        <v>#REF!</v>
      </c>
      <c r="P27" s="5" t="e">
        <f>1-(J27-D27)/((M2-1)*D27)</f>
        <v>#REF!</v>
      </c>
      <c r="Q27" s="5" t="e">
        <f>1-(K27-E27)/((M2-1)*E27)</f>
        <v>#REF!</v>
      </c>
      <c r="R27" s="5" t="e">
        <f>1-(L27-F27)/((M2-1)*F27)</f>
        <v>#REF!</v>
      </c>
    </row>
    <row r="28" spans="2:18" x14ac:dyDescent="0.2">
      <c r="B28" s="3" t="s">
        <v>37</v>
      </c>
      <c r="C28" s="4" t="e">
        <f>ROUND(#REF!/1000, 2)</f>
        <v>#REF!</v>
      </c>
      <c r="D28" s="4" t="e">
        <f>ROUND(#REF!/1000, 2)</f>
        <v>#REF!</v>
      </c>
      <c r="E28" s="4" t="e">
        <f>ROUND(#REF!/1000, 2)</f>
        <v>#REF!</v>
      </c>
      <c r="F28" s="4" t="e">
        <f>ROUND(#REF!/1000, 2)</f>
        <v>#REF!</v>
      </c>
      <c r="G28" s="4" t="e">
        <f t="shared" si="0"/>
        <v>#REF!</v>
      </c>
      <c r="I28" s="4"/>
      <c r="J28" s="4"/>
      <c r="K28" s="4"/>
      <c r="L28" s="4"/>
      <c r="M28" s="4"/>
      <c r="O28" s="5" t="e">
        <f>1-(I28-C28)/((M2-1)*C28)</f>
        <v>#REF!</v>
      </c>
      <c r="P28" s="5" t="e">
        <f>1-(J28-D28)/((M2-1)*D28)</f>
        <v>#REF!</v>
      </c>
      <c r="Q28" s="5" t="e">
        <f>1-(K28-E28)/((M2-1)*E28)</f>
        <v>#REF!</v>
      </c>
      <c r="R28" s="5" t="e">
        <f>1-(L28-F28)/((M2-1)*F28)</f>
        <v>#REF!</v>
      </c>
    </row>
    <row r="29" spans="2:18" x14ac:dyDescent="0.2">
      <c r="B29" s="3" t="s">
        <v>38</v>
      </c>
      <c r="C29" s="4" t="e">
        <f>ROUND(#REF!/1000, 2)</f>
        <v>#REF!</v>
      </c>
      <c r="D29" s="4" t="e">
        <f>ROUND(#REF!/1000, 2)</f>
        <v>#REF!</v>
      </c>
      <c r="E29" s="4" t="e">
        <f>ROUND(#REF!/1000, 2)</f>
        <v>#REF!</v>
      </c>
      <c r="F29" s="4" t="e">
        <f>ROUND(#REF!/1000, 2)</f>
        <v>#REF!</v>
      </c>
      <c r="G29" s="4" t="e">
        <f t="shared" si="0"/>
        <v>#REF!</v>
      </c>
      <c r="I29" s="4"/>
      <c r="J29" s="4"/>
      <c r="K29" s="4"/>
      <c r="L29" s="4"/>
      <c r="M29" s="4"/>
      <c r="O29" s="5" t="e">
        <f>1-(I29-C29)/((M2-1)*C29)</f>
        <v>#REF!</v>
      </c>
      <c r="P29" s="5" t="e">
        <f>1-(J29-D29)/((M2-1)*D29)</f>
        <v>#REF!</v>
      </c>
      <c r="Q29" s="5" t="e">
        <f>1-(K29-E29)/((M2-1)*E29)</f>
        <v>#REF!</v>
      </c>
      <c r="R29" s="5" t="e">
        <f>1-(L29-F29)/((M2-1)*F29)</f>
        <v>#REF!</v>
      </c>
    </row>
    <row r="30" spans="2:18" x14ac:dyDescent="0.2">
      <c r="B30" s="3" t="s">
        <v>39</v>
      </c>
      <c r="C30" s="4" t="e">
        <f>ROUND(#REF!/1000, 2)</f>
        <v>#REF!</v>
      </c>
      <c r="D30" s="4" t="e">
        <f>ROUND(#REF!/1000, 2)</f>
        <v>#REF!</v>
      </c>
      <c r="E30" s="4" t="e">
        <f>ROUND(#REF!/1000, 2)</f>
        <v>#REF!</v>
      </c>
      <c r="F30" s="4" t="e">
        <f>ROUND(#REF!/1000, 2)</f>
        <v>#REF!</v>
      </c>
      <c r="G30" s="4" t="e">
        <f t="shared" si="0"/>
        <v>#REF!</v>
      </c>
      <c r="I30" s="4"/>
      <c r="J30" s="4"/>
      <c r="K30" s="4"/>
      <c r="L30" s="4"/>
      <c r="M30" s="4"/>
      <c r="O30" s="5" t="e">
        <f>1-(I30-C30)/((M2-1)*C30)</f>
        <v>#REF!</v>
      </c>
      <c r="P30" s="5" t="e">
        <f>1-(J30-D30)/((M2-1)*D30)</f>
        <v>#REF!</v>
      </c>
      <c r="Q30" s="5" t="e">
        <f>1-(K30-E30)/((M2-1)*E30)</f>
        <v>#REF!</v>
      </c>
      <c r="R30" s="5" t="e">
        <f>1-(L30-F30)/((M2-1)*F30)</f>
        <v>#REF!</v>
      </c>
    </row>
    <row r="31" spans="2:18" x14ac:dyDescent="0.2">
      <c r="B31" s="3" t="s">
        <v>40</v>
      </c>
      <c r="C31" s="4" t="e">
        <f>ROUND(#REF!/1000, 2)</f>
        <v>#REF!</v>
      </c>
      <c r="D31" s="4" t="e">
        <f>ROUND(#REF!/1000, 2)</f>
        <v>#REF!</v>
      </c>
      <c r="E31" s="4" t="e">
        <f>ROUND(#REF!/1000, 2)</f>
        <v>#REF!</v>
      </c>
      <c r="F31" s="4" t="e">
        <f>ROUND(#REF!/1000, 2)</f>
        <v>#REF!</v>
      </c>
      <c r="G31" s="4" t="e">
        <f t="shared" si="0"/>
        <v>#REF!</v>
      </c>
      <c r="I31" s="4"/>
      <c r="J31" s="4"/>
      <c r="K31" s="4"/>
      <c r="L31" s="4"/>
      <c r="M31" s="4"/>
      <c r="O31" s="5" t="e">
        <f>1-(I31-C31)/((M2-1)*C31)</f>
        <v>#REF!</v>
      </c>
      <c r="P31" s="5" t="e">
        <f>1-(J31-D31)/((M2-1)*D31)</f>
        <v>#REF!</v>
      </c>
      <c r="Q31" s="5" t="e">
        <f>1-(K31-E31)/((M2-1)*E31)</f>
        <v>#REF!</v>
      </c>
      <c r="R31" s="5" t="e">
        <f>1-(L31-F31)/((M2-1)*F31)</f>
        <v>#REF!</v>
      </c>
    </row>
    <row r="32" spans="2:18" x14ac:dyDescent="0.2">
      <c r="B32" s="3" t="s">
        <v>41</v>
      </c>
      <c r="C32" s="4" t="e">
        <f>ROUND(#REF!/1000, 2)</f>
        <v>#REF!</v>
      </c>
      <c r="D32" s="4" t="e">
        <f>ROUND(#REF!/1000, 2)</f>
        <v>#REF!</v>
      </c>
      <c r="E32" s="4" t="e">
        <f>ROUND(#REF!/1000, 2)</f>
        <v>#REF!</v>
      </c>
      <c r="F32" s="4" t="e">
        <f>ROUND(#REF!/1000, 2)</f>
        <v>#REF!</v>
      </c>
      <c r="G32" s="4" t="e">
        <f t="shared" si="0"/>
        <v>#REF!</v>
      </c>
      <c r="I32" s="4"/>
      <c r="J32" s="4"/>
      <c r="K32" s="4"/>
      <c r="L32" s="4"/>
      <c r="M32" s="4"/>
      <c r="O32" s="5" t="e">
        <f>1-(I32-C32)/((M2-1)*C32)</f>
        <v>#REF!</v>
      </c>
      <c r="P32" s="5" t="e">
        <f>1-(J32-D32)/((M2-1)*D32)</f>
        <v>#REF!</v>
      </c>
      <c r="Q32" s="5" t="e">
        <f>1-(K32-E32)/((M2-1)*E32)</f>
        <v>#REF!</v>
      </c>
      <c r="R32" s="5" t="e">
        <f>1-(L32-F32)/((M2-1)*F32)</f>
        <v>#REF!</v>
      </c>
    </row>
    <row r="33" spans="2:18" x14ac:dyDescent="0.2">
      <c r="B33" s="3" t="s">
        <v>42</v>
      </c>
      <c r="C33" s="4" t="e">
        <f>ROUND(#REF!/1000, 2)</f>
        <v>#REF!</v>
      </c>
      <c r="D33" s="4" t="e">
        <f>ROUND(#REF!/1000, 2)</f>
        <v>#REF!</v>
      </c>
      <c r="E33" s="4" t="e">
        <f>ROUND(#REF!/1000, 2)</f>
        <v>#REF!</v>
      </c>
      <c r="F33" s="4" t="e">
        <f>ROUND(#REF!/1000, 2)</f>
        <v>#REF!</v>
      </c>
      <c r="G33" s="4" t="e">
        <f t="shared" si="0"/>
        <v>#REF!</v>
      </c>
      <c r="I33" s="4"/>
      <c r="J33" s="4"/>
      <c r="K33" s="4"/>
      <c r="L33" s="4"/>
      <c r="M33" s="4"/>
      <c r="O33" s="5" t="e">
        <f>1-(I33-C33)/((M2-1)*C33)</f>
        <v>#REF!</v>
      </c>
      <c r="P33" s="5" t="e">
        <f>1-(J33-D33)/((M2-1)*D33)</f>
        <v>#REF!</v>
      </c>
      <c r="Q33" s="5" t="e">
        <f>1-(K33-E33)/((M2-1)*E33)</f>
        <v>#REF!</v>
      </c>
      <c r="R33" s="5" t="e">
        <f>1-(L33-F33)/((M2-1)*F33)</f>
        <v>#REF!</v>
      </c>
    </row>
    <row r="34" spans="2:18" x14ac:dyDescent="0.2">
      <c r="B34" s="3" t="s">
        <v>43</v>
      </c>
      <c r="C34" s="4" t="e">
        <f>ROUND(#REF!/1000, 2)</f>
        <v>#REF!</v>
      </c>
      <c r="D34" s="4" t="e">
        <f>ROUND(#REF!/1000, 2)</f>
        <v>#REF!</v>
      </c>
      <c r="E34" s="4" t="e">
        <f>ROUND(#REF!/1000, 2)</f>
        <v>#REF!</v>
      </c>
      <c r="F34" s="4" t="e">
        <f>ROUND(#REF!/1000, 2)</f>
        <v>#REF!</v>
      </c>
      <c r="G34" s="4" t="e">
        <f t="shared" si="0"/>
        <v>#REF!</v>
      </c>
      <c r="I34" s="4"/>
      <c r="J34" s="4"/>
      <c r="K34" s="4"/>
      <c r="L34" s="4"/>
      <c r="M34" s="4"/>
      <c r="O34" s="5" t="e">
        <f>1-(I34-C34)/((M2-1)*C34)</f>
        <v>#REF!</v>
      </c>
      <c r="P34" s="5" t="e">
        <f>1-(J34-D34)/((M2-1)*D34)</f>
        <v>#REF!</v>
      </c>
      <c r="Q34" s="5" t="e">
        <f>1-(K34-E34)/((M2-1)*E34)</f>
        <v>#REF!</v>
      </c>
      <c r="R34" s="5" t="e">
        <f>1-(L34-F34)/((M2-1)*F34)</f>
        <v>#REF!</v>
      </c>
    </row>
    <row r="35" spans="2:18" x14ac:dyDescent="0.2">
      <c r="B35" s="3" t="s">
        <v>44</v>
      </c>
      <c r="C35" s="4" t="e">
        <f>ROUND(#REF!/1000, 2)</f>
        <v>#REF!</v>
      </c>
      <c r="D35" s="4" t="e">
        <f>ROUND(#REF!/1000, 2)</f>
        <v>#REF!</v>
      </c>
      <c r="E35" s="4" t="e">
        <f>ROUND(#REF!/1000, 2)</f>
        <v>#REF!</v>
      </c>
      <c r="F35" s="4" t="e">
        <f>ROUND(#REF!/1000, 2)</f>
        <v>#REF!</v>
      </c>
      <c r="G35" s="4" t="e">
        <f t="shared" si="0"/>
        <v>#REF!</v>
      </c>
      <c r="I35" s="4"/>
      <c r="J35" s="4"/>
      <c r="K35" s="4"/>
      <c r="L35" s="4"/>
      <c r="M35" s="4"/>
      <c r="O35" s="5" t="e">
        <f>1-(I35-C35)/((M2-1)*C35)</f>
        <v>#REF!</v>
      </c>
      <c r="P35" s="5" t="e">
        <f>1-(J35-D35)/((M2-1)*D35)</f>
        <v>#REF!</v>
      </c>
      <c r="Q35" s="5" t="e">
        <f>1-(K35-E35)/((M2-1)*E35)</f>
        <v>#REF!</v>
      </c>
      <c r="R35" s="5" t="e">
        <f>1-(L35-F35)/((M2-1)*F35)</f>
        <v>#REF!</v>
      </c>
    </row>
    <row r="36" spans="2:18" x14ac:dyDescent="0.2">
      <c r="B36" s="3" t="s">
        <v>45</v>
      </c>
      <c r="C36" s="4" t="e">
        <f>ROUND(#REF!/1000, 2)</f>
        <v>#REF!</v>
      </c>
      <c r="D36" s="4" t="e">
        <f>ROUND(#REF!/1000, 2)</f>
        <v>#REF!</v>
      </c>
      <c r="E36" s="4" t="e">
        <f>ROUND(#REF!/1000, 2)</f>
        <v>#REF!</v>
      </c>
      <c r="F36" s="4" t="e">
        <f>ROUND(#REF!/1000, 2)</f>
        <v>#REF!</v>
      </c>
      <c r="G36" s="4" t="e">
        <f t="shared" ref="G36:G58" si="1">SUM(C36:F36)</f>
        <v>#REF!</v>
      </c>
      <c r="I36" s="4"/>
      <c r="J36" s="4"/>
      <c r="K36" s="4"/>
      <c r="L36" s="4"/>
      <c r="M36" s="4"/>
      <c r="O36" s="5" t="e">
        <f>1-(I36-C36)/((M2-1)*C36)</f>
        <v>#REF!</v>
      </c>
      <c r="P36" s="5" t="e">
        <f>1-(J36-D36)/((M2-1)*D36)</f>
        <v>#REF!</v>
      </c>
      <c r="Q36" s="5" t="e">
        <f>1-(K36-E36)/((M2-1)*E36)</f>
        <v>#REF!</v>
      </c>
      <c r="R36" s="5" t="e">
        <f>1-(L36-F36)/((M2-1)*F36)</f>
        <v>#REF!</v>
      </c>
    </row>
    <row r="37" spans="2:18" x14ac:dyDescent="0.2">
      <c r="B37" s="3" t="s">
        <v>46</v>
      </c>
      <c r="C37" s="4" t="e">
        <f>ROUND(#REF!/1000, 2)</f>
        <v>#REF!</v>
      </c>
      <c r="D37" s="4" t="e">
        <f>ROUND(#REF!/1000, 2)</f>
        <v>#REF!</v>
      </c>
      <c r="E37" s="4" t="e">
        <f>ROUND(#REF!/1000, 2)</f>
        <v>#REF!</v>
      </c>
      <c r="F37" s="4" t="e">
        <f>ROUND(#REF!/1000, 2)</f>
        <v>#REF!</v>
      </c>
      <c r="G37" s="4" t="e">
        <f t="shared" si="1"/>
        <v>#REF!</v>
      </c>
      <c r="I37" s="4"/>
      <c r="J37" s="4"/>
      <c r="K37" s="4"/>
      <c r="L37" s="4"/>
      <c r="M37" s="4"/>
      <c r="O37" s="5" t="e">
        <f>1-(I37-C37)/((M2-1)*C37)</f>
        <v>#REF!</v>
      </c>
      <c r="P37" s="5" t="e">
        <f>1-(J37-D37)/((M2-1)*D37)</f>
        <v>#REF!</v>
      </c>
      <c r="Q37" s="5" t="e">
        <f>1-(K37-E37)/((M2-1)*E37)</f>
        <v>#REF!</v>
      </c>
      <c r="R37" s="5" t="e">
        <f>1-(L37-F37)/((M2-1)*F37)</f>
        <v>#REF!</v>
      </c>
    </row>
    <row r="38" spans="2:18" x14ac:dyDescent="0.2">
      <c r="B38" s="3" t="s">
        <v>47</v>
      </c>
      <c r="C38" s="4" t="e">
        <f>ROUND(#REF!/1000, 2)</f>
        <v>#REF!</v>
      </c>
      <c r="D38" s="4" t="e">
        <f>ROUND(#REF!/1000, 2)</f>
        <v>#REF!</v>
      </c>
      <c r="E38" s="4" t="e">
        <f>ROUND(#REF!/1000, 2)</f>
        <v>#REF!</v>
      </c>
      <c r="F38" s="4" t="e">
        <f>ROUND(#REF!/1000, 2)</f>
        <v>#REF!</v>
      </c>
      <c r="G38" s="4" t="e">
        <f t="shared" si="1"/>
        <v>#REF!</v>
      </c>
      <c r="I38" s="4"/>
      <c r="J38" s="4"/>
      <c r="K38" s="4"/>
      <c r="L38" s="4"/>
      <c r="M38" s="4"/>
      <c r="O38" s="5" t="e">
        <f>1-(I38-C38)/((M2-1)*C38)</f>
        <v>#REF!</v>
      </c>
      <c r="P38" s="5" t="e">
        <f>1-(J38-D38)/((M2-1)*D38)</f>
        <v>#REF!</v>
      </c>
      <c r="Q38" s="5" t="e">
        <f>1-(K38-E38)/((M2-1)*E38)</f>
        <v>#REF!</v>
      </c>
      <c r="R38" s="5" t="e">
        <f>1-(L38-F38)/((M2-1)*F38)</f>
        <v>#REF!</v>
      </c>
    </row>
    <row r="39" spans="2:18" x14ac:dyDescent="0.2">
      <c r="B39" s="3" t="s">
        <v>48</v>
      </c>
      <c r="C39" s="4" t="e">
        <f>ROUND(#REF!/1000, 2)</f>
        <v>#REF!</v>
      </c>
      <c r="D39" s="4" t="e">
        <f>ROUND(#REF!/1000, 2)</f>
        <v>#REF!</v>
      </c>
      <c r="E39" s="4" t="e">
        <f>ROUND(#REF!/1000, 2)</f>
        <v>#REF!</v>
      </c>
      <c r="F39" s="4" t="e">
        <f>ROUND(#REF!/1000, 2)</f>
        <v>#REF!</v>
      </c>
      <c r="G39" s="4" t="e">
        <f t="shared" si="1"/>
        <v>#REF!</v>
      </c>
      <c r="I39" s="4"/>
      <c r="J39" s="4"/>
      <c r="K39" s="4"/>
      <c r="L39" s="4"/>
      <c r="M39" s="4"/>
      <c r="O39" s="5" t="e">
        <f>1-(I39-C39)/((M2-1)*C39)</f>
        <v>#REF!</v>
      </c>
      <c r="P39" s="5" t="e">
        <f>1-(J39-D39)/((M2-1)*D39)</f>
        <v>#REF!</v>
      </c>
      <c r="Q39" s="5" t="e">
        <f>1-(K39-E39)/((M2-1)*E39)</f>
        <v>#REF!</v>
      </c>
      <c r="R39" s="5" t="e">
        <f>1-(L39-F39)/((M2-1)*F39)</f>
        <v>#REF!</v>
      </c>
    </row>
    <row r="40" spans="2:18" x14ac:dyDescent="0.2">
      <c r="B40" s="3" t="s">
        <v>49</v>
      </c>
      <c r="C40" s="4" t="e">
        <f>ROUND(#REF!/1000, 2)</f>
        <v>#REF!</v>
      </c>
      <c r="D40" s="4" t="e">
        <f>ROUND(#REF!/1000, 2)</f>
        <v>#REF!</v>
      </c>
      <c r="E40" s="4" t="e">
        <f>ROUND(#REF!/1000, 2)</f>
        <v>#REF!</v>
      </c>
      <c r="F40" s="4" t="e">
        <f>ROUND(#REF!/1000, 2)</f>
        <v>#REF!</v>
      </c>
      <c r="G40" s="4" t="e">
        <f t="shared" si="1"/>
        <v>#REF!</v>
      </c>
      <c r="I40" s="4"/>
      <c r="J40" s="4"/>
      <c r="K40" s="4"/>
      <c r="L40" s="4"/>
      <c r="M40" s="4"/>
      <c r="O40" s="5" t="e">
        <f>1-(I40-C40)/((M2-1)*C40)</f>
        <v>#REF!</v>
      </c>
      <c r="P40" s="5" t="e">
        <f>1-(J40-D40)/((M2-1)*D40)</f>
        <v>#REF!</v>
      </c>
      <c r="Q40" s="5" t="e">
        <f>1-(K40-E40)/((M2-1)*E40)</f>
        <v>#REF!</v>
      </c>
      <c r="R40" s="5" t="e">
        <f>1-(L40-F40)/((M2-1)*F40)</f>
        <v>#REF!</v>
      </c>
    </row>
    <row r="41" spans="2:18" x14ac:dyDescent="0.2">
      <c r="B41" s="3" t="s">
        <v>50</v>
      </c>
      <c r="C41" s="4" t="e">
        <f>ROUND(#REF!/1000, 2)</f>
        <v>#REF!</v>
      </c>
      <c r="D41" s="4" t="e">
        <f>ROUND(#REF!/1000, 2)</f>
        <v>#REF!</v>
      </c>
      <c r="E41" s="4" t="e">
        <f>ROUND(#REF!/1000, 2)</f>
        <v>#REF!</v>
      </c>
      <c r="F41" s="4" t="e">
        <f>ROUND(#REF!/1000, 2)</f>
        <v>#REF!</v>
      </c>
      <c r="G41" s="4" t="e">
        <f t="shared" si="1"/>
        <v>#REF!</v>
      </c>
      <c r="I41" s="4"/>
      <c r="J41" s="4"/>
      <c r="K41" s="4"/>
      <c r="L41" s="4"/>
      <c r="M41" s="4"/>
      <c r="O41" s="5" t="e">
        <f>1-(I41-C41)/((M2-1)*C41)</f>
        <v>#REF!</v>
      </c>
      <c r="P41" s="5" t="e">
        <f>1-(J41-D41)/((M2-1)*D41)</f>
        <v>#REF!</v>
      </c>
      <c r="Q41" s="5" t="e">
        <f>1-(K41-E41)/((M2-1)*E41)</f>
        <v>#REF!</v>
      </c>
      <c r="R41" s="5" t="e">
        <f>1-(L41-F41)/((M2-1)*F41)</f>
        <v>#REF!</v>
      </c>
    </row>
    <row r="42" spans="2:18" x14ac:dyDescent="0.2">
      <c r="B42" s="3" t="s">
        <v>51</v>
      </c>
      <c r="C42" s="4" t="e">
        <f>ROUND(#REF!/1000, 2)</f>
        <v>#REF!</v>
      </c>
      <c r="D42" s="4" t="e">
        <f>ROUND(#REF!/1000, 2)</f>
        <v>#REF!</v>
      </c>
      <c r="E42" s="4" t="e">
        <f>ROUND(#REF!/1000, 2)</f>
        <v>#REF!</v>
      </c>
      <c r="F42" s="4" t="e">
        <f>ROUND(#REF!/1000, 2)</f>
        <v>#REF!</v>
      </c>
      <c r="G42" s="4" t="e">
        <f t="shared" si="1"/>
        <v>#REF!</v>
      </c>
      <c r="I42" s="4"/>
      <c r="J42" s="4"/>
      <c r="K42" s="4"/>
      <c r="L42" s="4"/>
      <c r="M42" s="4"/>
      <c r="O42" s="5" t="e">
        <f>1-(I42-C42)/((M2-1)*C42)</f>
        <v>#REF!</v>
      </c>
      <c r="P42" s="5" t="e">
        <f>1-(J42-D42)/((M2-1)*D42)</f>
        <v>#REF!</v>
      </c>
      <c r="Q42" s="5" t="e">
        <f>1-(K42-E42)/((M2-1)*E42)</f>
        <v>#REF!</v>
      </c>
      <c r="R42" s="5" t="e">
        <f>1-(L42-F42)/((M2-1)*F42)</f>
        <v>#REF!</v>
      </c>
    </row>
    <row r="43" spans="2:18" x14ac:dyDescent="0.2">
      <c r="B43" s="3" t="s">
        <v>52</v>
      </c>
      <c r="C43" s="4" t="e">
        <f>ROUND(#REF!/1000, 2)</f>
        <v>#REF!</v>
      </c>
      <c r="D43" s="4" t="e">
        <f>ROUND(#REF!/1000, 2)</f>
        <v>#REF!</v>
      </c>
      <c r="E43" s="4" t="e">
        <f>ROUND(#REF!/1000, 2)</f>
        <v>#REF!</v>
      </c>
      <c r="F43" s="4" t="e">
        <f>ROUND(#REF!/1000, 2)</f>
        <v>#REF!</v>
      </c>
      <c r="G43" s="4" t="e">
        <f t="shared" si="1"/>
        <v>#REF!</v>
      </c>
      <c r="I43" s="4"/>
      <c r="J43" s="4"/>
      <c r="K43" s="4"/>
      <c r="L43" s="4"/>
      <c r="M43" s="4"/>
      <c r="O43" s="5" t="e">
        <f>1-(I43-C43)/((M2-1)*C43)</f>
        <v>#REF!</v>
      </c>
      <c r="P43" s="5" t="e">
        <f>1-(J43-D43)/((M2-1)*D43)</f>
        <v>#REF!</v>
      </c>
      <c r="Q43" s="5" t="e">
        <f>1-(K43-E43)/((M2-1)*E43)</f>
        <v>#REF!</v>
      </c>
      <c r="R43" s="5" t="e">
        <f>1-(L43-F43)/((M2-1)*F43)</f>
        <v>#REF!</v>
      </c>
    </row>
    <row r="44" spans="2:18" x14ac:dyDescent="0.2">
      <c r="B44" s="9" t="s">
        <v>53</v>
      </c>
      <c r="C44" s="92">
        <f>ROUND(NPMS!F2/1000, 2)</f>
        <v>4.83</v>
      </c>
      <c r="D44" s="4">
        <f>ROUND(NPMS!I2/1000, 2)</f>
        <v>0</v>
      </c>
      <c r="E44" s="4">
        <f>ROUND(NPMS!L2/1000, 2)</f>
        <v>0</v>
      </c>
      <c r="F44" s="4">
        <f>ROUND(NPMS!O2/1000, 2)</f>
        <v>0</v>
      </c>
      <c r="G44" s="4">
        <f t="shared" si="1"/>
        <v>4.83</v>
      </c>
      <c r="I44" s="4"/>
      <c r="J44" s="4"/>
      <c r="K44" s="4"/>
      <c r="L44" s="4"/>
      <c r="M44" s="4"/>
      <c r="O44" s="5">
        <f>1-(I44-C44)/((M2-1)*C44)</f>
        <v>1.3333333333333333</v>
      </c>
      <c r="P44" s="5" t="e">
        <f>1-(J44-D44)/((M2-1)*D44)</f>
        <v>#DIV/0!</v>
      </c>
      <c r="Q44" s="5" t="e">
        <f>1-(K44-E44)/((M2-1)*E44)</f>
        <v>#DIV/0!</v>
      </c>
      <c r="R44" s="5" t="e">
        <f>1-(L44-F44)/((M2-1)*F44)</f>
        <v>#DIV/0!</v>
      </c>
    </row>
    <row r="45" spans="2:18" x14ac:dyDescent="0.2">
      <c r="B45" s="10" t="s">
        <v>54</v>
      </c>
      <c r="C45" s="92">
        <f>ROUND(DAPS!F2/1000, 2)</f>
        <v>4.46</v>
      </c>
      <c r="D45" s="4">
        <f>ROUND(DAPS!I2/1000, 2)</f>
        <v>5.03</v>
      </c>
      <c r="E45" s="4">
        <f>ROUND(DAPS!L2/1000, 2)</f>
        <v>0</v>
      </c>
      <c r="F45" s="4">
        <f>ROUND(DAPS!O2/1000, 2)</f>
        <v>0</v>
      </c>
      <c r="G45" s="4">
        <f t="shared" si="1"/>
        <v>9.49</v>
      </c>
      <c r="I45" s="4"/>
      <c r="J45" s="4"/>
      <c r="K45" s="4"/>
      <c r="L45" s="4"/>
      <c r="M45" s="4"/>
      <c r="O45" s="5">
        <f>1-(I45-C45)/((M2-1)*C45)</f>
        <v>1.3333333333333335</v>
      </c>
      <c r="P45" s="5">
        <f>1-(J45-D45)/((M2-1)*D45)</f>
        <v>1.3333333333333335</v>
      </c>
      <c r="Q45" s="5" t="e">
        <f>1-(K45-E45)/((M2-1)*E45)</f>
        <v>#DIV/0!</v>
      </c>
      <c r="R45" s="5" t="e">
        <f>1-(L45-F45)/((M2-1)*F45)</f>
        <v>#DIV/0!</v>
      </c>
    </row>
    <row r="46" spans="2:18" x14ac:dyDescent="0.2">
      <c r="B46" s="9" t="s">
        <v>55</v>
      </c>
      <c r="C46" s="92">
        <f>ROUND(NCKM!F2/1000, 2)</f>
        <v>0</v>
      </c>
      <c r="D46" s="4">
        <f>ROUND(NCKM!I2/1000, 2)</f>
        <v>0</v>
      </c>
      <c r="E46" s="4">
        <f>ROUND(NCKM!L2/1000, 2)</f>
        <v>0</v>
      </c>
      <c r="F46" s="4">
        <f>ROUND(NCKM!O2/1000, 2)</f>
        <v>0</v>
      </c>
      <c r="G46" s="4">
        <f t="shared" si="1"/>
        <v>0</v>
      </c>
      <c r="I46" s="4"/>
      <c r="J46" s="4"/>
      <c r="K46" s="4"/>
      <c r="L46" s="4"/>
      <c r="M46" s="4"/>
      <c r="O46" s="5" t="e">
        <f>1-(I46-C46)/((M2-1)*C46)</f>
        <v>#DIV/0!</v>
      </c>
      <c r="P46" s="5" t="e">
        <f>1-(J46-D46)/((M2-1)*D46)</f>
        <v>#DIV/0!</v>
      </c>
      <c r="Q46" s="5" t="e">
        <f>1-(K46-E46)/((M2-1)*E46)</f>
        <v>#DIV/0!</v>
      </c>
      <c r="R46" s="5" t="e">
        <f>1-(L46-F46)/((M2-1)*F46)</f>
        <v>#DIV/0!</v>
      </c>
    </row>
    <row r="47" spans="2:18" x14ac:dyDescent="0.2">
      <c r="B47" s="9" t="s">
        <v>56</v>
      </c>
      <c r="C47" s="92">
        <f>ROUND(LLPSMN!F2/1000, 2)</f>
        <v>0</v>
      </c>
      <c r="D47" s="4">
        <f>ROUND(LLPSMN!I2/1000, 2)</f>
        <v>0</v>
      </c>
      <c r="E47" s="4">
        <f>ROUND(LLPSMN!L2/1000, 2)</f>
        <v>0</v>
      </c>
      <c r="F47" s="4">
        <f>ROUND(LLPSMN!O2/1000, 2)</f>
        <v>0</v>
      </c>
      <c r="G47" s="4">
        <f t="shared" si="1"/>
        <v>0</v>
      </c>
      <c r="I47" s="4"/>
      <c r="J47" s="4"/>
      <c r="K47" s="4"/>
      <c r="L47" s="4"/>
      <c r="M47" s="4"/>
      <c r="O47" s="5" t="e">
        <f>1-(I47-C47)/((M2-1)*C47)</f>
        <v>#DIV/0!</v>
      </c>
      <c r="P47" s="5" t="e">
        <f>1-(J47-D47)/((M2-1)*D47)</f>
        <v>#DIV/0!</v>
      </c>
      <c r="Q47" s="5" t="e">
        <f>1-(K47-E47)/((M2-1)*E47)</f>
        <v>#DIV/0!</v>
      </c>
      <c r="R47" s="5" t="e">
        <f>1-(L47-F47)/((M2-1)*F47)</f>
        <v>#DIV/0!</v>
      </c>
    </row>
    <row r="48" spans="2:18" x14ac:dyDescent="0.2">
      <c r="B48" s="9" t="s">
        <v>57</v>
      </c>
      <c r="C48" s="92">
        <f>ROUND(ABSMIN!F2/1000, 2)</f>
        <v>0.44</v>
      </c>
      <c r="D48" s="4">
        <f>ROUND(ABSMIN!I2/1000, 2)</f>
        <v>0</v>
      </c>
      <c r="E48" s="4">
        <f>ROUND(ABSMIN!L2/1000, 2)</f>
        <v>0</v>
      </c>
      <c r="F48" s="4">
        <f>ROUND(ABSMIN!O2/1000, 2)</f>
        <v>0</v>
      </c>
      <c r="G48" s="4">
        <f t="shared" si="1"/>
        <v>0.44</v>
      </c>
      <c r="I48" s="4"/>
      <c r="J48" s="4"/>
      <c r="K48" s="4"/>
      <c r="L48" s="4"/>
      <c r="M48" s="4"/>
      <c r="O48" s="5">
        <f>1-(I48-C48)/((M2-1)*C48)</f>
        <v>1.3333333333333333</v>
      </c>
      <c r="P48" s="5" t="e">
        <f>1-(J48-D48)/((M2-1)*D48)</f>
        <v>#DIV/0!</v>
      </c>
      <c r="Q48" s="5" t="e">
        <f>1-(K48-E48)/((M2-1)*E48)</f>
        <v>#DIV/0!</v>
      </c>
      <c r="R48" s="5" t="e">
        <f>1-(L48-F48)/((M2-1)*F48)</f>
        <v>#DIV/0!</v>
      </c>
    </row>
    <row r="49" spans="2:18" x14ac:dyDescent="0.2">
      <c r="B49" s="9" t="s">
        <v>58</v>
      </c>
      <c r="C49" s="92">
        <f>ROUND(DSGVTHSENSOR!F2/1000, 2)</f>
        <v>26.43</v>
      </c>
      <c r="D49" s="4">
        <f>ROUND(DSGVTHSENSOR!I2/1000, 2)</f>
        <v>0</v>
      </c>
      <c r="E49" s="4">
        <f>ROUND(DSGVTHSENSOR!L2/1000, 2)</f>
        <v>0</v>
      </c>
      <c r="F49" s="4">
        <f>ROUND(DSGVTHSENSOR!O2/1000, 2)</f>
        <v>0</v>
      </c>
      <c r="G49" s="4">
        <f t="shared" si="1"/>
        <v>26.43</v>
      </c>
      <c r="I49" s="4"/>
      <c r="J49" s="4"/>
      <c r="K49" s="4"/>
      <c r="L49" s="4"/>
      <c r="M49" s="4"/>
      <c r="O49" s="5">
        <f>1-(I49-C49)/((M2-1)*C49)</f>
        <v>1.3333333333333335</v>
      </c>
      <c r="P49" s="5" t="e">
        <f>1-(J49-D49)/((M2-1)*D49)</f>
        <v>#DIV/0!</v>
      </c>
      <c r="Q49" s="5" t="e">
        <f>1-(K49-E49)/((M2-1)*E49)</f>
        <v>#DIV/0!</v>
      </c>
      <c r="R49" s="5" t="e">
        <f>1-(L49-F49)/((M2-1)*F49)</f>
        <v>#DIV/0!</v>
      </c>
    </row>
    <row r="50" spans="2:18" x14ac:dyDescent="0.2">
      <c r="B50" s="10" t="s">
        <v>59</v>
      </c>
      <c r="C50" s="4" t="e">
        <f>ROUND(#REF!/1000, 2)</f>
        <v>#REF!</v>
      </c>
      <c r="D50" s="4" t="e">
        <f>ROUND(#REF!/1000, 2)</f>
        <v>#REF!</v>
      </c>
      <c r="E50" s="4" t="e">
        <f>ROUND(#REF!/1000, 2)</f>
        <v>#REF!</v>
      </c>
      <c r="F50" s="4" t="e">
        <f>ROUND(#REF!/1000, 2)</f>
        <v>#REF!</v>
      </c>
      <c r="G50" s="4" t="e">
        <f t="shared" si="1"/>
        <v>#REF!</v>
      </c>
      <c r="I50" s="4"/>
      <c r="J50" s="4"/>
      <c r="K50" s="4"/>
      <c r="L50" s="4"/>
      <c r="M50" s="4"/>
      <c r="O50" s="5" t="e">
        <f>1-(I50-C50)/((M2-1)*C50)</f>
        <v>#REF!</v>
      </c>
      <c r="P50" s="5" t="e">
        <f>1-(J50-D50)/((M2-1)*D50)</f>
        <v>#REF!</v>
      </c>
      <c r="Q50" s="5" t="e">
        <f>1-(K50-E50)/((M2-1)*E50)</f>
        <v>#REF!</v>
      </c>
      <c r="R50" s="5" t="e">
        <f>1-(L50-F50)/((M2-1)*F50)</f>
        <v>#REF!</v>
      </c>
    </row>
    <row r="51" spans="2:18" x14ac:dyDescent="0.2">
      <c r="B51" s="10" t="s">
        <v>60</v>
      </c>
      <c r="C51" s="4" t="e">
        <f>ROUND(#REF!/1000, 2)</f>
        <v>#REF!</v>
      </c>
      <c r="D51" s="4" t="e">
        <f>ROUND(#REF!/1000, 2)</f>
        <v>#REF!</v>
      </c>
      <c r="E51" s="4" t="e">
        <f>ROUND(#REF!/1000, 2)</f>
        <v>#REF!</v>
      </c>
      <c r="F51" s="4" t="e">
        <f>ROUND(#REF!/1000, 2)</f>
        <v>#REF!</v>
      </c>
      <c r="G51" s="4" t="e">
        <f t="shared" si="1"/>
        <v>#REF!</v>
      </c>
      <c r="I51" s="4"/>
      <c r="J51" s="4"/>
      <c r="K51" s="4"/>
      <c r="L51" s="4"/>
      <c r="M51" s="4"/>
      <c r="O51" s="5" t="e">
        <f>1-(I51-C51)/((M2-1)*C51)</f>
        <v>#REF!</v>
      </c>
      <c r="P51" s="5" t="e">
        <f>1-(J51-D51)/((M2-1)*D51)</f>
        <v>#REF!</v>
      </c>
      <c r="Q51" s="5" t="e">
        <f>1-(K51-E51)/((M2-1)*E51)</f>
        <v>#REF!</v>
      </c>
      <c r="R51" s="5" t="e">
        <f>1-(L51-F51)/((M2-1)*F51)</f>
        <v>#REF!</v>
      </c>
    </row>
    <row r="52" spans="2:18" x14ac:dyDescent="0.2">
      <c r="B52" s="3" t="s">
        <v>61</v>
      </c>
      <c r="C52" s="4" t="e">
        <f>ROUND(#REF!/1000, 2)</f>
        <v>#REF!</v>
      </c>
      <c r="D52" s="4" t="e">
        <f>ROUND(#REF!/1000, 2)</f>
        <v>#REF!</v>
      </c>
      <c r="E52" s="4" t="e">
        <f>ROUND(#REF!/1000, 2)</f>
        <v>#REF!</v>
      </c>
      <c r="F52" s="4" t="e">
        <f>ROUND(#REF!/1000, 2)</f>
        <v>#REF!</v>
      </c>
      <c r="G52" s="4" t="e">
        <f t="shared" si="1"/>
        <v>#REF!</v>
      </c>
      <c r="I52" s="4"/>
      <c r="J52" s="4"/>
      <c r="K52" s="4"/>
      <c r="L52" s="4"/>
      <c r="M52" s="4"/>
      <c r="O52" s="5" t="e">
        <f>1-(I52-C52)/((M2-1)*C52)</f>
        <v>#REF!</v>
      </c>
      <c r="P52" s="5" t="e">
        <f>1-(J52-D52)/((M2-1)*D52)</f>
        <v>#REF!</v>
      </c>
      <c r="Q52" s="5" t="e">
        <f>1-(K52-E52)/((M2-1)*E52)</f>
        <v>#REF!</v>
      </c>
      <c r="R52" s="5" t="e">
        <f>1-(L52-F52)/((M2-1)*F52)</f>
        <v>#REF!</v>
      </c>
    </row>
    <row r="53" spans="2:18" x14ac:dyDescent="0.2">
      <c r="B53" s="9" t="s">
        <v>62</v>
      </c>
      <c r="C53" s="92">
        <f>ROUND(DSGRINGS!F2/1000, 2)</f>
        <v>2.96</v>
      </c>
      <c r="D53" s="4">
        <f>ROUND(DSGRINGS!I2/1000, 2)</f>
        <v>0</v>
      </c>
      <c r="E53" s="4">
        <f>ROUND(DSGRINGS!L2/1000, 2)</f>
        <v>0</v>
      </c>
      <c r="F53" s="4">
        <f>ROUND(DSGRINGS!O2/1000, 2)</f>
        <v>0</v>
      </c>
      <c r="G53" s="4">
        <f t="shared" si="1"/>
        <v>2.96</v>
      </c>
      <c r="I53" s="4"/>
      <c r="J53" s="4"/>
      <c r="K53" s="4"/>
      <c r="L53" s="4"/>
      <c r="M53" s="4"/>
      <c r="O53" s="5">
        <f>1-(I53-C53)/((M2-1)*C53)</f>
        <v>1.3333333333333335</v>
      </c>
      <c r="P53" s="5" t="e">
        <f>1-(J53-D53)/((M2-1)*D53)</f>
        <v>#DIV/0!</v>
      </c>
      <c r="Q53" s="5" t="e">
        <f>1-(K53-E53)/((M2-1)*E53)</f>
        <v>#DIV/0!</v>
      </c>
      <c r="R53" s="5" t="e">
        <f>1-(L53-F53)/((M2-1)*F53)</f>
        <v>#DIV/0!</v>
      </c>
    </row>
    <row r="54" spans="2:18" x14ac:dyDescent="0.2">
      <c r="B54" s="9" t="s">
        <v>63</v>
      </c>
      <c r="C54" s="92">
        <f>ROUND(IVDM!F2/1000, 2)</f>
        <v>0</v>
      </c>
      <c r="D54" s="4">
        <f>ROUND(IVDM!I2/1000, 2)</f>
        <v>0</v>
      </c>
      <c r="E54" s="4">
        <f>ROUND(IVDM!L2/1000, 2)</f>
        <v>0.33</v>
      </c>
      <c r="F54" s="4">
        <f>ROUND(IVDM!O2/1000, 2)</f>
        <v>0.11</v>
      </c>
      <c r="G54" s="4">
        <f t="shared" si="1"/>
        <v>0.44</v>
      </c>
      <c r="I54" s="4"/>
      <c r="J54" s="4"/>
      <c r="K54" s="4"/>
      <c r="L54" s="4"/>
      <c r="M54" s="4"/>
      <c r="O54" s="5" t="e">
        <f>1-(I54-C54)/((M2-1)*C54)</f>
        <v>#DIV/0!</v>
      </c>
      <c r="P54" s="5" t="e">
        <f>1-(J54-D54)/((M2-1)*D54)</f>
        <v>#DIV/0!</v>
      </c>
      <c r="Q54" s="5">
        <f>1-(K54-E54)/((M2-1)*E54)</f>
        <v>1.3333333333333335</v>
      </c>
      <c r="R54" s="5">
        <f>1-(L54-F54)/((M2-1)*F54)</f>
        <v>1.3333333333333333</v>
      </c>
    </row>
    <row r="55" spans="2:18" x14ac:dyDescent="0.2">
      <c r="B55" s="3" t="s">
        <v>64</v>
      </c>
      <c r="C55" s="4" t="e">
        <f>ROUND(#REF!/1000, 2)</f>
        <v>#REF!</v>
      </c>
      <c r="D55" s="4" t="e">
        <f>ROUND(#REF!/1000, 2)</f>
        <v>#REF!</v>
      </c>
      <c r="E55" s="4" t="e">
        <f>ROUND(#REF!/1000, 2)</f>
        <v>#REF!</v>
      </c>
      <c r="F55" s="4" t="e">
        <f>ROUND(#REF!/1000, 2)</f>
        <v>#REF!</v>
      </c>
      <c r="G55" s="4" t="e">
        <f t="shared" si="1"/>
        <v>#REF!</v>
      </c>
      <c r="I55" s="4"/>
      <c r="J55" s="4"/>
      <c r="K55" s="4"/>
      <c r="L55" s="4"/>
      <c r="M55" s="4"/>
      <c r="O55" s="5" t="e">
        <f>1-(I55-C55)/((M2-1)*C55)</f>
        <v>#REF!</v>
      </c>
      <c r="P55" s="5" t="e">
        <f>1-(J55-D55)/((M2-1)*D55)</f>
        <v>#REF!</v>
      </c>
      <c r="Q55" s="5" t="e">
        <f>1-(K55-E55)/((M2-1)*E55)</f>
        <v>#REF!</v>
      </c>
      <c r="R55" s="5" t="e">
        <f>1-(L55-F55)/((M2-1)*F55)</f>
        <v>#REF!</v>
      </c>
    </row>
    <row r="56" spans="2:18" x14ac:dyDescent="0.2">
      <c r="B56" s="3" t="s">
        <v>65</v>
      </c>
      <c r="C56" s="4" t="e">
        <f>ROUND(#REF!/1000, 2)</f>
        <v>#REF!</v>
      </c>
      <c r="D56" s="4" t="e">
        <f>ROUND(#REF!/1000, 2)</f>
        <v>#REF!</v>
      </c>
      <c r="E56" s="4" t="e">
        <f>ROUND(#REF!/1000, 2)</f>
        <v>#REF!</v>
      </c>
      <c r="F56" s="4" t="e">
        <f>ROUND(#REF!/1000, 2)</f>
        <v>#REF!</v>
      </c>
      <c r="G56" s="4" t="e">
        <f t="shared" si="1"/>
        <v>#REF!</v>
      </c>
      <c r="I56" s="4"/>
      <c r="J56" s="4"/>
      <c r="K56" s="4"/>
      <c r="L56" s="4"/>
      <c r="M56" s="4"/>
      <c r="O56" s="5" t="e">
        <f>1-(I56-C56)/((M2-1)*C56)</f>
        <v>#REF!</v>
      </c>
      <c r="P56" s="5" t="e">
        <f>1-(J56-D56)/((M2-1)*D56)</f>
        <v>#REF!</v>
      </c>
      <c r="Q56" s="5" t="e">
        <f>1-(K56-E56)/((M2-1)*E56)</f>
        <v>#REF!</v>
      </c>
      <c r="R56" s="5" t="e">
        <f>1-(L56-F56)/((M2-1)*F56)</f>
        <v>#REF!</v>
      </c>
    </row>
    <row r="57" spans="2:18" x14ac:dyDescent="0.2">
      <c r="B57" s="10" t="s">
        <v>66</v>
      </c>
      <c r="C57" s="4" t="e">
        <f>ROUND(#REF!/1000, 2)</f>
        <v>#REF!</v>
      </c>
      <c r="D57" s="4" t="e">
        <f>ROUND(#REF!/1000, 2)</f>
        <v>#REF!</v>
      </c>
      <c r="E57" s="4" t="e">
        <f>ROUND(#REF!/1000, 2)</f>
        <v>#REF!</v>
      </c>
      <c r="F57" s="4" t="e">
        <f>ROUND(#REF!/1000, 2)</f>
        <v>#REF!</v>
      </c>
      <c r="G57" s="4" t="e">
        <f t="shared" si="1"/>
        <v>#REF!</v>
      </c>
      <c r="I57" s="4"/>
      <c r="J57" s="4"/>
      <c r="K57" s="4"/>
      <c r="L57" s="4"/>
      <c r="M57" s="4"/>
      <c r="O57" s="5" t="e">
        <f>1-(I57-C57)/((M2-1)*C57)</f>
        <v>#REF!</v>
      </c>
      <c r="P57" s="5" t="e">
        <f>1-(J57-D57)/((M2-1)*D57)</f>
        <v>#REF!</v>
      </c>
      <c r="Q57" s="5" t="e">
        <f>1-(K57-E57)/((M2-1)*E57)</f>
        <v>#REF!</v>
      </c>
      <c r="R57" s="5" t="e">
        <f>1-(L57-F57)/((M2-1)*F57)</f>
        <v>#REF!</v>
      </c>
    </row>
    <row r="58" spans="2:18" x14ac:dyDescent="0.2">
      <c r="B58" s="3" t="s">
        <v>67</v>
      </c>
      <c r="C58" s="4" t="e">
        <f>ROUND(#REF!/1000, 2)</f>
        <v>#REF!</v>
      </c>
      <c r="D58" s="4" t="e">
        <f>ROUND(#REF!/1000, 2)</f>
        <v>#REF!</v>
      </c>
      <c r="E58" s="4" t="e">
        <f>ROUND(#REF!/1000, 2)</f>
        <v>#REF!</v>
      </c>
      <c r="F58" s="4" t="e">
        <f>ROUND(#REF!/1000, 2)</f>
        <v>#REF!</v>
      </c>
      <c r="G58" s="4" t="e">
        <f t="shared" si="1"/>
        <v>#REF!</v>
      </c>
      <c r="I58" s="4"/>
      <c r="J58" s="4"/>
      <c r="K58" s="4"/>
      <c r="L58" s="4"/>
      <c r="M58" s="4"/>
      <c r="O58" s="5" t="e">
        <f>1-(I58-C58)/((M2-1)*C58)</f>
        <v>#REF!</v>
      </c>
      <c r="P58" s="5" t="e">
        <f>1-(J58-D58)/((M2-1)*D58)</f>
        <v>#REF!</v>
      </c>
      <c r="Q58" s="5" t="e">
        <f>1-(K58-E58)/((M2-1)*E58)</f>
        <v>#REF!</v>
      </c>
      <c r="R58" s="5" t="e">
        <f>1-(L58-F58)/((M2-1)*F58)</f>
        <v>#REF!</v>
      </c>
    </row>
    <row r="59" spans="2:18" x14ac:dyDescent="0.2">
      <c r="B59" s="136" t="s">
        <v>342</v>
      </c>
      <c r="C59" s="93"/>
    </row>
    <row r="60" spans="2:18" ht="21" x14ac:dyDescent="0.2">
      <c r="B60" s="1" t="s">
        <v>68</v>
      </c>
      <c r="C60" s="6" t="e">
        <f>SUM(C4:C58)</f>
        <v>#REF!</v>
      </c>
      <c r="D60" s="6" t="e">
        <f>SUM(D4:D58)</f>
        <v>#REF!</v>
      </c>
      <c r="E60" s="6" t="e">
        <f>SUM(E4:E58)</f>
        <v>#REF!</v>
      </c>
      <c r="F60" s="6" t="e">
        <f>SUM(F4:F58)</f>
        <v>#REF!</v>
      </c>
      <c r="G60" s="6" t="e">
        <f>SUM(G4:G58)</f>
        <v>#REF!</v>
      </c>
      <c r="I60" s="6">
        <f>SUM(I4:I58)</f>
        <v>0</v>
      </c>
      <c r="J60" s="6">
        <f>SUM(J4:J58)</f>
        <v>0</v>
      </c>
      <c r="K60" s="6">
        <f>SUM(K4:K58)</f>
        <v>0</v>
      </c>
      <c r="L60" s="6">
        <f>SUM(L4:L58)</f>
        <v>0</v>
      </c>
      <c r="M60" s="6">
        <f>SUM(M4:M58)</f>
        <v>0</v>
      </c>
      <c r="O60" s="7" t="e">
        <f>1-(I60-C60)/((M2-1)*C60)</f>
        <v>#REF!</v>
      </c>
      <c r="P60" s="7" t="e">
        <f>1-(J60-D60)/((M2-1)*D60)</f>
        <v>#REF!</v>
      </c>
      <c r="Q60" s="7" t="e">
        <f>1-(K60-E60)/((M2-1)*E60)</f>
        <v>#REF!</v>
      </c>
      <c r="R60" s="7" t="e">
        <f>1-(L60-F60)/((M2-1)*F60)</f>
        <v>#REF!</v>
      </c>
    </row>
    <row r="61" spans="2:18" ht="16" thickBot="1" x14ac:dyDescent="0.25"/>
    <row r="62" spans="2:18" ht="16" thickBot="1" x14ac:dyDescent="0.25">
      <c r="B62" s="132" t="s">
        <v>340</v>
      </c>
    </row>
    <row r="63" spans="2:18" x14ac:dyDescent="0.2">
      <c r="B63" s="16"/>
      <c r="C63" s="18"/>
    </row>
    <row r="64" spans="2:18" x14ac:dyDescent="0.2">
      <c r="B64" s="25"/>
      <c r="C64" s="26"/>
    </row>
    <row r="65" spans="2:4" x14ac:dyDescent="0.2">
      <c r="B65" s="25"/>
      <c r="C65" s="26"/>
    </row>
    <row r="66" spans="2:4" x14ac:dyDescent="0.2">
      <c r="B66" s="25"/>
      <c r="C66" s="26">
        <v>13.26</v>
      </c>
    </row>
    <row r="67" spans="2:4" x14ac:dyDescent="0.2">
      <c r="B67" s="25"/>
      <c r="C67" s="26">
        <v>9.73</v>
      </c>
    </row>
    <row r="68" spans="2:4" ht="16" thickBot="1" x14ac:dyDescent="0.25">
      <c r="B68" s="25"/>
      <c r="C68" s="26">
        <v>2.96</v>
      </c>
    </row>
    <row r="69" spans="2:4" ht="16" thickBot="1" x14ac:dyDescent="0.25">
      <c r="B69" s="133" t="s">
        <v>339</v>
      </c>
      <c r="C69" s="134">
        <f>SUM(C63:C68)</f>
        <v>25.950000000000003</v>
      </c>
      <c r="D69" s="135" t="s">
        <v>341</v>
      </c>
    </row>
  </sheetData>
  <hyperlinks>
    <hyperlink ref="B4" location="IO_JTAG!A1" display="IO_JTAG" xr:uid="{00000000-0004-0000-0000-000000000000}"/>
    <hyperlink ref="B5" location="ADCDFT!A1" display="ADCDFT" xr:uid="{00000000-0004-0000-0000-000001000000}"/>
    <hyperlink ref="B6" location="ADCDFT_TRIM!A1" display="ADCDFT_TRIM" xr:uid="{00000000-0004-0000-0000-000002000000}"/>
    <hyperlink ref="B7" location="MTRICTS!A1" display="MTRICTS" xr:uid="{00000000-0004-0000-0000-000003000000}"/>
    <hyperlink ref="B8" location="NTSE!A1" display="NTSE" xr:uid="{00000000-0004-0000-0000-000004000000}"/>
    <hyperlink ref="B9" location="NTSR!A1" display="NTSR" xr:uid="{00000000-0004-0000-0000-000005000000}"/>
    <hyperlink ref="B10" location="ADCDFT_RETRIM!A1" display="ADCDFT_RETRIM" xr:uid="{00000000-0004-0000-0000-000006000000}"/>
    <hyperlink ref="B11" location="MISC!A1" display="MISC" xr:uid="{00000000-0004-0000-0000-000007000000}"/>
    <hyperlink ref="B12" location="FRO!A1" display="FRO" xr:uid="{00000000-0004-0000-0000-000008000000}"/>
    <hyperlink ref="B13" location="CPLL!A1" display="CPLL" xr:uid="{00000000-0004-0000-0000-000009000000}"/>
    <hyperlink ref="B14" location="ADCLK!A1" display="ADCLK" xr:uid="{00000000-0004-0000-0000-00000A000000}"/>
    <hyperlink ref="B15" location="LAPLL!A1" display="LAPLL" xr:uid="{00000000-0004-0000-0000-00000B000000}"/>
    <hyperlink ref="B16" location="LAPLL_1!A1" display="LAPLL_1" xr:uid="{00000000-0004-0000-0000-00000C000000}"/>
    <hyperlink ref="B17" location="PCIEREFGEN!A1" display="PCIEREFGEN" xr:uid="{00000000-0004-0000-0000-00000D000000}"/>
    <hyperlink ref="B18" location="PCIE5CMN!A1" display="PCIE5CMN" xr:uid="{00000000-0004-0000-0000-00000E000000}"/>
    <hyperlink ref="B19" location="ACIPHYCMN!A1" display="ACIPHYCMN" xr:uid="{00000000-0004-0000-0000-00000F000000}"/>
    <hyperlink ref="B20" location="ACIOPHYCMN!A1" display="ACIOPHYCMN" xr:uid="{00000000-0004-0000-0000-000010000000}"/>
    <hyperlink ref="B21" location="LPDPTXCMN!A1" display="LPDPTXCMN" xr:uid="{00000000-0004-0000-0000-000011000000}"/>
    <hyperlink ref="B22" location="AMPCMN!A1" display="AMPCMN" xr:uid="{00000000-0004-0000-0000-000012000000}"/>
    <hyperlink ref="B23" location="PCIEREFPLL!A1" display="PCIEREFPLL" xr:uid="{00000000-0004-0000-0000-000013000000}"/>
    <hyperlink ref="B24" location="PCIEPLL!A1" display="PCIEPLL" xr:uid="{00000000-0004-0000-0000-000014000000}"/>
    <hyperlink ref="B25" location="CIOCIOPLL!A1" display="CIOCIOPLL" xr:uid="{00000000-0004-0000-0000-000015000000}"/>
    <hyperlink ref="B26" location="CIODPPLL!A1" display="CIODPPLL" xr:uid="{00000000-0004-0000-0000-000016000000}"/>
    <hyperlink ref="B27" location="LPDPDPPLL!A1" display="LPDPDPPLL" xr:uid="{00000000-0004-0000-0000-000017000000}"/>
    <hyperlink ref="B28" location="LPDDRPLL!A1" display="LPDDRPLL" xr:uid="{00000000-0004-0000-0000-000018000000}"/>
    <hyperlink ref="B29" location="HSCSAROSC!A1" display="HSCSAROSC" xr:uid="{00000000-0004-0000-0000-000019000000}"/>
    <hyperlink ref="B30" location="ULPPLL!A1" display="ULPPLL" xr:uid="{00000000-0004-0000-0000-00001A000000}"/>
    <hyperlink ref="B31" location="FLPPLL!A1" display="FLPPLL" xr:uid="{00000000-0004-0000-0000-00001B000000}"/>
    <hyperlink ref="B32" location="SEPF2M!A1" display="SEPF2M" xr:uid="{00000000-0004-0000-0000-00001C000000}"/>
    <hyperlink ref="B33" location="SEPVMC!A1" display="SEPVMC" xr:uid="{00000000-0004-0000-0000-00001D000000}"/>
    <hyperlink ref="B34" location="MIDBIASLDO!A1" display="MIDBIASLDO" xr:uid="{00000000-0004-0000-0000-00001E000000}"/>
    <hyperlink ref="B35" location="VMADC!A1" display="VMADC" xr:uid="{00000000-0004-0000-0000-00001F000000}"/>
    <hyperlink ref="B36" location="ACIOPHY!A1" display="ACIOPHY" xr:uid="{00000000-0004-0000-0000-000020000000}"/>
    <hyperlink ref="B37" location="ACIPHY!A1" display="ACIPHY" xr:uid="{00000000-0004-0000-0000-000021000000}"/>
    <hyperlink ref="B38" location="LPDPTX!A1" display="LPDPTX" xr:uid="{00000000-0004-0000-0000-000022000000}"/>
    <hyperlink ref="B39" location="PCIE5!A1" display="PCIE5" xr:uid="{00000000-0004-0000-0000-000023000000}"/>
    <hyperlink ref="B40" location="NTSX!A1" display="NTSX" xr:uid="{00000000-0004-0000-0000-000024000000}"/>
    <hyperlink ref="B41" location="PCIEREFBUF!A1" display="PCIEREFBUF" xr:uid="{00000000-0004-0000-0000-000025000000}"/>
    <hyperlink ref="B42" location="EUSB!A1" display="EUSB" xr:uid="{00000000-0004-0000-0000-000026000000}"/>
    <hyperlink ref="B43" location="AMP_TRIM!A1" display="AMP_TRIM" xr:uid="{00000000-0004-0000-0000-000027000000}"/>
    <hyperlink ref="B44" location="NPMS!A1" display="NPMS" xr:uid="{00000000-0004-0000-0000-000028000000}"/>
    <hyperlink ref="B45" location="DAPS!A1" display="DAPS" xr:uid="{00000000-0004-0000-0000-000029000000}"/>
    <hyperlink ref="B46" location="NCKM!A1" display="NCKM" xr:uid="{00000000-0004-0000-0000-00002A000000}"/>
    <hyperlink ref="B47" location="LLPSMN!A1" display="LLPSMN" xr:uid="{00000000-0004-0000-0000-00002B000000}"/>
    <hyperlink ref="B48" location="ABSMIN!A1" display="ABSMIN" xr:uid="{00000000-0004-0000-0000-00002C000000}"/>
    <hyperlink ref="B49" location="DSGVTHSENSOR!A1" display="DSGVTHSENSOR" xr:uid="{00000000-0004-0000-0000-00002D000000}"/>
    <hyperlink ref="B50" location="PWRDET!A1" display="PWRDET" xr:uid="{00000000-0004-0000-0000-00002E000000}"/>
    <hyperlink ref="B51" location="CLKMON!A1" display="CLKMON" xr:uid="{00000000-0004-0000-0000-00002F000000}"/>
    <hyperlink ref="B52" location="AMP!A1" display="AMP" xr:uid="{00000000-0004-0000-0000-000030000000}"/>
    <hyperlink ref="B53" location="DSGRINGS!A1" display="DSGRINGS" xr:uid="{00000000-0004-0000-0000-000031000000}"/>
    <hyperlink ref="B54" location="IVDM!A1" display="IVDM" xr:uid="{00000000-0004-0000-0000-000032000000}"/>
    <hyperlink ref="B55" location="AMP_CREATE_OVERLAY!A1" display="AMP_CREATE_OVERLAY" xr:uid="{00000000-0004-0000-0000-000033000000}"/>
    <hyperlink ref="B56" location="AMP_CLEAR_OVERLAY!A1" display="AMP_CLEAR_OVERLAY" xr:uid="{00000000-0004-0000-0000-000034000000}"/>
    <hyperlink ref="B57" location="DSGVTHSENSER!A1" display="DSGVTHSENSER" xr:uid="{00000000-0004-0000-0000-000035000000}"/>
    <hyperlink ref="B58" location="DRAM!A1" display="DRAM" xr:uid="{00000000-0004-0000-0000-000036000000}"/>
    <hyperlink ref="B59" location="dsg_pm!A1" display="dsg_pm" xr:uid="{FCBBF6BA-9E10-3248-8F14-A39E3C8B38F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 tint="0.79998168889431442"/>
  </sheetPr>
  <dimension ref="A1:X14"/>
  <sheetViews>
    <sheetView workbookViewId="0">
      <selection activeCell="D39" sqref="D39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6" customWidth="1"/>
    <col min="4" max="4" width="13" customWidth="1"/>
    <col min="5" max="5" width="10" customWidth="1"/>
    <col min="6" max="6" width="10.33203125" customWidth="1"/>
    <col min="7" max="7" width="8" customWidth="1"/>
    <col min="8" max="8" width="10" customWidth="1"/>
    <col min="9" max="9" width="10.1640625" customWidth="1"/>
    <col min="10" max="10" width="8" style="11" customWidth="1"/>
    <col min="11" max="11" width="10" style="25" customWidth="1"/>
    <col min="12" max="12" width="8" style="11" customWidth="1"/>
    <col min="13" max="13" width="8" style="26" customWidth="1"/>
    <col min="14" max="14" width="10" style="25" customWidth="1"/>
    <col min="15" max="15" width="8" style="11" customWidth="1"/>
    <col min="16" max="16" width="8" style="26" customWidth="1"/>
    <col min="17" max="17" width="10" style="30" customWidth="1"/>
    <col min="18" max="19" width="10" style="31" customWidth="1"/>
    <col min="20" max="20" width="10" style="32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1" spans="1:24" x14ac:dyDescent="0.2">
      <c r="K1" s="16"/>
      <c r="L1" s="17"/>
      <c r="M1" s="18"/>
      <c r="N1" s="16"/>
      <c r="O1" s="17"/>
      <c r="P1" s="18"/>
      <c r="Q1" s="27"/>
      <c r="R1" s="28"/>
      <c r="S1" s="28"/>
      <c r="T1" s="29"/>
    </row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SUM(E5:G14)</f>
        <v>4464.2000000000007</v>
      </c>
      <c r="G2" s="6"/>
      <c r="H2" s="6"/>
      <c r="I2" s="6">
        <f>SUM(H5:J14)</f>
        <v>5025.54</v>
      </c>
      <c r="J2" s="6"/>
      <c r="K2" s="19"/>
      <c r="L2" s="6">
        <f>SUM(K5:M14)</f>
        <v>0</v>
      </c>
      <c r="M2" s="20"/>
      <c r="N2" s="19"/>
      <c r="O2" s="6">
        <f>SUM(N5:P14)</f>
        <v>0</v>
      </c>
      <c r="P2" s="20"/>
    </row>
    <row r="3" spans="1:24" x14ac:dyDescent="0.2">
      <c r="A3" s="2"/>
      <c r="B3" s="2"/>
      <c r="C3" s="2"/>
      <c r="D3" s="2"/>
      <c r="E3" s="137" t="s">
        <v>71</v>
      </c>
      <c r="F3" s="137"/>
      <c r="G3" s="137"/>
      <c r="H3" s="137" t="s">
        <v>72</v>
      </c>
      <c r="I3" s="137"/>
      <c r="J3" s="137"/>
      <c r="K3" s="138" t="s">
        <v>73</v>
      </c>
      <c r="L3" s="137"/>
      <c r="M3" s="139"/>
      <c r="N3" s="138" t="s">
        <v>74</v>
      </c>
      <c r="O3" s="137"/>
      <c r="P3" s="139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12" t="s">
        <v>81</v>
      </c>
      <c r="K4" s="21" t="s">
        <v>79</v>
      </c>
      <c r="L4" s="2" t="s">
        <v>80</v>
      </c>
      <c r="M4" s="22" t="s">
        <v>81</v>
      </c>
      <c r="N4" s="21" t="s">
        <v>79</v>
      </c>
      <c r="O4" s="2" t="s">
        <v>80</v>
      </c>
      <c r="P4" s="2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54</v>
      </c>
      <c r="B5" s="8" t="s">
        <v>101</v>
      </c>
      <c r="C5" s="36" t="s">
        <v>102</v>
      </c>
      <c r="D5" s="43"/>
      <c r="E5" s="43"/>
      <c r="F5" s="4">
        <v>114.67</v>
      </c>
      <c r="G5" s="43"/>
      <c r="H5" s="43"/>
      <c r="I5" s="4">
        <v>172.22</v>
      </c>
      <c r="J5" s="61"/>
      <c r="K5" s="69"/>
      <c r="L5" s="43"/>
      <c r="M5" s="70"/>
      <c r="N5" s="69"/>
      <c r="O5" s="43"/>
      <c r="P5" s="70"/>
      <c r="Q5" s="48"/>
      <c r="R5" s="48"/>
      <c r="S5" s="34"/>
      <c r="T5" s="35"/>
      <c r="U5" s="15"/>
      <c r="V5" s="4"/>
      <c r="W5" s="4"/>
      <c r="X5" s="4"/>
    </row>
    <row r="6" spans="1:24" x14ac:dyDescent="0.2">
      <c r="A6" s="8" t="s">
        <v>54</v>
      </c>
      <c r="B6" s="8" t="s">
        <v>103</v>
      </c>
      <c r="C6" s="36" t="s">
        <v>104</v>
      </c>
      <c r="D6" s="43"/>
      <c r="E6" s="43"/>
      <c r="F6" s="4">
        <v>128.24</v>
      </c>
      <c r="G6" s="43"/>
      <c r="H6" s="43"/>
      <c r="I6" s="4">
        <v>127.23</v>
      </c>
      <c r="J6" s="61"/>
      <c r="K6" s="69"/>
      <c r="L6" s="43"/>
      <c r="M6" s="70"/>
      <c r="N6" s="69"/>
      <c r="O6" s="43"/>
      <c r="P6" s="70"/>
      <c r="Q6" s="48"/>
      <c r="R6" s="48"/>
      <c r="S6" s="34"/>
      <c r="T6" s="35"/>
      <c r="U6" s="15"/>
      <c r="V6" s="4"/>
      <c r="W6" s="4"/>
      <c r="X6" s="4"/>
    </row>
    <row r="7" spans="1:24" x14ac:dyDescent="0.2">
      <c r="A7" s="8" t="s">
        <v>54</v>
      </c>
      <c r="B7" s="8" t="s">
        <v>105</v>
      </c>
      <c r="C7" s="36" t="s">
        <v>106</v>
      </c>
      <c r="D7" s="43"/>
      <c r="E7" s="43"/>
      <c r="F7" s="4">
        <v>105.57</v>
      </c>
      <c r="G7" s="43"/>
      <c r="H7" s="43"/>
      <c r="I7" s="4">
        <v>120.32</v>
      </c>
      <c r="J7" s="61"/>
      <c r="K7" s="69"/>
      <c r="L7" s="43"/>
      <c r="M7" s="70"/>
      <c r="N7" s="69"/>
      <c r="O7" s="43"/>
      <c r="P7" s="70"/>
      <c r="Q7" s="48"/>
      <c r="R7" s="48"/>
      <c r="S7" s="34"/>
      <c r="T7" s="35"/>
      <c r="U7" s="15"/>
      <c r="V7" s="4"/>
      <c r="W7" s="4"/>
      <c r="X7" s="4"/>
    </row>
    <row r="8" spans="1:24" x14ac:dyDescent="0.2">
      <c r="A8" s="8" t="s">
        <v>54</v>
      </c>
      <c r="B8" s="8" t="s">
        <v>107</v>
      </c>
      <c r="C8" s="36" t="s">
        <v>108</v>
      </c>
      <c r="D8" s="43"/>
      <c r="E8" s="43"/>
      <c r="F8" s="4">
        <v>121.61</v>
      </c>
      <c r="G8" s="43"/>
      <c r="H8" s="43"/>
      <c r="I8" s="4">
        <v>118.76</v>
      </c>
      <c r="J8" s="61"/>
      <c r="K8" s="69"/>
      <c r="L8" s="43"/>
      <c r="M8" s="70"/>
      <c r="N8" s="69"/>
      <c r="O8" s="43"/>
      <c r="P8" s="70"/>
      <c r="Q8" s="48"/>
      <c r="R8" s="48"/>
      <c r="S8" s="34"/>
      <c r="T8" s="35"/>
      <c r="U8" s="15"/>
      <c r="V8" s="4"/>
      <c r="W8" s="4"/>
      <c r="X8" s="4"/>
    </row>
    <row r="9" spans="1:24" x14ac:dyDescent="0.2">
      <c r="A9" s="8" t="s">
        <v>54</v>
      </c>
      <c r="B9" s="8" t="s">
        <v>109</v>
      </c>
      <c r="C9" s="36" t="s">
        <v>110</v>
      </c>
      <c r="D9" s="43"/>
      <c r="E9" s="43"/>
      <c r="F9" s="4">
        <v>91.04</v>
      </c>
      <c r="G9" s="43"/>
      <c r="H9" s="43"/>
      <c r="I9" s="4">
        <v>92.89</v>
      </c>
      <c r="J9" s="61"/>
      <c r="K9" s="69"/>
      <c r="L9" s="43"/>
      <c r="M9" s="70"/>
      <c r="N9" s="69"/>
      <c r="O9" s="43"/>
      <c r="P9" s="70"/>
      <c r="Q9" s="48"/>
      <c r="R9" s="48"/>
      <c r="S9" s="34"/>
      <c r="T9" s="35"/>
      <c r="U9" s="15"/>
      <c r="V9" s="4"/>
      <c r="W9" s="4"/>
      <c r="X9" s="4"/>
    </row>
    <row r="10" spans="1:24" x14ac:dyDescent="0.2">
      <c r="A10" s="8" t="s">
        <v>54</v>
      </c>
      <c r="B10" s="8" t="s">
        <v>111</v>
      </c>
      <c r="C10" s="36" t="s">
        <v>112</v>
      </c>
      <c r="D10" s="43"/>
      <c r="E10" s="43"/>
      <c r="F10" s="4">
        <v>86</v>
      </c>
      <c r="G10" s="43"/>
      <c r="H10" s="43"/>
      <c r="I10" s="4">
        <v>86.1</v>
      </c>
      <c r="J10" s="61"/>
      <c r="K10" s="69"/>
      <c r="L10" s="43"/>
      <c r="M10" s="70"/>
      <c r="N10" s="69"/>
      <c r="O10" s="43"/>
      <c r="P10" s="70"/>
      <c r="Q10" s="48"/>
      <c r="R10" s="48"/>
      <c r="S10" s="34"/>
      <c r="T10" s="35"/>
      <c r="U10" s="15"/>
      <c r="V10" s="4"/>
      <c r="W10" s="4"/>
      <c r="X10" s="4"/>
    </row>
    <row r="11" spans="1:24" x14ac:dyDescent="0.2">
      <c r="A11" s="8" t="s">
        <v>54</v>
      </c>
      <c r="B11" s="8" t="s">
        <v>113</v>
      </c>
      <c r="C11" s="36" t="s">
        <v>114</v>
      </c>
      <c r="D11" s="43"/>
      <c r="E11" s="43"/>
      <c r="F11" s="4">
        <v>112.84</v>
      </c>
      <c r="G11" s="43"/>
      <c r="H11" s="43"/>
      <c r="I11" s="4">
        <v>109.29</v>
      </c>
      <c r="J11" s="61"/>
      <c r="K11" s="69"/>
      <c r="L11" s="43"/>
      <c r="M11" s="70"/>
      <c r="N11" s="69"/>
      <c r="O11" s="43"/>
      <c r="P11" s="70"/>
      <c r="Q11" s="48"/>
      <c r="R11" s="48"/>
      <c r="S11" s="34"/>
      <c r="T11" s="35"/>
      <c r="U11" s="15"/>
      <c r="V11" s="4"/>
      <c r="W11" s="4"/>
      <c r="X11" s="4"/>
    </row>
    <row r="12" spans="1:24" x14ac:dyDescent="0.2">
      <c r="A12" s="8" t="s">
        <v>54</v>
      </c>
      <c r="B12" s="8" t="s">
        <v>115</v>
      </c>
      <c r="C12" s="36" t="s">
        <v>116</v>
      </c>
      <c r="D12" s="43"/>
      <c r="E12" s="43"/>
      <c r="F12" s="4">
        <v>97.11</v>
      </c>
      <c r="G12" s="43"/>
      <c r="H12" s="43"/>
      <c r="I12" s="4">
        <v>105.33</v>
      </c>
      <c r="J12" s="61"/>
      <c r="K12" s="69"/>
      <c r="L12" s="43"/>
      <c r="M12" s="70"/>
      <c r="N12" s="69"/>
      <c r="O12" s="43"/>
      <c r="P12" s="70"/>
      <c r="Q12" s="48"/>
      <c r="R12" s="48"/>
      <c r="S12" s="34"/>
      <c r="T12" s="35"/>
      <c r="U12" s="15"/>
      <c r="V12" s="4"/>
      <c r="W12" s="4"/>
      <c r="X12" s="4"/>
    </row>
    <row r="13" spans="1:24" x14ac:dyDescent="0.2">
      <c r="A13" s="8" t="s">
        <v>54</v>
      </c>
      <c r="B13" s="63" t="s">
        <v>117</v>
      </c>
      <c r="C13" s="63" t="s">
        <v>118</v>
      </c>
      <c r="D13" s="64"/>
      <c r="E13" s="64"/>
      <c r="F13" s="4">
        <v>249.05</v>
      </c>
      <c r="G13" s="64"/>
      <c r="H13" s="64"/>
      <c r="I13" s="4">
        <v>286.63</v>
      </c>
      <c r="J13" s="65"/>
      <c r="K13" s="66"/>
      <c r="L13" s="64"/>
      <c r="M13" s="67"/>
      <c r="N13" s="66"/>
      <c r="O13" s="64"/>
      <c r="P13" s="67"/>
      <c r="Q13" s="68"/>
      <c r="R13" s="68"/>
      <c r="S13" s="34"/>
      <c r="T13" s="35"/>
      <c r="U13" s="15"/>
      <c r="V13" s="4"/>
      <c r="W13" s="4"/>
      <c r="X13" s="4"/>
    </row>
    <row r="14" spans="1:24" x14ac:dyDescent="0.2">
      <c r="A14" s="8" t="s">
        <v>54</v>
      </c>
      <c r="B14" s="63" t="s">
        <v>119</v>
      </c>
      <c r="C14" s="63" t="s">
        <v>120</v>
      </c>
      <c r="D14" s="64"/>
      <c r="E14" s="64"/>
      <c r="F14" s="4">
        <v>3358.07</v>
      </c>
      <c r="G14" s="64"/>
      <c r="H14" s="64"/>
      <c r="I14" s="4">
        <v>3806.77</v>
      </c>
      <c r="J14" s="65"/>
      <c r="K14" s="66"/>
      <c r="L14" s="64"/>
      <c r="M14" s="67"/>
      <c r="N14" s="66"/>
      <c r="O14" s="64"/>
      <c r="P14" s="67"/>
      <c r="Q14" s="68"/>
      <c r="R14" s="68"/>
      <c r="S14" s="34"/>
      <c r="T14" s="35"/>
      <c r="U14" s="15"/>
      <c r="V14" s="4"/>
      <c r="W14" s="4"/>
      <c r="X1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3E75-1CC2-6848-B4D5-0EF72A069946}">
  <sheetPr>
    <tabColor theme="8" tint="0.79998168889431442"/>
  </sheetPr>
  <dimension ref="A2:O32"/>
  <sheetViews>
    <sheetView workbookViewId="0">
      <selection activeCell="E24" sqref="E24"/>
    </sheetView>
  </sheetViews>
  <sheetFormatPr baseColWidth="10" defaultColWidth="8.83203125" defaultRowHeight="15" x14ac:dyDescent="0.2"/>
  <cols>
    <col min="1" max="2" width="18" style="53" customWidth="1"/>
    <col min="3" max="3" width="60" style="53" customWidth="1"/>
    <col min="4" max="4" width="13" style="53" customWidth="1"/>
    <col min="5" max="5" width="10" style="53" customWidth="1"/>
    <col min="6" max="6" width="12" style="53" customWidth="1"/>
    <col min="7" max="7" width="8" style="53" customWidth="1"/>
    <col min="8" max="8" width="10" style="55" customWidth="1"/>
    <col min="9" max="9" width="10" style="54" customWidth="1"/>
    <col min="10" max="10" width="10" style="55" customWidth="1"/>
    <col min="11" max="11" width="10" style="54" customWidth="1"/>
    <col min="12" max="13" width="8" style="53" customWidth="1"/>
    <col min="14" max="14" width="10" style="53" customWidth="1"/>
    <col min="15" max="15" width="9" style="53" customWidth="1"/>
    <col min="16" max="16384" width="8.83203125" style="53"/>
  </cols>
  <sheetData>
    <row r="2" spans="1:15" ht="21" x14ac:dyDescent="0.2">
      <c r="A2" s="1" t="s">
        <v>69</v>
      </c>
      <c r="B2" s="6"/>
      <c r="C2" s="6"/>
      <c r="D2" s="6" t="s">
        <v>70</v>
      </c>
      <c r="E2" s="6"/>
      <c r="F2" s="6">
        <f>SUM(E5:G18)</f>
        <v>743.4</v>
      </c>
      <c r="G2" s="6"/>
    </row>
    <row r="3" spans="1:15" x14ac:dyDescent="0.2">
      <c r="A3" s="2"/>
      <c r="B3" s="2"/>
      <c r="C3" s="2"/>
      <c r="D3" s="2"/>
      <c r="E3" s="137" t="s">
        <v>71</v>
      </c>
      <c r="F3" s="137"/>
      <c r="G3" s="137"/>
      <c r="H3" s="21"/>
      <c r="I3" s="22"/>
      <c r="J3" s="21"/>
      <c r="K3" s="22"/>
      <c r="L3" s="14"/>
      <c r="M3" s="2"/>
      <c r="N3" s="2"/>
      <c r="O3" s="2"/>
    </row>
    <row r="4" spans="1:15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12" t="s">
        <v>81</v>
      </c>
      <c r="H4" s="21" t="s">
        <v>82</v>
      </c>
      <c r="I4" s="22" t="s">
        <v>83</v>
      </c>
      <c r="J4" s="21" t="s">
        <v>84</v>
      </c>
      <c r="K4" s="22" t="s">
        <v>85</v>
      </c>
      <c r="L4" s="14" t="s">
        <v>86</v>
      </c>
      <c r="M4" s="2" t="s">
        <v>87</v>
      </c>
      <c r="N4" s="2" t="s">
        <v>88</v>
      </c>
      <c r="O4" s="2" t="s">
        <v>89</v>
      </c>
    </row>
    <row r="5" spans="1:15" x14ac:dyDescent="0.2">
      <c r="A5" s="8" t="s">
        <v>60</v>
      </c>
      <c r="B5" s="8" t="s">
        <v>234</v>
      </c>
      <c r="C5" s="8" t="s">
        <v>235</v>
      </c>
      <c r="D5" s="4"/>
      <c r="E5" s="4"/>
      <c r="F5" s="4">
        <v>29.17</v>
      </c>
      <c r="G5" s="13"/>
      <c r="H5" s="33"/>
      <c r="I5" s="24"/>
      <c r="J5" s="23"/>
      <c r="K5" s="24"/>
      <c r="L5" s="15"/>
      <c r="M5" s="4"/>
      <c r="N5" s="4"/>
      <c r="O5" s="4"/>
    </row>
    <row r="6" spans="1:15" x14ac:dyDescent="0.2">
      <c r="A6" s="8" t="s">
        <v>60</v>
      </c>
      <c r="B6" s="8" t="s">
        <v>236</v>
      </c>
      <c r="C6" s="8" t="s">
        <v>237</v>
      </c>
      <c r="D6" s="4"/>
      <c r="E6" s="4"/>
      <c r="F6" s="4">
        <v>29.4</v>
      </c>
      <c r="G6" s="13"/>
      <c r="H6" s="33"/>
      <c r="I6" s="24"/>
      <c r="J6" s="23"/>
      <c r="K6" s="24"/>
      <c r="L6" s="15"/>
      <c r="M6" s="4"/>
      <c r="N6" s="4"/>
      <c r="O6" s="4"/>
    </row>
    <row r="7" spans="1:15" x14ac:dyDescent="0.2">
      <c r="A7" s="8" t="s">
        <v>60</v>
      </c>
      <c r="B7" s="8" t="s">
        <v>238</v>
      </c>
      <c r="C7" s="8" t="s">
        <v>239</v>
      </c>
      <c r="D7" s="4"/>
      <c r="E7" s="4"/>
      <c r="F7" s="4">
        <v>31.39</v>
      </c>
      <c r="G7" s="13"/>
      <c r="H7" s="33"/>
      <c r="I7" s="24"/>
      <c r="J7" s="23"/>
      <c r="K7" s="24"/>
      <c r="L7" s="15"/>
      <c r="M7" s="4"/>
      <c r="N7" s="4"/>
      <c r="O7" s="4"/>
    </row>
    <row r="8" spans="1:15" x14ac:dyDescent="0.2">
      <c r="A8" s="8" t="s">
        <v>60</v>
      </c>
      <c r="B8" s="8" t="s">
        <v>240</v>
      </c>
      <c r="C8" s="8" t="s">
        <v>241</v>
      </c>
      <c r="D8" s="4"/>
      <c r="E8" s="4"/>
      <c r="F8" s="4">
        <v>31.47</v>
      </c>
      <c r="G8" s="13"/>
      <c r="H8" s="33"/>
      <c r="I8" s="24"/>
      <c r="J8" s="23"/>
      <c r="K8" s="24"/>
      <c r="L8" s="15"/>
      <c r="M8" s="4"/>
      <c r="N8" s="4"/>
      <c r="O8" s="4"/>
    </row>
    <row r="9" spans="1:15" x14ac:dyDescent="0.2">
      <c r="A9" s="8" t="s">
        <v>60</v>
      </c>
      <c r="B9" s="8" t="s">
        <v>242</v>
      </c>
      <c r="C9" s="8" t="s">
        <v>235</v>
      </c>
      <c r="D9" s="4"/>
      <c r="E9" s="4"/>
      <c r="F9" s="4">
        <v>38.39</v>
      </c>
      <c r="G9" s="13"/>
      <c r="H9" s="33"/>
      <c r="I9" s="24"/>
      <c r="J9" s="23"/>
      <c r="K9" s="24"/>
      <c r="L9" s="15"/>
      <c r="M9" s="4"/>
      <c r="N9" s="4"/>
      <c r="O9" s="4"/>
    </row>
    <row r="10" spans="1:15" x14ac:dyDescent="0.2">
      <c r="A10" s="8" t="s">
        <v>60</v>
      </c>
      <c r="B10" s="8" t="s">
        <v>243</v>
      </c>
      <c r="C10" s="8" t="s">
        <v>237</v>
      </c>
      <c r="D10" s="4"/>
      <c r="E10" s="4"/>
      <c r="F10" s="4">
        <v>29.38</v>
      </c>
      <c r="G10" s="13"/>
      <c r="H10" s="33"/>
      <c r="I10" s="24"/>
      <c r="J10" s="23"/>
      <c r="K10" s="24"/>
      <c r="L10" s="15"/>
      <c r="M10" s="4"/>
      <c r="N10" s="4"/>
      <c r="O10" s="4"/>
    </row>
    <row r="11" spans="1:15" x14ac:dyDescent="0.2">
      <c r="A11" s="8" t="s">
        <v>60</v>
      </c>
      <c r="B11" s="8" t="s">
        <v>244</v>
      </c>
      <c r="C11" s="41" t="s">
        <v>245</v>
      </c>
      <c r="D11" s="4"/>
      <c r="E11" s="4"/>
      <c r="F11" s="4">
        <v>59.47</v>
      </c>
      <c r="G11" s="13"/>
      <c r="H11" s="33"/>
      <c r="I11" s="24"/>
      <c r="J11" s="23"/>
      <c r="K11" s="24"/>
      <c r="L11" s="15"/>
      <c r="M11" s="4"/>
      <c r="N11" s="4"/>
      <c r="O11" s="4"/>
    </row>
    <row r="12" spans="1:15" x14ac:dyDescent="0.2">
      <c r="A12" s="8" t="s">
        <v>60</v>
      </c>
      <c r="B12" s="8" t="s">
        <v>246</v>
      </c>
      <c r="C12" s="41" t="s">
        <v>247</v>
      </c>
      <c r="D12" s="4"/>
      <c r="E12" s="4"/>
      <c r="F12" s="4">
        <v>59.32</v>
      </c>
      <c r="G12" s="13"/>
      <c r="H12" s="33"/>
      <c r="I12" s="24"/>
      <c r="J12" s="23"/>
      <c r="K12" s="24"/>
      <c r="L12" s="15"/>
      <c r="M12" s="4"/>
      <c r="N12" s="4"/>
      <c r="O12" s="4"/>
    </row>
    <row r="13" spans="1:15" x14ac:dyDescent="0.2">
      <c r="A13" s="8" t="s">
        <v>60</v>
      </c>
      <c r="B13" s="8" t="s">
        <v>326</v>
      </c>
      <c r="C13" s="41" t="s">
        <v>245</v>
      </c>
      <c r="D13" s="4"/>
      <c r="E13" s="4"/>
      <c r="F13" s="4">
        <v>59.23</v>
      </c>
      <c r="G13" s="13"/>
      <c r="H13" s="33"/>
      <c r="I13" s="24"/>
      <c r="J13" s="23"/>
      <c r="K13" s="24"/>
      <c r="L13" s="15"/>
      <c r="M13" s="4"/>
      <c r="N13" s="4"/>
      <c r="O13" s="4"/>
    </row>
    <row r="14" spans="1:15" x14ac:dyDescent="0.2">
      <c r="A14" s="8" t="s">
        <v>60</v>
      </c>
      <c r="B14" s="8" t="s">
        <v>327</v>
      </c>
      <c r="C14" s="41" t="s">
        <v>247</v>
      </c>
      <c r="D14" s="4"/>
      <c r="E14" s="4"/>
      <c r="F14" s="4">
        <v>59.4</v>
      </c>
      <c r="G14" s="13"/>
      <c r="H14" s="33"/>
      <c r="I14" s="24"/>
      <c r="J14" s="23"/>
      <c r="K14" s="24"/>
      <c r="L14" s="15"/>
      <c r="M14" s="4"/>
      <c r="N14" s="4"/>
      <c r="O14" s="4"/>
    </row>
    <row r="15" spans="1:15" x14ac:dyDescent="0.2">
      <c r="A15" s="8" t="s">
        <v>60</v>
      </c>
      <c r="B15" s="8" t="s">
        <v>248</v>
      </c>
      <c r="C15" s="41" t="s">
        <v>249</v>
      </c>
      <c r="D15" s="4"/>
      <c r="E15" s="4"/>
      <c r="F15" s="4">
        <v>105.15</v>
      </c>
      <c r="G15" s="13"/>
      <c r="H15" s="33"/>
      <c r="I15" s="24"/>
      <c r="J15" s="23"/>
      <c r="K15" s="24"/>
      <c r="L15" s="15"/>
      <c r="M15" s="4"/>
      <c r="N15" s="4"/>
      <c r="O15" s="4"/>
    </row>
    <row r="16" spans="1:15" x14ac:dyDescent="0.2">
      <c r="A16" s="8" t="s">
        <v>60</v>
      </c>
      <c r="B16" s="8" t="s">
        <v>250</v>
      </c>
      <c r="C16" s="41" t="s">
        <v>251</v>
      </c>
      <c r="D16" s="4"/>
      <c r="E16" s="4"/>
      <c r="F16" s="4">
        <v>93.12</v>
      </c>
      <c r="G16" s="13"/>
      <c r="H16" s="74"/>
      <c r="I16" s="72"/>
      <c r="J16" s="71"/>
      <c r="K16" s="72"/>
      <c r="L16" s="73"/>
      <c r="M16" s="4"/>
      <c r="N16" s="4"/>
      <c r="O16" s="4"/>
    </row>
    <row r="17" spans="1:15" x14ac:dyDescent="0.2">
      <c r="A17" s="8" t="s">
        <v>60</v>
      </c>
      <c r="B17" s="8" t="s">
        <v>252</v>
      </c>
      <c r="C17" s="41" t="s">
        <v>245</v>
      </c>
      <c r="D17" s="4"/>
      <c r="E17" s="4"/>
      <c r="F17" s="4">
        <v>59.28</v>
      </c>
      <c r="G17" s="13"/>
      <c r="H17" s="33"/>
      <c r="I17" s="24"/>
      <c r="J17" s="23"/>
      <c r="K17" s="24"/>
      <c r="L17" s="15"/>
      <c r="M17" s="4"/>
      <c r="N17" s="4"/>
      <c r="O17" s="4"/>
    </row>
    <row r="18" spans="1:15" x14ac:dyDescent="0.2">
      <c r="A18" s="8" t="s">
        <v>60</v>
      </c>
      <c r="B18" s="8" t="s">
        <v>253</v>
      </c>
      <c r="C18" s="41" t="s">
        <v>247</v>
      </c>
      <c r="D18" s="4"/>
      <c r="E18" s="4"/>
      <c r="F18" s="4">
        <v>59.23</v>
      </c>
      <c r="G18" s="13"/>
      <c r="H18" s="74"/>
      <c r="I18" s="72"/>
      <c r="J18" s="71"/>
      <c r="K18" s="72"/>
      <c r="L18" s="73"/>
      <c r="M18" s="4"/>
      <c r="N18" s="4"/>
      <c r="O18" s="4"/>
    </row>
    <row r="19" spans="1:15" x14ac:dyDescent="0.2">
      <c r="H19" s="75"/>
      <c r="I19" s="76"/>
      <c r="J19" s="75"/>
      <c r="K19" s="76"/>
    </row>
    <row r="20" spans="1:15" x14ac:dyDescent="0.2">
      <c r="H20" s="75"/>
      <c r="I20" s="76"/>
      <c r="J20" s="75"/>
      <c r="K20" s="76"/>
    </row>
    <row r="21" spans="1:15" x14ac:dyDescent="0.2">
      <c r="H21" s="75"/>
      <c r="I21" s="76"/>
      <c r="J21" s="75"/>
      <c r="K21" s="76"/>
    </row>
    <row r="22" spans="1:15" x14ac:dyDescent="0.2">
      <c r="H22" s="75"/>
      <c r="I22" s="76"/>
      <c r="J22" s="75"/>
      <c r="K22" s="76"/>
    </row>
    <row r="23" spans="1:15" x14ac:dyDescent="0.2">
      <c r="H23" s="75"/>
      <c r="I23" s="76"/>
      <c r="J23" s="75"/>
      <c r="K23" s="76"/>
    </row>
    <row r="24" spans="1:15" x14ac:dyDescent="0.2">
      <c r="H24" s="75"/>
      <c r="I24" s="76"/>
      <c r="J24" s="75"/>
      <c r="K24" s="76"/>
    </row>
    <row r="25" spans="1:15" x14ac:dyDescent="0.2">
      <c r="H25" s="75"/>
      <c r="I25" s="76"/>
      <c r="J25" s="75"/>
      <c r="K25" s="76"/>
    </row>
    <row r="26" spans="1:15" x14ac:dyDescent="0.2">
      <c r="H26" s="75"/>
      <c r="I26" s="76"/>
      <c r="J26" s="75"/>
      <c r="K26" s="76"/>
    </row>
    <row r="27" spans="1:15" x14ac:dyDescent="0.2">
      <c r="H27" s="75"/>
      <c r="I27" s="76"/>
      <c r="J27" s="75"/>
      <c r="K27" s="76"/>
    </row>
    <row r="28" spans="1:15" x14ac:dyDescent="0.2">
      <c r="H28" s="75"/>
      <c r="I28" s="76"/>
      <c r="J28" s="75"/>
      <c r="K28" s="76"/>
    </row>
    <row r="29" spans="1:15" x14ac:dyDescent="0.2">
      <c r="H29" s="75"/>
      <c r="I29" s="76"/>
      <c r="J29" s="75"/>
      <c r="K29" s="76"/>
    </row>
    <row r="30" spans="1:15" x14ac:dyDescent="0.2">
      <c r="H30" s="75"/>
      <c r="I30" s="76"/>
      <c r="J30" s="75"/>
      <c r="K30" s="76"/>
    </row>
    <row r="31" spans="1:15" x14ac:dyDescent="0.2">
      <c r="H31" s="75"/>
      <c r="I31" s="76"/>
      <c r="J31" s="75"/>
      <c r="K31" s="76"/>
    </row>
    <row r="32" spans="1:15" x14ac:dyDescent="0.2">
      <c r="H32" s="75"/>
      <c r="I32" s="76"/>
      <c r="J32" s="75"/>
      <c r="K32" s="76"/>
    </row>
  </sheetData>
  <mergeCells count="1">
    <mergeCell ref="E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AECC-A599-E844-8C6F-BC3C77209886}">
  <sheetPr>
    <tabColor theme="6" tint="0.79998168889431442"/>
  </sheetPr>
  <dimension ref="A2:X28"/>
  <sheetViews>
    <sheetView workbookViewId="0">
      <selection activeCell="Q1" sqref="Q1:Q1048576"/>
    </sheetView>
  </sheetViews>
  <sheetFormatPr baseColWidth="10" defaultColWidth="8.83203125" defaultRowHeight="15" x14ac:dyDescent="0.2"/>
  <cols>
    <col min="1" max="1" width="18" style="53" customWidth="1"/>
    <col min="2" max="2" width="17" style="53" customWidth="1"/>
    <col min="3" max="3" width="59" style="53" customWidth="1"/>
    <col min="4" max="4" width="13" style="53" customWidth="1"/>
    <col min="5" max="5" width="10" style="53" customWidth="1"/>
    <col min="6" max="7" width="8" style="53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6" width="8" customWidth="1"/>
    <col min="17" max="17" width="10" style="56" customWidth="1"/>
    <col min="18" max="18" width="10" style="54" customWidth="1"/>
    <col min="19" max="19" width="10" style="55" customWidth="1"/>
    <col min="20" max="20" width="10" style="54" customWidth="1"/>
    <col min="21" max="22" width="8" style="53" customWidth="1"/>
    <col min="23" max="23" width="10" style="53" customWidth="1"/>
    <col min="24" max="24" width="9" style="53" customWidth="1"/>
    <col min="25" max="16384" width="8.83203125" style="53"/>
  </cols>
  <sheetData>
    <row r="2" spans="1:24" ht="22" thickBot="1" x14ac:dyDescent="0.25">
      <c r="A2" s="1" t="s">
        <v>69</v>
      </c>
      <c r="B2" s="6"/>
      <c r="C2" s="6"/>
      <c r="D2" s="6" t="s">
        <v>70</v>
      </c>
      <c r="E2" s="6"/>
      <c r="F2" s="6">
        <f>SUM(E5:G24)</f>
        <v>358.07</v>
      </c>
      <c r="G2" s="6"/>
      <c r="H2" s="6"/>
      <c r="I2" s="6">
        <f>SUM(H5:J20)</f>
        <v>0</v>
      </c>
      <c r="J2" s="6"/>
      <c r="K2" s="6"/>
      <c r="L2" s="6">
        <f>SUM(K5:M20)</f>
        <v>0</v>
      </c>
      <c r="M2" s="6"/>
      <c r="N2" s="6"/>
      <c r="O2" s="6">
        <f>SUM(N5:P20)</f>
        <v>0</v>
      </c>
      <c r="P2" s="6"/>
    </row>
    <row r="3" spans="1:24" x14ac:dyDescent="0.2">
      <c r="A3" s="2"/>
      <c r="B3" s="2"/>
      <c r="C3" s="2"/>
      <c r="D3" s="12"/>
      <c r="E3" s="141" t="s">
        <v>72</v>
      </c>
      <c r="F3" s="142"/>
      <c r="G3" s="143"/>
      <c r="H3" s="140" t="s">
        <v>72</v>
      </c>
      <c r="I3" s="137"/>
      <c r="J3" s="144"/>
      <c r="K3" s="141" t="s">
        <v>73</v>
      </c>
      <c r="L3" s="142"/>
      <c r="M3" s="143"/>
      <c r="N3" s="140" t="s">
        <v>73</v>
      </c>
      <c r="O3" s="137"/>
      <c r="P3" s="137"/>
      <c r="Q3" s="21"/>
      <c r="R3" s="22"/>
      <c r="S3" s="21"/>
      <c r="T3" s="22"/>
      <c r="U3" s="2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12" t="s">
        <v>78</v>
      </c>
      <c r="E4" s="21" t="s">
        <v>79</v>
      </c>
      <c r="F4" s="2" t="s">
        <v>80</v>
      </c>
      <c r="G4" s="22" t="s">
        <v>81</v>
      </c>
      <c r="H4" s="14" t="s">
        <v>79</v>
      </c>
      <c r="I4" s="2" t="s">
        <v>80</v>
      </c>
      <c r="J4" s="12" t="s">
        <v>81</v>
      </c>
      <c r="K4" s="21" t="s">
        <v>79</v>
      </c>
      <c r="L4" s="2" t="s">
        <v>80</v>
      </c>
      <c r="M4" s="22" t="s">
        <v>81</v>
      </c>
      <c r="N4" s="14" t="s">
        <v>79</v>
      </c>
      <c r="O4" s="2" t="s">
        <v>80</v>
      </c>
      <c r="P4" s="2" t="s">
        <v>81</v>
      </c>
      <c r="Q4" s="21" t="s">
        <v>82</v>
      </c>
      <c r="R4" s="22" t="s">
        <v>83</v>
      </c>
      <c r="S4" s="21" t="s">
        <v>84</v>
      </c>
      <c r="T4" s="22" t="s">
        <v>85</v>
      </c>
      <c r="U4" s="2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59</v>
      </c>
      <c r="B5" s="36" t="s">
        <v>318</v>
      </c>
      <c r="C5" s="36" t="s">
        <v>211</v>
      </c>
      <c r="D5" s="61"/>
      <c r="E5" s="69"/>
      <c r="F5" s="43"/>
      <c r="G5" s="70"/>
      <c r="H5" s="15"/>
      <c r="I5" s="4"/>
      <c r="J5" s="13"/>
      <c r="K5" s="23"/>
      <c r="L5" s="4"/>
      <c r="M5" s="24"/>
      <c r="N5" s="15"/>
      <c r="O5" s="4"/>
      <c r="P5" s="4"/>
      <c r="Q5" s="48"/>
      <c r="R5" s="24"/>
      <c r="S5" s="23"/>
      <c r="T5" s="24"/>
      <c r="U5" s="4"/>
      <c r="V5" s="4"/>
      <c r="W5" s="4"/>
      <c r="X5" s="4"/>
    </row>
    <row r="6" spans="1:24" x14ac:dyDescent="0.2">
      <c r="A6" s="8" t="s">
        <v>59</v>
      </c>
      <c r="B6" s="36" t="s">
        <v>319</v>
      </c>
      <c r="C6" s="36" t="s">
        <v>212</v>
      </c>
      <c r="D6" s="61"/>
      <c r="E6" s="69"/>
      <c r="F6" s="43"/>
      <c r="G6" s="70"/>
      <c r="H6" s="15"/>
      <c r="I6" s="4"/>
      <c r="J6" s="13"/>
      <c r="K6" s="23"/>
      <c r="L6" s="4"/>
      <c r="M6" s="24"/>
      <c r="N6" s="15"/>
      <c r="O6" s="4"/>
      <c r="P6" s="4"/>
      <c r="Q6" s="48"/>
      <c r="R6" s="24"/>
      <c r="S6" s="23"/>
      <c r="T6" s="24"/>
      <c r="U6" s="4"/>
      <c r="V6" s="4"/>
      <c r="W6" s="4"/>
      <c r="X6" s="4"/>
    </row>
    <row r="7" spans="1:24" x14ac:dyDescent="0.2">
      <c r="A7" s="8" t="s">
        <v>59</v>
      </c>
      <c r="B7" s="37" t="s">
        <v>320</v>
      </c>
      <c r="C7" s="37" t="s">
        <v>211</v>
      </c>
      <c r="D7" s="60"/>
      <c r="E7" s="102"/>
      <c r="F7" s="44"/>
      <c r="G7" s="103"/>
      <c r="H7" s="15"/>
      <c r="I7" s="4"/>
      <c r="J7" s="13"/>
      <c r="K7" s="23"/>
      <c r="L7" s="4"/>
      <c r="M7" s="24"/>
      <c r="N7" s="15"/>
      <c r="O7" s="4"/>
      <c r="P7" s="4"/>
      <c r="Q7" s="49"/>
      <c r="R7" s="24"/>
      <c r="S7" s="23"/>
      <c r="T7" s="24"/>
      <c r="U7" s="4"/>
      <c r="V7" s="4"/>
      <c r="W7" s="4"/>
      <c r="X7" s="4"/>
    </row>
    <row r="8" spans="1:24" x14ac:dyDescent="0.2">
      <c r="A8" s="8" t="s">
        <v>59</v>
      </c>
      <c r="B8" s="37" t="s">
        <v>321</v>
      </c>
      <c r="C8" s="37" t="s">
        <v>212</v>
      </c>
      <c r="D8" s="60"/>
      <c r="E8" s="102"/>
      <c r="F8" s="44"/>
      <c r="G8" s="103"/>
      <c r="H8" s="15"/>
      <c r="I8" s="4"/>
      <c r="J8" s="13"/>
      <c r="K8" s="23"/>
      <c r="L8" s="4"/>
      <c r="M8" s="24"/>
      <c r="N8" s="15"/>
      <c r="O8" s="4"/>
      <c r="P8" s="4"/>
      <c r="Q8" s="49"/>
      <c r="R8" s="24"/>
      <c r="S8" s="23"/>
      <c r="T8" s="24"/>
      <c r="U8" s="4"/>
      <c r="V8" s="4"/>
      <c r="W8" s="4"/>
      <c r="X8" s="4"/>
    </row>
    <row r="9" spans="1:24" x14ac:dyDescent="0.2">
      <c r="A9" s="8" t="s">
        <v>59</v>
      </c>
      <c r="B9" s="38" t="s">
        <v>213</v>
      </c>
      <c r="C9" s="38" t="s">
        <v>211</v>
      </c>
      <c r="D9" s="59"/>
      <c r="E9" s="113">
        <v>12.96</v>
      </c>
      <c r="F9" s="45"/>
      <c r="G9" s="94">
        <v>16.41</v>
      </c>
      <c r="H9" s="15"/>
      <c r="I9" s="4"/>
      <c r="J9" s="13"/>
      <c r="K9" s="23"/>
      <c r="L9" s="4"/>
      <c r="M9" s="24"/>
      <c r="N9" s="15"/>
      <c r="O9" s="4"/>
      <c r="P9" s="4"/>
      <c r="Q9" s="46" t="s">
        <v>343</v>
      </c>
      <c r="R9" s="24"/>
      <c r="S9" s="23"/>
      <c r="T9" s="24"/>
      <c r="U9" s="4"/>
      <c r="V9" s="4"/>
      <c r="W9" s="4"/>
      <c r="X9" s="4"/>
    </row>
    <row r="10" spans="1:24" x14ac:dyDescent="0.2">
      <c r="A10" s="8" t="s">
        <v>59</v>
      </c>
      <c r="B10" s="38" t="s">
        <v>214</v>
      </c>
      <c r="C10" s="38" t="s">
        <v>215</v>
      </c>
      <c r="D10" s="59"/>
      <c r="E10" s="113">
        <v>25.2</v>
      </c>
      <c r="F10" s="45"/>
      <c r="G10" s="94">
        <v>16.64</v>
      </c>
      <c r="H10" s="15"/>
      <c r="I10" s="4"/>
      <c r="J10" s="13"/>
      <c r="K10" s="23"/>
      <c r="L10" s="4"/>
      <c r="M10" s="24"/>
      <c r="N10" s="15"/>
      <c r="O10" s="4"/>
      <c r="P10" s="4"/>
      <c r="Q10" s="46" t="s">
        <v>343</v>
      </c>
      <c r="R10" s="24"/>
      <c r="S10" s="23"/>
      <c r="T10" s="24"/>
      <c r="U10" s="4"/>
      <c r="V10" s="4"/>
      <c r="W10" s="4"/>
      <c r="X10" s="4"/>
    </row>
    <row r="11" spans="1:24" x14ac:dyDescent="0.2">
      <c r="A11" s="8" t="s">
        <v>59</v>
      </c>
      <c r="B11" s="39" t="s">
        <v>216</v>
      </c>
      <c r="C11" s="40" t="s">
        <v>211</v>
      </c>
      <c r="D11" s="62"/>
      <c r="E11" s="114">
        <v>12.77</v>
      </c>
      <c r="F11" s="115"/>
      <c r="G11" s="116">
        <v>22.64</v>
      </c>
      <c r="H11" s="15"/>
      <c r="I11" s="4"/>
      <c r="J11" s="13"/>
      <c r="K11" s="23"/>
      <c r="L11" s="4"/>
      <c r="M11" s="24"/>
      <c r="N11" s="15"/>
      <c r="O11" s="4"/>
      <c r="P11" s="4"/>
      <c r="Q11" s="47" t="s">
        <v>343</v>
      </c>
      <c r="R11" s="24"/>
      <c r="S11" s="23"/>
      <c r="T11" s="24"/>
      <c r="U11" s="4"/>
      <c r="V11" s="4"/>
      <c r="W11" s="4"/>
      <c r="X11" s="4"/>
    </row>
    <row r="12" spans="1:24" x14ac:dyDescent="0.2">
      <c r="A12" s="8" t="s">
        <v>59</v>
      </c>
      <c r="B12" s="39" t="s">
        <v>217</v>
      </c>
      <c r="C12" s="40" t="s">
        <v>218</v>
      </c>
      <c r="D12" s="62"/>
      <c r="E12" s="114">
        <v>16.5</v>
      </c>
      <c r="F12" s="115"/>
      <c r="G12" s="116">
        <v>16.510000000000002</v>
      </c>
      <c r="H12" s="15"/>
      <c r="I12" s="4"/>
      <c r="J12" s="13"/>
      <c r="K12" s="23"/>
      <c r="L12" s="4"/>
      <c r="M12" s="24"/>
      <c r="N12" s="15"/>
      <c r="O12" s="4"/>
      <c r="P12" s="4"/>
      <c r="Q12" s="47" t="s">
        <v>343</v>
      </c>
      <c r="R12" s="24"/>
      <c r="S12" s="23"/>
      <c r="T12" s="24"/>
      <c r="U12" s="4"/>
      <c r="V12" s="4"/>
      <c r="W12" s="4"/>
      <c r="X12" s="4"/>
    </row>
    <row r="13" spans="1:24" x14ac:dyDescent="0.2">
      <c r="A13" s="8" t="s">
        <v>59</v>
      </c>
      <c r="B13" s="36" t="s">
        <v>322</v>
      </c>
      <c r="C13" s="36" t="s">
        <v>219</v>
      </c>
      <c r="D13" s="61"/>
      <c r="E13" s="69"/>
      <c r="F13" s="43"/>
      <c r="G13" s="70"/>
      <c r="H13" s="15"/>
      <c r="I13" s="4"/>
      <c r="J13" s="13"/>
      <c r="K13" s="23"/>
      <c r="L13" s="4"/>
      <c r="M13" s="24"/>
      <c r="N13" s="15"/>
      <c r="O13" s="4"/>
      <c r="P13" s="4"/>
      <c r="Q13" s="48"/>
      <c r="R13" s="24"/>
      <c r="S13" s="23"/>
      <c r="T13" s="24"/>
      <c r="U13" s="4"/>
      <c r="V13" s="4"/>
      <c r="W13" s="4"/>
      <c r="X13" s="4"/>
    </row>
    <row r="14" spans="1:24" x14ac:dyDescent="0.2">
      <c r="A14" s="8" t="s">
        <v>59</v>
      </c>
      <c r="B14" s="36" t="s">
        <v>323</v>
      </c>
      <c r="C14" s="36" t="s">
        <v>220</v>
      </c>
      <c r="D14" s="61"/>
      <c r="E14" s="69"/>
      <c r="F14" s="43"/>
      <c r="G14" s="70"/>
      <c r="H14" s="15"/>
      <c r="I14" s="4"/>
      <c r="J14" s="13"/>
      <c r="K14" s="23"/>
      <c r="L14" s="4"/>
      <c r="M14" s="24"/>
      <c r="N14" s="15"/>
      <c r="O14" s="4"/>
      <c r="P14" s="4"/>
      <c r="Q14" s="48"/>
      <c r="R14" s="24"/>
      <c r="S14" s="23"/>
      <c r="T14" s="24"/>
      <c r="U14" s="4"/>
      <c r="V14" s="4"/>
      <c r="W14" s="4"/>
      <c r="X14" s="4"/>
    </row>
    <row r="15" spans="1:24" x14ac:dyDescent="0.2">
      <c r="A15" s="8" t="s">
        <v>59</v>
      </c>
      <c r="B15" s="37" t="s">
        <v>324</v>
      </c>
      <c r="C15" s="37" t="s">
        <v>219</v>
      </c>
      <c r="D15" s="60"/>
      <c r="E15" s="102"/>
      <c r="F15" s="44"/>
      <c r="G15" s="103"/>
      <c r="H15" s="15"/>
      <c r="I15" s="4"/>
      <c r="J15" s="13"/>
      <c r="K15" s="23"/>
      <c r="L15" s="4"/>
      <c r="M15" s="24"/>
      <c r="N15" s="15"/>
      <c r="O15" s="4"/>
      <c r="P15" s="4"/>
      <c r="Q15" s="49"/>
      <c r="R15" s="24"/>
      <c r="S15" s="23"/>
      <c r="T15" s="24"/>
      <c r="U15" s="4"/>
      <c r="V15" s="4"/>
      <c r="W15" s="4"/>
      <c r="X15" s="4"/>
    </row>
    <row r="16" spans="1:24" x14ac:dyDescent="0.2">
      <c r="A16" s="8" t="s">
        <v>59</v>
      </c>
      <c r="B16" s="37" t="s">
        <v>325</v>
      </c>
      <c r="C16" s="37" t="s">
        <v>220</v>
      </c>
      <c r="D16" s="60"/>
      <c r="E16" s="102"/>
      <c r="F16" s="44"/>
      <c r="G16" s="103"/>
      <c r="H16" s="15"/>
      <c r="I16" s="4"/>
      <c r="J16" s="13"/>
      <c r="K16" s="23"/>
      <c r="L16" s="4"/>
      <c r="M16" s="24"/>
      <c r="N16" s="15"/>
      <c r="O16" s="4"/>
      <c r="P16" s="4"/>
      <c r="Q16" s="49"/>
      <c r="R16" s="24"/>
      <c r="S16" s="23"/>
      <c r="T16" s="24"/>
      <c r="U16" s="4"/>
      <c r="V16" s="4"/>
      <c r="W16" s="4"/>
      <c r="X16" s="4"/>
    </row>
    <row r="17" spans="1:24" x14ac:dyDescent="0.2">
      <c r="A17" s="8" t="s">
        <v>59</v>
      </c>
      <c r="B17" s="38" t="s">
        <v>221</v>
      </c>
      <c r="C17" s="38" t="s">
        <v>219</v>
      </c>
      <c r="D17" s="59"/>
      <c r="E17" s="113">
        <v>17.14</v>
      </c>
      <c r="F17" s="45"/>
      <c r="G17" s="94">
        <v>26.55</v>
      </c>
      <c r="H17" s="15"/>
      <c r="I17" s="4"/>
      <c r="J17" s="13"/>
      <c r="K17" s="23"/>
      <c r="L17" s="4"/>
      <c r="M17" s="24"/>
      <c r="N17" s="15"/>
      <c r="O17" s="4"/>
      <c r="P17" s="4"/>
      <c r="Q17" s="46" t="s">
        <v>343</v>
      </c>
      <c r="R17" s="24"/>
      <c r="S17" s="23"/>
      <c r="T17" s="24"/>
      <c r="U17" s="4"/>
      <c r="V17" s="4"/>
      <c r="W17" s="4"/>
      <c r="X17" s="4"/>
    </row>
    <row r="18" spans="1:24" x14ac:dyDescent="0.2">
      <c r="A18" s="8" t="s">
        <v>59</v>
      </c>
      <c r="B18" s="38" t="s">
        <v>222</v>
      </c>
      <c r="C18" s="38" t="s">
        <v>223</v>
      </c>
      <c r="D18" s="59"/>
      <c r="E18" s="113">
        <v>14.45</v>
      </c>
      <c r="F18" s="45"/>
      <c r="G18" s="94">
        <v>14.56</v>
      </c>
      <c r="H18" s="15"/>
      <c r="I18" s="4"/>
      <c r="J18" s="13"/>
      <c r="K18" s="23"/>
      <c r="L18" s="4"/>
      <c r="M18" s="24"/>
      <c r="N18" s="15"/>
      <c r="O18" s="4"/>
      <c r="P18" s="4"/>
      <c r="Q18" s="46" t="s">
        <v>343</v>
      </c>
      <c r="R18" s="24"/>
      <c r="S18" s="23"/>
      <c r="T18" s="24"/>
      <c r="U18" s="4"/>
      <c r="V18" s="4"/>
      <c r="W18" s="4"/>
      <c r="X18" s="4"/>
    </row>
    <row r="19" spans="1:24" x14ac:dyDescent="0.2">
      <c r="A19" s="8" t="s">
        <v>59</v>
      </c>
      <c r="B19" s="39" t="s">
        <v>224</v>
      </c>
      <c r="C19" s="40" t="s">
        <v>219</v>
      </c>
      <c r="D19" s="62"/>
      <c r="E19" s="114">
        <v>15.66</v>
      </c>
      <c r="F19" s="115"/>
      <c r="G19" s="116">
        <v>12.7</v>
      </c>
      <c r="H19" s="15"/>
      <c r="I19" s="4"/>
      <c r="J19" s="13"/>
      <c r="K19" s="23"/>
      <c r="L19" s="4"/>
      <c r="M19" s="24"/>
      <c r="N19" s="15"/>
      <c r="O19" s="4"/>
      <c r="P19" s="4"/>
      <c r="Q19" s="50" t="s">
        <v>343</v>
      </c>
      <c r="R19" s="24"/>
      <c r="S19" s="23"/>
      <c r="T19" s="24"/>
      <c r="U19" s="4"/>
      <c r="V19" s="4"/>
      <c r="W19" s="4"/>
      <c r="X19" s="4"/>
    </row>
    <row r="20" spans="1:24" x14ac:dyDescent="0.2">
      <c r="A20" s="8" t="s">
        <v>59</v>
      </c>
      <c r="B20" s="39" t="s">
        <v>225</v>
      </c>
      <c r="C20" s="40" t="s">
        <v>226</v>
      </c>
      <c r="D20" s="62"/>
      <c r="E20" s="114">
        <v>17.850000000000001</v>
      </c>
      <c r="F20" s="115"/>
      <c r="G20" s="116">
        <v>14.43</v>
      </c>
      <c r="H20" s="15"/>
      <c r="I20" s="4"/>
      <c r="J20" s="13"/>
      <c r="K20" s="23"/>
      <c r="L20" s="4"/>
      <c r="M20" s="24"/>
      <c r="N20" s="15"/>
      <c r="O20" s="4"/>
      <c r="P20" s="4"/>
      <c r="Q20" s="50" t="s">
        <v>343</v>
      </c>
      <c r="R20" s="24"/>
      <c r="S20" s="23"/>
      <c r="T20" s="24"/>
      <c r="U20" s="4"/>
      <c r="V20" s="4"/>
      <c r="W20" s="4"/>
      <c r="X20" s="4"/>
    </row>
    <row r="21" spans="1:24" x14ac:dyDescent="0.2">
      <c r="A21" s="8" t="s">
        <v>59</v>
      </c>
      <c r="B21" s="41" t="s">
        <v>227</v>
      </c>
      <c r="C21" s="41" t="s">
        <v>228</v>
      </c>
      <c r="D21" s="58"/>
      <c r="E21" s="117">
        <v>10.6</v>
      </c>
      <c r="F21" s="118"/>
      <c r="G21" s="119">
        <v>10.43</v>
      </c>
      <c r="H21" s="15"/>
      <c r="I21" s="4"/>
      <c r="J21" s="13"/>
      <c r="K21" s="23"/>
      <c r="L21" s="4"/>
      <c r="M21" s="24"/>
      <c r="N21" s="15"/>
      <c r="O21" s="4"/>
      <c r="P21" s="4"/>
      <c r="Q21" s="51" t="s">
        <v>343</v>
      </c>
      <c r="R21" s="24"/>
      <c r="S21" s="23"/>
      <c r="T21" s="24"/>
      <c r="U21" s="4"/>
      <c r="V21" s="4"/>
      <c r="W21" s="4"/>
      <c r="X21" s="4"/>
    </row>
    <row r="22" spans="1:24" x14ac:dyDescent="0.2">
      <c r="A22" s="8" t="s">
        <v>59</v>
      </c>
      <c r="B22" s="41" t="s">
        <v>229</v>
      </c>
      <c r="C22" s="41" t="s">
        <v>230</v>
      </c>
      <c r="D22" s="58"/>
      <c r="E22" s="117">
        <v>8.2899999999999991</v>
      </c>
      <c r="F22" s="118"/>
      <c r="G22" s="119">
        <v>9.9600000000000009</v>
      </c>
      <c r="H22" s="15"/>
      <c r="I22" s="4"/>
      <c r="J22" s="13"/>
      <c r="K22" s="23"/>
      <c r="L22" s="4"/>
      <c r="M22" s="24"/>
      <c r="N22" s="15"/>
      <c r="O22" s="4"/>
      <c r="P22" s="4"/>
      <c r="Q22" s="51" t="s">
        <v>343</v>
      </c>
      <c r="R22" s="24"/>
      <c r="S22" s="23"/>
      <c r="T22" s="24"/>
      <c r="U22" s="4"/>
      <c r="V22" s="4"/>
      <c r="W22" s="4"/>
      <c r="X22" s="4"/>
    </row>
    <row r="23" spans="1:24" x14ac:dyDescent="0.2">
      <c r="A23" s="8" t="s">
        <v>59</v>
      </c>
      <c r="B23" s="42" t="s">
        <v>231</v>
      </c>
      <c r="C23" s="42" t="s">
        <v>228</v>
      </c>
      <c r="D23" s="57"/>
      <c r="E23" s="120">
        <v>10.02</v>
      </c>
      <c r="F23" s="121"/>
      <c r="G23" s="122">
        <v>12.04</v>
      </c>
      <c r="H23" s="15"/>
      <c r="I23" s="4"/>
      <c r="J23" s="13"/>
      <c r="K23" s="23"/>
      <c r="L23" s="4"/>
      <c r="M23" s="24"/>
      <c r="N23" s="15"/>
      <c r="O23" s="4"/>
      <c r="P23" s="4"/>
      <c r="Q23" s="52" t="s">
        <v>343</v>
      </c>
      <c r="R23" s="24"/>
      <c r="S23" s="23"/>
      <c r="T23" s="24"/>
      <c r="U23" s="4"/>
      <c r="V23" s="4"/>
      <c r="W23" s="4"/>
      <c r="X23" s="4"/>
    </row>
    <row r="24" spans="1:24" ht="16" thickBot="1" x14ac:dyDescent="0.25">
      <c r="A24" s="8" t="s">
        <v>59</v>
      </c>
      <c r="B24" s="42" t="s">
        <v>232</v>
      </c>
      <c r="C24" s="42" t="s">
        <v>233</v>
      </c>
      <c r="D24" s="57"/>
      <c r="E24" s="123">
        <v>15.44</v>
      </c>
      <c r="F24" s="124"/>
      <c r="G24" s="125">
        <v>8.32</v>
      </c>
      <c r="H24" s="15"/>
      <c r="I24" s="4"/>
      <c r="J24" s="13"/>
      <c r="K24" s="110"/>
      <c r="L24" s="111"/>
      <c r="M24" s="112"/>
      <c r="N24" s="15"/>
      <c r="O24" s="4"/>
      <c r="P24" s="4"/>
      <c r="Q24" s="52" t="s">
        <v>343</v>
      </c>
      <c r="R24" s="24"/>
      <c r="S24" s="23"/>
      <c r="T24" s="24"/>
      <c r="U24" s="4"/>
      <c r="V24" s="4"/>
      <c r="W24" s="4"/>
      <c r="X24" s="4"/>
    </row>
    <row r="25" spans="1:24" x14ac:dyDescent="0.2">
      <c r="R25" s="24"/>
      <c r="S25" s="23"/>
      <c r="T25" s="24"/>
    </row>
    <row r="26" spans="1:24" x14ac:dyDescent="0.2">
      <c r="R26" s="24"/>
      <c r="S26" s="23"/>
      <c r="T26" s="24"/>
    </row>
    <row r="27" spans="1:24" x14ac:dyDescent="0.2">
      <c r="R27" s="24"/>
      <c r="S27" s="23"/>
      <c r="T27" s="24"/>
    </row>
    <row r="28" spans="1:24" x14ac:dyDescent="0.2">
      <c r="R28" s="24"/>
      <c r="S28" s="23"/>
      <c r="T28" s="24"/>
    </row>
  </sheetData>
  <mergeCells count="4">
    <mergeCell ref="N3:P3"/>
    <mergeCell ref="E3:G3"/>
    <mergeCell ref="H3:J3"/>
    <mergeCell ref="K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8" tint="0.79998168889431442"/>
  </sheetPr>
  <dimension ref="A2:X29"/>
  <sheetViews>
    <sheetView workbookViewId="0">
      <selection activeCell="F5" sqref="F5:F14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58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30" customWidth="1"/>
    <col min="18" max="19" width="10" style="31" customWidth="1"/>
    <col min="20" max="20" width="10" style="32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SUM(E5:G24)</f>
        <v>26427.160000000003</v>
      </c>
      <c r="G2" s="6"/>
      <c r="H2" s="6"/>
      <c r="I2" s="6">
        <f>SUM(H5:J24)</f>
        <v>0</v>
      </c>
      <c r="J2" s="6"/>
      <c r="K2" s="6"/>
      <c r="L2" s="6">
        <f>SUM(K5:M24)</f>
        <v>0</v>
      </c>
      <c r="M2" s="6"/>
      <c r="N2" s="6"/>
      <c r="O2" s="6">
        <f>SUM(N5:P24)</f>
        <v>0</v>
      </c>
      <c r="P2" s="6"/>
    </row>
    <row r="3" spans="1:24" x14ac:dyDescent="0.2">
      <c r="A3" s="2"/>
      <c r="B3" s="2"/>
      <c r="C3" s="2"/>
      <c r="D3" s="2"/>
      <c r="E3" s="137" t="s">
        <v>71</v>
      </c>
      <c r="F3" s="137"/>
      <c r="G3" s="137"/>
      <c r="H3" s="137" t="s">
        <v>72</v>
      </c>
      <c r="I3" s="137"/>
      <c r="J3" s="137"/>
      <c r="K3" s="137" t="s">
        <v>73</v>
      </c>
      <c r="L3" s="137"/>
      <c r="M3" s="137"/>
      <c r="N3" s="137" t="s">
        <v>74</v>
      </c>
      <c r="O3" s="137"/>
      <c r="P3" s="137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58</v>
      </c>
      <c r="B5" s="38" t="s">
        <v>189</v>
      </c>
      <c r="C5" s="38" t="s">
        <v>190</v>
      </c>
      <c r="D5" s="45"/>
      <c r="E5" s="45"/>
      <c r="F5" s="45">
        <v>895.1</v>
      </c>
      <c r="G5" s="45"/>
      <c r="H5" s="45"/>
      <c r="I5" s="45"/>
      <c r="J5" s="45"/>
      <c r="K5" s="45"/>
      <c r="L5" s="45"/>
      <c r="M5" s="45"/>
      <c r="N5" s="45"/>
      <c r="O5" s="45"/>
      <c r="P5" s="59"/>
      <c r="Q5" s="46" t="s">
        <v>80</v>
      </c>
      <c r="R5" s="34"/>
      <c r="S5" s="34"/>
      <c r="T5" s="35"/>
      <c r="U5" s="15"/>
      <c r="V5" s="4"/>
      <c r="W5" s="4"/>
      <c r="X5" s="4"/>
    </row>
    <row r="6" spans="1:24" x14ac:dyDescent="0.2">
      <c r="A6" s="8" t="s">
        <v>58</v>
      </c>
      <c r="B6" s="38" t="s">
        <v>191</v>
      </c>
      <c r="C6" s="38" t="s">
        <v>190</v>
      </c>
      <c r="D6" s="45"/>
      <c r="E6" s="45"/>
      <c r="F6" s="45">
        <v>1208.0899999999999</v>
      </c>
      <c r="G6" s="45"/>
      <c r="H6" s="45"/>
      <c r="I6" s="45"/>
      <c r="J6" s="45"/>
      <c r="K6" s="45"/>
      <c r="L6" s="45"/>
      <c r="M6" s="45"/>
      <c r="N6" s="45"/>
      <c r="O6" s="45"/>
      <c r="P6" s="59"/>
      <c r="Q6" s="46" t="s">
        <v>80</v>
      </c>
      <c r="R6" s="34"/>
      <c r="S6" s="34"/>
      <c r="T6" s="35"/>
      <c r="U6" s="15"/>
      <c r="V6" s="4"/>
      <c r="W6" s="4"/>
      <c r="X6" s="4"/>
    </row>
    <row r="7" spans="1:24" x14ac:dyDescent="0.2">
      <c r="A7" s="8" t="s">
        <v>58</v>
      </c>
      <c r="B7" s="38" t="s">
        <v>192</v>
      </c>
      <c r="C7" s="38" t="s">
        <v>190</v>
      </c>
      <c r="D7" s="45"/>
      <c r="E7" s="45"/>
      <c r="F7" s="45">
        <v>463.45</v>
      </c>
      <c r="G7" s="45"/>
      <c r="H7" s="45"/>
      <c r="I7" s="45"/>
      <c r="J7" s="45"/>
      <c r="K7" s="45"/>
      <c r="L7" s="45"/>
      <c r="M7" s="45"/>
      <c r="N7" s="45"/>
      <c r="O7" s="45"/>
      <c r="P7" s="59"/>
      <c r="Q7" s="46" t="s">
        <v>80</v>
      </c>
      <c r="R7" s="34"/>
      <c r="S7" s="34"/>
      <c r="T7" s="35"/>
      <c r="U7" s="15"/>
      <c r="V7" s="4"/>
      <c r="W7" s="4"/>
      <c r="X7" s="4"/>
    </row>
    <row r="8" spans="1:24" x14ac:dyDescent="0.2">
      <c r="A8" s="8" t="s">
        <v>58</v>
      </c>
      <c r="B8" s="38" t="s">
        <v>193</v>
      </c>
      <c r="C8" s="38" t="s">
        <v>190</v>
      </c>
      <c r="D8" s="45"/>
      <c r="E8" s="45"/>
      <c r="F8" s="45">
        <v>3328.65</v>
      </c>
      <c r="G8" s="45"/>
      <c r="H8" s="45"/>
      <c r="I8" s="45"/>
      <c r="J8" s="45"/>
      <c r="K8" s="45"/>
      <c r="L8" s="45"/>
      <c r="M8" s="45"/>
      <c r="N8" s="45"/>
      <c r="O8" s="45"/>
      <c r="P8" s="59"/>
      <c r="Q8" s="46" t="s">
        <v>80</v>
      </c>
      <c r="R8" s="34"/>
      <c r="S8" s="34"/>
      <c r="T8" s="35"/>
      <c r="U8" s="15"/>
      <c r="V8" s="4"/>
      <c r="W8" s="4"/>
      <c r="X8" s="4"/>
    </row>
    <row r="9" spans="1:24" x14ac:dyDescent="0.2">
      <c r="A9" s="8" t="s">
        <v>58</v>
      </c>
      <c r="B9" s="38" t="s">
        <v>194</v>
      </c>
      <c r="C9" s="38" t="s">
        <v>190</v>
      </c>
      <c r="D9" s="45"/>
      <c r="E9" s="45"/>
      <c r="F9" s="45">
        <v>757.63</v>
      </c>
      <c r="G9" s="45"/>
      <c r="H9" s="45"/>
      <c r="I9" s="45"/>
      <c r="J9" s="45"/>
      <c r="K9" s="45"/>
      <c r="L9" s="45"/>
      <c r="M9" s="45"/>
      <c r="N9" s="45"/>
      <c r="O9" s="45"/>
      <c r="P9" s="59"/>
      <c r="Q9" s="46" t="s">
        <v>80</v>
      </c>
      <c r="R9" s="34"/>
      <c r="S9" s="34"/>
      <c r="T9" s="35"/>
      <c r="U9" s="15"/>
      <c r="V9" s="4"/>
      <c r="W9" s="4"/>
      <c r="X9" s="4"/>
    </row>
    <row r="10" spans="1:24" x14ac:dyDescent="0.2">
      <c r="A10" s="8" t="s">
        <v>58</v>
      </c>
      <c r="B10" s="38" t="s">
        <v>195</v>
      </c>
      <c r="C10" s="38" t="s">
        <v>190</v>
      </c>
      <c r="D10" s="45"/>
      <c r="E10" s="45"/>
      <c r="F10" s="45">
        <v>920.11</v>
      </c>
      <c r="G10" s="45"/>
      <c r="H10" s="45"/>
      <c r="I10" s="45"/>
      <c r="J10" s="45"/>
      <c r="K10" s="45"/>
      <c r="L10" s="45"/>
      <c r="M10" s="45"/>
      <c r="N10" s="45"/>
      <c r="O10" s="45"/>
      <c r="P10" s="59"/>
      <c r="Q10" s="46" t="s">
        <v>80</v>
      </c>
      <c r="R10" s="34"/>
      <c r="S10" s="34"/>
      <c r="T10" s="35"/>
      <c r="U10" s="15"/>
      <c r="V10" s="4"/>
      <c r="W10" s="4"/>
      <c r="X10" s="4"/>
    </row>
    <row r="11" spans="1:24" x14ac:dyDescent="0.2">
      <c r="A11" s="8" t="s">
        <v>58</v>
      </c>
      <c r="B11" s="38" t="s">
        <v>196</v>
      </c>
      <c r="C11" s="38" t="s">
        <v>190</v>
      </c>
      <c r="D11" s="45"/>
      <c r="E11" s="45"/>
      <c r="F11" s="45">
        <v>1164.74</v>
      </c>
      <c r="G11" s="45"/>
      <c r="H11" s="45"/>
      <c r="I11" s="45"/>
      <c r="J11" s="45"/>
      <c r="K11" s="45"/>
      <c r="L11" s="45"/>
      <c r="M11" s="45"/>
      <c r="N11" s="45"/>
      <c r="O11" s="45"/>
      <c r="P11" s="59"/>
      <c r="Q11" s="46" t="s">
        <v>80</v>
      </c>
      <c r="R11" s="34"/>
      <c r="S11" s="34"/>
      <c r="T11" s="35"/>
      <c r="U11" s="15"/>
      <c r="V11" s="4"/>
      <c r="W11" s="4"/>
      <c r="X11" s="4"/>
    </row>
    <row r="12" spans="1:24" x14ac:dyDescent="0.2">
      <c r="A12" s="8" t="s">
        <v>58</v>
      </c>
      <c r="B12" s="38" t="s">
        <v>197</v>
      </c>
      <c r="C12" s="38" t="s">
        <v>190</v>
      </c>
      <c r="D12" s="45"/>
      <c r="E12" s="45"/>
      <c r="F12" s="45">
        <v>441.17</v>
      </c>
      <c r="G12" s="45"/>
      <c r="H12" s="45"/>
      <c r="I12" s="45"/>
      <c r="J12" s="45"/>
      <c r="K12" s="45"/>
      <c r="L12" s="45"/>
      <c r="M12" s="45"/>
      <c r="N12" s="45"/>
      <c r="O12" s="45"/>
      <c r="P12" s="59"/>
      <c r="Q12" s="46" t="s">
        <v>80</v>
      </c>
      <c r="R12" s="34"/>
      <c r="S12" s="34"/>
      <c r="T12" s="35"/>
      <c r="U12" s="15"/>
      <c r="V12" s="4"/>
      <c r="W12" s="4"/>
      <c r="X12" s="4"/>
    </row>
    <row r="13" spans="1:24" x14ac:dyDescent="0.2">
      <c r="A13" s="8" t="s">
        <v>58</v>
      </c>
      <c r="B13" s="38" t="s">
        <v>198</v>
      </c>
      <c r="C13" s="38" t="s">
        <v>190</v>
      </c>
      <c r="D13" s="45"/>
      <c r="E13" s="45"/>
      <c r="F13" s="45">
        <v>3355.55</v>
      </c>
      <c r="G13" s="45"/>
      <c r="H13" s="45"/>
      <c r="I13" s="45"/>
      <c r="J13" s="45"/>
      <c r="K13" s="45"/>
      <c r="L13" s="45"/>
      <c r="M13" s="45"/>
      <c r="N13" s="45"/>
      <c r="O13" s="45"/>
      <c r="P13" s="59"/>
      <c r="Q13" s="46" t="s">
        <v>80</v>
      </c>
      <c r="R13" s="34"/>
      <c r="S13" s="34"/>
      <c r="T13" s="35"/>
      <c r="U13" s="15"/>
      <c r="V13" s="4"/>
      <c r="W13" s="4"/>
      <c r="X13" s="4"/>
    </row>
    <row r="14" spans="1:24" ht="16" thickBot="1" x14ac:dyDescent="0.25">
      <c r="A14" s="82" t="s">
        <v>58</v>
      </c>
      <c r="B14" s="83" t="s">
        <v>199</v>
      </c>
      <c r="C14" s="83" t="s">
        <v>190</v>
      </c>
      <c r="D14" s="84"/>
      <c r="E14" s="84"/>
      <c r="F14" s="45">
        <v>723.82</v>
      </c>
      <c r="G14" s="84"/>
      <c r="H14" s="84"/>
      <c r="I14" s="84"/>
      <c r="J14" s="84"/>
      <c r="K14" s="84"/>
      <c r="L14" s="84"/>
      <c r="M14" s="84"/>
      <c r="N14" s="84"/>
      <c r="O14" s="84"/>
      <c r="P14" s="85"/>
      <c r="Q14" s="86" t="s">
        <v>80</v>
      </c>
      <c r="R14" s="34"/>
      <c r="S14" s="34"/>
      <c r="T14" s="35"/>
      <c r="U14" s="15"/>
      <c r="V14" s="4"/>
      <c r="W14" s="4"/>
      <c r="X14" s="4"/>
    </row>
    <row r="15" spans="1:24" x14ac:dyDescent="0.2">
      <c r="A15" s="77" t="s">
        <v>58</v>
      </c>
      <c r="B15" s="78" t="s">
        <v>200</v>
      </c>
      <c r="C15" s="78" t="s">
        <v>201</v>
      </c>
      <c r="D15" s="79"/>
      <c r="E15" s="79"/>
      <c r="F15" s="43">
        <v>888.05</v>
      </c>
      <c r="G15" s="79"/>
      <c r="H15" s="79"/>
      <c r="I15" s="79"/>
      <c r="J15" s="79"/>
      <c r="K15" s="79"/>
      <c r="L15" s="79"/>
      <c r="M15" s="79"/>
      <c r="N15" s="79"/>
      <c r="O15" s="79"/>
      <c r="P15" s="80"/>
      <c r="Q15" s="81"/>
      <c r="R15" s="34"/>
      <c r="S15" s="34"/>
      <c r="T15" s="35"/>
      <c r="U15" s="15"/>
      <c r="V15" s="4"/>
      <c r="W15" s="4"/>
      <c r="X15" s="4"/>
    </row>
    <row r="16" spans="1:24" x14ac:dyDescent="0.2">
      <c r="A16" s="8" t="s">
        <v>58</v>
      </c>
      <c r="B16" s="36" t="s">
        <v>202</v>
      </c>
      <c r="C16" s="36" t="s">
        <v>201</v>
      </c>
      <c r="D16" s="43"/>
      <c r="E16" s="43"/>
      <c r="F16" s="43">
        <v>1179.44</v>
      </c>
      <c r="G16" s="43"/>
      <c r="H16" s="43"/>
      <c r="I16" s="43"/>
      <c r="J16" s="43"/>
      <c r="K16" s="43"/>
      <c r="L16" s="43"/>
      <c r="M16" s="43"/>
      <c r="N16" s="43"/>
      <c r="O16" s="43"/>
      <c r="P16" s="61"/>
      <c r="Q16" s="48"/>
      <c r="R16" s="34"/>
      <c r="S16" s="34"/>
      <c r="T16" s="35"/>
      <c r="U16" s="15"/>
      <c r="V16" s="4"/>
      <c r="W16" s="4"/>
      <c r="X16" s="4"/>
    </row>
    <row r="17" spans="1:24" x14ac:dyDescent="0.2">
      <c r="A17" s="8" t="s">
        <v>58</v>
      </c>
      <c r="B17" s="36" t="s">
        <v>203</v>
      </c>
      <c r="C17" s="36" t="s">
        <v>201</v>
      </c>
      <c r="D17" s="43"/>
      <c r="E17" s="43"/>
      <c r="F17" s="43">
        <v>488.06</v>
      </c>
      <c r="G17" s="43"/>
      <c r="H17" s="43"/>
      <c r="I17" s="43"/>
      <c r="J17" s="43"/>
      <c r="K17" s="43"/>
      <c r="L17" s="43"/>
      <c r="M17" s="43"/>
      <c r="N17" s="43"/>
      <c r="O17" s="43"/>
      <c r="P17" s="61"/>
      <c r="Q17" s="48"/>
      <c r="R17" s="34"/>
      <c r="S17" s="34"/>
      <c r="T17" s="35"/>
      <c r="U17" s="15"/>
      <c r="V17" s="4"/>
      <c r="W17" s="4"/>
      <c r="X17" s="4"/>
    </row>
    <row r="18" spans="1:24" x14ac:dyDescent="0.2">
      <c r="A18" s="8" t="s">
        <v>58</v>
      </c>
      <c r="B18" s="36" t="s">
        <v>204</v>
      </c>
      <c r="C18" s="36" t="s">
        <v>201</v>
      </c>
      <c r="D18" s="43"/>
      <c r="E18" s="43"/>
      <c r="F18" s="43">
        <v>3378.46</v>
      </c>
      <c r="G18" s="43"/>
      <c r="H18" s="43"/>
      <c r="I18" s="43"/>
      <c r="J18" s="43"/>
      <c r="K18" s="43"/>
      <c r="L18" s="43"/>
      <c r="M18" s="43"/>
      <c r="N18" s="43"/>
      <c r="O18" s="43"/>
      <c r="P18" s="61"/>
      <c r="Q18" s="48"/>
      <c r="R18" s="34"/>
      <c r="S18" s="34"/>
      <c r="T18" s="35"/>
      <c r="U18" s="15"/>
      <c r="V18" s="4"/>
      <c r="W18" s="4"/>
      <c r="X18" s="4"/>
    </row>
    <row r="19" spans="1:24" x14ac:dyDescent="0.2">
      <c r="A19" s="8" t="s">
        <v>58</v>
      </c>
      <c r="B19" s="36" t="s">
        <v>205</v>
      </c>
      <c r="C19" s="36" t="s">
        <v>201</v>
      </c>
      <c r="D19" s="43"/>
      <c r="E19" s="43"/>
      <c r="F19" s="43">
        <v>730.53</v>
      </c>
      <c r="G19" s="43"/>
      <c r="H19" s="43"/>
      <c r="I19" s="43"/>
      <c r="J19" s="43"/>
      <c r="K19" s="43"/>
      <c r="L19" s="43"/>
      <c r="M19" s="43"/>
      <c r="N19" s="43"/>
      <c r="O19" s="43"/>
      <c r="P19" s="61"/>
      <c r="Q19" s="48"/>
      <c r="R19" s="34"/>
      <c r="S19" s="34"/>
      <c r="T19" s="35"/>
      <c r="U19" s="15"/>
      <c r="V19" s="4"/>
      <c r="W19" s="4"/>
      <c r="X19" s="4"/>
    </row>
    <row r="20" spans="1:24" x14ac:dyDescent="0.2">
      <c r="A20" s="8" t="s">
        <v>58</v>
      </c>
      <c r="B20" s="36" t="s">
        <v>206</v>
      </c>
      <c r="C20" s="36" t="s">
        <v>201</v>
      </c>
      <c r="D20" s="43"/>
      <c r="E20" s="43"/>
      <c r="F20" s="43">
        <v>891.07</v>
      </c>
      <c r="G20" s="43"/>
      <c r="H20" s="43"/>
      <c r="I20" s="43"/>
      <c r="J20" s="43"/>
      <c r="K20" s="43"/>
      <c r="L20" s="43"/>
      <c r="M20" s="43"/>
      <c r="N20" s="43"/>
      <c r="O20" s="43"/>
      <c r="P20" s="61"/>
      <c r="Q20" s="48"/>
      <c r="R20" s="34"/>
      <c r="S20" s="34"/>
      <c r="T20" s="35"/>
      <c r="U20" s="15"/>
      <c r="V20" s="4"/>
      <c r="W20" s="4"/>
      <c r="X20" s="4"/>
    </row>
    <row r="21" spans="1:24" x14ac:dyDescent="0.2">
      <c r="A21" s="8" t="s">
        <v>58</v>
      </c>
      <c r="B21" s="36" t="s">
        <v>207</v>
      </c>
      <c r="C21" s="36" t="s">
        <v>201</v>
      </c>
      <c r="D21" s="43"/>
      <c r="E21" s="43"/>
      <c r="F21" s="43">
        <v>1141.1099999999999</v>
      </c>
      <c r="G21" s="43"/>
      <c r="H21" s="43"/>
      <c r="I21" s="43"/>
      <c r="J21" s="43"/>
      <c r="K21" s="43"/>
      <c r="L21" s="43"/>
      <c r="M21" s="43"/>
      <c r="N21" s="43"/>
      <c r="O21" s="43"/>
      <c r="P21" s="61"/>
      <c r="Q21" s="48"/>
      <c r="R21" s="34"/>
      <c r="S21" s="34"/>
      <c r="T21" s="35"/>
      <c r="U21" s="15"/>
      <c r="V21" s="4"/>
      <c r="W21" s="4"/>
      <c r="X21" s="4"/>
    </row>
    <row r="22" spans="1:24" x14ac:dyDescent="0.2">
      <c r="A22" s="8" t="s">
        <v>58</v>
      </c>
      <c r="B22" s="36" t="s">
        <v>208</v>
      </c>
      <c r="C22" s="36" t="s">
        <v>201</v>
      </c>
      <c r="D22" s="43"/>
      <c r="E22" s="43"/>
      <c r="F22" s="43">
        <v>458.33</v>
      </c>
      <c r="G22" s="43"/>
      <c r="H22" s="43"/>
      <c r="I22" s="43"/>
      <c r="J22" s="43"/>
      <c r="K22" s="43"/>
      <c r="L22" s="43"/>
      <c r="M22" s="43"/>
      <c r="N22" s="43"/>
      <c r="O22" s="43"/>
      <c r="P22" s="61"/>
      <c r="Q22" s="48"/>
      <c r="R22" s="34"/>
      <c r="S22" s="34"/>
      <c r="T22" s="35"/>
      <c r="U22" s="15"/>
      <c r="V22" s="4"/>
      <c r="W22" s="4"/>
      <c r="X22" s="4"/>
    </row>
    <row r="23" spans="1:24" x14ac:dyDescent="0.2">
      <c r="A23" s="8" t="s">
        <v>58</v>
      </c>
      <c r="B23" s="36" t="s">
        <v>209</v>
      </c>
      <c r="C23" s="36" t="s">
        <v>201</v>
      </c>
      <c r="D23" s="43"/>
      <c r="E23" s="43"/>
      <c r="F23" s="43">
        <v>3280.58</v>
      </c>
      <c r="G23" s="43"/>
      <c r="H23" s="43"/>
      <c r="I23" s="43"/>
      <c r="J23" s="43"/>
      <c r="K23" s="43"/>
      <c r="L23" s="43"/>
      <c r="M23" s="43"/>
      <c r="N23" s="43"/>
      <c r="O23" s="43"/>
      <c r="P23" s="61"/>
      <c r="Q23" s="48"/>
      <c r="R23" s="34"/>
      <c r="S23" s="34"/>
      <c r="T23" s="35"/>
      <c r="U23" s="15"/>
      <c r="V23" s="4"/>
      <c r="W23" s="4"/>
      <c r="X23" s="4"/>
    </row>
    <row r="24" spans="1:24" x14ac:dyDescent="0.2">
      <c r="A24" s="8" t="s">
        <v>58</v>
      </c>
      <c r="B24" s="36" t="s">
        <v>210</v>
      </c>
      <c r="C24" s="36" t="s">
        <v>201</v>
      </c>
      <c r="D24" s="43"/>
      <c r="E24" s="43"/>
      <c r="F24" s="43">
        <v>733.22</v>
      </c>
      <c r="G24" s="43"/>
      <c r="H24" s="43"/>
      <c r="I24" s="43"/>
      <c r="J24" s="43"/>
      <c r="K24" s="43"/>
      <c r="L24" s="43"/>
      <c r="M24" s="43"/>
      <c r="N24" s="43"/>
      <c r="O24" s="43"/>
      <c r="P24" s="61"/>
      <c r="Q24" s="48"/>
      <c r="R24" s="34"/>
      <c r="S24" s="34"/>
      <c r="T24" s="35"/>
      <c r="U24" s="15"/>
      <c r="V24" s="4"/>
      <c r="W24" s="4"/>
      <c r="X24" s="4"/>
    </row>
    <row r="29" spans="1:24" x14ac:dyDescent="0.2">
      <c r="E29" s="93" t="s">
        <v>9</v>
      </c>
      <c r="F29" s="93">
        <f>SUM(F5:F14)</f>
        <v>13258.310000000001</v>
      </c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X38"/>
  <sheetViews>
    <sheetView topLeftCell="C1" zoomScale="94" zoomScaleNormal="160" workbookViewId="0">
      <selection activeCell="L29" sqref="L29"/>
    </sheetView>
  </sheetViews>
  <sheetFormatPr baseColWidth="10" defaultColWidth="8.83203125" defaultRowHeight="15" x14ac:dyDescent="0.2"/>
  <cols>
    <col min="1" max="1" width="18" customWidth="1"/>
    <col min="2" max="2" width="25" customWidth="1"/>
    <col min="3" max="3" width="65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SUM(E5:G38)</f>
        <v>0</v>
      </c>
      <c r="G2" s="6"/>
      <c r="H2" s="6"/>
      <c r="I2" s="6">
        <f>SUM(H5:J38)</f>
        <v>0</v>
      </c>
      <c r="J2" s="6"/>
      <c r="K2" s="6"/>
      <c r="L2" s="6">
        <f>SUM(K5:M38)</f>
        <v>325.64</v>
      </c>
      <c r="M2" s="6"/>
      <c r="N2" s="6"/>
      <c r="O2" s="6">
        <f>SUM(N5:P38)</f>
        <v>106.94</v>
      </c>
      <c r="P2" s="6"/>
    </row>
    <row r="3" spans="1:24" x14ac:dyDescent="0.2">
      <c r="A3" s="2"/>
      <c r="B3" s="2"/>
      <c r="C3" s="2"/>
      <c r="D3" s="2"/>
      <c r="E3" s="137" t="s">
        <v>71</v>
      </c>
      <c r="F3" s="137"/>
      <c r="G3" s="137"/>
      <c r="H3" s="137" t="s">
        <v>72</v>
      </c>
      <c r="I3" s="137"/>
      <c r="J3" s="137"/>
      <c r="K3" s="137" t="s">
        <v>73</v>
      </c>
      <c r="L3" s="137"/>
      <c r="M3" s="137"/>
      <c r="N3" s="137" t="s">
        <v>74</v>
      </c>
      <c r="O3" s="137"/>
      <c r="P3" s="137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63</v>
      </c>
      <c r="B5" s="8" t="s">
        <v>276</v>
      </c>
      <c r="C5" s="8" t="s">
        <v>277</v>
      </c>
      <c r="D5" s="4"/>
      <c r="E5" s="4"/>
      <c r="F5" s="4"/>
      <c r="G5" s="4"/>
      <c r="H5" s="4"/>
      <c r="I5" s="4"/>
      <c r="J5" s="4"/>
      <c r="K5" s="4"/>
      <c r="L5" s="4">
        <v>26.87</v>
      </c>
      <c r="M5" s="4"/>
      <c r="N5" s="4"/>
      <c r="O5" s="4"/>
      <c r="P5" s="13"/>
      <c r="Q5" s="23"/>
      <c r="R5" s="4"/>
      <c r="S5" s="4" t="s">
        <v>80</v>
      </c>
      <c r="T5" s="24"/>
      <c r="U5" s="15"/>
      <c r="V5" s="4"/>
      <c r="W5" s="4"/>
      <c r="X5" s="4"/>
    </row>
    <row r="6" spans="1:24" x14ac:dyDescent="0.2">
      <c r="A6" s="8" t="s">
        <v>63</v>
      </c>
      <c r="B6" s="8" t="s">
        <v>278</v>
      </c>
      <c r="C6" s="8" t="s">
        <v>277</v>
      </c>
      <c r="D6" s="4"/>
      <c r="E6" s="4"/>
      <c r="F6" s="4"/>
      <c r="G6" s="4"/>
      <c r="H6" s="4"/>
      <c r="I6" s="4"/>
      <c r="J6" s="4"/>
      <c r="K6" s="4"/>
      <c r="L6" s="4">
        <v>25.1</v>
      </c>
      <c r="M6" s="4"/>
      <c r="N6" s="4"/>
      <c r="O6" s="4"/>
      <c r="P6" s="13"/>
      <c r="Q6" s="23"/>
      <c r="R6" s="4"/>
      <c r="S6" s="4" t="s">
        <v>80</v>
      </c>
      <c r="T6" s="24"/>
      <c r="U6" s="15"/>
      <c r="V6" s="4"/>
      <c r="W6" s="4"/>
      <c r="X6" s="4"/>
    </row>
    <row r="7" spans="1:24" s="93" customFormat="1" x14ac:dyDescent="0.2">
      <c r="A7" s="91" t="s">
        <v>63</v>
      </c>
      <c r="B7" s="91" t="s">
        <v>279</v>
      </c>
      <c r="C7" s="91" t="s">
        <v>280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5"/>
      <c r="Q7" s="100"/>
      <c r="R7" s="92"/>
      <c r="S7" s="92" t="s">
        <v>80</v>
      </c>
      <c r="T7" s="101"/>
      <c r="U7" s="97"/>
      <c r="V7" s="92"/>
      <c r="W7" s="92"/>
      <c r="X7" s="92"/>
    </row>
    <row r="8" spans="1:24" x14ac:dyDescent="0.2">
      <c r="A8" s="8" t="s">
        <v>63</v>
      </c>
      <c r="B8" s="8" t="s">
        <v>90</v>
      </c>
      <c r="C8" s="8" t="s">
        <v>281</v>
      </c>
      <c r="D8" s="4"/>
      <c r="E8" s="4"/>
      <c r="F8" s="4"/>
      <c r="G8" s="4"/>
      <c r="H8" s="4"/>
      <c r="I8" s="4"/>
      <c r="J8" s="4"/>
      <c r="K8" s="4"/>
      <c r="L8" s="4">
        <v>0.48</v>
      </c>
      <c r="M8" s="4"/>
      <c r="N8" s="4"/>
      <c r="O8" s="4"/>
      <c r="P8" s="13"/>
      <c r="Q8" s="23"/>
      <c r="R8" s="4"/>
      <c r="S8" s="4" t="s">
        <v>80</v>
      </c>
      <c r="T8" s="24"/>
      <c r="U8" s="15"/>
      <c r="V8" s="4"/>
      <c r="W8" s="4"/>
      <c r="X8" s="4"/>
    </row>
    <row r="9" spans="1:24" x14ac:dyDescent="0.2">
      <c r="A9" s="8" t="s">
        <v>63</v>
      </c>
      <c r="B9" s="8" t="s">
        <v>90</v>
      </c>
      <c r="C9" s="8" t="s">
        <v>282</v>
      </c>
      <c r="D9" s="4"/>
      <c r="E9" s="4"/>
      <c r="F9" s="4"/>
      <c r="G9" s="4"/>
      <c r="H9" s="4"/>
      <c r="I9" s="4"/>
      <c r="J9" s="4"/>
      <c r="K9" s="4"/>
      <c r="L9" s="4">
        <v>0.42</v>
      </c>
      <c r="M9" s="4"/>
      <c r="N9" s="4"/>
      <c r="O9" s="4"/>
      <c r="P9" s="13"/>
      <c r="Q9" s="23"/>
      <c r="R9" s="4"/>
      <c r="S9" s="4" t="s">
        <v>80</v>
      </c>
      <c r="T9" s="24"/>
      <c r="U9" s="15"/>
      <c r="V9" s="4"/>
      <c r="W9" s="4"/>
      <c r="X9" s="4"/>
    </row>
    <row r="10" spans="1:24" s="90" customFormat="1" x14ac:dyDescent="0.2">
      <c r="A10" s="37" t="s">
        <v>63</v>
      </c>
      <c r="B10" s="37" t="s">
        <v>90</v>
      </c>
      <c r="C10" s="37" t="s">
        <v>283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>
        <v>6.72</v>
      </c>
      <c r="P10" s="60"/>
      <c r="Q10" s="102"/>
      <c r="R10" s="44"/>
      <c r="S10" s="44"/>
      <c r="T10" s="103" t="s">
        <v>80</v>
      </c>
      <c r="U10" s="98"/>
      <c r="V10" s="44"/>
      <c r="W10" s="44"/>
      <c r="X10" s="44"/>
    </row>
    <row r="11" spans="1:24" x14ac:dyDescent="0.2">
      <c r="A11" s="8" t="s">
        <v>63</v>
      </c>
      <c r="B11" s="8" t="s">
        <v>90</v>
      </c>
      <c r="C11" s="8" t="s">
        <v>284</v>
      </c>
      <c r="D11" s="4"/>
      <c r="E11" s="4"/>
      <c r="F11" s="4"/>
      <c r="G11" s="4"/>
      <c r="H11" s="4"/>
      <c r="I11" s="4"/>
      <c r="J11" s="4"/>
      <c r="K11" s="4"/>
      <c r="L11" s="4">
        <v>2.7</v>
      </c>
      <c r="M11" s="4"/>
      <c r="N11" s="4"/>
      <c r="O11" s="4"/>
      <c r="P11" s="13"/>
      <c r="Q11" s="23"/>
      <c r="R11" s="4"/>
      <c r="S11" s="4" t="s">
        <v>80</v>
      </c>
      <c r="T11" s="24"/>
      <c r="U11" s="15"/>
      <c r="V11" s="4"/>
      <c r="W11" s="4"/>
      <c r="X11" s="4"/>
    </row>
    <row r="12" spans="1:24" x14ac:dyDescent="0.2">
      <c r="A12" s="8" t="s">
        <v>63</v>
      </c>
      <c r="B12" s="8" t="s">
        <v>90</v>
      </c>
      <c r="C12" s="8" t="s">
        <v>285</v>
      </c>
      <c r="D12" s="4"/>
      <c r="E12" s="4"/>
      <c r="F12" s="4"/>
      <c r="G12" s="4"/>
      <c r="H12" s="4"/>
      <c r="I12" s="4"/>
      <c r="J12" s="4"/>
      <c r="K12" s="4"/>
      <c r="L12" s="4">
        <v>2.63</v>
      </c>
      <c r="M12" s="4"/>
      <c r="N12" s="4"/>
      <c r="O12" s="4"/>
      <c r="P12" s="13"/>
      <c r="Q12" s="23"/>
      <c r="R12" s="4"/>
      <c r="S12" s="4" t="s">
        <v>80</v>
      </c>
      <c r="T12" s="24"/>
      <c r="U12" s="15"/>
      <c r="V12" s="4"/>
      <c r="W12" s="4"/>
      <c r="X12" s="4"/>
    </row>
    <row r="13" spans="1:24" x14ac:dyDescent="0.2">
      <c r="A13" s="8" t="s">
        <v>63</v>
      </c>
      <c r="B13" s="8" t="s">
        <v>90</v>
      </c>
      <c r="C13" s="8" t="s">
        <v>286</v>
      </c>
      <c r="D13" s="4"/>
      <c r="E13" s="4"/>
      <c r="F13" s="4"/>
      <c r="G13" s="4"/>
      <c r="H13" s="4"/>
      <c r="I13" s="4"/>
      <c r="J13" s="4"/>
      <c r="K13" s="4"/>
      <c r="L13" s="4">
        <v>2.54</v>
      </c>
      <c r="M13" s="4"/>
      <c r="N13" s="4"/>
      <c r="O13" s="4"/>
      <c r="P13" s="13"/>
      <c r="Q13" s="23"/>
      <c r="R13" s="4"/>
      <c r="S13" s="4" t="s">
        <v>80</v>
      </c>
      <c r="T13" s="24"/>
      <c r="U13" s="15"/>
      <c r="V13" s="4"/>
      <c r="W13" s="4"/>
      <c r="X13" s="4"/>
    </row>
    <row r="14" spans="1:24" s="93" customFormat="1" x14ac:dyDescent="0.2">
      <c r="A14" s="91" t="s">
        <v>63</v>
      </c>
      <c r="B14" s="91" t="s">
        <v>287</v>
      </c>
      <c r="C14" s="91" t="s">
        <v>280</v>
      </c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5"/>
      <c r="Q14" s="100"/>
      <c r="R14" s="92"/>
      <c r="S14" s="92" t="s">
        <v>80</v>
      </c>
      <c r="T14" s="101"/>
      <c r="U14" s="97"/>
      <c r="V14" s="92"/>
      <c r="W14" s="92"/>
      <c r="X14" s="92"/>
    </row>
    <row r="15" spans="1:24" s="90" customFormat="1" x14ac:dyDescent="0.2">
      <c r="A15" s="37" t="s">
        <v>63</v>
      </c>
      <c r="B15" s="37" t="s">
        <v>288</v>
      </c>
      <c r="C15" s="37" t="s">
        <v>289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>
        <v>100.22</v>
      </c>
      <c r="P15" s="60"/>
      <c r="Q15" s="102"/>
      <c r="R15" s="44"/>
      <c r="S15" s="44"/>
      <c r="T15" s="103" t="s">
        <v>80</v>
      </c>
      <c r="U15" s="98"/>
      <c r="V15" s="44"/>
      <c r="W15" s="44"/>
      <c r="X15" s="44"/>
    </row>
    <row r="16" spans="1:24" x14ac:dyDescent="0.2">
      <c r="A16" s="8" t="s">
        <v>63</v>
      </c>
      <c r="B16" s="8" t="s">
        <v>290</v>
      </c>
      <c r="C16" s="8" t="s">
        <v>289</v>
      </c>
      <c r="D16" s="4"/>
      <c r="E16" s="4"/>
      <c r="F16" s="4"/>
      <c r="G16" s="4"/>
      <c r="H16" s="4"/>
      <c r="I16" s="4"/>
      <c r="J16" s="4"/>
      <c r="K16" s="4"/>
      <c r="L16" s="4">
        <v>92.28</v>
      </c>
      <c r="M16" s="4"/>
      <c r="N16" s="4"/>
      <c r="O16" s="4"/>
      <c r="P16" s="13"/>
      <c r="Q16" s="23"/>
      <c r="R16" s="4"/>
      <c r="S16" s="4" t="s">
        <v>80</v>
      </c>
      <c r="T16" s="24"/>
      <c r="U16" s="15"/>
      <c r="V16" s="4"/>
      <c r="W16" s="4"/>
      <c r="X16" s="4"/>
    </row>
    <row r="17" spans="1:24" x14ac:dyDescent="0.2">
      <c r="A17" s="8" t="s">
        <v>63</v>
      </c>
      <c r="B17" s="8" t="s">
        <v>291</v>
      </c>
      <c r="C17" s="8" t="s">
        <v>289</v>
      </c>
      <c r="D17" s="4"/>
      <c r="E17" s="4"/>
      <c r="F17" s="4"/>
      <c r="G17" s="4"/>
      <c r="H17" s="4"/>
      <c r="I17" s="4"/>
      <c r="J17" s="4"/>
      <c r="K17" s="4"/>
      <c r="L17" s="4">
        <v>79.25</v>
      </c>
      <c r="M17" s="4"/>
      <c r="N17" s="4"/>
      <c r="O17" s="4"/>
      <c r="P17" s="13"/>
      <c r="Q17" s="23"/>
      <c r="R17" s="4"/>
      <c r="S17" s="4" t="s">
        <v>80</v>
      </c>
      <c r="T17" s="24"/>
      <c r="U17" s="15"/>
      <c r="V17" s="4"/>
      <c r="W17" s="4"/>
      <c r="X17" s="4"/>
    </row>
    <row r="18" spans="1:24" x14ac:dyDescent="0.2">
      <c r="A18" s="8" t="s">
        <v>63</v>
      </c>
      <c r="B18" s="8" t="s">
        <v>292</v>
      </c>
      <c r="C18" s="8" t="s">
        <v>289</v>
      </c>
      <c r="D18" s="4"/>
      <c r="E18" s="4"/>
      <c r="F18" s="4"/>
      <c r="G18" s="4"/>
      <c r="H18" s="4"/>
      <c r="I18" s="4"/>
      <c r="J18" s="4"/>
      <c r="K18" s="4"/>
      <c r="L18" s="4">
        <v>93.37</v>
      </c>
      <c r="M18" s="4"/>
      <c r="N18" s="4"/>
      <c r="O18" s="4"/>
      <c r="P18" s="13"/>
      <c r="Q18" s="23"/>
      <c r="R18" s="4"/>
      <c r="S18" s="4" t="s">
        <v>80</v>
      </c>
      <c r="T18" s="24"/>
      <c r="U18" s="15"/>
      <c r="V18" s="4"/>
      <c r="W18" s="4"/>
      <c r="X18" s="4"/>
    </row>
    <row r="19" spans="1:24" s="90" customFormat="1" x14ac:dyDescent="0.2">
      <c r="A19" s="37" t="s">
        <v>63</v>
      </c>
      <c r="B19" s="37" t="s">
        <v>293</v>
      </c>
      <c r="C19" s="37" t="s">
        <v>294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60"/>
      <c r="Q19" s="102"/>
      <c r="R19" s="44"/>
      <c r="S19" s="44"/>
      <c r="T19" s="103" t="s">
        <v>80</v>
      </c>
      <c r="U19" s="98"/>
      <c r="V19" s="44"/>
      <c r="W19" s="44"/>
      <c r="X19" s="44"/>
    </row>
    <row r="20" spans="1:24" s="93" customFormat="1" x14ac:dyDescent="0.2">
      <c r="A20" s="91" t="s">
        <v>63</v>
      </c>
      <c r="B20" s="91" t="s">
        <v>295</v>
      </c>
      <c r="C20" s="91" t="s">
        <v>294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5"/>
      <c r="Q20" s="100"/>
      <c r="R20" s="92"/>
      <c r="S20" s="92" t="s">
        <v>80</v>
      </c>
      <c r="T20" s="101"/>
      <c r="U20" s="97"/>
      <c r="V20" s="92"/>
      <c r="W20" s="92"/>
      <c r="X20" s="92"/>
    </row>
    <row r="21" spans="1:24" s="93" customFormat="1" x14ac:dyDescent="0.2">
      <c r="A21" s="91" t="s">
        <v>63</v>
      </c>
      <c r="B21" s="91" t="s">
        <v>296</v>
      </c>
      <c r="C21" s="91" t="s">
        <v>294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5"/>
      <c r="Q21" s="100"/>
      <c r="R21" s="92"/>
      <c r="S21" s="92" t="s">
        <v>80</v>
      </c>
      <c r="T21" s="101"/>
      <c r="U21" s="97"/>
      <c r="V21" s="92"/>
      <c r="W21" s="92"/>
      <c r="X21" s="92"/>
    </row>
    <row r="22" spans="1:24" s="93" customFormat="1" x14ac:dyDescent="0.2">
      <c r="A22" s="91" t="s">
        <v>63</v>
      </c>
      <c r="B22" s="91" t="s">
        <v>297</v>
      </c>
      <c r="C22" s="91" t="s">
        <v>294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5"/>
      <c r="Q22" s="100"/>
      <c r="R22" s="92"/>
      <c r="S22" s="92" t="s">
        <v>80</v>
      </c>
      <c r="T22" s="101"/>
      <c r="U22" s="97"/>
      <c r="V22" s="92"/>
      <c r="W22" s="92"/>
      <c r="X22" s="92"/>
    </row>
    <row r="23" spans="1:24" s="89" customFormat="1" x14ac:dyDescent="0.2">
      <c r="A23" s="87" t="s">
        <v>63</v>
      </c>
      <c r="B23" s="87" t="s">
        <v>298</v>
      </c>
      <c r="C23" s="87" t="s">
        <v>299</v>
      </c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96"/>
      <c r="Q23" s="104"/>
      <c r="R23" s="88"/>
      <c r="S23" s="88"/>
      <c r="T23" s="105"/>
      <c r="U23" s="99"/>
      <c r="V23" s="88"/>
      <c r="W23" s="88"/>
      <c r="X23" s="88"/>
    </row>
    <row r="24" spans="1:24" s="89" customFormat="1" x14ac:dyDescent="0.2">
      <c r="A24" s="87" t="s">
        <v>63</v>
      </c>
      <c r="B24" s="87" t="s">
        <v>300</v>
      </c>
      <c r="C24" s="87" t="s">
        <v>299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96"/>
      <c r="Q24" s="104"/>
      <c r="R24" s="88"/>
      <c r="S24" s="88"/>
      <c r="T24" s="105"/>
      <c r="U24" s="99"/>
      <c r="V24" s="88"/>
      <c r="W24" s="88"/>
      <c r="X24" s="88"/>
    </row>
    <row r="25" spans="1:24" s="89" customFormat="1" x14ac:dyDescent="0.2">
      <c r="A25" s="87" t="s">
        <v>63</v>
      </c>
      <c r="B25" s="87" t="s">
        <v>301</v>
      </c>
      <c r="C25" s="87" t="s">
        <v>299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96"/>
      <c r="Q25" s="104"/>
      <c r="R25" s="88"/>
      <c r="S25" s="88"/>
      <c r="T25" s="105"/>
      <c r="U25" s="99"/>
      <c r="V25" s="88"/>
      <c r="W25" s="88"/>
      <c r="X25" s="88"/>
    </row>
    <row r="26" spans="1:24" s="89" customFormat="1" x14ac:dyDescent="0.2">
      <c r="A26" s="87" t="s">
        <v>63</v>
      </c>
      <c r="B26" s="87" t="s">
        <v>302</v>
      </c>
      <c r="C26" s="87" t="s">
        <v>299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96"/>
      <c r="Q26" s="104"/>
      <c r="R26" s="88"/>
      <c r="S26" s="88"/>
      <c r="T26" s="105"/>
      <c r="U26" s="99"/>
      <c r="V26" s="88"/>
      <c r="W26" s="88"/>
      <c r="X26" s="88"/>
    </row>
    <row r="27" spans="1:24" s="89" customFormat="1" x14ac:dyDescent="0.2">
      <c r="A27" s="87" t="s">
        <v>63</v>
      </c>
      <c r="B27" s="87" t="s">
        <v>303</v>
      </c>
      <c r="C27" s="87" t="s">
        <v>304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96"/>
      <c r="Q27" s="104"/>
      <c r="R27" s="88"/>
      <c r="S27" s="88"/>
      <c r="T27" s="105"/>
      <c r="U27" s="99"/>
      <c r="V27" s="88"/>
      <c r="W27" s="88"/>
      <c r="X27" s="88"/>
    </row>
    <row r="28" spans="1:24" s="89" customFormat="1" x14ac:dyDescent="0.2">
      <c r="A28" s="87" t="s">
        <v>63</v>
      </c>
      <c r="B28" s="87" t="s">
        <v>305</v>
      </c>
      <c r="C28" s="87" t="s">
        <v>304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96"/>
      <c r="Q28" s="104"/>
      <c r="R28" s="88"/>
      <c r="S28" s="88"/>
      <c r="T28" s="105"/>
      <c r="U28" s="99"/>
      <c r="V28" s="88"/>
      <c r="W28" s="88"/>
      <c r="X28" s="88"/>
    </row>
    <row r="29" spans="1:24" s="89" customFormat="1" x14ac:dyDescent="0.2">
      <c r="A29" s="87" t="s">
        <v>63</v>
      </c>
      <c r="B29" s="87" t="s">
        <v>306</v>
      </c>
      <c r="C29" s="87" t="s">
        <v>304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96"/>
      <c r="Q29" s="104"/>
      <c r="R29" s="88"/>
      <c r="S29" s="88"/>
      <c r="T29" s="105"/>
      <c r="U29" s="99"/>
      <c r="V29" s="88"/>
      <c r="W29" s="88"/>
      <c r="X29" s="88"/>
    </row>
    <row r="30" spans="1:24" s="89" customFormat="1" x14ac:dyDescent="0.2">
      <c r="A30" s="87" t="s">
        <v>63</v>
      </c>
      <c r="B30" s="87" t="s">
        <v>307</v>
      </c>
      <c r="C30" s="87" t="s">
        <v>304</v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96"/>
      <c r="Q30" s="104"/>
      <c r="R30" s="88"/>
      <c r="S30" s="88"/>
      <c r="T30" s="105"/>
      <c r="U30" s="99"/>
      <c r="V30" s="88"/>
      <c r="W30" s="88"/>
      <c r="X30" s="88"/>
    </row>
    <row r="31" spans="1:24" s="89" customFormat="1" x14ac:dyDescent="0.2">
      <c r="A31" s="87" t="s">
        <v>63</v>
      </c>
      <c r="B31" s="87" t="s">
        <v>308</v>
      </c>
      <c r="C31" s="87" t="s">
        <v>309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96"/>
      <c r="Q31" s="104"/>
      <c r="R31" s="88"/>
      <c r="S31" s="88"/>
      <c r="T31" s="105"/>
      <c r="U31" s="99"/>
      <c r="V31" s="88"/>
      <c r="W31" s="88"/>
      <c r="X31" s="88"/>
    </row>
    <row r="32" spans="1:24" s="89" customFormat="1" x14ac:dyDescent="0.2">
      <c r="A32" s="87" t="s">
        <v>63</v>
      </c>
      <c r="B32" s="87" t="s">
        <v>310</v>
      </c>
      <c r="C32" s="87" t="s">
        <v>309</v>
      </c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96"/>
      <c r="Q32" s="104"/>
      <c r="R32" s="88"/>
      <c r="S32" s="88"/>
      <c r="T32" s="105"/>
      <c r="U32" s="99"/>
      <c r="V32" s="88"/>
      <c r="W32" s="88"/>
      <c r="X32" s="88"/>
    </row>
    <row r="33" spans="1:24" s="89" customFormat="1" x14ac:dyDescent="0.2">
      <c r="A33" s="87" t="s">
        <v>63</v>
      </c>
      <c r="B33" s="87" t="s">
        <v>311</v>
      </c>
      <c r="C33" s="87" t="s">
        <v>309</v>
      </c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96"/>
      <c r="Q33" s="104"/>
      <c r="R33" s="88"/>
      <c r="S33" s="88"/>
      <c r="T33" s="105"/>
      <c r="U33" s="99"/>
      <c r="V33" s="88"/>
      <c r="W33" s="88"/>
      <c r="X33" s="88"/>
    </row>
    <row r="34" spans="1:24" s="89" customFormat="1" x14ac:dyDescent="0.2">
      <c r="A34" s="87" t="s">
        <v>63</v>
      </c>
      <c r="B34" s="87" t="s">
        <v>312</v>
      </c>
      <c r="C34" s="87" t="s">
        <v>309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96"/>
      <c r="Q34" s="104"/>
      <c r="R34" s="88"/>
      <c r="S34" s="88"/>
      <c r="T34" s="105"/>
      <c r="U34" s="99"/>
      <c r="V34" s="88"/>
      <c r="W34" s="88"/>
      <c r="X34" s="88"/>
    </row>
    <row r="35" spans="1:24" s="89" customFormat="1" x14ac:dyDescent="0.2">
      <c r="A35" s="87" t="s">
        <v>63</v>
      </c>
      <c r="B35" s="87" t="s">
        <v>313</v>
      </c>
      <c r="C35" s="87" t="s">
        <v>314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96"/>
      <c r="Q35" s="104"/>
      <c r="R35" s="88"/>
      <c r="S35" s="88"/>
      <c r="T35" s="105"/>
      <c r="U35" s="99"/>
      <c r="V35" s="88"/>
      <c r="W35" s="88"/>
      <c r="X35" s="88"/>
    </row>
    <row r="36" spans="1:24" s="89" customFormat="1" x14ac:dyDescent="0.2">
      <c r="A36" s="87" t="s">
        <v>63</v>
      </c>
      <c r="B36" s="87" t="s">
        <v>315</v>
      </c>
      <c r="C36" s="87" t="s">
        <v>314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96"/>
      <c r="Q36" s="104"/>
      <c r="R36" s="88"/>
      <c r="S36" s="88"/>
      <c r="T36" s="105"/>
      <c r="U36" s="99"/>
      <c r="V36" s="88"/>
      <c r="W36" s="88"/>
      <c r="X36" s="88"/>
    </row>
    <row r="37" spans="1:24" s="89" customFormat="1" x14ac:dyDescent="0.2">
      <c r="A37" s="87" t="s">
        <v>63</v>
      </c>
      <c r="B37" s="87" t="s">
        <v>316</v>
      </c>
      <c r="C37" s="87" t="s">
        <v>314</v>
      </c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96"/>
      <c r="Q37" s="104"/>
      <c r="R37" s="88"/>
      <c r="S37" s="88"/>
      <c r="T37" s="105"/>
      <c r="U37" s="99"/>
      <c r="V37" s="88"/>
      <c r="W37" s="88"/>
      <c r="X37" s="88"/>
    </row>
    <row r="38" spans="1:24" s="89" customFormat="1" x14ac:dyDescent="0.2">
      <c r="A38" s="87" t="s">
        <v>63</v>
      </c>
      <c r="B38" s="87" t="s">
        <v>317</v>
      </c>
      <c r="C38" s="87" t="s">
        <v>314</v>
      </c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96"/>
      <c r="Q38" s="104"/>
      <c r="R38" s="88"/>
      <c r="S38" s="88"/>
      <c r="T38" s="105"/>
      <c r="U38" s="99"/>
      <c r="V38" s="88"/>
      <c r="W38" s="88"/>
      <c r="X38" s="88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X20"/>
  <sheetViews>
    <sheetView zoomScale="110" zoomScaleNormal="110" workbookViewId="0">
      <selection activeCell="F27" sqref="F27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7" customWidth="1"/>
    <col min="4" max="4" width="13" style="11" customWidth="1"/>
    <col min="5" max="5" width="10" style="25" customWidth="1"/>
    <col min="6" max="6" width="8" style="11" customWidth="1"/>
    <col min="7" max="7" width="8" style="26" customWidth="1"/>
    <col min="8" max="8" width="10" style="11" customWidth="1"/>
    <col min="9" max="9" width="8" customWidth="1"/>
    <col min="10" max="10" width="8" style="11" customWidth="1"/>
    <col min="11" max="11" width="10" style="25" customWidth="1"/>
    <col min="12" max="12" width="8" style="11" customWidth="1"/>
    <col min="13" max="13" width="8" style="26" customWidth="1"/>
    <col min="14" max="14" width="10" style="11" customWidth="1"/>
    <col min="15" max="15" width="8" customWidth="1"/>
    <col min="16" max="16" width="8" style="11" customWidth="1"/>
    <col min="17" max="17" width="10" style="30" customWidth="1"/>
    <col min="18" max="19" width="10" style="31" customWidth="1"/>
    <col min="20" max="20" width="10" style="32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19"/>
      <c r="F2" s="6">
        <f>SUM(E5:G20)</f>
        <v>443.37</v>
      </c>
      <c r="G2" s="20"/>
      <c r="H2" s="6"/>
      <c r="I2" s="6">
        <f>SUM(H5:J20)</f>
        <v>0</v>
      </c>
      <c r="J2" s="6"/>
      <c r="K2" s="19"/>
      <c r="L2" s="6">
        <f>SUM(K5:M20)</f>
        <v>0</v>
      </c>
      <c r="M2" s="20"/>
      <c r="N2" s="6"/>
      <c r="O2" s="6">
        <f>SUM(N5:P20)</f>
        <v>0</v>
      </c>
      <c r="P2" s="6"/>
    </row>
    <row r="3" spans="1:24" x14ac:dyDescent="0.2">
      <c r="A3" s="2"/>
      <c r="B3" s="2"/>
      <c r="C3" s="2"/>
      <c r="D3" s="12"/>
      <c r="E3" s="138" t="s">
        <v>71</v>
      </c>
      <c r="F3" s="137"/>
      <c r="G3" s="139"/>
      <c r="H3" s="137" t="s">
        <v>72</v>
      </c>
      <c r="I3" s="137"/>
      <c r="J3" s="137"/>
      <c r="K3" s="138" t="s">
        <v>73</v>
      </c>
      <c r="L3" s="137"/>
      <c r="M3" s="139"/>
      <c r="N3" s="137" t="s">
        <v>74</v>
      </c>
      <c r="O3" s="137"/>
      <c r="P3" s="137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12" t="s">
        <v>78</v>
      </c>
      <c r="E4" s="21" t="s">
        <v>79</v>
      </c>
      <c r="F4" s="2" t="s">
        <v>80</v>
      </c>
      <c r="G4" s="22" t="s">
        <v>81</v>
      </c>
      <c r="H4" s="14" t="s">
        <v>79</v>
      </c>
      <c r="I4" s="2" t="s">
        <v>80</v>
      </c>
      <c r="J4" s="12" t="s">
        <v>81</v>
      </c>
      <c r="K4" s="21" t="s">
        <v>79</v>
      </c>
      <c r="L4" s="2" t="s">
        <v>80</v>
      </c>
      <c r="M4" s="22" t="s">
        <v>81</v>
      </c>
      <c r="N4" s="14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57</v>
      </c>
      <c r="B5" s="8" t="s">
        <v>157</v>
      </c>
      <c r="C5" s="8" t="s">
        <v>158</v>
      </c>
      <c r="D5" s="13"/>
      <c r="E5" s="23"/>
      <c r="F5" s="4">
        <v>30.1</v>
      </c>
      <c r="G5" s="24"/>
      <c r="H5" s="15"/>
      <c r="I5" s="4"/>
      <c r="J5" s="13"/>
      <c r="K5" s="23"/>
      <c r="L5" s="4"/>
      <c r="M5" s="24"/>
      <c r="N5" s="15"/>
      <c r="O5" s="4"/>
      <c r="P5" s="13"/>
      <c r="Q5" s="33"/>
      <c r="R5" s="34"/>
      <c r="T5" s="35"/>
      <c r="U5" s="15"/>
      <c r="V5" s="33" t="s">
        <v>80</v>
      </c>
      <c r="W5" s="4"/>
      <c r="X5" s="4"/>
    </row>
    <row r="6" spans="1:24" x14ac:dyDescent="0.2">
      <c r="A6" s="8" t="s">
        <v>57</v>
      </c>
      <c r="B6" s="8" t="s">
        <v>159</v>
      </c>
      <c r="C6" s="8" t="s">
        <v>160</v>
      </c>
      <c r="D6" s="13"/>
      <c r="E6" s="23"/>
      <c r="F6" s="4">
        <v>25.68</v>
      </c>
      <c r="G6" s="24"/>
      <c r="H6" s="15"/>
      <c r="I6" s="4"/>
      <c r="J6" s="13"/>
      <c r="K6" s="23"/>
      <c r="L6" s="4"/>
      <c r="M6" s="24"/>
      <c r="N6" s="15"/>
      <c r="O6" s="4"/>
      <c r="P6" s="13"/>
      <c r="Q6" s="33"/>
      <c r="R6" s="34"/>
      <c r="T6" s="35"/>
      <c r="U6" s="15"/>
      <c r="V6" s="33" t="s">
        <v>80</v>
      </c>
      <c r="W6" s="4"/>
      <c r="X6" s="4"/>
    </row>
    <row r="7" spans="1:24" x14ac:dyDescent="0.2">
      <c r="A7" s="8" t="s">
        <v>57</v>
      </c>
      <c r="B7" s="8" t="s">
        <v>161</v>
      </c>
      <c r="C7" s="8" t="s">
        <v>162</v>
      </c>
      <c r="D7" s="13"/>
      <c r="E7" s="23"/>
      <c r="F7" s="4">
        <v>25.92</v>
      </c>
      <c r="G7" s="24"/>
      <c r="H7" s="15"/>
      <c r="I7" s="4"/>
      <c r="J7" s="13"/>
      <c r="K7" s="23"/>
      <c r="L7" s="4"/>
      <c r="M7" s="24"/>
      <c r="N7" s="15"/>
      <c r="O7" s="4"/>
      <c r="P7" s="13"/>
      <c r="Q7" s="33"/>
      <c r="R7" s="34"/>
      <c r="T7" s="35"/>
      <c r="U7" s="15"/>
      <c r="V7" s="33" t="s">
        <v>80</v>
      </c>
      <c r="W7" s="4"/>
      <c r="X7" s="4"/>
    </row>
    <row r="8" spans="1:24" x14ac:dyDescent="0.2">
      <c r="A8" s="8" t="s">
        <v>57</v>
      </c>
      <c r="B8" s="8" t="s">
        <v>163</v>
      </c>
      <c r="C8" s="8" t="s">
        <v>164</v>
      </c>
      <c r="D8" s="13"/>
      <c r="E8" s="23"/>
      <c r="F8" s="4">
        <v>35.11</v>
      </c>
      <c r="G8" s="24"/>
      <c r="H8" s="15"/>
      <c r="I8" s="4"/>
      <c r="J8" s="13"/>
      <c r="K8" s="23"/>
      <c r="L8" s="4"/>
      <c r="M8" s="24"/>
      <c r="N8" s="15"/>
      <c r="O8" s="4"/>
      <c r="P8" s="13"/>
      <c r="Q8" s="33"/>
      <c r="R8" s="34"/>
      <c r="T8" s="35"/>
      <c r="U8" s="15"/>
      <c r="V8" s="33" t="s">
        <v>80</v>
      </c>
      <c r="W8" s="4"/>
      <c r="X8" s="4"/>
    </row>
    <row r="9" spans="1:24" x14ac:dyDescent="0.2">
      <c r="A9" s="8" t="s">
        <v>57</v>
      </c>
      <c r="B9" s="8" t="s">
        <v>165</v>
      </c>
      <c r="C9" s="8" t="s">
        <v>166</v>
      </c>
      <c r="D9" s="13"/>
      <c r="E9" s="23"/>
      <c r="F9" s="4">
        <v>25.56</v>
      </c>
      <c r="G9" s="24"/>
      <c r="H9" s="15"/>
      <c r="I9" s="4"/>
      <c r="J9" s="13"/>
      <c r="K9" s="23"/>
      <c r="L9" s="4"/>
      <c r="M9" s="24"/>
      <c r="N9" s="15"/>
      <c r="O9" s="4"/>
      <c r="P9" s="13"/>
      <c r="Q9" s="33"/>
      <c r="R9" s="34"/>
      <c r="T9" s="35"/>
      <c r="U9" s="15"/>
      <c r="V9" s="33" t="s">
        <v>80</v>
      </c>
      <c r="W9" s="4"/>
      <c r="X9" s="4"/>
    </row>
    <row r="10" spans="1:24" x14ac:dyDescent="0.2">
      <c r="A10" s="8" t="s">
        <v>57</v>
      </c>
      <c r="B10" s="8" t="s">
        <v>167</v>
      </c>
      <c r="C10" s="8" t="s">
        <v>168</v>
      </c>
      <c r="D10" s="13"/>
      <c r="E10" s="23"/>
      <c r="F10" s="4">
        <v>25.32</v>
      </c>
      <c r="G10" s="24"/>
      <c r="H10" s="15"/>
      <c r="I10" s="4"/>
      <c r="J10" s="13"/>
      <c r="K10" s="23"/>
      <c r="L10" s="4"/>
      <c r="M10" s="24"/>
      <c r="N10" s="15"/>
      <c r="O10" s="4"/>
      <c r="P10" s="13"/>
      <c r="Q10" s="33"/>
      <c r="R10" s="34"/>
      <c r="T10" s="35"/>
      <c r="U10" s="15"/>
      <c r="V10" s="33" t="s">
        <v>80</v>
      </c>
      <c r="W10" s="4"/>
      <c r="X10" s="4"/>
    </row>
    <row r="11" spans="1:24" x14ac:dyDescent="0.2">
      <c r="A11" s="8" t="s">
        <v>57</v>
      </c>
      <c r="B11" s="8" t="s">
        <v>169</v>
      </c>
      <c r="C11" s="8" t="s">
        <v>170</v>
      </c>
      <c r="D11" s="13"/>
      <c r="E11" s="23"/>
      <c r="F11" s="4">
        <v>26.74</v>
      </c>
      <c r="G11" s="24"/>
      <c r="H11" s="15"/>
      <c r="I11" s="4"/>
      <c r="J11" s="13"/>
      <c r="K11" s="23"/>
      <c r="L11" s="4"/>
      <c r="M11" s="24"/>
      <c r="N11" s="15"/>
      <c r="O11" s="4"/>
      <c r="P11" s="13"/>
      <c r="Q11" s="33"/>
      <c r="R11" s="34"/>
      <c r="T11" s="35"/>
      <c r="U11" s="15"/>
      <c r="V11" s="33" t="s">
        <v>80</v>
      </c>
      <c r="W11" s="4"/>
      <c r="X11" s="4"/>
    </row>
    <row r="12" spans="1:24" x14ac:dyDescent="0.2">
      <c r="A12" s="8" t="s">
        <v>57</v>
      </c>
      <c r="B12" s="8" t="s">
        <v>171</v>
      </c>
      <c r="C12" s="8" t="s">
        <v>172</v>
      </c>
      <c r="D12" s="13"/>
      <c r="E12" s="23"/>
      <c r="F12" s="4">
        <v>28.3</v>
      </c>
      <c r="G12" s="24"/>
      <c r="H12" s="15"/>
      <c r="I12" s="4"/>
      <c r="J12" s="13"/>
      <c r="K12" s="23"/>
      <c r="L12" s="4"/>
      <c r="M12" s="24"/>
      <c r="N12" s="15"/>
      <c r="O12" s="4"/>
      <c r="P12" s="13"/>
      <c r="Q12" s="33"/>
      <c r="R12" s="34"/>
      <c r="T12" s="35"/>
      <c r="U12" s="15"/>
      <c r="V12" s="33" t="s">
        <v>80</v>
      </c>
      <c r="W12" s="4"/>
      <c r="X12" s="4"/>
    </row>
    <row r="13" spans="1:24" x14ac:dyDescent="0.2">
      <c r="A13" s="8" t="s">
        <v>57</v>
      </c>
      <c r="B13" s="8" t="s">
        <v>173</v>
      </c>
      <c r="C13" s="8" t="s">
        <v>174</v>
      </c>
      <c r="D13" s="13"/>
      <c r="E13" s="23"/>
      <c r="F13" s="4">
        <v>24.84</v>
      </c>
      <c r="G13" s="24"/>
      <c r="H13" s="15"/>
      <c r="I13" s="4"/>
      <c r="J13" s="13"/>
      <c r="K13" s="23"/>
      <c r="L13" s="4"/>
      <c r="M13" s="24"/>
      <c r="N13" s="15"/>
      <c r="O13" s="4"/>
      <c r="P13" s="13"/>
      <c r="Q13" s="33"/>
      <c r="R13" s="34"/>
      <c r="T13" s="35"/>
      <c r="U13" s="15"/>
      <c r="V13" s="33" t="s">
        <v>80</v>
      </c>
      <c r="W13" s="4"/>
      <c r="X13" s="4"/>
    </row>
    <row r="14" spans="1:24" x14ac:dyDescent="0.2">
      <c r="A14" s="8" t="s">
        <v>57</v>
      </c>
      <c r="B14" s="8" t="s">
        <v>175</v>
      </c>
      <c r="C14" s="8" t="s">
        <v>176</v>
      </c>
      <c r="D14" s="13"/>
      <c r="E14" s="23"/>
      <c r="F14" s="4">
        <v>27.16</v>
      </c>
      <c r="G14" s="24"/>
      <c r="H14" s="15"/>
      <c r="I14" s="4"/>
      <c r="J14" s="13"/>
      <c r="K14" s="23"/>
      <c r="L14" s="4"/>
      <c r="M14" s="24"/>
      <c r="N14" s="15"/>
      <c r="O14" s="4"/>
      <c r="P14" s="13"/>
      <c r="Q14" s="33"/>
      <c r="R14" s="34"/>
      <c r="T14" s="35"/>
      <c r="U14" s="15"/>
      <c r="V14" s="33" t="s">
        <v>80</v>
      </c>
      <c r="W14" s="4"/>
      <c r="X14" s="4"/>
    </row>
    <row r="15" spans="1:24" x14ac:dyDescent="0.2">
      <c r="A15" s="8" t="s">
        <v>57</v>
      </c>
      <c r="B15" s="8" t="s">
        <v>177</v>
      </c>
      <c r="C15" s="8" t="s">
        <v>178</v>
      </c>
      <c r="D15" s="13"/>
      <c r="E15" s="23"/>
      <c r="F15" s="4">
        <v>26.88</v>
      </c>
      <c r="G15" s="24"/>
      <c r="H15" s="15"/>
      <c r="I15" s="4"/>
      <c r="J15" s="13"/>
      <c r="K15" s="23"/>
      <c r="L15" s="4"/>
      <c r="M15" s="24"/>
      <c r="N15" s="15"/>
      <c r="O15" s="4"/>
      <c r="P15" s="13"/>
      <c r="Q15" s="33"/>
      <c r="R15" s="34"/>
      <c r="T15" s="35"/>
      <c r="U15" s="15"/>
      <c r="V15" s="33" t="s">
        <v>80</v>
      </c>
      <c r="W15" s="4"/>
      <c r="X15" s="4"/>
    </row>
    <row r="16" spans="1:24" x14ac:dyDescent="0.2">
      <c r="A16" s="8" t="s">
        <v>57</v>
      </c>
      <c r="B16" s="8" t="s">
        <v>179</v>
      </c>
      <c r="C16" s="8" t="s">
        <v>180</v>
      </c>
      <c r="D16" s="13"/>
      <c r="E16" s="23"/>
      <c r="F16" s="4">
        <v>25.5</v>
      </c>
      <c r="G16" s="24"/>
      <c r="H16" s="15"/>
      <c r="I16" s="4"/>
      <c r="J16" s="13"/>
      <c r="K16" s="23"/>
      <c r="L16" s="4"/>
      <c r="M16" s="24"/>
      <c r="N16" s="15"/>
      <c r="O16" s="4"/>
      <c r="P16" s="13"/>
      <c r="Q16" s="33"/>
      <c r="R16" s="34"/>
      <c r="T16" s="35"/>
      <c r="U16" s="15"/>
      <c r="V16" s="33" t="s">
        <v>80</v>
      </c>
      <c r="W16" s="4"/>
      <c r="X16" s="4"/>
    </row>
    <row r="17" spans="1:24" x14ac:dyDescent="0.2">
      <c r="A17" s="8" t="s">
        <v>57</v>
      </c>
      <c r="B17" s="8" t="s">
        <v>181</v>
      </c>
      <c r="C17" s="8" t="s">
        <v>182</v>
      </c>
      <c r="D17" s="13"/>
      <c r="E17" s="23"/>
      <c r="F17" s="4">
        <v>27.52</v>
      </c>
      <c r="G17" s="24"/>
      <c r="H17" s="15"/>
      <c r="I17" s="4"/>
      <c r="J17" s="13"/>
      <c r="K17" s="23"/>
      <c r="L17" s="4"/>
      <c r="M17" s="24"/>
      <c r="N17" s="15"/>
      <c r="O17" s="4"/>
      <c r="P17" s="13"/>
      <c r="Q17" s="33"/>
      <c r="R17" s="34"/>
      <c r="T17" s="35"/>
      <c r="U17" s="15"/>
      <c r="V17" s="33" t="s">
        <v>80</v>
      </c>
      <c r="W17" s="4"/>
      <c r="X17" s="4"/>
    </row>
    <row r="18" spans="1:24" x14ac:dyDescent="0.2">
      <c r="A18" s="8" t="s">
        <v>57</v>
      </c>
      <c r="B18" s="8" t="s">
        <v>183</v>
      </c>
      <c r="C18" s="8" t="s">
        <v>184</v>
      </c>
      <c r="D18" s="13"/>
      <c r="E18" s="23"/>
      <c r="F18" s="4">
        <v>33.65</v>
      </c>
      <c r="G18" s="24"/>
      <c r="H18" s="15"/>
      <c r="I18" s="4"/>
      <c r="J18" s="13"/>
      <c r="K18" s="23"/>
      <c r="L18" s="4"/>
      <c r="M18" s="24"/>
      <c r="N18" s="15"/>
      <c r="O18" s="4"/>
      <c r="P18" s="13"/>
      <c r="Q18" s="33"/>
      <c r="R18" s="34"/>
      <c r="T18" s="35"/>
      <c r="U18" s="15"/>
      <c r="V18" s="33" t="s">
        <v>80</v>
      </c>
      <c r="W18" s="4"/>
      <c r="X18" s="4"/>
    </row>
    <row r="19" spans="1:24" x14ac:dyDescent="0.2">
      <c r="A19" s="8" t="s">
        <v>57</v>
      </c>
      <c r="B19" s="8" t="s">
        <v>185</v>
      </c>
      <c r="C19" s="8" t="s">
        <v>186</v>
      </c>
      <c r="D19" s="13"/>
      <c r="E19" s="23"/>
      <c r="F19" s="4">
        <v>26.16</v>
      </c>
      <c r="G19" s="24"/>
      <c r="H19" s="15"/>
      <c r="I19" s="4"/>
      <c r="J19" s="13"/>
      <c r="K19" s="23"/>
      <c r="L19" s="4"/>
      <c r="M19" s="24"/>
      <c r="N19" s="15"/>
      <c r="O19" s="4"/>
      <c r="P19" s="13"/>
      <c r="Q19" s="33"/>
      <c r="R19" s="34"/>
      <c r="T19" s="35"/>
      <c r="U19" s="15"/>
      <c r="V19" s="33" t="s">
        <v>80</v>
      </c>
      <c r="W19" s="4"/>
      <c r="X19" s="4"/>
    </row>
    <row r="20" spans="1:24" x14ac:dyDescent="0.2">
      <c r="A20" s="8" t="s">
        <v>57</v>
      </c>
      <c r="B20" s="8" t="s">
        <v>187</v>
      </c>
      <c r="C20" s="8" t="s">
        <v>188</v>
      </c>
      <c r="D20" s="13"/>
      <c r="E20" s="23"/>
      <c r="F20" s="4">
        <v>28.93</v>
      </c>
      <c r="G20" s="24"/>
      <c r="H20" s="15"/>
      <c r="I20" s="4"/>
      <c r="J20" s="13"/>
      <c r="K20" s="23"/>
      <c r="L20" s="4"/>
      <c r="M20" s="24"/>
      <c r="N20" s="15"/>
      <c r="O20" s="4"/>
      <c r="P20" s="13"/>
      <c r="Q20" s="33"/>
      <c r="R20" s="34"/>
      <c r="T20" s="35"/>
      <c r="U20" s="15"/>
      <c r="V20" s="33" t="s">
        <v>80</v>
      </c>
      <c r="W20" s="4"/>
      <c r="X2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X7"/>
  <sheetViews>
    <sheetView workbookViewId="0">
      <selection activeCell="E32" sqref="E32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58" customWidth="1"/>
    <col min="4" max="4" width="13" customWidth="1"/>
    <col min="5" max="5" width="10" customWidth="1"/>
    <col min="6" max="6" width="8" customWidth="1"/>
    <col min="7" max="7" width="8" style="11" customWidth="1"/>
    <col min="8" max="8" width="10" style="25" customWidth="1"/>
    <col min="9" max="9" width="8" style="11" customWidth="1"/>
    <col min="10" max="10" width="8" style="26" customWidth="1"/>
    <col min="11" max="11" width="10" style="11" customWidth="1"/>
    <col min="12" max="12" width="8" customWidth="1"/>
    <col min="13" max="13" width="8" style="11" customWidth="1"/>
    <col min="14" max="14" width="10" style="25" customWidth="1"/>
    <col min="15" max="15" width="8" style="11" customWidth="1"/>
    <col min="16" max="16" width="8" style="26" customWidth="1"/>
    <col min="17" max="17" width="10" style="25" customWidth="1"/>
    <col min="18" max="19" width="10" style="11" customWidth="1"/>
    <col min="20" max="20" width="10" style="26" customWidth="1"/>
    <col min="21" max="21" width="8" style="31" customWidth="1"/>
    <col min="22" max="22" width="8" style="109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SUM(E5:G7)</f>
        <v>0</v>
      </c>
      <c r="G2" s="6"/>
      <c r="H2" s="19"/>
      <c r="I2" s="6">
        <f>SUM(H5:J7)</f>
        <v>0</v>
      </c>
      <c r="J2" s="20"/>
      <c r="K2" s="6"/>
      <c r="L2" s="6">
        <f>SUM(K5:M7)</f>
        <v>0</v>
      </c>
      <c r="M2" s="6"/>
      <c r="N2" s="19"/>
      <c r="O2" s="6">
        <f>SUM(N5:P7)</f>
        <v>0</v>
      </c>
      <c r="P2" s="20"/>
      <c r="U2" s="129" t="s">
        <v>328</v>
      </c>
    </row>
    <row r="3" spans="1:24" x14ac:dyDescent="0.2">
      <c r="A3" s="2"/>
      <c r="B3" s="2"/>
      <c r="C3" s="2"/>
      <c r="D3" s="2"/>
      <c r="E3" s="137" t="s">
        <v>71</v>
      </c>
      <c r="F3" s="137"/>
      <c r="G3" s="137"/>
      <c r="H3" s="138" t="s">
        <v>72</v>
      </c>
      <c r="I3" s="137"/>
      <c r="J3" s="139"/>
      <c r="K3" s="137" t="s">
        <v>73</v>
      </c>
      <c r="L3" s="137"/>
      <c r="M3" s="137"/>
      <c r="N3" s="138" t="s">
        <v>74</v>
      </c>
      <c r="O3" s="137"/>
      <c r="P3" s="139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12" t="s">
        <v>81</v>
      </c>
      <c r="H4" s="21" t="s">
        <v>79</v>
      </c>
      <c r="I4" s="2" t="s">
        <v>80</v>
      </c>
      <c r="J4" s="22" t="s">
        <v>81</v>
      </c>
      <c r="K4" s="14" t="s">
        <v>79</v>
      </c>
      <c r="L4" s="2" t="s">
        <v>80</v>
      </c>
      <c r="M4" s="12" t="s">
        <v>81</v>
      </c>
      <c r="N4" s="21" t="s">
        <v>79</v>
      </c>
      <c r="O4" s="2" t="s">
        <v>80</v>
      </c>
      <c r="P4" s="2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56</v>
      </c>
      <c r="B5" s="8" t="s">
        <v>151</v>
      </c>
      <c r="C5" s="8" t="s">
        <v>152</v>
      </c>
      <c r="D5" s="4"/>
      <c r="E5" s="4"/>
      <c r="F5" s="4"/>
      <c r="G5" s="13"/>
      <c r="H5" s="23"/>
      <c r="I5" s="4"/>
      <c r="J5" s="24"/>
      <c r="K5" s="15"/>
      <c r="L5" s="4"/>
      <c r="M5" s="13"/>
      <c r="N5" s="23"/>
      <c r="O5" s="4"/>
      <c r="P5" s="24"/>
      <c r="Q5" s="23"/>
      <c r="R5" s="4"/>
      <c r="S5" s="4"/>
      <c r="T5" s="24"/>
      <c r="U5" s="108" t="s">
        <v>80</v>
      </c>
      <c r="V5" s="34"/>
      <c r="W5" s="4"/>
      <c r="X5" s="4"/>
    </row>
    <row r="6" spans="1:24" x14ac:dyDescent="0.2">
      <c r="A6" s="8" t="s">
        <v>56</v>
      </c>
      <c r="B6" s="8" t="s">
        <v>153</v>
      </c>
      <c r="C6" s="8" t="s">
        <v>154</v>
      </c>
      <c r="D6" s="4"/>
      <c r="E6" s="4"/>
      <c r="F6" s="4"/>
      <c r="G6" s="13"/>
      <c r="H6" s="23"/>
      <c r="I6" s="4"/>
      <c r="J6" s="24"/>
      <c r="K6" s="15"/>
      <c r="L6" s="4"/>
      <c r="M6" s="13"/>
      <c r="N6" s="23"/>
      <c r="O6" s="4"/>
      <c r="P6" s="24"/>
      <c r="Q6" s="23"/>
      <c r="R6" s="4"/>
      <c r="S6" s="4"/>
      <c r="T6" s="24"/>
      <c r="U6" s="108" t="s">
        <v>80</v>
      </c>
      <c r="V6" s="34" t="s">
        <v>80</v>
      </c>
      <c r="W6" s="4"/>
      <c r="X6" s="4"/>
    </row>
    <row r="7" spans="1:24" x14ac:dyDescent="0.2">
      <c r="A7" s="8" t="s">
        <v>56</v>
      </c>
      <c r="B7" s="8" t="s">
        <v>155</v>
      </c>
      <c r="C7" s="8" t="s">
        <v>156</v>
      </c>
      <c r="D7" s="4"/>
      <c r="E7" s="4"/>
      <c r="F7" s="4"/>
      <c r="G7" s="13"/>
      <c r="H7" s="23"/>
      <c r="I7" s="4"/>
      <c r="J7" s="24"/>
      <c r="K7" s="15"/>
      <c r="L7" s="4"/>
      <c r="M7" s="13"/>
      <c r="N7" s="23"/>
      <c r="O7" s="4"/>
      <c r="P7" s="24"/>
      <c r="Q7" s="23"/>
      <c r="R7" s="4"/>
      <c r="S7" s="4"/>
      <c r="T7" s="24"/>
      <c r="U7" s="108" t="s">
        <v>80</v>
      </c>
      <c r="V7" s="34" t="s">
        <v>80</v>
      </c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X19"/>
  <sheetViews>
    <sheetView topLeftCell="B1" workbookViewId="0">
      <selection activeCell="J32" sqref="J32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2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SUM(E5:G19)</f>
        <v>0</v>
      </c>
      <c r="G2" s="6"/>
      <c r="H2" s="6"/>
      <c r="I2" s="6">
        <f>SUM(H5:J19)</f>
        <v>0</v>
      </c>
      <c r="J2" s="6"/>
      <c r="K2" s="6"/>
      <c r="L2" s="6">
        <f>SUM(K5:M19)</f>
        <v>0</v>
      </c>
      <c r="M2" s="6"/>
      <c r="N2" s="6"/>
      <c r="O2" s="6">
        <f>SUM(N5:P19)</f>
        <v>0</v>
      </c>
      <c r="P2" s="6"/>
      <c r="U2" s="130" t="s">
        <v>329</v>
      </c>
    </row>
    <row r="3" spans="1:24" x14ac:dyDescent="0.2">
      <c r="A3" s="2"/>
      <c r="B3" s="2"/>
      <c r="C3" s="2"/>
      <c r="D3" s="2"/>
      <c r="E3" s="137" t="s">
        <v>71</v>
      </c>
      <c r="F3" s="137"/>
      <c r="G3" s="137"/>
      <c r="H3" s="137" t="s">
        <v>72</v>
      </c>
      <c r="I3" s="137"/>
      <c r="J3" s="137"/>
      <c r="K3" s="137" t="s">
        <v>73</v>
      </c>
      <c r="L3" s="137"/>
      <c r="M3" s="137"/>
      <c r="N3" s="137" t="s">
        <v>74</v>
      </c>
      <c r="O3" s="137"/>
      <c r="P3" s="137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55</v>
      </c>
      <c r="B5" s="8" t="s">
        <v>121</v>
      </c>
      <c r="C5" s="8" t="s">
        <v>122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3"/>
      <c r="Q5" s="23"/>
      <c r="R5" s="4"/>
      <c r="S5" s="4"/>
      <c r="T5" s="24"/>
      <c r="U5" s="108" t="s">
        <v>80</v>
      </c>
      <c r="V5" s="4"/>
      <c r="W5" s="4"/>
      <c r="X5" s="4"/>
    </row>
    <row r="6" spans="1:24" x14ac:dyDescent="0.2">
      <c r="A6" s="8" t="s">
        <v>55</v>
      </c>
      <c r="B6" s="8" t="s">
        <v>123</v>
      </c>
      <c r="C6" s="8" t="s">
        <v>124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3"/>
      <c r="Q6" s="23"/>
      <c r="R6" s="4"/>
      <c r="S6" s="4"/>
      <c r="T6" s="24"/>
      <c r="U6" s="108" t="s">
        <v>80</v>
      </c>
      <c r="V6" s="4"/>
      <c r="W6" s="4"/>
      <c r="X6" s="4"/>
    </row>
    <row r="7" spans="1:24" x14ac:dyDescent="0.2">
      <c r="A7" s="8" t="s">
        <v>55</v>
      </c>
      <c r="B7" s="8" t="s">
        <v>125</v>
      </c>
      <c r="C7" s="8" t="s">
        <v>126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3"/>
      <c r="Q7" s="23"/>
      <c r="R7" s="4"/>
      <c r="S7" s="4"/>
      <c r="T7" s="24"/>
      <c r="U7" s="108" t="s">
        <v>80</v>
      </c>
      <c r="V7" s="4"/>
      <c r="W7" s="4"/>
      <c r="X7" s="4"/>
    </row>
    <row r="8" spans="1:24" x14ac:dyDescent="0.2">
      <c r="A8" s="8" t="s">
        <v>55</v>
      </c>
      <c r="B8" s="8" t="s">
        <v>127</v>
      </c>
      <c r="C8" s="8" t="s">
        <v>128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3"/>
      <c r="Q8" s="23"/>
      <c r="R8" s="4"/>
      <c r="S8" s="4"/>
      <c r="T8" s="24"/>
      <c r="U8" s="108" t="s">
        <v>80</v>
      </c>
      <c r="V8" s="4"/>
      <c r="W8" s="4"/>
      <c r="X8" s="4"/>
    </row>
    <row r="9" spans="1:24" x14ac:dyDescent="0.2">
      <c r="A9" s="8" t="s">
        <v>55</v>
      </c>
      <c r="B9" s="8" t="s">
        <v>129</v>
      </c>
      <c r="C9" s="8" t="s">
        <v>130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3"/>
      <c r="Q9" s="23"/>
      <c r="R9" s="4"/>
      <c r="S9" s="4"/>
      <c r="T9" s="24"/>
      <c r="U9" s="108" t="s">
        <v>80</v>
      </c>
      <c r="V9" s="4"/>
      <c r="W9" s="4"/>
      <c r="X9" s="4"/>
    </row>
    <row r="10" spans="1:24" x14ac:dyDescent="0.2">
      <c r="A10" s="8" t="s">
        <v>55</v>
      </c>
      <c r="B10" s="8" t="s">
        <v>131</v>
      </c>
      <c r="C10" s="8" t="s">
        <v>132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3"/>
      <c r="Q10" s="23"/>
      <c r="R10" s="4"/>
      <c r="S10" s="4"/>
      <c r="T10" s="24"/>
      <c r="U10" s="108" t="s">
        <v>80</v>
      </c>
      <c r="V10" s="4"/>
      <c r="W10" s="4"/>
      <c r="X10" s="4"/>
    </row>
    <row r="11" spans="1:24" x14ac:dyDescent="0.2">
      <c r="A11" s="8" t="s">
        <v>55</v>
      </c>
      <c r="B11" s="8" t="s">
        <v>133</v>
      </c>
      <c r="C11" s="8" t="s">
        <v>134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3"/>
      <c r="Q11" s="23"/>
      <c r="R11" s="4"/>
      <c r="S11" s="4"/>
      <c r="T11" s="24"/>
      <c r="U11" s="108" t="s">
        <v>80</v>
      </c>
      <c r="V11" s="4"/>
      <c r="W11" s="4"/>
      <c r="X11" s="4"/>
    </row>
    <row r="12" spans="1:24" x14ac:dyDescent="0.2">
      <c r="A12" s="8" t="s">
        <v>55</v>
      </c>
      <c r="B12" s="8" t="s">
        <v>135</v>
      </c>
      <c r="C12" s="8" t="s">
        <v>136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3"/>
      <c r="Q12" s="23"/>
      <c r="R12" s="4"/>
      <c r="S12" s="4"/>
      <c r="T12" s="24"/>
      <c r="U12" s="108" t="s">
        <v>80</v>
      </c>
      <c r="V12" s="4"/>
      <c r="W12" s="4"/>
      <c r="X12" s="4"/>
    </row>
    <row r="13" spans="1:24" x14ac:dyDescent="0.2">
      <c r="A13" s="8" t="s">
        <v>55</v>
      </c>
      <c r="B13" s="8" t="s">
        <v>137</v>
      </c>
      <c r="C13" s="8" t="s">
        <v>138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3"/>
      <c r="Q13" s="23"/>
      <c r="R13" s="4"/>
      <c r="S13" s="4"/>
      <c r="T13" s="24"/>
      <c r="U13" s="108" t="s">
        <v>80</v>
      </c>
      <c r="V13" s="4"/>
      <c r="W13" s="4"/>
      <c r="X13" s="4"/>
    </row>
    <row r="14" spans="1:24" x14ac:dyDescent="0.2">
      <c r="A14" s="8" t="s">
        <v>55</v>
      </c>
      <c r="B14" s="8" t="s">
        <v>139</v>
      </c>
      <c r="C14" s="8" t="s">
        <v>140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3"/>
      <c r="Q14" s="23"/>
      <c r="R14" s="4"/>
      <c r="S14" s="4"/>
      <c r="T14" s="24"/>
      <c r="U14" s="108" t="s">
        <v>80</v>
      </c>
      <c r="V14" s="4"/>
      <c r="W14" s="4"/>
      <c r="X14" s="4"/>
    </row>
    <row r="15" spans="1:24" x14ac:dyDescent="0.2">
      <c r="A15" s="8" t="s">
        <v>55</v>
      </c>
      <c r="B15" s="8" t="s">
        <v>141</v>
      </c>
      <c r="C15" s="8" t="s">
        <v>142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3"/>
      <c r="Q15" s="23"/>
      <c r="R15" s="4"/>
      <c r="S15" s="4"/>
      <c r="T15" s="24"/>
      <c r="U15" s="108" t="s">
        <v>80</v>
      </c>
      <c r="V15" s="4"/>
      <c r="W15" s="4"/>
      <c r="X15" s="4"/>
    </row>
    <row r="16" spans="1:24" x14ac:dyDescent="0.2">
      <c r="A16" s="8" t="s">
        <v>55</v>
      </c>
      <c r="B16" s="8" t="s">
        <v>143</v>
      </c>
      <c r="C16" s="8" t="s">
        <v>144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3"/>
      <c r="Q16" s="23"/>
      <c r="R16" s="4"/>
      <c r="S16" s="4"/>
      <c r="T16" s="24"/>
      <c r="U16" s="108" t="s">
        <v>80</v>
      </c>
      <c r="V16" s="4"/>
      <c r="W16" s="4"/>
      <c r="X16" s="4"/>
    </row>
    <row r="17" spans="1:24" x14ac:dyDescent="0.2">
      <c r="A17" s="8" t="s">
        <v>55</v>
      </c>
      <c r="B17" s="8" t="s">
        <v>145</v>
      </c>
      <c r="C17" s="8" t="s">
        <v>146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3"/>
      <c r="Q17" s="23"/>
      <c r="R17" s="4"/>
      <c r="S17" s="4"/>
      <c r="T17" s="24"/>
      <c r="U17" s="108" t="s">
        <v>80</v>
      </c>
      <c r="V17" s="4"/>
      <c r="W17" s="4"/>
      <c r="X17" s="4"/>
    </row>
    <row r="18" spans="1:24" x14ac:dyDescent="0.2">
      <c r="A18" s="8" t="s">
        <v>55</v>
      </c>
      <c r="B18" s="8" t="s">
        <v>147</v>
      </c>
      <c r="C18" s="8" t="s">
        <v>148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3"/>
      <c r="Q18" s="23"/>
      <c r="R18" s="4"/>
      <c r="S18" s="4"/>
      <c r="T18" s="24"/>
      <c r="U18" s="108" t="s">
        <v>80</v>
      </c>
      <c r="V18" s="4"/>
      <c r="W18" s="4"/>
      <c r="X18" s="4"/>
    </row>
    <row r="19" spans="1:24" x14ac:dyDescent="0.2">
      <c r="A19" s="8" t="s">
        <v>55</v>
      </c>
      <c r="B19" s="8" t="s">
        <v>149</v>
      </c>
      <c r="C19" s="8" t="s">
        <v>150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3"/>
      <c r="Q19" s="23"/>
      <c r="R19" s="4"/>
      <c r="S19" s="4"/>
      <c r="T19" s="24"/>
      <c r="U19" s="108" t="s">
        <v>80</v>
      </c>
      <c r="V19" s="4"/>
      <c r="W19" s="4"/>
      <c r="X1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6"/>
  </sheetPr>
  <dimension ref="A2:X9"/>
  <sheetViews>
    <sheetView workbookViewId="0">
      <selection activeCell="Q5" sqref="Q5:Q7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5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SUM(E5:G9)</f>
        <v>4833.55</v>
      </c>
      <c r="G2" s="6"/>
      <c r="H2" s="6"/>
      <c r="I2" s="6">
        <f>SUM(H5:J9)</f>
        <v>0</v>
      </c>
      <c r="J2" s="6"/>
      <c r="K2" s="6"/>
      <c r="L2" s="6">
        <f>SUM(K5:M9)</f>
        <v>0</v>
      </c>
      <c r="M2" s="6"/>
      <c r="N2" s="6"/>
      <c r="O2" s="6">
        <f>SUM(N5:P9)</f>
        <v>0</v>
      </c>
      <c r="P2" s="6"/>
    </row>
    <row r="3" spans="1:24" x14ac:dyDescent="0.2">
      <c r="A3" s="2"/>
      <c r="B3" s="2"/>
      <c r="C3" s="2"/>
      <c r="D3" s="2"/>
      <c r="E3" s="137" t="s">
        <v>71</v>
      </c>
      <c r="F3" s="137"/>
      <c r="G3" s="137"/>
      <c r="H3" s="137" t="s">
        <v>72</v>
      </c>
      <c r="I3" s="137"/>
      <c r="J3" s="137"/>
      <c r="K3" s="137" t="s">
        <v>73</v>
      </c>
      <c r="L3" s="137"/>
      <c r="M3" s="137"/>
      <c r="N3" s="137" t="s">
        <v>74</v>
      </c>
      <c r="O3" s="137"/>
      <c r="P3" s="137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53</v>
      </c>
      <c r="B5" s="38" t="s">
        <v>91</v>
      </c>
      <c r="C5" s="38" t="s">
        <v>92</v>
      </c>
      <c r="D5" s="45"/>
      <c r="E5" s="45"/>
      <c r="F5" s="126">
        <v>1856.68</v>
      </c>
      <c r="G5" s="45"/>
      <c r="H5" s="45"/>
      <c r="I5" s="45"/>
      <c r="J5" s="45"/>
      <c r="K5" s="45"/>
      <c r="L5" s="45"/>
      <c r="M5" s="45"/>
      <c r="N5" s="45"/>
      <c r="O5" s="45"/>
      <c r="P5" s="59"/>
      <c r="Q5" s="46"/>
      <c r="R5" s="45"/>
      <c r="S5" s="45"/>
      <c r="T5" s="94"/>
      <c r="U5" s="15"/>
      <c r="V5" s="4"/>
      <c r="W5" s="4"/>
      <c r="X5" s="4"/>
    </row>
    <row r="6" spans="1:24" x14ac:dyDescent="0.2">
      <c r="A6" s="8" t="s">
        <v>53</v>
      </c>
      <c r="B6" s="38" t="s">
        <v>93</v>
      </c>
      <c r="C6" s="38" t="s">
        <v>94</v>
      </c>
      <c r="D6" s="45"/>
      <c r="E6" s="45"/>
      <c r="F6" s="127">
        <v>2976.87</v>
      </c>
      <c r="G6" s="45"/>
      <c r="H6" s="45"/>
      <c r="I6" s="45"/>
      <c r="J6" s="45"/>
      <c r="K6" s="45"/>
      <c r="L6" s="45"/>
      <c r="M6" s="45"/>
      <c r="N6" s="45"/>
      <c r="O6" s="45"/>
      <c r="P6" s="59"/>
      <c r="Q6" s="46"/>
      <c r="R6" s="45"/>
      <c r="S6" s="45"/>
      <c r="T6" s="94"/>
      <c r="U6" s="15"/>
      <c r="V6" s="4"/>
      <c r="W6" s="4"/>
      <c r="X6" s="4"/>
    </row>
    <row r="7" spans="1:24" x14ac:dyDescent="0.2">
      <c r="A7" s="8" t="s">
        <v>53</v>
      </c>
      <c r="B7" s="8" t="s">
        <v>95</v>
      </c>
      <c r="C7" s="128" t="s">
        <v>96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3"/>
      <c r="Q7" s="23"/>
      <c r="R7" s="4"/>
      <c r="S7" s="4"/>
      <c r="T7" s="24"/>
      <c r="U7" s="15"/>
      <c r="V7" s="4"/>
      <c r="W7" s="4"/>
      <c r="X7" s="4"/>
    </row>
    <row r="8" spans="1:24" x14ac:dyDescent="0.2">
      <c r="A8" s="8" t="s">
        <v>53</v>
      </c>
      <c r="B8" s="8" t="s">
        <v>97</v>
      </c>
      <c r="C8" s="128" t="s">
        <v>98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3"/>
      <c r="Q8" s="23"/>
      <c r="R8" s="4"/>
      <c r="S8" s="4"/>
      <c r="T8" s="24"/>
      <c r="U8" s="15"/>
      <c r="V8" s="4"/>
      <c r="W8" s="4"/>
      <c r="X8" s="4"/>
    </row>
    <row r="9" spans="1:24" x14ac:dyDescent="0.2">
      <c r="A9" s="8" t="s">
        <v>53</v>
      </c>
      <c r="B9" s="8" t="s">
        <v>99</v>
      </c>
      <c r="C9" s="128" t="s">
        <v>100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3"/>
      <c r="Q9" s="23"/>
      <c r="R9" s="4"/>
      <c r="S9" s="4"/>
      <c r="T9" s="24"/>
      <c r="U9" s="15"/>
      <c r="V9" s="4"/>
      <c r="W9" s="4"/>
      <c r="X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6"/>
  </sheetPr>
  <dimension ref="A2:X16"/>
  <sheetViews>
    <sheetView tabSelected="1" zoomScale="91" zoomScaleNormal="170" workbookViewId="0">
      <selection activeCell="B24" sqref="B24"/>
    </sheetView>
  </sheetViews>
  <sheetFormatPr baseColWidth="10" defaultColWidth="8.83203125" defaultRowHeight="15" x14ac:dyDescent="0.2"/>
  <cols>
    <col min="1" max="2" width="18" customWidth="1"/>
    <col min="3" max="3" width="64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SUM(E5:G15)</f>
        <v>2957.8</v>
      </c>
      <c r="G2" s="6"/>
      <c r="H2" s="6"/>
      <c r="I2" s="6">
        <f>SUM(H5:J15)</f>
        <v>0</v>
      </c>
      <c r="J2" s="6"/>
      <c r="K2" s="6"/>
      <c r="L2" s="6">
        <f>SUM(K5:M15)</f>
        <v>0</v>
      </c>
      <c r="M2" s="6"/>
      <c r="N2" s="6"/>
      <c r="O2" s="6">
        <f>SUM(N5:P15)</f>
        <v>0</v>
      </c>
      <c r="P2" s="6"/>
    </row>
    <row r="3" spans="1:24" x14ac:dyDescent="0.2">
      <c r="A3" s="2"/>
      <c r="B3" s="2"/>
      <c r="C3" s="2"/>
      <c r="D3" s="2"/>
      <c r="E3" s="137" t="s">
        <v>71</v>
      </c>
      <c r="F3" s="137"/>
      <c r="G3" s="137"/>
      <c r="H3" s="137" t="s">
        <v>72</v>
      </c>
      <c r="I3" s="137"/>
      <c r="J3" s="137"/>
      <c r="K3" s="137" t="s">
        <v>73</v>
      </c>
      <c r="L3" s="137"/>
      <c r="M3" s="137"/>
      <c r="N3" s="137" t="s">
        <v>74</v>
      </c>
      <c r="O3" s="137"/>
      <c r="P3" s="137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s="107" customFormat="1" x14ac:dyDescent="0.2">
      <c r="A5" s="38" t="s">
        <v>62</v>
      </c>
      <c r="B5" s="38" t="s">
        <v>254</v>
      </c>
      <c r="C5" s="38" t="s">
        <v>255</v>
      </c>
      <c r="D5" s="45"/>
      <c r="E5" s="45"/>
      <c r="F5" s="4">
        <v>188.33</v>
      </c>
      <c r="G5" s="45"/>
      <c r="H5" s="45"/>
      <c r="I5" s="45"/>
      <c r="J5" s="45"/>
      <c r="K5" s="45"/>
      <c r="L5" s="45"/>
      <c r="M5" s="45"/>
      <c r="N5" s="45"/>
      <c r="O5" s="45"/>
      <c r="P5" s="59"/>
      <c r="Q5" s="46" t="s">
        <v>80</v>
      </c>
      <c r="R5" s="45"/>
      <c r="S5" s="45"/>
      <c r="T5" s="94"/>
      <c r="U5" s="106"/>
      <c r="V5" s="45"/>
      <c r="W5" s="45"/>
      <c r="X5" s="45"/>
    </row>
    <row r="6" spans="1:24" x14ac:dyDescent="0.2">
      <c r="A6" s="8" t="s">
        <v>62</v>
      </c>
      <c r="B6" s="8" t="s">
        <v>256</v>
      </c>
      <c r="C6" s="128" t="s">
        <v>257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3"/>
      <c r="Q6" s="33"/>
      <c r="R6" s="4"/>
      <c r="S6" s="4"/>
      <c r="T6" s="24"/>
      <c r="U6" s="15"/>
      <c r="V6" s="4"/>
      <c r="W6" s="4"/>
      <c r="X6" s="4"/>
    </row>
    <row r="7" spans="1:24" s="107" customFormat="1" x14ac:dyDescent="0.2">
      <c r="A7" s="38" t="s">
        <v>62</v>
      </c>
      <c r="B7" s="38" t="s">
        <v>258</v>
      </c>
      <c r="C7" s="38" t="s">
        <v>259</v>
      </c>
      <c r="D7" s="45"/>
      <c r="E7" s="45"/>
      <c r="F7" s="45">
        <v>323.99</v>
      </c>
      <c r="G7" s="45"/>
      <c r="H7" s="45"/>
      <c r="I7" s="45"/>
      <c r="J7" s="45"/>
      <c r="K7" s="45"/>
      <c r="L7" s="45"/>
      <c r="M7" s="45"/>
      <c r="N7" s="45"/>
      <c r="O7" s="45"/>
      <c r="P7" s="59"/>
      <c r="Q7" s="46" t="s">
        <v>80</v>
      </c>
      <c r="R7" s="45"/>
      <c r="S7" s="45"/>
      <c r="T7" s="94"/>
      <c r="U7" s="106"/>
      <c r="V7" s="45"/>
      <c r="W7" s="45"/>
      <c r="X7" s="45"/>
    </row>
    <row r="8" spans="1:24" x14ac:dyDescent="0.2">
      <c r="A8" s="8" t="s">
        <v>62</v>
      </c>
      <c r="B8" s="8" t="s">
        <v>260</v>
      </c>
      <c r="C8" s="128" t="s">
        <v>261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3"/>
      <c r="Q8" s="33"/>
      <c r="R8" s="4"/>
      <c r="S8" s="4"/>
      <c r="T8" s="24"/>
      <c r="U8" s="15"/>
      <c r="V8" s="4"/>
      <c r="W8" s="4"/>
      <c r="X8" s="4"/>
    </row>
    <row r="9" spans="1:24" s="107" customFormat="1" x14ac:dyDescent="0.2">
      <c r="A9" s="38" t="s">
        <v>62</v>
      </c>
      <c r="B9" s="38" t="s">
        <v>262</v>
      </c>
      <c r="C9" s="38" t="s">
        <v>263</v>
      </c>
      <c r="D9" s="45"/>
      <c r="E9" s="45"/>
      <c r="F9" s="45">
        <v>193.33</v>
      </c>
      <c r="G9" s="45"/>
      <c r="H9" s="45"/>
      <c r="I9" s="45"/>
      <c r="J9" s="45"/>
      <c r="K9" s="45"/>
      <c r="L9" s="45"/>
      <c r="M9" s="45"/>
      <c r="N9" s="45"/>
      <c r="O9" s="45"/>
      <c r="P9" s="59"/>
      <c r="Q9" s="46" t="s">
        <v>80</v>
      </c>
      <c r="R9" s="45"/>
      <c r="S9" s="45"/>
      <c r="T9" s="94"/>
      <c r="U9" s="106"/>
      <c r="V9" s="45"/>
      <c r="W9" s="45"/>
      <c r="X9" s="45"/>
    </row>
    <row r="10" spans="1:24" s="107" customFormat="1" x14ac:dyDescent="0.2">
      <c r="A10" s="38" t="s">
        <v>62</v>
      </c>
      <c r="B10" s="38" t="s">
        <v>264</v>
      </c>
      <c r="C10" s="38" t="s">
        <v>265</v>
      </c>
      <c r="D10" s="45"/>
      <c r="E10" s="45"/>
      <c r="F10" s="45">
        <v>352.97</v>
      </c>
      <c r="G10" s="45"/>
      <c r="H10" s="45"/>
      <c r="I10" s="45"/>
      <c r="J10" s="45"/>
      <c r="K10" s="45"/>
      <c r="L10" s="45"/>
      <c r="M10" s="45"/>
      <c r="N10" s="45"/>
      <c r="O10" s="45"/>
      <c r="P10" s="59"/>
      <c r="Q10" s="46" t="s">
        <v>80</v>
      </c>
      <c r="R10" s="45"/>
      <c r="S10" s="45"/>
      <c r="T10" s="94"/>
      <c r="U10" s="106"/>
      <c r="V10" s="45"/>
      <c r="W10" s="45"/>
      <c r="X10" s="45"/>
    </row>
    <row r="11" spans="1:24" s="107" customFormat="1" x14ac:dyDescent="0.2">
      <c r="A11" s="38" t="s">
        <v>62</v>
      </c>
      <c r="B11" s="38" t="s">
        <v>266</v>
      </c>
      <c r="C11" s="38" t="s">
        <v>267</v>
      </c>
      <c r="D11" s="45"/>
      <c r="E11" s="45"/>
      <c r="F11" s="45">
        <v>947.66</v>
      </c>
      <c r="G11" s="45"/>
      <c r="H11" s="45"/>
      <c r="I11" s="45"/>
      <c r="J11" s="45"/>
      <c r="K11" s="45"/>
      <c r="L11" s="45"/>
      <c r="M11" s="45"/>
      <c r="N11" s="45"/>
      <c r="O11" s="45"/>
      <c r="P11" s="59"/>
      <c r="Q11" s="46" t="s">
        <v>80</v>
      </c>
      <c r="R11" s="45"/>
      <c r="S11" s="45"/>
      <c r="T11" s="94"/>
      <c r="U11" s="106"/>
      <c r="V11" s="45"/>
      <c r="W11" s="45"/>
      <c r="X11" s="45"/>
    </row>
    <row r="12" spans="1:24" s="107" customFormat="1" x14ac:dyDescent="0.2">
      <c r="A12" s="38" t="s">
        <v>62</v>
      </c>
      <c r="B12" s="38" t="s">
        <v>268</v>
      </c>
      <c r="C12" s="38" t="s">
        <v>269</v>
      </c>
      <c r="D12" s="45"/>
      <c r="E12" s="45"/>
      <c r="F12" s="45">
        <v>951.52</v>
      </c>
      <c r="G12" s="45"/>
      <c r="H12" s="45"/>
      <c r="I12" s="45"/>
      <c r="J12" s="45"/>
      <c r="K12" s="45"/>
      <c r="L12" s="45"/>
      <c r="M12" s="45"/>
      <c r="N12" s="45"/>
      <c r="O12" s="45"/>
      <c r="P12" s="59"/>
      <c r="Q12" s="46" t="s">
        <v>80</v>
      </c>
      <c r="R12" s="45"/>
      <c r="S12" s="45"/>
      <c r="T12" s="94"/>
      <c r="U12" s="106"/>
      <c r="V12" s="45"/>
      <c r="W12" s="45"/>
      <c r="X12" s="45"/>
    </row>
    <row r="13" spans="1:24" x14ac:dyDescent="0.2">
      <c r="A13" s="8" t="s">
        <v>62</v>
      </c>
      <c r="B13" s="8" t="s">
        <v>270</v>
      </c>
      <c r="C13" s="128" t="s">
        <v>271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3"/>
      <c r="Q13" s="23"/>
      <c r="R13" s="4"/>
      <c r="S13" s="4"/>
      <c r="T13" s="24"/>
      <c r="U13" s="15"/>
      <c r="V13" s="4"/>
      <c r="W13" s="4"/>
      <c r="X13" s="4"/>
    </row>
    <row r="14" spans="1:24" x14ac:dyDescent="0.2">
      <c r="A14" s="8" t="s">
        <v>62</v>
      </c>
      <c r="B14" s="8" t="s">
        <v>272</v>
      </c>
      <c r="C14" s="128" t="s">
        <v>273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3"/>
      <c r="Q14" s="23"/>
      <c r="R14" s="4"/>
      <c r="S14" s="4"/>
      <c r="T14" s="24"/>
      <c r="U14" s="15"/>
      <c r="V14" s="4"/>
      <c r="W14" s="4"/>
      <c r="X14" s="4"/>
    </row>
    <row r="15" spans="1:24" x14ac:dyDescent="0.2">
      <c r="A15" s="8" t="s">
        <v>62</v>
      </c>
      <c r="B15" s="8" t="s">
        <v>274</v>
      </c>
      <c r="C15" s="128" t="s">
        <v>275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3"/>
      <c r="Q15" s="23"/>
      <c r="R15" s="4"/>
      <c r="S15" s="4"/>
      <c r="T15" s="24"/>
      <c r="U15" s="15"/>
      <c r="V15" s="4"/>
      <c r="W15" s="4"/>
      <c r="X15" s="4"/>
    </row>
    <row r="16" spans="1:24" s="152" customFormat="1" ht="16" x14ac:dyDescent="0.2">
      <c r="A16" s="145" t="s">
        <v>62</v>
      </c>
      <c r="B16" s="146" t="s">
        <v>345</v>
      </c>
      <c r="C16" s="146" t="s">
        <v>344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8"/>
      <c r="Q16" s="149" t="s">
        <v>80</v>
      </c>
      <c r="R16" s="147"/>
      <c r="S16" s="147"/>
      <c r="T16" s="150"/>
      <c r="U16" s="151"/>
      <c r="V16" s="147"/>
      <c r="W16" s="147"/>
      <c r="X16" s="147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1785-622E-CB44-8796-0A346A29F341}">
  <dimension ref="A3:X10"/>
  <sheetViews>
    <sheetView topLeftCell="A3" workbookViewId="0">
      <selection activeCell="W5" sqref="W5:X5"/>
    </sheetView>
  </sheetViews>
  <sheetFormatPr baseColWidth="10" defaultRowHeight="15" x14ac:dyDescent="0.2"/>
  <cols>
    <col min="1" max="1" width="13.5" customWidth="1"/>
    <col min="2" max="2" width="19.33203125" customWidth="1"/>
    <col min="3" max="3" width="62.33203125" customWidth="1"/>
    <col min="4" max="4" width="15.33203125" style="11" customWidth="1"/>
    <col min="5" max="5" width="10.83203125" style="25"/>
    <col min="6" max="6" width="10.83203125" style="11"/>
    <col min="7" max="7" width="10.83203125" style="26"/>
    <col min="8" max="8" width="10.83203125" style="11"/>
    <col min="10" max="10" width="10.83203125" style="11"/>
    <col min="11" max="11" width="10.83203125" style="25"/>
    <col min="12" max="12" width="10.83203125" style="11"/>
    <col min="13" max="13" width="10.83203125" style="26"/>
    <col min="14" max="14" width="10.83203125" style="11"/>
    <col min="16" max="16" width="10.83203125" style="11"/>
    <col min="17" max="17" width="10.83203125" style="25"/>
    <col min="18" max="19" width="10.83203125" style="11"/>
    <col min="20" max="20" width="10.83203125" style="26"/>
  </cols>
  <sheetData>
    <row r="3" spans="1:24" ht="21" x14ac:dyDescent="0.2">
      <c r="A3" s="1" t="s">
        <v>69</v>
      </c>
      <c r="B3" s="6"/>
      <c r="C3" s="6"/>
      <c r="D3" s="6" t="s">
        <v>70</v>
      </c>
      <c r="E3" s="19"/>
      <c r="F3" s="6">
        <f>SUM(E6:G15)</f>
        <v>0</v>
      </c>
      <c r="G3" s="20"/>
      <c r="H3" s="6"/>
      <c r="I3" s="6">
        <f>SUM(H6:J15)</f>
        <v>0</v>
      </c>
      <c r="J3" s="6"/>
      <c r="K3" s="19"/>
      <c r="L3" s="6">
        <f>SUM(K6:M15)</f>
        <v>0</v>
      </c>
      <c r="M3" s="20"/>
      <c r="N3" s="6"/>
      <c r="O3" s="6">
        <f>SUM(N6:P15)</f>
        <v>0</v>
      </c>
      <c r="P3" s="6"/>
      <c r="U3" s="11"/>
    </row>
    <row r="4" spans="1:24" x14ac:dyDescent="0.2">
      <c r="A4" s="2"/>
      <c r="B4" s="2"/>
      <c r="C4" s="2"/>
      <c r="D4" s="12"/>
      <c r="E4" s="138" t="s">
        <v>71</v>
      </c>
      <c r="F4" s="137"/>
      <c r="G4" s="139"/>
      <c r="H4" s="137" t="s">
        <v>72</v>
      </c>
      <c r="I4" s="137"/>
      <c r="J4" s="137"/>
      <c r="K4" s="138" t="s">
        <v>73</v>
      </c>
      <c r="L4" s="137"/>
      <c r="M4" s="139"/>
      <c r="N4" s="137" t="s">
        <v>74</v>
      </c>
      <c r="O4" s="137"/>
      <c r="P4" s="137"/>
      <c r="Q4" s="21"/>
      <c r="R4" s="2"/>
      <c r="S4" s="2"/>
      <c r="T4" s="22"/>
      <c r="U4" s="14"/>
      <c r="V4" s="2"/>
      <c r="W4" s="2"/>
      <c r="X4" s="2"/>
    </row>
    <row r="5" spans="1:24" x14ac:dyDescent="0.2">
      <c r="A5" s="2" t="s">
        <v>75</v>
      </c>
      <c r="B5" s="2" t="s">
        <v>76</v>
      </c>
      <c r="C5" s="2" t="s">
        <v>77</v>
      </c>
      <c r="D5" s="12" t="s">
        <v>78</v>
      </c>
      <c r="E5" s="21" t="s">
        <v>79</v>
      </c>
      <c r="F5" s="2" t="s">
        <v>80</v>
      </c>
      <c r="G5" s="22" t="s">
        <v>81</v>
      </c>
      <c r="H5" s="14" t="s">
        <v>79</v>
      </c>
      <c r="I5" s="2" t="s">
        <v>80</v>
      </c>
      <c r="J5" s="12" t="s">
        <v>81</v>
      </c>
      <c r="K5" s="21" t="s">
        <v>79</v>
      </c>
      <c r="L5" s="2" t="s">
        <v>80</v>
      </c>
      <c r="M5" s="22" t="s">
        <v>81</v>
      </c>
      <c r="N5" s="14" t="s">
        <v>79</v>
      </c>
      <c r="O5" s="2" t="s">
        <v>80</v>
      </c>
      <c r="P5" s="12" t="s">
        <v>81</v>
      </c>
      <c r="Q5" s="21" t="s">
        <v>82</v>
      </c>
      <c r="R5" s="2" t="s">
        <v>83</v>
      </c>
      <c r="S5" s="2" t="s">
        <v>84</v>
      </c>
      <c r="T5" s="22" t="s">
        <v>85</v>
      </c>
      <c r="U5" s="14" t="s">
        <v>86</v>
      </c>
      <c r="V5" s="2" t="s">
        <v>87</v>
      </c>
      <c r="W5" s="2" t="s">
        <v>88</v>
      </c>
      <c r="X5" s="2" t="s">
        <v>89</v>
      </c>
    </row>
    <row r="6" spans="1:24" x14ac:dyDescent="0.2">
      <c r="B6" s="131" t="s">
        <v>333</v>
      </c>
      <c r="C6" s="131" t="s">
        <v>331</v>
      </c>
    </row>
    <row r="7" spans="1:24" x14ac:dyDescent="0.2">
      <c r="B7" s="131" t="s">
        <v>337</v>
      </c>
      <c r="C7" s="131" t="s">
        <v>332</v>
      </c>
    </row>
    <row r="8" spans="1:24" x14ac:dyDescent="0.2">
      <c r="B8" s="131" t="s">
        <v>338</v>
      </c>
      <c r="C8" s="131" t="s">
        <v>332</v>
      </c>
    </row>
    <row r="9" spans="1:24" x14ac:dyDescent="0.2">
      <c r="B9" s="90" t="s">
        <v>334</v>
      </c>
      <c r="C9" s="90" t="s">
        <v>330</v>
      </c>
    </row>
    <row r="10" spans="1:24" x14ac:dyDescent="0.2">
      <c r="B10" s="90" t="s">
        <v>336</v>
      </c>
      <c r="C10" s="90" t="s">
        <v>335</v>
      </c>
    </row>
  </sheetData>
  <mergeCells count="4">
    <mergeCell ref="E4:G4"/>
    <mergeCell ref="H4:J4"/>
    <mergeCell ref="K4:M4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TTR Summary</vt:lpstr>
      <vt:lpstr>DAPS</vt:lpstr>
      <vt:lpstr>CLKMON</vt:lpstr>
      <vt:lpstr>PWRDET </vt:lpstr>
      <vt:lpstr>DSGVTHSENSOR</vt:lpstr>
      <vt:lpstr>IVDM</vt:lpstr>
      <vt:lpstr>ABSMIN</vt:lpstr>
      <vt:lpstr>LLPSMN</vt:lpstr>
      <vt:lpstr>NCKM</vt:lpstr>
      <vt:lpstr>NPMS</vt:lpstr>
      <vt:lpstr>DSGRINGS</vt:lpstr>
      <vt:lpstr>dsg_pm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2025-06-05T08:21:33Z</dcterms:created>
  <dcterms:modified xsi:type="dcterms:W3CDTF">2025-12-11T07:53:37Z</dcterms:modified>
</cp:coreProperties>
</file>