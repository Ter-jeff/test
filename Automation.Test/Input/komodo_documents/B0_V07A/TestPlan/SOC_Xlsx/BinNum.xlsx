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komodo_documents\B0_V07A\TestPlan\SOC_Xlsx\"/>
    </mc:Choice>
  </mc:AlternateContent>
  <bookViews>
    <workbookView xWindow="64740" yWindow="6315" windowWidth="19620" windowHeight="18360"/>
  </bookViews>
  <sheets>
    <sheet name="BinNumber" sheetId="1" r:id="rId1"/>
  </sheets>
  <definedNames>
    <definedName name="_xlnm._FilterDatabase" localSheetId="0" hidden="1">BinNumber!$A$1:$M$81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83" i="1" l="1"/>
  <c r="E82" i="1"/>
  <c r="E35" i="1"/>
  <c r="D36" i="1"/>
  <c r="I40" i="1" l="1"/>
  <c r="E65" i="1" l="1"/>
  <c r="D66" i="1" s="1"/>
  <c r="E66" i="1" s="1"/>
  <c r="D67" i="1" s="1"/>
  <c r="E67" i="1" s="1"/>
  <c r="D68" i="1" s="1"/>
  <c r="E68" i="1" s="1"/>
  <c r="D69" i="1" s="1"/>
  <c r="E69" i="1" s="1"/>
  <c r="D70" i="1" s="1"/>
  <c r="E70" i="1" s="1"/>
  <c r="D71" i="1" s="1"/>
  <c r="E71" i="1" s="1"/>
  <c r="D72" i="1" s="1"/>
  <c r="E72" i="1" s="1"/>
  <c r="D73" i="1" s="1"/>
  <c r="E73" i="1" s="1"/>
  <c r="D74" i="1" s="1"/>
  <c r="E74" i="1" s="1"/>
  <c r="D75" i="1" s="1"/>
  <c r="E75" i="1" s="1"/>
  <c r="D76" i="1" s="1"/>
  <c r="E76" i="1" s="1"/>
  <c r="E77" i="1"/>
  <c r="E78" i="1"/>
  <c r="D79" i="1" s="1"/>
  <c r="E79" i="1" s="1"/>
  <c r="E80" i="1"/>
  <c r="E81" i="1"/>
  <c r="E4" i="1" l="1"/>
  <c r="E3" i="1"/>
  <c r="E2" i="1" l="1"/>
  <c r="E36" i="1" l="1"/>
  <c r="D37" i="1" l="1"/>
  <c r="E37" i="1" s="1"/>
  <c r="D38" i="1" s="1"/>
  <c r="E38" i="1" s="1"/>
  <c r="D39" i="1" s="1"/>
  <c r="E39" i="1" s="1"/>
  <c r="D40" i="1" s="1"/>
  <c r="E40" i="1" s="1"/>
  <c r="D41" i="1" s="1"/>
  <c r="E41" i="1" s="1"/>
  <c r="D42" i="1" s="1"/>
  <c r="E42" i="1" s="1"/>
  <c r="D43" i="1" s="1"/>
  <c r="E19" i="1"/>
  <c r="I43" i="1" l="1"/>
  <c r="E43" i="1" s="1"/>
  <c r="D44" i="1" s="1"/>
  <c r="E44" i="1" s="1"/>
  <c r="D45" i="1" s="1"/>
  <c r="E45" i="1" s="1"/>
  <c r="D46" i="1" s="1"/>
  <c r="E46" i="1" s="1"/>
  <c r="D47" i="1" s="1"/>
  <c r="E47" i="1" s="1"/>
  <c r="D48" i="1" s="1"/>
  <c r="E48" i="1" s="1"/>
  <c r="D49" i="1" s="1"/>
  <c r="E49" i="1" s="1"/>
  <c r="D50" i="1" s="1"/>
  <c r="E50" i="1" s="1"/>
  <c r="D51" i="1" s="1"/>
  <c r="E51" i="1" s="1"/>
  <c r="D52" i="1" s="1"/>
  <c r="E52" i="1" s="1"/>
  <c r="D53" i="1" s="1"/>
  <c r="E53" i="1" s="1"/>
  <c r="D54" i="1" s="1"/>
  <c r="E54" i="1" s="1"/>
  <c r="D55" i="1" s="1"/>
  <c r="E55" i="1" s="1"/>
  <c r="D56" i="1" s="1"/>
  <c r="E56" i="1" s="1"/>
  <c r="D57" i="1" s="1"/>
  <c r="E57" i="1" s="1"/>
  <c r="D58" i="1" s="1"/>
  <c r="E58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E17" i="1" l="1"/>
  <c r="D18" i="1" s="1"/>
  <c r="E18" i="1" s="1"/>
  <c r="D20" i="1"/>
  <c r="E20" i="1" s="1"/>
  <c r="D21" i="1" s="1"/>
  <c r="E21" i="1" s="1"/>
  <c r="D22" i="1" s="1"/>
  <c r="E22" i="1" s="1"/>
  <c r="D23" i="1" s="1"/>
  <c r="E23" i="1" s="1"/>
  <c r="D24" i="1" s="1"/>
  <c r="E24" i="1" s="1"/>
  <c r="D25" i="1" s="1"/>
  <c r="E25" i="1" s="1"/>
  <c r="D26" i="1" s="1"/>
  <c r="E26" i="1" s="1"/>
  <c r="D27" i="1" s="1"/>
  <c r="E27" i="1" s="1"/>
  <c r="D28" i="1" s="1"/>
  <c r="E28" i="1" s="1"/>
  <c r="D29" i="1" s="1"/>
  <c r="E29" i="1" s="1"/>
  <c r="D30" i="1" s="1"/>
  <c r="E30" i="1" s="1"/>
  <c r="D31" i="1" s="1"/>
  <c r="E31" i="1" s="1"/>
  <c r="D32" i="1" s="1"/>
  <c r="E32" i="1" s="1"/>
  <c r="D33" i="1" s="1"/>
  <c r="E33" i="1" s="1"/>
  <c r="D5" i="1"/>
  <c r="E5" i="1" s="1"/>
  <c r="D6" i="1" s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D15" i="1" s="1"/>
  <c r="E15" i="1" s="1"/>
  <c r="D16" i="1" s="1"/>
  <c r="E16" i="1" s="1"/>
</calcChain>
</file>

<file path=xl/sharedStrings.xml><?xml version="1.0" encoding="utf-8"?>
<sst xmlns="http://schemas.openxmlformats.org/spreadsheetml/2006/main" count="395" uniqueCount="108">
  <si>
    <t>Module</t>
  </si>
  <si>
    <t>Category1</t>
  </si>
  <si>
    <t>Category2</t>
  </si>
  <si>
    <t>Bin first</t>
  </si>
  <si>
    <t>Bin last</t>
  </si>
  <si>
    <t>Hard Bin</t>
  </si>
  <si>
    <t>Result</t>
  </si>
  <si>
    <t>SCAN</t>
    <phoneticPr fontId="4" type="noConversion"/>
  </si>
  <si>
    <t>SOC</t>
  </si>
  <si>
    <t>SA</t>
  </si>
  <si>
    <t>B</t>
  </si>
  <si>
    <t>SACHAIN</t>
  </si>
  <si>
    <t>CPU</t>
  </si>
  <si>
    <t>Range</t>
  </si>
  <si>
    <t>TD</t>
  </si>
  <si>
    <t>HARDIP</t>
  </si>
  <si>
    <t>IDS</t>
  </si>
  <si>
    <t>Bin107_1FSTP</t>
  </si>
  <si>
    <t>Bin108_2FSTP</t>
  </si>
  <si>
    <t>Bin109_IS</t>
  </si>
  <si>
    <t>Bin110_ED</t>
  </si>
  <si>
    <t>Bin111_AT02</t>
  </si>
  <si>
    <t>Bin112_AT13</t>
  </si>
  <si>
    <t>Bin113_1PCPU</t>
  </si>
  <si>
    <t>Bin114_1MCPU</t>
  </si>
  <si>
    <t>Bin115_1ECPU</t>
  </si>
  <si>
    <t>Bin116_1ANE</t>
  </si>
  <si>
    <t>Bin117_SC</t>
  </si>
  <si>
    <t>G</t>
  </si>
  <si>
    <t>MBIST</t>
  </si>
  <si>
    <t>EVS</t>
  </si>
  <si>
    <t>CPM</t>
  </si>
  <si>
    <t>DC</t>
  </si>
  <si>
    <t>EFUSE</t>
  </si>
  <si>
    <t>HARVEST</t>
  </si>
  <si>
    <t>RTOS</t>
  </si>
  <si>
    <t>Bincut</t>
  </si>
  <si>
    <t>Note:</t>
  </si>
  <si>
    <t>Good</t>
  </si>
  <si>
    <t>COF</t>
  </si>
  <si>
    <t>SOF</t>
  </si>
  <si>
    <t>O</t>
  </si>
  <si>
    <t>set-alarm-bin</t>
  </si>
  <si>
    <t>set-error-bin</t>
  </si>
  <si>
    <t>1</t>
  </si>
  <si>
    <t>GFX</t>
  </si>
  <si>
    <t>Result_Example</t>
  </si>
  <si>
    <t>Bin141_AllPower_NoTurbo</t>
  </si>
  <si>
    <t>Bin102_LowPower</t>
  </si>
  <si>
    <t>Bin142_LowPower_NoTurbo</t>
  </si>
  <si>
    <t>Bin41_AllPower_NoTurbo</t>
  </si>
  <si>
    <t>Bin02_LowPower</t>
  </si>
  <si>
    <t>Bin42_LowPower_NoTurbo</t>
  </si>
  <si>
    <t>Bin07_1FSTP</t>
  </si>
  <si>
    <t>Bin08_2FSTP</t>
  </si>
  <si>
    <t>Bin09_IS</t>
  </si>
  <si>
    <t>Bin10_ED</t>
  </si>
  <si>
    <t>Bin11_AT02</t>
  </si>
  <si>
    <t>Bin12_AT13</t>
  </si>
  <si>
    <t>Bin13_1PCPU</t>
  </si>
  <si>
    <t>Bin14_1MCPU</t>
  </si>
  <si>
    <t>Bin15_1ECPU</t>
  </si>
  <si>
    <t>Bin16_1ANE</t>
  </si>
  <si>
    <t>Bin17_SC</t>
  </si>
  <si>
    <t>Bin01_AllPower</t>
  </si>
  <si>
    <t>Bin101_AllPower</t>
  </si>
  <si>
    <t>EVSDEFER</t>
  </si>
  <si>
    <t>NoStress</t>
  </si>
  <si>
    <t>FlowMain</t>
  </si>
  <si>
    <t>RT</t>
  </si>
  <si>
    <t>Inkless Map Character
(illegal: I/O/P/R/X/Y/Z )</t>
  </si>
  <si>
    <t>L</t>
  </si>
  <si>
    <t>M</t>
  </si>
  <si>
    <t>J</t>
  </si>
  <si>
    <t>K</t>
  </si>
  <si>
    <t>C</t>
  </si>
  <si>
    <t>X</t>
  </si>
  <si>
    <t>E</t>
  </si>
  <si>
    <t>F</t>
  </si>
  <si>
    <t>H</t>
  </si>
  <si>
    <t>3-10,20-99,300-8000,9400-9992,9994-9997</t>
  </si>
  <si>
    <t>Forbidden Bin</t>
  </si>
  <si>
    <t>Downgrade bin list</t>
  </si>
  <si>
    <t>106-257, 8017-8168</t>
  </si>
  <si>
    <t>E-fuse bin list</t>
  </si>
  <si>
    <t>HW Bin</t>
    <phoneticPr fontId="18" type="noConversion"/>
  </si>
  <si>
    <t>Category</t>
    <phoneticPr fontId="18" type="noConversion"/>
  </si>
  <si>
    <t>Type</t>
    <phoneticPr fontId="18" type="noConversion"/>
  </si>
  <si>
    <t>Bad Bin</t>
    <phoneticPr fontId="18" type="noConversion"/>
  </si>
  <si>
    <t>Harvest failure</t>
  </si>
  <si>
    <t>MBIST</t>
    <phoneticPr fontId="18" type="noConversion"/>
  </si>
  <si>
    <t>eFuse, EVS</t>
  </si>
  <si>
    <t>HARDIP,IDS, JTAG,IO</t>
  </si>
  <si>
    <t>Bin999</t>
  </si>
  <si>
    <t>Others</t>
    <phoneticPr fontId="18" type="noConversion"/>
  </si>
  <si>
    <t>Good Bin</t>
  </si>
  <si>
    <t>Fail Bin </t>
  </si>
  <si>
    <t>SCAN,EFUSE_RT</t>
  </si>
  <si>
    <t>SW Bin</t>
  </si>
  <si>
    <r>
      <t>1,11-19,100-299,8001-</t>
    </r>
    <r>
      <rPr>
        <sz val="11"/>
        <color rgb="FFFF0000"/>
        <rFont val="Calibri"/>
        <family val="2"/>
        <charset val="136"/>
        <scheme val="minor"/>
      </rPr>
      <t>9399</t>
    </r>
    <r>
      <rPr>
        <sz val="11"/>
        <color theme="1"/>
        <rFont val="Calibri"/>
        <family val="2"/>
        <charset val="136"/>
        <scheme val="minor"/>
      </rPr>
      <t>,9993</t>
    </r>
  </si>
  <si>
    <r>
      <t>3-10,20-99,</t>
    </r>
    <r>
      <rPr>
        <b/>
        <sz val="11"/>
        <color rgb="FFFF0000"/>
        <rFont val="Calibri"/>
        <family val="2"/>
        <charset val="136"/>
        <scheme val="minor"/>
      </rPr>
      <t>345</t>
    </r>
    <r>
      <rPr>
        <b/>
        <sz val="11"/>
        <color theme="1"/>
        <rFont val="Calibri"/>
        <family val="2"/>
        <charset val="136"/>
        <scheme val="minor"/>
      </rPr>
      <t>-6499,6600-8000,</t>
    </r>
    <r>
      <rPr>
        <b/>
        <sz val="11"/>
        <color rgb="FFFF0000"/>
        <rFont val="Calibri"/>
        <family val="2"/>
        <charset val="136"/>
        <scheme val="minor"/>
      </rPr>
      <t>9400-9899</t>
    </r>
    <r>
      <rPr>
        <b/>
        <sz val="11"/>
        <color theme="1"/>
        <rFont val="Calibri"/>
        <family val="2"/>
        <charset val="136"/>
        <scheme val="minor"/>
      </rPr>
      <t>, 9901-9989, 9994-9997</t>
    </r>
  </si>
  <si>
    <r>
      <t>1,11-19,100-</t>
    </r>
    <r>
      <rPr>
        <sz val="11"/>
        <color rgb="FFFF0000"/>
        <rFont val="Calibri"/>
        <family val="2"/>
        <charset val="136"/>
        <scheme val="minor"/>
      </rPr>
      <t>344</t>
    </r>
    <r>
      <rPr>
        <sz val="11"/>
        <color theme="1"/>
        <rFont val="Calibri"/>
        <family val="2"/>
        <charset val="136"/>
        <scheme val="minor"/>
      </rPr>
      <t>,6500-6599,8001-8199,9900,9990-9993</t>
    </r>
  </si>
  <si>
    <r>
      <t>300-</t>
    </r>
    <r>
      <rPr>
        <b/>
        <sz val="11"/>
        <color rgb="FFFF0000"/>
        <rFont val="Calibri"/>
        <family val="2"/>
        <charset val="136"/>
        <scheme val="minor"/>
      </rPr>
      <t>344</t>
    </r>
  </si>
  <si>
    <t>Re-probe Bin</t>
  </si>
  <si>
    <t>InitFlow</t>
  </si>
  <si>
    <t>Nwire</t>
  </si>
  <si>
    <t>DC_Conti,nwire</t>
  </si>
  <si>
    <t>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</si>
</sst>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???.###E+00;\-???.###E+00;0"/>
  </numFmts>
  <fonts count="27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  <font>
      <sz val="11"/>
      <color theme="1"/>
      <name val="Calibri"/>
      <family val="2"/>
      <charset val="136"/>
      <scheme val="minor"/>
    </font>
    <font>
      <b/>
      <sz val="11"/>
      <color theme="1"/>
      <name val="Calibri"/>
      <family val="2"/>
      <charset val="136"/>
    </font>
    <font>
      <b/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b/>
      <sz val="11"/>
      <color rgb="FFFF0000"/>
      <name val="Calibri"/>
      <family val="2"/>
      <charset val="136"/>
      <scheme val="minor"/>
    </font>
    <font>
      <sz val="11"/>
      <color theme="1"/>
      <name val="Calibri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23">
    <xf numFmtId="0" fontId="0" fillId="0" borderId="0">
      <alignment vertical="center"/>
    </xf>
    <xf numFmtId="0" fontId="6" fillId="0" borderId="0"/>
    <xf numFmtId="0" fontId="7" fillId="0" borderId="0"/>
    <xf numFmtId="0" fontId="8" fillId="0" borderId="3"/>
    <xf numFmtId="0" fontId="9" fillId="4" borderId="3"/>
    <xf numFmtId="0" fontId="8" fillId="0" borderId="3">
      <alignment wrapText="1"/>
    </xf>
    <xf numFmtId="164" fontId="10" fillId="0" borderId="3"/>
    <xf numFmtId="164" fontId="11" fillId="4" borderId="3"/>
    <xf numFmtId="49" fontId="12" fillId="0" borderId="3"/>
    <xf numFmtId="164" fontId="12" fillId="5" borderId="3"/>
    <xf numFmtId="0" fontId="13" fillId="0" borderId="3"/>
    <xf numFmtId="0" fontId="14" fillId="6" borderId="0"/>
    <xf numFmtId="0" fontId="15" fillId="6" borderId="0"/>
    <xf numFmtId="0" fontId="16" fillId="7" borderId="4">
      <alignment wrapText="1"/>
    </xf>
    <xf numFmtId="0" fontId="17" fillId="7" borderId="4">
      <alignment wrapText="1"/>
    </xf>
    <xf numFmtId="0" fontId="16" fillId="8" borderId="4">
      <alignment horizontal="center"/>
    </xf>
    <xf numFmtId="0" fontId="17" fillId="8" borderId="4">
      <alignment horizontal="center"/>
    </xf>
    <xf numFmtId="0" fontId="18" fillId="9" borderId="4">
      <alignment wrapText="1"/>
    </xf>
    <xf numFmtId="0" fontId="19" fillId="9" borderId="4">
      <alignment wrapText="1"/>
    </xf>
    <xf numFmtId="0" fontId="20" fillId="6" borderId="0"/>
    <xf numFmtId="0" fontId="18" fillId="0" borderId="0"/>
    <xf numFmtId="49" fontId="12" fillId="10" borderId="3"/>
    <xf numFmtId="49" fontId="12" fillId="11" borderId="3"/>
  </cellStyleXfs>
  <cellXfs count="34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12" borderId="0" xfId="0" applyFont="1" applyFill="1">
      <alignment vertical="center"/>
    </xf>
    <xf numFmtId="0" fontId="6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2" fillId="0" borderId="0" xfId="0" applyFont="1">
      <alignment vertical="center"/>
    </xf>
    <xf numFmtId="0" fontId="0" fillId="14" borderId="0" xfId="0" applyFill="1">
      <alignment vertical="center"/>
    </xf>
    <xf numFmtId="0" fontId="0" fillId="13" borderId="0" xfId="0" applyFill="1">
      <alignment vertical="center"/>
    </xf>
    <xf numFmtId="0" fontId="6" fillId="0" borderId="0" xfId="0" applyFont="1" applyAlignment="1">
      <alignment horizontal="right" vertical="center"/>
    </xf>
    <xf numFmtId="0" fontId="6" fillId="13" borderId="0" xfId="0" applyFont="1" applyFill="1" applyAlignment="1">
      <alignment horizontal="right" vertical="center"/>
    </xf>
    <xf numFmtId="0" fontId="6" fillId="14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1" fillId="15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>
      <alignment vertical="center"/>
    </xf>
    <xf numFmtId="0" fontId="22" fillId="0" borderId="1" xfId="0" applyFont="1" applyFill="1" applyBorder="1">
      <alignment vertical="center"/>
    </xf>
    <xf numFmtId="0" fontId="23" fillId="0" borderId="1" xfId="0" applyFont="1" applyFill="1" applyBorder="1">
      <alignment vertical="center"/>
    </xf>
    <xf numFmtId="0" fontId="23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0" fontId="1" fillId="0" borderId="0" xfId="0" applyFont="1">
      <alignment vertical="center"/>
    </xf>
  </cellXfs>
  <cellStyles count="23">
    <cellStyle name="Normal" xfId="0" builtinId="0"/>
    <cellStyle name="Normal 2" xfId="1"/>
    <cellStyle name="Normal 3" xfId="2"/>
    <cellStyle name="terColOpt" xfId="17"/>
    <cellStyle name="terColOptEditable" xfId="18"/>
    <cellStyle name="terColReqd" xfId="13"/>
    <cellStyle name="terColReqdEditable" xfId="14"/>
    <cellStyle name="terColTop" xfId="15"/>
    <cellStyle name="terColTopEditable" xfId="16"/>
    <cellStyle name="terEngr" xfId="6"/>
    <cellStyle name="terEngrReadOnly" xfId="7"/>
    <cellStyle name="terError" xfId="9"/>
    <cellStyle name="terGroup" xfId="10"/>
    <cellStyle name="terLabel" xfId="20"/>
    <cellStyle name="terNormal" xfId="3"/>
    <cellStyle name="terNormalReadOnly" xfId="4"/>
    <cellStyle name="terNormalWrapped" xfId="5"/>
    <cellStyle name="terTestFailed" xfId="22"/>
    <cellStyle name="terTestPassed" xfId="21"/>
    <cellStyle name="terText" xfId="8"/>
    <cellStyle name="terTitle" xfId="11"/>
    <cellStyle name="terTitleBar" xfId="12"/>
    <cellStyle name="terVersion" xfId="19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14</xdr:col>
      <xdr:colOff>304800</xdr:colOff>
      <xdr:row>6</xdr:row>
      <xdr:rowOff>180975</xdr:rowOff>
    </xdr:to>
    <xdr:sp macro="" textlink="">
      <xdr:nvSpPr>
        <xdr:cNvPr id="3" name="AutoShape 3" descr="data:image/png;base64,iVBORw0KGgoAAAANSUhEUgAAB18AAAJzCAYAAABAhtoSAAAAAXNSR0IArs4c6QAAAARnQU1BAACxjwv8YQUAAAAJcEhZcwAAFiUAABYlAUlSJPAAAP+lSURBVHhe7N0JgBzlfSb8p6+5R/eBQMdIII3w+EjCYcc2QkeMnJXYjYAviW3QLpDAOI5wELsgg7+VlMQY2Eh8tnyMtRFKhDDBBikbpI2FjU6fHI4v2RoE0kjcktA9V5/f+3+rqru6u6rP6p5Dz08U011dXV1XVx9P/9/XN2vWrASobEs6OvHQ9A24YeEj2G+Oq5q2e7Fjy+04vKIV7VvNcTREtaFtySzMUpdeeWUr9lf9YKKSmc9DbLgBCx8pcMd59txtw707tuD2wyvQWuSMijt3LUFH50OYnncd1fJ0rMWMHQvLW6829XxQT4KCnwZLOqAWDyta2+H1qbDt3h0wdu9CFLp7iQa9tiVQLznKK9i6daAPbK9e/4b46+ig2ic0aA2F4+SCP5b5nn54Gq77VdZrEZYtnGFcPbQD7Y8M0y8Wht256QLad5U2lI+Ncpb9gn+9JiIiqhxPwte2tjbzUrb9RXwiyTWfNGqenrwlkC/2zYuWYpbXzpPw1WF50ljrnTndrGXY8tB0bFixHNtfMcfZlbi9jP2h7mu7s7WPCtlOyf1Z4uNfmIxwa566tIth+oDKPh+lPxec6PPAvF2Fh38lhq9t93Zg7YLp5jVDS0uL/tvV1aX/Wg535A5AKxa+ShjcUsS2yFJ8oKwD0gXPV+hHMOZzc1fxAbel4Ne4DJnn29R88h+TuanXkuRp2mlG1u3FPU6+14lc26HU1+C2JUswa+ZCLJxxCDt2bMcrWwt53Umtv7vStnHB+1rNvLQ19obxowJ17ugq7/2LN/Px6vVvaL+ODq59UjrjOVDuOYrcDPT+LQSPZb6nH54Gdr86HY9lv+cwP4+oZ1nKID63lGu4nJu0C2zfVdpQeG11U86y57rvUN4mREREg0H54avTG74sXerDyXKsy/VlaEHzMXQVU1nmKvXBya7UD1Hlh6/Oy2NnrDfMUMMcWYBStlfyTZY9aEjuo6481V9W8CKX801L6fhFzaDgeD5yDhLTv/BYhLXqfofVc27ddmOMhElOYamhBUZm2oWMzFQ7/PxytDs+eTJDo1lYtPYhHVTesC79Fxg6zFITL5mlf86aZWa7up9atw0dO3BQXc/9K37j+MwfvirWNiw5rHQKX9Xj72iH05YUbgF00uEOLMxclrYluHfZQpi/Fc9p+vR56jHU69muw+aYXA5hx7pHkPzxsK7KzXWGd5NxDk07Nss5v9pfc5znU9KH7XyvE47PrUwFvGcw6efW7Wq/mNftutSxt1ztb7d5JNcvpxJ+QFDQOhq8eT9TOm++UPHqNd+r17+h/To6uPZJaRzfQ5KnvDlOKovH8tA+F5Gbgduvjsdj2e85bO8Hu+TzwDr9Y+5Z6nPDK1vd30MNZcPh3GS48PZdpQ2F11Y35Sy7+30Hw3FOREQ0tPnNvxXWgnkPbcGWHfeql+/Bpku9V92FXeZwKJlbqDcaHR3oKHBolzSgZQGWOdzmPGRui61ov+EG3GANK3apcbuwwjZuuX6nsx+PLLdNpwY9qXqjZJ/WGFaoOZRiCZbpd1jqDda64j9RLungG7RhQZqfKfSX1MPOQTyfPC+oc4Q5NkvbvVi7RZ3bkoPx5ce821PjOpaoZ+32HQ7nADU8v0vPu2uDw21q2LE9+8nTJvtFmjtTH6xTw0wjPJw+M2P8LDWt2oezlqG9vd1x0M/VlnlYYF5f5pzRFm//I1i+Qa3dvHbc69lh9AoOHT6Mw46DMUVX1y6H28whdYK3mYkF8+Zh3rzpmD499yDnNMl1nW5LH2R+C9ScK60Fty9TB1gpliw0vqwZlAp7z2B8UWAEr7LfN6xYgRUrNmCDes6KlnkP5ZzHrBn6hYrKpt6XdJjnsl0dfM0fFAZyn5T3HpIoHY9lIkOFjsfk+8FdWLGwHY/ID9/278dWhnd5DIL3Ptx3VHEVPM4v6O+aiIjoQuJh5atL0Karitpx+zzzS063Xw7nm4/nrF8KulW1qNtzVFhlyltxleUwOtSbZNePTgX3XWj+Gs2xaU5jHQuqUrOzKrQyf/lWwD5K/mpO4a+8S5H6BevAbb/ULxwHuiprcMh9rsjX1FfOZlTN51QxzQ4v6dhh/Ngjg+s56PDzWN7u/uvXyjQ7bDGPJZTy6+Fc5zYH+rw1vfjXjwL3gezmXLsyjZ7nAjxfyLIkK2LdXosyJM/DlgLvlyb1HDc4n9NL+gV1vteJvLcX+55BJrlB7bushbfd7rxvjWbC3W8vWb51HETK+ZW897x6/RsMr6OlG1z7pARu7yHJU0PhOOGxPLTPReRmgPZrGZ/Pc0k+Ty+glgqG/LnJdCHuu0obysdGOcte3fXmd01ERHRhqXzl6/6teKR9oVGdKTytgqqkrWhfuBALCxys6tPlDrc5D8V+Wa7oirfMYREWqDcuUr2VfdtMIzyesUhfL2yzqzdD7fJxUr2P7yjyjZf6UKjftCn8koEuFBKu5hoM6nnlUNnasWyBDoemtzvcdq/zc3arOp9mn0+WQ4pM5cN31m1m8CqhbeeODkghbNlm2Mtjl6Bjxw7scBzWmpW1t2OL4+07dGVw0druzd5e5nlrxrKM8TK4bMu8JAi8twM7OjuxZYvadubowcFqqnoe2ot9UV2yzNgvagaF/lyoagp8z9C2yHjuyDGfFbwKq/Jamdc+GFvdIBqOyngPSTSo8FimwaRyxyNbARm6uO+IiIiIBr8qNTsMbF23wfyStyX9e3sqWNuidjz00EMZg1HZg3m3u97Wom9rx6JCvn1us8LcXdhRTHi6pAM7dPWW8Qs2Bq904ZD+V90GcxKPST+X6SGmGXLOeyhjfCrc3Nq+HBswDw9t2VH0D2Dk17CdtuZbpTlX+3WLVN9aFbgWqcTVg3ndE7NmGM0Em1e1w9JEdHZfrLoJ4AUFNgAsP3C5914dJnd2dqJzy0O4/fbpOLxBmnU3fzAjlQdym9tQUppcisN4/nnzVfX2ZUUEw6kv8Lqef17NZXDK957B+sKpy7EpacP+7c/nOO7aMFMfQF227gaIqCylvockGmx4LNNgwuORiIiIiGhIqnyzw0l5mugpo8kc6QNx1izglaL6t7CWp5QmG7MV13RnAXTTQoU0O+wtqxlGxyZA3PZRcrzL/XJqQ5v0X2leE4XtRyvYkupCPUJpg/SFaXhFzUfdZl6za1uijhfzspoITkVT7kpd3gwS8thmkppHsU1ZebQ8JgkMoea2aO1DZlMwK7B8eyqZSFVyOlD3XSJPRFNRy5FxX3VvbM25Y6q5/3OfK5LN9DjKc34xnzvFNDtssNbfYu6zwytww7r0JCl9n0kF7lrM2LE8WS2Y/9yl7pNs/hd6W0zftQuYNw8taU0T2acr9awly7fM6L9Wma4fowu7DhsR4aEd63R/RsWcH4s5N1v7smvXBjy/4yC2uxzDxvMkU2ofFLX+el30M76w833yfCvT78DCos4XiuP9nV93S2qCyu11wpLv9qTc58Kcr1UW67Ecl988XluKf8+RV8HrWIhSz/G5zpGp86PbPrbeVxnynY+F0+O58Or1z7P5FPva5byu5b23SKnOPqnMOuR+XhZ2TGYpev8Uy2VbeLK9C1g/uZ+aJrWGha2jd8dJBg+39/A9ljN4dS4q+ljItV1s1EQyWb738NnTVGDbum4rJedyOi1LnueXukNxny0yeLVfM5ajlOdUzuOxxPcc1nvZWcu26HmrlUn7DJHcD+Z+kQ2fe9bmPsozXfrzX20PdQw57vJMHmxHy1A+N4mC910WtUxFnWMsTuuS5/mXj4f7szAO6+5w7LkeG2n7TR0brtvYQdnrWt6yp7P2Zfpxkvu+Tvs/WyHP7bK+ayIiIhqiqhe+Jqdz+aBS6peVtvnKG8/Cv/S2PjgV+IV3HsV8wV+QnOFC6k1TQdSbmMKWydomLvvAcR+lPoAWtf3Vm7MO9abL6tYvS5faL8vVurssePobxO2Y1bFWffjInFmXWqSFyWNNqgXX3j7POFbs5LHyNQNd5vImqW3YsfZ2x/l0qe2nZoFlhXyg92p57JIhkDu35677Om3I2d9om3rMteoxnVdD7b8Ny9HucDKo7v63jnE1XdHPR+NDinNYp8xapNZfwtcbkJGZJhX2ISQVfBofvtUHNPXhZ+bMhZghSeahHWo7Oq9h/nOXsf5GP6+zUpe3LzLOB8nt50X4qh7L1td2Zj+2h583jwd9rE5Xu+5w3spNqXxtKbDPWeO4Olzia0KJ619W+NqOVwr6oJ2S9gWetQ9dzvmFfYjP4Pg6YZPvdktyOpfzjrXdcrzuWMvv/OW59bzOsxylKHQdc/H0NfIRqIPTuK6llitrOtdzsvv5WBR0rKjt4s3rXzXm4/7alb1ty3hv4aAa+6Qy65D7OZX9mOZ1zeE+Je6fYlVqe+dfP4+f4yUud1IFtneltm3aZsza7pU/lpM8OxeVdiwk1z3X+we1jDlfSzXn9fVy27YtuRfL2t23lbq7uQzOy5m9LNa6i4zldj3ORAHPB8/2q1fPqTzHY3If5zle7WzHhTNrXtYP1dQYx/dSKfl+sOD6OUw4PLeTPNuOKVnH05A5NykF7zvzqqjSe8qCVGB/5qTW/d5l7bjdbeUz9l1R+y3HNtPKXdcylz1r3uo4T37Xo85l9s9PxRzLmfMt+Lltf3wXOc+pREREQ1TVmh1O9s+m3qB52sTfrBmpF/rpM1FMJlkoCU7yDZZZDrdlDm7k12LJ/lp1e4jTMdO6rgbrrm33rsWWLVsKHwptBnPJQv1BErs6CnwDLR/IjA+f+o1Voe+U1BuvHVtSHwC6du3Chg0rsGKDNBtqNhLZUnjzqIs65Fef6iOnehO7YcUKbFDzsJqrnPeQMQ/jTaN6UyhVdNKEqBp2mYGOfiyHJlSTvFpeecOpPiwZ81HLkVzeXXp5pSnXLR0L5cbcPN5+dlYTsSlmk7FZ4016WTLWSbatuRzS5PWWTpe+MtUHktQHXbmvWg/b9lD3xrzbt+TtE7Ti+z8vCVjdBnWzrKfT81IGs2nweQ853KaHtRn7UD3nOmzNCiebuzW+GJFmh/X91rajvb0dC8wS0kMH00+60v+rdX/9Rcnz27M/oFnajL6jDx/MmGL/I1h4wwZ0qe1XdJ+jrux9bWf3Y5v3y2NPyPFg28bJwTqOM/ZBcjCbfq6yZNO6LbdjWb5TvToWjRaHu/D89mpsy9Llfc+wdZ1xfEhT207Hnzzv9A7ZhY6cx81hZB7aA87jc/ws60sTtS31udwYnUVPp8/J2a9P1vnYcVsXwsPXP+9eR0t87bIxtq28tqh9Y+0jawOX/dpS4X1i8mwdingPmfeY9Gj/FMur7V3Y+nn8HC9nuauwvb3atrkY271Kx7Kn56LSjoVU0/rq86Lbitk+J89b6LIHrfXteh5ubw3K2bb6Pbh6v2ttq9T7dbWt1Dx0VxaFbCtTzudXuZ8tPN2vHj2niv58XpjDsu1kB9jo7akHbzulkM8d+vhRl7vMY2iDeYynL0EGnpscFbXvyjjHOMn5/MunCvszjTofyLpb4aV17OnvAfIde4rzfrNvsxzLWu66lrnsWWR+6jjX1Gfrgr+3y6PY57Z1nKYY17PHExERDR/VqXxNTqNk/MoqqZD5uFii3hi1LziMjny/Pktj/Yo0x6+FhXrjlO8XWsVy+0WX9YtRN9b99IfYBc9jxfLtyJ1jF9MMZuqXra6/OEvbR8tx0Grqxu3XdU7sx4Lb/eRXfrLcxgHjuH+Sv8DTnI4Za/8q8mZO+qJ0ejzb/nVcb4+WN20+5hve9Pm0qeN4LR5KrlOFlyenAn/lbFsW45fgGeuklqNDPuzJZafnvdx/7QyX521qGZzWs2r7X8t3rpAfVZgXs5gBrIeSzR698kra81/C3kxL7u3AzINmU7128kMPq1mgPE1eGdvaqgY1toVRBZt5J3OflVX5apdjfnq/VarZYWDDig4cNMelpJrVSmt6KmkmFkpVR5UrX2X65GuH2+urKWu65LycX3eTzzO3c42TPPPMe7tITqPkXCfbuUp94H++Y4febzMXWr8SL/Ax5ByhR4rDOPz8IezY/kgR7ycyFLKObtKWq/RzfGrfGec/tSAulSj2c6k8pDqXP+Lw+qR/5GJcczpX5jxWMvanJ69/Hs2nlNeuzG22a4X0c5+xJLZp3F9bnFVjn3i/Dqnnotu0qeXJfUyqCcvaP8XyfnsXvn6OzxdRzHPcVOpyV3J7e79tB8exbN9msk0G7j297TXQ5XhL+2zp8hjWNJnz8GTberStUsdAAc+vEj9beLWs9vmU/5wq5ngs4T2Hkvs9ZP5jzOJ2HNm3h9s6tC1RH6TUDkvfTl5ux3SZx/bQODdly73vFPsxXdI5xlDw8y+XCu5PZ2p+ye8C1Hq5nBOk6WR7M8AF7Tf12U0Ce+H4vCh7Xctc9sx9bT8O1ONln9ty3FcpZL5FPbeLOK8QERENB95Wvs7KrPJUb+akQsj+pi/vG6kW3L42s6LINnRk/zJw6yNSFeX0psQDW9txww03eDq4bYKt7a1obTWHFbvUGHkDnBqXeb9XktV1bkMRJcZti7BAdpLaR+vy7SJlwVrrw4haRqc38i6WLLMdC273278VjyxcoeYs8lfVSdOy2e/ZtqJdb0NFfUjQQYXT41nVU4rTL8K9Wt60+Ti84ZWQTo5ja5HdVGL7lSq5LOpN/EKndVLLkdwH8xaqjxEZpHLS9Xm7H490WPtvhkPQlVLJ/V+I3JXo6b9oTT8/5h7c7FcfsrbKIM9xLMKyZcv00NHRkTHswEO3z8OCdofbllnVpQsxU5233bVhkZwYdu3I+iA+8KajPXO9HIZ2qw3jgh3GQWsbpw2yvQ3JfZA2bMch8/Zq27pugxEezmvP8av1JVhofIrHhkJO8tVQ9nsGdZ5Q5zp5Dre0zMPtDz2Eh9SQN3jNJOeI5DAP826/HQ9t6XR8v1GcFixY5nxc6uHeJVnz9/wcL+sk5+hCNoSezuX1qf2Gks+VFXn982I+pb522ciXRplfyon9j5iV+0qpry1ahfaJnSfrUMx7yDzHpJf7p2hebO9C18+r57goY7mrtr292LZ5VOtY9vxcVPKxsB/bnzdWrGXBIofXK/N1X6qRZLKWBViUNVEbdGNLSlYLJzalbluvtlVSvte0Mj5beL5fvXhOFfX5vPjvUKoh2ZJJjnXYr3ZY5nbydDvmMlTOTSUo/xyToZj3lBmqtj9NSzrM8FJ/B+B+TpDPcG5r47rfbN8ftMzI/pai3HX1YtmTMgN4x3NbaUp9bhMREV1oPAxf1Rv+rKYzjS9B5ZeY8quxVrc3fZnkjZ3bUPQX6eVzDjZLHzyhPkAvc/oyN21YZnxgK4D1JjFn86NJsi/Mi8VQb/6MJi/VW8mOfMfCVqwz39U6f6Fg2YUdbh9GXzlkBBJK14Z1LuHRfhx0a1nJq+UtYj7JEMVJRbZfiZLLkifI2boj+WGu6M+Uyf2Xozm1Su7/Au3f3oEVK1a4DOtS1alqm7k2P+wwFNRa+KwZmDdvum4WONthSHNrh3Os3/R587BgpnnFxcHDu7DBdSMPJHk9UOueZyj+XFVYqJs9FH6+9dz+R2B8n6heh13aHm67t934IJ+jWcHq8uA9g3pO7ei0fq3fBd3cVbKZKzX/LTvQ4fYl0v7t6Mj6cZR6zm4wmkEUukmwMpuNbVHPsXluQ+aTryLn+ELD9nzT2b60LuZLsSLWyavXv8Lm48VrV64mrVOhSOldYlRon6TxZh2Kew+ZY7083T/F8mp7F7J+1XyO51juqm1vr7ZtLlU6lj0/F5V3LKS6HnD4oaLZXG3X8+uwQ78XbMGCzPTVCvfU9nN/q1fitvVqW6XJdyzl4fbZwvP96s1zqrhzq2L/ziRzGIDvUMR+64NWnh/TpvF4O7obOuemonl0jklX4vOvavvTYv3gVK37inaX7wDyKfe8V+q6erHsFqmwtQWvhX4XW6CSnttEREQXoCr0+areeKxY7virMWcyfeYXorZhubdvGsonzWZIn4se9k+R12H95XBW0GB9oWsbp5uHMe/lLlURVVg/gGof3ZD6hWTB/ZQk+x3K9QE/JfWGzumX2qauQ+5NL+8/qLaUIdevuV855PLm2avlLWY+tmXOUontV6rksuTrL/EVpDZvIQthVMBJH8f3LrP6fMyhkvu/UPudqiCtYX/G+SrP+U0P1nOrcM87/cI973AIh/OeHORX3+14pLxPfhUivwZOVfC6DfkqFNIZ51Z18kydTyXctp1Tcw2FnW8rY+sOc0UdvxxagmVGQlnAFzADrcD3DG32pq5uQGur7G/p61j9bW3FDSvky9FcfXWpYzvrx1HqOftIu5rPDVhhfgklfemuzVd1loP0rSU/gnAcns9o3Loi5/gC+7QtJJQv6AcxGQbi9a+g+Xjw2pXr9UdJ7p9SVWqf2HmyDsW+h8yx7T3YP9IsvLyHcBtcN5Nn27uQ9fPwOV7Ocnv5fMhlOB3Lnp+LyjwW9m+HkQFkhxVL9MoY62K9R8is0kpWLuVq4aTUbevVtkqT71h1UsBnC8/3qxfPqRI+nw/G71CSz235zqAD0gppXp5uxxyGzLmpBF6dY9KU8vxTPNifRb22W/0kF7jujso+75W4rl4su7YEHTuspou9D161Up7bREREFyAPw1cJ5GzN5rbegBVGG0e6uqWgKi7LK5lfiNoHc5pBY7/ZVEsRIWSZ9usvh9MDBj3olMEhkGjP/c4tWRG1q6OIfmK2ov0G85e/LYVVB7VZ7VrleTOblHxDNzC8Wt6i5+NiMG2/5LLIcd8pPz5wG8y+lVy1QfollTDQml4q4FJNhw5DOc9vMpjTFUydY9sldCp2WIChvYmnY6bDh+/MIXmoFiB1bl1ufpmpzqc61CtiyHO+rZhkE1jZTYalql4LabauWsp5z5D6Jbd7k2CPYKH5GtVy+9oczTE72Z/WtGDprQd04fl1Ts89c8ho5q4i5/gyX3fSJL9wboFDK2uOBuz1z4V3r12DRAn7xGtFv4fMsQ/L3z9tWNRuND/uPLSX92O0QrZ3IetX6HHs1fs4l+UeVM+HIXIse34uKvtYSLXgkt5sqRncWeGSVWWV8QOtWTOMHburvG/5HXm1rdIUNK/iP1t4vl89eE6V9Pl8MH6Hsv8RLE/+oE1tF+nWQQc17idjL7dj2QbBuakU3p1jbEp8fpS/P4t7bffq+VyKctfVm2WfgWUSvMr8KxW8ihKe20RERBeiCla+SsVU6svLeQ/tKPLLz8Gmzfblq3SC32n7ctgMIiWELCplLkGbc8CgB/1mzSWQcH0TZPbpqBT9wVv61Ul+O12FdafhRSrX1AcP6ZdUmsMSXVI5KBVhGzYYzX/qsYOcWo+OtIrS1JDd5GlL7v6Y9GD181KowipAs4dUP0NDQ1vGeUxCOqcP4OlD0V/KqHNsxw7jA7FUwS50bGK4kOHeKv8CONU0Wsvty2xfrqbO8QU3WzcginjPYP0qvGsDluf6RtLWHHNWU4sFSFYT56wCILqQlfEesiL2Y3tHZvP/9qEjf5UTXaAG27FcuORrlb0Fl2STw9br/lYYk9krZK3KynIrrAaR4fLZYggfj072P7IQrdKyj5XT6KBmCzp3dOBelstRXnxtL4p6flm/M6n0Zz8+t4mIiPKreLPDW9tvML/gl9ChOpWhldB271psydW0sBVEznvIoWJHmibe4dL0YWHalnSo+bahbVG7Y8CgB50yuAQSy1x+qrlkmRFOlFoRtbUdN1gJjlr3ctaRhiD5NWWyci33sDAtJEnvg2SFWQGnQ0FdEfYItm4/pKccCqbrL3gO4/Dh1KA+fcD67WtKF3Y9nxnSZQ45+pJylO+XtW5DFX4t7omZRgWDfJmWdh6TqtTs4yxzsMK8Qsh5dscW+aVwl/6yTn7M4tS8cN5BN1e8QC15lTn1H2Sd49Ut7n0XOUs1QVZKXz6lNU1WyHuG5K/CDx/M+4WC1ax4SdWrFWw9YEhqm2me07pwqNqlBF4r+bVrkBnofVLue0g3Zeyf/Y5dAKSGsvbmUH0O5FvuwfB8GK7HcjVYr/22HwpZr5P2bjes18NkE5fJHzJVvzqsMgbRZ4tyn1ND+Xh0s38r2heqdb5hBTYkk5p5urUT1+8PeG4aXsrYnxV9ba+EgTx21WNb3ae0uHa/4qFSnttEREQXkCr0+ZqqxpHqyGWu6eVgZvSX17VhXe5O77e26y/65z2UGdJKk1AtJTR9CMxcIlV1ndjy0Dz5QbPx6zKdJmQ22agGPd4lkHBpCtPoD0jNrYxfxckyWQFHrjd4RX+RX3CfGZXh+fIWMp/kB7xsg2n7lRfKqNW0mtKS43XhIyi4S+hB7HCHrTnR9nVms7U25v44tN35Q2NqsJq3KoA652Q9122DcUpY4XibNVTsy4qyzcIM+TPvdjx0u3pWqPW4oUJN+rbZzrPYoB6nmKaGly/H8sxx1gmx6rZinflhe167BJdtuLfdPMfne/1ykgwfC+/nKtl/XMlf5uZ/z2A1k1hxyXNodQz618hyHq/M17+kar+ODnbVPgYyePEe0m7Q758yt/eAPcdd5jOotvdQO5arfS7KuX2sqlarlQerajK9onX/9uf1a7r1YyQroK10ZVS526pQnny2qPZ+deH1ubXy2grv5mP/VjzSblTLWb/fzvyOhOem8g3Y642Dau/PgTx+yn1sr5b9lUcWJgskqhLAigKe20RERBeiKoSvihlKiuxgcvAzPsx14fkC2jPZuu4GrLihPetLbqOap/DqX+MDsfxi7HZMP2z8etcKSYzbPHhj3HYvjO/li6+IypSqVjLe4Dm2QJz8It/e5JU764PngP0i26Pltb7sKGQ+yeDCyWDafkUuS6ZkeLJrh3sglPwQOMzMcmgWPG0o4AsoaerYsWo2fWiXGU1vd7wtcxg0TQO1tWFJh/TTZVagSugqYWj7Vuxf0mFU7UpIqo69Qip+9aTSLLp5Pe3cJE0Mq3Fb0s6zr6hdZG0L6TfM3nxwG+5Vy5aah7q+dotLk+sD8yXN/kc61BldkQqYexfBaLWuxHO8rZ+rwprtTTWTV0hVqqs87xms6p20JhZdJM81JSxPssK2WvtyIM/xBXzJU8rjefX6N1CvowOqQvvEMx6+h0wayP1Tje1died4Octdre09jI7lwfqe3mp6uEU6pWwzX/sz32Pv3278MFBXyFqv14V9vi1Falvl/wFXzm1VoHI+Wwyq15hKnFtLlupTWB9brmah6N/FSVCzcIXxnlVt0bT3mTw3la8Srzelqtb+tFT78ezKfWwPl90okDDmVrUAVuR6bhMREV2AqhO+KlvbrRfgeXjI8YvqwcqoesWuDhT0+Wf//rRf2i7p6ETnDglc9+OR5Ua/sGtd3/i0Gc1eShggj9m1CytuuAEL29N/vas/XKo3xhJStNkH8/as8eaQKfnhMdeH1IKp9Uu+yVJ72am/vmT/e3J7nhA++cFTNv0jpX+JXw6vltf6skMxqtHcmMeam6ptvwI+aBe8Tnm4hiepir3hwghy1AeQZHWs22A2mZbLrBmYN2962VUCFmkmd0HV28h1oI7bHVu26MB0l1WBKqGrebOEcjeoc2I5Q1rxrPpwuG6FGbqa51lpYv6hh6w+U2dh4e23oz35oVE9N9TeSR3z5nk9o7n5VGg3EKzq1xbcrpa9vHO8VU0jH9oL+OVysonjLmwos528XO8Zkl+S5m1Nw+rPTjZBscuTOh+XVDVcigF9jZyH9lw7uNTH8+z1r9rzGQwqtE884u17SNOA7p8qbO+KPMfLWO6qbe9hdCx7di7y+FiwvrCftxD3muuT/bq3H9v1wrdgxiIzoO16vnJ9Jdp+wJX7x8d5tlWxSvlsMYheYypybi1D8gdv6thyO05TVcfFegXW7NPw3FS+AX1PmaFq+9NU7cezK/exPV72re2FtVDnPZfntlbojzqIiIiGh6qFr6kvhJV57bm/xJ3lHB6mBnM6zahE2rHDXo3kHavqtawvkq2KG/UmeLnaBs5fYqv12LHFaPZSh66taF3Yjq37M9/+ms36tNyuO7PfYh+sarDM8XrIfMzUL57L/ZI8ZSvapcN9fVl90N6SHcBuXWf1Z6mWc4f6IOB0HEg1mtVnz64V6WFJlXmzvNaXHYqE7+pAzd79ah47HsK8ri7z8ZxVffu5foGR3jToFv0DAwfqySpVjJlv9JMf5HV4knlPuc9Q6Y/Uzn6Oyv4goX80ofZHWvO0jkPqRwy5HUaHY3ibGjrkg83hDsfbUoNDE8kDRX3g7Fhxgw5d2x9x7r9nvzonpga1XZetxdpFGeNnLcOWtcuwSO2GtPFqyLR/q+3HLW33Yq068FJhmxE+2j8Y6uoSW79q1pcb9g/I1g9kBuoX8qkKDlHeOT51zjHO6dL3eDapEN5hViQrhf5YKacc7xnSvlBSrzNOy2SdU+WyQ59p0tT0kvQ3E0ly2w6pvNbXqlt5MpCvkcaXMk6vT/KjCPPxHLZlbl69/nk3n3Jeu6qtMvvEC5V4DykGdv+4fjHp4fauxHO89OOkett7+BzLg/Q9ffIL++lYoNcnvclhi9Wk5fQFRsBX2WZtba/jZW6rQpT32WKwvMaUeW4t6juUwtirguXHcFlLvKRDv3d203ZvBzqcnvtKm+1He+kV2Dw3eWEg31Omq/Zru3o8+XGsXDQfz23d71X73lvlrqv3yy4t1NkDWOfPcsUr7bmdoYBWjIiIiIa6Koav6q3EI8vNpmlz/QJW3faQU3hoH9SbR3NqXWkzrwUtLfZqJI+oN936w0TJXyQbQWnXodRX8MY2cFp/9aFv+QrcIBVYOnQ1R2eRN2TZ1Vx60O+qjGrZ7NuXp6+D9YbI618875cA1nqjL1/W2/aV2P+I7g/ROAzUB4EtUhm8I9n06Y4d6voW9cFWblcfdCrVx2PBPFretH5x5z2km0DdYc5D+prU82hRH7SXd5i/EndRpe1nNV+m3/R3mvPP/IGDVCHavlTR66Q+2KUvi1Qx6nfeaZJNoyrz1PO9M3k/aW5W7qO2xQrrOBoaZD1S56iHMr7gMSrw7OeCYausD1H7sVWd/PKfktrUhzppJcCokj180Bxtantlhzq+pNl2ObbkuC1kicwvH9TzZrntZKm/zLOv01aZd3oTStLc/A3LrV+Kmz+QKafZ3XLZwsmyg1D7OUett36+6uf6DnNQz3PZD9YB7+F5O9d7hlRT98Z7hk7rPJU898g5VW5Xr4nJfWMzc4H+oZLcL3kuli9BzGaojbVR5yGHbgQqaqBeI9W8NqhjpuV2eX1KbRPj8aztYfSjV+zh5NXrn2evo2W8dlVVBfdJ2Sr1HlIM1P5Jbu/084Ln29vr53i5x0k1tvcwO5YH53t6KzyUz8Tqj1vVpH4Po6bSE1WuyWGLZ9uqAOV+thgUrzFlnVuL/A6lUPb3lHq7pD+H5cffLbtWJLddtumYp5/72dvB+OG4HN4Z31OIC/3c5IWBek/ppNqv7WnrLkULzut++ww9tbfKXVfPl119vrZ1ESbnR28C2BKf20pB3zURERENE1UNX+WF3/5LMPfmd4uQ7BdB8fTLbunLT950qzfcLm9Ep89cYv6K1GUwP0AdTusszrYNMuzfv1UN5pVcMiq5koN5s7qSfZsa7Kx+PSrTtIzxhtGg3uhn/uJPvSFdKB3xm31QyLcE8+bN04P+LkDtUd3k6GD5oOPR8m5tb1VvxM030kqLOQ/9vltXOy8sLCSpxvbTHxqsZTXnb8w8jXxRcYN8kZFcFHOdMpbFHmYZtqK9dQWsVZAPhMb91J3Uttgg22KI5ZS7pGIz+WMHtX+sdVOMCvoCK+jaCujztUy6OXT1QckYjEqA9PNUKcwv/swPman55xiK/oTVhiX3qg91apn1h7pd0mTwQrRn/FpFzqXtC1vRalbiW1/C5fqcuaRDvnxw+YIlrU+oVFO8Sfoca142+1ob6KDd+rV78c3tOsg85yjyxa0xmCPUSUCeA62enrdzvWdQty28ASsyz1PJc4+cSqTpapcfM1ntXan7Jc/F6vxj3LXLvG+B52SvDdBr5Hb9y3h5zNQ2SW3LDca2NK4WzavXP6/mU/prV3VVcp+Uo6LvIZWB2j9V294eP8fLXe5qbO/hdiwPxvf09lYv3F/77e9hqtOfuWfbKq/yP1sM9GtMpc+tpTIq55JbJe05rN8v5Qjt9h9MHZdZ28F877jQZaNeyOcmzwzQe0onVX9tN9c9deg6rPuOynxeK3tdPV9243OTlwFsOc9tWb/UudZcN2PFiIiIhh3frFmzEublIUzCTvUGICNgzG0JOnSzguqDVAlvqtvu3WH0y5qHvGlf3l6lD1BLOqBWKf/6JJvRKW3dvdbWtgSzdLLxCl55xRZiDFJeLK+E8+q5py6peRRU6eeu0tvPmH8B85YfHKgFMRZFTa/WqrBlkR8qGPd75ZUCf4BQVXnOFebz6fCKVltTTdIc+lrMOLQc7Y/M0vefvsHtA4jR5Hj66STPc1Nta7XJ8h47ErI+hBVozfpSxDhnJqmNXthmN7ZFrnVpW7IIyxYW+FPcQ+vU9ilwh9ua/5Lzase69L6wc5FmZJe1364+1Lnvw461C4AOCXLNcRZ1XzUa61zO43obG9+VpcgXdNKCgXl1uEmdvxR5rhd8/FSQ7fzzilqmgt8P2M9bg/Q1aCBeI5OPqbZldvcH5fHq9c+z11H7MVDUa1d1VXKfFKXa7yErvH+S7+el6sf25XM1t7eXz/Gyl7sKz4fhdiwPpff0A811WyX3RZcRkpa93uo4LvOzRdVfY6p9bi1Ryc9f+3Yo5fgudDuWYdCcmypo0JxjqrA/06nHa1OPNxDrXva6DuCyF6LM57ZxTA7C9SIiIvLIMAlfS1Fe+GqQN0LmRSfq3UNV3z+ohSkkkLG+aOpyDVCIKCXfuUI979QTL+eXO/KhJNf5QH3okOeu5uEHfv1hRn0I8u4LBAmVlwE71uERdZ6pLrUNZSNtde4LNj85X1fgQ5193ylFBX9EREPMcHsP6Ra+0vDHz0ODiP4BsfySbXAHj5XE45GIiIiIaPhh+HrBfciz1turXxYTDXcX6rmCiIjIbvi9h2T4eqHi56HBJNmKyAX7POTxSEREREQ0HFW5z9fBSPok3YEd5jDsO3mXSt1du7BrQwc/2BG5kWZok+cF+TKEiIjoAsf3kDRc8FgePJZ0JLtvGGx9nVYNj0ciIiIiomHpwq583dGO6eY1y2GnPv+I6MIi4evaBRnnh8PoGMb9eBIREV1oWPlKVDn6+bXgMDZ0OHVX0YYl967FQ/L8E3wOEhERERHRMHMBh69ERERERHShYvhKVDnJ51dSF7q6gJYW+ziFzz8iIiIiIhqG2OwwEREREREREXlm/yPLsWLDLh24GlrSgteurl3YsOIGtDJ4JSIiIiKiYYiVr0RERERERERUQW1oawP272fUSkREREREwx/DVyIiIiIiIiIiIiIiIiIiD7DZYSIiIiIiIiIiIiIiIiIiDzB8JSIiIiIiIiIiIiIiIiLyAMNXIiIiIiIiIiIiIiIiIiIPMHwlIiIiIiIiIiIiIiIiIvIAw1ciIiIiIiIiIiIiIiIiIg/4Zs2alTAvExEREREREREREdEQN3fuXPMSUeUdO3bMvERUmgkTJpiXaLDbvXu3eakwQ/31qNj1tTB8JSIiIiIiIiIiIhpG5MvuQ4cOmdeGnhkzZgzp5b/QNDU14fz58+Y1ouLw+Bk65NxcSvg6VM/npayvhc0OExERERERERERERERERF5gOErEREREREREREREREREZEHGL4SEREREREREREREREREXmA4SsRERERERERERERERERkQcYvhIREREREREREREREREReYDhKxERERERERERERERERGRBxi+EhERERERERERERERERF5gOErEREREREREREREREREZEHGL4SEREREREREREREREREXmA4SsRERERERERERERERERkQd8s2bNSpiXiYiIiIiIiIiIiGiImzt3Lg4dOmReK8+0adNw5ZVXoqWlBePHj0ddXZ0e39fXh+PHj6OrqwsvvfQSjhw5osd7YcaMGZ4tv5txteNxov+4eY3K0dTUhPPnz5vXKqO+vh69vb3mtRS38TR0VOP4IW/IuXn37t3mtcJ4+XpUbaWsryUwduzYVeZlIiIiIiIiIiIiIhriJCg9deqUea00Err++Z//Oa6//np9ub+/XwetR48exZtvvonTp09j1KhReN/73oc//MM/1NOcOHECZ86cMedQutGjR5e9/Ln8l0lL8KlLPoP3Iu/h7b63zLFUqpqaGoTDYfOa99ra2vCRj3xEH3P2kM5tPA0tlT5+yDtybpbXgWJ48Xo0UEpZXwvDVyIiIiIiIiIiIqJhpNwvuxctWoQbb7xRf/H885//HN/5znewbds2/OIXv8Cvf/1rPcjlffv24Xe/+x0CgQBmz56Nq666CrW1tTh48KA5p9JUMnyV4HXeuAU4FTmF5098Hz2xHvMWKlUlwzMJWN///vfrcLWzsxPRaDTn+KGhCRNnTEBt91n0xsxRFzCGr0MHw9fCsdlhIiIiIiIiIiIiomGknGYeJXj9xCc+gddffx1PP/10wc0JS+XrTTfdhClTpuD73/8+tm/fbt5SvEo1O2wFryfCJ9DR9fUBanb4j7D6+/fho+a1wr2Op9pvwz++Zly79C8eQ8efTTGuFOvHD+MTK39gXilfpZqNtQJWqabes2dPsnlht/HVYQSnjeY1hE/jjTdOotjosGniDIyKvIE3TtrvWYMxkydjVI151RQ+bZ8u4/ELFsbpN96ANZuaMZMxOfOBCtV9DIfe9W5/D2Szw7FpH0Z09kLU/GQ9fGffMcdWwqX4i8c6MOXbn4DzU0/OC9dg3ydWothn5h+t/j7ug7fPaTdsdrhwQyJ89fv9uPzyy6GWFZdeeimmT5+OSy65BM3NzfqJ2djYiEgkopu+kCdpT0+PflNw+PBhnUrLL1/kF1jxeNycIxEREREREREREdHwVOqX3VbwKt+lfutb3zLHFufOO+/U3+WWE8BWInwdHMGrKCVkkeDmAeBLqfDV0R+txvev2ZcKYdT1x1o24bacdypfJcKzwRm8pkh4OgHH1L8JmBAqIYBtmogZjd0ZIaaErxOAY6mQVB6nsfsQUpNJ+NqI7kPvovAtnj1fR5nLpK5PrjmVERB7byDD18jv/T+IzloA3/kTqP3h1zwPYF1/JPHjh/Ew7sN9OX6F8fpT7bbnbqk/2pCHcgt8i8fwtXCDNnydMGECFi5cqNtslw7dpf+ARMJYVJ/Pp4NU+StDLBbTAa1FbpOTrjRxEQwG9TRnz57Fiy++iJ/85CfYsWMHjh07Zk5NRERERERERERENHyU8mW3VK5+9rOfxfHjx7FmzRpzbGnuuecejB8/Ht/85jcLrpy18zp8HTzBq/AufC2p+vX1p9B+2z/CyzjW6/BsqASvVkipq0gbenIGsPkrTaUy9ZgEI7aQVELT0Qi/YQ9avQtfS6p+LbHSN5eBDF9FpQNYQ7mVrzluz/zRhY1UxV6zj+FrqcoJX1OJ5SAgYal04L5hwwZ98vziF7+I+fPn6+BV2myXQYJWOalKwCrtgMuTUsZJwCrXJaDt6+vT163gVYwYMQILFizQ85R5y2PIY8ljEhEREREREREREV3IPvnJT+q/0tRwuax5WPMcSIMrePWeVMdJtbIeHv6x0aRwruuD3KAOXmvGYPIMo7lge8Vq+KS6fjqkb5vYZI7MINO8cTpsNNl76JBtOIbujCaBk2qa0BDpLiJkLZ40aZxclmPd6cvndH0YCv3iuwi+8jwSTePQ//G/RmLEReYtFSah6fe/bw5S1fpR3Je8/hj+4lJzOru0+5iDlM9+9L6s8Y85zoCqZVBUvjY0NOBTn/oUbrvtNowbN84ca7CqXS1yUpWQ9dy5c/pXWNLcsISzUvk6duxYPb0Es9IksRWs2uchYawVyIoTJ07gsccew5NPPqmbKyYiIiIiIiIiIiIayoqtNJKq17vvvhsvvPACvv3tb5tjU6Q5YpHZjLDbePHpT38aV199NR599NGiq1+9qny1glfx67O/Qn+8X18uxvH+Y3j5zEsehrYZFWwSpri0PZpqdvTCqHzNF7wKOZakSMuN3PeNN97wNpyV0HXyKNQUUPWpq2IbXcJUXbU6ChH7bdLU76iIOd/0ClWpTJUK2/RmfzMqX+X+E5x7gE31FcvK10JUpgLWublg/dzuWorvf/p18/loPy8U2My4sJ8/KvDczsTK18INaPgaCASwdOlS3HlnO0aPHqXGmIui/xj9s8ZiUcQiUZw6cxpvv/kmDvz2d/rE++477+DY8WMI1oQwccJEBANBXHn1VRg5coTeILMvfx9GjBiJ+vp6xBNGE8VqddVfmWtAX5eHsXLYU6dO634MNm3apCtpiYiIiIiIiIiIiIaiYr/svvHGG3HNNdc4BqVWP7BCqqmsoNVtvMUKdPft24dnnnnGHFsYr8LXL7auwria9GKfUnWeP4DvvvWUByGsQ/jq0GSoBKsP4Es5w1c3OpSd8m3HZkgrwavwTCqlR44ciQMHDuCXv/ylOTY1vhhvvvkmXn755TJDWAktJ2MUig0czftFUk0TWzID1fQ+Xe0hqVzObHJYOISvWX3HZj6Oc/jqRoeyodNZ86yUwRK+CiuA9Z95C7U7/tYcWw7r+b4JLWazw5tazOe2hK+unb6+jqfaczzfL/0LPNbxZ5hiD1ytceqil/282jF8LdyAha9XXHEF/t//uRKzZ7ciFosj4PchEu5DNBZBQ30D3jjShZdfehkvvvATnDh2HL/59a/w3okTSMTjaGpulHJWRKQZ4nhMh7jxeALyT4RCIV1BO2rkGHz0Yx/Hgk/8Ed7/wQ8hHonpSNevpofPj4A0SyyXlbiaXyLhwyuvvIK/+9u/1SdmIiIiIiIiIiIioqGm2C+7pY9WaUXwwQcfNMeklBq+ivvvvx/9/f1F9yHrVfg6rnY82ls+pwPYXSeex/95e6t5S+E+PmYOPjDyg2htmo1wPIx/efPb+Pnpl8xbS1GB8NU+jxyVtEnSFLGHyYxX4ZkUUl177bU6aP3Nb36D/fv35xzvpKWlBZMnT8Yll1yiW838yU9+grffftu8tXTFVImmKk4dSBWtzkFPImy/bNyYCkmhbhsdxhtZAWgFwlf7PHJU0iZJU8QeBrODKXwVVgAbONaJmt2PmmNLlSd8LaryVcZ3QBe756lylb5e75vifSVsNcJXqXT/0z/9U/18lx9hbNy40bwlxatp8hlS4asEo/feey9uueUWXX0qTQQbTQEDZ8+ewhuvv46f/PBHul+AI12HEQ336cpXKYetr69DwO9X95E+XoGYuq8IBgK6f1f5FYs0MSxhrAx+fwBxtXbymJdffjnmzV+Aj1wzB6PHjEFzU7O+XYe4sRiCNbXqDUa9mq+6n5r3449vxiP/62F9giYiIiIiIiIiIiIaKor9svuhhx5CZ2en65fTbs0Lu4233HrrrWhtbcWKFSvMMYXxKnwVXgSw4g9GXYn/NHExRgRHlBnAehm+mmHM62aYqoNX4GFr3lXiZXjmRQArJk2ahA996EO6y0OvAthMmVWs7iT8nIx82W33sTcQGWWFpG6BqZfhq7lcVoWuDl7VZNa8q8Sr4yf8kdvNS+WLj5mu+4AtP4CV53uOZodLrXwdINUIX1evXq2f5xanH/d4NU0+5YSvfvNvVUyZMgVPPfWUbmpYQtdEPIpopB/SAPBbb76B5Z//G3z2jjvx6P/3KA6++orug1WC2dr6OnWSbJScFOFIFGfV+D71N+Hz6yEWS6h5+FFXW4/G+kbUBGrgi6uVU3dobKhDJNyPzgO/Rcc31uHOW/8rHvq71Xjppz9GtK8HNUEfYpEwus+fQ7i/V1fgyrLdsvQW/Mu/PKWXmYiIiIiIiIiIiGi4qqur0xWqbuQLa6cvrd3GW2SeMu+BJM0Ed3R9HSfCJ3T/r9IPbCkkbJX5CAlhB5wErd+XQPYTacHrU09NwX3f/74OGhyHx/4Cl5qzGIykwEq6HZS+W6WfV6leyzXejYStMr2QEHZghXHyjUM6gMo1pOen6j7HetAwYQyK7JW1MBK0GklrWvB6+nQIE2bM0KGT4zC5QsvjgdjUqzwbJHjV85zQqqtgy/NjPPyJdjz1utEccLtcED9YqVsPMIaH1VQynbr88I/x+lNfsgWv8iMLh+dyocMgf85nsgemIvO68GqaSqpa+PqRj3wEW7duVSfF96lrCV1xKuWriVgMp0++h5/+5Ee6T1cJXHu6u9HX06uD19NnzupfPfSok+sZdfmcui0Si6IvEkZfOKybHfYHA4hEY3q2fp8fcTXPRCyOvr4+Pf9QwA+ferxYNIpwXw9e+OmP8D8f+AI++5e347tPPqEe7yzGjJb+YevUYpn9varp5QQuy/yRj3zYGEdEREREREREREREQ4pXAazM50cn9+kq2lLn4Rkd3JiVcdLXo1TPfmIldqmrUlWXCnVsw8M/1ncd7LwKYGV6qeiW0CXftNUg/bs6BppqmNhkTmQXPonTkVEY7XRbuc6/i0OHzEpYaf5YqmfNildpNtkpHD50rFvfdbCq/067J0Pd91bBd/6Enmfwlef1UFU/2IQff7QDq//IvI7X8I+3OTyfcw3yXJfmxeWyx00PV5q9v2fJ+H70ox+Z11K8mqaSqhK+SofY//iP/4jm5mZ1TYLXOKLRMM6dPaObFv7db/fjRz/ch0gkjJPvqYM6kVC3R/Uvo0I1tfpvb18votLccCCg/ibQrU6cp9X95a+EuPUN9QiGQrr54ZpQjW5SuFbd9/SpU3p+Neq27nPndBgb6e1DIhrBawc78dVH12Ldo/+Ad99+Uy9XpK8HgYAf/X1h+NSiyjL/4z/+b7UOC42VISLCYjz60jP4/GzzKhERERERERHRECZfTEufr04KCa3cppF5yrwHA68CWGm2+GzkLFrqp5tjPPDR+7Kq1Tp0x44FkIrXjin4tq3Z4il/1pE1Pz3k6wt2EPEqgJXmiaXga/z48eaY0kgzvpmBqfQBWzMqe7xjkGrqlkrTjFAzV6Z5vrsbjY150tfGCVnLUGj/tLridXIIp21lt07rpId8fcEOA4kRF6H/43+tK18ldA394rvmLeX4KO77vtFX60fvSz23pV/W1PNTmiaW6eSymhavY8qnsytW0++TMQyxClc30vy9rM8LL7yAb37zmzhy5Ih5S4pX01RSxft8lQ5tpW3lWCwGv1+y3rhu2jfc34/X1co++2//B//xH/+hV/zkiWO6yjWsK1oTOniVJoDlvjIYEuiL9iMQDKr5BJCIRhEKBNFYV69DV6lwrVV/pV/YaCyMYNBv9v9q5MyxWBRxNVhvJnSzxurk9eGPz8E9//1eTLzoYvUIar5xqMcImfF0XC/HypWr8J3vePFkq4LZy7B181JM3bsaVyzfZo4skZfzogtme16/9kWsmmNeSbMXq668B8+qS+7T2KWmL9Tsu57BE3N34zM3rMMBc5yn9D5swWNFLhcRERERERERUTUU28fePffco78vffDBB80xBunTVSqnnnzySfzsZz8zx6aT8Osv//Iv9ZfcmU0Q33///bqwZs2aNeaYwkjQU8zyF8PeB+zTb34HPzy517ylcJ+d/teY3jAD9+5fbo4pRkafrwVx7vNVghjJU6UpUyt7Te8rNoMEtZ9+He0eV8J52edrJntfr3IMdnV15Rzv5OMf/zgmTJiALVu2mGO8UXifrwapfG3szmxe2D7eoW9WqUrVo07CGJXR52tBnPt8lceVPFUCYWuZcq6TBLWjIngjuSzeqOTxU4zKBK8Wo3/mKd9OPVedufXvbJDn/DX7HOYh1e/6buZzW57rDn1Jl0vOzZXu83UwKWV9LRWtfJWK1//3/10J+Py6ItXnS+ggNBqJqlF+7N2zG7uf34lf/eLn6D57GjE1Xgaf+hcM+BFQ0yekCtaseK2prUNIDfUNDQjINGoeclnS47feOYETJ0/gzPlzOH3uLM739qI/GlFDFJF4XA9STRsIBBGOxJJ9GEioK80Ub/s//4rtz/6bXi6fTy0y4upWK5dW4/wBrFy9Uq/TgFq8Bi+/9GLWsPWuVnOCckg1n8xvDa43x1ROKz6/RR4rX/VggdNJGCbLvmUZSitG9GDdK7pvhp5nl1+FK67MGFZlv5k9uunm7OnShioFnC77T4ZHFxuBbnKchOeYg1W2aaxBpiUiIiIiIiIiGkokuJJwatq0aeYYgzTTKBWGS5YscawwlHG33HKLniazSUeZl8wzVyg2EKwK2JdOv1hS8CrORc+hxj+wPV9KCPPp19vh1JLwcKh8tViVrq+99lraseQ23olUX4dCIfPaEFMTQk0k7GnYKSR4HRV5w7Hq9kKsfK1M8GrvqzVV+aqvr/4j/RxOe34mp5uCP+tQl4dJJeuFqmLhq/Tx+g//8A8I1QQRiUT1uEQ8rpv99fuA3c//AM/t+B5ef70L59SLszRB3K9OmH51o/S9Wldbq4NaHb5GjcpXdW9dgdpQ26DOObUIBUJobhqBhoYm1NSG1LQ+3fdrXySiY9NaNZ3fH0R/f0SdYPsRVfeVfmLrGurVPOPo7u5GTU2Nbu541KgR2PLMd3H4lQMIy3JYJ2NbXbBUz8o6ybpVnRUMuZQJTl26uYzgcSB0Ysfuo+rvVMy9Lkc4Ofs6zJ0qF3JPN/u6uWoK4Oju5ypT6ZjLsNs3F6ht9yQD389sUsemVCab1+/eBhz46o2utxvDzZDRRERERERERERDzUsvvaT/fuxjH9N/LadPn8Z3vvMdnD17Vle33nXXXfj0pz+tB7ks4+Q2mUamtbPmZc17MJEAdvPr/2xeG5p+sPIT6dWtUun2/e/jAfxY/TOqYVN9QD6sx+k+IIdY/49Cglan48ht/HCQ7B92QginT3lfFXr+3UPp1a1S1aoebwJ6IHlsevPIx/Q4NRKHPK56HQwqV/Fq76u1HU+9bntervyBfg5/ov0p/Ditj2aZ7nU81a4uuzxXkwGufej4MxTYUDlVSUXC1ylTpuBrX/ta2q9JpHlfqTyVMFV+ifLkt7+NzgO/Q7i/T42LqcGoNK0JSXPCfiTiRuopAWwwEIT04Spj/NLcsM+vmxiOq2lkurq6OjQ1NyFYU4Oa2lr1t1ZNF9JVr7GED7V19XpcOBxDd0+vrmJVo3UoazVpLNWvx955V/dNe+bUSSTCEf34mWSdZN1kHatFV9xZwd7RTfhMWuBjDA4FhSXYhrv1/KpTaXjgud3Q8evc69yDyctadKgqck03s8WYqutQp/5bvNLWvXr7ZvjS4bStcjR9yK5ETqtAdRmeWKqOh6lL8YTDbfah1KpkOd6Odh00rxERERERERERDW3SJdzvfvc7fPCDH8yqfpU+M7/xjW9g3759unnQq6++Wg9yWcbJbTKNncxD5iXzrHY/e9Vwcd3Fuu/Y0ll9OxY6GFVzOf1gpQ5vbvvHf8RK9XffNfb7SzPHRuBzIRo9erSuzh4MGifYKknNwamgVMJRI/hMbyrY0IgJGfPIPUxG3i5gz7+rH++Nkyfxrvrb3Wi/vzRzrJYls73kYaCyTQ0X4LV/xL4pD+AvCixx1YFtMqjNGIbgDyuGM8/7fJVw8qmnnko2QyEzj8Xiuhlfvy+Bo11dePDv/w6/+uUv8N7x47rC9ezZ02hubNLBrFS29vb3IxyJoLauTtJWs+rVmLeEqwE1P7/Ph9PqhCl9EcgLfVRNEw73q2lqEImG0d9rNCscCPrVOGny2IeEup/0BSt9vgbVOGniWKpZG5sadDA8eswY1Nc34q7PL8cfL/7P8Kt5SZPJ6s56PRLqn1+tiZA3FH/2Z3+GiFrOipKqSh3uHcWmm2/EVwot6xwSfb5Kk8KbsXSqe5+e6X2Cuk0nTQavxJwS+gYty2DYN0ON3mZI6/P1tq6bseSrpYbmzsrt81Xfv2Vjcv8U1jetzYW4b4mIiIiIiIho0Ciljz0JTD/72c/i+PHjRffRmkn6kB0/fjy++c1vlhS+SuBT7PJXy8ymWfjc9Lvw67O/woYj682xxfCuz1eR7AMSq9OaFbb3A2s85n1I3vr6U572+zpY+ux0IsHrddddp4/Dn/70p+bYwkkfqJPzJpfOwqffSKsuLanP1yze9fkqko+NiWnNCtv7gTUecwKSt4ZPe9rv60AeP+GP3I7Y1KuqELzm7/PV6sNZPXvxcFHnB4P099xh+5VG+jnAG3JuZp+vhfG88vW+++5La/8/lkjoKlOJLqPRMH60bzd++fOXcO7USTUqrpsDrq1tUtMEdMgqi+Tz+XWlq+4nNhFDfW0QI5saUBcKoM6fQEDNsCZQowNbCVD7e/vUNCGEfD4E1Tyb1P3GNDSgobZWLQAQ6Yui93wf+sPS12xIPZYMdeiPBXC+L64u16KvP4qIGs6dPYvdu76PsyffRay/G4hHEJMKWgmA1bpYZB1lXSurFZ+/zUh89q4qItwbMjpxSDfHPwfzHfvJXIz5OtvchE26etRlutnT0SJ/9+6qXvA67PeNNyS0TKs2LSrBHDwc+6/NNTB4JSIiIiIiIqIhRsIpqWSVFv/uvPNOc2zx5L4yD5nXcKx6/U8TjC8o975X2hfyXpNKOB2wmJWv1pAeuvxAV8NeiBVyH/rQh/Tfzs7Sij/CJ9/QwVEpQ1qzvopUszoVj6bGh3HyjVzBq/eSj21WvlpD+nKe19WwyduHUdPDNT/doEPXyle8Gk0Q5wpDU1WtxQev4rV/vC31HFeD18ErFcfT8PWKK67AzTffbF4zSIVqf7gf8CXw3okT+L/bn8WZ06eMQDMiwWZcB5vSr2sgENKVr1IBK00PW80Wd3f3IB6LoL6uRjdB3B8O6/bcJaStra9DfySMnj51PSCr40MoWKPm5VfT1yIY8sPnT+jbpLpVKmqlilbWXPp17VXzOvbeCTQ1NeqOt4NBP1568QX84pf/gUBNjW6OWJo+jqnlksezk3WVda6YxXdAWk+VKjrpc7IsVr+k1rDWKcWUSlR1W77+SQuaV2Ge3Wm0yTvHKVW1QtWuw/hKjumS/b06NgNrrpNteZ2bmi1w3S1V3zeGrDDTbXqprrXfVtQ+c9tm1vjspoBzObpJPU/Swsn06uRimx0eMNY2zTOU2pQxEREREREREdFA2759u26m9vLLL9fVq5lNEOci08p95L4yD5nXcPNfJi3B9MYZeOn0izh4/hVzbLEkCC02XJHgJrvqlXKTAqqJEyfitddew6lTp8yxQ50EocVUvYrqh7pDiVS9EnnNs/BVAspVq1ZBmve1kyZ+G+pCOP7uu/jXLU/j5Zde1oGshKwShkai/ejt6UH3+W59Xe4eVPPy+9U0MaMvWBnf29ev+2vtDfejpq4G0UQMUcSRCPjRrx7j9Lmz6IuE1dCv+3qNSvPCaqipqUFjYwNq1TL4JZz1JRBT4/v71XxqgqhvqENfr5qvGiQElvE9ann+/f/+O947fgw+tSwSBoeCQTW/9BaaZV1lnWXdK2H2DB09Yu/O8tK9tH5JLXNWlhSaejkvbdsu6Fi1ZXpW6GmFqnr9c0xn9Pd6FLufy/j1kg7LpFlj87pJh32Fhqwuqr9vjODTsXA0z/Yvap/l2mZrrzOvFaoVspny9cObHc7ahyo2I62brzYCVN1nrGwjff0ZfD55sEjT1k7LKcPN2CSdGBMRERERERERDWFWACvNBkszxJ/+9KdzhrBym0wj08p9hmPwKk0Nf37GcswbtwCd5w9g8+v/bN5Cg5E0NSxNnb7//e/Hm2++iZdeesm8hYioOjwLX5cuXYpZs2aZ11Kkn9eec2dx5tR7ePXgq0A8oQNR6StVAtiaYEBXtNbVhhCNRnTYGgz4EZCANhZFTSiExsZG3QyxBLB9kaju3zUioWw8Bp/fh4bGBt0vq4SqcRkfi+jxff196jEiuprVL5WufunzNaqWSqptw2raGBoa6nQIe/LkSd3McXd3N+rr63X773v37NHzSY+T08k6y7p7rxUL5+roEWXley234stq8TbdbAuJVhlVpJhzqy1UKoCX80raBl3UOnUuFqbdP3P9D6JLgq2s6aymiXdjR1rTv4vxqPSrqi6lh3tmQDZ1Ke4sMS8eyH2zd5Vt2gKmd3qMz1gJYdZ9UttM91ma+ThzlmaFsrnNhM7FKyIVlDoNOjxV+/gJh9uMwR6oWrbhbvs2Sm4DNitNRERERERERBcWCU+lv9bDhw/j6quvxt133437778ft956qw5aZZDLMk5uk2lkWrnPcAleb57yX/Vw78wv6D5erYrXbx7+mjkFDSZXXnmlHqS5Venj1ap4/eEPf2hOQURUPZ6Erw0NDWhvbzevpZMANdLfqytZ33nnLQRDQUTVuEQiioAvgZoAUBf0oVYtSU3AB188Bn8ihpC6LuNlnAy1NSFdYRoJS9PBYR3aqlki3N+vHiWmbq9BTIe3UfVX6ucTaKivUX9iiET6jMcKBfTfsaNHYPy40fCpaeVxGhvq0dcX1WGwDBLEyvLK4yVicTUnyYwTOoh1Iusu22BQmjoVXZl9km67B0ZmNxUtl+kxhfFyXjZG08NTMfc6W3Ots6+DkW9a/bh2YsdunZqmT7d4Hozs9TnYF2v2Xbca4zfdjCVftVdeduIrN6zWVbRzbiuv+rVsRW1PWe6rsps4zrf91TbcfXP6Yxz46o3O9zG3pQ4dM/ssVY9zxc2bYMa2RTiKrlfNi55KBaWlDQxUiYiIiIiIiIhykf5av/Wtb+HRRx/V/bdKi4Gtra06aJVBLss4uU2mkWmHUx+vV466Sg81/lr8+uyv8PXDX2XF6yB26aWX6kG+05fj8LnnnmPFKxENGE/C10996lMYNWqUeS2dNNnb1NSkA82uw0d0uNnf149IfxhN9XWoDfjQWBPAxPGjEfJJAOtXL2hAY20ADaEA6oMBJCJhJGJRNDc26ipUuZyQPmAlgI1HEOvvQ9CXQH1NSIe3NUE/envOI67u19xYi/6ec6ivlduiaKyr1WFw2+xZ6vFrdbAbUifkMWNG4OzZsxg3bpzua/bcuXMIq2WUklnpn1bCWLcKWFl32QaD0tFN+JZDdabV12rLjCL6p/RyXnavdulQb2rLTOO6uKxFcsO0flwPPLc7azqr+d/0pm1TlamPpQWvFquKtgW2R6w+j7bnQb0yLrIqgg3WfeyPcb1RQoxN6x0WShx4Djr/LpTus3cqlm5OrzqVPlF1U8jqsrSGnLvPV2Moqh9V6d+21Gaw85qDVQ7LZwzZzTUTEREREREREQ11EmQ988wzWLNmDVasWIG/+Zu/0YNclnFy23AKXS1/8+u/1sPfd67ChiPry+jjlarhqaee0sP3vvc93arl8OnjlYiGorLD19raWtx2223mNQc+H4I1tQipob6xUV+XvlJDwYDuC3b86BEYN6IBDYEEmtT1On8CjSEfxjc3orkmqC77MaqpDkHE0HfurJqmBg1yX6mI9SV0xawMgVgU9UEfmmtDmDB6JMY01mNkY50ef+mUKfBF+jFt0kSMaKhVj+HDybffxeKFC4FoGCOaGtDc3KwXV36tNXLkSP339TdeRyIW080RIyHNGqf3+Won20C2hXc6cahL/rZgRjnlmV2H0ypCy1LMvCQAcwyoXsSjmbmYFerNmYfrjTHJIDCtH9es6dya/7Wau3ULysoNyQZ43+h+WVPro5vYdePyGAeMFbAx+mdVd8Ahrw6YA+uwJKPi1Ki4VTd99cbk9dx9vhpDevVyHlINjJXFBbaFcFgf3Rzz0U34jG1cUctKRERERERERERERETDStnhq7SfLtWibgLBIGIJIBKLY9SYsfAFpflgP0IBnw5Sp0wchw/MvhTvmzkdkyeMwwgJV/0+jG6sxbjmeky/eCL8kbAOXKWiVQLXenX7iJoajKgNYnRDHRrV+BG1AR3YThjZjJaLJuCyyZegJhZDrc+P5rpajB85ErX+ACaOHoUxTc04d+oEEO7DpLHjEO0zAlfpW1b6fJXK15ha3vfeew8R9dgxNR+fT4pg3WpfobeBbAsvGdWJGc3sDktWk8JzMF8Hs279uFqhpzWdGbImmyaunurvm1Z8fosZuFr9sg5D169V65dWtSrrvSYZyqcztokR5tsvA88uvxm75z6Y3a9rqVWxGYF3cjBKdzP6lnXqT5aIiIiIiIiIiIiIiC4EZYevf/Inf2JechaP+xGJxjHhokm48uqPoKamDtFoVPfhWhsKYERjLVomT0DbZS26CVkJW8eObNQVr5eMH4OpF43FR37/91Gj5iXNDDfU1KApFMToxgaMHzECl4wdi4kjR6LB79dDYyCAUXW1eP9ll2LaxZNwyYQJOH/yFEbU18Mfi2PS2PH4UNvlqPMH8Npvf4frrr0W3efO6mpcCWD9ah6RSAS1tTW6OeHa+gZ9WyHybYtiJZvZXXqHS/g0iEkfobZqQPuQ1W+pYq3rHElVdXO1kr2m9+Mq0prktfp7tTVNbDCbFcZerHJ4/NRwT8mhbbX3zfVrbdW60ierbT0+s0mvrEfKrOYtk96/VmWzDjzVend14aDTMul+gTOrni2d+Mr9uzH3wYx+fbetx6aWldnV164k1H0Gn4dUvd4M2dR7V9mOIYfKV/YnS0RERERERERERER04SorfJ0wYQI++tGPmtec+QN++AIhTJw4CTNmXKrHSe+pfp9Ph6916vbRTQ2YMGYkWi6ZhNaZMzBjyiUY0VCPqZMmYtL4cZg2WY2f0aKnDSXimKibKm7EGHW/S8aPRcvFF+mmhpvra9TtMfR3n8PYUc340AfaMGv6NMxUQ30oqOY1RvfxOmn8BLRedil6u7vhU9O3XjYDPd3nEQwGMGb0GB22+v0BHDt2XDc7nFD/jOV2b3ZYyLaQbeKZA+vwmM4apflct+q/YeLAYRgt+U7H9dfN1ZWd6f24mrbtgmySqXOvw+edmibWMitkK6Cq+8ZsEtgK+Zanp40zjTaWy2RVH+eo5l18R5nNNRvr4bhfLRKOHjWbi968FF0SdC5fhwMOYeb1dywFNq13D9BlH3XNxcK09FVC2U1oWVXAPpuzEtJEdctjZpgqYS+c++klIiIiIiIiIiIiIiISZYWvn/zkJ3WlaC5+iVqlr9RYQj9Yf28P/L4EagJ+xPv70Vhbh7FNo9AcCuGScSNw8ZiROnydfPFENDbU46JxY9AyaTxmT52ElrFNaI71YERtAlMnjMTlLRejZcJoXKZunz5hDKao+06dOBahRASI9GDGRaMw65LR+OiHWnHV+y/D5DFNGFkXQH/3KcyefSnC4V4cP3EMLerxouffQw3CqAsFdDBcV1ePN99+W6+DLnxNxNQ6xPV1N7ItFko/sh6S5lONwkYjkHLrx1I317olo8pvSNkGXdQ6dS5uc+zH1ZKabq5RHpvRNLHh2fWbjEraVQ59zCqyvQqvfnRW9X0zdSnuzFhmmfdtLXohypaq5t2c1TTv7LuewcurWnDUm4fKwQhH5WGkwtSpSlqbvQy3zdmLx/L0r/rs8lQVql4HWa8D6/CFTS24zWl/mc0LSz+6Vl+01jLMlh8FZDYx7NjssBpKadqYiIiIiIiIiIiIiIiGvLLC1z/8wz80L+UQTyAUCKImFDTCy0RCN+kb9AcQCATQWF+PpoYGNNTWoVldHjd6FC6+eBIuvfRSXDbzMkycOBEtUyfjDz7Yhms/fCWu/OD7cMnE8RjZLNOOwPQpF+vhA5e34n2tM/XQMm2yDm5HjhyFqVNn4P3v/yA+fNXV+IM/uAKtM2eiVi3LRePG4gOzL8OJd97AmOY6jGqsQyARR3NDHerr6pDw+dSiJxBPVr1KuKov5lTQNilKJ75ygxXymcFYZtCjBsmAhjqjSeGpap+pPzn6cbX6W9XTdR3OappY0wGbsdEkgK3M9qrWvrGqUrPXZVXLJnzhMV3mWz7bNjOqPlOPI2Hk3lX3Y7dxaxmOoutV82KWxXhU+kuVJn5X7VXr6tZ3ais+/2CeqlcHUiFsNVF94KtqXTL7hJX+YK1q2yuvwpLMYPe5+21NC5uDY7PDasioTiYiIiIiIiIiIiIiogtDyeGrVHleeeWV5jV3EmDKtP5AAD29vQiHwwgGgugP96Gvtw+hUFA3TSzTNDc3Y9To0Rg7fhwmTpqE8RMmYMLEiWgaMRJTpkzFRz7yESz4owXq79V43/veh2kt09T4KZg2bRpmzZqFyy67TA+zZ8/GJHX/EWMvRtP4aWgcPRnjJs3AZa0fxBVXfQQXXzQJke4etM2aiWAsiskTx2PypIsRV5clHA5IVW40hoDfB5+6rkYiHo8jFosZK5XDVVddpdfFWxLySaizWje560T3Q3nDOucgcqgwmxQWe53LXjWrQlPknO6rN+KKm40qykw5qyqLUp19o9dFgj47Cf083ufO2+woNt3swfbSfbR24VDGAqdC63nYafWXKn0G37wbczc7VBSbzf9+IU/Va7rFkFaqU00eq/32WBdaLjOvCrOfYrf1PHCgmMcjIiIiIiIiIiIiIqILkW/WrFm5OzJ10dbWhi1btpjX3CXiCd2HaiTSjyc2/TNW/88HMLqpBoG+bkybMBo3fPKP0DZzBvyJOHyBIMLRBGoa6lBbX4dAqAbBgJpWwsyEmo+aX7ivD9FwWDcNrPl9uoJWgtFoNKpDUp9aI58/iMCIiYgG6hHUIWoMkXCfWp5+9Pecw8kTx9Fz7ix+s/9XuPqaOXjx17/Ff/xqP947141QwwicPNuN6bNasenxbyNYU6vbHk7IMvgCxuPmcMMNN2D//v3mNaLhQipTV2JOwaGvOb15TUhTvqmK0lZ8fstmLO1anaNStJBpDNKssFToutqbfx5Fk2rZ27o8D8GJiIiIiIiIiMoxd+5cHDp0yLw29MyYMWNIL/+FpqmpCefPnzevERWHx8/QIefm3buLax9zKL8elbK+lpLD1xtvvBEPPvigeS0Hc+6JRAxbv/td3P+F5QjGI2j0RfHhD16O6+dfi7Ej6uGPxxFV05452w1fqAb+UAjnenoxdtxYNNTVI9of1mW6jfV1CPmkktYPn4SyPvWfutzXJ8FqHP29/Qj396OnuwdvnAnjdE8E4XAfRjQ1YtyY0QiFfBg9skndLY5QMIDj77yDSy9/H944/h72/fhn2PezF1HXNBLn+mOYPH0GHtv4z2pZatQjG+FrMCiXc7v//vvxzDPPmNeIhodkuFmJEJOIiIiIiIiIiDzD8JWqieEZlYPHz9DB8LVwJbePKw9aKKv69eJLLkZDfYMOSevr6zFr1mUYMaIZwaAfZ86cxm9//RscPPgKXnzhBWzbvh3/8tRT6OhYj8cf34zvfuc7+PEP9+Hwa6/hzOmTCEf61ZylKeAoIpGwXpPe3h4cO/4ufrP/1/j5yy/h1z//sRr24VDnL/B61+/w5puvqft143zvecTV9E1jRmFGWxvqGhswbepktM66FA11NWp5AqhTf5samhCqrYVP/qnllwrbQhSzbYgGD6lUfRGPLjav2ly/1uj3VTdBvJ7BKxERERERERERERERkZOSK1+/8Y1vYMGCBea1HNTc47EE/IEEXu38LT71Zzci3nsOk0Y14Oabrsf0CWMRjIdx+sRx9Pb0IxwD/KFa+OsacbanF93d3bqpYV80ijES1PqA0SNHYPTYMWhQ1/3BAHxqkF9G9Hb34NzpMwj5/eg51w3UhIBQAJMnT9Eh6tjx4/Geut0XCOn71dQ1oEaNRzyO2pogDhw8hG89tgnnwwmc7Yvgig//If7Xmq/AX1ODqPQBGwjC58ufVz///PP4q7/6K/Ma0VCR3UxwJu/6yiUiIiIiIiIiokqRSiOiajl27Jh5iag0EyZMMC/RYFdK5etQVvVmh//t3/4Nra2t5jV3ibiErzH1SHGcOP4O/vN/+gTQ342LxzTi9k/fhItHNiGUiKD3zBmEfLXojURR2zwS/roGBGvq0R9Rt50/i0hPD/rUX38igVAoiIbGRtQ3N6Kmrg6+UED39Xr+3DkE4ceJd4+hsb4eofo6BOtq0dQ8AsFQCBMvuQTnzp/XzRv39PbBHwhh5KjRqAn5dQnwq0eO4uvrN+L4mW509ydw46c/g8/+9d8YfdGq5aqRvl8L0NnZif/8n/+zeY1oaJEq11WZCWzB/bwSERERERERERERERFduEoOX3fu3IlLLrnEvJaDmnssGkMiEUVfbzf+9IbFOPZGF1ouGo07l/45LmquR40vgp6TZ+CP+dEfBc5Hojhx+hwSwRDefuddNIRCCMSjaJl8MeLRCBqaGlHf2KArX2sa6hCoCaG2rg7H1bR953tw8vgJ1Kr7/urAq+iOxNDd3YOLJ0/CpIsmYsqUKRg5cgRGNDerZYojGAqipq5W9zH77nunsf6xx/Gbg4fQFw/g8/9jBa6/8U/Nbmt9iMUk+A3pa7m8+eabmD9/vnmNiIiIiIiIiIiIiIiIiC4EJff52tjYaF4qhA+BYBB1dXWYOXOmrlJtqK9Hc1MTfL6EEYIG/YiHw+g6dAg7f/A8Dr5yEE9sfgL/8sQWfHvzd9T1ThzY/1ucP3MGiZhUoQbR0FCHxqZGjB49EuPHj8W4cWNw/MS7ap5x/HDfPnRHAtj141/h3/59L7733A+x/7eH8G9btuEXL7yM8++9h0a/D6NkuXxANBpFc3MTxowdhdraWsyePRuXv+9yteQJ+P1+3dyw/C1EcduGiIiIiIiIiIiIiIiIiIaDyoevcfUgsbgOMQMhHz7y0asQ6T+HOn8cI+tqEQoEAV8QMfX35NnzOH3mDBpqa3Hl730I11x1JSaPa8L7LpuKD8y+HG+/9QaamxtRVxNASC15bSikpq1DbU0DIuE4GhqaMWb0ePh9Afj9Plx3zUew8KNX4hMfuxoLr/04PnXjDbjiD/4Ao0aPQXdvH3r7+pHw+dTDh9RC+lGT8KMxUIOLx4/FjTcuQsu0i4Dec0B/H6LRCGJqmkLKhBm+EhEREREREREREREREV14Sm52+De/+U1BTfAiEgOicaAmjkSiF5Huk/ify5eh//i7+Pxf3qYrXyPxMM6fPY++092IRRKIq7s0NTbh7Jmz6OnpQbivHzW1IclHMa1lsrq9D75gAGMvmoSRYy9CsL4BkUhcTduNU8eP4+SxYzjx1jsInz+LQMCP2oYmTJh0iZp2AkINDQjU1SAWi6ChsR7NIxoRCwTQH4ujpg/Y/m//F6+dfAe33tWO+tpaNIVGqpVoQGzsOIRr6lELX97EOhwO4wMf+IB5jYiIiIiIiIiIiIiIiIguBCVXvnZ3d5uX8vD7gGACve8dx9Ff/QZnjryBD3/gQxg9aiR8oQCCtTWoq6nFiBEjMG7CRZjSMh3jL7oItY2NaBo5GnX1DWgeNQo1dXW4aNLF0ggwauprEagJIqHm7Vfz8AcDCKn5BAJBTJh4EcaNG4+LLrkYI0aPwoiRI1HfUK8rXEN1tahrrFfXG/VttY0N6v5BBIJ+hNQQDAYxfuJ4tM2ejZDPj1hvP379s5/h1z9/Gf5oDJIKq7XJ69y5c+YlIiIiIiIiIiIiIiIiIrpQVDx8jSECBBI40tmJ3/3wJzj72mFMrG/EJRMnwC/VrIEAQoFajKhv1mFroKYWdQ1NaB4xCmMnTMDFU6ZhzPjxGKuGxuZmTJw0CbX1dQjV1ejwNqDmATWPRMCPUH0DGkeNUvMZhdHjJmD8xIkYr+438eJJGDV2jJrOj0gsBgSlGrZOh7i+UFAtgx9BSVV9MYwdNwZTL7kYgXAEwWgM77z+Bo6/845uNrlGDYWEr+fPnzcveW0R1rywRv0/pXXZ03h6Wat5baC0YtnTT2PAF4OoULOXYetLa3C9ebVki9fg5Zeewednm9fTLMajrrcREREREREREREREdFwVHL4WmjAKNWpCV8MfWfP4tgrr8J36iwmNjZi/OhR8KlHl6rVYCCAutp61NTWoKm5GWPGjdVVqXEk0BvuR8yX0OHruIsuQlSNlapXqXQN1YTgC9UgruYTjsbUvKQa1o9R48brfl0nTJyoK119apxPwtlaqXxtUPergT+k7qseO67mHYvF4EvIo0VRX1+LWukHtrcPtWrzTJsyGZOnXKzXJVBQ9FrNytdWXHftVBw51GleL0DrMjz99DJ1z0zZwa4n5PHWeD5XovIcWIcvbGrBqrWLzRGWVnz+mRfx8kvpw9a7XH5ZsO0eXHHlRrRsTg9ZZ9/1jLrfPOy88kZ85YA5sghyf9fHJCIiIiIiIiIiIqIKkrwko+BMso4XXsALOYdhXKS2aA1eYNZTsJL7fP3GN76BBQsWmNfchdEPX7QX53/3Kl7Z8X3MmDgaPfEevHbydcz6/TYEfUHUxv1oqmlErEb6dQ0iFo3j/LludHf3IBGLY8TIJkQjYdTV1SAS7kN/9DR8/gCax4xD88SL1W3Qfb4mYmpV4gk01Nbi7PHjqEEUkb4eqJsQ8fnhC9WhfkSz7ve1pj6ow1qpzY1HepHoDyPSH8e7bx1HuLcfY8eMwZiLJuHA/gOoG3cxWv7go0B9I6AeN18Gu3v3btx5553mtTLIk/lLwAM3rYMRr8oTfj52Xn0Ptjtez2/Rmhdwa9ctuGmdOUd1ff7Oq3HP9kLnJdOtxDXmNVdHH8ctNx3CHUUuX6kuvSSGG6/tx8c/FMbk8XG8fsyPH/2qBs/sqcVrb6p9lo9UQm5eiqnYi1VX3oNnzdHOJKDbjKXTjmLTzSWEa1ItuWoO9q66CndvM8cVxXp886qWsdz6MVDAuihlL08GvS3nYrfDtpFQ8YmlU9XirsYVy714sMJdv/ZFqNXMae+qm9F162a0bExtC1nmOw/daNs2Ttu/EMUcL1I1K+FtAfuPiIiIiIiIiIiILkjSMubjt0w1r4l9WO34fby0Xvk4UpM6T1fY/DLnZXF7bBsJ8FZOU49xE8yIIkXykMdvwdR9q3H1PXkShaz5ZOYWBSxLBslKVk6TXMPMY/TyXIs91mPkzWtku+gJbOvmtq3ysZbfvD9sy5VTqY9n0rmO0+MUn0Xll7msbvus/H0rx/Udh26C42GljyVb4lXI8VeAksPX//E//gf+4i/+wrzmLqz+BRMx+N95F53/vgMTGkPoiZ7F0dPvYNLMqfBJ8BqoR12oFsGmegTVXwlf+3rDiIQjSKilCwZ80rKwWtoEus+fVrf3oqG5CbVNI9Fw0WQkInFEIwk1rwTi0QgCcfW43d2Ihc9B3RVxfxBxX0CHr/469Ti1tQjVqut+H+LxMBLhfiRiUfT0RfDe8dOInuvB211H8bG58/H2mbMYO7MN9ROnAP5aNfjzhq/r16/HmjVrzGtlyPdkzjwo7ByfJJlPEPv1cp487ieVlo0S7JqjKiAYSOC+z/Tgzxb0qV2TvWPi6ph4elctHv52I/rDOXZcMnyVAC5PCJmctvrhqxVeZt1XL1MLHrPCusEYvpqPc3TTzVjy1fwvEwPDCFZT4atcf1Ad2wXuZ1nH+bsKDJYlYF2JPHmwI8/2FREREREREREREQ1NOh9AWhClA8RrjmaEm2bIdSQVKhnTZYRYBc/PCMPUhEV+95+9HHbGY6kLecOvjPmYoa1ayLSis6z1y0GHztfucc5U1gD3WI9TdPjqBWN9r92TWr+SyP69tavAENfO3N4FB7qZx4uT7GPBcZ95sG+t42qf0/Eq87/jEG5K3mAc29e4htCFK7nZ4UOHDpmXcvMngognfEBDE0ZOnoRuaYJYmvhNJJAIRxHtC6O/vx+9augP9yEaDcPnSyAU8qOuPoQa9TeRiCEei6L77Bn09vTowNafCCEYqpf2hqV4VQpeEdEhakxNd1rNs9fISP0+BKVp41AQgUAAAWmCWI2OR6KIhcOI9ocRlsfu6UW3ur+/tgZjxo5Hc30zes+eR8PIkQiNHo24upfu8TVHfmd55ZVXzEuV1TpjGo6qg+7qq682h1vw+FE5sNVlhwOjddmtuGbfzuQBKdenPb6+oAO0OKmTQdbB7CEJXr/538/hU59Q+80heBUy/k8XhPGN5ef09Lkdxd69RzFnfmZTtOmuv2Mpph45qqYukW6qttTgtQurnO57YB2WlFolWeLyFMUMXqXideCCVwlSs5sUNgaXvllnX4e52I0dxQbsBZOK5av09i9suBmbjph3JSIiIiIiIiIiogvX9ntwdUYAtf2e1diHqbjljlTzsK3LvoRbpu7DatuX9dvvkSzhGtxqbyO3wPmVrPU6XDv1KB5f7xAatC7Drdfsw7595vVcMuaz6A6jWtYeTBrLnbF+btRjf+mWqdi30Sls224Er5aparslmxiWasxrsDJ5vZiAshidWPfA48AtXxqQJo0XrTGynlQOpYbVakdJSG4flxzyh8+FHpNl7VsJVtV+WTktR5bTuc4WvAq1v2Xdpl6L68rc1iWHrwcOFJZGBOQh4iGgoRFN06ci3FiPWG0ITSOaURP3IdzTj76+PvRF+9Dbcx59vecR6e9DIh6FT8pe1d9wXy/OnT2Nnu6zaGpowKim0Yj2xRBKBNH73hnE+qOo8flRV1OH2toa9Yhx9Kt5Sagaj8XhU7f5JXT1+QA1y0QkpoPXcG8fIn1qGnU9EouhV42LBwKorWvQfdBGpQnjMaMRqK1FWKpkpYy2AIVum/IsgjrusOe5QoMsmd7+zDeuT73lcZcThTkU3Ya3R7/CKMCKm3vwh++Pmtdy+3BbVFfI5tO1czeOzrnVOYjTFmP+nKPYtHG3eb1KZi/Dl3XF6xBshlYqYc3gtdpNDWeTauXCA83Z181Fl3rRzXpGyzo5hbiynnNWZo9Xg3sfrrlC4fRh610zzfsQERERERERERERZdqOnWkBZiuuu3YqjmYVYXXiuT1HMfXa69QUuWTOr3RGkLbRIZhrxbIvSXXjeuw0x+SSPp9FmC9VjTvT106We/3jhayfOb+jjyOVCUvGkZ6TPG0FfVIRmQwZJQSUCkzruoSHxmSe61yHjfs8CsELZmwHezeW3ij0mCxj30qVr24yWu2XB/aYIwv0alfphXc2JYevv/vd73D27FnzWg4JaS04gIQ/iNqLJsA/dgQiQZ+uUPVFjSGeiCOmhnB/rxr60N/fg7CuglWX+2ScXO9FKBTQzQifP9uN7jPdOPbmuzhz8gxOHX8Px996G8ePH0dfTzcaGxsQj4Zxvvss+sL9iMSiOoSNq8eKhiM6lO3p7kHf+R7096jH6O7D2TPngGAQzSNHIKaWLRqJqkX3o3bEKEQDfsQCAd13bL7ayd7e3oKrgsuyaD6uyTpRXYaWqUdwyOF5sGjNSnWUps6SRtWr/dcKmScKc7Cl/lKebT/hpAb5RYd64j9uXZYfgFihrjk8vcz9iVCCyy6J4f+Z12deSxe83Dng+9P5ffp+Ob36HHYfmYq5bj9rWDwPc47sxo5XzesOpG9Re2D2aGYhrVSBulVaujCqbTfhWyVkl+nL4/C4bsujx+e5b16L8ag00ayW/TMOwatetmeWIWu2ZriZte2UzO3reH9PtGLhtV3Y6bTNdaVxZoirhlV7jZDZ4bbsit9tuFtXK3fiKzdmTr8aak66iWb7+CVf3aanZZPDRERERERERERElK0VM6aZFzXJDIAjDqFB56EjwNQWNUUumfNTWmdgGo6iK8d35Fl0ZatTkCY3GVWQGwsJ+DLno5fFWWHrZwZ8aVWvnVh3k5WRSG5ytIgiuMrZLin4NfPVEleHVLxKt5LeF9kVeEwWvG/NsNyeQekq7hKbf76sBVPhnLMVo+TwNR6P46WXXjKvuZNa0YA8it+PYHMzgqPGIBIIoS8cQyLmhy+WQH9fH7rPn0U43K+bC+7t7TGqYHt61AykieKo0ehvIoEjXYexbNld+Id/WINXfvs7vPX6Ubz75htY8/BD+M/X/Qn+5Z/+Gd1nziLoD6hl9KE/EkE0GkU0JkNYV9X29fUg3KP+9vQi0tuPuLpdhlhfWIezvWrw1TegdtwE+JpGoi8aUSuQQFxWKI8f/ehHOrytLHUwqTNM1olKDsajXcg65y1ag5VYjXuSPxtZhDuu3YMHijzytt9jC2WzBjkJyQ8/MsrPraHM9rEz3Ti3HwGXSmRf84fNS+lkerlfbp34ysa9+lcT2YFeKz5/6xzsdaqE1IwKxlVqWycDs5s3oWVVrqrHQhgvcEf3POfyuG5acJtanvk7U+Hdqr1TsXRzASGqhJ/Sd6m1HsXcN0m2h/RpuherbnTbZsWQPlLV9p22CZ+xL9eRpXjipTW43pwqN1mHjPD2pc1Y6nQWlyaHj+yqeqWxES6vRItT37iL18ApkCYiIiIiIiIiIiIymuQFjlrJaI4AyzANM3J9dZ05vxJlV5earCZ/VxfYf2fmfDoPwaVRQ7XquddckyI37INDJqxJUdu0xx9IhXgD0uywSVdk5tlf+ZjLX0iDp5IHpbXI65VCj8ly920ppKnileqIKPB4zKXk8FX85Cc/MS+5k0rRmPpfDD70x324RG01X91o1I2YgL4I4Av6EQoAQZ+aKJrQzQBHwmHE4jF1NaoHCXobGxrUwvrw3rH38JE//Ag+8IH34/ixd3Dq3Xdw7I2jmPexj+K2zyzRFbHvvHUMjU2j0TBqFCJqDcOIIhFIIJ4IqwXqRyLSqx6jF9FIBHH1mLFYHA31dRhVU4v+M+dQM2IELv6930Ng7Di1herQGKhHnXr0kC9/qLpzZyGF8WWSE96R1bgHa9LTfEnkjxzKCDklqEVa29mty+aj6wHvwlDpjPoF3bF0JX4F4exjH1T7sgQF3W/bLuydthR3ZoZcEsZN2+tcCanMvutBLEVGheeBdfjCJqMEvvTqzJloUeeSrqJ/aqHO9HtuTquSfHa5VFTmqOy1SGVnRqVqwffVJOSUUFP6NPWmqeTr167EHKmgzQhyn10uzQbPwaq1+VJJpwpTa7gRX8lMhw88h93TVmaFnVmVt/YhR7PDxuASEtuaMTbC8tXoWvpgWtCtH3f+Lla9EhERERERERERkYNW3XzvVGRWkbpUqeZtXtVlfroy0GoJ0xxytXxpVatm9alqzn/f6sJCPsf5vIoutRLXzM9OEy+T8so8dIjnVNAm5PGmPZ5exJbW7HDmUMFmh0Xnc9hzdCquLaczUnP5d86X/fb0gPQhayjkmCx035qVyiUWABr5lnkcP96CjWr7eBE6lxW+fu9739PBaC722kSfxKehGoweNw4jRo1F0+gxiKpx/lAQ/f0SjCb0/BLqrwyW+vp61ARDCKlhxMiR+Oi8j+MTiz+Jtj/4EBpGj8T4SRNx9cc+ghs//Wf42LxrEWyoh7++FqPGjcVYNTQ0NiBUE4I/qFZXLZA8hgyBQAA+aVJYPUYoFEK4P4JRarni/gASNTUI1jeo6X3wJdQgCyIBcQ4yz927q9AXqNUJ8Pad2Gcrm18036EaVh946Sl957p7Siu3zmAdlI/rn3M49Berh8o8gadMyH3cBT+wT/1vrHkt5aIxufehYRu+teko5sxPT92k/09sWu8SJEoTtVMdq1MPHOoCps3FwtLT1xIdxe6s5hAOosvt5yJ5Gfed2lJIv6NHsXevnCbn4Layqn4t0teumqtj9W8nduxRjzVnXu7qV7d+WvXgVNErYe1qYFV6YPrs8szgtpghPYhOBrlfAr5gTnP3NqtieCqW3qGOQXO5b+u6eRD0mUtERERERERERESDzyKs0ZWXR/H4LeVX7eWcn27S1R46rsY+XVG5xrFJ3NbrrnWserWaG7YXjuXiPJ9OrNsozfGuTPXLqkh2sfIa80o+WQVtQoLha7HHXsSWLH6TbZORg+TsdtFh+jxDIZWp5TBaOX0A+JI8ntN+U+uf0e9t2iAbV21zx9v04HwsFMeDfVuAznU32Y7lnZgvy+9BN5plha/Hjh3Dj3/8Y/OaC59ucVjzq38JBDFq3ESEfX5E1FDX1IxoQv1tbEJcmvZNJBCLR5FISCQa13281tXVora2Roeol1x8CZqam3Vg2jxqJGZcdinGTZwAfyCAhJp26owWjJs0EYlgAKG6OjQ2NaGhrh41NTVqHrV6Oh2oBvwIBIP6us+vhtoGSWDROHIUArV1enkCEr4Kv0SvEsDqCNaVNMP83nvvmdeqQTq7vga36gNP2iZ3L49PI50NZz0ZMkvkrSHzSZJ60j1+7Z4cv/KQoXK/9Hj9mPuhm+g9AF/9bAQv/9esAPbNE7n3oeXAc7txNC3MW4w7l8IhzLQY1alTl27OCPXUINWQeThWU2b0ZdpSdHsCXTjk0tZvYQGqktbvq0vzvC661t8I6QJVtkl5zS4rs6ejRf1xq/7VAXc+Tv20ygIqe1c5VL5qEsS3FB4gy/bKW4GbkgxyzWre2Xc9o7dzy0Y17uZN6hhciZc3t+AxNU12n7FERERERERERER0wZOmUvX3+xKUFtHPpa5gdVD0/LbjHt0toZVV2C3CHbcYRUtps1m0Rs0bRQTFLvMREgbf8jigBivX0NnF6n1wrWo1uVbHLroDt0xNVfdmh6H7sNrKQdTj5o5BZPvYc5P8gxeVl/mZFaO3dOHWrLDRvM1h2fQg23bfaufb9FDiDwAyj8ky9m1pzGN56i34UplVhWWFr+Jf//VfzUsufOo/eRRfAgF1QfptbR4/ESPGT0DYH4C/rh4xtRgyJNTEsUQccRl0FBtDjVSsBnyIRqWJ4Bjq6+owfuxYNNc3oEbdx6fGxfsj6D59Bg01dfDFpW9YoCYYRDwSMSJTnw9+6XNWh63qbyioK119fnWbDOpybzSOnnACb584if44UDdiJBCqUVsooBZeBkOu6G7z5s3mpUqQX0fICS/d9vXqwLv2OrRK2+T7dhZ2QGf9MkUGOTnaThjJIfUkWbRGDu4vAQ+o8XlPKJX1o1+pfeMi+rs/SQaw/vGfNscafrbf/X5pDqzDY3ttVZuL52HO3o0uAV3K3lVmmJY1uIV7BsdqymTzusVUnHrDCAFfxMu3dtn6V5Xmfc0JCiTrZQWwg62vUr2OZr+2uZrylSBenmPJIDxXBW2eZoedQ2ijr2C5/cu431weNe5LS80XmhbMqHrVNBEREREREREREQ16Umj1uNEP6i1XuwWlU9FiNZ+Z5QjS6l0Kmp8TKRST77DTH6h12a2QPlXTm0FuxTJpP1gtV1rTxWrQFY1WRaUtEHSej420FmrPNW5aB0iTwo5VrSmvSru2TpIZihSYGU3kShPF5fZ9OyjJtiuxyd7SFXFMlrhvS+d8LBer7PD1ueeew4kTJ8xr2eJxs5lX9dfvCyAR8yGBAML+IN4+cxYnzvWgtmkk+qMJxKFuk6aHzeA1of9FEYtEdP+sfp8f9bV16H3vHE50vYFjh46i99gp+M72InrqPLp+cwDh0+fRGKxFIBJHtK8f8VhMV9NKk8AxdTmm/kozx4GaEBIBtVhqCySCIUQQxJhJl8Bf14iaphE6FJbUOOGT9FiWS90vR/T61ltv4Qc/+IF5zVvX6dBT+lSVgDSDOvA2HlEngJXT8HhWb9XeMkrRbSfctM6lnQZplsCc1mPP7K5R+9OlCeHoezqAjb2+CvG31RPRJNM/vavA8FV5dufeZF+t18+fg71unb3aFF+dWohOfGXjXmDOrQ5N41aCVPlOxdFNN9sC4NIZfbKqxV/1IkoOYA8chtS2um3f2TOkLrYEaUGpU9PDijz2tBYko2+nClo9yHoexaabnW4zhrTq1WSI+yDwgO12XW28GXP33IxVe4/i6BHpP9elr1giIiIiIiIiIiK6MEmFqqSVUoHoFp7pfkKBaQ7fq2b1d1rI/IpiVqs+vj6jaMy9qlIKGpMVlcllcJtPblLVmt1No4NpMzKqPm1ar8O12ANpEFPmdySZCtpaEZWw2hxLBSjmmHRR8L4dQGWHr/39/XjsscfMa9mk6lWi1KBPkk4ffIFa+GvqMe3yD+CDf/hxzP69KxDxBdWShBAMhnTQKSFpPC7hawy9vd3oPn9Wh6+n3nsPL/30Bfx8z4/Q+bP/wMEXf4lf7/2puvxzdP7kZbz+6wP46fd24qf/9/t499UuXQ17+r2TiITDiEWiiEajuqlho9nhgK6ADYRC6qFr0Bf1oXHMBFzS2oYxl0yBr6YOCTXNu+8cwxNPfBvtd7Tjjxf+MX7/938fV1xxBRYvXow777wT3/72t3Hy5Ek1zRN6uT0lJdZTb0HLTjnxuJVpt+qQP/cvBSrE7Jw58wSZGirX7PCrbwbx3V115jUH0fcQf/vr5hWDTC/3K9i29diEuVi4eBlum7MXubPXbdipKzzvqExIJssiIdyX0psirgi3Jn5nX4e5+lgrlvSdagWw6QHnQfllkT3YNEn/uukvWOb2tVegJpn97br2x2vIbNr5CStgToajLtXJUvV8pAsHzaturl8rgen9ah6L8ag8Rr7mh5MhrvG4mdXGRlA7FV0bpXp4Dla5hcNERERERERERER0wVl0h1mhmrON2k48t+eo/l41PepqxXXynaqtGd/C5udGukWU3MwWm0lrnbmqVQtVynxal+HWArpp7Dykm5yEW7Qi2+TIRgmB7d0+OjQjXJXK0csgrSSnAuChqvBj0lGB+7Z0xrFcbrhbdvgqnnzySZw+fdq8lkmqE80KRemUVZrw9QeRqK1Fk/TfOnmKrjqtqW/UQahuGjjoQzwRQzQWQTwWxfnus/jtb/dj+/bt+PlLL+PNV7vw7uGjOHH0TfQcO4kzbx/DaTW8e+go3njlNfzipy9i29Nbse3/PIvf/fa3OHPyFPr6+nQ4KpW10vSwL6hWPaCWQ12WJo9rGpoRrGvSIbAM7x5/D1/84krMn/8J/N3f/h327t2Hrq4u9PT04Pz58zh48CB2796N1atX4+Mf/zg2bdpkrKOXzNJ293Od9L/6OK7dc4tuBnjaysp3xDyYPLS5AT/5TWFh6s/2B/X0xenEjj3A0lVLgTzBnnh2/SYcxRysyuirVSoZy+7zVC2LDjCxFE84hXC6itKj6sgDz2G3BKW32tdjMR7dbDWDWwpZ/tXYq+awdHNq+Q98daMap7aZPahU20uC0UzPLlf3n6bWP2P7Sui5dNpePJanT9TMpp0/syn3LwOSYeiqFmx6IFcFsBG2rsJqMzDdhrtl/l23GvfPPB7sbE0YP3HtbqOJZ4dqY73sq7rUtsszPyIiIiIiIiIiIroAGEVZeYMqpXPdRt2H5eO28GDRmsehxuCBZKBZ+Pxaly1Degxhdpl4NH1+0rRwsdWq2QqYz6I1eNreP6dU8D5+C46sLqDf0e07IX3VznfKVdR8pRBYV2i2zsA0124fZf3NlkDNKtmKMEPoQV7wWZDCjkmloH0rOZna/ln91uYj93sa6V27po7lchua9SR8lUCyo6PDvOYkYeavEr76EEcAEfXQ0vyw9KsarG9EMFgLn9+vg1FpXliaCY5E+nHmzGkdeu7dswdHu44gEYvj4smXYPbll+PSyy7DxEkXYfTo0Zhx2aV43/vfjw/9/u9h0pRLEKirUbMO6UeUsLS3r08WQDdBrCtf1WNJk8KyWNFYAnWNIxGoqdfB8PO79+KPP7kYT3/3mYKqWWWacDhsXqsSOcjUk7ll49W4SQ5G3e71amClOsiqlcAOYLPDIhrz4bP/0Iwnv1+bat46g4z/zvM1+Ku1zXr6Yhnh4FHsLuSMqSsZzYDQDNT0MH9XenOzJZMA0xbC2R/jS8AXrrwnb0BcGDMoTVuPedhZQp+v6SSUtAJYqwliNe7mTThqb/5XKj9lnL6PndzfCqCt5TJCzys8W/eUA1+90QxqnStik+Gs3jZquuXppdHJ+29sMZY3oxJWV+JuXoouq5/gzNB1tlRcG/0JaNvuUdOZ65+vqpaIiIiIiIiIiIiGvam3PO7wvbwM9lBJKjVXY5/Vl6oaVk57HLc4VGsWNr9rU03u6mElpj1+S3r156I7cMvUo9hTbhJZyHy234ONLbblfrwFG3MWtdkZ/Xtek5m+Sv6yElit5vMAvqSbFk59UZvJVglbwQrYRUY5pksAPNQUeEyWtW/zkeavHwC+ZM5bDw7Hcol8s2bNck6tihQIBPCv//qvUPMzxxik/1ZJXv3SuWrcp+NeycD6dfwaRp26/cgvf4F3X/kNRtVE1KQRxBNRJOL9up/VQDyBeDiGWG8c77z5LiLdEYysa8akcRNRG6xBLBpDjQS4NSFEfT6E/T70xSOoa27EmMnj1GPF0N3djbg/gLr6OvhCIfjU5Zg0bwyfboq4P1GHcVMux4hxE7Dpye/gyw89rMNfy9Xvi+CPPxzWfyeNNcLYt98L4IXfhvDvPw3hhd8V3o9oeSR1n4+dkrHqJ77zLzdalz2Nx6/dk32gSmfZ83fiascj05y3a/PGGeTk8yXggZwHofxyQE9URMfcpbnskhhumtePj30wjIvGJPDGcR9+tr9G9/FaVFPDNOxJ6LlqjlyS/lkzg9VWfP6ZzWjZeBXudmlm2rq/NFlcTKguYe0TLRuzQtp0xuMvNZt3LvYxiIiIiIiIiIiIiAaW5AKP45Yjq12yiEJ5NZ88dDXltdhzi5VjyOPegUM3pWclOncpqNrsqJrOmNeiNS/o6tmSSBPQVv6StYwlkHzo1i7H0L1oObMmEp6Fr0L6QpW+T32+VIVhQvf4agtf1X9RdTHsi8KfiKLOl0DP22/h53t+gGbfOQT8ajyiOoRFIoaAL4AaXwhBXw0iPVGcfu8MomE1Xv0LBYJALI662no9awl160aOQE1TAxpGNqO2oQb94R7EEtJ7rFS7+hCsrQX8ATW9DxF1p3BcLV+wGdPedzX2/Pin+Nxdf5MMXlsuiuJ/3tqNq9+Xu/r1hd8G8LcbG9H1DkM+IiIiIiIiIiIiIiK6QEkwt3JaMoAsmVfzKYBrQdugUKUQmjzlafgqvvjFL+KWW24xr9lYj+Izmv6VgFb6dA1ICNrXi8O/+TmOdf4M40bUInr+JJpqA+jt6UZNXQN8gTqJThGLxpGIRBFXf8+dOa9u75XSWjVPCXUDGDlmFEaNG4fapiYEQkEEApLNxnTA6lO3h0IBBNWk/lAIZ3ujSNQ142R3BOOnzkLNyLH45Cf/k66SFVe0hvH15efQ1KDuUIDzPQl8bm0zXu6sVhUsERERERERERERERERlUtXqbo0xzyQButyUW6eh6+hUAhPPfUU2trazDHZEmb4av/bc/pd/McPtiDRcxJj6/1I9J9HXagGEbV0Uucq1aqSsQbUtImoD5FIBLFIVFfTSqVqTW0dahsbUNtQD38wBAT9ukPbhE/NwB+ELxBUo3xqXFzPq0/N43REXasdiVm/dzX+/uE1+O53v6uXTypen1x9Fs0N+mrBzvUAn1o5ghWwRERERERERERERERERBcgySc9JaHo3/zN3+DcuXPmmGyZwauEpw0jRmF66/sQC9SiN6bmk/AjoqYN1TXosDQcjqCvrx/9/f06UG1oaMDYCeMx4ZJJmDT5YkyYdBFGjh6lpq9FIuBX06h5qyEQDKGmrg41NbXw+/1qVgH9eL1qXuLiSy7B6fPd2LJli74uy/OlO7pdg9fg5dv04ETuI/eVeRARERERERERERERERHRhcXz8FUcPXoUf/3Xf62DWDcSgMogAayEoj6fH5NaZqJhxFj0hBMI1TcDgRo1PohQqAb19fVoaKjToWtDcxOaR45AU3MzGqTaVQ2NI9RlNb6+sRF1cr2pCQ1NDahX09fW1+lmiKWFYglxe3p6cb63G3V1DRhz0UX4wfd/gFjM6Nf1I20RfGimex+vvuYP68GN3FfmQUREREREREREREREREQXloqEr+KnP/0p/vt//+86YM0klaFG4OrToaf8Vf+Dv65JDY1AIIRz3X2Ixn3oC0eQ8AVQV1eHxoZGHabK/cPxGHr7+3C+pwd9/f3o6e1FfziMOBIIhkII1dboile5HE8A4f6InubMufM4e75bzadJh7JSVbt77z5zyYCFHw6bl0rnxTyIiIiIiIiIiIiIiIiIaGipWPgqvve972HlypVZAayErdY4K4CVRUn4g+jtjyBQ24D+WEJdDuvwNRKNIxqLIybVsokEotEozp45g/feew8nTpzA2bNnceLke/pvOBKGT81NGv6NWfPo68fZ8+d08NofiWDEqFG6iWLpBxbRCF5//XVZFO0jbVHzUum8mAcRERERERERERERERERDS0VDV/Fd77zHdx9991ZTRAHAgH916qAlcTUpy43NjbrkLWxsRG9vX26WvXsuXPqbz96e/px8uQpPb5PKl37+hHuV+PV5YDPrwPdfjWd3Kevpxe9fVIZ241TZ87g9Lmz6novQjU1GDFyJLrV7REJcwMhHDt2XC+LuGiMe5PDaULjzAvZCp4HEREREREREREREREREQ0bFQ9fhVTA/sVf/AXOnTunr0uzwZZks8Pw4dypU+r/MUTDYd2360UXXaRvP3X6FN56522cOnNKXY+ju7sbPee7Ee7vQzQSQaSvD8fefgenTp5U48/j/JmzeO/ECbyt7vPm22/jjbfeQl9/BGPHT8DoseN0eDty5CgE/H7dF6zx+IZwnu5aE92/1H+Ds/81ZwA7ZCxagxfWLDKvEBFVweI1eHntYvOKzexl2PrMMsw2r1aFLMtLa3C9eTXT7LuecV5WIiIiIiIiIiIiIiIHvlmzZqWS0AqbMmUKvvKVr6CtrS0ZwEq1qlx+5cB+PPHYN/Gx33sfJo2oQTDWixqf9OsawfmeXpw5dQrd584gFgkjEAe6z3fr+/t9AV31Kn23RuIxxH0+1NTVo66pESPGjMKocePRNGIkQrX1aroE6kIhBGtrEQvW4u1T/dix92fY97Nf4tChQ3p+//bwKcy4OMcmCY5F8PKt8NVfjkRvJ6IH/gSInDBvNLx+zI8/vmeUea1UrVj29OO4Zap51dVRPH7LTVjXaV7V9/sS8IB9XA4Svs7fiavv2W6OICLy1vVrX8SqOeaVTEc24TMbW/CE6wR7serKe/CseU0HtJuXIu+p0eboppux5Ks5TogSwM7fhSuWbzNHGPRyY3XWeCIiIiIiIiIiIiIiN1UNX0UoFMJ9992Hz3zmM7rJYdHV1YV7Pv/X+NHz/46nN/9vTGoO4fx7byGIBKLSNaw/gEQ8hr7uHvScP4uTb7+LUyelCjaGoC+omyv2+YOI+RKobWjApEsmY9LUyRg7cSL8tTXo6Q0j7gMa62oRi0Z1s8Mnz/fi3XNR3HTzHZh62eU4ftwIUL90xzn8l2vylL9KADt7K3wNzgHs/9kXwgPrm81r1bAIa16Yj51X34PtF3z42orr77oO86+dixZzjOg6shs71z+HZw8UslGk2m0N7rTPwEXX+nvwlQPqwuxlePQOtzt04VvL10Emc52uaxd2Pnew4OXLYs1XzedbX91mPJZN0euTRrbpHWqbtti2aRe69jg/VqHGXzwZV8yZj5kf+D2MHjcBJ4+/i1d/80u8vHcnjr/1hjlVPq34/DObsXSaeVXsrV5YljNUtFRpeQZkWSS0VA+6d9VVuLuY2bqEnTpYVaevL9xoPl+cuE3jMk+pXP0y7k8LX2XcE0uLiW9tqnh8FW6Az3tO553Zi9Vt89SFLrUM69QyGKOT1O2fV7fPnWY7q+zZiG89p+bjtPPt5071eHerx8vlerUu8/XkLo/voGLn/QzJZcu1HlVYXyIiIiIiIiIiIqqMqoevlt///d/H3/7t3+LSS2fhqe9uwd/c9Vfw9b6Hx772iK58bQrFEYjH0B+NIyLJqbSQnEggEY0ifL4bZ8+exbkz59DX26fnF6qpQ31DPcZNugiTJl+CESNHIRZQqxbwIxoL6OaKEY/Ahz74gglE/DV463Qc/7X9XtQ2jlHzMSppP/r+MNbfd15fzskWwMa67kP82GPmDcBfPtyEn/ymxrxWJglHV15jXsm0D6t14JonfM05jzz2ra5YMPvySy+alwp3xZVXmZeyzV68Bl9eNce9Ik4q7HKFOjYFBVlKMnQyQyhntsq9nNOJo9i76X7cnatKz4k1X5d1LHp9TLm36VFsuvlGh7A2N38ggD/+8/+Kj1/3x7h88kRcPGYkmutqcVY9l988eQadbx7Dj3+wA//+L5sQjYTNezmQEG7zUqiFyArWMsO2ahlMlZJVWRbzuCs8fF2MR1+6FV0lHDdJst/LDF/T6OOoBY/Zq2uTJNx/UJ1Py1jeDMPyvJf1GLKfV0JmlV113Koe50H1OO7ht2OlsvVYWp5zj3luMB6h8PNUxc77dmnL5jKNqML6EhERERERERERUWUMWPgqAoEAPn3zUrz77lk8891vI9b9Jh772j9g0ogQamK9CCIO+GsQQQDxuA+JhA9ISCgbRywcRk93D/p6++FT//yBIBpHNGPs+PEYOW4MamvrEPOHEZNeZKM1iEaiiEW6gfh51DUGEA7U4ti5AP7k08sQbBqn5tmnmz+W4dsrz+JDM2PmUuYQHAv/mEWIH9tkjgB+eVCt0+oRaf3IlsW1MtUeuJZY+arm/fSt0/QXtkePbMRNVa5+lRAiV6iQKdf09kq2o3tX4wvr7dVTrZi9+DrcOR+ulUjZ1H2SHU/OxMIvrdTVlXtX3YxvvWqOVg5YFWW2EGLVA8/hoDHW1JlaFpfpZl52HebfuhRzrArOYqvrbPN1DlqKXB8l5zad3Yrrr7sOeK64CisJXm/5mxW4ds4cXD1zCkLqeqZILIYXDr6OPfv24fFHv4y4uu5kMAWdlgsufC1GWkCk2I/VzNuSHMIp12nduTc7nBEGq+fR1hnrk9PKNpy/0wqWW/H5tddhR8HnEGfD9byXOu/YqtEdzmOpgNP4ocm31La27nf9XQ9ilbU+mfvMeixTrqak7dtFHqfwMLJC530ba9mOHjmKqdPUX7f1qMr6EhERERERERERUSUY7f4OEGk2+PF/3ogfPLcVjQ21OoyNRSPwST+w6jYJXXy+hG6e2B+QwQfp3tWnLtc01GPk6NEYO3Ecxk2cgNHjRmPCRRMxYrTR12pEzScqIW08gYSEuOr/EohKs8dqDoiGo4hEYnoZ/AkJd4ywVKZ5YH0jzvXoq7lF30sLXuU+X/zfjd4FrxW2aP407NlzBDiyB3umzccic/xAK7oybPYyfNn84lm+JF+yPLPZyk4c2LYOdxcVmsgX59Zg/0rdPt75i/CDttuNwbwhg326Z2X5brwKn9l01Lhxzko8uti46A378hSwPvm2qZr22a8W37Tlf/rUf9XB68dmtzgGr0LGy+3XXnONrpB11ooZ04CjXelxBw1SEiRtnqvONXI8XaXDxM/smYsn1HP95bXGgd616WY93hrkuXB003rnqkAJ+2zT6mHVXiPsyxiffE5lkhDXHrzK9Vu78AUdcEmAaA9eJTR8EFhfXvCay1A/71muX2sGr7KPMoN/dRxYwasEhFLhn1o2OafciM/IflSmLr0D1+tLGY6o40L9cb0di3GnbJcje7FXHW/Fsa9nJc77rVh4reyzo9i9sUuPmXrtdUjmvU4qur5ERERERERERERUCQMavlri8Tj8AaB53FRs/tfv45cHuwB1PRAMIuGT0DShlzTui0Oi1Ggihpi67Av5UVtfh8YRDaipq4M/FFC3RdHb14fu/j71N4z+/ogOYiWAlVDUrx4o3B/HrzvfxFe+9STqm0aoGYeRSEhAa+h6J4i/XtuE8z2FFwXLtHKfw28HzTEeumYlXnjhhYxhJUpsSNjQugy3YiPWHZIrh7BuI3DrslZ901Bz/R1mFdze1bh7W+5gYLA78NUbYWYPmDPf0/S1KMVt0zbcu6MTnTvuVZfcTbhkMj76R5/UFa+FkOk+/olP6vu5yRtcmKTaTsItY1iTFmLo255Zlj0fHc696E0Ibs4rtQzpg/UYVVkWU65toklgmrxdhmfw+cwF09M4jM+07R5cceWNWHLjVdg5/0VsvatVHev3Y5OEsTu3qQN/HXa2bE6un67ka9noWulXNh0GyzE+FUs3m+uXbMo4Vbk5Z1Vq/efvdKomLOzYr4RBed5Lhqt7scqhAv/6+WYl596NrpWZB7at18eF2vq4TR0nWY7sxm7zdsdT5OJ5RnPHe9T7CAmBB5PFd5jB9G7s2LZLbSVl2lwszPX8GcrrS0REREREREREdIEaFOFrks+HXx7owpc3PIs7vvwk1j/7Y/xsfxfO9xj9uoq4+heJRdHb34/zfT3oi/Qj5gPqmur0bb39feiL9etpYnE1JiGBrRof7seP/uM3+Pv1W/End63F3X+3Hi+o625e7qzBn68cqZsRzkemkWnlPp7bfg+uvvpql0GaGS7NojuuxZ71tntvX489194xaKpfC7cYye/zJcQZBp7daaWv81wqnSqtMtv0imsWYPbkia4Vr5lkusunXKTvl60TX9mottO0pXjCrJx0ZlQwrppmq5S8uQu35bxPBRxYhyW2akxjWG2ELzo801NVSQHbRMJe6T/Vtryr9kpQWUDQ6iQZPj+DGetvxu5rN6vLm7H0SGrdn11+M7pufRFbnzGC14o2l6zDYGvdN+FoWliojq0b7eutdtEqCY1LXPeKGITnPdnHOnmVqlanfkytZVa3r8+1zJ3YsceoVp7aMlP/TXfYeO4r2T9QUcf2rcYy7H7usDFqELHC570b5Vjbhm/pquypmHtdrh8+Dd31JSIiIiIiIiIiulANrvDV5uTZHmz70X48+E/fw39d+b9x76PfRsd3f4Bn9/4C//HKUbxx7CSOnTqLM909OmiVutWTZ8/hyNvH0Nn1Jn76ywP4zr//EF/ueAq3r/hfWHzH/XjgK4/j3/f9HKfPdhsPkodUwEr/rX/5cBO+s7MGrx/zIxJNQLLg19706XFym0wj03pP+nLNrHhNH9aUkpYuWoOVUvWaVizVqatfV5Y0wwE0ezpa9IWj6LL1ySdmL16M6zOGimcn05biy888owMka3jUqXorl1e71NoMoBzb1Nl+PLKwFa0LH1GX3F32gQ/hkjEjzWuFuVhNL/dzJAGaJGNzVurKRKmmzDYTLdOssMMkQWglg70CXb92JeZI6Ff1ZSlgmzhso2eXS1icLyhykQyfb8RXcB3m6uq/zGZpJfS8GbulnnPa9NzPVQndzYrU5CDBn3ks2IdUX5gOdAVsCx6TfmXV5fRjyAipraaHn12/Gy1Z617Yse+5wXbew1x82eyHd+8ql/5Gk8vchUMuVa+WA4eMJnldjwOranTOremB+Gzz2MpRWVsRBZ33rfB5L6y8/MBzu/W53r1JYdNgW18iIiIiIiIiIiLKadCGr3bxRAKH3jyGXS/+Ft/+9x9jzebv4Qtffwb3fOU7uOPL/4wl//1R/PFfP4g/u+9R3LH6m7j7oQ1YuW4z/vdT/47nf/wfOPzGO4jFUs0KF0OaKv7Jb2rwtxub8Mf3jMLv3zoWV//lGPyXFaP1OLmtsn287sNqq9J19T51dXWy8lWuFm8R1qwEVt/jUDO7/R6sxsrSAt0yZIYlbuNyy/xCvxULb12JVavsw625m3f0yNRpU9MGI3AYivKHJMUYM34iRtTXmdcK01xfq+/nSlcw3qybKZ26VKopM6sTD6JL3TZnlUOzugNJN8/qViFYaaVuE+N+ztWIBbCqX3XYqfYZHALUZ67DDun72OoP1qkJZscq4tyDU/PFutnlVcAqCV7NcckQTC/rg8ADErwaIaw0UzwnX0hWhLT1VoPbuNwGz3nP0jKjhHC+aM5Vo1ZTzANRDZz3vG82D4y9u1LP+QPP5W5SOGnwrS8RERERERERERG5GxLhK3mlFcue1smra3PF2+9ZDax8GtXs/jUzKHEbl1sLZqQFDJ3YsXE1Vq2SYRP26i+4q0Cq+TKWveh+Ky9r0V+oD7zMbVqek8ffxdneVBPihTjb04cT77xtXnNjNRNrVGZKH56pvlHlNhk/B6t0oDUYmo5djEdXzcHRTfcPULVaEdtEKkOTYaDRD2opdNCpQ1fZTxJ2pjftmxzMpn+l72O5vurIUjyRGcDqYDQ7OJbHyOwTV/qOfdmpielk36TWNlCDNLO8CrjtrmV4NK0/WCOE1cunbs8dkhUubb3V4DYut0Fy3sNufMHsrFp+BJG7b+L855XZM/L/ZCW7atSsLFXn4G9VO4vMe963mgcGjnYdxOzZreYAHDKbWM7Xx/egWl8iIiIiIiIiIiLKieHroHcNVlrNDK+8Rl1dmWxyWK4WToLXx3HtnlvgVPSash333LIH1z5e3QC2ZAcOw2igcipaLtMXkg5s24Zn9fCcOc3QYPULmFYhVU05tmk5Xv31L/HmyTPmtcK8feosDv3u1+a1fLbhbrMKds6t9sBOxksgkgpnHQO5KtHNDR/ZhC8UG8p7Kvc20aGlBJK3dtlCJWPbluLZ5XL/XZifDHILG6TJXyuQTZIfJySfG4vxqBnEGn3GpgfJB756PzZNW5kdBtr7fLUGaQJZjf8C5gKr7LfZmtFVt1e3f14Xg/G8p7bNZ3R1plRVOwT6ySrP/OeVmS3Gz0+O7nkufd/bHViHx4y2eHUgPvuuW9WlPPcZKFbzwIqE009sTg2rrGax8/XxPZTWl4iIiIiIiIiI6ALH8HXQ86LZ4VTwelN6R6/OOtfhpiETwG7DTqPgKiNwG6JmL8NtOns9ik3rByrlsW1TD5vrfWnv8+h8411EYjFzTG4y3e9efwcv7XneHFOITuyQSrJpLchuHNcIHHVAlNl3YrVYzQ0/kBEoDhinbbIYdy6diqObbs4OPstiBb4Zg1RMOlQOyuAUdMqPE5ybWe3EVx7Yjbmb7cesGrdxr0tVoTQnbIWEqRD3wFc3AlnnEnW7UxPIA2ZwnvekYtkogJVAP/PcYT43lZzLbDsH7n4u9+vVs+ZGmDN/GRZeqxvgxWMD+qMGZ7Ovm6u2iKKOc6Mq2T5YFcpzcFue/sGHyvoSERERERERERFd6Bi+Dgvbcc/V7k0JL1rzOFo2Xm0Er4vWJCtnnapp9SCdviYD2DWochewRXt2uVTvKdMcmigdMlpx/V1rsFU3d4oBbJLW8Oz6TbqJSwkEVqlter3TRpVmM82LhTj+1hv40Q++hxcOvm6OyU2mk+nlfkU70oWD5sVMBw6l1wMe7HIOa5OBiVekudw8zQ1XbVkypG2T2dN1f5VdhzJCHVv1XrlyNQecu2loaWp1L1y7uNT9wZp9uMq85DG23YNVcAjbF9+BpUc2OuyLbfjWnrm4M23xtuHujS34cp5wrJoG63kvuVzmucO+XBJs51zm2YvNJp+VvU77JsO29UY19pylRpPYA9VaQE6tZlAqq7TOrEq2D+vU8Wacbadee13u/Tgk1peIiIiIiIiIiIgYvl4Att9zdaqp4e33JCtnnapp9WBNLAFsjlC3UqTirTjbcPfNZlgoX+q/9CK2PrMGj66V4RlsLaOvyqKpx//yM+oxM4asZk/TppMmVqX5yTlm8Hpz8f3EWhwff03xVZ4SYq3am9ymq6RZWjWv1DZV1zc/iIXmfNvu3YHOzg4sMa66+r9P/jP27N2LHx/oQjQWN8emk/E/Urfv2bdPT+9Mqhaz+/iUgPPLS6fqkMPIbRar5U2fSDfrfGQ3dpjBjhEIzcEq+3SL1+AJqzlQT6jl/dJSTM3T3HB1liXPNjGbh02vTrSFYmXQfb+qY+eJpcCmnQezgqbZr67HFau6zL5WnfpwvRUtm9YXFDhJv6HSv6Z4dv1utFxnD06lD05glTQ17EBXv+pqWdtxtu0ePNbyYNZzqdBjP58hfd5Lk7Fcacea+zLr8+DmleroV6QS2mXfpEtV0w5oawGO513zvC8hv94P7j8asPpzxbS5yXOqs0GyvkRERERERERERJQTw9dBz6s+Xwcne/+O+YacJCy8eTU27TW+mJ46bQ7mzJFhqhEYHTmKvavuTwZulTR1mnrMjMFJ6nZ1RS3f0b2r8Zmbryo9eDXZH9cYpI6xBNvuSdumUPNK36a7ccjcnrNmtKBrwzpsNa66isdiePz/ewhPf+cp/NuLv8Hv3ngXZ3r6dOB6qrsXv339XT1+69PfxRNfeURP76wTX7nxKuycn3GcbG7BY2nN1W7D3TvnpU2zCqszmtM1A6E5K1PTSV+nVkjkgdl3PWgEMGbgZF8eGbYmKyorvyz5t4ls29XYm7as87CzjD5frRBz1Zy9WKWbFL4RX9nWmdWk8YED6thXx53R7PBqIK3vUKkg7Cq4mVXpNzRZvXvgOXS1pKoKr1+7GS0bzQpZR2ob6fBvJlqmHUXXq8bYZ5dvRMsd6Ylwoce+nX3b5xtyGkTnvTTmjzc0dSynheguy6zPg+oo37tJnQeLaO46WU1r+0HFQMg+7xrn/YL68Lb1hzs37UcC2QbL+hIREREREREREZE736xZsxLmZRp0FmHNC/Ox06X6dNGaFzB/p1S1ynQrkcxijz6OW25ah4IiCmmGeP7OVLXrcGFrElcHOlS22WqbWtK36RJ0dLbj0A0L8ch+c1QBJlwyGVfMWYCZH/g9jBg9FqeOH8Oh3/1a9/FaUlPDNDRJ88ASMJfUv6yEum4VnhL05gpY00lV7iozJ0uzdzWucK3CLO3Yr5gheN5LnVc61TKbF4mIiIiIiIiIiIiGMIavdAFqxezFM7P61Uw5iIMOVXkDYwgs65IOdLYfwg0LH8FgyJ+IqmZIHftD6bxXCRf6+hMREREREREREVG1MHylC9BiPPrMrXBvjLcLj91YeMVcZQ3+ZZU+L9diORYOitI/ouoZWsf+UDrvVcKFvv5ERERERERERERULQxfiYiIiIiIiIiIiIiIiIg84Df/EhERERERERERERERERFRGRi+EhERERERERERERERERF5gOErEREREREREREREREREZEHGL4SEREREREREREREREREXmA4SsRERERERERERERERERkQcYvhIRERERERERERERERERecCXUMzLRERERERERERERERERERUIoavRERERERERERERERERERF+PrXv25eSsfwlYiIiIiIiIiIiIiIiIioCBK+fu5znzOvpbDPVyIiIiIiIiIiIiIiIiIiDzB8JSIiIiIiIiIiIiIiIiLyAMNXIiIiIiIiIiIiIiIiIiIPMHwlIiIiIiIiIiIiIiIiIvIAw1ciIiIiIiIiIiIiIiIiIg8wfCUiIiIiIiIiIiIiIiIi8gDDVyIiIiIiIiIiIiIiIiIiDzB8JSIiIiIiIiIiIiIiIiLyAMNXIiIiIiIiIiIiIiIiIiIPMHwlIiIiIiIiIiIiIiIiIvIAw1ciIiIiIiIiIiIiIiIiIg8wfCUiIiIiIiIiIiIiIiIi8gDDVyIiIiIiIiIiIiIiIiIiDzB8JSIiIiIiIiIiIiIiIiLyAMNXIiIiIiIiIiIiIiIiIiIPMHwlIiIiIiIiIiIiIiIiIvIAw1ciIiIiIiIiIiIiIiIiIg8wfCUiIiIiIiIiIiIiIiIi8gDDVyIiIiIiIiIiIiIiIiIiDzB8JSIiIiIiIiIiIiIiIiLyAMNXIiIiIiIiIiIiIiIiIiIPMHwlIiIiIiIiIiIiIiIiIvKAL6GYl4mIiIiIiIiIiIiIiIiIKI+vf/3r5qV0rHwlIiIiIiIiIiIiIiIiIvIAK1+JiIiIiIiIiIiIiIiIiIogla+f+9znzGsprHwlIiIiIiIiIiIiIiIiIvIAw1ciIiIiIiIiIiIiIiIiIg9cUOHrZZddBp/PlxweeeQR85bByVreavjhD3+Ytm1k+Ku/+ivz1tLJNs6cr9NgOXToUNZtsmx29v2YjzXdJz/5SXNMun/5l39JTmMNhRwXsm3s93GbPxEREREREREREREREV04LpjwVQIyIV3cWsP69euzgr0LkQSJ11xzDfbt25e2fUS5oeK9996bNs/Pfvazevxrr72WNl7Ivrj00kv1NNZ4mU6WzU7GWSQ8dWMPUV999VXzUoqs26c+9amsZdm5c2fO4Fnu981vfjPtfjNmzBj0YT4RERERERERERERERFVli8hydEwJwGdhGwSLn784x83xw5NUvUpw/e+9z1zTHmqvW0k1LSCSwks7azb8h2SEqQvXLgwGag6BavC2lZO00lQet999zkuRy5SmSsB8cMPP6yD5aFCAmNZf7dtRURERERERERERERERIX7+te/js997nPmtZSCKl+tpmPzGazTHT161LxEmb74xS/qIHMwhNISbBbjjjvu0OGpU/WyjJPbZP2cSPAqFbbFBK/irbfeMi8NT1YzzPkMl+mIiIiIiIiIiIiIiIi8lDN8tUJNCapyGezTffSjH9V//9t/+2/6by4S2sk87YMTK9yxBqmwtFi3yV87a7w9LJSKRBnsj2vdT8Zb87XWVQLFHTt2pE1r9T/qFF7KeLcmdK2Acv78+eaYgWUtR64mf+1uuukm/ffb3/62/msn46RC1SlUtrbvnDlz9N9iWPOTYy5fWOzUf63TfXIdc9Y87PvZfruwj5fBvv2sY06OGdnX1jRyPOViTZdvHYfLdERERERERERERERERF5wDF8zQ80nn3zSsSnYwT6dRQIzqXK0wie5vxMJqqR/UWt+Msj95D728EbubzXVa0133XXXuc43HwnG5HGtef35n/+5eUuK1XeqBIpSqWqf9tOf/rSe5umnn9Z/LVbIaN2e6Y033tB/p06dqv8ONFlHWT9peli2uT2kdiJVq7ItZPpMMk4qY51YldCTJ0/Wf4slx4eQZZWA3Iksu9U8sbWv5LKMs6+X0zEn02UG0HK8CWsaizy+1VSzNch1a7nk+JBxsp3ksa1p3JpMtk8v5D6Zx78YLtMRERERERERERERERF5KmHz2c9+VlIdPVx66aXm2GyDfTo3Tz75ZPL+Mjz88MPmLQYZJ4+RKXO823QW63Hkr501ft++feaYRGLhwoVZ4yxyW+Z6ynUZn0nGZ07rdH87p+WpNGsfvvbaa+aYbPb97LR8Ms7aBk7bWvarjLMeI3PbZN5eCrmvzMMaMveJPJ7bfrKPd5vOYj2OffktbvvP7Thzmkc+Mg9rHWVw22bDZToiIiIiIiIiIiIiIqJCfO1rXzMvpUtWvkoFnlTMPWlW4L366qvmLekG+3S5WNVw+/bt09elctaqVrWqEZ2aor300kuTFXO5piuVzL/cPlcz+z+V5ZWKWrfqTzurAnaw+MY3vqH3k1SACqkMtVeL2sk+Ff/0T/+k/4r169frisd8/bmW03+rzFuWUQYh29qqNpVtL/vCqTlnaUbaOnZzTZfJaT/u3btX/808dqyKXi/2q8zbWk85TqXC28lwmY6IiIiIiIiIiIiIiKgcyfBVQqzPfvazunlTaZ7T3oep3WCfrhBWECMkqLOz5m8fJCCzWIFWqU3WVkpm/6cvvPCC/muNd2Ktg9UMbzEy+xmVwS0gLZU0jWsF5U79ulrkuJDwU8JMWQbZX7n697WaWfYqdJZjScJeaxksEu5nbiOZxmKFv+U2+5z5GBJWe0V+9GDNV7brc889Z96SbrhMR0REREREREREREREVI60Pl/tFYcSUFhhhQQXdoN9ukJJYCbzsbMqazOH733ve+YUhlzB3UAEs5n9n0olaL7qTwmhxc6dO/XfYlj7wj5Y8/OSNU97qJnJ3uetFdJKWO/m6quv1n+tylEvWNWr9mpaOU4zt5EMmVXbpYTfdk6PIUOubZCP/LhBnlvyYwQhzxOZZ+bxNFymIyIiIiIiIiIiIiIi8kJa+GqRikMJKCQ8EhJcSICRabBPl4+EYBJQCivkyxfIlRPceRn2OfniF7+o/0pTylJhmav602JVjXpdteoVK3TN1TSv7DtpSlYqTSV8to4LNxK8WUF1rlC3GF1dXfqvLIvMX5YnX6htHXOlhN/Cavray30nP2SQ55KElMItrBwu0xEREREREREREREREXnJMXy1ZIacbgb7dNIXpzSTayfXJZCxAksh85FAToIbO7m/NU7CGwksZTp76CWBp9V/rBUG2uctj2dVpZZDKvnsTdfa2UNIUUjlo1Swyn2c+lWVZbb6Ma0GCcsyt73VN6fs61z+/u//3ryUu6lli1XJLOueGcA6HS8W2ceyD+xkmTNDX1ke2U/WMWGR+drHyX1kOvt6y2W3x7eT/WvtOztZH9mWdnLcyvFeaNgszysZ8oWVw2U6IiIiIiIiIiIiIiIiTyQuEJdeeql08po2OHnyySezppNxmT772c+mTbNw4ULzlhT77TL9vn379GX5a5H7ybI5cbvNPl/7vMTDDz+cfLxiWPezD8XOoxDWdnvttdfMMSkyLnMZ3LZrMeNlG7pt48z9KINsi1yc7pO5H4S1v+2D07wzt719Wa1tkmuZZJ3t95fBiczXut3pmCYiIiIiIiIiIiIiIqLCfO1rXzMvpfPJ/0DDhlRNSjPM0ndtOX1+EhEREREREREREREREZGzr3/96/jc5z5nXkvJ2ewwDT3/9E//pP8yeCUiIiIiIiIiIiIiIiKqLoavw4j05yn9hy5cuNAcQ0RERERERERERERERETVwvB1GHnhhRf03//23/6b/ktERERERERERERERERE1cPwdRiRpoalC182OUxERERERERERERERERUfQxfiYiIiIiIiIiIiIiIiIg8wPCViIiIiIiIiIiIiIiIiMgDDF+JiIiIiIiIiIiIiIiIiDzA8JWIiIiIiIiIiIiIiIiIyAMMX4mIiIiIiIiIiIiIiIiIPMDwlYiIiIiIiIiIiIiIiIjIAwxfiYiIiIiIiIiIiIiIiIg8wPCViIiIiIiIiIiIiIiIiMgDDF+JiIiIiIiIiIiIiIiIiDzA8JWIiIiIiIiIiIiIiIiIyAMMX4mIiIiIiIiIiIiIiIiIPMDwlYiIiIiIiIiIiIiIiIjIAwxfiYiIiIiIiIiIiIiIiIg8wPCViIiIiIiIiIiIiIiIiMgDDF+JiIiIiIiIiIiIiIiIiDzA8JWIiIiIiIiIiIiIiIiIyAMMX4mIiIiIiIiIiIiIiIiIPMDwlYiIiIiIiIiIiIiIiIjIAwxfiYiIiIiIiIiIiIiIiIg8wPCViIiIiIiIiIiIiIiIiMgDDF+JiIiIiIiIiIiIiIiIiDzA8JWIiIiIiIiIiIiIiIiIyAMMX4mIiIiIiIiIiIiIiIiIPMDwlYiIiIiIiIiIiIiIiIj+//buN8ZuKs/zv2ufzqahAk8W2CxLBWlYWIGSCrCQIIGGVEh6Eb3QUwm0GGaIgEoQ2u6hE6g0w/TQQBc0sD8USAURLYNoKhlgQD0khDAKUhcwkIRWoYGlJSgWIYbVSEn4u/u0fv055e/Nt05sX9vXVakk75dk7OtrHx+fc+wK53uPjQYQfAUAAAAAAAAAAACABhB8BQAAAAAAAAAAAIAGEHwFAAAAAAAAAAAAgAYQfAUAAAAAAAAAAACABhB8BQAAAAAAAAAAAIAGEHwFAAAAAAAAAAAAgAYQfAUAAAAAAAAAAACABhB8BQAAAAAAAAAAAIAGEHwFAAAAAAAAAAAAgAYQfAUAAAAAAAAAAACABhB8BQAAAAAAAAAAAIAGEHwFAAAAAAAAAAAAgAYQfAUAAAAAAAAAAACABhB8BQAAAAAAAAAAAIAGEHwFAAAAAAAAAAAAgAYQfAUAAAAAAAAAAACABhB8BQAAAAAAAAAAAIAGEHwFAAAAAAAAAAAAgAY0Gnx94403kk8++ST9BAAAAAAAAAAAAADHj8OCr3Pnzk26urrST9n0vbbzNm/enCxZsiTp7e1N1xRbtGhRSEfT1q1b07XFVq5cWWof5WXZsmWtbZVXfdb6AwcOpFsBAAAAAAAAAAAAQHMOC75++eWX6VKxeLt//+//fZj39PSEeTv79u1Ll5JkzZo16VI+jardtm1b+ilJPvvss3TpEAVWFdS95ZZbkldffTUEgvv6+kKe9Fnrt2zZkm4NAAAAAAAAAAAAAM1p7LHDy5cvTyYmJpK9e/ema8oZGBgIgdx2o183btwY5to+iwKvGt2qoK6CruPj4yEvO3fuDPP9+/cnQ0NDybx589I9AAAAAAAAAAAAAKA5jb7ztY5rr702zJ966qkwz6L3yGrUq0axnn766enaqTSiVYFXjXJVwPWMM85Iv5l00kknJevWrQuPLgYAAAAAAAAAAACApjUWfH3vvffC+1WrBjcXL17ceiywgqxZ7FHBN9xwQ5hneeKJJ8L8F7/4RQi0AgAAAAAAAAAAAMBMaiz4+u2334b5V199FeZV3HTTTWGe9z7WTZs2Jd3d3bmBXQV+9Zhhufzyy8McAAAAAAAAAAAAAGZSbvBV70/Nm5p2zTXXhLmCrDG9C1bvhL3jjjvSNYezwK9G0DLqFQAAAAAAAAAAAMCRkBt81WOA86am6f2s/f39IciqYKv30EMPhbkFaIvMnz8/XQIAAAAAAAAAAACAmZUbfJ2YmMidpsP1118f5k899VSYyxtvvJHs27cvBGYVoG3nwIED6RIAAAAAAAAAAAAAzKzG3vnaqeXLl4fHBmtkrd7hKs8++2yY33rrrWHejgK1AAAAAAAAAAAAAHAkzJrgq9x0001hvnnz5uSTTz4J74BVQHbx4sVhfR7//Y4dO9IlAAAAAAAAAAAAAJg5syr4au911Xtft2zZEpZ/+tOfhnk7AwMDYX733XeHOQAAAAAAAAAAAADMpFkVfNV7XfV+1y+//DK57777wjoLyLZz++23J93d3eHRwytXrgwjZz29D1ZBXY2qNRs2bEi6urqmrAMAAAAAAAAAAACAOmZV8FWuv/76dGlyNOtJJ52UfiqmwO3rr78eArDbtm0LjytetGhRsmzZsjA/+eSTk1WrVrXeJyvvvvtumH/99ddhDgAAAAAAAAAAAAB1HRZ8VfCyjHi7OXPmhPmJJ54Y5u1o/6xjLV++PARO5eabbw5z74QTTpgy984999ww8nVwcDDp7e0Ny6+++moyPj6e9PX1JcPDw8k999yTbn3IvHnz0iUAAAAAAAAAAAAAqKdr4g/S5eOKHkusIK+Csjt37kzXAgAAAAAAAAAAAECxxx57LFm7dm366ZBZ99jhmfKrX/0qjLx9/PHH0zUAAAAAAAAAAAAAUN9xGXzVqNdNmzaFwKveFQsAAAAAAAAAAAAAnToug68KuOppyytXrkzXAAAAAAAAAAAAAEBnjtvHDgMAAAAAAAAAAABAk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IvgIAAAAAAAAAAABAAwi+AgAAAAAAAAAAAEADCL4CAAAAAAAAAAAAQAM6Dr6uXLky6erqSt577710DdpRWS1atCiUm6YHHngg/WZmzJ07N0zTZfPmzeG8ND8eqD51vroWyjreyggAAAAAAAAAAOB4cFjwVUE5CwrapHUKLL3xxhvpVod89dVXYf7tt9+GOYodOHAgufTSS5N9+/Ylg4ODydDQUPL111+n386ML7/8MkzTxc5nps/rSLG2b9dCGcdbGQEAAAAAAAAAABwPDgu+WlCur6+vNcm2bduSJUuWJFu3bg2fUc8777wTynhgYCC59957k3Xr1oU5Zlad0aoAAAAAAAAAAABAkdzHDu/cubM1HTx4MAQLZc2aNWH0Jup5//33w/z0008PcxwZdUarAgAAAAAAAAAAAEVKv/P18ccfT3p6esKozQ8//DBdCwAAAAAAAAAAAACQ0sFXmT9/frpUzo4dO5Jly5a13h2r/R944IH026n0Plk9AtbeOau5Rtl+8skn6RaH6JGx2tbStXfSZtHxFi1a1NpWy8pXGfZoWqWhZeVfn3VOnkYCK6/2vSblR/sYnZ/Wr1+/PnzW3Lb125VJy1gZyIYNG8KyyqLs+YnOzY5VVD9SpT7zqD51flbPmpRm/DhrK6+set28eXP4TunE7LuifOl7PUJbXn311fBZU1yvylPW+RaN/Lb6s/Or0t6M6lrnbWlorjQZcQ4AAAAAAAAAADC7lQ6+KvCzZ8+esDxnzpwwL6Jg4IoVK5KPP/44GRwcTIaGhpLu7u4QdIyDXAqYKRi2b9++8HhjbXv++ecnmzZtSnp7e6cEnRS8u/TSS5Ndu3a10lWgSvvGFPiyYKe20/Yauat8lQka2qNpf/e734Vj6vHLegeuAnZG+TnzzDNbedVxdA7K33nnnReCiHLKKaeE7+wduprrs6bTTjstrCublrFH5iowd99994V9FKizRxu3Y+WjelF+xsfHw+esgGeV+syjIKRGT+v8lE8dU3lWea5atWpKMPWss84Kc71rOPbiiy+Gucol9vrrr4e5lXMWK1dRfqwebrjhhrBOVAbKk9qefS863+uuuy4sx1Q2Vn9qvzo3tUuVm9p4GSoj1bXOTXnQcZcuXRrSVNoEYAEAAAAAAAAAAGaxiYhWxav3798/MTAwENb39vamayf19fWF9aOjo+maibBs22pfr7+/P3w3MjKSrpkIaQ8NDaWfDsnaVtvF67LYdkrbU356enrCd+Pj4+nabHYemrLORez84/yMjY2F9TqWZ/nKOt+qadn2WfsUsX26u7un1JuOo3X6rpP6zDpH7WdpDw8Pp2snKf2s41ra27dvT9dM0jqblGejY2hdXE5Z7JxUhll0rvFx89qOpaVJ+/nvVC5ar/PzZVdURpr8eYnKTNvH7RkAAAAAAAAAAAAzb+PGjenSVLkjXzWa0aaTTz45jLzr7u5OnnzyyXSLfM8++2yY//znP09OOumksGxuvfXWMH/ppZfCXPQ+2XXr1qWfDlmwYEGYf/bZZ2HuZa3znnjiiTC/5557wtwoPzfddFNYfu2118K8HZ33zp07DzsXjVTVqM3e3t7DRouee+65rdGkWY8MjnWS1tDQ5OjfqjQqc/HixemnyeNYOq+88kqYS9X6zKKy1qhjncfNN9+crp2kPNhIVDuWaLSxvPnmm2Eu9ghfpSNvv/12mMs777wT5hop2qm9e/cmy5cvTz9N0rnr0cPyxRdfhLnX09MT9jvjjDPSNZMjaLVe5275y2NlpLJQXXhWZvHjmQEAAAAAAAAAADB75AZfFQi0SQFBPWr2o48+OiwolEUBKHn55ZfD4339ZME1e2Sup8CiHs9q2+7evTv95pBrrrlmyuNus96nqUezKlApW7ZsmXJ8n+7XX38d5u3oEbJx0FF+//vfh7kCZvExNOkxtGKPLy7SSVoXXXRRulSNDxKaSy65JMzffffdMJe69en99re/DfMf/OAHYR674oorwlxBaHP55ZeHuX/0sAViFbAX/2MA5U++//3vh3kT9Khnf75WD1ksMBuzYHC7x0H/8z//c5ir7P0xbRK1DwAAAAAAAAAAAMxS6QjYFq3KWJ1Lj23V9v5xsZZG0aRHyho9YtXSyZr8o1lFj3W1R9Jq0qNg/SNi/WNgi6b48bexdo+mtUfHtpv8I2SzHjcrddLKKvsyLK0sWeds2xdNvj6zzrFdXvPKWo/x1Xo7b33WZMv6zh7nq3agR/aW0a5u1Z7sEcNZkz+PdmlllUdRGRVNZc8PAAAAAAAAAAAA06fyY4c7oZGyMjo6qghf5uQfn7p69eowwnZoaCiMWLVt9DmLRmxqf22rbQ4ePJisWLGiNQr2rLPOCnPxx4yn+PG3VZ1zzjlh3tfXl5m+TWVGCzeZVic+//zzdOmQqvWZ5cQTTwzzDz74IMzLUtsQPV5Yo2L1qGQbSWrf6XG9GjWt9lDn8csxHedHP/pRaFcjIyPJ/v37W+ep+qnq008/TZeKLVy4MMzVpn3Z+kl5AgAAAAAAAAAAwOw0LcFXveNSvvnmmzAvoqCZAmoK8Om9r1mPws2jbbWPPYL26aefDnM9IliPJhY9gni6nHrqqWHexDGaTKusrGPZ44Evu+yyMJcq9ZnH3t+a9/5be8esBSCNPXpYjxfes2dPWLZHFF944YVhrjwreC9NPHLYv3tVwdysR05nyau7Xbt2hXm7x0PPmzcvzMs+DhsAAAAAAAAAAACzy7QEX6+66qowv/vuuzMDUnqPpr3bc86cOWGuUYt+Wy0/99xz6adyLEgoNgLyrrvuCvNYu5GaZWgUqo6p4HFWejqHrHfSZmkyrbIuuOCCKcFQ1cumTZvCst6ta6rUZx4Loir9+Px0Xvfdd19YvvHGG8PcKMBu5fLSSy+FdYsXLw5zKzOlZ21l+fLlYd6Otbusd7iecMIJYe7feysqKwsAZ1Ee9R5iX0Z6V6vatvJp+c7jyygrSK0yVlkbfZ47d26Y2pU/AAAAAAAAAAAApt+0BF8V+NSoQQWjzjzzzGTDhg0hCKX5/PnzkyVLliRffPFF2FbBNT3KVSMNFQy07bSfglYxBbc0WZpr1qxJVq1aFUa6/umf/mm6VZLcc889YTStAlk6pra17RWs0j5NeOGFF8KxlZ7yZcdRGZx88snJo48+mm7ZXpNptaNgoJx33nnJokWLwqR6kcHBwSkjkKvUZx6lp0f4is5P++kcNdcjo0Xf++Oa/v7+MN+2bVtr2egRxGo7ylv8XREL3KqNWV40iYKgqgeNprV6ULtRWRVRe1NwVnVl57Z+/frwXZm6szLS+ehYOqa1AdWP8vvWW2+lWyehzLWtpnblDwAAAAAAAAAAgBkwEenu7g5TWf39/RNKZmxsLF1zyMjIyERfX1/4XpPS1fbbt29Pt5i0f//+iYGBgfC9tuvp6QmfR0dHw+ehoaF0y4mw3Nvbe1iaWcdXuvH2lnbW9jFto32UfpHx8fGQptK24+iYg4ODIQ/e8PBw+F7zLFXSKir7IlZmcbnrOKqzPGXrs+gcVaeWb5+G1uexeshK09qIpjgf7ShdaxvKh29n+s7nU9vpezs3n1/Ln76L98s7tzJlZPWiSeUeb6u2om00aRkAAAAAAAAAAAAzY+PGjenSVF36TwIAAAAAAAAAAAAAKOWxxx5L1q5dm346ZFoeOwwAAAAAAAAAAAAAxxuCrwAAAAAAAAAAAADQAIKvAAAAAAAAAAAAANAAgq8AAAAAAAAAAAAA0ACCrwAAAAAAAAAAAADQAIKvAAAAAAAAAAAAANAAgq8AAAAAAAAAAAAA0ACCrwAAAAAAAAAAAADQAIKvAAAAAAAAAAAAANAAgq8AAAAAAAAAAAAA0ACCrwAAAAAAAAAAAADQAIKvAAAAAAAAAAAAANAAgq8AAAAAAAAAAAAA0ICOgq9dXV2lJ7Ns2bLwef78+cmBAwfStfm2bt3aSuONN95I107KWx974IEHwnY6tmfr8yZtr+Pn0XFXrlyZzJ07N2yv+Zo1a5JPPvkk3WIqbRsfw09x/trRcXS8RYsWtdJQHnSconxbHWRNSkvlUqZuAAAAAAAAAAAAABzSUfC1r69vytTT0xPWax5/FxsfH0+2bNmSfsqmAKCCi9Otu7v7sPxq3auvvpqsWrUqMw8Kbi5ZsiTZtm1bcv7554d9dN6bNm1Kent7k/feey/d8pCvvvoqzONj2bRw4cLwfRkKkNrxVJaWhtYpT8q3AqlZ+TBZ9bRv375k/fr1IUBLABYAAAAAAAAAAAAor6Pg686dO6dMN910U1ivefxdFgX58kaJysMPP5x8+eWX6afpo+BpnN+DBw8mw8PD4XsFOOMgpgVkR0dHW/vs3bs3GRkZCXlevXp1+D6LP46f7r333nSLYhs2bAhlpwCx8qi8WhrKg4KxCgArkHr11VfnBlGz6snve9ddd6VbAgAAAAAAAAAAAGinUvBVgVIF/jZv3pyuqW9gYCDM80a26lj33XdfGI15pNx8880hEClvv/12mIseN6wAq/K2ePHidO0kPfJXFLyM7dmzp+Pz0bFVLvKb3/wm5DF2xhlnhECq8q5g6vPPP59+0572feSRR8Kyf3Sx6onHEQMAAAAAAAAAAAD5SgVfFfBT8E2PqbXAX6euvfbaEIjUo32z3tlqQdmf/exnYX6knHTSSWH+9ddfh7nMmTMnzIsCkRqVGmtiFO+zzz4b5gpex4FfT/n+y7/8y7D84osvhnlZlq7y60f8arTtmWeeGeqmaMQyAAAAAAAAAAAAcDwqDL5q5KPe/al3m2pZAT+NpMwabVnH0NBQmN9www1hbnbs2BGCsu0CjDPBAqwXXXRRmMu5557bejSvHx0qNirYRvY2zY73/e9/P8yLXH755eGxyFbOdXz77bdh/vjjj4e0NLJXj2FWIF7LWYFzAAAAAAAAAAAA4Hh0WPBVwUYFEOfPn5+sWrUq+fjjj8N7RT/66KMQgNNjaZuiIKYFdPVIW3PbbbeFkaO33357uubI0COWFWDNerzwk08+GQKQKqNFixaFILXmt9xyS9Lf35/85Cc/SbecZCNFFy5cGM5V5dvV1RUmBTEVcG5Hadjo2QsuuCDMi2j0q/Ktcq7Cj3b1561ltQHVlwK6u3btCoF5nXcchAYAAAAAAAAAAACON1OCrwq66rGyCiAqODgyMhKCrxrpao/fbdo999wTAq2//OUvQ3BRgUkF9+64445GA71F9C5WBU/9NHfu3PCIZQWHf/3rX6dbHnLaaaclS5cuDcsK0GqkruY6lwULFhxWXl988UWYa9ToE088EcpXQV1N27ZtS1asWBGCvUUsDZmu+lAdrF69Oiznjd5Vvaxbty4E5NVGFBBWEFrnxEhYAAAAAAAAAAAAHK+mBF/t3aB6vOzOnTvDiMzppiDi/fffHwJ4epeogrAaUarg3kzRsRU89ZPW6dHCl1xyyWGBTo0OVoBWgdTBwcEQLJ6YmAhzBWT1blR7Z6055ZRTwmhRjRxVQFvla9PY2FgI2irYO5PBSwWB46Czyl5BZJ27AuNFVC5qIzofBWEPHjyYvPXWW+m3AAAAAAAAAAAAwPFlSvBVIxoVdLzyyivDKEx7VO5008haBfss6Pnoo4+m38wMjT5V8NRPCkArmKoRnfEjgbds2RIClBoZeu+997ZG6Gqux+8qPQVm/X42WjQroG2PX5ZXXnklzLPMmTMnXTr0LtpO6PzioLPqQUFiBYXLjK7VI4oVaFY5qe7mzZuXfgMAAAAAAAAAAAAcX6YEXzUqU6MwFSDUKEyNglRgbSZGYz7yyCNhrsDl8uXLw3I7yt900ftNn3nmmbCsd9B6u3fvDvNrr702zGM/+MEPwvzNN98M8zIuvvjiMH/33XfDPIuCtBohK++8806YF7HHOPv36XoKssZB571794YgcbvAqwLLGil73nnnhYCzjQCeidHSAAAAAAAAAAAAwGw0JfgqCvApCKtAmgJqCqwtWbIkWbRoUVieLgp2KvinEZdl6R2j8sEHH4R5nk8//TTMFy5cGOZlKQisYKfKQiM8yzrhhBPCXPsZ5bWrqys3kP3NN9+kS8UsuPnyyy+HeRG9y1aPQLZgcac02lZtQOeid9TqccMK4Ordr34EMAAAAAAAAAAAAHA8Oiz4ahRIU0BNgbXh4eHwSFk9WlaBt/gxvEeKjTB98MEHwzyLBQzFRpdWoXe4yttvvx3mcuKJJ4Z5XtD3t7/9bZgvWLAgzEWP85XPP/88zGO2z2WXXRbmeWy0rR5r3G5E8s9+9rMwt3LqxObNm5MzzzwztAEFpPWOVwVfy4ySBQAAAAAAAAAAAI4HucFXo8Ca3smqQJsCbgq8vf/+++m3R9Y111zTGpmqEaHxe1D12F09GleBYwU/yz7O2Lv00kvD/PXXXw9zuf7668P8zjvvPGxErAK9CoyK8mduvfXWMNdjnON9FETN2ieLRghrRLLo3bwKisbsvFUuOu92aZbx4osvJueff354F64eTczjhQEAAAAAAAAAAICp2gZfPQXcFHi78cYb0zVHlgLDCooqALtt27bk5JNPDo9HVuBRc70Tdt++fWH+5JNPpntVc/bZZ4f5rl27wlwUxB0YGAhBXb3z1B9TI0NFgWr/GF4FTfP20WOdJd4nj0Yk63G/SuuWW25J5s6dG9Ly5/3qq6+GwKvKpYmRqb/+9a/DI6F1HgAAAAAAAAAAAAAOVyn4ambTY2b1jlo9GlmjQRVsVLBVgUfN+/r6wiOT33nnnbBdHRZsVKDTj1jVe3G3b9+e9Pf3t46pkab6rNGhWSNDtY++q7JPHj3uV/sqoGvBVktP561ArgLlTb2HlUcLAwAAAAAAAAAAAMW6Jv4gXQYAAAAAAAAAAAAAtPHYY48la9euTT8dUmvkKwAAAAAAAAAAAABgKoKvAAAAAAAAAAAAANAAgq8AAAAAAAAAAAAA0ACCrwAAAAAAAAAAAADQAIKvAAAAAAAAAAAAANAAgq8AAAAAAAAAAAAA0ICuiT8IC11dYQUAAAAAAAAAAAAAHOvSMGktjz32WLJ27dr00yGMfAUAAAAAAAAAAACABhw28rWTCC+AmcM1CwAAAAAAAAAAUF0TMRZGvgIAAAAAAAAAAADANCL4CgAAAAAAAAAAAAANIPgKAAAAAAAAAAAAAA0g+AoAAAAAAAAAAAAADSD4CgAAAAAAAAAAAAANIPgKAAAAAAAAAAAAAA0g+AoAAAAAAAAAAAAADSD4CgAAAAAAAAAAAAANIPgKAAAAAAAAAAAAAA0g+AoAAAAAAAAAAAAADSD4CgAAAAAAAAAAAAANIPiKGbFjx45k2bJlyZo1a5IDBw6ka6fasGFDMn/+/OSBBx5I1wAAAAAAAAAAAABHD4KvRyEFMhctWhSCle+991669hAFOfW9Ap1N6OrqCpPS7cSePXuSTZs2hXTiAOzWrVuT++67LxkfH0/XAAAAAAAAAAAAAEcXgq9HoTfffDPZt29fCFbOmTMnXXvIq6++Gr4/ePBguubIW758efKb3/wmLCtvd911V1gWBZNXrVoVlnt7e5N169aFZTRr5cqVIYjelDrp6ccC2qfp0c1l8vLJJ5+EHyRodLW21aT93njjjXSLzpQ9N22n486dOzdsr7nypfwVUbr6UYXlXcv60UInNm/ePCVNy0vWjzqMyqtq/vVji6bzr319ejZqPm9kvei7Om2g07zruDpmpz9gqVP2EtezlrWuSJ1jNX2N1W03+l5lbfuUaRt1816nbAEAAAAAAAAc4yZSWnQfM42MjEz09/dPdHd3t7bX1NvbOzEwMDAxOjqabjl7DA0NtfKp5Xb8eWVNfX19E4ODgxPj4+PpHpOqHqcTPT094Tiax8bGxlr5GB4eTtcWs+07neLzztqmzjQb29VsYOVThq7PKtu3Uyc9tU27dzR5jZTJiz921qRruhNlz2379u2HHdsm7a90sugem7WPJp1/Vfv37y9MU5Pu9zGty9pWk/KftU+7Y+meqm2q8HUeTzpWVnq6Zxe1gay8S6dl789f51rXdJR9XlnVOVbT11i7vOe1m6K2ob+ZWddYnbzXLVsAAAAAAAAAs4P15XVi48aN6dJUrVSLDqKOSQv4tZsUnJ1NHY5Vg6L+XIomddT6Ttyqx6lLgUg7TlZw1ecjDhDnse3rBAZ8fqqcd939cIiVXxFdi3EwohN101N9++BGE3VeNi/azv9gQQFQoyCS5avsjxViZc9N+bDtdJ+061P3EQviKH/azrNrWvta0EvbKL92zKp51/HteD6QprzoPmDH83nRd3Y8bWP3P21jedTk74tix1J6yqelqXKz89Y2ZfnAoE9P9Wr1nHUvs/PSMXVsUR34NhTnvdOyV/o+QFfnHit1yz4r/6JlrdN32sarcyx91/Q1Vqfd+HrxP5LS3Ld5S0vq5r1O2QIAAAAAAACYPdSHp6kTtYOv6mC1jkRN6vT0nZP6Xh2MfptOR5E1yXcWl+kItW2zOsl1rtaBm7fNdFGHsx03a7K8+I7+vClm6+ucj89XVvkqTfu+zmRBEhzOyiiPDwL4AFNdddLzQQ+1TWufnQYlquRF2+o7bW/BGM/asL6vouq52b0o6zrzASDl12i9nWfWtWDBJu1blvKtfTT5AJrxefEBJytnnWcWOz8fEPPH8n83jD+/rLxksTLP+jujNOx4Stv4OvbrjaWpczSdlL32tfJQGpZ+3b8ZdcpeLP++TRnVh+XPq3Ospq+xuu3G2m3ev0Hs75Fv13XzbsevUrYAAAAAAAAAZg/14WnqRF7wte07X1evXp18+eWXYbm3tzfZuXNneH+nOffcc8M7Ol9//fV0TRLeRdruHXRHI52r3iXX09MTPuvdqkfiPIeGhtQawuQpL3qfqoyMjLS20dTX1xfWzzS1F58Pm0ZHR9Mtpp5PPC1evDjdClXo/Yb2Hl2V9bXXXhuW66qbnq6Vbdu2JQMDA6EtnHTSSek39VXNy0svvRTmysMZZ5wRlj21Md3bdJ+r8m7Kquf23HPPhfkNN9wQ5p72/elPfxqWLb/yzjvvhHzpWFnXws0335x0d3cn4+Pjhe9p9b799ttwvpp0T4spLzfddFNY/vrrr8Nc7D2bP//5z8M8duONN4a5ysS89tprYa5j+b8bRsdS+Ynup2V89dVXYX7FFVeEuefP58MPP0yXkuSVV14Jc73DM6ue7rzzzjD37xLtpOyvu+66ZP369eG8dU9esGBB+k09dcpefw/OP//8kEedd+x73/temNvfd1PnWE1fY3XajepAdSE/+clPwjx22223hfmLL74Y5lIn73XLFgAAAAAAAMDxoTD4umPHjlYwT52MRQEGdXoPDg6GTsr+/v7QwX+smj9/frqUJF988UW6dORt2bIlzFVXl19+eVguwwKd0tXVVWlasmRJCIBpfwXhMXvoevzoo48yA0d11ElPgSu1j8cffzz33lFHlbxYsO6EE04I8yyWt7feeivMy6h6bnYvVdAmy9lnnx3mu3btCnN5//33w3zp0qVhnsXSe/vtt8O8Hd2r9+7dG6Y8PuhqLJBkgaWYLwMLUlk6ReVj9bJ79+4wb+fEE08Mcwuoev7HMGeddVa6lCTvvvtumF9yySVhHrOgrc7RAqmdlL3yODw8HMo4K6BXVZ2y13H1N/vgwYPhc+yDDz4Ic7Vjr86xmr7G6rQb/2+OvP3snHygv07e65YtAAAAAAAAgONDYfD15ZdfTpcmR4UUdYTKvffeGzqbNXImHlGlTlqNEPGBu0WLFiUbNmzIHD2qdWvWrEnmzp3b2l5BT62zDl8v3l5zfc4KInTq448/DnMFOS34o9F4lk8tZ63T+dpnTSqPrHOpQ539mzZtCst33HFHbl0VjYBVZ7IFYv1ktG/W91kBsGXLlk0513hS0NZohFjWNn5CNQqE63psd82WVTc9XStNBX9N0+cmBw4cSJfKq3JufmRkXjDOgoV+tNzvfve7MD/99NPDPMvChQvDvKl7ncrC7iUXXXRRmJdRpwylar5vvfXWMNcTFjZv3tw6ru6l+uGPKDjv28eePXvC/LTTTgvzLPrhkFgQr5Oy199AjYydKVXKXn8r9ffolltuCZ8fffTRMC+rbj3X3S9Pnfb+zTffpEvVlM17p2ULAAAAAAAA4NhQGHz1I7AuvvjidKk6BUEVbPOPKRSNBFMHukaH+Mc9alnrFADwgQg9UlDrlJbSNApsqOPcb6+5Piv9pug4Cpjaow0V5CxLAUYb+WZUHjqXJgKwqiudswLCn3766ZTyKUv5UIBbgdNO85QVyFW5aaSgHjNsQRJPwV3Vu+pS22h72xeo6wc/+EGYP/HEE5lBFLX1+NpsWpknAWQFk21UXpGiEXt1rF27NtxLdD364LJdsxs3bgzzmI289+zHHhpp6APQRvVhgd6ylKft27eH+4SCXCeffHL4gYbupbpn6N6h4Lzn/47kicv/SJR9njplH1NgUOWke6z+HulvhcoxfqxvnWM1fY3VaTdqFzonUVA+S1YwtIm8ly1bAAAAAAAAAMeHwuCrBRkl7xGE7ejRxb6TVI9itECcD8ApWKgOTE0+cKgRt/v37w+TOtWN0lTa4t9Lq+2z0q9Knb426tKm8847rxVA1siqqo/ZtXNR3myUleR1clehx18qfT0CVWWjyZejjfxqR3nzj2SsS/UYj/RVx7QCJOqcVjmqg9qXw2WXXZb84he/CHnQNtreRhEDdV1zzTWhraldxT8s0A89rrzyyvRTc6NHO5UVBGqnibzrnmHXpu4lno041ff6EYqucVFedZ3qmjU2wlBPQLBA2qWXXjrlRzaqB9WH3bvLnrO2e/PNN0N9xpSWRqxa3uqoMzpyuttNnbKPxY/IV1npHaj2d9TUOVbT11jddmM/iFJQXnm173QOOhf/t82+ayLvZcsWAAAAAAAAwPGhMPjajg+sxZM6MeXpp58Oc1Hg1R7FqEdvqmPTAqTqrHzttdfCZJ2q+s7ep6hJwU6lYZS2RsXYqBQF6+65556wbOlr3XRQcNN3CLejjmQ7F+Xt5z//efpNuRFWnjq/rZw9pa8OZgtSK482AsjKtEiV9122o3PUI6ht5KofvaqAqzq69b48jZD1lH/VpwVlzznnnDAH6tI198wzz4QAi9qWfgBg18+qVavCPUI/ppCZGsnYTjwKs4xO8q5AlH4soXuGyun1118/7PHIGllo9xYF5lRuKkONPNU9ST/+sICZ/7GO7kvaVvcglbeVvY1UtXt62XPWyFw90UCPltfoQru/jI2Nhb8ZypvuH3UDsHV+aDTd7aZu2XtKIy4rlf+KFSumjC6tc6zpuMbqtBv9G8HyprzaqGilo3MZGRkJ34nt10Tey5YtAAAAAAAAgONDYfBVnZGm7rvS/KOLNcIkdv3116dLSfLiiy+GTn/jvzM+DXWmvv322+mnyWBt3IGvdXWoA9c6U21SZ6p1SluHcNmRLRrV6dUdSSzKg+UpizqgLXh55513TglC6N2wefyonlNOOSVdOiRrNLBN8QhVfY63Merg9h36xoLK+k7biDqv/b44dmnEmbWVePKj0erQ4z/VphQ4svua2pmuJf0AYLqDZ3PmzEmX8vkRfKboejXxaDz98CWrDO0HMTEFh/SdXZe6B8fv7Da6t+jR4f6+qnuNgloKlmVREPedd94JZa30RXWgutAxzz777LCuDOVV933tr78t/rGuyrP9oEf351/96lfpN1P/luWJy79O2ddRtt3XKfs8vqwkfkxvnWM1fY3VbTc6lvJpfwNF56Hz0Y97sjSZ93ZlCwAAAAAAAODYVxh8Xbp0abqUhMc8xnxgUpM6N2N+xGUcGJU4COlHgWYFKOM0fOd3Vgdpk0EVdQarU1odsubuu+9Ol2aXRx55JMxV/v7xwwsWLEiXDucD5VnvqMwKSNukcvH02X+vxy0bn44C2r6TXNtpvUYPab09phrolK5fBY404lpt6uOPPw7tVPeU3bt3h22ma6S1D2ZmBVnlww8/DHMfKLTrtSjI9+6774Z5nXudfjyix7oq8KTrTcGuvMCr0Sg/BZfsGtYIdwtq2WNdzzrrrDA3KmOVtcpc+6gOVBeqExtxv3DhwjAvYunrMevaN4v9aMf/6ETbS9GPiFQGYoHy6S77OuqUfRErK6UTq3Ospq+xuu1G+fRPXtB56HwsmO3/5pim815UtgAAAAAAAACObYXB16uuuipdmnyEbV7QoIgPJGTt7zvDNdLIjzbK6ij3aSjtefPmpZ+aGYVUxkUXXZQuHeqwn23U0awgp0bf5AUpPAUq/LkoIFOnvj2NUtMIWD3O9Mwzz0zXTr5/1t4Hq05wH6BXAEod5Xq/rtZfeOGF6Tc41qnNWrAknvTddFE7t2DSBRdcEObTwQI+erR6lg8++CDM/Y9eLNij0Z557H3Odq1opF5WGWq9p+tMI8t1nWnEn4JECjTVZU8B0HlWSee5554L84svvjjMO2U/2vH3LwvQvfzyy2Ees0fD6m+KBZ/rlH0dTbT7rLJX/eo+mzfiWfxjg8uqU8/TcY3VaTevvPJKmPtrrJ2svE9X2QIAAAAAAAA4NhQGXzV6xAIG6qBXR2NRQO7zzz9Plw7xnZzPP/98unTIo48+mi5NBvw0Gb3TNbZly5Z0aTJtP/JGneRx/qyDtkn+3ahWPrORgi3qJPYj2Xzg2LN32ilgq0CM6lsdzXXeV6c62LBhQ6jLTz/9NLzfVqOJjB7n+OSTT4bggta/8MIL6TdJ8uyzz4bHOSsfGoWnTm+N3K2TD0AULFKgf/78+emaqR5++OEwV5ubzkDJD3/4wzB/6qmnwtzTNfPggw+GZf+jF12DCghqhHjWo5f1SFNdq7qm2o1Y9VQmus5Eo8s14q8dXdMqRz+S3rOnANh5is7LHqGb9Q5W5UM/+tA5lgnKWUBUQc+8d7pu3LgxzO1RtXLFFVeEue6HWX/D7r///jC3kZ0yXWVfR52y199Gla3uoe3Kyv9Ap86xmr7G6rYb+1GP6jmmdPQjMrH2IHXyXrdsAQAAAAAAABwnJlJadB9bxsbGJrq7u1vfa3loaGhifHw8fK/5yMjIRF9fX2sbTYODg+H77du3T1k/PDwc1mu/gYGB1nqlq3Wa/PG0zf79+8OkfW29JqUt/ti9vb2tdPr7+6dsr3y3Y9sqzZjSVB58/ixNzcusM6Ojo63vso4V89v7tMqkobqw7XQOMdWffa/jiN/HpjL5LJKXjj83m9TupKenJ3xWHjGVlVUZvoybUDc91b32ia+HTrTLi+4d9r3uJ3YNaO7bubW5utqdm45n9w7dm3w+dN/SerX3mOVR+/rrwN8Pq1wfKg/LR5V68PdyHVvpiMrNzl35t/XGzk1zK2O7n1s+tFyWLyt/3krb3/PtXmZ8Puw75cP/HbI6MU2VvcpZ29a9h9Yte/tO5+zPTdv5c/Pf1TmWlm2fpq4xX19l240/J/v3gWhZedZ3aiNe3bzXKVsAAAAAAAAAs4f1/XVi48aN6dJUrVSLDqJOR+sIbTepg9N3eorv3M6a4o5tLWdt5yd1bhp1blpnbNFUJtCQtV/epDIx1rmuyY6Ttc74gFGZDnm/fdZkaWR19Fqns+YxX9ZxEEFpKd/qrFb6lk7RVBSIsDaktNRBrW1tnXV622fVpw9w0IF9OCubMtoFKMVvY8GpPGXSy2IBi/h66ESZvLS7p+S1W/u+TH7LnFtRPtTms4JTulaK7r+6dqpQ/rLSyZrsvmKK7uV5+de6ovtzXv7t+7g8/X0ib8qqz3b5yNqnqbK3Mo/Ls4o6ZR/nX8fXZOWQt1+dYzV9jdVpN+3qS99pm1idvNctWwAAAAAAAACzg/XtdSIv+Fr42GGjRyrqfYAjIyPhHaI97nGO0pc+qnb79u3Jxx9/nCxfvjz9ZpIeaTk6Ohr29Xp7e8PjbvX4Pv+4Ry2Pj4+HNLu7D70zVsfVOqV17733pmsnH+v30UcfTdlec33W1CTlQeerslCZHAlDQ0NqDWGKffvtt+HxiXp0pB7Vq8dlqizFP+JZ9GjHf/7nfw7npPPxdSAq13Xr1oVHOOoRxqpbO27eFKehR3Pa4yNVzyq7G264IbwDVo9fXb16dcif2oiOp+Po/ObOnZvccsstoR6VNx7diE6oXcb3ILUtfR4bGzus3U4Xn4/4XqXrI+vxtXrUqV0XumcaLevaKPPIYG/37t3pUnU6lo7p82H3Zd2Ds/KvdTo3f38W3Qv0N6Nq/v19IisfefXp86FtjepCdZK1T9Nl34k6ZR/nX4/J1aT7q/725u1X51hNX2N12o0/X1/HOg+ty3uvcZ281y1bAAAAAAAAAMe+rglFzLTQ1RVWpB8xyyiIumTJkrCszl4FRfMoqKp34z7xxBMhsKlOaAVe46A4jm7Tcc1aO+M+cIjKWYGZxYsXp2swUyj74wP1DAAAAAAAAGCmNRFjeeyxx5K1a9emnw4pNfIVR546pdUANBUFXkUjcrSNjVTNGo0MxBS0f/bZZ6eMGDveaeS2nHLKKWGOmUPZHx+oZwAAAAAAAADHGoKvAILPP/882bVrV/LCCy+ka45vCkY/+eST4fGrPPZ6ZlH2xwfqGQAAAAAAAMCxiMcOA0cprlkAAAAAAAAAAIDqeOwwAAAAAAAAAAAAAMxyBF8BAAAAAAAAAAAAoAEEXwEAAAAAAAAAAACgAQRfAQAAAAAAAAAAAKABBF8BAAAAAAAAAAAAoAEEXwEAAAAAAAAAAACgAQRfAQAAAAAAAAAAAKABBF8BAAAAAAAAAAAAoAFdE38QFrq6wgoAAAAAAAAAAAAAONalYdJaHnvssWTt2rXpp0MY+QoAAAAAAAAAAAAADThs5GsnEV4AM4drFgAAAAAAAAAAoLomYiyMfAUAAAAAAAAAAACAaZQ78vXtt98Oc6BTF154YbqEJjHyFQAAAAAAAAAAoDpGvgIAAAAAAAAAAADALEfwFQAAAAAAAAAAAAAaQPAVAAAAAAAAAAAAABpA8BUAAAAAAAAAAAAAGkDwFQAAAAAAAAAAAAAaQPAVAAAAAAAAAAAAABpA8BUAAAAAAAAAAAAAGkDwFQAAAAAAAAAAAAAaQPAVAAAAAAAAAAAAABpA8BW5vv766+S1115LrrnmmuSll15K1x7uL/7iL8L01ltvpWsAAAAAAAAAAACA4w/B1xk0PDyc/Pf//t+TZ555JgQ2Y//lv/yX8H1RoLOs9957L6SnScer44QTTkj+9V//NfmXf/mXZGhoKHnwwQfTbw7Rug8//DBMf/RHf5SuBQAAAAAAAAAAAI4/BF9n0J49e5J33nknBFcV2PQULBV9P5v86Ec/StauXRuW//7v/z6MhDUKJmud/Nmf/Vly7rnnhmUAAAAAAAAAAADgeFQYfPWjJ8tMdUdYarSnpWFByKx1edrlc+nSpa0RpfGI0yrH6YRGj2p0qFxwwQVh7v3v//2/06UkOfvss9OlfO3O+ZZbbkm3TJLHHnsscxub/Hlnpav9zV/91V+11v/t3/5tujYJy34fTTiyVJdr1qxJ5s6dm3R1dYW5PjfZzpWW0n7ggQfSNdm03cqVKw/LyyeffJJuUU18bpoWLVqUbN68Od0im/Kp7fw+W7duTb+tR/svW7asleb8+fPDcQ4cOJBucbg33nij0fLQsTZs2BCObflQ+jt27Ei3yKbvq+Zd3ymv8bF0Tp1QOfq6KZOXuu2qTjuoU1ZF6rSbmF1/morMlnpWvdRJcyavMd1DfNuw/VTWVSl/ddpanbzXPVZM5699Vd511annmSgrbWtpl5kAAAAAAACAurom/iAspB1N6cfk7bffDp2NPojXjkZIaqRkVQqA2ohPjabUCMqsdXmq5POss85KHnnkkdbI0yrH6YQC0xbEfPrpp5MzzzwzLBvLx6mnnpo8//zz6dp8/pzrlLvPT5XzrrPfhRdemC6hSfE166nDetWqVemnw42MjIQO606oDV566aXJl19+GR5LvW7duvSbqRT4WbFiRfppqu7u7uT111+vdN21O7fe3t5k586dyUknnZSumaSO/H379qWfphoYGEgef/zx9FN56uTftGlT+mmqnp6e5IUXXjjs3Iryr/JQPqrUja+HLHnnpmDtfffdl36aKq8MFdDQd3nHqtuuisoxLy9121WddlCnrIrUaTcxBasUILNzyboPyGyp53btdHBwMLn33nvTT4fM1DUWl2eWKufdLr2+vr7k17/+9WFlPx15zztWzNeR9lHbqKpOPc9UWSn4umTJkvRTMbWtjz/+OP0EAAAAAACAY1FRjKUsxcvs6bFe6ccOa7TmP/3TPxVOdQKv8j/+x/9opVElCJNFJ+nzpOmhhx4KQVfR6NN/+Id/CMvS5LGzKFipUaB+9Oj111/fGh2q7zUa1wLAGiFr3/lJwdmZlJUHTf48FPzN2kYTjhx1ZCtgIf39/cn4+Hi4eWiuz6LvtV1d6sQu6mA3OobdF3xexsbGWsGdq6++unRe1LFvne0KlFl6+/fvDz8GUIe7OvC3bNkStjEaUaX1+l4BFL+PKLjTbtRsTNtbUEgBhbicNY/PzedfAQWVg+VFAWyVh77XdmWtX78+7KfyHB0dnZKeKI/xiDN9toCcttP22m/79u2tMsz6g6F2Ex9L56m6kKp5FwVQrBxVHz4vCoAoL9ddd1343tRtV3XaQd2yylOn3WR5+OGHw7GLzJZ61rnonJSm6lTHV5qaVA/Ki/IZl/1MXmMqB5WH8mdtQ5P2VzpS5b5p6encfLtWeapcX3311cPKvtO8VzlWltWrV4dj1FW3nmeqrBYvXtzKT9ak/IryoaA+AAAAAAAAUNtESovu48Q//dM/TQwPD7fWX3DBBWHdTE06nh1b+cjaxiafz7Vr12Zu8/zzz7e2OfXUUzO3mY5J+bHj2nnE+f2bv/mb1mfl0+9v6+PyL3PORVNWvspMdfbD9LB6iFnb6OnpSddM1dvb26q/qsbHxyf6+/vD/krH0hoaGkq3mErr9X1fX1+65pD9+/eHPOr7kZGRdG2xgYGBsL3ykMXOvbu7O10zeRx91vrR0dF07SHtyiuP5X1wcDBdM5XOWd/7crb8q9yyWHnlnV9sbGwsbK9JdRNT3rLSs7xl1Vtemio7rVNZqkxj1i50jlXYflnl6PPij1mnXdVtB3XKqkiddhPbvn172MbS0pRlttSz6sHSzConf0xvpq4x5UnrNKlcYr5NFdWL8emprmK+LfrjdZr3KseK2b3CzjPr2mqnTj3PZFkVUT7sOFn5AAAAAAAAwLFHfUGaOrFx48Z0aarSI1+Pdnqcr9Ho0tlEI0JEo4t9PotolO4/pSN2NRo1a/Rp0aR9bP/pGPGLI0cjqXt7e5ObbropXTOVPboxfv9xGT09Pcm2bdvCCLgyj1p97rnnwvyGG24Ic0/7/vSnPw3Leh9zGd3d3WHS6PEsN998c5j70VsaVW4jsTTyKaZ9lOb4+PhhI8ryaDttLz/5yU/CPHbbbbeF+YsvvhjmolGe8vOf/zzMYzfeeGOYq4zL0L2sr68vTGeccUa69hB7vPpXX30V5qLRaRpJJtdcc02Ye7of9PdPjpB+7bXXwlxeeeWVMNdjPLPq/c477wxzO8eyLG9XXHFFmHv+3mTvzJY67apOO6hbVnnqthtPedKoX53Ho48+mq493GyqZ6sH3Tey2qnqQ/cs1Y+N0p7Ja+zbb78Nx9eU9fdQ5WD30zL3TStPpbd8+fKw7Ck9lYVYHUmdvNc9lmcjpNUe8v5ulFGnnmeyrIrYaG+VQVY+AAAAAAAAgCqmLfj60UcfJXfddVeydOnSKUG/v/iLv0gefPDBKR2YeqSufV82+FGVD7j+yZ/8SbqUfWxbp7zrscDquLZttE75byqA+3/+z/9pBRX+/M//PMyzqGMyjwVR/TScPkZT1q49/FHMmrLYeeZNZR87rGmmH5WMSXr36t69ezPfwaqAjL3Hbt68eWFehQI+o6Oj4V16WYGZmB4lKeeff36Yx84+++ww37VrV5i3o3cFHjx4MLdzXOcXe//998Nc124ey5/edV2GgjUmrxy+973vhbkPGKhzX+y7mE/LghNFVA4Kgue9m/F3v/tdmPtAiN1vVJdZARJZsGBBmOu9qebdd98N80suuSTMYxa00jlWuY+feOKJYW5BP0/vHjX26Hip067qtIO6ZZWnbrvx9AhmlfFTTz2V245kNtWzBdjtxwBZrDzeeuutMJ/Ja0znpHumpjxVfqxi2+blW6wsdu/eHeZSJ+91j2V0z7zyyivDDw/83/c66tTzTJZVHr0/Wm2oiTIAAAAAAAAAZFqCr+pU08i0f/zHf5zSgSrqEP77v//75Mc//nG6ZvopPwoEm6xRQFmUd3XE+UCr1in/f/7nf16pMzaPjfpQYOF//s//OWUEUlkKECuorWBnp3nKCtI+/fTT4b25CuL6AIhRMHvOnDlh5O7f/M3fhECQ9tP7dDF7qIN52bJlYTSZgvka2VaVArdZowaz+MBMXvDH2pN1pHfK3vWqkaDGApCnn356mGdZuHBhmDdxTZtvvvkmXSovK3hch8pe9atRXwoo3H777ek3SfLBBx+E+fz588M8yznnnBPmfsTsnj17wvy0004L8yz2I5H4vl/k1ltvDXN7F6SVgQImNjJzcHCwFUyp267qtIO6ZdWJonaj8lGQSOXR7jqcbfXcTp22P1PXmPaxd89edNFFYd6pOveauveHomPp77quE/07oigA2pQ65zDdZWUjqO+4444ZKQMAAAAAAAAc+0oHX/XIxqzRjTb5DvG//uu/TpcmO/YsGKcAnoJ0oiDsdDz+V8HSOG9/+Zd/2RoFpDxkPVawyPr160P+NZrU8q9O5zIjndr5b//tv4Xg5WWXXRbK+K/+6q9aAViNHi5L56f9i0aclKF6jEcrK5CuMlTZ6jh6NLJ/PLIeF6ptLP8//OEPW6NacOTpcYpdXV3JihUrwohBBbTyRko2qUxgpsmObrVdXavys5/9LMylTFCs6nWjwJeCmqKAWJasR8JaMHHjxo1hHrPgcV16FKfq+rzzzguBVwXJdJ/yQcoygYys0WRlAuR16lNluX379pBXjaY/+eSTwzksWbIk/FBgaGgojHg2ddtVnXZQt6zy1G03ovatR/6qnPIew+vNpnr+wQ9+EOZPPPFEZlBMgXYbzWxm0zVmAUr9qKNd0Fvsxx8KlPt/GxkfzPXq5L3usUT3C90n9FjfJh61W6eeZ7KssqgMdJ9RW7NHFQMAAAAAAACdanzkqwKG/+k//acQpNToI72bzjq0NWLEj6bZv39/ujRzHn744UpBTXW6XnXVVWFZQVsFS813332XLpVjj+nV3Pzbf/tvk3vuuSeUk0aOigKYyuP/+3//L3xuJ+7M7ITOUY/qtFGv/vHFOncF7Z5//vkpnf9/9Ed/FPLvg9P/4T/8hzDHkecf3SrqbNdI8KzO8SOpk/yo0/7SSy8Ny2VGBeapMsJKo6RE1/MDDzzQyr/KW6NOFUww9p2N8lQdaBurG32vNCx4LHVG9X322Wfp0iTdG5RmVlCjjLp1UiXvOsabb77Zer+np4CXRqzGbbiKOucwnSPt6rQbWb16dSiPJ598svHReXXKSMrWs542oeCW6lij7/1jYBX80mNvjS/72XCN6ccrSkv51+PWy9DfUQsq6r5k7ycVnbvKwILcvuzr5L3usZS2zk2Ppda/QZpQp55nsqyy2A91GPUKAAAAAACAJpUOviowaAG5rEkdaHLmmWeGx83qEbqrVq0Kj7LT43D1WFwFHm0E6nRRsDTO29NPP916z6tG22qbsqNu//N//s/p0iQFS+tScFL58QFN76c//WkreHn//feHuSk6rnUs+tGoXtZoYJvioIx/B64mHyjW45bVEar1GglrtI1tq1FpmtQJyztfZwcFzCcmJsKPHUZGRkLnuEYS6TqYTep2fKuzXiM91UGvEVx+lGRVVUbA6p26FjRQR7+N2FQwQwEBlbWxc1NQWCM5RdtoW+2jfZWG8m9pVhlRaZQn1bUmG02qANXVV189JXBRVt06qZJ3tUM9cnju3Lkhz5b/sbGxMLpN5aTzsOBKVXXOoc4TBMoep0672bBhQwikq+3Y39omTXc9K339W0D3Hp2HRjXrnDXp3wk6d/1oQnzZH8lrTNfLokWLwr1S+Y5HkLejQK2OrfuSztHO10Z0278DfNnXzXudY+na0vZ6d3Dd+o/VreeZLCtPwV2lr/wy6hUAAAAAAABNmpZ3vqqjTME3jeBU4E+Po7WgqwUXZ5ICwhrZYSNLFRz8h3/4h7A8myh4qsf3ispLAWzzH//jf0yXptLoER/QzhqxlRWQtinuyFfg3H+vxzQbn44C2kYjnP32Og+1Ad75Oruo41ojhOxx2eqwtoCWgurW4e0nra+rzLVeJyDoaYSTOutFnfpZI9NOPPHEdClffN0o3azy0OQpsK0AkIKDRkGN0dHRUNZZFFDS9/bYTNH+SqfsyLoy9BhR5U9BCQUY7HHmZQKLWSPFFKBoJ67Pdu1KP/5QO1TaGnHvH32qe5MC6xYk+tWvfhXW121XddpB3bJqp0q7UYBIwWkFktR2yprJes6qY026jozqVgE5BcXsGGqbCqCpPPLyeySuMbVLtVHlV3nUPbNq0FuBWv3bR+enNETnrfNXumeffXZYF6uT96rHUr1ovbav8pSArDrW1Gk9z2RZec8++2yYqx01FYAGAAAAAAAApPHgqzr4//Zv/zYsq5P8z/7sz0JATsE4dbzpkcRHiu+8/f3vf58uzS7/9b/+1xC89I83LrJnz550aXJU7913351+qk/va7UAun9/70svvRTWaZSr3j1oQRAL/j744INhRKweLX366aeHdZh9FESwa2E6rwMfrMgLslrbsU76spSeOsw1wknU2Z434nXBggVhnvXDBPPuu++GeZmAVUz52Lt3b2vEpgKGCmjYIzf9fcfoe21n+2h/CyTZo1T1o4ZOKaBggYl//ud/DnMLZOTVibz//vth7gOW559/fpgXBRsVKJGyP7Kxc1XaeaMK7Qcp9kOBuu2qTjuoW1ZllG03v/jFL8JcZRUHvTQy0Ng623821bNRHSsodvDgwXDOH3/8cQigqZ3u3r07bHPOOeeEuTeT19iOHTvC4291jkpXQcGqgVej89L56TyVB523zl/lYO9FX7hwYZh7dfJe5Vh239TctydN9p1vb1XVqeeZLCuj/eT73/9+mAMAAAAAAABNaTz4+tvf/jZdSkLgTo+i1bterfPyf/2v/xXmR4J1GMsf//Efp0uzizr99U5V/whiyer8VRBh8+bNYVlBbnUwqqNYj/v9v//3/4b1VSh4q331XlzRo48VUDUaOfz//X//XxjhqjzqfXFG2+mxxMqHRrxqlJoCuEWBDkwPjdjSI1wtMJFFHd1ij2PUDyOs89pPWt8JC4rYqMvYBx98EOZLly4N8zIUTNI52ohJPZ7WOtuzWCe/ts9jP2K48MILw1xBgKzy0FTWK6+8EuZVzk2BH1G5WR0V0eNo58+fP2XkWcwCiTa3QITuh3mP8tV7VsXeoysW+Hj55ZfDPGaPMFed2P2qiXZlbdQHEeu0qzrtoG5ZdaJOu8kyk/WcVceadB2Vobq1QJk9oaKMpq8xBeNWrFgRRlpr1KUCeWWuwzqee+65ML/44ovDvIyq9wdT51hZsupY03TX83SUlf4+qp7Fj7gHAAAAAAAAmtB48NW/d/Tv/u7vQvBNk0Yu/PjHPw6P/J1pH330UQgEKjBpNHpztrP30ua9y/WJJ54I2yhIq0evPvLII6FDU+fp38lalo6jwKkCqwqa63HN3r/7d/9uSl6+++67dGnyfbD6TvlQnv7xH/8xjID222BmaBSbOpXtkYoxBU+sA/yUU04J8+nywx/+MMz1XsGYOuItuH/VVVeFeRn2OFB1qmveblSargkFivTo3ayAtH7AoPLS4y7bpeXpfZAaFWajpzwFu/SuSLniiivCXBQs1T7+hwuejVy3cmtn3rx54bx0L8iiMrbvtK0oEGHvQtS1HrNHAcvll18e5mLnofP1gVBj76kuCoTHLCCqoGdegHDjxo1hbo8jlTrtqk47qFtWRaq2m7wAtiY9ctXYOo0ElNlUzwqE6Zz1Q4Es9oMf5dcHymbyGlMe7RHm+veCRl3WpXJTHjRltWsdS/cutUcfhKyT9zrH8m0onvToX1Fd2Lqy6tTzTJaVZ6Np7RoBAAAAAAAAGjWR0qL7OPFP//RPE8PDw631F1xwQVjXbnr66adb+2RNZ511Vmv5oYceCvsobVunY+aty5t8PstMf/Znf9bat+qx165d2/pOy/67rMlvnzVZGs8///yU/fTZtvlv/+2/TflOk9bpuzlz5oQy998pz0pX56FJ21haWVNWGjbt3LmztZ3SVL40P/XUU8N+Wta+dgzVr8pXy9pGaWB6WL3ERkdHW9+pLXj6rqenJ3w3ODiYrq2vr68vpDU0NJSumWp8fHyiu7s7bNPf3x8+2/re3t6wXvkpS8fRPkpz//796dr2dK6238jISLp2Ysq9w68vw6e5ffv2dO1EWLYy1jl7+s6Op2PbOYyNjbXKUvuWPTdtZ+U7MDAwZT+VsaWpsvZ8PlSmtp/ah08vZnWmubYV7attLT2r47J8O/B1oDJR+Vm6djyp267qtIO6ZZWnTrvJozxY3rLMlnrWvraf0vD1ZeWhSXXuzdQ1pmUrj7x7WVW+DO28dBzlyY6lZa9O3qXOsfLYPVbHq0rH1L6aqtTzTJaVsW2aqm8AAAAAAAAcfax/qRMbN25Ml6ZqPPiqSfv9yZ/8SWtfBeb0Wev/5m/+prVe67R91QBoPPl85k0KCloe/L5Vj61go32nZf9d1uS3t7R8fi2N9evXhzxqbgFOfa+yiwOzCnYq+KrgZl7QtNMpq/6UN1tWPSowa9srj8qTBWF93jA9rH6yKIBk36sDWh3N1sGtqUqwqEiZDmyfl3hSx3rcES8WANBk1IluHfFlJh+s077+/OOpTnm0S1PfZXX8+wBWPOWVhw+y+fMSbW/lornqxOpFU5185O3jj5U1xYHLMhSYKSpHTVnp1mlXddtBnbKyOtDca5eHvPSy+HaRZ7bUc1F9acpKs25ZVb3G/P2m3RTXZ149tyvDOm0tr13XPVaWToKvUqeeZ7KsjNVbnbYMAAAAAACAY4P1JXUiL/japf/8IfHw+DZJPyZvv/12mKMzzzzzTPLYY4+F5eHh4cLHmupxvXpUrN5jqMczX3DBBcnatWsPe/zv0cben4hmxddsTI9W1SNbd+3a1Xq3XX9/f3L99dc39o47PQJYjzAeGhoqfO9fnJfu7u7w2NLbb789OeOMM9KtDtE7TNevXx+W7fyUxpIlS8JyGaOjo61HsIoeb7lly5bw/kA9xlJ6e3vDI7qrPELVszT1aN/x8fGwTmnqUZdF5aHHqD700EOtfPT09IT3Vt5zzz1THrtq/LnH5yV6XKfes6zy9flYvXp1cvPNN4fPWZQPPbrXHkOtfNx0003JjTfemJkPyTqW2tWtt956WL7KyqobKxPlP+++WbVdSd12ULWs7Nro6+s77B23ddtNzLeLvPuAzJZ6tvqyxx2rvlTHd955Z24dz8Q1ZnVVRlyfRfVsZai82D1Y2912222F9+AqeTd1jxWze2/W+ZRVp55nsqzE/n5m3U8BAAAAAABwfGgXYylD8T/F8WIEXzHtCL5OjyZuDLOZggC7d++uHQA41lig7Vit72ORAnOXXXZZpYAqjj7UMwAAAAAAAHD0mc7g679J5wAwa2gUlEYm5o1ePN5o9J9GxWtUF44OCpbv2bMnmTdvXroGxyLqGQAAAAAAAECM4CuAWUeP3tYjI/XoSCTJ559/Hh7/+sILL6RrMNvpsasDAwO1H2mNowP1DAAAAAAAACDGY4cx7Xjs8PQ41h87DAAAAAAAAAAAMB147DAAAAAAAAAAAAAAzHIEXwEAAAAAAAAAAACgAQRfAQAAAAAAAAAAAKABBF8BAAAAAAAAAAAAoAEEXwEAAAAAAAAAAACgAQRfAQAAAAAAAAAAAKABXRN/EBa6usKK9COAWY5rFgAAAAAAAAAAoLomYiyPPfZYsnbt2vTTIYx8BQAAAAAAAAAAAIAGEHwFAAAAAAAAAAAAgAYc9thhAAAAAAAAAAAAADjW8dhhAAAAAAAAAAAAAJilDhv52kmEF8DM4ZoFAAAAAAAAAACorokYCyNfAQAAAAAAAAAAAGAaEXwFAAAAAAAAAAAAgAYQfAUAAAAAAAAAAACABhB8BQAAAAAAAAAAAIAGEHwFAAAAAAAAAAAAgAYQfAUAAAAAAAAAAACABhB8BQAAAAAAAAAAAIAGEHwFAAAAAAAAAAAAgAYQfAUAAAAAAAAAAACABhB8BQAAAAAAAAAAAIAGEHwFAAAAAAAAAAAAgAYQfAUAAAAAAAAAAACABhB8BQAAAAAAAAAAAIAGEHwFAAAAAAAAAAAAgAYQfMVx7b333kvWrFmTLFq0KPnkk0/StVPt2LEjmTt3btjuwIED6VoAAAAAAAAAAABgKoKvaIwCk/Pnzw9BSgUsYw888ED4ftmyZY0EMZVOV1dXmDqxd+/eZN++fUlvb28Ixnr6/KMf/Sj58ssvQ3D2pJNOSr8BAAAAAAAAAAAApiL4isa88847yfj4eLJp06bkm2++Sdcesnv37vD9nj17Zk0Q89xzz0127tyZdHd3hwDr6tWrW4FhBVsvvfTSsF7fP/7442E9AAAAAAAAAAAAkKUw+PrGG2+0RhYWTXok68qVK8P2xzI/0jLvEbXTxR87a9JjczXiNK4DX4dKYzq9/PLL6VKSnH/++enSIQq6ytKlS8O8nXbn/Oqrr6ZbJpnf2xSfd5zuySefHAKsohGw+qz1PT09rfWa67PfTyN5ZzPlT+3C8mujkpu4TpW2pZtHx9F9IT5+1WtH22s/3Wd8WkX3nK1bt045dy0rz3VGXGcdX21o8+bNmelpnY3y9sffsGFD5XPXCHLfXu1eq/MrQ9vZvlnt1d8f8qas/YrEZa886xzK5Fll5/fNErerdmVStf6KZKWl/Oa166y2UNR2s7ZvV3ZNXWdS1Hbzyqrq8eMytPrLKg+pUyZ54rZpec07dkzb2r6zsf7isrXjF7X1qmUS59fqL+8cs/KkYxTVeVVN5KmonLLq1a6LMvWk/X0ZV1Xn+FXrtWyZaH/7vswEAAAAAABw3JpIadF9DEZHR1vry07bt29P9z729PX1tc5zpvljt5tGRkbSvabWodKYLvv375/o7u4Ox+nv70/XHuLz4fNXpNPytn2rnnfd/Waa5TNLb29v6/usqWwdZNG+Pq0sug/4bfykdlL2PjE2NtZqV3lTfC6Dg4OZ22nq6emZGB8fT7dsr93xVc5q+0bLRWWvtJRmGUXnoWlgYCDdMpvO0+d9aGgo/eaQ4eHhKVlrmboAAFPSSURBVGlmTVn75VGestKwSedUJD7nWNz24ikuk6r1V6RdWvrOt612bUFTfB0UbZ91P2rqOpMybTe+dqoeP26T8ZTV1qqWSZ52bbPdPTE+V/1Nix3J+qvT1quWSdPXn6Z25d7OdN8TylwXSrNIu/takTrHr1qvVcqkyv8XKE0AAAAAAIDZzPoxOrFx48Z0aapWqlkHKRO4U+eg7xhScONYpTKw85xpRcdWh7Y6re17dXjFnazTyY6bN0m7QJKmuDO70/K2fbPari+vOlOVgNR0sbzEfEBNbUHlqvbQRBvJ6uiOKV3fkWsdvZrbes3jQE4W3U8sHXUoK+24vWuytPw9S8dQp3J87rpfleWPbx3QOpbv3Pbty6/3x4/rROuKaD/bXpP2F1+GmuJrxos77LParM9vUVpl+ECSnbvEAd68es8KRHnaz3+nvIuO48/Vn2fV+ivij2HHVlpZ68Xf8+zYmvyx/d/LuI1aXvVjFlvvg9f63reFTq4z8ce3+ovPz/+wps7x/T3dykrtzh/DBxyrlkke5cm212R51bH8OeRdAzqm3y5r2yNdf1XbetUyUVp+e6u/steftrc8+bLSVPYcY53mqUw5+fUqF6Wtfcre09vd19qpevyq9SpN3Se1ny93fy0DAAAAAADMRtaP0YlpC75K3AGW14F5tPMdxzOtzLF9R5l1uM0EO6ZvI3F+rXNPefR8J2zcbjotb9vX56uMuvvNNMtnTB38VnZx52fdNqJr3NeHn2K+8zcuQ99h3C5o0u7+48/FOtez1hkfBCnTKew7zdV+4851Xx7WIW6fbZ3n27oFU/OoDJW+OsvjcvLlG19PRvvYNjbF5SG+o7xTvjzi87N60flklb3alw8M2OT5c/JBQFHZ2/6aS9X6K+LbYpyW//tn7dTnR1Ocvt0PNdf+fp0mfy9UWv47O3ZT15nx5eHrSMez9ZpM1eP7clLZ+DJU+dh3apOmapnk8e08bpu+buN2Zfz+Nvn8yJGsvzptvWqZVL3+fBrx+UnRvbqs6b4n6Hv7bOu8dvf0Mve1InWOX7Vem7xP+voo024BAAAAAACONOvL6ERe8LXwna9lnXHGGenS8aGvry9dml1OP/30dClJPvvss3TpyNN7K8fHx8PytddeG+Zl7Ny5U60+GRoaynyXWLtJ+2l/pXM8uffee1tlt3z58nTtpLptRO+Cs3fsDgwMhHmel156KV1Kkttuuy1dmnTNNdekS0mybdu2dCnb559/nvT29oblyy67LMy973//++nSIf4dfzfeeGO6NOn6669Pl6a+nzjP+++/ny4lyU033ZScdNJJ6adJPk8qmw8//DD9NHmPOPfcc9NPky666KJ0KUlefPHFdCmb3leoOjx48GCoT++0005Llybf0xfTO/nuu+++sNzd3R3mefSOY7FyrkvvBLT20dPTk9x8881h2Tz++OOhPep84jYpal96r3JRft999910KUluvfXWdGmS6sbeM610VAZV66/IK6+8ki4lyS9+8Yspaenvn87N32veeeed1vuidb3EbeHjjz8O22uu/d97773WPVJ1sXjx4rAsOlZ/f3/6KUlee+21MG/qOjP+vY6+jnR8/zfPtqt6fMu3qEx8Gap8rA2qTapd1ymTPNbOJW6bPt2sstK7Nm3/vPZ5pOuvTluvWiZVr7869++qpvue0Ok9vcx9rUid41et16buk/HfnZ/85CdhGQAAAAAA4HjVSPA1KwDgKSCybNmyKYGxRYsWhU5N3+HbjqUxf/78sO/cuXNb6em7zZs3T0lP29j3CmbYso5tQRrlXR1kPi2lr3XqTMqTdXwf+PGaOv92Pv3003TpUIBY5+DzGK/Tefqy0eTLp1MKxDz66KNhWXnynX+xvO/WrVvXCm74yQcEsr7XfjHfJvImo47GrO/9VNRGZqPdu3enS0lyzjnnpEvtnXjiiSFgMjo6GgJpRSwIIRdccEG6NEkdu9Yh77fLona5d+/e3Lp8880306UkOeGEE8K1ZAEvHSPuRPZ5aXfPqspfe2Uo6FbXW2+9lS4lycKFC9OlSSqDK6+8Mizr2isKlMdtV/c9a9d2Py3LBwl++tOfpkvl6Jq0Tv37778/zDulwE8V7erPgjwKKqhdtuMDGnEAJMu//Mu/pEtJsnTp0nTpkIsvvjhdOvSjiaauM+OvF/1gxqhN7dmzJ/10aLuqx/c/9vDnY/x5f/HFF7XKpAn+3qBrZP369WFZAVQL5sVmQ/2VVfVeJVXvl7r+qt6/p1vT94RYfE+fjvtakTp/U6rWa1GZ6EcpRv9G8PcTAAAAAACA41HHwVd10vpRHerw90E0BfdWrVp12C/m9et8dWqqk79qAFKdkdrXAi2i9G+55Zbc9PzoER1bnagKMCq/mzZtmpKW0te6JUuWhPzHdKys4+s84+2n4/xj6kBTR5/yLFkjJPJon3hkjfKmPCvNTmmkm527RnjVPV8FuqsGhLJkBXL3798fgorDw8MhWBWPUlEbUZlaMGtsbKy1b1EweTZRG1FnuNWFOvazRiDm0bWiDtUy5+tH3mR1wPp1dYPXakPW3lVfGinmA4Dtjhtfj1l8cNoHrY1fp/I966yz0k9JCFbF7dwHTesEVJSerkkLBum849G9a9eubd2XXnjhhcKgxgcffJAuTdaZz5PKR/dT/RCjzPXqz03H9D/o0LWrzz6gZzRi0M5Hf0eKApU+0OyPJ8qjDxAqwFW1/opYe1FgTXXgA9Uqow0bNkwpJ0tbdaTAnLax7e3HPTp344O1WXX2ve99L106lHbT15kffXn33XeH/KlcdN+1NjU4OBjmUvX4fpSiPx/jz1v1W6dM8lggU+KyiD8r8CuqzxtuuCEs697/2GOPheUsR7r+6rT1qmVS9forou3j+3cd031PqHtPr3JfK1Ln+FXrtYn7pP59YPdIXStlfqACAAAAAABwrCsdfFXHinUe+2nFihWtTkR1oj311FNhWdTR4zvYFOBSwErBKwvYat+77rorLFc1MjIS0tu+fXtIX5Teli1bwnLMB83EB0oVVFMQTpMeV2uU/6yggWQdX9vbqNHpOv+4DtTZZR19ChL++te/DstlqbNOHXc6dz9S7pe//GW6VJ867VVOKtNdu3aFduQDsL/73e/CvB2lo32//vrrdE09Oq7q3ZffySefHALtCjapvnQsP6pWwZKf/exnoQ71/XnnnRfO4Wig87U2YkF2ndvR/ChmnZMPCN1xxx2ZwYtOaTSaXddqe2o3OrY6oLVsnc1GebB2o7wpj9pW++hHA3aN1qHgndqppaH6fP3116c88l3HsDrW9VbmBxhKR3Q/0j0g635a9f6ksvE/6FBZ6LP+VihIaVQuV199dVjW8YqCW3LFFVekS0koB/shhgIdvj2YqvVXhu5hOrYPtKiM9LjNM888MzM44f9Giva1+0je35YjQT/G0A9QVGbKr/Kn9mF5V+A1fgT20eKHP/xhupSEkeEWhFL520jxmH7IYPWsf9dMxz2mKXXaetUyqXr95VG+mrp/T/c9oc49Xd9Vua8VqXP8qvXaxH3yoYceSpemjoAFAAAAAAA4rk2ktOg+BqOjo631RVNPT8/EwMDAxPj4eLrnpP7+/tY2SivW29sbvuvu7k7XFOvr62ulNzQ0lK6d5PNq6WkbW6f8ecPDw63vlM9Y1vf++HF6IyMjre+0nTR5/v7Y7abBwcF0r6nlYvmKy2r//v1hvWjZvtNUht8+azL+uFllmsfv5+u9zL5l+HTGxsbStYfqx8pNZaN61zpfxkeK5bmILzs/6Zx8vVfl04oVfSe+vJW/KnSPsXrR5K9Df65WZzH7XlMZ27dvn7JP3mTHU/50TWVtE09VZO2v+661V83tuCof4++B8T2ziNKz/TS144+jSXlQWaiN+XupJqtzu5Y0qZyN3zam685/nzfZuVatvzzx9jonUTn59mjp+DauSeeqslCZ+PO2+2+7espq2/ZZUxafhzLXmfIW59tP+s7fH/13WeLjt8tPXAZ1yqSIr6eiSen6v+f+Xp93DnXyap81ZWlXXrE6bb1KmUjV6y9WdP+ua7rvCVXv6XXua0WqHl+q1msn90nftvU3CQAAAAAA4Ghi/Rqd2LhxY7o0VemRr319fcpBmMbHx6eMDtXIQD1WzY/CEo0SMhpZ6EcbarIRNfpFv0YqxN/7KRY/pk6PQ7VRXEpPv9z34lFgGjVmrr/++nTpEJ9+/Fheufbaa9OlSf4xazZSoOr5l2X1YNP+/fvD6NLudPSCRmH5EWZF9PhlP+qkk9E9vo1oOaY6GkwfW6ky9aO+LO9Zvvnmm3QpSebNm5cuTRWXrU0aKeJpFEi8jR/ZodFett7qR9/rs0Ye2khmlbHW2aiS2UplbnUyNjbWqhed03XXXReW7XyzptlE10hvb2+rXgYGBtq+f7ZIVluwydqNRgOq3PrTkepG5Wht2dM98KOPPjrs8dXKt79nVmV1qHuvHVfLl156abjXrV69OtxHdMys+1VVul/6a7iorDR5yoNGVqssdD/R3wZ/7s8++2y49u1a0vmUfQS2Rl5u3759yqM1dTzVT1xHUrX+ytC52GNEVU46V6trXVcaMebpWPYORJWJlq1sVWevvfZaWJ5uWfVmk6iM7F6o9qu/K5qs7vSd2lt8fkcLvX9U52L/ThAt61x9e9KjWDXiT7R+toz2zao3m6ROWy9bJqbq9ec1ff82031PqHJPr3Nf09+arDrVpPtunb8pVeu1k/uk7ufmpptuSpcAAAAAAACgDv1Ai+5jkDVaw/Mjmrq7u6eMihH7rszkj5U1ifLgP8f890pvyI1GsV/4m3jbLPa9Jmm3T7y9/9xuysuDaXfuojR8mhpR5dcpjXg7W+fZd5rKyEorL7/Kk9qK1vf09IQp3jc26Ea22IgzyTtGVb1ulIhRPgcyRrBofX9/f+Zo6ZkW57ksK3NNGlVjy1lTnqJtfHmqvGLtvs/iR6Jp0rUdU1r2vY4Ri7+Prxc/FbVH4/OUlZ+YL+sy6RfxbfOv//qvW8tlprLH9tdXUVlpyhr578X3HJ92mUn7t+PLpMz2VerPXzNZacdl5fOSlbb/26RlP/JM97tY1vdVrzNbzpp8WWTd2/zfep2bVD2+v4/b/dSLv69TJnX5+vV1U2aaDfXXTtV7lfgyKaPo+vPH11Q2D52aznuCxPf0Ove1on3a5bnO35Sq9dquTOzfc5qUHwAAAAAAgKOJ9Wt0ouORr1k0+sd+Ka8RPHrPVTzi1PzhWIWTH6GXNcWyjvPxxx+nS0ly1llnpUvZTjzxxHRp6shK49P3ow3KyNo+65z8pPPvVJzGhx9+mC7NHhr9pXe89fb2hlES4+k79Yr4kXx6L2uno001ckvvS9NoZY0u8XmwUSga5arRI+b9998PI3f0XkeNaL7qqqvSb2YfnYPeEarzyLpONFLdaJRXVnu0qY4eN9rmnXfeSZcmKT828knXSZmR1nqH8qpVq8Ky9hkZGUnWrVsXPntKy649HSM+d58X5bHonlPmnbi//e1v06UkOeecc9KlfHv27EmXkmThwoXpUjaNXLe26EeIm9NPPz1dSpJ//dd/TZeqsTaS1078ulNOOSWznGw67bTT0i2PHP+kgXb3f6lSf/6aKcPXTxmnnnpqujT1PMybb76ZLh0a/V/1OsuqN5s+++yzsK0sWLAgXTrk7LPPTpcm759S9fj+qQX+fIw/b5VHnTKpQ+djfwP0d6mOI11/7VS9V9Upk7zrr+z9ezrk5SnPdN7T8+hvTVadamr378Kqx69Tr0Vlor9N+re/KD2N0gUAAAAAAEBqIqVF9zHQr+5tfd6v6jUio9v98t2P+vC/6PcjFkX79fT0hH213XiJX8wXpefzqnRFv9K3dfEIAj+SJ2ukj9/XvvfHj0cA+NEBWdt3ev4+rTy+DDTpGFl12K5e7TtNZWSlVSa/Gilt2+SNMrF6Ujn5ZZV3mWPElIb2Vx0pDZWRTyduJ9pW67W9llVnyrdGMmmd5kdK3rn784nLNb5ey1x3WWx/TTF/Lfg2If66shF0RXxaync8uj5WNOLQl4vSbceXld1TjG+72kbbij+GL1t9rzTsu7idxXw5xWUoZc/Fp1NUHvH9yd8j4nPP49tVXE9F9RKz7TR5Pk9x27F7gyYrrzr1l8enb/d3o3q27zSJT1/HjtPPagt57cOfhyZrV01eZ0XnJ1nfVz2+L6e4zPPaW9UyyePzE18vOh/7rl3b9NeMz48cyfrzx/DlJ3ltvWqZ+Doqc/2JP0cdO74vdKpqnuqUk69z3870fV6dZ7HtNFVR9fhV67VOmRh/rE5HnwMAAAAAABwJ1rfRibyRr61Usw7iO7bizkHPd3Jpsk6guONN24k6dHyHUlHant9H6VngS3PrPNJknUq+YyjuGFMnlt9HHXfqWNIUn48dxx9fkx1H5+nTsu2bPH+/fUx51jF9R5ylmVWH7erVvtNURlZaRfk1yrNtE3cSisrJyjWvrG3qRF5e1UZ8mWqyOlR70ecyHePTxfIU8+1Ok5WtyrvXPcoyq+7L8unHfGeupry6i6/JmMrfttWk9tCOb9s6ls5Z+fH3Aq3XujJ8/Vs56hi+HH2ns7ULTdY2dB6+01v7thOfu6WlMvBptTsXf95WD8a3E6Vj5xfXk61vJy5j5TUue006tyJ+W8+XiaUvcX7t/itV6y9P3KatPuK0/P3A31e0jdKI24IPdvhy0vY6v3h7f83GebL6jcuj3XUmWe1N6WvSPc+nZ+VY5/i+THReSiMuQ0tHqpZJHuXJp2Pn5tNXnpV2EZ//uFyr5rVO+RWp2tarlolvI1rf7vrz22uy7ZtUNU9ypO7ptq2mKqoev2q9St37pL8efBkDAAAAAAAcLaxvoxPTGnwV3wmjjhx19ojvOMqafIdZO/4YeZN1TonvbMrqwPSdVHmT73Cqenxp6vzLHNsm37GWVYft6tW+01SG3z5rEusA9HzZ+I5AUZlY52lcpkpHAQGtV/59B2HeFKfhqY5tO1EnonVsKn3lxefVByOso/JIsPxk8fnNmqxTti6fVpZ211bckevbtwUh2p2Dn3w7brdflU5ibZuVhk06ri9HtWNrG1mT7o3x9e6/9/epdmVY5t7h74FWrl67stL3Vfh6zJrKXC9++5i/VrOmuF1VrT9/b9TkKa2iuo2vKbUFH9SIp7j+tG/RvUzbx/fJqtdZkXZpaYrbQ9Xj+/t61qTz96qWSVH9tUunTNv07dtfq3Kk669qW5eqZVLl+qtz/y6qvzxV8iQzcU/P4vepos7xq9ZrnbYj/v4Wt20AAAAAAICjgfVtdGLag69xB5HvpFVHj/a37zSpc0idYlU6bHwaCo7Z8TTX57hDqV3wVXR85dXnXR1KWhfv44/v97HjqwMrSxPnH+8fT8qDttE5+06yrDpsV6/2naYystLy+TVWrion5dHKL+4cFQU4VUa+HTVJnZWWP006lh3T6ibu0FQ96jvbJyvfM8nykSfOr7WR+Dqpw9IsOr7amR+dY9dJ1rXo24sFCX3e201xO47P3dpenQ7irPMoKsese4q2j69NY9toissmPramorRi/h5o5RrLaid59VRGXtmXTc/205QlK/2i/MZlWFR/2ta20xTLq1vdO7LqQ+tU7sqjba+8593787Yvqu+s86tbf9rHl61NWpfX3qseP68M89KvUiY6pm2jyctLp8p9Qfm0fbPObzbUX5xWnbItKpOy15/fpt2kPIrS8OvLKpsnU7Wc8tpsUb3GbD9NVVU9fp16rVomYttqAgAAAAAAOBo10beRF3zt0n/+kHjS1dWlmY4S5rPRsmXLkldffTUsj46OJosXLw7LOLKs7fT19SU7d+4My3m2bt2aPPTQQ8m+ffuS7u7u5I477kjWrVuXfosqjoZrtgq7voeHh5Obb745XXt8sLocGxtLzj333LCMI+ONN95IlixZEu5PBw8eTNcefw4cOJCcdNJJ6aejB/V3dKP+AAAAAAAAMFOaiLE89thjydq1a9NPh/ybdA7UpoapqV3gVVauXJns3bs3bK+OVQKvkPfee6/1w4oLL7wwzI8XmzdvDnMFGwi8HnkbN24M86VLl4b58epoDLwK9Xd0o/4AAAAAAABwLCD4CuCIu//++5Pe3t5k+/btx1UAUqMLH3zwwaS/vz95/fXX07U4UvQjgF27diUDAwPhF0s4ulB/RzfqDwAAAAAAAMcKHjsMHKWOtccOAwAAAAAAAAAAzAQeO5zSY21VCJoIvAIAAAAAAAAAAACYTXjsMAAAAAAAAAAAAAA04Kh67DCAQ7hmAQAAAAAAAAAAqmvqscNZCL4CRymuWQAAAAAAAAAAgOqaiLF899136dJUPHYYAAAAAAAAAAAAABpA8BUAAAAAAAAAAAAAGkDwFQAAAAAAAAAAAAAaQPAVAAAAAAAAAAAAABpA8BUAAAAAAAAAAAAAGkDwFQAAAAAAAAAAAAAaQPAVAAAAAAAAAAAAABpA8BUAAAAAAAAAAAAAGtA18QdhoasrrAAAAAAAAAAAAACAY10aJq3lu+++S5emYuQrAAAAAAAAAAAAADTgsJGvnUR4AcwcrlkAAAAAAAAAAIDqmoixMPIVAAAAAAAAAAAAAKYRwVcAAAAAAAAAAAAAaADBVwAAAAAAAAAAAABoAMFXAAAAAAAAAAAAAGgAwVcAAAAAAAAAAAAAaADBVwAAAAAAAAAAAABoAMFXAAAAAAAAAAAAAGgAwVcAAAAAAAAAAAAAaADBVwAAAAAAAAAAAABoAMFXAAAAAAAAAAAAAGgAwVcAAAAAAAAAAAAAaADBVwAAAAAAAAAAAABoAMFXAAAAAAAAAAAAAGgAwVfgOLFy5cqkq6sr/dS5Oum99957YZ8HHnggXdOMMnn55JNPkjVr1iTz588P22rSfm+88Ua6RWfKnpu203Hnzp0bttdc+VL+iijdRYsWtfKu5a1bt6bf1rN58+bD0tS6Kuy8NVVhdVa3LVh9WjlqUpo7duxIt5jqwIEDre3ypry81Cn7uvXcjo7r86L2vGHDhnB+WfSdbZs3ZdF1UTX/03GNZZ2v6iPvfOVIXWNl7wHt5LXtKuVYNi86v2XLlrWOU6Z8m67nuunVybu+q3Ms3VeqHiuP9tG+Vdua8li1Xdc91nTcv+rU80yWlTTxNxEAAAAAACCYSGnRfQxGR0db68tMQ0ND6Z7N8XkYGBhI1xbzeSqjr6+vtb2O147O07afjnOuql09dXd3h3McHh6e2L9/f7rXpKrnjtnD6q0MXTtVtm+nTnpjY2OhLWqfJq+bMnnxx86aBgcH0y3rKXtu27dvP+zYNml/pZOlt7c3cx9NZe+Lnu4DRWnqu/hekSVOp6yRkZHWPnXagt8/a8qqzzJ/z7LyUqfs69ZzkXZ1pnTHx8fTrQ/x9/i8KVZUvjqOvo9NxzXmr+14ymujR+oaK3sPaKddOWaVfaxsXorKt6enJ7Os2uWvaj3XTa9O3nV91Clb5SFre0157TBPu+tY12tWenWuybrHmo77V516nk1lVbWeAQAAAADA0cH+378T3377bebUSjXrIGU6q/3USYdjHp+Hsun7PJVRNQCpfNj203HOVVWpp7gDqeq5Y/aweiuiuo47qTtRNz21Ld/x2sR1UzYv2k6d8fpec3UsG3XCWr7044Q6yp6b8mHb9ff3twJl6pS2Tl/lT9t5dr/xncbaRvm1Y1bNe1aa4sujTB3FQYky4gBI1bbg91c5WiBA6317sPI1ds5VgkN1yr5uPbdjZW15sf3Vnu14Ov+Y1msqezzl0/bR3wcrX+1v5aHJ1ou+a/oa0352LO3nz9eOpfx52qZO2depZ6/J+5udm/JrZazz8Nda0d/qsnnx56a0raw0V9lpfVxWWrb8ad5pPddNr07exf69o7K1MtQ+/r7h27VoO/tOZWlp+utOxyzL8qd9dR6Wno5jbTROT3myPJS9JqXOsbSNPy8rW6VddA0V0bZ16nkmy8q+07HsHiA+f3nXEgAAAAAAOHpZX0EnsgKvmlqpZh3EdzrFnZwzJe74mg7WIadJx2vHd+DMhs6YdmWkji7rqJoteUbnrD7z+E5D37lcV530fGe42qC1w07bYJW8aFt9p+2tI9mz60ffV1H13LRe32fdS33ntPJrtN7OM+veZEEI7VuFpemPZXS/0HftysO2s3xrKsPKyfar2hasvvP+Jtn9PD43W+87/ovULfs69dyO2pr2ycuLteE4L7ZeZV6WlW/ePnZ+PugxHdeYXVtZwXIfYFGZmpm+xpq+v+Wdlykqk6p5sbLISkvsevEBsabruW56dfLu0yoqW7V/z9LKKkdfX1n5j2kb2z7rPuTbog8O1rkm6x6rzjXUTp16nsmyEksr67zsb53PHwAAAAAAODbo//k1dSIr8KqplWrWQaxDRFNWR8xM8HnI60TslHWuadLx2rHOm+nMUxVlysh3ZGV1IuPoY/WZxdqoOgvVPnwbqaNueraNOkTVWVrUkV1W1bwUBSyMBSqUVll2zLLnZsfI67S2II/vFLZO36Jr1jqNfQd0Ed0LlNe8juQydWsd38qX5bFoe2N1p3Ot2xbsfLM68YtU3a9u2dep53Zsnzgw1E6d/eycsgIeorrX95rMdFxj1j7ytrc8+O9n+hrTOk1N3d/s2lM6Wez6yfq+Sl50Hra9ts1i5eKP1XQ910mvbt51DK3LuxYsXdW18W09775h56C21Y61P51THsunr7c612TdY9W5htqpU88zWVZN/E0EAAAAAABHpyb+nz8r8Krp3/wh4aPGRRddlC6hqjPOOCNdSpLx8fF0CceywcHB5KOPPkoWL16crulMnfR6enqS0dHR5PHHH09OOumkdG3nquTlq6++CvMTTjghzLNY3t56660wL6Pque3bty/Mzz///DCPnX322WG+a9euMJf3338/zJcuXRrmWSy9t99+O8zb0b1g586dycGDB9M1U33wwQdhrvPLc9111yVffvll8tRTTyXf+9730rXF3njjjWT9+vVJX19fcvPNN6drq1EaOq7y5u9p7XzyySdhv+7u7uT3v/99snLlyqSrqytMixYtSrZu3ZpueUjdsq9Tz+28+OKLYX7JJZeEeVnvvfdemJ9++unJhg0bkvnz54dznjt3brJmzZpQLjGVk+TVq2/rqg+ZjmvsxBNPDPNXXnklzD2f77POOitdmvlrrOn725w5c8L81VdfTQ4cOBCWvU8//TTMFy5cGOZelbz84R9/6dLU+vSs/pUX03Q910mvbt7ffffdMM+7hs4999wwV/u36+bDDz8M86L7zYIFC8L89ddfD/MiX3/9dZgX1Y+Vxe7du8Nc6lyTdY81HfevOvU8k2XVxN9EAAAAAACA2LQFX9U5qs5ddfJaJ7c6frXOOjzMsmXLWh3CtqxJyx9//HG61WQHiP/e0os7kO17TZ6O6zvdtf8DDzyQfnu4+Bysw9o6hbKoE9/nUZM693WcuDPVvtf2WWWVtU9dvoz6+/vTpUNlr8nqxdYpP8qDddjbuqwyx+yybt265N577y3suKyibnq6fpsK/pqmz03qXGdVzs068yWvE9+CSNZ5LL/73e/CXMGzPBaIKbovlaFrWtf7LbfcEj4/+uijYR7bvHlzCGooAF72/FW+N9xwQwh+KjhU1+effx7muicpzfj+pPt7/PdF9uzZE+Yq2xUrViTbtm0Ln0XBhlWrVoX7mlen7OvWczv2d/C0007L/TuW1YYtQKKg93333df64Y2OvWnTpqS3t3dKnsuo+zep6n633nprmCvfanO2v87f/oapDdp94EhcY03f3xQA1I8TRH+H7ZysravOdA3deOONYb3XdF6++eabdKmauu0jT530svJu9wBdQ3l0PYgFeC3opmsszznnnBPmFmDsVJ37eN0yj481XfevMuqcw3SXVdm/iQAAAAAAAFmmJfiqAKR+Ia6OQt9Bo45frVuyZMlhHd2ibf1IBXUm+k4vdYD47y29Mh3IypOO6zvdtb86pX2aRukpXX8OmuuzOoOz6JzUiR+np859HUedqVkdP9o+q6y0j0aYdWrHjh1TAq7Wqd2O8qM8WIe9WBmobOp2+AEz6Qc/+EGYP/HEE5ltVsEcG+0zXfxorTxZweQyHfpFo4nKUAezgni6Z+t6V3Bn+/btyfLly9MtDtF98c477wzX/09+8pN0bXt33XVXuI8o8JrXqV/GZ599FuYKhul+Gt+fdH/XfT4eyapOep2X8q1z279/v54lEfZVAE90X1NHu6lT9nXruR07RwWf8/6OxX9ftKxzlqGhoWRsbCycsyaVgepb9/NLL710yn72t2Ljxo1hHtuyZUu6dMh0XGMKJCqfqjP97T/55JNDO9X565x1TvoRhpnN11gVv/71r5OBgYFwjuedd144Z5276liBWY2w7OQaEpWttQ0FtrNkBZqaruc66dXNu//3VZ64fZQJ7uWNsMxigXX9my/r36wqA92HYnWuyTrHmq77V516nsmyilX5mwgAAAAAAJCndPBVHSDqjMib1Hki6rTwgVV1IqqjW5M6S406TRQUjKmzwzrGbbSPp45Yfa+OSaUt6lS7+uqrw3KWOE8jIyMhfT2iT+llWb16dauzTsexjnofxPR0/tYRpI4apa191OFt+6hzSUGILH6f4eHhdG1+x1MedRTFdaORXtaxpQ6kqqNjlB8rL+v0VNk8//zzYRmYza655prQbnX9KkBl9ypRkO7KK69MP9UbSTMdsjqo26mb9y+++CJdmqRr+7bbbsu8P9t98cknnyzdCa90dG/UfVAjNpug9HRP098U1Wt8f9aPYHTfN3rMsR4puXfv3tCBbnlXEEsBPPvb9Mtf/nJGy77qsfR3zALIOmdN+num9h3/fdE56ny1jUaL22NVRWXwzjvvhP1Unz4gYT/OUYBX9WXlqLwqOK2/McZGGE7HNabjvfnmmyHNmPKsEau+jquayXquQo+6Vb3pHGP6N1HZx4u3c8cdd4S5Att+5LTKVPWuf3sY+67peq6bXp28V1Fn1G+Z4/iRzfrRg/+RiM5dZWD17tOrc03WPVYVZferU88zWVaxKn8TAQAAAAAAck2ktOg+BqOjo6317SZtK8PDw611/f39YZ2X9X1fX19r3cjISFhn4jyMj4+n30zq6elpfWd58NtLUZ6Unt9eaYyNjbU+K/39+/enW0/yxxwaGgrrlK6ts3x4vb294bvu7u50zdR8xvvY9lnfxfS9T6toUt51fsaXvR3Hr7PzM4ODg7nfYWZZPZTh20gT6qZnbavJtlMmL9u3bw/Xnm3nJ11r1q47yVfRuZUtr3ibMuWl79ptU5buDf5e5u8VeWVUdG66v6rcNcX30Tptwc5Vk+7rWSzdgYGBdE17ypulq/OROmVft57bse2z/h6JP278N7KI1anO1fPlHE8qVysbKytp+hqzdqhzVtrGt1Edz863btnXqec8ZdIq4v/tofKyc1Od699GVr76rp0yebFtsiYdz5a9puu5bnpV826ffZuNWZq2jY6pz1qfx9pd0Tae6tT/G9JPKgf792qcnuUla8q7Jqseq+41VEadep7JsspT9DcRAAAAAAAc/ez/+Tvx7bffZk6lR7729fUpB7mTjabUI/HM9ddfny4dol/AG//oRGPvk8qiPMSP27vpppvSpSR566230qWpivKk9Hqj0a9+ZEl/f/9hI7y0Lmbv1hM9FjEefWojT/UL+qyRrPFo1DqPdpOhoaHD6mbMjb4dHx8PowjKjhi66KKL0qVJM/n4RRxfNJolvm5s8iNl6tBIP12DGsXe3T05erunpydcLzt37pz2dj1nzpx0KV/WKKITTzwxXcoXjzDTiKCsMtT6djTaSCOM7H5hj/VU+etx67oHaxRlWRqpqXveb37zm9r3tDz+b4mnd8tK2Xuc+LzZaKg6ZV+nnqu0+6y/R6K/H2rPEo/aKmLtPs6T6nh0dHTK3zr9ndQo27x39jZ5jelvpP59oHT0t9U/7tO3UbWtX/3qV2H9TF5jdZSp5/vvvz/MBwcHw4hs+/eO6lyj+OzfMroWq7TvPKoX1an/N5DKVXWv42Vp+l5aN72qebe0i8Tto8y5VB0lqzrVqHOdn12zypvOX+Vw9tlnh3WxOtdk1WPVvYay2rQmjTQ1dep5JssqT97fRAAAAAAAgHYaf+erf39a1ruw2nXAq6OjaVXz5DtaszqEstbZ48/K+LbEe7WaZJ1HCpyI8lrmvVfAsUQduep41eNn9aMEPcJTnbS6/nfv3h22Oeecc8K8af6+ltV5LXrcqPggwYIFC8K8KPjz7rvvhnmZQEFZ9iMVPf5UfvGLX4R51uPn9WMTY+sUTNJkj//M+kGKfWePSi8THPb1k/e35LTTTgvzvHJux/5G1Cn7uvXcjgWYiurY3o9e55GpWWWpgK7+btiPeNQWLKhldRf/WKqpa8zSP//880OaWayNWhDyaLvGstgP0q644oowj+kcrS1UCbIXUZ3a46k1qc5V9xYQ9sFN0/S9tG56VfKutiRF14cCemJBSAvuFd1L3n///TAvE8Q3Oi+dn85T+dZ56/xVDvYjQr3XOlbnmqxyrOm6f5k69TyTZVUk/psIAAAAAADQTuPBV98BldXJ5Tt06nTeFMnrGFUnjSnTMT1v3rx0qd6IF+vsyZvUKXQkXHbZZenSoc5kYLbQdZF1vWiazmtG9yTrjL3gggvCfDpYIOC1114L89gHH3wQ5kuXLg1zsY7orKcEmD179oT5hRdeGOYaRZRVhlov6pBetGhRYbDTApDq+J5N/viP/zhdyh/Z+vnnn4e5z7sCkwrwWlAm5tOywEudspeq9Vym3au+5NNPPw3zLApOiNWd6rldUNvSqxI4svce6jzLto/puMbsPP2/KWbqGqujqfublXmdIHsVr7zySpj7smqn6Xqum15W3i1A9/LLL4d5zJ5Ion+XWhDSgnMKyubdb/TuYdETRZrw3HPPhfnFF18c5mXUuSYl61h1rqGsNq1JQdMy6tZzU2V1NP9NBAAAAAAAs1fjwVffAfX000+nS4f4EZdVOvVEHaC+o1WeeOKJdCm/Y9T/mj/Ok+/0Mf7X8OqQjY9pHT6ejSqV+LFk2l+d/3Pnzg2dO008LrAOG1kgWSMFgGOROlsVhLKRgbGHH344zHUNT2fH6g9/+MMwf+qpp8Lc0z3iwQcfDMtXXXVVmIs6ohUM0OPCswKHutdoJLseyejvc0V0f1MwQfe9vHvRxo0bw9x+uJIX0NWkxzsaW6dgUlGwSZPdM/VISX224HAR5ceCA/a42dhDDz0U5v7HJraPnVdMj3kVX451y75OPbfz/e9/P8wVJMh6bL3auPKp/NrfL5urnrP20bpNmzaFZZ+XDRs2hOtFj4zOcvfdd4e5nac0fY1ZQFR/89u1UXscqcyWa6wua6cWPIypzuzfK6eeemqY16Vgk+pMbSqmMre24UfhNl3PddOrk3db1j7xv+nEHvlsoyNFx7T71PPPPx/mnurDgvaXX355mBfRcZVvTVntWuWhe7Paow9C1rkm6x5rOu5fdep5Jsuqzt9EAAAAAACAtiZSWnQfg9HR0db6vr6+dG2x8fHxie7u7tZ+AwMDE/v37w/T8PBwa72m7du3h32Utq2L+Txo6u3tnRgbGwvH6e/vn7Le+O1Fx87Kk9LWfn57rROfJ22j48XH1DQ0NBS2HxkZaa3TsXSuorz6tHw52jpNMb+P5SmPLyPLj6c8DA4OtrbxaWYdp+jYSt++yzoWZo7VQxm+jTShbnrWtppsO+3yomvdvte1r+tYNPfXha6TTrQ7Nx3P7kO6j/h82H2op6cnrPMsj9pX9xnj76d+fRmWV7u3GZWVP57/Ls9MtwX93bDjxfVp92flXediyuyjKb7f1Sl7pVmnntuxfZW2/e0UHd+OF5dlmX1UD54vK52nlaP/W6b8+/KdjmvMl5UvY6WRV2d1y76pa6xumzZ57VTlW1RnWdrlxZ+zbxtaVhnpO5Wh13Q9102vTt7F2oDm1m6UBx3bjmV5ML5OVJbaXrS/1Yf2L8vnwc5LaaqtWXpa9nweyl6TUudYOn/7rqn7l46p/TRVqeeZLCv7Tsey/Im28+3NfwcAAAAAAI5+1o/QiW+//TZzaqWadRDfqV6ms8+ok9D2y5vUmWGs00NTzOchb1KHiO+08d8Z3yFTNFmHnDpYrHOnaPIdm74DL2sqk0/jy8TylKdMGfkpr+ztOEXH1vnad3U7mNEMq4cyfBvJ47eJ6z1WJr0s1raabDtl8tLunpQXWLHvy+S3zLkV5SO+Pxh1/londNZUpePfxGkq75rsnpeXlyzT1RYszazv25VjVvv1nfxZU1YbqFv2deq5nXZ5yQo26TgWjMqalJ7SjRX9LcvLf9E5a8oqX7Hv43rW3+Ci89WUlWadsm/qGmvi/qaAUXx8P+XVWaxdXtqdc95x6tSzv0fE12ad9OrmXXWvNpC1j6asY0nR9ZB3LCt/zb12echra3WuybrHKqqTvGO1U6eeZ7Ks4jaletNkx6973gAAAAAAYHazvoBOZAVeNbVSzTqI7zCLO5DaUcepOkB8x4k6gbUu7nyzTipNMZ8HdYz4bfVZHepxx5d9r8lTx4k6qO075Ucdk77DxedN6fpz0FyffcdO3LGpDiSfR02Wz/gX836bmE8jLq+YL6O8SXnQuReVvX1XdGydr33XSQczOmf1UIZvI3n8NnG9x8qkl8XaVpNtp2xetJ2//nU963NRh6ptWya/Zc/N8hHfV4pG1OhepHT9vUrLecGCMrLS1D0x655aZLragqWZ932dcszaR5+1Pk/dsq+Tv3bq5CVvH60rqmel6fexv99F+9g52z5WvnWvsay8Wz6K0qxT9nXKNtbU/S3OvyalHY/yK1ImL3bOKlM7jrWNIlXrWdvbtlqOVU1P6uZdbUBtwe+nY2Xly1M7sDLVpP11rLzrwbbVPGZ5iOtXPxIsUuearHssqxPbT/N211A7dep5JsvK2lS8X9W/iQAAAAAA4OhhfQCdyAq8aurSl39IPLwjSdKPAGa56bhm9c7DJUuWcB9wVM6jo6PhHaaYWZT98YF6PvYdj39b9I5/vXt63bp16RoAAAAAAADMJk3EWL777rt0aap/k84BHOcOHDiQPPvss0lPT0+6Bps3bw7zU045Jcwxcyj74wP1fOw7Hv+2KNi8Z8+eZN68eekaAAAAAAAAHE8IvgIIPv/882TXrl3JCy+8kK45vilg8OSTTyYjIyPJGWecka7FTKDsjw/U8/HhePzbsnHjxmRgYCBZuXJlugYAAAAAAADHEx47DByluGYBAAAAAAAAAACq47HDAAAAAAAAAAAAADDLEXwFAAAAAAAAAAAAgAYQfAUAAAAAAAAAAACABhB8BQAAAAAAAAAAAIAGEHwFAAAAAAAAAAAAgAYQfAUAAAAAAAAAAACABhB8BQAAAAAAAAAAAIAGEHwFAAAAAAAAAAAAgAYQfAUAAAAAAAAAAACABnRN/EFY6OoKKwAAAAAAAAAAAADgWJeGSWv57rvv0qWpGPkKAAAAAAAAAAAAAA04bORrJxFeADOHaxYAAAAAAAAAAKC6JmIsjHwFAAAAAAAAAAAAgGlE8BUAAAAAAAAAAAAAGkDwFQAAAAAAAAAAAAAaQPAVAAAAAAAAAAAAABpA8BUAAAAAAAAAAAAAGkDwFQAAAAAAAAAAAAAaQPAVAAAAAAAAAAAAABpA8BUAAAAAAAAAAAAAGkDwFQAAAAAAAAAAAAAaQPAVAAAAAAAAAAAAABpA8BUAAAAAAAAAAAAAGkDwFQAAAAAAAAAAAAAaUBh8feONN5Kurq7Caf78+cnKlSvDtmjWsmXLWuU8HeXr67CM6cyPb2s6Tt461OPLMq/uPvnkk2TNmjXJ3Llzw3aat7u2t27dmixatKiVtvZRXWl9VTqOjmdpaVLaypPyFvPtMW8yWd/lTUXn286BAweSBx54IFxTlp7OYcOGDeG7LPF5a9+8c44pTasvHdfTZ0uz3VTl+orbie2/efPmdItiVm9Fx8xqC9pe55RVjvH21nZ37NiRbgEAAAAAAAAAwMzoeOTr+Ph4sm3btmTJkiUhwICjT9ng69FIgRoLEB6v3nvvveTKK69MP2VTQK23tzfZtGlT8uWXX4Z1mtu1HQf2RAG4VatWJfv27UvXTO7z6quvhvVV7geqIx1Hx/OUtvKkvOk8vD179qRLzZozZ066VI3amgKE69evD/dFo3O47777kjPPPPOwgKqCg/F5a18756LgoR3P6qsTJ554YrpUTHUQtxNRnd9yyy1trzO1GW1bJK8taD+VbRy0zdre2u6KFSv4uwQAAAAAAAAAmFGlg699fX3JxMTElGlsbCwZGBhIt0hCgKHOiDccHXbu3Nmq+8WLF6drp4+OYcfTsetQwCsOEB5PFCy79NJL2wboFBSzbXRNq8xHR0dDoE0U9PKBQC0rACfd3d3hXqB9hoeHwzrR/aDM6E1tozoySkNpKc3+/v6wTnm7+uqrw7JoH8tv1r3JJpP1nU3+HjY4OJice+656adqtmzZ0mpnViYKpFoZKr9K3yh4+qMf/Sj9lCQjIyMhP5prf22v77PK0AKvRe163bp1h52rTcqbjiGaq67KUDuwctd57d+/P7QTS0v5yRsBqzZmbSaPzlXbGSuT+Bj2d0bl4Le3thu3wzhwDwAAAAAAAADAdOlo5KuCFI8//ngyNDSUrpnsYFeHODAbWKDoeKNrUCP+zjvvvLZloICXjUZUgOuee+4Jywp+P/nkk2FZ7r777nQpSR599NF0KUnuv//+VsDy5ptvbgUzldbvf//7sFzk+eefT5eScC9RGqI0FWTr6ekJnxXItEcC+3Qvu+yydKk6H0RWMPHee+8Ny3Xs3r07XUqSZ555JuT/jDPOmPLDAT8687XXXmvVjQLIekyuaK4yFX2voK6n4KZ+VNDJDwpWr17dOrbyqnyW4Uet6rxOOumk0E6UhnnxxRfTpUmqM42ubxd4FbUFy5cC71YmOob+1pjPPvsszD/88MPW9qo/20ZtyAe62422BQAAAAAAAACgKR0/dlg0wsoCJOoIV1ABR49OgleYnRSws9GMCkrZ6Mss/npV4FQBNaMAou2rYJ8CtQrsWjBL170FS40CYBp9ePDgwWT58uXp2nxff/116/5x0UUXhblno1+9999/P11KknPOOSddqkbn4UeePvLII+lSPf5HJ/68VZ4Krhrb7qWXXgpzue2229KlSddcc026NDVgq0CmHu+r+6yC21ll044eIW2BW+WrTB2JPz/t59uJT8NvJ3oksD2G2Y8yzvLcc8+lS5MjVj0FYm3krv7myDfffBPm8sMf/jBdmnTFFVekS5NtDAAAAAAAAACAmdBI8FVuuummdGlqUEE0ek3vAuzq6mpNemSmRnBZR72CCv47T/vbd3Pnzk3XTtLINfvOH0MjcNVZb5/t+6zHIuvYfluN0tL+Gjlo62zEnQIXts7v49NWnnQO9p1NWpf17sys42dt5+lY8TGUB+0XBz/aUWBC52vpqIyVHztn449n39k67aNjK+8+HaWb9djUMnQMS0vHMXF5adK5+2NZPXm27fFCgTk9tnXv3r1TAmUxG0UoF198cbp0yNKlS9OlJPniiy/CaEPz05/+NF2qT6NNP/744xBUy3qc9a5du9KlQ+9j9aNMn3766Vbd2rVb5jGzClDbqEkFBbOOXYUvY/+IZl2P/v20tp1/L+wFF1yQLk3SNhb09tuJ1uuxuh999FGyYMGCdG05yssvf/nL9NNkoLwsf34Kvvv7jL9XxG1NgXWNQtV5XHvttenabBYUVtstMxr3e9/7Xro0NXArb731VrqUJCeccEK6BAAAAAAAAADANJtIadF9DEZHR1vr+/r60rXZtm/ffti2+/fvn+jt7W2tz5q6u7snxsbGwvY9PT2t9d7AwMCUfWx78d8NDw9P2S5vGhoaSveemBgZGcncJp5UFqJ9s77XND4+PjE4OJj5nZ+0jal6fInLI55U5ir7drL2jSflz6hebb3lx6/Lm1TH7fKT1day1vl2ljXZsYrq6VhR5Xyy6s4UfSe+LLXsP6t99Pf3tz6r/PVZ9dSErDYgOo6tz5t8243pWvXb6nOnfNvUNaj7lNL190B/7ds6TVna1YvEddOOv3douSp/f1M961pT3nx9FNV9Xn2K/07novz5dLW97vExX75WBv5vgdJoon4BAAAAAAAAAMcO60PuxLfffps5NTby1Y9AshFRDz/8cGskU3d3dzI6OqqzCPPedFSXRp7p/YOi0U7Gj6SKR6u+/fbb6dKh7zS66uyzzw7LRscYHx9P9u/fP+VxlzbyS/nUKDkzNDQU8jc2NtbKXzvaVvto+kOBth6VqfMdGRkJ63V8jVQz9hhRjdL0x7ftffnEVC727kRfpsqHlZ/K/K677grLZSktpRHnddWqVZVGrmpfOwelKapj/17PTvh3jVp9qY59e1K702NJ9Z2nz/E6dEbt1z8WV+WvzytWrAgjxzuh0atXXnll+ilJfvazn4W5rtvzzz8/LPvrTO3AX+dFbde/R1X7lH3naRE9elftX3nSNaj37eq+ZPdAjf7s5J2ynVK5+feu3n777elSeT/5yU9a71JVPZ988snhscKqd6uLso8xLqJ7tPKqdI1G2+qRyxrl7ikffeljndevXx9GQGs7Ufm//vrrjdQvAAAAAAAAAABlNBZ89eyxk76jXx3g9lhPzXfu3Nl6z6OCEwq0/Omf/mn4LPbISK33HfCitESP9rTvfOBWFAjQMdTprvzcc8896TeTASJRQNDvb+8R1Hsuff7yKGijbY0ex2pBAH2nR+OKju/f4aggkehdm/74tr3Kxwe0vI0bN6ZLSfKb3/ymVabKhwLRFoSMA9bt6PGjSkN51Ts8fRCrbOBUwVB7/6fy5dNo6p2LPoiiR8/qPLXuySefDOvKBs3RDLVflbn9yMEH7vVDBP8jiiq036WXXtq6PhTUs7auNqrrUwFXvVfWrhu1A7Vjfy/IartNBCGzKND74osvtvIce/fdd0s9Dnm6NBFw1j0u796k8/7tb3/b+vFNJ5SW7uH245Lt27eHz6K/F/6x7LqP+sc6e2of9n5iAAAAAAAAAABmQmPB12+++SZdmuSDpgrO+CClKIDigyTqINc2Fjyzdzr6jnMLhlrnv971aG688cZ0aZJGxukYxi8bC+LKrbfemi5N0vb+PbZZ4nNSEEhBIY0gnTdvXhj5p3eV6j2UGiEW88e//vrr06VJCoxkBRL9+y814szedWmTjbJT2VcJ9FgAy/h3M/r3axa56KKL0qVJ0/GeRQXKrFzUNjS6Ue+W1fuDVe56v+mRHF14vIl/5KDgu4Lw5tlnnw2B1Lid2uTf5WsUULfRlKLAa9w+i/hrOavt+h896McSdYKQWXQ/s/uVgpsKRmuy8tB3CihXGUnepCeeeCJdmnp9G3tPctak75RvjUS2H4/YKHd9tnu5gtpZdVqH/3GJRtPqs7Fz0Q9wNMo1Dtba0wO0XqNhOx2FDQAAAAAAAABAWY0FX9988810aTJwqEfwmqzAp2QF5+wRxBbEeO6558JcgVcfrFWnuwVh1cleJ4Dy1VdfpUv1xI851ogvBR70uFEFBDTyT+eh4ISN2vL88f1jm01WuVnQqAxfB8cK1bMCrArIWTBeZaKgj8pdge4jObrwaLRw4cJ06fAfUYgftXzOOeeEHxaY+EcO4oPwVQONeoyxAuqia0YjHqsEXst46aWX0qUkueGGG9KlzihgbD980H1KI3BVLpo0ot5GBKut/upXvwrL/scVWaNF/bqzzjorXapH14QFTXXdWFCzCuXb7j86HxvlrmtS52/3Z5VD1ZH3csopp6RLk+I8+s92LrfddluYS9HTFXQvPlJBbwAAAAAAAADA8aWx4Kt/FOUll1ySzJkzJ/2UHVgQH9SxQOzll18e5qIAqw9oXHzxxWFZfKe7BWyPNL1n1YLG6vTXiDeNwNKkx1/GfMA4K+jVjkZ4FU11AixZTjzxxHRp9lBA7uOPPw6jXfUOSguyKCij0YVNPPr0eOGDqf5HFMaPtj711FOT0047Lf1UjtphVvvUpACZUeDVHges+lQwLev9oQrsabSzRmRmjWj011L8owy1C3+v8vebTnz22WfpUpIsWLAgXTrE/1DDgoDWZuWdd95JlyYpn3bvUxA67wcsZf3d3/1dujR5L81i70nOmvSdD17GPzwRf96+PMqq8wMaC8JK1tMV9GMM88UXX6RLAAAAAAAAAABMn0aCr3okpXWCK1CgwJg6wm20p4II8WhEBRf8excvvPDCMFcHvI0I848VVuD1ggsuSD9N7XSvG0D5wQ9+kC5NPh415h/TWYYf7aVgigIWCjxpynr3pQ8W+HMVlY8Fcj17p6zoUbue9lGwQYEpjcCtMtIrzp8vDwUzZwud16JFi0LgTeerMtRjhhWItXaj0Xl6NyXK8dePrkmVq1G7sCCggoUqb7Vnu7bVRuNr27edyy67LF0q5gOvqkddP3EwzSj4ayMwFUj1+ZVHH300XZr8IYjn24WO02lQ0/hR/L/73e/SpUM++OCDdOnQjxmuuuqqMBefZ/HvZ21i5K/eN2v8j1iq8D/C8Odj/HnXfeS4DwzH9zd/f7X7oLVDyfobo/uC8T8IAgAAAAAAAABgunQUfFVgRoEBvVPPPPPMM+nS5HsPjQJ4FuBTJ7mCaBZAURDEB1psJKsfcafAqwIlPvgonbyz8Zprrml13ivwoyCyWP58gLcMP5Lt4YcfDnMFQBU00LsSY/74CiIpAKWAgcpJx8/iH5N65513tgIUyvN1110X8mzlWqVclD+NNNbxVQ4WCFP+mhod2BQLBq5du7YVeFPefX3FjzAVHjuaTe3Eriu1HStXtcMf//jHYb34dyDfcccd6dLkta32F7cdURtvR9eH7aNrSKNhi4KiCv7ataY6V7vXsVW/uh/50edx4PKtt95Kl5Jk6dKl6VLn/DXir2VNukZ1rRoLumofH8S2+4/K45e//GVYlqz3s1blf8jhf8RShQ8W67Hqdu9RuWsEchMjiv37enUMC7hqrjI1dh/09Rv/jbH7odgPBwAAAAAAAAAAmHYTKS26j8Ho6GhrfZlpeHg43XPS/v37J3p7ezO3tamnp2dibGws3WPS+Pj4lG36+vrSbybCMfx3IyMj6TdT8+v3MX4/o/39ej/5vCttGRoaOmydifPmp+7u7nCu9lllI9u3b5+yXd7kjzUwMJC5jU06VlymWbL2jSdfvipTW2/5yVpnfFlpuYj2tW2t7rLW6bx0frY+axocHAzbSlb7O1ZUOZ+iepJ25apyjPk0sybfdor466LdZO2oXX7zrgF/7bTLnz+/du1Xiu4lNun4Xrt9fFvOUuYa8/dTlXUn2t17NBWVa9Y1HfPnlDX5MizzN6bs/RAAAAAAAAAAcPywPuROfPvtt5lTRyNfu7u7w4i54eHhMMLo5ptvTr+ZpNFre/fuTUZGRlqPhDW2X9bjRf2jh8U/utQeT2w6HZWpkVOjo6NTHnepUVJDQ0OVH0mq84/PVWkNDAyE0Zp+pN3zzz8f5nqn5djYWObx4zIzjz/+eDiOytDT9nr/qY5VdZSX9jOWZ+UrHjl4pOm8dH7Kn9qf0bLKUOWixxCbRx55JJyP0XYajYip8spVbUxlqus4phGqee1d11SZtqO6sNGJVeTlV3nRtfPRRx9lXgN+9HPVd9e2Y/eSrOtW61RWuna9rPuPtWWt9225Lv+uU/8O1DqUf923/TVlLM+d3jP0uPa8MonLUPdotUPdv3w7EH1W+6hzPwQAAAAAAAAAoK4uRWbDQldXWJF+PC7oUbUrVqwIASYFeNXp7ylQYYEhBSLpwMdscjxeszNNj//WI3sVcIx/XNKOAstVf8BxtJmN53g8lDsAAAAAAAAAoDNNxFi+++67dGmqjka+Hu1OPfXUMFdwRe9YVDBWNDpO7xe0wKtGeRF4BY4vem+ovSs1HnFfxvEQAJyN50jgFQAAAAAAAABwJB3XI19FQdZNmzaln7Jt3749PB4YmE0Y+Tq99Phc/QDj5z//Odc/AAAAAAAAAADHkOkc+XrcB19l69atyUMPPRTeDWj0jsZFixYlt99+e3gHLTDbEHwFAAAAAAAAAACojuArgMNwzQIAAAAAAAAAAFQ3ncHX4/qdrwAAAAAAAAAAAADQFIKvAAAAAAAAAAAAANAAgq8AAAAAAAAAAAAA0ACCrwAAAAAAAAAAAADQAIKvAAAAAAAAAAAAANAAgq8AAAAAAAAAAAAA0ICuiT8IC11dYQUAAAAAAAAAAAAAHOvSMGkt3333Xbo0FSNfAQAAAAAAAAAAAKABh4187STCC2DmcM0CAAAAAAAAAABU10SMhZGvAAAAAAAAAAAAADCNCL4CAAAAAAAAAAAAQAMIvgIAAAAAAAAAAABAAwi+AgAAAAAAAAAAAEADCL4CAAAAAAAAAAAAQAMIvgIAAAAAAAAAAABAAwi+AgAAAAAAAAAAAEADCL4CAAAAAAAAAAAAQAMIvgIAAAAAAAAAAABAAwi+AgAAAAAAAAAAAEADCL4CAAAAAAAAAAAAQAMIvgIAAAAAAAAAAABAAwqDr2+88UbS1dVVadI+ZW3YsCGZO3dua9/58+cnBw4cSL+dvXy5rFmzJl1bzLbX1LQHHniglbaW89bh+KJ6X7RoUasd6PpSe827Rj/55JPwvV2Tmq9cuTJ3e12rOobStWMsW7Ys2bp1a7pFNTt27Aj7W1p2/LLpaTvbt0ybV/59+QAAAAAAAAAAAHTqiI18VXDkvvvuS7788st0TZIcPHgwOemkk9JPR4fTTz89XTr2KDilgJYCVDi6qM7Wr1+f7Nu3L12TJOPj48mmTZuSJUuWHBbQVOC1t7c3fG/XpObbtm0L22cFMxUo1TGUrnn11VeTVatWhe+q0A8xVqxYEfY3dnyl1+5HDhY4ruLhhx+eUj4AAAAAAAAAAACdKh187evrSyYmJtpOixcvTvcotnv37nQpSYaHh8O+Cr4eq3wZzYR169a1jqflOs4888wQ+CJAdXTZvHlzq866u7uT0dHRZP/+/cnQ0FBYJwpU+lHm+mxB14GBgdButJ8CsqIgq0amGgVj7RjaRukrCNvf3x/WKYiqgGoZ7733XvghhrH7wcjISMi/KChcNKpex/U/5GhH5+KPCQAAAAAAAAAA0IQjNvLVB35uvvnmdAmzSZVgFmaPzz77LPxYQp555pnwgwiNKFcQXoFVUd2+9tprYVmjRm3EqYKd99xzT1jWfk8++WRYlrvvvjtdSpInnngiXUqSRx55JKR/xhlnJI899ljS09MT1iu46a/zPB9++GHIr449ODjYuh/okcOPP/54WJZnn302XZpKQd4qPxDQ+f7oRz9KPwEAAAAAAAAAADTniAVfj5XRlBdddFG6BMwO9957b7Jz584wenT58uXp2kn+MdkK0ooFYUXBWf/o73PPPbc1+lXXrAKXGqlqjxrWd360u/a10a/i086jIKvyq5Hvyrt32mmnpUuTQdOYRsPaCFYbJduOjfItuz0AAAAAAAAAAEBZMx581bsgu7q60k+T9FmTAim2HG8jtq9tKxpZp0egzp8/v/Xd3Llzw7bxey3Fttc7MW17TXnbt/PBBx9MyZfyoeBOHCjyxzL2WftrH+Xb1ikd5bPMyMEs2tfS0rKxd7jad5p0fH8s29ezbXF084/7Puecc8LcgrBy8cUXp0uHLF26NF1Kki+++CL5l3/5l/TT1O+MT8OnXcdbb72VLiXJwoUL06VJaq9XXnllWNZoWxvVW0Rt20b53n///WEOAAAAAAAAAADQlCM28rUpChzqfZQ2Ek80qk0BFr2v1AceFayx7eORt7a9gqBV3HLLLa1gjigfej+lRgRqhGAZ2l/7+Mf8Kh3l87rrrkvXdE6PZ816h6uO3/SxMLvoxwAaYWptVe3TRsW+++67YS7f+9730qVDTjjhhHRpMhj6/vvvp5+mfmd8Gj7YW4X9SELtUjRK9cYbbwzLZu3ata1r5oUXXsjMi6fr0dLT6Fwedw4AAAAAAAAAAJpWOviqoI2NfsybfKAzjz0O1dNnTf7xpWVo9KsFEjXyTQFLpTM8PBzWiYItNqJzy5Ytre0VfLLtt2/f3nq0qoKgVUfAat/9+/eH9Pw7Na+++uqwXIaCS6Ojo4flX+VeNojbjj2eVexYmtvjV3WsHTt2hHeD6jtPn+N1mP3U9nVt6vrYtm1bWKf3q+o6nK00Mvvkk09uBUqV99dffz28U9Zs3ry5dT5DQ0Ph8chFVA52Paq96920AAAAAAAAAAAATTuqR76ecsop6VIS3hep4KpG+GlEm0a2KciiQNPnn38etvnlL38Z5lqv4JMFczQC0AejXnrppXSpHAWB9K5Lpff444+HYJEoGGuPR27nN7/5TSv4rPxbMFi+/fbbdKkzli959tlnQ950THv8qsrqm2++Ccs4Nnz44Yfp0iEKsmuUs/0oYbaJR2brOlLg1H6EoPmdd94ZlnWd6McC7dx1110hHXnmmWemvNcWAAAAAAAAAACgKaWDrwrM2ejHvMmCIPbO0KypzOjYshTstFGiGmmqkZ0KMGrk3FVXXZV89NFHIaiqUXEK2NgjSjXXyDqfL302u3btSpfaU7n4EXly0003pUtT31lZJB71Ox3Boaeeeqo1ylUjfJcsWRLeLfv111+HwJTKSo+mxbFD7cquz7GxsdBexQKwMyF+l7Of9BjwmOVXbXJwcDCs0/Kll14aAsarV68O17Daso1+LaLR3GrvovTsccsAAAAAAAAAAABNO+rf+apRogrM2ON+RSPn9G5TBVT1nlOpMnrUgrTHGgXiFJDWY1otCKuy0+NdFbRWIGy2joZE5/QjBAXYbQS0ArAaKb5w4cLwWbJGPis4b84555wwGf+d8Wn4tKvSjxruvffeKY/y3rhxY2tkrD7rXCyQa48pFi1bcPfRRx9N104+etu21+TZurKj1QEAAAAAAAAAAGLTEny1d4ZmTWUeEVqVPe5X710dGRkJjxw2CrbEo23LjOJtygknnJAuzQ4aUas60GOa9a5bBbYsEDuToyExfRRw1OhvBRKzguka7Wy++OKLZN68eemnJHnzzTfTpUP8SPBTTz01TCZrlLhPQ2n70bfxpGCwfiChPCu/GqUaO/3009OlJPnXf/3XdAkAAAAAAAAAAGD2OWpGviqIpOCgt3Xr1hC0mTt3bgjgKLCox+ZqvQKLZvfu3VMe66t07P2RRp8V/FFgqsqjd/fs2XNYgOuJJ55Il5LkwgsvTJeOLJ2fykrnp8Cc6PGrClprNKyJyxhHJxsdqvcge2qrarNG702+/PLL00+Tj6P27VmjQC0tjTLV6FlNNnpW3/mRotrXHvErPu08+oGCtTs/StXo+jWXXHJJZhBXk0Z0Gy1rnYK7muJtbfJsXfwIcAAAAAAAAAAAgLJmXfDVgjqyZs2aEMxRcEeBw9hpp50WgjZ6/KgCPjZqTo9Sffnll8Oy2DtZ/aOJr7766lbQSPvps+gxvAsWLAjLZejYypuCmzquArdKQ3p7e0OgajZQWSnoprwpYGajgVW+zz//fFgWX/6ezg1HhxtuuCFdmnz8rn6MIGrnaqv2WG17X7Emexesvlu7dm3ruvvxj38c1ot/l7Ff1jbW/rVvnH4711xzTbo0GfzXdS9KU9eTBWY1QrtMMBcAAAAAAAAAAOBIKR18VQDE3olYNMWP+K3KB3UUUNV7W5csWdIafedphJp/H+SKFStCHhRAtNF3CtjcfvvtYfmee+4JAVFREFLpanvt5wOmN954Y1guS3k777zzwnG3bdsW1um4Tz75ZFieDTQqWKNcjb0TU+V7yy23pGunjjy0shKdm7bH7KeApf+hgd5/bO3criPV7a9//euwLP49wGrD8XWn7f0jw3WNWPvIa/++vRVRgFaPCze6dpVfpenTe/3110M7BgAAAAAAAAAAmK1m3chXBXgUiIkDfwom+YCSUYAn3l70eXBwMASGbPSdAjd6BKkCTfH2GqU3PDwcvq8S4FE6NmpQ7Lh6lO9sGfVqFJQbHR2d8k5csfLVd3oUsXnkkUfCd0YBMP9IWsxeWdeF6k9tVev37t07pZ2rrepaUTuwIKz47T1/Lfk2ouNpndp/mVGvJq9t6viW3my7ngAAAAAAAAAAAGJdE+mLD21UY/weRACzE9csAAAAAAAAAABAdU3EWL777rt0aapZN/IVAAAAAAAAAAAAAI5GBF8BAAAAAAAAAAAAoAEEXwEAAAAAAAAAAACgAQRfAQAAAAAAAAAAAKABBF8BAAAAAAAAAAAAoAEEXwEAAAAAAAAAAACgAQRfAQAAAAAAAAAAAKABBF8BAAAAAAAAAAAAoAEEXwEAAAAAAAAAAACgAQRfAQAAAAAAAAAAAKABXRN/EBa6usIKAAAAAAAAAAAAADjWpWHSWr777rt0aSpGvgIAAAAAAAAAAABAA1ojXwEAAAAAAAAAAAAA7THyFQAAAAAAAAAAAACmEcFXAAAAAAAAAAAAAGgAwVcAAAAAAAAAAAAA6FiS/P+QzaQxCAlQOgAAAABJRU5ErkJggg=="/>
        <xdr:cNvSpPr>
          <a:spLocks noChangeAspect="1" noChangeArrowheads="1"/>
        </xdr:cNvSpPr>
      </xdr:nvSpPr>
      <xdr:spPr bwMode="auto">
        <a:xfrm>
          <a:off x="1061085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4"/>
  <sheetViews>
    <sheetView tabSelected="1" zoomScaleNormal="100" workbookViewId="0">
      <pane ySplit="1" topLeftCell="A62" activePane="bottomLeft" state="frozen"/>
      <selection pane="bottomLeft" activeCell="A84" sqref="A83:XFD84"/>
    </sheetView>
  </sheetViews>
  <sheetFormatPr defaultColWidth="8.875" defaultRowHeight="15.75"/>
  <cols>
    <col min="1" max="1" width="14" customWidth="1"/>
    <col min="2" max="2" width="31.5" customWidth="1"/>
    <col min="3" max="3" width="11" bestFit="1" customWidth="1"/>
    <col min="4" max="4" width="9" bestFit="1" customWidth="1"/>
    <col min="5" max="5" width="8.5" bestFit="1" customWidth="1"/>
    <col min="6" max="6" width="9.5" bestFit="1" customWidth="1"/>
    <col min="7" max="7" width="7" bestFit="1" customWidth="1"/>
    <col min="8" max="8" width="22" style="24" customWidth="1"/>
    <col min="9" max="9" width="8" style="14" customWidth="1"/>
    <col min="13" max="14" width="8.875" style="25"/>
    <col min="15" max="15" width="17.875" style="25" customWidth="1"/>
    <col min="16" max="16" width="49.25" style="25" customWidth="1"/>
    <col min="17" max="36" width="8.875" style="25"/>
  </cols>
  <sheetData>
    <row r="1" spans="1:36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8" t="s">
        <v>70</v>
      </c>
      <c r="I1" s="15" t="s">
        <v>13</v>
      </c>
      <c r="K1" s="4" t="s">
        <v>37</v>
      </c>
      <c r="L1" s="4" t="s">
        <v>46</v>
      </c>
    </row>
    <row r="2" spans="1:36">
      <c r="A2" s="5" t="s">
        <v>34</v>
      </c>
      <c r="B2" s="5" t="s">
        <v>64</v>
      </c>
      <c r="C2" s="2"/>
      <c r="D2" s="16">
        <v>1</v>
      </c>
      <c r="E2" s="2">
        <f t="shared" ref="E2:E33" si="0">D2+I2-1</f>
        <v>1</v>
      </c>
      <c r="F2" s="2">
        <v>1</v>
      </c>
      <c r="G2" s="2" t="s">
        <v>28</v>
      </c>
      <c r="H2" s="19">
        <v>1</v>
      </c>
      <c r="I2" s="11">
        <v>1</v>
      </c>
      <c r="K2" t="s">
        <v>38</v>
      </c>
      <c r="L2" t="s">
        <v>28</v>
      </c>
    </row>
    <row r="3" spans="1:36" ht="15" customHeight="1">
      <c r="A3" s="5" t="s">
        <v>34</v>
      </c>
      <c r="B3" s="5" t="s">
        <v>64</v>
      </c>
      <c r="C3" s="2"/>
      <c r="D3" s="16">
        <v>11</v>
      </c>
      <c r="E3" s="2">
        <f t="shared" si="0"/>
        <v>19</v>
      </c>
      <c r="F3" s="2">
        <v>1</v>
      </c>
      <c r="G3" s="2" t="s">
        <v>28</v>
      </c>
      <c r="H3" s="19">
        <v>1</v>
      </c>
      <c r="I3" s="11">
        <v>9</v>
      </c>
      <c r="K3" t="s">
        <v>39</v>
      </c>
      <c r="L3" t="s">
        <v>10</v>
      </c>
      <c r="N3" s="26"/>
      <c r="O3" s="27" t="s">
        <v>98</v>
      </c>
      <c r="P3" s="28" t="s">
        <v>13</v>
      </c>
    </row>
    <row r="4" spans="1:36" ht="15" customHeight="1">
      <c r="A4" s="5" t="s">
        <v>34</v>
      </c>
      <c r="B4" s="5" t="s">
        <v>64</v>
      </c>
      <c r="C4" s="2"/>
      <c r="D4" s="16">
        <v>100</v>
      </c>
      <c r="E4" s="2">
        <f t="shared" si="0"/>
        <v>105</v>
      </c>
      <c r="F4" s="2">
        <v>1</v>
      </c>
      <c r="G4" s="2" t="s">
        <v>28</v>
      </c>
      <c r="H4" s="19">
        <v>1</v>
      </c>
      <c r="I4" s="11">
        <v>6</v>
      </c>
      <c r="K4" t="s">
        <v>40</v>
      </c>
      <c r="L4" t="s">
        <v>41</v>
      </c>
      <c r="N4" s="26"/>
      <c r="O4" s="29" t="s">
        <v>95</v>
      </c>
      <c r="P4" s="30" t="s">
        <v>99</v>
      </c>
    </row>
    <row r="5" spans="1:36" ht="15" customHeight="1">
      <c r="A5" s="5" t="s">
        <v>34</v>
      </c>
      <c r="B5" s="5" t="s">
        <v>50</v>
      </c>
      <c r="C5" s="2"/>
      <c r="D5" s="2">
        <f t="shared" ref="D5:D16" si="1">E4+1</f>
        <v>106</v>
      </c>
      <c r="E5" s="2">
        <f t="shared" si="0"/>
        <v>121</v>
      </c>
      <c r="F5" s="2">
        <v>41</v>
      </c>
      <c r="G5" s="2" t="s">
        <v>28</v>
      </c>
      <c r="H5" s="20" t="s">
        <v>73</v>
      </c>
      <c r="I5" s="11">
        <v>16</v>
      </c>
      <c r="N5" s="26"/>
      <c r="O5" s="29" t="s">
        <v>96</v>
      </c>
      <c r="P5" s="30" t="s">
        <v>80</v>
      </c>
    </row>
    <row r="6" spans="1:36" ht="15" customHeight="1">
      <c r="A6" s="5" t="s">
        <v>34</v>
      </c>
      <c r="B6" s="5" t="s">
        <v>51</v>
      </c>
      <c r="C6" s="2"/>
      <c r="D6" s="2">
        <f t="shared" si="1"/>
        <v>122</v>
      </c>
      <c r="E6" s="2">
        <f t="shared" si="0"/>
        <v>137</v>
      </c>
      <c r="F6" s="2">
        <v>2</v>
      </c>
      <c r="G6" s="2" t="s">
        <v>28</v>
      </c>
      <c r="H6" s="20">
        <v>2</v>
      </c>
      <c r="I6" s="11">
        <v>16</v>
      </c>
      <c r="N6" s="26"/>
      <c r="O6" s="29" t="s">
        <v>103</v>
      </c>
      <c r="P6" s="29" t="s">
        <v>100</v>
      </c>
    </row>
    <row r="7" spans="1:36" ht="15" customHeight="1">
      <c r="A7" s="5" t="s">
        <v>34</v>
      </c>
      <c r="B7" s="5" t="s">
        <v>52</v>
      </c>
      <c r="C7" s="2"/>
      <c r="D7" s="2">
        <f t="shared" si="1"/>
        <v>138</v>
      </c>
      <c r="E7" s="2">
        <f t="shared" si="0"/>
        <v>153</v>
      </c>
      <c r="F7" s="2">
        <v>42</v>
      </c>
      <c r="G7" s="2" t="s">
        <v>28</v>
      </c>
      <c r="H7" s="20" t="s">
        <v>74</v>
      </c>
      <c r="I7" s="11">
        <v>16</v>
      </c>
      <c r="N7" s="26"/>
      <c r="O7" s="29" t="s">
        <v>81</v>
      </c>
      <c r="P7" s="30" t="s">
        <v>101</v>
      </c>
    </row>
    <row r="8" spans="1:36" s="10" customFormat="1" ht="15" customHeight="1">
      <c r="A8" s="6" t="s">
        <v>34</v>
      </c>
      <c r="B8" s="6" t="s">
        <v>53</v>
      </c>
      <c r="C8" s="6"/>
      <c r="D8" s="6">
        <f t="shared" si="1"/>
        <v>154</v>
      </c>
      <c r="E8" s="6">
        <f t="shared" si="0"/>
        <v>169</v>
      </c>
      <c r="F8" s="6">
        <v>25</v>
      </c>
      <c r="G8" s="6" t="s">
        <v>28</v>
      </c>
      <c r="H8" s="21" t="s">
        <v>71</v>
      </c>
      <c r="I8" s="12">
        <v>16</v>
      </c>
      <c r="M8" s="25"/>
      <c r="N8" s="26"/>
      <c r="O8" s="29" t="s">
        <v>82</v>
      </c>
      <c r="P8" s="29" t="s">
        <v>83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s="10" customFormat="1" ht="15" customHeight="1">
      <c r="A9" s="6" t="s">
        <v>34</v>
      </c>
      <c r="B9" s="6" t="s">
        <v>54</v>
      </c>
      <c r="C9" s="6"/>
      <c r="D9" s="6">
        <f t="shared" si="1"/>
        <v>170</v>
      </c>
      <c r="E9" s="6">
        <f t="shared" si="0"/>
        <v>185</v>
      </c>
      <c r="F9" s="6">
        <v>25</v>
      </c>
      <c r="G9" s="6" t="s">
        <v>28</v>
      </c>
      <c r="H9" s="21" t="s">
        <v>71</v>
      </c>
      <c r="I9" s="12">
        <v>16</v>
      </c>
      <c r="M9" s="25"/>
      <c r="N9" s="26"/>
      <c r="O9" s="29" t="s">
        <v>84</v>
      </c>
      <c r="P9" s="29" t="s">
        <v>102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>
      <c r="A10" s="2" t="s">
        <v>34</v>
      </c>
      <c r="B10" s="2" t="s">
        <v>55</v>
      </c>
      <c r="C10" s="2"/>
      <c r="D10" s="2">
        <f t="shared" si="1"/>
        <v>186</v>
      </c>
      <c r="E10" s="2">
        <f t="shared" si="0"/>
        <v>201</v>
      </c>
      <c r="F10" s="2">
        <v>9</v>
      </c>
      <c r="G10" s="2" t="s">
        <v>28</v>
      </c>
      <c r="H10" s="19">
        <v>9</v>
      </c>
      <c r="I10" s="11">
        <v>16</v>
      </c>
      <c r="N10" s="26"/>
      <c r="O10" s="26"/>
      <c r="P10" s="26"/>
    </row>
    <row r="11" spans="1:36" s="9" customFormat="1" ht="15" customHeight="1">
      <c r="A11" s="7" t="s">
        <v>34</v>
      </c>
      <c r="B11" s="7" t="s">
        <v>56</v>
      </c>
      <c r="C11" s="7"/>
      <c r="D11" s="7">
        <f t="shared" si="1"/>
        <v>202</v>
      </c>
      <c r="E11" s="7">
        <f t="shared" si="0"/>
        <v>217</v>
      </c>
      <c r="F11" s="7">
        <v>26</v>
      </c>
      <c r="G11" s="7" t="s">
        <v>28</v>
      </c>
      <c r="H11" s="22" t="s">
        <v>72</v>
      </c>
      <c r="I11" s="13">
        <v>16</v>
      </c>
      <c r="M11" s="25"/>
      <c r="N11" s="27" t="s">
        <v>85</v>
      </c>
      <c r="O11" s="27" t="s">
        <v>86</v>
      </c>
      <c r="P11" s="27" t="s">
        <v>87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s="9" customFormat="1" ht="15" customHeight="1">
      <c r="A12" s="7" t="s">
        <v>34</v>
      </c>
      <c r="B12" s="7" t="s">
        <v>57</v>
      </c>
      <c r="C12" s="7"/>
      <c r="D12" s="7">
        <f t="shared" si="1"/>
        <v>218</v>
      </c>
      <c r="E12" s="7">
        <f t="shared" si="0"/>
        <v>233</v>
      </c>
      <c r="F12" s="7">
        <v>26</v>
      </c>
      <c r="G12" s="7" t="s">
        <v>28</v>
      </c>
      <c r="H12" s="22" t="s">
        <v>72</v>
      </c>
      <c r="I12" s="13">
        <v>16</v>
      </c>
      <c r="M12" s="25"/>
      <c r="N12" s="31">
        <v>31</v>
      </c>
      <c r="O12" s="32" t="s">
        <v>97</v>
      </c>
      <c r="P12" s="31" t="s">
        <v>88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>
      <c r="A13" s="2" t="s">
        <v>34</v>
      </c>
      <c r="B13" s="2" t="s">
        <v>58</v>
      </c>
      <c r="C13" s="2"/>
      <c r="D13" s="2">
        <f t="shared" si="1"/>
        <v>234</v>
      </c>
      <c r="E13" s="2">
        <f t="shared" si="0"/>
        <v>249</v>
      </c>
      <c r="F13" s="2">
        <v>12</v>
      </c>
      <c r="G13" s="2" t="s">
        <v>28</v>
      </c>
      <c r="H13" s="20" t="s">
        <v>75</v>
      </c>
      <c r="I13" s="11">
        <v>16</v>
      </c>
      <c r="N13" s="31">
        <v>32</v>
      </c>
      <c r="O13" s="32" t="s">
        <v>89</v>
      </c>
      <c r="P13" s="31" t="s">
        <v>88</v>
      </c>
    </row>
    <row r="14" spans="1:36" ht="15" customHeight="1">
      <c r="A14" s="2" t="s">
        <v>34</v>
      </c>
      <c r="B14" s="2" t="s">
        <v>59</v>
      </c>
      <c r="C14" s="2"/>
      <c r="D14" s="2">
        <f t="shared" si="1"/>
        <v>250</v>
      </c>
      <c r="E14" s="2">
        <f t="shared" si="0"/>
        <v>265</v>
      </c>
      <c r="F14" s="2">
        <v>13</v>
      </c>
      <c r="G14" s="17" t="s">
        <v>10</v>
      </c>
      <c r="H14" s="20" t="s">
        <v>76</v>
      </c>
      <c r="I14" s="11">
        <v>16</v>
      </c>
      <c r="N14" s="31">
        <v>33</v>
      </c>
      <c r="O14" s="32" t="s">
        <v>90</v>
      </c>
      <c r="P14" s="31" t="s">
        <v>88</v>
      </c>
    </row>
    <row r="15" spans="1:36" ht="15" customHeight="1">
      <c r="A15" s="2" t="s">
        <v>34</v>
      </c>
      <c r="B15" s="2" t="s">
        <v>60</v>
      </c>
      <c r="C15" s="2"/>
      <c r="D15" s="2">
        <f t="shared" si="1"/>
        <v>266</v>
      </c>
      <c r="E15" s="2">
        <f t="shared" si="0"/>
        <v>281</v>
      </c>
      <c r="F15" s="2">
        <v>14</v>
      </c>
      <c r="G15" s="2" t="s">
        <v>28</v>
      </c>
      <c r="H15" s="20" t="s">
        <v>77</v>
      </c>
      <c r="I15" s="11">
        <v>16</v>
      </c>
      <c r="N15" s="31">
        <v>34</v>
      </c>
      <c r="O15" s="32" t="s">
        <v>106</v>
      </c>
      <c r="P15" s="31" t="s">
        <v>88</v>
      </c>
    </row>
    <row r="16" spans="1:36" ht="15" customHeight="1">
      <c r="A16" s="2" t="s">
        <v>34</v>
      </c>
      <c r="B16" s="2" t="s">
        <v>61</v>
      </c>
      <c r="C16" s="2"/>
      <c r="D16" s="2">
        <f t="shared" si="1"/>
        <v>282</v>
      </c>
      <c r="E16" s="2">
        <f t="shared" si="0"/>
        <v>297</v>
      </c>
      <c r="F16" s="2">
        <v>15</v>
      </c>
      <c r="G16" s="2" t="s">
        <v>28</v>
      </c>
      <c r="H16" s="20" t="s">
        <v>78</v>
      </c>
      <c r="I16" s="11">
        <v>16</v>
      </c>
      <c r="N16" s="31">
        <v>35</v>
      </c>
      <c r="O16" s="32" t="s">
        <v>91</v>
      </c>
      <c r="P16" s="31" t="s">
        <v>88</v>
      </c>
    </row>
    <row r="17" spans="1:36" ht="15" customHeight="1">
      <c r="A17" s="2" t="s">
        <v>34</v>
      </c>
      <c r="B17" s="2" t="s">
        <v>62</v>
      </c>
      <c r="C17" s="2"/>
      <c r="D17" s="16">
        <v>8600</v>
      </c>
      <c r="E17" s="2">
        <f t="shared" si="0"/>
        <v>8607</v>
      </c>
      <c r="F17" s="2">
        <v>16</v>
      </c>
      <c r="G17" s="2" t="s">
        <v>28</v>
      </c>
      <c r="H17" s="20" t="s">
        <v>28</v>
      </c>
      <c r="I17" s="11">
        <v>8</v>
      </c>
      <c r="N17" s="31">
        <v>36</v>
      </c>
      <c r="O17" s="32" t="s">
        <v>92</v>
      </c>
      <c r="P17" s="31" t="s">
        <v>88</v>
      </c>
    </row>
    <row r="18" spans="1:36" ht="15" customHeight="1">
      <c r="A18" s="2" t="s">
        <v>34</v>
      </c>
      <c r="B18" s="33" t="s">
        <v>63</v>
      </c>
      <c r="C18" s="2"/>
      <c r="D18" s="16">
        <f>E17+1</f>
        <v>8608</v>
      </c>
      <c r="E18" s="2">
        <f t="shared" si="0"/>
        <v>8623</v>
      </c>
      <c r="F18" s="2">
        <v>17</v>
      </c>
      <c r="G18" s="2" t="s">
        <v>28</v>
      </c>
      <c r="H18" s="20" t="s">
        <v>79</v>
      </c>
      <c r="I18" s="11">
        <v>16</v>
      </c>
      <c r="N18" s="31">
        <v>37</v>
      </c>
      <c r="O18" s="32" t="s">
        <v>93</v>
      </c>
      <c r="P18" s="31" t="s">
        <v>88</v>
      </c>
    </row>
    <row r="19" spans="1:36" ht="15" customHeight="1">
      <c r="A19" s="2" t="s">
        <v>34</v>
      </c>
      <c r="B19" s="2" t="s">
        <v>65</v>
      </c>
      <c r="C19" s="2"/>
      <c r="D19" s="16">
        <v>8001</v>
      </c>
      <c r="E19" s="2">
        <f t="shared" si="0"/>
        <v>8016</v>
      </c>
      <c r="F19" s="2">
        <v>1</v>
      </c>
      <c r="G19" s="2" t="s">
        <v>28</v>
      </c>
      <c r="H19" s="19">
        <v>1</v>
      </c>
      <c r="I19" s="11">
        <v>16</v>
      </c>
      <c r="N19" s="31">
        <v>38</v>
      </c>
      <c r="O19" s="32" t="s">
        <v>36</v>
      </c>
      <c r="P19" s="31" t="s">
        <v>88</v>
      </c>
    </row>
    <row r="20" spans="1:36" ht="15" customHeight="1">
      <c r="A20" s="2" t="s">
        <v>34</v>
      </c>
      <c r="B20" s="2" t="s">
        <v>47</v>
      </c>
      <c r="C20" s="2"/>
      <c r="D20" s="2">
        <f t="shared" ref="D20:D33" si="2">E19+1</f>
        <v>8017</v>
      </c>
      <c r="E20" s="2">
        <f t="shared" si="0"/>
        <v>8032</v>
      </c>
      <c r="F20" s="2">
        <v>41</v>
      </c>
      <c r="G20" s="2" t="s">
        <v>28</v>
      </c>
      <c r="H20" s="20" t="s">
        <v>73</v>
      </c>
      <c r="I20" s="11">
        <v>16</v>
      </c>
      <c r="N20" s="31">
        <v>39</v>
      </c>
      <c r="O20" s="32" t="s">
        <v>94</v>
      </c>
      <c r="P20" s="31" t="s">
        <v>88</v>
      </c>
    </row>
    <row r="21" spans="1:36">
      <c r="A21" s="2" t="s">
        <v>34</v>
      </c>
      <c r="B21" s="2" t="s">
        <v>48</v>
      </c>
      <c r="C21" s="2"/>
      <c r="D21" s="2">
        <f t="shared" si="2"/>
        <v>8033</v>
      </c>
      <c r="E21" s="2">
        <f t="shared" si="0"/>
        <v>8048</v>
      </c>
      <c r="F21" s="2">
        <v>2</v>
      </c>
      <c r="G21" s="2" t="s">
        <v>28</v>
      </c>
      <c r="H21" s="19">
        <v>2</v>
      </c>
      <c r="I21" s="11">
        <v>16</v>
      </c>
    </row>
    <row r="22" spans="1:36">
      <c r="A22" s="2" t="s">
        <v>34</v>
      </c>
      <c r="B22" s="2" t="s">
        <v>49</v>
      </c>
      <c r="C22" s="2"/>
      <c r="D22" s="2">
        <f t="shared" si="2"/>
        <v>8049</v>
      </c>
      <c r="E22" s="2">
        <f t="shared" si="0"/>
        <v>8064</v>
      </c>
      <c r="F22" s="2">
        <v>42</v>
      </c>
      <c r="G22" s="2" t="s">
        <v>28</v>
      </c>
      <c r="H22" s="20" t="s">
        <v>74</v>
      </c>
      <c r="I22" s="11">
        <v>16</v>
      </c>
    </row>
    <row r="23" spans="1:36" s="10" customFormat="1">
      <c r="A23" s="6" t="s">
        <v>34</v>
      </c>
      <c r="B23" s="6" t="s">
        <v>17</v>
      </c>
      <c r="C23" s="6"/>
      <c r="D23" s="6">
        <f t="shared" si="2"/>
        <v>8065</v>
      </c>
      <c r="E23" s="6">
        <f t="shared" si="0"/>
        <v>8080</v>
      </c>
      <c r="F23" s="6">
        <v>25</v>
      </c>
      <c r="G23" s="6" t="s">
        <v>28</v>
      </c>
      <c r="H23" s="21" t="s">
        <v>71</v>
      </c>
      <c r="I23" s="12">
        <v>16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s="10" customFormat="1">
      <c r="A24" s="6" t="s">
        <v>34</v>
      </c>
      <c r="B24" s="6" t="s">
        <v>18</v>
      </c>
      <c r="C24" s="6"/>
      <c r="D24" s="6">
        <f t="shared" si="2"/>
        <v>8081</v>
      </c>
      <c r="E24" s="6">
        <f t="shared" si="0"/>
        <v>8096</v>
      </c>
      <c r="F24" s="6">
        <v>25</v>
      </c>
      <c r="G24" s="6" t="s">
        <v>28</v>
      </c>
      <c r="H24" s="21" t="s">
        <v>71</v>
      </c>
      <c r="I24" s="12">
        <v>16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>
      <c r="A25" s="2" t="s">
        <v>34</v>
      </c>
      <c r="B25" s="2" t="s">
        <v>19</v>
      </c>
      <c r="C25" s="2"/>
      <c r="D25" s="2">
        <f t="shared" si="2"/>
        <v>8097</v>
      </c>
      <c r="E25" s="2">
        <f t="shared" si="0"/>
        <v>8112</v>
      </c>
      <c r="F25" s="2">
        <v>9</v>
      </c>
      <c r="G25" s="2" t="s">
        <v>28</v>
      </c>
      <c r="H25" s="19">
        <v>9</v>
      </c>
      <c r="I25" s="11">
        <v>16</v>
      </c>
    </row>
    <row r="26" spans="1:36" s="9" customFormat="1">
      <c r="A26" s="7" t="s">
        <v>34</v>
      </c>
      <c r="B26" s="7" t="s">
        <v>20</v>
      </c>
      <c r="C26" s="7"/>
      <c r="D26" s="7">
        <f t="shared" si="2"/>
        <v>8113</v>
      </c>
      <c r="E26" s="7">
        <f t="shared" si="0"/>
        <v>8128</v>
      </c>
      <c r="F26" s="7">
        <v>26</v>
      </c>
      <c r="G26" s="7" t="s">
        <v>28</v>
      </c>
      <c r="H26" s="22" t="s">
        <v>72</v>
      </c>
      <c r="I26" s="13">
        <v>16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s="9" customFormat="1">
      <c r="A27" s="7" t="s">
        <v>34</v>
      </c>
      <c r="B27" s="7" t="s">
        <v>21</v>
      </c>
      <c r="C27" s="7"/>
      <c r="D27" s="7">
        <f t="shared" si="2"/>
        <v>8129</v>
      </c>
      <c r="E27" s="7">
        <f t="shared" si="0"/>
        <v>8144</v>
      </c>
      <c r="F27" s="7">
        <v>26</v>
      </c>
      <c r="G27" s="7" t="s">
        <v>28</v>
      </c>
      <c r="H27" s="22" t="s">
        <v>72</v>
      </c>
      <c r="I27" s="13">
        <v>16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>
      <c r="A28" s="2" t="s">
        <v>34</v>
      </c>
      <c r="B28" s="2" t="s">
        <v>22</v>
      </c>
      <c r="C28" s="2"/>
      <c r="D28" s="2">
        <f t="shared" si="2"/>
        <v>8145</v>
      </c>
      <c r="E28" s="2">
        <f t="shared" si="0"/>
        <v>8160</v>
      </c>
      <c r="F28" s="2">
        <v>12</v>
      </c>
      <c r="G28" s="2" t="s">
        <v>28</v>
      </c>
      <c r="H28" s="20" t="s">
        <v>75</v>
      </c>
      <c r="I28" s="11">
        <v>16</v>
      </c>
    </row>
    <row r="29" spans="1:36">
      <c r="A29" s="2" t="s">
        <v>34</v>
      </c>
      <c r="B29" s="2" t="s">
        <v>23</v>
      </c>
      <c r="C29" s="2"/>
      <c r="D29" s="2">
        <f t="shared" si="2"/>
        <v>8161</v>
      </c>
      <c r="E29" s="2">
        <f t="shared" si="0"/>
        <v>8176</v>
      </c>
      <c r="F29" s="2">
        <v>13</v>
      </c>
      <c r="G29" s="17" t="s">
        <v>10</v>
      </c>
      <c r="H29" s="23" t="s">
        <v>76</v>
      </c>
      <c r="I29" s="11">
        <v>16</v>
      </c>
    </row>
    <row r="30" spans="1:36">
      <c r="A30" s="2" t="s">
        <v>34</v>
      </c>
      <c r="B30" s="2" t="s">
        <v>24</v>
      </c>
      <c r="C30" s="2"/>
      <c r="D30" s="2">
        <f t="shared" si="2"/>
        <v>8177</v>
      </c>
      <c r="E30" s="2">
        <f t="shared" si="0"/>
        <v>8192</v>
      </c>
      <c r="F30" s="2">
        <v>14</v>
      </c>
      <c r="G30" s="2" t="s">
        <v>28</v>
      </c>
      <c r="H30" s="20" t="s">
        <v>77</v>
      </c>
      <c r="I30" s="11">
        <v>16</v>
      </c>
    </row>
    <row r="31" spans="1:36">
      <c r="A31" s="2" t="s">
        <v>34</v>
      </c>
      <c r="B31" s="2" t="s">
        <v>25</v>
      </c>
      <c r="C31" s="2"/>
      <c r="D31" s="2">
        <f t="shared" si="2"/>
        <v>8193</v>
      </c>
      <c r="E31" s="2">
        <f t="shared" si="0"/>
        <v>8208</v>
      </c>
      <c r="F31" s="2">
        <v>15</v>
      </c>
      <c r="G31" s="2" t="s">
        <v>28</v>
      </c>
      <c r="H31" s="20" t="s">
        <v>78</v>
      </c>
      <c r="I31" s="11">
        <v>16</v>
      </c>
    </row>
    <row r="32" spans="1:36" ht="17.25" customHeight="1">
      <c r="A32" s="2" t="s">
        <v>34</v>
      </c>
      <c r="B32" s="2" t="s">
        <v>26</v>
      </c>
      <c r="C32" s="2"/>
      <c r="D32" s="2">
        <f t="shared" si="2"/>
        <v>8209</v>
      </c>
      <c r="E32" s="2">
        <f t="shared" si="0"/>
        <v>8216</v>
      </c>
      <c r="F32" s="2">
        <v>16</v>
      </c>
      <c r="G32" s="2" t="s">
        <v>28</v>
      </c>
      <c r="H32" s="20" t="s">
        <v>28</v>
      </c>
      <c r="I32" s="11">
        <v>8</v>
      </c>
    </row>
    <row r="33" spans="1:9" ht="17.25" customHeight="1">
      <c r="A33" s="2" t="s">
        <v>34</v>
      </c>
      <c r="B33" s="2" t="s">
        <v>27</v>
      </c>
      <c r="C33" s="2"/>
      <c r="D33" s="2">
        <f t="shared" si="2"/>
        <v>8217</v>
      </c>
      <c r="E33" s="2">
        <f t="shared" si="0"/>
        <v>8232</v>
      </c>
      <c r="F33" s="2">
        <v>17</v>
      </c>
      <c r="G33" s="2" t="s">
        <v>28</v>
      </c>
      <c r="H33" s="20" t="s">
        <v>79</v>
      </c>
      <c r="I33" s="11">
        <v>16</v>
      </c>
    </row>
    <row r="34" spans="1:9" ht="17.25" customHeight="1">
      <c r="A34" s="2" t="s">
        <v>32</v>
      </c>
      <c r="B34" s="2"/>
      <c r="C34" s="2"/>
      <c r="D34" s="16">
        <v>3</v>
      </c>
      <c r="E34" s="2">
        <v>10</v>
      </c>
      <c r="F34" s="2">
        <v>34</v>
      </c>
      <c r="G34" s="2" t="s">
        <v>41</v>
      </c>
      <c r="H34" s="20" t="s">
        <v>76</v>
      </c>
      <c r="I34" s="11">
        <v>8</v>
      </c>
    </row>
    <row r="35" spans="1:9" ht="17.25" customHeight="1">
      <c r="A35" s="33" t="s">
        <v>104</v>
      </c>
      <c r="B35" s="33" t="s">
        <v>33</v>
      </c>
      <c r="C35" s="2"/>
      <c r="D35" s="16">
        <v>300</v>
      </c>
      <c r="E35" s="2">
        <f>D35+I35-1</f>
        <v>300</v>
      </c>
      <c r="F35" s="2">
        <v>35</v>
      </c>
      <c r="G35" s="2" t="s">
        <v>41</v>
      </c>
      <c r="H35" s="20" t="s">
        <v>76</v>
      </c>
      <c r="I35" s="11">
        <v>1</v>
      </c>
    </row>
    <row r="36" spans="1:9" ht="17.25" customHeight="1">
      <c r="A36" s="2" t="s">
        <v>33</v>
      </c>
      <c r="B36" s="2"/>
      <c r="C36" s="2"/>
      <c r="D36" s="2">
        <f>E35+1</f>
        <v>301</v>
      </c>
      <c r="E36" s="2">
        <f t="shared" ref="E36:E83" si="3">D36+I36-1</f>
        <v>339</v>
      </c>
      <c r="F36" s="2">
        <v>35</v>
      </c>
      <c r="G36" s="2" t="s">
        <v>41</v>
      </c>
      <c r="H36" s="20" t="s">
        <v>76</v>
      </c>
      <c r="I36" s="11">
        <v>39</v>
      </c>
    </row>
    <row r="37" spans="1:9" ht="17.25" customHeight="1">
      <c r="A37" s="2" t="s">
        <v>68</v>
      </c>
      <c r="B37" s="33" t="s">
        <v>33</v>
      </c>
      <c r="C37" s="2"/>
      <c r="D37" s="2">
        <f>E36+1</f>
        <v>340</v>
      </c>
      <c r="E37" s="2">
        <f t="shared" si="3"/>
        <v>344</v>
      </c>
      <c r="F37" s="2">
        <v>35</v>
      </c>
      <c r="G37" s="2" t="s">
        <v>41</v>
      </c>
      <c r="H37" s="20" t="s">
        <v>76</v>
      </c>
      <c r="I37" s="11">
        <v>5</v>
      </c>
    </row>
    <row r="38" spans="1:9" ht="17.25" customHeight="1">
      <c r="A38" s="2" t="s">
        <v>33</v>
      </c>
      <c r="B38" s="8" t="s">
        <v>69</v>
      </c>
      <c r="C38" s="2"/>
      <c r="D38" s="2">
        <f>E37+1</f>
        <v>345</v>
      </c>
      <c r="E38" s="2">
        <f t="shared" si="3"/>
        <v>399</v>
      </c>
      <c r="F38" s="2">
        <v>31</v>
      </c>
      <c r="G38" s="2" t="s">
        <v>41</v>
      </c>
      <c r="H38" s="20" t="s">
        <v>76</v>
      </c>
      <c r="I38" s="11">
        <v>55</v>
      </c>
    </row>
    <row r="39" spans="1:9">
      <c r="A39" s="2" t="s">
        <v>16</v>
      </c>
      <c r="B39" s="2"/>
      <c r="C39" s="2"/>
      <c r="D39" s="2">
        <f>E38+1</f>
        <v>400</v>
      </c>
      <c r="E39" s="2">
        <f t="shared" si="3"/>
        <v>449</v>
      </c>
      <c r="F39" s="2">
        <v>36</v>
      </c>
      <c r="G39" s="2" t="s">
        <v>10</v>
      </c>
      <c r="H39" s="20" t="s">
        <v>76</v>
      </c>
      <c r="I39" s="11">
        <v>50</v>
      </c>
    </row>
    <row r="40" spans="1:9">
      <c r="A40" s="2" t="s">
        <v>15</v>
      </c>
      <c r="B40" s="2"/>
      <c r="C40" s="2"/>
      <c r="D40" s="2">
        <f>E39+1</f>
        <v>450</v>
      </c>
      <c r="E40" s="2">
        <f t="shared" si="3"/>
        <v>997</v>
      </c>
      <c r="F40" s="2">
        <v>36</v>
      </c>
      <c r="G40" s="2" t="s">
        <v>10</v>
      </c>
      <c r="H40" s="20" t="s">
        <v>76</v>
      </c>
      <c r="I40" s="11">
        <f>998-450</f>
        <v>548</v>
      </c>
    </row>
    <row r="41" spans="1:9">
      <c r="A41" s="2" t="s">
        <v>42</v>
      </c>
      <c r="B41" s="2"/>
      <c r="C41" s="2"/>
      <c r="D41" s="2">
        <f t="shared" ref="D41:D44" si="4">E40+1</f>
        <v>998</v>
      </c>
      <c r="E41" s="2">
        <f t="shared" si="3"/>
        <v>998</v>
      </c>
      <c r="F41" s="2">
        <v>39</v>
      </c>
      <c r="G41" s="2" t="s">
        <v>41</v>
      </c>
      <c r="H41" s="20" t="s">
        <v>76</v>
      </c>
      <c r="I41" s="11" t="s">
        <v>44</v>
      </c>
    </row>
    <row r="42" spans="1:9">
      <c r="A42" s="2" t="s">
        <v>43</v>
      </c>
      <c r="B42" s="2"/>
      <c r="C42" s="2"/>
      <c r="D42" s="2">
        <f t="shared" si="4"/>
        <v>999</v>
      </c>
      <c r="E42" s="2">
        <f t="shared" si="3"/>
        <v>999</v>
      </c>
      <c r="F42" s="2">
        <v>37</v>
      </c>
      <c r="G42" s="2" t="s">
        <v>41</v>
      </c>
      <c r="H42" s="20" t="s">
        <v>76</v>
      </c>
      <c r="I42" s="11" t="s">
        <v>44</v>
      </c>
    </row>
    <row r="43" spans="1:9">
      <c r="A43" s="2" t="s">
        <v>15</v>
      </c>
      <c r="B43" s="2"/>
      <c r="C43" s="2"/>
      <c r="D43" s="2">
        <f t="shared" si="4"/>
        <v>1000</v>
      </c>
      <c r="E43" s="2">
        <f t="shared" si="3"/>
        <v>3999</v>
      </c>
      <c r="F43" s="2">
        <v>36</v>
      </c>
      <c r="G43" s="2" t="s">
        <v>10</v>
      </c>
      <c r="H43" s="20" t="s">
        <v>76</v>
      </c>
      <c r="I43" s="11">
        <f>4000-D43</f>
        <v>3000</v>
      </c>
    </row>
    <row r="44" spans="1:9">
      <c r="A44" s="2" t="s">
        <v>7</v>
      </c>
      <c r="B44" s="2" t="s">
        <v>8</v>
      </c>
      <c r="C44" s="2" t="s">
        <v>11</v>
      </c>
      <c r="D44" s="2">
        <f t="shared" si="4"/>
        <v>4000</v>
      </c>
      <c r="E44" s="2">
        <f t="shared" si="3"/>
        <v>4099</v>
      </c>
      <c r="F44" s="2">
        <v>31</v>
      </c>
      <c r="G44" s="2" t="s">
        <v>41</v>
      </c>
      <c r="H44" s="20" t="s">
        <v>76</v>
      </c>
      <c r="I44" s="11">
        <v>100</v>
      </c>
    </row>
    <row r="45" spans="1:9">
      <c r="A45" s="2" t="s">
        <v>7</v>
      </c>
      <c r="B45" s="2" t="s">
        <v>12</v>
      </c>
      <c r="C45" s="2" t="s">
        <v>11</v>
      </c>
      <c r="D45" s="2">
        <f t="shared" ref="D45:D58" si="5">E44+1</f>
        <v>4100</v>
      </c>
      <c r="E45" s="2">
        <f t="shared" si="3"/>
        <v>4199</v>
      </c>
      <c r="F45" s="2">
        <v>31</v>
      </c>
      <c r="G45" s="2" t="s">
        <v>41</v>
      </c>
      <c r="H45" s="20" t="s">
        <v>76</v>
      </c>
      <c r="I45" s="11">
        <v>100</v>
      </c>
    </row>
    <row r="46" spans="1:9">
      <c r="A46" s="2" t="s">
        <v>7</v>
      </c>
      <c r="B46" s="2" t="s">
        <v>45</v>
      </c>
      <c r="C46" s="2" t="s">
        <v>11</v>
      </c>
      <c r="D46" s="2">
        <f t="shared" si="5"/>
        <v>4200</v>
      </c>
      <c r="E46" s="2">
        <f t="shared" si="3"/>
        <v>4299</v>
      </c>
      <c r="F46" s="2">
        <v>31</v>
      </c>
      <c r="G46" s="2" t="s">
        <v>41</v>
      </c>
      <c r="H46" s="20" t="s">
        <v>76</v>
      </c>
      <c r="I46" s="11">
        <v>100</v>
      </c>
    </row>
    <row r="47" spans="1:9">
      <c r="A47" s="2" t="s">
        <v>7</v>
      </c>
      <c r="B47" s="2" t="s">
        <v>8</v>
      </c>
      <c r="C47" s="2" t="s">
        <v>9</v>
      </c>
      <c r="D47" s="2">
        <f t="shared" si="5"/>
        <v>4300</v>
      </c>
      <c r="E47" s="2">
        <f t="shared" si="3"/>
        <v>4379</v>
      </c>
      <c r="F47" s="2">
        <v>31</v>
      </c>
      <c r="G47" s="2" t="s">
        <v>41</v>
      </c>
      <c r="H47" s="20" t="s">
        <v>76</v>
      </c>
      <c r="I47" s="11">
        <v>80</v>
      </c>
    </row>
    <row r="48" spans="1:9">
      <c r="A48" s="2" t="s">
        <v>68</v>
      </c>
      <c r="B48" s="2" t="s">
        <v>8</v>
      </c>
      <c r="C48" s="2" t="s">
        <v>9</v>
      </c>
      <c r="D48" s="2">
        <f t="shared" si="5"/>
        <v>4380</v>
      </c>
      <c r="E48" s="2">
        <f t="shared" si="3"/>
        <v>4399</v>
      </c>
      <c r="F48" s="2">
        <v>31</v>
      </c>
      <c r="G48" s="8" t="s">
        <v>10</v>
      </c>
      <c r="H48" s="20" t="s">
        <v>76</v>
      </c>
      <c r="I48" s="11">
        <v>20</v>
      </c>
    </row>
    <row r="49" spans="1:13">
      <c r="A49" s="2" t="s">
        <v>7</v>
      </c>
      <c r="B49" s="2" t="s">
        <v>12</v>
      </c>
      <c r="C49" s="2" t="s">
        <v>9</v>
      </c>
      <c r="D49" s="2">
        <f t="shared" si="5"/>
        <v>4400</v>
      </c>
      <c r="E49" s="2">
        <f t="shared" si="3"/>
        <v>4479</v>
      </c>
      <c r="F49" s="2">
        <v>31</v>
      </c>
      <c r="G49" s="2" t="s">
        <v>41</v>
      </c>
      <c r="H49" s="20" t="s">
        <v>76</v>
      </c>
      <c r="I49" s="11">
        <v>80</v>
      </c>
    </row>
    <row r="50" spans="1:13">
      <c r="A50" s="2" t="s">
        <v>68</v>
      </c>
      <c r="B50" s="2" t="s">
        <v>12</v>
      </c>
      <c r="C50" s="2" t="s">
        <v>9</v>
      </c>
      <c r="D50" s="2">
        <f t="shared" si="5"/>
        <v>4480</v>
      </c>
      <c r="E50" s="2">
        <f t="shared" si="3"/>
        <v>4499</v>
      </c>
      <c r="F50" s="2">
        <v>31</v>
      </c>
      <c r="G50" s="8" t="s">
        <v>10</v>
      </c>
      <c r="H50" s="20" t="s">
        <v>76</v>
      </c>
      <c r="I50" s="11">
        <v>20</v>
      </c>
    </row>
    <row r="51" spans="1:13">
      <c r="A51" s="2" t="s">
        <v>7</v>
      </c>
      <c r="B51" s="2" t="s">
        <v>45</v>
      </c>
      <c r="C51" s="2" t="s">
        <v>9</v>
      </c>
      <c r="D51" s="2">
        <f t="shared" si="5"/>
        <v>4500</v>
      </c>
      <c r="E51" s="2">
        <f t="shared" si="3"/>
        <v>4579</v>
      </c>
      <c r="F51" s="2">
        <v>31</v>
      </c>
      <c r="G51" s="2" t="s">
        <v>41</v>
      </c>
      <c r="H51" s="20" t="s">
        <v>76</v>
      </c>
      <c r="I51" s="11">
        <v>80</v>
      </c>
    </row>
    <row r="52" spans="1:13">
      <c r="A52" s="2" t="s">
        <v>68</v>
      </c>
      <c r="B52" s="2" t="s">
        <v>45</v>
      </c>
      <c r="C52" s="2" t="s">
        <v>9</v>
      </c>
      <c r="D52" s="2">
        <f t="shared" si="5"/>
        <v>4580</v>
      </c>
      <c r="E52" s="2">
        <f t="shared" si="3"/>
        <v>4599</v>
      </c>
      <c r="F52" s="2">
        <v>31</v>
      </c>
      <c r="G52" s="8" t="s">
        <v>10</v>
      </c>
      <c r="H52" s="20" t="s">
        <v>76</v>
      </c>
      <c r="I52" s="11">
        <v>20</v>
      </c>
    </row>
    <row r="53" spans="1:13">
      <c r="A53" s="2" t="s">
        <v>7</v>
      </c>
      <c r="B53" s="2" t="s">
        <v>8</v>
      </c>
      <c r="C53" s="2" t="s">
        <v>14</v>
      </c>
      <c r="D53" s="2">
        <f t="shared" si="5"/>
        <v>4600</v>
      </c>
      <c r="E53" s="2">
        <f t="shared" si="3"/>
        <v>4679</v>
      </c>
      <c r="F53" s="2">
        <v>31</v>
      </c>
      <c r="G53" s="2" t="s">
        <v>41</v>
      </c>
      <c r="H53" s="20" t="s">
        <v>76</v>
      </c>
      <c r="I53" s="11">
        <v>80</v>
      </c>
    </row>
    <row r="54" spans="1:13">
      <c r="A54" s="2" t="s">
        <v>68</v>
      </c>
      <c r="B54" s="2" t="s">
        <v>8</v>
      </c>
      <c r="C54" s="2" t="s">
        <v>14</v>
      </c>
      <c r="D54" s="2">
        <f t="shared" si="5"/>
        <v>4680</v>
      </c>
      <c r="E54" s="2">
        <f t="shared" si="3"/>
        <v>4699</v>
      </c>
      <c r="F54" s="2">
        <v>31</v>
      </c>
      <c r="G54" s="8" t="s">
        <v>10</v>
      </c>
      <c r="H54" s="20" t="s">
        <v>76</v>
      </c>
      <c r="I54" s="11">
        <v>20</v>
      </c>
    </row>
    <row r="55" spans="1:13">
      <c r="A55" s="2" t="s">
        <v>7</v>
      </c>
      <c r="B55" s="2" t="s">
        <v>12</v>
      </c>
      <c r="C55" s="2" t="s">
        <v>14</v>
      </c>
      <c r="D55" s="2">
        <f t="shared" si="5"/>
        <v>4700</v>
      </c>
      <c r="E55" s="2">
        <f t="shared" si="3"/>
        <v>4779</v>
      </c>
      <c r="F55" s="2">
        <v>31</v>
      </c>
      <c r="G55" s="2" t="s">
        <v>41</v>
      </c>
      <c r="H55" s="20" t="s">
        <v>76</v>
      </c>
      <c r="I55" s="11">
        <v>80</v>
      </c>
    </row>
    <row r="56" spans="1:13">
      <c r="A56" s="2" t="s">
        <v>68</v>
      </c>
      <c r="B56" s="2" t="s">
        <v>12</v>
      </c>
      <c r="C56" s="2" t="s">
        <v>14</v>
      </c>
      <c r="D56" s="2">
        <f t="shared" si="5"/>
        <v>4780</v>
      </c>
      <c r="E56" s="2">
        <f t="shared" si="3"/>
        <v>4799</v>
      </c>
      <c r="F56" s="2">
        <v>31</v>
      </c>
      <c r="G56" s="8" t="s">
        <v>10</v>
      </c>
      <c r="H56" s="20" t="s">
        <v>76</v>
      </c>
      <c r="I56" s="11">
        <v>20</v>
      </c>
    </row>
    <row r="57" spans="1:13">
      <c r="A57" s="2" t="s">
        <v>7</v>
      </c>
      <c r="B57" s="2" t="s">
        <v>45</v>
      </c>
      <c r="C57" s="2" t="s">
        <v>14</v>
      </c>
      <c r="D57" s="2">
        <f t="shared" si="5"/>
        <v>4800</v>
      </c>
      <c r="E57" s="2">
        <f t="shared" si="3"/>
        <v>4879</v>
      </c>
      <c r="F57" s="2">
        <v>31</v>
      </c>
      <c r="G57" s="2" t="s">
        <v>41</v>
      </c>
      <c r="H57" s="20" t="s">
        <v>76</v>
      </c>
      <c r="I57" s="11">
        <v>80</v>
      </c>
    </row>
    <row r="58" spans="1:13">
      <c r="A58" s="2" t="s">
        <v>68</v>
      </c>
      <c r="B58" s="2" t="s">
        <v>45</v>
      </c>
      <c r="C58" s="2" t="s">
        <v>14</v>
      </c>
      <c r="D58" s="2">
        <f t="shared" si="5"/>
        <v>4880</v>
      </c>
      <c r="E58" s="2">
        <f t="shared" si="3"/>
        <v>4899</v>
      </c>
      <c r="F58" s="2">
        <v>31</v>
      </c>
      <c r="G58" s="8" t="s">
        <v>10</v>
      </c>
      <c r="H58" s="20" t="s">
        <v>76</v>
      </c>
      <c r="I58" s="11">
        <v>20</v>
      </c>
    </row>
    <row r="59" spans="1:13">
      <c r="A59" s="2" t="s">
        <v>29</v>
      </c>
      <c r="B59" s="2" t="s">
        <v>8</v>
      </c>
      <c r="C59" s="2"/>
      <c r="D59" s="3">
        <v>5000</v>
      </c>
      <c r="E59" s="2">
        <f t="shared" si="3"/>
        <v>5579</v>
      </c>
      <c r="F59" s="2">
        <v>33</v>
      </c>
      <c r="G59" s="2" t="s">
        <v>10</v>
      </c>
      <c r="H59" s="20" t="s">
        <v>76</v>
      </c>
      <c r="I59" s="11">
        <v>580</v>
      </c>
    </row>
    <row r="60" spans="1:13">
      <c r="A60" s="2" t="s">
        <v>68</v>
      </c>
      <c r="B60" s="2" t="s">
        <v>8</v>
      </c>
      <c r="C60" s="2" t="s">
        <v>29</v>
      </c>
      <c r="D60" s="2">
        <f>E59+1</f>
        <v>5580</v>
      </c>
      <c r="E60" s="2">
        <f t="shared" si="3"/>
        <v>5599</v>
      </c>
      <c r="F60" s="2">
        <v>33</v>
      </c>
      <c r="G60" s="2" t="s">
        <v>10</v>
      </c>
      <c r="H60" s="20" t="s">
        <v>76</v>
      </c>
      <c r="I60" s="11">
        <v>20</v>
      </c>
    </row>
    <row r="61" spans="1:13">
      <c r="A61" s="2" t="s">
        <v>29</v>
      </c>
      <c r="B61" s="2" t="s">
        <v>12</v>
      </c>
      <c r="C61" s="2"/>
      <c r="D61" s="2">
        <f>E60+1</f>
        <v>5600</v>
      </c>
      <c r="E61" s="2">
        <f t="shared" si="3"/>
        <v>5779</v>
      </c>
      <c r="F61" s="2">
        <v>33</v>
      </c>
      <c r="G61" s="2" t="s">
        <v>10</v>
      </c>
      <c r="H61" s="20" t="s">
        <v>76</v>
      </c>
      <c r="I61" s="11">
        <v>180</v>
      </c>
    </row>
    <row r="62" spans="1:13">
      <c r="A62" s="2" t="s">
        <v>68</v>
      </c>
      <c r="B62" s="2" t="s">
        <v>12</v>
      </c>
      <c r="C62" s="2" t="s">
        <v>29</v>
      </c>
      <c r="D62" s="2">
        <f>E61+1</f>
        <v>5780</v>
      </c>
      <c r="E62" s="2">
        <f t="shared" si="3"/>
        <v>5799</v>
      </c>
      <c r="F62" s="2">
        <v>33</v>
      </c>
      <c r="G62" s="2" t="s">
        <v>10</v>
      </c>
      <c r="H62" s="20" t="s">
        <v>76</v>
      </c>
      <c r="I62" s="11">
        <v>20</v>
      </c>
    </row>
    <row r="63" spans="1:13">
      <c r="A63" s="2" t="s">
        <v>29</v>
      </c>
      <c r="B63" s="2" t="s">
        <v>45</v>
      </c>
      <c r="C63" s="2"/>
      <c r="D63" s="2">
        <f>E62+1</f>
        <v>5800</v>
      </c>
      <c r="E63" s="2">
        <f t="shared" si="3"/>
        <v>5979</v>
      </c>
      <c r="F63" s="2">
        <v>33</v>
      </c>
      <c r="G63" s="2" t="s">
        <v>10</v>
      </c>
      <c r="H63" s="20" t="s">
        <v>76</v>
      </c>
      <c r="I63" s="11">
        <v>180</v>
      </c>
      <c r="M63" s="16"/>
    </row>
    <row r="64" spans="1:13">
      <c r="A64" s="2" t="s">
        <v>68</v>
      </c>
      <c r="B64" s="2" t="s">
        <v>45</v>
      </c>
      <c r="C64" s="2" t="s">
        <v>29</v>
      </c>
      <c r="D64" s="2">
        <f>E63+1</f>
        <v>5980</v>
      </c>
      <c r="E64" s="2">
        <f t="shared" si="3"/>
        <v>5999</v>
      </c>
      <c r="F64" s="2">
        <v>33</v>
      </c>
      <c r="G64" s="2" t="s">
        <v>10</v>
      </c>
      <c r="H64" s="20" t="s">
        <v>76</v>
      </c>
      <c r="I64" s="11">
        <v>20</v>
      </c>
      <c r="M64" s="16"/>
    </row>
    <row r="65" spans="1:13">
      <c r="A65" s="2" t="s">
        <v>30</v>
      </c>
      <c r="B65" s="2" t="s">
        <v>8</v>
      </c>
      <c r="C65" s="2" t="s">
        <v>9</v>
      </c>
      <c r="D65" s="3">
        <v>6500</v>
      </c>
      <c r="E65" s="2">
        <f t="shared" si="3"/>
        <v>6500</v>
      </c>
      <c r="F65" s="2">
        <v>35</v>
      </c>
      <c r="G65" s="2" t="s">
        <v>41</v>
      </c>
      <c r="H65" s="20" t="s">
        <v>76</v>
      </c>
      <c r="I65" s="11">
        <v>1</v>
      </c>
    </row>
    <row r="66" spans="1:13">
      <c r="A66" s="2" t="s">
        <v>30</v>
      </c>
      <c r="B66" s="2" t="s">
        <v>12</v>
      </c>
      <c r="C66" s="2" t="s">
        <v>11</v>
      </c>
      <c r="D66" s="2">
        <f t="shared" ref="D66:D76" si="6">E65+1</f>
        <v>6501</v>
      </c>
      <c r="E66" s="2">
        <f t="shared" si="3"/>
        <v>6501</v>
      </c>
      <c r="F66" s="2">
        <v>35</v>
      </c>
      <c r="G66" s="2" t="s">
        <v>41</v>
      </c>
      <c r="H66" s="20" t="s">
        <v>76</v>
      </c>
      <c r="I66" s="11">
        <v>1</v>
      </c>
    </row>
    <row r="67" spans="1:13">
      <c r="A67" s="2" t="s">
        <v>30</v>
      </c>
      <c r="B67" s="2" t="s">
        <v>45</v>
      </c>
      <c r="C67" s="2" t="s">
        <v>11</v>
      </c>
      <c r="D67" s="2">
        <f t="shared" si="6"/>
        <v>6502</v>
      </c>
      <c r="E67" s="2">
        <f t="shared" si="3"/>
        <v>6502</v>
      </c>
      <c r="F67" s="2">
        <v>35</v>
      </c>
      <c r="G67" s="2" t="s">
        <v>41</v>
      </c>
      <c r="H67" s="20" t="s">
        <v>76</v>
      </c>
      <c r="I67" s="11">
        <v>1</v>
      </c>
    </row>
    <row r="68" spans="1:13">
      <c r="A68" s="2" t="s">
        <v>30</v>
      </c>
      <c r="B68" s="2" t="s">
        <v>8</v>
      </c>
      <c r="C68" s="2" t="s">
        <v>29</v>
      </c>
      <c r="D68" s="2">
        <f t="shared" si="6"/>
        <v>6503</v>
      </c>
      <c r="E68" s="2">
        <f t="shared" si="3"/>
        <v>6503</v>
      </c>
      <c r="F68" s="2">
        <v>35</v>
      </c>
      <c r="G68" s="2" t="s">
        <v>41</v>
      </c>
      <c r="H68" s="20" t="s">
        <v>76</v>
      </c>
      <c r="I68" s="11">
        <v>1</v>
      </c>
    </row>
    <row r="69" spans="1:13">
      <c r="A69" s="2" t="s">
        <v>30</v>
      </c>
      <c r="B69" s="2" t="s">
        <v>12</v>
      </c>
      <c r="C69" s="2" t="s">
        <v>29</v>
      </c>
      <c r="D69" s="2">
        <f t="shared" si="6"/>
        <v>6504</v>
      </c>
      <c r="E69" s="2">
        <f t="shared" si="3"/>
        <v>6504</v>
      </c>
      <c r="F69" s="2">
        <v>35</v>
      </c>
      <c r="G69" s="2" t="s">
        <v>41</v>
      </c>
      <c r="H69" s="20" t="s">
        <v>76</v>
      </c>
      <c r="I69" s="11">
        <v>1</v>
      </c>
    </row>
    <row r="70" spans="1:13">
      <c r="A70" s="2" t="s">
        <v>30</v>
      </c>
      <c r="B70" s="2" t="s">
        <v>45</v>
      </c>
      <c r="C70" s="2" t="s">
        <v>29</v>
      </c>
      <c r="D70" s="2">
        <f t="shared" si="6"/>
        <v>6505</v>
      </c>
      <c r="E70" s="2">
        <f t="shared" si="3"/>
        <v>6505</v>
      </c>
      <c r="F70" s="2">
        <v>35</v>
      </c>
      <c r="G70" s="2" t="s">
        <v>41</v>
      </c>
      <c r="H70" s="20" t="s">
        <v>76</v>
      </c>
      <c r="I70" s="11">
        <v>1</v>
      </c>
    </row>
    <row r="71" spans="1:13">
      <c r="A71" s="2" t="s">
        <v>66</v>
      </c>
      <c r="B71" s="2" t="s">
        <v>8</v>
      </c>
      <c r="C71" s="2" t="s">
        <v>9</v>
      </c>
      <c r="D71" s="2">
        <f t="shared" si="6"/>
        <v>6506</v>
      </c>
      <c r="E71" s="2">
        <f t="shared" si="3"/>
        <v>6506</v>
      </c>
      <c r="F71" s="2">
        <v>35</v>
      </c>
      <c r="G71" s="2" t="s">
        <v>41</v>
      </c>
      <c r="H71" s="20" t="s">
        <v>76</v>
      </c>
      <c r="I71" s="11">
        <v>1</v>
      </c>
    </row>
    <row r="72" spans="1:13">
      <c r="A72" s="2" t="s">
        <v>66</v>
      </c>
      <c r="B72" s="2" t="s">
        <v>12</v>
      </c>
      <c r="C72" s="2" t="s">
        <v>11</v>
      </c>
      <c r="D72" s="2">
        <f t="shared" si="6"/>
        <v>6507</v>
      </c>
      <c r="E72" s="2">
        <f t="shared" si="3"/>
        <v>6507</v>
      </c>
      <c r="F72" s="2">
        <v>35</v>
      </c>
      <c r="G72" s="2" t="s">
        <v>41</v>
      </c>
      <c r="H72" s="20" t="s">
        <v>76</v>
      </c>
      <c r="I72" s="11">
        <v>1</v>
      </c>
    </row>
    <row r="73" spans="1:13">
      <c r="A73" s="2" t="s">
        <v>66</v>
      </c>
      <c r="B73" s="2" t="s">
        <v>45</v>
      </c>
      <c r="C73" s="2" t="s">
        <v>11</v>
      </c>
      <c r="D73" s="2">
        <f t="shared" si="6"/>
        <v>6508</v>
      </c>
      <c r="E73" s="2">
        <f t="shared" si="3"/>
        <v>6508</v>
      </c>
      <c r="F73" s="2">
        <v>35</v>
      </c>
      <c r="G73" s="2" t="s">
        <v>41</v>
      </c>
      <c r="H73" s="20" t="s">
        <v>76</v>
      </c>
      <c r="I73" s="11">
        <v>1</v>
      </c>
    </row>
    <row r="74" spans="1:13">
      <c r="A74" s="2" t="s">
        <v>66</v>
      </c>
      <c r="B74" s="2" t="s">
        <v>8</v>
      </c>
      <c r="C74" s="2" t="s">
        <v>29</v>
      </c>
      <c r="D74" s="2">
        <f t="shared" si="6"/>
        <v>6509</v>
      </c>
      <c r="E74" s="2">
        <f t="shared" si="3"/>
        <v>6509</v>
      </c>
      <c r="F74" s="2">
        <v>35</v>
      </c>
      <c r="G74" s="2" t="s">
        <v>41</v>
      </c>
      <c r="H74" s="20" t="s">
        <v>76</v>
      </c>
      <c r="I74" s="11">
        <v>1</v>
      </c>
    </row>
    <row r="75" spans="1:13">
      <c r="A75" s="2" t="s">
        <v>66</v>
      </c>
      <c r="B75" s="2" t="s">
        <v>12</v>
      </c>
      <c r="C75" s="2" t="s">
        <v>29</v>
      </c>
      <c r="D75" s="2">
        <f t="shared" si="6"/>
        <v>6510</v>
      </c>
      <c r="E75" s="2">
        <f t="shared" si="3"/>
        <v>6510</v>
      </c>
      <c r="F75" s="2">
        <v>35</v>
      </c>
      <c r="G75" s="2" t="s">
        <v>41</v>
      </c>
      <c r="H75" s="20" t="s">
        <v>76</v>
      </c>
      <c r="I75" s="11">
        <v>1</v>
      </c>
    </row>
    <row r="76" spans="1:13">
      <c r="A76" s="2" t="s">
        <v>66</v>
      </c>
      <c r="B76" s="2" t="s">
        <v>45</v>
      </c>
      <c r="C76" s="2" t="s">
        <v>29</v>
      </c>
      <c r="D76" s="2">
        <f t="shared" si="6"/>
        <v>6511</v>
      </c>
      <c r="E76" s="2">
        <f t="shared" si="3"/>
        <v>6511</v>
      </c>
      <c r="F76" s="2">
        <v>35</v>
      </c>
      <c r="G76" s="2" t="s">
        <v>41</v>
      </c>
      <c r="H76" s="20" t="s">
        <v>76</v>
      </c>
      <c r="I76" s="11">
        <v>1</v>
      </c>
    </row>
    <row r="77" spans="1:13">
      <c r="A77" s="2" t="s">
        <v>30</v>
      </c>
      <c r="B77" s="2" t="s">
        <v>67</v>
      </c>
      <c r="C77" s="2"/>
      <c r="D77" s="3">
        <v>6520</v>
      </c>
      <c r="E77" s="2">
        <f t="shared" si="3"/>
        <v>6520</v>
      </c>
      <c r="F77" s="2">
        <v>35</v>
      </c>
      <c r="G77" s="2" t="s">
        <v>41</v>
      </c>
      <c r="H77" s="20" t="s">
        <v>76</v>
      </c>
      <c r="I77" s="11">
        <v>1</v>
      </c>
    </row>
    <row r="78" spans="1:13">
      <c r="A78" s="2" t="s">
        <v>31</v>
      </c>
      <c r="B78" s="2"/>
      <c r="C78" s="2"/>
      <c r="D78" s="2">
        <v>6600</v>
      </c>
      <c r="E78" s="2">
        <f t="shared" si="3"/>
        <v>6619</v>
      </c>
      <c r="F78" s="2">
        <v>31</v>
      </c>
      <c r="G78" s="8" t="s">
        <v>41</v>
      </c>
      <c r="H78" s="20" t="s">
        <v>76</v>
      </c>
      <c r="I78" s="11">
        <v>20</v>
      </c>
      <c r="M78" s="16"/>
    </row>
    <row r="79" spans="1:13">
      <c r="A79" s="2" t="s">
        <v>35</v>
      </c>
      <c r="B79" s="2"/>
      <c r="C79" s="2"/>
      <c r="D79" s="2">
        <f>E78+1</f>
        <v>6620</v>
      </c>
      <c r="E79" s="2">
        <f t="shared" si="3"/>
        <v>6639</v>
      </c>
      <c r="F79" s="2">
        <v>39</v>
      </c>
      <c r="G79" s="2" t="s">
        <v>10</v>
      </c>
      <c r="H79" s="20" t="s">
        <v>76</v>
      </c>
      <c r="I79" s="11">
        <v>20</v>
      </c>
      <c r="M79" s="16"/>
    </row>
    <row r="80" spans="1:13">
      <c r="A80" s="2" t="s">
        <v>34</v>
      </c>
      <c r="B80" s="2"/>
      <c r="C80" s="2"/>
      <c r="D80" s="3">
        <v>6898</v>
      </c>
      <c r="E80" s="2">
        <f t="shared" si="3"/>
        <v>6917</v>
      </c>
      <c r="F80" s="2">
        <v>32</v>
      </c>
      <c r="G80" s="2" t="s">
        <v>41</v>
      </c>
      <c r="H80" s="20" t="s">
        <v>76</v>
      </c>
      <c r="I80" s="11">
        <v>20</v>
      </c>
      <c r="M80" s="16"/>
    </row>
    <row r="81" spans="1:13">
      <c r="A81" s="2" t="s">
        <v>36</v>
      </c>
      <c r="B81" s="2"/>
      <c r="C81" s="2"/>
      <c r="D81" s="3">
        <v>7000</v>
      </c>
      <c r="E81" s="2">
        <f t="shared" si="3"/>
        <v>8000</v>
      </c>
      <c r="F81" s="2">
        <v>38</v>
      </c>
      <c r="G81" s="2" t="s">
        <v>41</v>
      </c>
      <c r="H81" s="20" t="s">
        <v>76</v>
      </c>
      <c r="I81" s="11">
        <v>1001</v>
      </c>
      <c r="M81" s="16"/>
    </row>
    <row r="82" spans="1:13" ht="17.25" customHeight="1">
      <c r="A82" s="33" t="s">
        <v>105</v>
      </c>
      <c r="B82" s="33"/>
      <c r="C82" s="2"/>
      <c r="D82" s="3">
        <v>9901</v>
      </c>
      <c r="E82" s="2">
        <f t="shared" si="3"/>
        <v>9901</v>
      </c>
      <c r="F82" s="2">
        <v>34</v>
      </c>
      <c r="G82" s="33" t="s">
        <v>10</v>
      </c>
      <c r="H82" s="20" t="s">
        <v>76</v>
      </c>
      <c r="I82" s="11">
        <v>1</v>
      </c>
    </row>
    <row r="83" spans="1:13" ht="17.25" customHeight="1">
      <c r="A83" s="33" t="s">
        <v>104</v>
      </c>
      <c r="B83" s="33" t="s">
        <v>107</v>
      </c>
      <c r="C83" s="2"/>
      <c r="D83" s="3">
        <v>9982</v>
      </c>
      <c r="E83" s="2">
        <f t="shared" si="3"/>
        <v>9982</v>
      </c>
      <c r="F83" s="2">
        <v>39</v>
      </c>
      <c r="G83" s="33" t="s">
        <v>10</v>
      </c>
      <c r="H83" s="20" t="s">
        <v>76</v>
      </c>
      <c r="I83" s="11">
        <v>1</v>
      </c>
    </row>
    <row r="84" spans="1:13" ht="17.25" customHeight="1">
      <c r="A84" s="33" t="s">
        <v>104</v>
      </c>
      <c r="B84" s="33"/>
      <c r="C84" s="2"/>
      <c r="D84" s="3">
        <v>9988</v>
      </c>
      <c r="E84" s="2">
        <f t="shared" ref="E84" si="7">D84+I84-1</f>
        <v>9988</v>
      </c>
      <c r="F84" s="2">
        <v>39</v>
      </c>
      <c r="G84" s="33" t="s">
        <v>10</v>
      </c>
      <c r="H84" s="20" t="s">
        <v>76</v>
      </c>
      <c r="I84" s="11">
        <v>1</v>
      </c>
    </row>
  </sheetData>
  <autoFilter ref="A1:M81"/>
  <phoneticPr fontId="4" type="noConversion"/>
  <conditionalFormatting sqref="H2:H34 H36:H83 H85:H1048576">
    <cfRule type="containsText" dxfId="34" priority="43" operator="containsText" text="Z">
      <formula>NOT(ISERROR(SEARCH("Z",H2)))</formula>
    </cfRule>
    <cfRule type="containsText" dxfId="33" priority="44" operator="containsText" text="Y">
      <formula>NOT(ISERROR(SEARCH("Y",H2)))</formula>
    </cfRule>
    <cfRule type="containsText" dxfId="32" priority="45" operator="containsText" text="R">
      <formula>NOT(ISERROR(SEARCH("R",H2)))</formula>
    </cfRule>
    <cfRule type="containsText" dxfId="31" priority="46" operator="containsText" text="P">
      <formula>NOT(ISERROR(SEARCH("P",H2)))</formula>
    </cfRule>
    <cfRule type="containsText" dxfId="30" priority="47" operator="containsText" text="O">
      <formula>NOT(ISERROR(SEARCH("O",H2)))</formula>
    </cfRule>
    <cfRule type="containsText" dxfId="29" priority="48" operator="containsText" text="I">
      <formula>NOT(ISERROR(SEARCH("I",H2)))</formula>
    </cfRule>
    <cfRule type="containsText" dxfId="28" priority="49" operator="containsText" text="X">
      <formula>NOT(ISERROR(SEARCH("X",H2)))</formula>
    </cfRule>
  </conditionalFormatting>
  <conditionalFormatting sqref="G14">
    <cfRule type="containsText" dxfId="27" priority="36" operator="containsText" text="Z">
      <formula>NOT(ISERROR(SEARCH("Z",G14)))</formula>
    </cfRule>
    <cfRule type="containsText" dxfId="26" priority="37" operator="containsText" text="Y">
      <formula>NOT(ISERROR(SEARCH("Y",G14)))</formula>
    </cfRule>
    <cfRule type="containsText" dxfId="25" priority="38" operator="containsText" text="R">
      <formula>NOT(ISERROR(SEARCH("R",G14)))</formula>
    </cfRule>
    <cfRule type="containsText" dxfId="24" priority="39" operator="containsText" text="P">
      <formula>NOT(ISERROR(SEARCH("P",G14)))</formula>
    </cfRule>
    <cfRule type="containsText" dxfId="23" priority="40" operator="containsText" text="O">
      <formula>NOT(ISERROR(SEARCH("O",G14)))</formula>
    </cfRule>
    <cfRule type="containsText" dxfId="22" priority="41" operator="containsText" text="I">
      <formula>NOT(ISERROR(SEARCH("I",G14)))</formula>
    </cfRule>
    <cfRule type="containsText" dxfId="21" priority="42" operator="containsText" text="X">
      <formula>NOT(ISERROR(SEARCH("X",G14)))</formula>
    </cfRule>
  </conditionalFormatting>
  <conditionalFormatting sqref="G29">
    <cfRule type="containsText" dxfId="20" priority="29" operator="containsText" text="Z">
      <formula>NOT(ISERROR(SEARCH("Z",G29)))</formula>
    </cfRule>
    <cfRule type="containsText" dxfId="19" priority="30" operator="containsText" text="Y">
      <formula>NOT(ISERROR(SEARCH("Y",G29)))</formula>
    </cfRule>
    <cfRule type="containsText" dxfId="18" priority="31" operator="containsText" text="R">
      <formula>NOT(ISERROR(SEARCH("R",G29)))</formula>
    </cfRule>
    <cfRule type="containsText" dxfId="17" priority="32" operator="containsText" text="P">
      <formula>NOT(ISERROR(SEARCH("P",G29)))</formula>
    </cfRule>
    <cfRule type="containsText" dxfId="16" priority="33" operator="containsText" text="O">
      <formula>NOT(ISERROR(SEARCH("O",G29)))</formula>
    </cfRule>
    <cfRule type="containsText" dxfId="15" priority="34" operator="containsText" text="I">
      <formula>NOT(ISERROR(SEARCH("I",G29)))</formula>
    </cfRule>
    <cfRule type="containsText" dxfId="14" priority="35" operator="containsText" text="X">
      <formula>NOT(ISERROR(SEARCH("X",G29)))</formula>
    </cfRule>
  </conditionalFormatting>
  <conditionalFormatting sqref="H35">
    <cfRule type="containsText" dxfId="13" priority="22" operator="containsText" text="Z">
      <formula>NOT(ISERROR(SEARCH("Z",H35)))</formula>
    </cfRule>
    <cfRule type="containsText" dxfId="12" priority="23" operator="containsText" text="Y">
      <formula>NOT(ISERROR(SEARCH("Y",H35)))</formula>
    </cfRule>
    <cfRule type="containsText" dxfId="11" priority="24" operator="containsText" text="R">
      <formula>NOT(ISERROR(SEARCH("R",H35)))</formula>
    </cfRule>
    <cfRule type="containsText" dxfId="10" priority="25" operator="containsText" text="P">
      <formula>NOT(ISERROR(SEARCH("P",H35)))</formula>
    </cfRule>
    <cfRule type="containsText" dxfId="9" priority="26" operator="containsText" text="O">
      <formula>NOT(ISERROR(SEARCH("O",H35)))</formula>
    </cfRule>
    <cfRule type="containsText" dxfId="8" priority="27" operator="containsText" text="I">
      <formula>NOT(ISERROR(SEARCH("I",H35)))</formula>
    </cfRule>
    <cfRule type="containsText" dxfId="7" priority="28" operator="containsText" text="X">
      <formula>NOT(ISERROR(SEARCH("X",H35)))</formula>
    </cfRule>
  </conditionalFormatting>
  <conditionalFormatting sqref="H84">
    <cfRule type="containsText" dxfId="6" priority="1" operator="containsText" text="Z">
      <formula>NOT(ISERROR(SEARCH("Z",H84)))</formula>
    </cfRule>
    <cfRule type="containsText" dxfId="5" priority="2" operator="containsText" text="Y">
      <formula>NOT(ISERROR(SEARCH("Y",H84)))</formula>
    </cfRule>
    <cfRule type="containsText" dxfId="4" priority="3" operator="containsText" text="R">
      <formula>NOT(ISERROR(SEARCH("R",H84)))</formula>
    </cfRule>
    <cfRule type="containsText" dxfId="3" priority="4" operator="containsText" text="P">
      <formula>NOT(ISERROR(SEARCH("P",H84)))</formula>
    </cfRule>
    <cfRule type="containsText" dxfId="2" priority="5" operator="containsText" text="O">
      <formula>NOT(ISERROR(SEARCH("O",H84)))</formula>
    </cfRule>
    <cfRule type="containsText" dxfId="1" priority="6" operator="containsText" text="I">
      <formula>NOT(ISERROR(SEARCH("I",H84)))</formula>
    </cfRule>
    <cfRule type="containsText" dxfId="0" priority="7" operator="containsText" text="X">
      <formula>NOT(ISERROR(SEARCH("X",H84)))</formula>
    </cfRule>
  </conditionalFormatting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BinNumber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李俊穎</dc:creator>
  <cp:lastModifiedBy>Jayden Chen 陳智偉</cp:lastModifiedBy>
  <dcterms:created xsi:type="dcterms:W3CDTF">2025-07-22T10:41:41Z</dcterms:created>
  <dcterms:modified xsi:type="dcterms:W3CDTF">2025-12-08T08:40:11Z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2025-12-08T08:40:11Z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7a2fe973-40a8-43c3-bf76-3726e6d93f70</vt:lpwstr>
  </property>
  <property fmtid="{D5CDD505-2E9C-101B-9397-08002B2CF9AE}" pid="8" name="MSIP_Label_9a7859fa-fb81-458d-9040-c3b7cffe6362_ContentBits">
    <vt:lpwstr>3</vt:lpwstr>
  </property>
</Properties>
</file>