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ohn.lin/Downloads/"/>
    </mc:Choice>
  </mc:AlternateContent>
  <xr:revisionPtr revIDLastSave="0" documentId="13_ncr:1_{6AD1030C-F7D0-574B-B158-6A4BCABF25E1}" xr6:coauthVersionLast="47" xr6:coauthVersionMax="47" xr10:uidLastSave="{00000000-0000-0000-0000-000000000000}"/>
  <bookViews>
    <workbookView xWindow="0" yWindow="760" windowWidth="34560" windowHeight="21100" firstSheet="20" activeTab="37" xr2:uid="{00000000-000D-0000-FFFF-FFFF00000000}"/>
  </bookViews>
  <sheets>
    <sheet name="TTR Summary" sheetId="1" r:id="rId1"/>
    <sheet name="IO_JTAG" sheetId="2" r:id="rId2"/>
    <sheet name="ADCDFT" sheetId="3" r:id="rId3"/>
    <sheet name="MTRICTS" sheetId="4" r:id="rId4"/>
    <sheet name="NTSE" sheetId="5" r:id="rId5"/>
    <sheet name="NTSR" sheetId="6" r:id="rId6"/>
    <sheet name="MISC" sheetId="7" r:id="rId7"/>
    <sheet name="FRO" sheetId="8" r:id="rId8"/>
    <sheet name="CPLL" sheetId="9" r:id="rId9"/>
    <sheet name="ADCLK" sheetId="10" r:id="rId10"/>
    <sheet name="LAPLL" sheetId="11" r:id="rId11"/>
    <sheet name="PCIEREFGEN" sheetId="13" r:id="rId12"/>
    <sheet name="PCIE5CMN" sheetId="14" r:id="rId13"/>
    <sheet name="ACIPHYCMN" sheetId="15" r:id="rId14"/>
    <sheet name="ACIOPHYCMN" sheetId="16" r:id="rId15"/>
    <sheet name="LPDPTXCMN" sheetId="17" r:id="rId16"/>
    <sheet name="AMPCMN" sheetId="18" r:id="rId17"/>
    <sheet name="PCIEREFPLL" sheetId="19" r:id="rId18"/>
    <sheet name="PCIEPLL" sheetId="20" r:id="rId19"/>
    <sheet name="CIOCIOPLL" sheetId="21" r:id="rId20"/>
    <sheet name="CIODPPLL" sheetId="22" r:id="rId21"/>
    <sheet name="LPDPDPPLL" sheetId="23" r:id="rId22"/>
    <sheet name="LPDDRPLL" sheetId="24" r:id="rId23"/>
    <sheet name="HSCSAROSC" sheetId="25" r:id="rId24"/>
    <sheet name="ULPPLL" sheetId="26" r:id="rId25"/>
    <sheet name="FLPPLL" sheetId="27" r:id="rId26"/>
    <sheet name="SEPVMC" sheetId="28" r:id="rId27"/>
    <sheet name="SEPF2M" sheetId="29" r:id="rId28"/>
    <sheet name="MIDBIASLDO" sheetId="30" r:id="rId29"/>
    <sheet name="VMADC" sheetId="31" r:id="rId30"/>
    <sheet name="ACIOPHY" sheetId="32" r:id="rId31"/>
    <sheet name="ACIPHY" sheetId="33" r:id="rId32"/>
    <sheet name="LPDPTX" sheetId="34" r:id="rId33"/>
    <sheet name="PCIE5" sheetId="35" r:id="rId34"/>
    <sheet name="NTSX" sheetId="36" r:id="rId35"/>
    <sheet name="PCIEREFBUF" sheetId="37" r:id="rId36"/>
    <sheet name="EUSB" sheetId="38" r:id="rId37"/>
    <sheet name="AMP" sheetId="40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0" l="1"/>
  <c r="F41" i="1" s="1"/>
  <c r="R41" i="1" s="1"/>
  <c r="L2" i="40"/>
  <c r="E41" i="1" s="1"/>
  <c r="Q41" i="1" s="1"/>
  <c r="I2" i="40"/>
  <c r="D41" i="1" s="1"/>
  <c r="P41" i="1" s="1"/>
  <c r="F2" i="40"/>
  <c r="C41" i="1" s="1"/>
  <c r="O41" i="1" s="1"/>
  <c r="O2" i="38"/>
  <c r="L2" i="38"/>
  <c r="E39" i="1" s="1"/>
  <c r="Q39" i="1" s="1"/>
  <c r="I2" i="38"/>
  <c r="D39" i="1" s="1"/>
  <c r="P39" i="1" s="1"/>
  <c r="F2" i="38"/>
  <c r="O2" i="24"/>
  <c r="F25" i="1" s="1"/>
  <c r="R25" i="1" s="1"/>
  <c r="L2" i="24"/>
  <c r="E25" i="1" s="1"/>
  <c r="Q25" i="1" s="1"/>
  <c r="I2" i="24"/>
  <c r="D25" i="1" s="1"/>
  <c r="F2" i="24"/>
  <c r="C25" i="1" s="1"/>
  <c r="O25" i="1" s="1"/>
  <c r="O2" i="18"/>
  <c r="L2" i="18"/>
  <c r="I2" i="18"/>
  <c r="F2" i="18"/>
  <c r="C19" i="1" s="1"/>
  <c r="O19" i="1" s="1"/>
  <c r="O2" i="3"/>
  <c r="L2" i="3"/>
  <c r="I2" i="3"/>
  <c r="F2" i="3"/>
  <c r="F40" i="1"/>
  <c r="R40" i="1" s="1"/>
  <c r="E40" i="1"/>
  <c r="Q40" i="1" s="1"/>
  <c r="D40" i="1"/>
  <c r="P40" i="1" s="1"/>
  <c r="C40" i="1"/>
  <c r="O40" i="1" s="1"/>
  <c r="O2" i="37"/>
  <c r="L2" i="37"/>
  <c r="I2" i="37"/>
  <c r="F2" i="37"/>
  <c r="C38" i="1" s="1"/>
  <c r="O2" i="36"/>
  <c r="L2" i="36"/>
  <c r="I2" i="36"/>
  <c r="D37" i="1" s="1"/>
  <c r="F2" i="36"/>
  <c r="O2" i="35"/>
  <c r="L2" i="35"/>
  <c r="I2" i="35"/>
  <c r="F2" i="35"/>
  <c r="O2" i="34"/>
  <c r="L2" i="34"/>
  <c r="I2" i="34"/>
  <c r="F2" i="34"/>
  <c r="O2" i="33"/>
  <c r="F34" i="1" s="1"/>
  <c r="R34" i="1" s="1"/>
  <c r="L2" i="33"/>
  <c r="E34" i="1" s="1"/>
  <c r="Q34" i="1" s="1"/>
  <c r="I2" i="33"/>
  <c r="D34" i="1" s="1"/>
  <c r="P34" i="1" s="1"/>
  <c r="F2" i="33"/>
  <c r="C34" i="1" s="1"/>
  <c r="O2" i="32"/>
  <c r="F33" i="1" s="1"/>
  <c r="R33" i="1" s="1"/>
  <c r="L2" i="32"/>
  <c r="E33" i="1" s="1"/>
  <c r="Q33" i="1" s="1"/>
  <c r="I2" i="32"/>
  <c r="F2" i="32"/>
  <c r="C33" i="1" s="1"/>
  <c r="O33" i="1" s="1"/>
  <c r="O2" i="31"/>
  <c r="L2" i="31"/>
  <c r="I2" i="31"/>
  <c r="F2" i="31"/>
  <c r="O2" i="30"/>
  <c r="F31" i="1" s="1"/>
  <c r="R31" i="1" s="1"/>
  <c r="L2" i="30"/>
  <c r="E31" i="1" s="1"/>
  <c r="Q31" i="1" s="1"/>
  <c r="I2" i="30"/>
  <c r="D31" i="1" s="1"/>
  <c r="P31" i="1" s="1"/>
  <c r="F2" i="30"/>
  <c r="O2" i="29"/>
  <c r="L2" i="29"/>
  <c r="I2" i="29"/>
  <c r="F2" i="29"/>
  <c r="C30" i="1" s="1"/>
  <c r="O2" i="28"/>
  <c r="L2" i="28"/>
  <c r="I2" i="28"/>
  <c r="F2" i="28"/>
  <c r="O2" i="27"/>
  <c r="L2" i="27"/>
  <c r="I2" i="27"/>
  <c r="F2" i="27"/>
  <c r="O2" i="26"/>
  <c r="L2" i="26"/>
  <c r="I2" i="26"/>
  <c r="F2" i="26"/>
  <c r="O2" i="25"/>
  <c r="L2" i="25"/>
  <c r="I2" i="25"/>
  <c r="F2" i="25"/>
  <c r="C26" i="1" s="1"/>
  <c r="O2" i="23"/>
  <c r="L2" i="23"/>
  <c r="I2" i="23"/>
  <c r="F2" i="23"/>
  <c r="O2" i="22"/>
  <c r="L2" i="22"/>
  <c r="I2" i="22"/>
  <c r="F2" i="22"/>
  <c r="O2" i="21"/>
  <c r="L2" i="21"/>
  <c r="I2" i="21"/>
  <c r="D22" i="1" s="1"/>
  <c r="P22" i="1" s="1"/>
  <c r="F2" i="21"/>
  <c r="C22" i="1" s="1"/>
  <c r="O2" i="20"/>
  <c r="L2" i="20"/>
  <c r="I2" i="20"/>
  <c r="F2" i="20"/>
  <c r="O2" i="19"/>
  <c r="L2" i="19"/>
  <c r="I2" i="19"/>
  <c r="F2" i="19"/>
  <c r="F19" i="1"/>
  <c r="R19" i="1" s="1"/>
  <c r="E19" i="1"/>
  <c r="Q19" i="1" s="1"/>
  <c r="D19" i="1"/>
  <c r="P19" i="1" s="1"/>
  <c r="O2" i="17"/>
  <c r="L2" i="17"/>
  <c r="I2" i="17"/>
  <c r="F2" i="17"/>
  <c r="C18" i="1" s="1"/>
  <c r="O2" i="16"/>
  <c r="L2" i="16"/>
  <c r="I2" i="16"/>
  <c r="F2" i="16"/>
  <c r="O2" i="15"/>
  <c r="L2" i="15"/>
  <c r="I2" i="15"/>
  <c r="F2" i="15"/>
  <c r="O2" i="14"/>
  <c r="L2" i="14"/>
  <c r="I2" i="14"/>
  <c r="D15" i="1" s="1"/>
  <c r="P15" i="1" s="1"/>
  <c r="F2" i="14"/>
  <c r="O2" i="13"/>
  <c r="L2" i="13"/>
  <c r="I2" i="13"/>
  <c r="F2" i="13"/>
  <c r="C14" i="1" s="1"/>
  <c r="O2" i="11"/>
  <c r="L2" i="11"/>
  <c r="I2" i="11"/>
  <c r="F2" i="11"/>
  <c r="O2" i="10"/>
  <c r="L2" i="10"/>
  <c r="I2" i="10"/>
  <c r="F2" i="10"/>
  <c r="O2" i="9"/>
  <c r="L2" i="9"/>
  <c r="E11" i="1" s="1"/>
  <c r="Q11" i="1" s="1"/>
  <c r="I2" i="9"/>
  <c r="D11" i="1" s="1"/>
  <c r="P11" i="1" s="1"/>
  <c r="F2" i="9"/>
  <c r="C11" i="1" s="1"/>
  <c r="O2" i="8"/>
  <c r="L2" i="8"/>
  <c r="I2" i="8"/>
  <c r="D10" i="1" s="1"/>
  <c r="F2" i="8"/>
  <c r="O2" i="7"/>
  <c r="L2" i="7"/>
  <c r="I2" i="7"/>
  <c r="D9" i="1" s="1"/>
  <c r="P9" i="1" s="1"/>
  <c r="F2" i="7"/>
  <c r="O2" i="6"/>
  <c r="F8" i="1" s="1"/>
  <c r="R8" i="1" s="1"/>
  <c r="L2" i="6"/>
  <c r="E8" i="1" s="1"/>
  <c r="Q8" i="1" s="1"/>
  <c r="I2" i="6"/>
  <c r="D8" i="1" s="1"/>
  <c r="P8" i="1" s="1"/>
  <c r="F2" i="6"/>
  <c r="O2" i="5"/>
  <c r="L2" i="5"/>
  <c r="I2" i="5"/>
  <c r="D7" i="1" s="1"/>
  <c r="P7" i="1" s="1"/>
  <c r="F2" i="5"/>
  <c r="C7" i="1" s="1"/>
  <c r="O2" i="4"/>
  <c r="F6" i="1" s="1"/>
  <c r="R6" i="1" s="1"/>
  <c r="L2" i="4"/>
  <c r="E6" i="1" s="1"/>
  <c r="Q6" i="1" s="1"/>
  <c r="I2" i="4"/>
  <c r="D6" i="1" s="1"/>
  <c r="P6" i="1" s="1"/>
  <c r="F2" i="4"/>
  <c r="C6" i="1" s="1"/>
  <c r="O6" i="1" s="1"/>
  <c r="E5" i="1"/>
  <c r="Q5" i="1" s="1"/>
  <c r="D5" i="1"/>
  <c r="P5" i="1" s="1"/>
  <c r="C5" i="1"/>
  <c r="O5" i="1" s="1"/>
  <c r="O2" i="2"/>
  <c r="F4" i="1" s="1"/>
  <c r="L2" i="2"/>
  <c r="I2" i="2"/>
  <c r="D4" i="1" s="1"/>
  <c r="F2" i="2"/>
  <c r="M43" i="1"/>
  <c r="L43" i="1"/>
  <c r="K43" i="1"/>
  <c r="J43" i="1"/>
  <c r="I43" i="1"/>
  <c r="F39" i="1"/>
  <c r="R39" i="1" s="1"/>
  <c r="C39" i="1"/>
  <c r="R38" i="1"/>
  <c r="F38" i="1"/>
  <c r="E38" i="1"/>
  <c r="Q38" i="1" s="1"/>
  <c r="D38" i="1"/>
  <c r="P38" i="1" s="1"/>
  <c r="F37" i="1"/>
  <c r="R37" i="1" s="1"/>
  <c r="E37" i="1"/>
  <c r="Q37" i="1" s="1"/>
  <c r="C37" i="1"/>
  <c r="O37" i="1" s="1"/>
  <c r="F36" i="1"/>
  <c r="R36" i="1" s="1"/>
  <c r="E36" i="1"/>
  <c r="Q36" i="1" s="1"/>
  <c r="D36" i="1"/>
  <c r="P36" i="1" s="1"/>
  <c r="C36" i="1"/>
  <c r="O36" i="1" s="1"/>
  <c r="F35" i="1"/>
  <c r="R35" i="1" s="1"/>
  <c r="E35" i="1"/>
  <c r="Q35" i="1" s="1"/>
  <c r="D35" i="1"/>
  <c r="P35" i="1" s="1"/>
  <c r="C35" i="1"/>
  <c r="G35" i="1" s="1"/>
  <c r="D33" i="1"/>
  <c r="P33" i="1" s="1"/>
  <c r="F32" i="1"/>
  <c r="R32" i="1" s="1"/>
  <c r="E32" i="1"/>
  <c r="Q32" i="1" s="1"/>
  <c r="D32" i="1"/>
  <c r="P32" i="1" s="1"/>
  <c r="C32" i="1"/>
  <c r="O32" i="1" s="1"/>
  <c r="C31" i="1"/>
  <c r="G31" i="1" s="1"/>
  <c r="R30" i="1"/>
  <c r="F30" i="1"/>
  <c r="E30" i="1"/>
  <c r="Q30" i="1" s="1"/>
  <c r="D30" i="1"/>
  <c r="P30" i="1" s="1"/>
  <c r="F29" i="1"/>
  <c r="R29" i="1" s="1"/>
  <c r="E29" i="1"/>
  <c r="Q29" i="1" s="1"/>
  <c r="D29" i="1"/>
  <c r="P29" i="1" s="1"/>
  <c r="C29" i="1"/>
  <c r="G29" i="1" s="1"/>
  <c r="F28" i="1"/>
  <c r="R28" i="1" s="1"/>
  <c r="E28" i="1"/>
  <c r="Q28" i="1" s="1"/>
  <c r="D28" i="1"/>
  <c r="P28" i="1" s="1"/>
  <c r="C28" i="1"/>
  <c r="O28" i="1" s="1"/>
  <c r="R27" i="1"/>
  <c r="F27" i="1"/>
  <c r="E27" i="1"/>
  <c r="Q27" i="1" s="1"/>
  <c r="D27" i="1"/>
  <c r="P27" i="1" s="1"/>
  <c r="C27" i="1"/>
  <c r="O27" i="1" s="1"/>
  <c r="R26" i="1"/>
  <c r="Q26" i="1"/>
  <c r="F26" i="1"/>
  <c r="E26" i="1"/>
  <c r="D26" i="1"/>
  <c r="P26" i="1" s="1"/>
  <c r="F24" i="1"/>
  <c r="R24" i="1" s="1"/>
  <c r="E24" i="1"/>
  <c r="Q24" i="1" s="1"/>
  <c r="D24" i="1"/>
  <c r="P24" i="1" s="1"/>
  <c r="C24" i="1"/>
  <c r="O24" i="1" s="1"/>
  <c r="R23" i="1"/>
  <c r="Q23" i="1"/>
  <c r="F23" i="1"/>
  <c r="E23" i="1"/>
  <c r="D23" i="1"/>
  <c r="P23" i="1" s="1"/>
  <c r="C23" i="1"/>
  <c r="O23" i="1" s="1"/>
  <c r="F22" i="1"/>
  <c r="R22" i="1" s="1"/>
  <c r="E22" i="1"/>
  <c r="Q22" i="1" s="1"/>
  <c r="P21" i="1"/>
  <c r="O21" i="1"/>
  <c r="F21" i="1"/>
  <c r="R21" i="1" s="1"/>
  <c r="E21" i="1"/>
  <c r="Q21" i="1" s="1"/>
  <c r="D21" i="1"/>
  <c r="C21" i="1"/>
  <c r="G21" i="1" s="1"/>
  <c r="F20" i="1"/>
  <c r="R20" i="1" s="1"/>
  <c r="E20" i="1"/>
  <c r="Q20" i="1" s="1"/>
  <c r="D20" i="1"/>
  <c r="P20" i="1" s="1"/>
  <c r="C20" i="1"/>
  <c r="O20" i="1" s="1"/>
  <c r="R18" i="1"/>
  <c r="Q18" i="1"/>
  <c r="F18" i="1"/>
  <c r="E18" i="1"/>
  <c r="D18" i="1"/>
  <c r="P18" i="1" s="1"/>
  <c r="F17" i="1"/>
  <c r="R17" i="1" s="1"/>
  <c r="E17" i="1"/>
  <c r="Q17" i="1" s="1"/>
  <c r="D17" i="1"/>
  <c r="P17" i="1" s="1"/>
  <c r="C17" i="1"/>
  <c r="O17" i="1" s="1"/>
  <c r="F16" i="1"/>
  <c r="R16" i="1" s="1"/>
  <c r="E16" i="1"/>
  <c r="Q16" i="1" s="1"/>
  <c r="D16" i="1"/>
  <c r="P16" i="1" s="1"/>
  <c r="C16" i="1"/>
  <c r="O16" i="1" s="1"/>
  <c r="F15" i="1"/>
  <c r="R15" i="1" s="1"/>
  <c r="E15" i="1"/>
  <c r="Q15" i="1" s="1"/>
  <c r="C15" i="1"/>
  <c r="F14" i="1"/>
  <c r="R14" i="1" s="1"/>
  <c r="E14" i="1"/>
  <c r="Q14" i="1" s="1"/>
  <c r="D14" i="1"/>
  <c r="P14" i="1" s="1"/>
  <c r="F13" i="1"/>
  <c r="R13" i="1" s="1"/>
  <c r="E13" i="1"/>
  <c r="Q13" i="1" s="1"/>
  <c r="D13" i="1"/>
  <c r="P13" i="1" s="1"/>
  <c r="C13" i="1"/>
  <c r="O13" i="1" s="1"/>
  <c r="F12" i="1"/>
  <c r="R12" i="1" s="1"/>
  <c r="E12" i="1"/>
  <c r="Q12" i="1" s="1"/>
  <c r="D12" i="1"/>
  <c r="P12" i="1" s="1"/>
  <c r="C12" i="1"/>
  <c r="O12" i="1" s="1"/>
  <c r="R11" i="1"/>
  <c r="F11" i="1"/>
  <c r="F10" i="1"/>
  <c r="R10" i="1" s="1"/>
  <c r="E10" i="1"/>
  <c r="Q10" i="1" s="1"/>
  <c r="C10" i="1"/>
  <c r="O10" i="1" s="1"/>
  <c r="F9" i="1"/>
  <c r="R9" i="1" s="1"/>
  <c r="E9" i="1"/>
  <c r="Q9" i="1" s="1"/>
  <c r="C9" i="1"/>
  <c r="O9" i="1" s="1"/>
  <c r="C8" i="1"/>
  <c r="O8" i="1" s="1"/>
  <c r="F7" i="1"/>
  <c r="R7" i="1" s="1"/>
  <c r="E7" i="1"/>
  <c r="Q7" i="1" s="1"/>
  <c r="F5" i="1"/>
  <c r="R5" i="1" s="1"/>
  <c r="E4" i="1"/>
  <c r="Q4" i="1" s="1"/>
  <c r="C4" i="1"/>
  <c r="G39" i="1" l="1"/>
  <c r="O29" i="1"/>
  <c r="G6" i="1"/>
  <c r="G17" i="1"/>
  <c r="G33" i="1"/>
  <c r="G41" i="1"/>
  <c r="O7" i="1"/>
  <c r="G7" i="1"/>
  <c r="O18" i="1"/>
  <c r="G18" i="1"/>
  <c r="O30" i="1"/>
  <c r="G30" i="1"/>
  <c r="D43" i="1"/>
  <c r="P43" i="1" s="1"/>
  <c r="P4" i="1"/>
  <c r="P10" i="1"/>
  <c r="G10" i="1"/>
  <c r="R4" i="1"/>
  <c r="F43" i="1"/>
  <c r="R43" i="1" s="1"/>
  <c r="O11" i="1"/>
  <c r="G11" i="1"/>
  <c r="O22" i="1"/>
  <c r="G22" i="1"/>
  <c r="O34" i="1"/>
  <c r="G34" i="1"/>
  <c r="P25" i="1"/>
  <c r="G25" i="1"/>
  <c r="E43" i="1"/>
  <c r="Q43" i="1" s="1"/>
  <c r="O14" i="1"/>
  <c r="G14" i="1"/>
  <c r="O26" i="1"/>
  <c r="G26" i="1"/>
  <c r="O38" i="1"/>
  <c r="G38" i="1"/>
  <c r="G15" i="1"/>
  <c r="G37" i="1"/>
  <c r="P37" i="1"/>
  <c r="G4" i="1"/>
  <c r="G8" i="1"/>
  <c r="G12" i="1"/>
  <c r="G19" i="1"/>
  <c r="G23" i="1"/>
  <c r="G27" i="1"/>
  <c r="O4" i="1"/>
  <c r="O15" i="1"/>
  <c r="O31" i="1"/>
  <c r="O35" i="1"/>
  <c r="O39" i="1"/>
  <c r="G5" i="1"/>
  <c r="G9" i="1"/>
  <c r="G13" i="1"/>
  <c r="G16" i="1"/>
  <c r="G20" i="1"/>
  <c r="G24" i="1"/>
  <c r="G28" i="1"/>
  <c r="G32" i="1"/>
  <c r="G36" i="1"/>
  <c r="G40" i="1"/>
  <c r="C43" i="1"/>
  <c r="O43" i="1" s="1"/>
  <c r="G43" i="1" l="1"/>
</calcChain>
</file>

<file path=xl/sharedStrings.xml><?xml version="1.0" encoding="utf-8"?>
<sst xmlns="http://schemas.openxmlformats.org/spreadsheetml/2006/main" count="5640" uniqueCount="1825">
  <si>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</si>
  <si>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</si>
  <si>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</si>
  <si>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</si>
  <si>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</si>
  <si>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</si>
  <si>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</si>
  <si>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</si>
  <si>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</si>
  <si>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</si>
  <si>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</si>
  <si>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</si>
  <si>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</si>
  <si>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</si>
  <si>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</si>
  <si>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MTRICTS</t>
  </si>
  <si>
    <t>NTSE</t>
  </si>
  <si>
    <t>NTSR</t>
  </si>
  <si>
    <t>MISC</t>
  </si>
  <si>
    <t>FRO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</si>
  <si>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</si>
  <si>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</si>
  <si>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</si>
  <si>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</si>
  <si>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</si>
  <si>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</si>
  <si>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</si>
  <si>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</si>
  <si>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</si>
  <si>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</si>
  <si>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</si>
  <si>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</si>
  <si>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</si>
  <si>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</si>
  <si>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</si>
  <si>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</si>
  <si>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</si>
  <si>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</si>
  <si>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SEPVMC</t>
  </si>
  <si>
    <t>SEPF2M</t>
  </si>
  <si>
    <t>MIDBIASLDO</t>
  </si>
  <si>
    <t>VMADC</t>
  </si>
  <si>
    <t>ACIOPHY</t>
  </si>
  <si>
    <t>ACIPHY</t>
  </si>
  <si>
    <t>LPDPTX</t>
  </si>
  <si>
    <t>PCIE5</t>
  </si>
  <si>
    <t>NTSX</t>
  </si>
  <si>
    <t>PCIEREFBUF</t>
  </si>
  <si>
    <t>EUSB</t>
  </si>
  <si>
    <t>DSGRINGS</t>
  </si>
  <si>
    <t>AMP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</si>
  <si>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</si>
  <si>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</si>
  <si>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</si>
  <si>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</si>
  <si>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</si>
  <si>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</si>
  <si>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</si>
  <si>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</si>
  <si>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</si>
  <si>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</si>
  <si>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Run If Fail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</si>
  <si>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</si>
  <si>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</si>
  <si>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</si>
  <si>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</si>
  <si>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</si>
  <si>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</si>
  <si>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</si>
  <si>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</si>
  <si>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</si>
  <si>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</si>
  <si>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</si>
  <si>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TAPBSD</t>
  </si>
  <si>
    <t>PP_KMDA0_S_FULP_IO_BSCN_BSD_JIO_UNS_ALLFRV_SI_TAP_BSD</t>
  </si>
  <si>
    <t>DAPIDBYP</t>
  </si>
  <si>
    <t>PP_KMDA0_S_FULP_FU_BSCN_PFF_JTG_JCC_ALLFRV_SI_DAP_IDBYP</t>
  </si>
  <si>
    <t>DCLP</t>
  </si>
  <si>
    <t>PP_KMDA0_S_FULP_IO_BSCN_DCT_DAA_DIO_ALLFRV_SI_DC_LP</t>
  </si>
  <si>
    <t>FUNCVILH</t>
  </si>
  <si>
    <t>PP_KMDA0_S_FULP_IO_POPX_NAN_DAA_DIO_ALLFRV_SI_FUNC_VILH</t>
  </si>
  <si>
    <t>IMPDPU</t>
  </si>
  <si>
    <t>PP_KMDA0_S_FULP_IO_POPU_NAN_DAA_DIO_ALLFRV_SI_IMPD_PU</t>
  </si>
  <si>
    <t>DCDS4TRIM</t>
  </si>
  <si>
    <t>PP_KMDA0_S_FULP_IO_BSCN_DCT_DAA_DIO_ALLFRV_SI_DC_DS4</t>
  </si>
  <si>
    <t>DCDS8TRIM</t>
  </si>
  <si>
    <t>PP_KMDA0_S_FULP_IO_BSCN_DCT_DAA_DIO_ALLFRV_SI_DC_DS8</t>
  </si>
  <si>
    <t>DCDS14TRIM</t>
  </si>
  <si>
    <t>PP_KMDA0_S_FULP_IO_BSCN_DCT_DAA_DIO_ALLFRV_SI_DC_DS14</t>
  </si>
  <si>
    <t>DCDS4ALLD13</t>
  </si>
  <si>
    <t>DCDS4ALLD22</t>
  </si>
  <si>
    <t>DCDS8ALLD13</t>
  </si>
  <si>
    <t>DCDS8ALLD22</t>
  </si>
  <si>
    <t>DCDS14ALLD13</t>
  </si>
  <si>
    <t>DCDS14ALLD22</t>
  </si>
  <si>
    <t>IOLEAK</t>
  </si>
  <si>
    <t>PP_KMDA0_S_FULP_IO_BSCN_BSD_JIO_UNS_ALLFRV_SI_IO_LEAK</t>
  </si>
  <si>
    <t>VOHFUNCD22</t>
  </si>
  <si>
    <t>PP_KMDA0_S_FULP_IO_BSCN_DCT_DAA_DIO_ALLFRV_SI_FUNC_VOLHD22</t>
  </si>
  <si>
    <t>VOHFUNCD13</t>
  </si>
  <si>
    <t>PP_KMDA0_S_FULP_IO_BSCN_DCT_DAA_DIO_ALLFRV_SI_FUNC_VOLHD13</t>
  </si>
  <si>
    <t>OTHER</t>
  </si>
  <si>
    <t>ADCDFT_RELAY_ON_K80_K83</t>
  </si>
  <si>
    <t>ADCDFT_FUSE_PREWRITE_HSC_UCSDM0_DFT_NREFG</t>
  </si>
  <si>
    <t>ADCDFT_FUSE_READ_HSC_UCSDM0_DFT_NREFG</t>
  </si>
  <si>
    <t>ADCDFT_FUSE_PREWRITE_HSC_UCSDM1_DFT_NREFG</t>
  </si>
  <si>
    <t>ADCDFT_FUSE_READ_HSC_UCSDM1_DFT_NREFG</t>
  </si>
  <si>
    <t>UCSDMT1</t>
  </si>
  <si>
    <t>PP_KMDA0_S_FULP_AN_AA07_MEA_JTG_VIX_ALLFRV_SI_UCSDM_T1</t>
  </si>
  <si>
    <t>UCSDMCALT3A</t>
  </si>
  <si>
    <t>PP_KMDA0_S_FULP_AN_AA07_MEA_JTG_VIX_ALLFRV_SI_UCSDM_T3A</t>
  </si>
  <si>
    <t>UCSDMVER0P139</t>
  </si>
  <si>
    <t>PP_KMDA0_S_FULP_AN_AA07_MEA_JTG_VIX_ALLFRV_SI_UCSDM_T3B</t>
  </si>
  <si>
    <t>UCSDMVER0P558</t>
  </si>
  <si>
    <t>UCSDMVER0P837</t>
  </si>
  <si>
    <t>UCSDMVER0P976</t>
  </si>
  <si>
    <t>UCSDMT4A</t>
  </si>
  <si>
    <t>PP_KMDA0_S_FULP_AN_AA07_MEA_JTG_VIX_ALLFRV_SI_UCSDM_T4A</t>
  </si>
  <si>
    <t>UCSDMT4B</t>
  </si>
  <si>
    <t>PP_KMDA0_S_FULP_AN_AA07_MEA_JTG_VIX_ALLFRV_SI_UCSDM_T4B</t>
  </si>
  <si>
    <t>UCSDMT8</t>
  </si>
  <si>
    <t>PP_KMDA0_S_FULP_AN_AA07_MEA_JTG_VIX_ALLFRV_SI_UCSDM_T8</t>
  </si>
  <si>
    <t>UCSDMCALT5A</t>
  </si>
  <si>
    <t>MN_KMDA0_S_FULP_AN_AA07_MEA_JTG_VIX_ALLFRV_SI_UCSDM_T5A</t>
  </si>
  <si>
    <t>UCSDMMNVER0P139</t>
  </si>
  <si>
    <t>MN_KMDA0_S_FULP_AN_AA07_MEA_JTG_VIX_ALLFRV_SI_UCSDM_T5B</t>
  </si>
  <si>
    <t>UCSDMMNVER0P558</t>
  </si>
  <si>
    <t>UCSDMMNVER0P837</t>
  </si>
  <si>
    <t>MNUCSDMT6</t>
  </si>
  <si>
    <t>MN_KMDA0_S_FULP_AN_AA07_MEA_JTG_VIX_ALLFRV_SI_UCSDM_T6</t>
  </si>
  <si>
    <t>MNUCSDMT9A</t>
  </si>
  <si>
    <t>MN_KMDA0_S_FULP_AN_AA07_MEA_JTG_VIX_ALLFRV_SI_UCSDM_T9A</t>
  </si>
  <si>
    <t>MNUCSDMT9B</t>
  </si>
  <si>
    <t>MN_KMDA0_S_FULP_AN_AA07_MEA_JTG_VIX_ALLFRV_SI_UCSDM_T9B</t>
  </si>
  <si>
    <t>MNUCSDMT9C</t>
  </si>
  <si>
    <t>MN_KMDA0_S_FULP_AN_AA07_MEA_JTG_VIX_ALLFRV_SI_UCSDM_T9C</t>
  </si>
  <si>
    <t>MNUCSDMT9D</t>
  </si>
  <si>
    <t>MN_KMDA0_S_FULP_AN_AA07_MEA_JTG_VIX_ALLFRV_SI_UCSDM_T9D</t>
  </si>
  <si>
    <t>NBRIDGET2P1</t>
  </si>
  <si>
    <t>PP_KMDA0_S_FULP_AN_ICTS_DLL_JTG_COD_ALLFRV_SI_NBRIDGE_T2P1</t>
  </si>
  <si>
    <t>MTRICTS_T2P1_FUSE_PREWRITE_CAL</t>
  </si>
  <si>
    <t>MTRICTS_T2P1_FUSE_READ_CAL</t>
  </si>
  <si>
    <t>MTRICTS_T2P1P1_FUSE_PREWRITE_CAL</t>
  </si>
  <si>
    <t>MTRICTS_T2P1P1_FUSE_READ_CAL</t>
  </si>
  <si>
    <t>MTRICTS_T3P2_FUSE_PREWRITE_CAL</t>
  </si>
  <si>
    <t>MTRICTS_T3P2_FUSE_READ_CAL</t>
  </si>
  <si>
    <t>MTRICTS_BPBN_ASSIGMENT</t>
  </si>
  <si>
    <t>MTRICTS_T4P1_FUSE_PREWRITE_CAL</t>
  </si>
  <si>
    <t>MTRICTS_T4P1_FUSE_READ_CAL</t>
  </si>
  <si>
    <t>MTRICTS_T5P1P1_FUSE_PREWRITE_CAL</t>
  </si>
  <si>
    <t>MTRICTS_T5P1P1_FUSE_READ_CAL</t>
  </si>
  <si>
    <t>NBRIDGET2P1A</t>
  </si>
  <si>
    <t>PP_KMDA0_S_FULP_AN_ICTS_DLL_JTG_COD_ALLFRV_SI_NBRIDGE_T2P1A</t>
  </si>
  <si>
    <t>NBRIDGET2P1P1</t>
  </si>
  <si>
    <t>PP_KMDA0_S_FULP_AN_ICTS_DLL_JTG_COD_ALLFRV_SI_NBRIDGE_T2P1P1</t>
  </si>
  <si>
    <t>RBRIDGET3P1</t>
  </si>
  <si>
    <t>PP_KMDA0_S_FULP_AN_ICTS_DLL_JTG_COD_ALLFRV_SI_RBRIDGE_T3P1</t>
  </si>
  <si>
    <t>RBRIDGET3P2</t>
  </si>
  <si>
    <t>PP_KMDA0_S_FULP_AN_ICTS_DLL_JTG_COD_ALLFRV_SI_RBRIDGE_T3P2</t>
  </si>
  <si>
    <t>READT4P1</t>
  </si>
  <si>
    <t>PP_KMDA0_S_FULP_AN_ICTS_DLL_JTG_COD_ALLFRV_SI_READ_T4P1</t>
  </si>
  <si>
    <t>TEMPT5P1</t>
  </si>
  <si>
    <t>PP_KMDA0_S_FULP_AN_ICTS_DLL_JTG_COD_ALLFRV_SI_TEMP_T5P1</t>
  </si>
  <si>
    <t>TEMPT5P1P1</t>
  </si>
  <si>
    <t>PP_KMDA0_S_FULP_AN_ICTS_DLL_JTG_COD_ALLFRV_SI_TEMP_T5P1P1</t>
  </si>
  <si>
    <t>MNPWRT1P1</t>
  </si>
  <si>
    <t>MN_KMDA0_S_FULP_AN_ICTS_DLL_JTG_COD_ALLFRV_SI_PWR_T1P1</t>
  </si>
  <si>
    <t>MNIREFT1P2</t>
  </si>
  <si>
    <t>MN_KMDA0_S_FULP_AN_ICTS_DLL_JTG_COD_ALLFRV_SI_IREF_T1P2</t>
  </si>
  <si>
    <t>MNANATESTT1P3</t>
  </si>
  <si>
    <t>MN_KMDA0_S_FULP_AN_ICTS_DLL_JTG_COD_ALLFRV_SI_ANATEST_T1P3</t>
  </si>
  <si>
    <t>MNOSCT6P1</t>
  </si>
  <si>
    <t>MN_KMDA0_S_FULP_AN_ICTS_DLL_JTG_COD_ALLFRV_SI_OSC_T6P1</t>
  </si>
  <si>
    <t>NTSEREADT1P1CP1</t>
  </si>
  <si>
    <t>PP_KMDA0_S_FULP_AN_MT02_DLL_JTG_COD_ALLFRV_SI_NTSEREAD_T1P1</t>
  </si>
  <si>
    <t>NTSE_NTSEREADT1P1CP1_FUSE_PREWRITE_CAL_D_0_CP1</t>
  </si>
  <si>
    <t>NTSE_NTSEREADT1P1CP1_FUSE_PREWRITE_CAL_VREF_DIG_CP1</t>
  </si>
  <si>
    <t>NTSE_NTSEREADT1P1FT1_FUSE_PREWRITE_CAL_D_0_FT1</t>
  </si>
  <si>
    <t>NTSE_NTSEREADT1P1FT1_FUSE_READ_CAL_D_0_FT1</t>
  </si>
  <si>
    <t>NTSE_NTSEREADT1P1FT1_FUSE_PREWRITE_CAL_NTSE_TEMP_FT1</t>
  </si>
  <si>
    <t>NTSE_NTSEREADT1P1FT1_FUSE_READ_CAL_NTSE_TEMP_FT1</t>
  </si>
  <si>
    <t>NTSE_NTSEREADT1P1FT2_FUSE_PREWRITE_CAL_VREF_DIG_FT2</t>
  </si>
  <si>
    <t>NTSE_NTSEREADT1P1FT2_FUSE_PREWRITE_CAL_D_0_FT2</t>
  </si>
  <si>
    <t>NTSE_NTSEREADT1P1FT2_FUSE_READ_CAL_D_0_FT2</t>
  </si>
  <si>
    <t>NTSE_NTSEREADT1P1FT2_FUSE_PREWRITE_CAL_NTSE_TEMP_FT2</t>
  </si>
  <si>
    <t>NTSE_NTSEREADT1P1FT2_FUSE_READ_CAL_NTSE_TEMP_FT2</t>
  </si>
  <si>
    <t>NTSEREADT1P1FT1</t>
  </si>
  <si>
    <t>NTSEREADT1P1FT2</t>
  </si>
  <si>
    <t>NTSEREADT2</t>
  </si>
  <si>
    <t>PP_KMDA0_S_FULP_AN_MT02_DLL_JTG_COD_ALLFRV_SI_NTSEREAD_T2</t>
  </si>
  <si>
    <t>MNNTSEREADT1P0</t>
  </si>
  <si>
    <t>MN_KMDA0_S_FULP_AN_MT02_DLL_JTG_COD_ALLFRV_SI_NTSEREAD_T1P0</t>
  </si>
  <si>
    <t>NTSRREADT1P1CP1</t>
  </si>
  <si>
    <t>PP_KMDA0_S_FULP_AN_MT02_DLL_JTG_COD_ALLFRV_SI_NTSRREAD_T1P1</t>
  </si>
  <si>
    <t>NTSR_T1P1_CP1_FUSE_PREWRITE_CAL</t>
  </si>
  <si>
    <t>NTSR_T1P1_CP1_FUSE_READ_CAL</t>
  </si>
  <si>
    <t>NTSR_T1P1_CP2_FUSE_PREWRITE_CAL</t>
  </si>
  <si>
    <t>NTSR_T1P1_CP2_FUSE_READ_CAL</t>
  </si>
  <si>
    <t>NTSR_T1P1_FT1_FUSE_PREWRITE_CAL</t>
  </si>
  <si>
    <t>NTSR_T1P1_FT1_FUSE_READ_CAL</t>
  </si>
  <si>
    <t>NTSRREADT1P1CP2</t>
  </si>
  <si>
    <t>NTSRREADT1P1FT1</t>
  </si>
  <si>
    <t>NTSRREADT1P1FT2</t>
  </si>
  <si>
    <t>NTSRREADT2</t>
  </si>
  <si>
    <t>PP_KMDA0_S_FULP_AN_MT02_DLL_JTG_COD_ALLFRV_SI_NTSRREAD_T2</t>
  </si>
  <si>
    <t>MNNTSRREADT1P0</t>
  </si>
  <si>
    <t>MN_KMDA0_S_FULP_AN_MT02_DLL_JTG_COD_ALLFRV_SI_NTSRREAD_T1P0</t>
  </si>
  <si>
    <t>SIOAOP</t>
  </si>
  <si>
    <t>PP_KMDA0_S_FULP_IO_POPX_NAN_DAA_DIO_ALLFRV_SI_SIO_AOP</t>
  </si>
  <si>
    <t>SIOBSD</t>
  </si>
  <si>
    <t>PP_KMDA0_S_FULP_IO_POPX_NAN_DAA_DIO_ALLFRV_SI_SIO_BSD</t>
  </si>
  <si>
    <t>SIOSIO</t>
  </si>
  <si>
    <t>PP_KMDA0_S_FULP_IO_POPX_NAN_DAA_DIO_ALLFRV_SI_SIO_SIO</t>
  </si>
  <si>
    <t>SIOQSPIMC</t>
  </si>
  <si>
    <t>PP_KMDA0_S_FULP_IO_POPX_NAN_DAA_DIO_ALLFRV_SI_SIO_QSPIMC</t>
  </si>
  <si>
    <t>SIONUB</t>
  </si>
  <si>
    <t>PP_KMDA0_S_FULP_IO_POPX_NAN_DAA_DIO_ALLFRV_SI_SIO_NUB</t>
  </si>
  <si>
    <t>XX</t>
  </si>
  <si>
    <t>PP_KMDA0_S_FULP_PW_PTSX_PFF_DAA_PWR_ALLFRV_SI_X_X</t>
  </si>
  <si>
    <t>DELAYEN</t>
  </si>
  <si>
    <t>PP_KMDA0_S_FULP_PW_PTSX_PFF_DAA_PWR_ALLFRV_SI_DELAY_EN</t>
  </si>
  <si>
    <t>SELSRAMMEMON</t>
  </si>
  <si>
    <t>PP_KMDA0_S_FULP_PW_PTSX_PFF_DAA_PWR_ALLFRV_SI_SELSRAM_MEMON</t>
  </si>
  <si>
    <t>SELSRAMMEMOFF</t>
  </si>
  <si>
    <t>PP_KMDA0_S_FULP_PW_PTSX_PFF_DAA_PWR_ALLFRV_SI_SELSRAM_MEMOFF</t>
  </si>
  <si>
    <t>TBBACC</t>
  </si>
  <si>
    <t>PP_KMDA0_C_FULP_AN_TBBX_PFF_JTG_CAL_ALLFRV_SI_TBB_ACC</t>
  </si>
  <si>
    <t>TBBANE</t>
  </si>
  <si>
    <t>PP_KMDA0_S_FULP_AN_TBBX_PFF_JTG_CAL_ALLFRV_SI_TBB_ANE</t>
  </si>
  <si>
    <t>TBBDCS</t>
  </si>
  <si>
    <t>PP_KMDA0_S_FULP_AN_TBBX_PFF_JTG_CAL_ALLFRV_SI_TBB_DCS</t>
  </si>
  <si>
    <t>TBBGFX</t>
  </si>
  <si>
    <t>PP_KMDA0_S_FULP_AN_TBBX_PFF_JTG_CAL_ALLFRV_SI_TBB_GFX</t>
  </si>
  <si>
    <t>ATBOFMS</t>
  </si>
  <si>
    <t>PP_KMDA0_C_FULP_AN_AATB_MEA_JTG_IMX_ALLFRV_SI_ATB_OFMS</t>
  </si>
  <si>
    <t>PDDBGFREQMEAS</t>
  </si>
  <si>
    <t>PP_KMDA0_S_FULP_AN_AR00_FRQ_JTG_FRQ_ALLFRV_SI_PDDBG_FREQMEAS</t>
  </si>
  <si>
    <t>MNPDDEBUG</t>
  </si>
  <si>
    <t>MN_KMDA0_S_FULP_AN_AR00_FRQ_JTG_FRQ_ALLFRV_SI_PD_DEBUG</t>
  </si>
  <si>
    <t>MNPDSEPFRO</t>
  </si>
  <si>
    <t>MN_KMDA0_S_FULP_AN_AR00_FRQ_JTG_FRQ_ALLFRV_SI_PD_SEPFRO</t>
  </si>
  <si>
    <t>MNPDSEPFRO2</t>
  </si>
  <si>
    <t>MN_KMDA0_S_FULP_AN_AR00_FRQ_JTG_FRQ_ALLFRV_SI_PD_SEPFRO2</t>
  </si>
  <si>
    <t>CPLLT0</t>
  </si>
  <si>
    <t>PP_KMDA0_C_FULP_AN_AA00_DLL_JTG_VIX_ALLFRV_SI_CPLL_T0</t>
  </si>
  <si>
    <t>CPLL_T0_FUSE_PREWRITE_CAL</t>
  </si>
  <si>
    <t>CPLL_T0_FUSE_READ_CAL</t>
  </si>
  <si>
    <t>CPLL_T1_FUSE_PREWRITE_CAL</t>
  </si>
  <si>
    <t>CPLL_T1_FUSE_READ_CAL</t>
  </si>
  <si>
    <t>CPLLT1</t>
  </si>
  <si>
    <t>PP_KMDA0_C_FULP_AN_AA00_DLL_JTG_VIX_ALLFRV_SI_CPLL_T1</t>
  </si>
  <si>
    <t>CPLLT2P105G</t>
  </si>
  <si>
    <t>PP_KMDA0_C_FULP_AN_AA00_DLL_JTG_VIX_ALLFRV_SI_CPLL_T2P105G</t>
  </si>
  <si>
    <t>CPLLT2P108G</t>
  </si>
  <si>
    <t>PP_KMDA0_C_FULP_AN_AA00_DLL_JTG_VIX_ALLFRV_SI_CPLL_T2P108G</t>
  </si>
  <si>
    <t>CPLLT2P109G</t>
  </si>
  <si>
    <t>PP_KMDA0_C_FULP_AN_AA00_DLL_JTG_VIX_ALLFRV_SI_CPLL_T2P109G</t>
  </si>
  <si>
    <t>CPLLT2P110G</t>
  </si>
  <si>
    <t>PP_KMDA0_C_FULP_AN_AA00_DLL_JTG_VIX_ALLFRV_SI_CPLL_T2P110G</t>
  </si>
  <si>
    <t>CPLLT2P111G</t>
  </si>
  <si>
    <t>PP_KMDA0_C_FULP_AN_AA00_DLL_JTG_VIX_ALLFRV_SI_CPLL_T2P111G</t>
  </si>
  <si>
    <t>CPLLT2P112G</t>
  </si>
  <si>
    <t>PP_KMDA0_C_FULP_AN_AA00_DLL_JTG_VIX_ALLFRV_SI_CPLL_T2P112G</t>
  </si>
  <si>
    <t>CPLLT3</t>
  </si>
  <si>
    <t>PP_KMDA0_C_FULP_AN_AA00_DLL_JTG_VIX_ALLFRV_SI_CPLL_T3</t>
  </si>
  <si>
    <t>CPLLT7</t>
  </si>
  <si>
    <t>PP_KMDA0_C_FULP_AN_AA00_DLL_JTG_VIX_ALLFRV_SI_CPLL_T7</t>
  </si>
  <si>
    <t>CPLLT13P108G</t>
  </si>
  <si>
    <t>PP_KMDA0_C_FULP_AN_AA00_DLL_JTG_VIX_ALLFRV_SI_CPLL_T13P108G</t>
  </si>
  <si>
    <t>CPLLT13P111G</t>
  </si>
  <si>
    <t>PP_KMDA0_C_FULP_AN_AA00_DLL_JTG_VIX_ALLFRV_SI_CPLL_T13P111G</t>
  </si>
  <si>
    <t>MNCPLLT0</t>
  </si>
  <si>
    <t>MN_KMDA0_C_FULP_AN_AA00_DLL_JTG_VIX_ALLFRV_SI_CPLL_T0</t>
  </si>
  <si>
    <t>MNCPLLT1</t>
  </si>
  <si>
    <t>MN_KMDA0_C_FULP_AN_AA00_DLL_JTG_VIX_ALLFRV_SI_CPLL_T1</t>
  </si>
  <si>
    <t>MNCPLLT2P101G</t>
  </si>
  <si>
    <t>MN_KMDA0_C_FULP_AN_AA00_DLL_JTG_VIX_ALLFRV_SI_CPLL_T2P101G</t>
  </si>
  <si>
    <t>MNCPLLT2P102G</t>
  </si>
  <si>
    <t>MN_KMDA0_C_FULP_AN_AA00_DLL_JTG_VIX_ALLFRV_SI_CPLL_T2P102G</t>
  </si>
  <si>
    <t>MNCPLLT2P103G</t>
  </si>
  <si>
    <t>MN_KMDA0_C_FULP_AN_AA00_DLL_JTG_VIX_ALLFRV_SI_CPLL_T2P103G</t>
  </si>
  <si>
    <t>MNCPLLT2P104G</t>
  </si>
  <si>
    <t>MN_KMDA0_C_FULP_AN_AA00_DLL_JTG_VIX_ALLFRV_SI_CPLL_T2P104G</t>
  </si>
  <si>
    <t>MNCPLLT2P105G</t>
  </si>
  <si>
    <t>MN_KMDA0_C_FULP_AN_AA00_DLL_JTG_VIX_ALLFRV_SI_CPLL_T2P105G</t>
  </si>
  <si>
    <t>MNCPLLT2P106G</t>
  </si>
  <si>
    <t>MN_KMDA0_C_FULP_AN_AA00_DLL_JTG_VIX_ALLFRV_SI_CPLL_T2P106G</t>
  </si>
  <si>
    <t>MNCPLLT2P107G</t>
  </si>
  <si>
    <t>MN_KMDA0_C_FULP_AN_AA00_DLL_JTG_VIX_ALLFRV_SI_CPLL_T2P107G</t>
  </si>
  <si>
    <t>MNCPLLT2P108G</t>
  </si>
  <si>
    <t>MN_KMDA0_C_FULP_AN_AA00_DLL_JTG_VIX_ALLFRV_SI_CPLL_T2P108G</t>
  </si>
  <si>
    <t>MNCPLLT2P109G</t>
  </si>
  <si>
    <t>MN_KMDA0_C_FULP_AN_AA00_DLL_JTG_VIX_ALLFRV_SI_CPLL_T2P109G</t>
  </si>
  <si>
    <t>MNCPLLT2P110G</t>
  </si>
  <si>
    <t>MN_KMDA0_C_FULP_AN_AA00_DLL_JTG_VIX_ALLFRV_SI_CPLL_T2P110G</t>
  </si>
  <si>
    <t>MNCPLLT2P111G</t>
  </si>
  <si>
    <t>MN_KMDA0_C_FULP_AN_AA00_DLL_JTG_VIX_ALLFRV_SI_CPLL_T2P111G</t>
  </si>
  <si>
    <t>MNCPLLT2P112G</t>
  </si>
  <si>
    <t>MN_KMDA0_C_FULP_AN_AA00_DLL_JTG_VIX_ALLFRV_SI_CPLL_T2P112G</t>
  </si>
  <si>
    <t>MNCPLLT2P200G</t>
  </si>
  <si>
    <t>MN_KMDA0_C_FULP_AN_AA00_DLL_JTG_VIX_ALLFRV_SI_CPLL_T2P200G</t>
  </si>
  <si>
    <t>MNCPLLT2P201G</t>
  </si>
  <si>
    <t>MN_KMDA0_C_FULP_AN_AA00_DLL_JTG_VIX_ALLFRV_SI_CPLL_T2P201G</t>
  </si>
  <si>
    <t>MNCPLLT2P205G</t>
  </si>
  <si>
    <t>MN_KMDA0_C_FULP_AN_AA00_DLL_JTG_VIX_ALLFRV_SI_CPLL_T2P205G</t>
  </si>
  <si>
    <t>MNCPLLT2P209G</t>
  </si>
  <si>
    <t>MN_KMDA0_C_FULP_AN_AA00_DLL_JTG_VIX_ALLFRV_SI_CPLL_T2P209G</t>
  </si>
  <si>
    <t>MNCPLLT2P210G</t>
  </si>
  <si>
    <t>MN_KMDA0_C_FULP_AN_AA00_DLL_JTG_VIX_ALLFRV_SI_CPLL_T2P210G</t>
  </si>
  <si>
    <t>MNCPLLT2P400G</t>
  </si>
  <si>
    <t>MN_KMDA0_C_FULP_AN_AA00_DLL_JTG_VIX_ALLFRV_SI_CPLL_T2P400G</t>
  </si>
  <si>
    <t>MNCPLLT2P401G</t>
  </si>
  <si>
    <t>MN_KMDA0_C_FULP_AN_AA00_DLL_JTG_VIX_ALLFRV_SI_CPLL_T2P401G</t>
  </si>
  <si>
    <t>MNCPLLT2P405G</t>
  </si>
  <si>
    <t>MN_KMDA0_C_FULP_AN_AA00_DLL_JTG_VIX_ALLFRV_SI_CPLL_T2P405G</t>
  </si>
  <si>
    <t>MNCPLLT2P409G</t>
  </si>
  <si>
    <t>MN_KMDA0_C_FULP_AN_AA00_DLL_JTG_VIX_ALLFRV_SI_CPLL_T2P409G</t>
  </si>
  <si>
    <t>MNCPLLT2P410G</t>
  </si>
  <si>
    <t>MN_KMDA0_C_FULP_AN_AA00_DLL_JTG_VIX_ALLFRV_SI_CPLL_T2P410G</t>
  </si>
  <si>
    <t>MNCPLLT2P800G</t>
  </si>
  <si>
    <t>MN_KMDA0_C_FULP_AN_AA00_DLL_JTG_VIX_ALLFRV_SI_CPLL_T2P800G</t>
  </si>
  <si>
    <t>MNCPLLT2P801G</t>
  </si>
  <si>
    <t>MN_KMDA0_C_FULP_AN_AA00_DLL_JTG_VIX_ALLFRV_SI_CPLL_T2P801G</t>
  </si>
  <si>
    <t>MNCPLLT2P805G</t>
  </si>
  <si>
    <t>MN_KMDA0_C_FULP_AN_AA00_DLL_JTG_VIX_ALLFRV_SI_CPLL_T2P805G</t>
  </si>
  <si>
    <t>MNCPLLT2P809G</t>
  </si>
  <si>
    <t>MN_KMDA0_C_FULP_AN_AA00_DLL_JTG_VIX_ALLFRV_SI_CPLL_T2P809G</t>
  </si>
  <si>
    <t>MNCPLLT2P810G</t>
  </si>
  <si>
    <t>MN_KMDA0_C_FULP_AN_AA00_DLL_JTG_VIX_ALLFRV_SI_CPLL_T2P810G</t>
  </si>
  <si>
    <t>MNCPLLT7</t>
  </si>
  <si>
    <t>MN_KMDA0_C_FULP_AN_AA00_DLL_JTG_VIX_ALLFRV_SI_CPLL_T7</t>
  </si>
  <si>
    <t>MNCPLLT8</t>
  </si>
  <si>
    <t>MN_KMDA0_C_FULP_AN_AA00_DLL_JTG_VIX_ALLFRV_SI_CPLL_T8</t>
  </si>
  <si>
    <t>MNCPLLT10</t>
  </si>
  <si>
    <t>MN_KMDA0_C_FULP_AN_AA00_DLL_JTG_VIX_ALLFRV_SI_CPLL_T10</t>
  </si>
  <si>
    <t>MNCPLLT11</t>
  </si>
  <si>
    <t>MN_KMDA0_C_FULP_AN_AA00_DLL_JTG_VIX_ALLFRV_SI_CPLL_T11</t>
  </si>
  <si>
    <t>MNCPLLT13P101G</t>
  </si>
  <si>
    <t>MN_KMDA0_C_FULP_AN_AA00_DLL_JTG_VIX_ALLFRV_SI_CPLL_T13P101G</t>
  </si>
  <si>
    <t>MNCPLLT13P102G</t>
  </si>
  <si>
    <t>MN_KMDA0_C_FULP_AN_AA00_DLL_JTG_VIX_ALLFRV_SI_CPLL_T13P102G</t>
  </si>
  <si>
    <t>MNCPLLT13P103G</t>
  </si>
  <si>
    <t>MN_KMDA0_C_FULP_AN_AA00_DLL_JTG_VIX_ALLFRV_SI_CPLL_T13P103G</t>
  </si>
  <si>
    <t>MNCPLLT13P104G</t>
  </si>
  <si>
    <t>MN_KMDA0_C_FULP_AN_AA00_DLL_JTG_VIX_ALLFRV_SI_CPLL_T13P104G</t>
  </si>
  <si>
    <t>MNCPLLT13P105G</t>
  </si>
  <si>
    <t>MN_KMDA0_C_FULP_AN_AA00_DLL_JTG_VIX_ALLFRV_SI_CPLL_T13P105G</t>
  </si>
  <si>
    <t>MNCPLLT13P106G</t>
  </si>
  <si>
    <t>MN_KMDA0_C_FULP_AN_AA00_DLL_JTG_VIX_ALLFRV_SI_CPLL_T13P106G</t>
  </si>
  <si>
    <t>MNCPLLT13P107G</t>
  </si>
  <si>
    <t>MN_KMDA0_C_FULP_AN_AA00_DLL_JTG_VIX_ALLFRV_SI_CPLL_T13P107G</t>
  </si>
  <si>
    <t>MNCPLLT13P108G</t>
  </si>
  <si>
    <t>MN_KMDA0_C_FULP_AN_AA00_DLL_JTG_VIX_ALLFRV_SI_CPLL_T13P108G</t>
  </si>
  <si>
    <t>MNCPLLT13P109G</t>
  </si>
  <si>
    <t>MN_KMDA0_C_FULP_AN_AA00_DLL_JTG_VIX_ALLFRV_SI_CPLL_T13P109G</t>
  </si>
  <si>
    <t>MNCPLLT13P110G</t>
  </si>
  <si>
    <t>MN_KMDA0_C_FULP_AN_AA00_DLL_JTG_VIX_ALLFRV_SI_CPLL_T13P110G</t>
  </si>
  <si>
    <t>MNCPLLT13P111G</t>
  </si>
  <si>
    <t>MN_KMDA0_C_FULP_AN_AA00_DLL_JTG_VIX_ALLFRV_SI_CPLL_T13P111G</t>
  </si>
  <si>
    <t>MNCPLLT13P112G</t>
  </si>
  <si>
    <t>MN_KMDA0_C_FULP_AN_AA00_DLL_JTG_VIX_ALLFRV_SI_CPLL_T13P112G</t>
  </si>
  <si>
    <t>MNCPLLT13P200G</t>
  </si>
  <si>
    <t>MN_KMDA0_C_FULP_AN_AA00_DLL_JTG_VIX_ALLFRV_SI_CPLL_T13P200G</t>
  </si>
  <si>
    <t>MNCPLLT13P201G</t>
  </si>
  <si>
    <t>MN_KMDA0_C_FULP_AN_AA00_DLL_JTG_VIX_ALLFRV_SI_CPLL_T13P201G</t>
  </si>
  <si>
    <t>MNCPLLT13P205G</t>
  </si>
  <si>
    <t>MN_KMDA0_C_FULP_AN_AA00_DLL_JTG_VIX_ALLFRV_SI_CPLL_T13P205G</t>
  </si>
  <si>
    <t>MNCPLLT13P209G</t>
  </si>
  <si>
    <t>MN_KMDA0_C_FULP_AN_AA00_DLL_JTG_VIX_ALLFRV_SI_CPLL_T13P209G</t>
  </si>
  <si>
    <t>MNCPLLT13P210G</t>
  </si>
  <si>
    <t>MN_KMDA0_C_FULP_AN_AA00_DLL_JTG_VIX_ALLFRV_SI_CPLL_T13P210G</t>
  </si>
  <si>
    <t>MNCPLLT13P400G</t>
  </si>
  <si>
    <t>MN_KMDA0_C_FULP_AN_AA00_DLL_JTG_VIX_ALLFRV_SI_CPLL_T13P400G</t>
  </si>
  <si>
    <t>MNCPLLT13P401G</t>
  </si>
  <si>
    <t>MN_KMDA0_C_FULP_AN_AA00_DLL_JTG_VIX_ALLFRV_SI_CPLL_T13P401G</t>
  </si>
  <si>
    <t>MNCPLLT13P405G</t>
  </si>
  <si>
    <t>MN_KMDA0_C_FULP_AN_AA00_DLL_JTG_VIX_ALLFRV_SI_CPLL_T13P405G</t>
  </si>
  <si>
    <t>MNCPLLT13P409G</t>
  </si>
  <si>
    <t>MN_KMDA0_C_FULP_AN_AA00_DLL_JTG_VIX_ALLFRV_SI_CPLL_T13P409G</t>
  </si>
  <si>
    <t>MNCPLLT13P410G</t>
  </si>
  <si>
    <t>MN_KMDA0_C_FULP_AN_AA00_DLL_JTG_VIX_ALLFRV_SI_CPLL_T13P410G</t>
  </si>
  <si>
    <t>MNCPLLT13P800G</t>
  </si>
  <si>
    <t>MN_KMDA0_C_FULP_AN_AA00_DLL_JTG_VIX_ALLFRV_SI_CPLL_T13P800G</t>
  </si>
  <si>
    <t>MNCPLLT13P801G</t>
  </si>
  <si>
    <t>MN_KMDA0_C_FULP_AN_AA00_DLL_JTG_VIX_ALLFRV_SI_CPLL_T13P801G</t>
  </si>
  <si>
    <t>MNCPLLT13P805G</t>
  </si>
  <si>
    <t>MN_KMDA0_C_FULP_AN_AA00_DLL_JTG_VIX_ALLFRV_SI_CPLL_T13P805G</t>
  </si>
  <si>
    <t>MNCPLLT13P809G</t>
  </si>
  <si>
    <t>MN_KMDA0_C_FULP_AN_AA00_DLL_JTG_VIX_ALLFRV_SI_CPLL_T13P809G</t>
  </si>
  <si>
    <t>MNCPLLT13P810G</t>
  </si>
  <si>
    <t>MN_KMDA0_C_FULP_AN_AA00_DLL_JTG_VIX_ALLFRV_SI_CPLL_T13P810G</t>
  </si>
  <si>
    <t>ADCLKT1</t>
  </si>
  <si>
    <t>PP_KMDA0_C_FULP_AN_AA01_DLL_JTG_CAL_ALLFRV_SI_ADCLK_T1</t>
  </si>
  <si>
    <t>ADCLK_T1_FUSE_PREWRITE_CAL1</t>
  </si>
  <si>
    <t>ADCLK_T1_FUSE_PREWRITE_CAL2</t>
  </si>
  <si>
    <t>ADCLK_T1_FUSE_PREWRITE_CAL3</t>
  </si>
  <si>
    <t>ADCLK_T1_FUSE_READ_CAL1</t>
  </si>
  <si>
    <t>ADCLK_T1_FUSE_READ_CAL2</t>
  </si>
  <si>
    <t>ADCLK_T1_FUSE_READ_CAL3</t>
  </si>
  <si>
    <t>ADCLKT2P1P0B</t>
  </si>
  <si>
    <t>PP_KMDA0_C_FULP_AN_AA01_DLL_JTG_VIX_ALLFRV_SI_ADCLK_T2P1P0B</t>
  </si>
  <si>
    <t>ADCLKT2P2P</t>
  </si>
  <si>
    <t>PP_KMDA0_C_FULP_AN_AA01_DLL_JTG_VIX_ALLFRV_SI_ADCLK_T2P2P</t>
  </si>
  <si>
    <t>ADCLKT2P6P</t>
  </si>
  <si>
    <t>PP_KMDA0_C_FULP_AN_AA01_DLL_JTG_VIX_ALLFRV_SI_ADCLK_T2P6P</t>
  </si>
  <si>
    <t>ADCLKT2P7P</t>
  </si>
  <si>
    <t>PP_KMDA0_C_FULP_AN_AA01_DLL_JTG_VIX_ALLFRV_SI_ADCLK_T2P7P</t>
  </si>
  <si>
    <t>ADCLKT3</t>
  </si>
  <si>
    <t>PP_KMDA0_C_FULP_AN_AA01_MEA_JTG_VMX_ALLFRV_SI_ADCLK_T3</t>
  </si>
  <si>
    <t>ADCLKT4</t>
  </si>
  <si>
    <t>PP_KMDA0_C_FULP_AN_AA01_DLL_JTG_FRQ_ALLFRV_SI_ADCLK_T4</t>
  </si>
  <si>
    <t>ADCLKT7P1P</t>
  </si>
  <si>
    <t>PP_KMDA0_C_FULP_AN_AA01_MEA_JTG_LKK_ALLFRV_SI_ADCLK_T7P1P</t>
  </si>
  <si>
    <t>ADCLKT7P2P</t>
  </si>
  <si>
    <t>PP_KMDA0_C_FULP_AN_AA01_MEA_JTG_LKK_ALLFRV_SI_ADCLK_T7P2P</t>
  </si>
  <si>
    <t>ADCLKT7P3P</t>
  </si>
  <si>
    <t>PP_KMDA0_C_FULP_AN_AA01_MEA_JTG_LKK_ALLFRV_SI_ADCLK_T7P3P</t>
  </si>
  <si>
    <t>ADCLKT7P4P</t>
  </si>
  <si>
    <t>PP_KMDA0_C_FULP_AN_AA01_MEA_JTG_LKK_ALLFRV_SI_ADCLK_T7P4P</t>
  </si>
  <si>
    <t>ADCLKT7P5P</t>
  </si>
  <si>
    <t>PP_KMDA0_C_FULP_AN_AA01_MEA_JTG_LKK_ALLFRV_SI_ADCLK_T7P5P</t>
  </si>
  <si>
    <t>ADCLKT7P6P</t>
  </si>
  <si>
    <t>PP_KMDA0_C_FULP_AN_AA01_MEA_JTG_LKK_ALLFRV_SI_ADCLK_T7P6P</t>
  </si>
  <si>
    <t>ADCLKT11</t>
  </si>
  <si>
    <t>PP_KMDA0_C_FULP_AN_AA01_MEA_JTG_DYC_ALLFRV_SI_ADCLK_T11</t>
  </si>
  <si>
    <t>ADCLKT14</t>
  </si>
  <si>
    <t>PP_KMDA0_C_FULP_AN_AA01_MEA_JTG_DYC_ALLFRV_SI_ADCLK_T14</t>
  </si>
  <si>
    <t>ADCLKT15</t>
  </si>
  <si>
    <t>PP_KMDA0_C_FULP_AN_AA01_MEA_JTG_DYC_ALLFRV_SI_ADCLK_T15</t>
  </si>
  <si>
    <t>ADCLKT16</t>
  </si>
  <si>
    <t>PP_KMDA0_C_FULP_AN_AA01_MEA_JTG_DYC_ALLFRV_SI_ADCLK_T16</t>
  </si>
  <si>
    <t>MNADCLKT2P1P0B</t>
  </si>
  <si>
    <t>MN_KMDA0_C_FULP_AN_AA01_DLL_JTG_VIX_ALLFRV_SI_ADCLK_T2P1P0B</t>
  </si>
  <si>
    <t>MNADCLKT2P1PHB</t>
  </si>
  <si>
    <t>MN_KMDA0_C_FULP_AN_AA01_DLL_JTG_VIX_ALLFRV_SI_ADCLK_T2P1PHB</t>
  </si>
  <si>
    <t>MNADCLKT2P1PQB</t>
  </si>
  <si>
    <t>MN_KMDA0_C_FULP_AN_AA01_DLL_JTG_VIX_ALLFRV_SI_ADCLK_T2P1PQB</t>
  </si>
  <si>
    <t>MNADCLKT2P2PHB</t>
  </si>
  <si>
    <t>MN_KMDA0_C_FULP_AN_AA01_DLL_JTG_VIX_ALLFRV_SI_ADCLK_T2P2PHB</t>
  </si>
  <si>
    <t>MNADCLKT2P2PQB</t>
  </si>
  <si>
    <t>MN_KMDA0_C_FULP_AN_AA01_DLL_JTG_VIX_ALLFRV_SI_ADCLK_T2P2PQB</t>
  </si>
  <si>
    <t>MNADCLKT2P2P</t>
  </si>
  <si>
    <t>MN_KMDA0_C_FULP_AN_AA01_DLL_JTG_VIX_ALLFRV_SI_ADCLK_T2P2P</t>
  </si>
  <si>
    <t>MNADCLKT2P3PHB</t>
  </si>
  <si>
    <t>MN_KMDA0_C_FULP_AN_AA01_DLL_JTG_VIX_ALLFRV_SI_ADCLK_T2P3PHB</t>
  </si>
  <si>
    <t>MNADCLKT2P3PQB</t>
  </si>
  <si>
    <t>MN_KMDA0_C_FULP_AN_AA01_DLL_JTG_VIX_ALLFRV_SI_ADCLK_T2P3PQB</t>
  </si>
  <si>
    <t>MNADCLKT2P3P</t>
  </si>
  <si>
    <t>MN_KMDA0_C_FULP_AN_AA01_DLL_JTG_VIX_ALLFRV_SI_ADCLK_T2P3P</t>
  </si>
  <si>
    <t>MNADCLKT2P4PHB</t>
  </si>
  <si>
    <t>MN_KMDA0_C_FULP_AN_AA01_DLL_JTG_VIX_ALLFRV_SI_ADCLK_T2P4PHB</t>
  </si>
  <si>
    <t>MNADCLKT2P4P</t>
  </si>
  <si>
    <t>MN_KMDA0_C_FULP_AN_AA01_DLL_JTG_VIX_ALLFRV_SI_ADCLK_T2P4P</t>
  </si>
  <si>
    <t>MNADCLKT2P5P</t>
  </si>
  <si>
    <t>MN_KMDA0_C_FULP_AN_AA01_DLL_JTG_VIX_ALLFRV_SI_ADCLK_T2P5P</t>
  </si>
  <si>
    <t>MNADCLKT2P6P</t>
  </si>
  <si>
    <t>MN_KMDA0_C_FULP_AN_AA01_DLL_JTG_VIX_ALLFRV_SI_ADCLK_T2P6P</t>
  </si>
  <si>
    <t>MNADCLKT2P7P</t>
  </si>
  <si>
    <t>MN_KMDA0_C_FULP_AN_AA01_DLL_JTG_VIX_ALLFRV_SI_ADCLK_T2P7P</t>
  </si>
  <si>
    <t>MNADCLKT2P8P</t>
  </si>
  <si>
    <t>MN_KMDA0_C_FULP_AN_AA01_DLL_JTG_VIX_ALLFRV_SI_ADCLK_T2P8P</t>
  </si>
  <si>
    <t>MNADCLKT2P9P</t>
  </si>
  <si>
    <t>MN_KMDA0_C_FULP_AN_AA01_DLL_JTG_VIX_ALLFRV_SI_ADCLK_T2P9P</t>
  </si>
  <si>
    <t>MNADCLKT2P10P</t>
  </si>
  <si>
    <t>MN_KMDA0_C_FULP_AN_AA01_DLL_JTG_VIX_ALLFRV_SI_ADCLK_T2P10P</t>
  </si>
  <si>
    <t>MNADCLKT2P11P</t>
  </si>
  <si>
    <t>MN_KMDA0_C_FULP_AN_AA01_DLL_JTG_VIX_ALLFRV_SI_ADCLK_T2P11P</t>
  </si>
  <si>
    <t>MNADCLKT2P12P</t>
  </si>
  <si>
    <t>MN_KMDA0_C_FULP_AN_AA01_DLL_JTG_VIX_ALLFRV_SI_ADCLK_T2P12P</t>
  </si>
  <si>
    <t>MNADCLKT2P13P</t>
  </si>
  <si>
    <t>MN_KMDA0_C_FULP_AN_AA01_DLL_JTG_VIX_ALLFRV_SI_ADCLK_T2P13P</t>
  </si>
  <si>
    <t>MNADCLKT2P14P</t>
  </si>
  <si>
    <t>MN_KMDA0_C_FULP_AN_AA01_DLL_JTG_VIX_ALLFRV_SI_ADCLK_T2P14P</t>
  </si>
  <si>
    <t>MNADCLKT2P15P</t>
  </si>
  <si>
    <t>MN_KMDA0_C_FULP_AN_AA01_DLL_JTG_VIX_ALLFRV_SI_ADCLK_T2P15P</t>
  </si>
  <si>
    <t>MNADCLKT2P16P</t>
  </si>
  <si>
    <t>MN_KMDA0_C_FULP_AN_AA01_DLL_JTG_VIX_ALLFRV_SI_ADCLK_T2P16P</t>
  </si>
  <si>
    <t>MNADCLKT2P17P</t>
  </si>
  <si>
    <t>MN_KMDA0_C_FULP_AN_AA01_DLL_JTG_VIX_ALLFRV_SI_ADCLK_T2P17P</t>
  </si>
  <si>
    <t>MNADCLKT2P18P</t>
  </si>
  <si>
    <t>MN_KMDA0_C_FULP_AN_AA01_DLL_JTG_VIX_ALLFRV_SI_ADCLK_T2P18P</t>
  </si>
  <si>
    <t>MNADCLKT2P19P</t>
  </si>
  <si>
    <t>MN_KMDA0_C_FULP_AN_AA01_DLL_JTG_VIX_ALLFRV_SI_ADCLK_T2P19P</t>
  </si>
  <si>
    <t>MNADCLKT8P1P</t>
  </si>
  <si>
    <t>MN_KMDA0_C_FULP_AN_AA01_MEA_JTG_LKK_ALLFRV_SI_ADCLK_T8P1P</t>
  </si>
  <si>
    <t>MNADCLKT8P2P</t>
  </si>
  <si>
    <t>MN_KMDA0_C_FULP_AN_AA01_MEA_JTG_LKK_ALLFRV_SI_ADCLK_T8P2P</t>
  </si>
  <si>
    <t>MNADCLKT8P3P</t>
  </si>
  <si>
    <t>MN_KMDA0_C_FULP_AN_AA01_MEA_JTG_LKK_ALLFRV_SI_ADCLK_T8P3P</t>
  </si>
  <si>
    <t>MNADCLKT8P4P</t>
  </si>
  <si>
    <t>MN_KMDA0_C_FULP_AN_AA01_MEA_JTG_LKK_ALLFRV_SI_ADCLK_T8P4P</t>
  </si>
  <si>
    <t>LAPLLT2P1S</t>
  </si>
  <si>
    <t>PP_KMDA0_C_FULP_AN_AA06_DLL_JTG_VIX_ALLFRV_SI_LAPLL_T2P1S</t>
  </si>
  <si>
    <t>LAPLLT2P2S</t>
  </si>
  <si>
    <t>PP_KMDA0_C_FULP_AN_AA06_DLL_JTG_VIX_ALLFRV_SI_LAPLL_T2P2S</t>
  </si>
  <si>
    <t>LAPLLT2P3S</t>
  </si>
  <si>
    <t>PP_KMDA0_C_FULP_AN_AA06_DLL_JTG_VIX_ALLFRV_SI_LAPLL_T2P3S</t>
  </si>
  <si>
    <t>LAPLLT2P4S</t>
  </si>
  <si>
    <t>PP_KMDA0_C_FULP_AN_AA06_DLL_JTG_VIX_ALLFRV_SI_LAPLL_T2P4S</t>
  </si>
  <si>
    <t>LAPLLT2P5S</t>
  </si>
  <si>
    <t>PP_KMDA0_C_FULP_AN_AA06_DLL_JTG_VIX_ALLFRV_SI_LAPLL_T2P5S</t>
  </si>
  <si>
    <t>LAPLLT2P6S</t>
  </si>
  <si>
    <t>PP_KMDA0_C_FULP_AN_AA06_DLL_JTG_VIX_ALLFRV_SI_LAPLL_T2P6S</t>
  </si>
  <si>
    <t>LAPLLT2P7S</t>
  </si>
  <si>
    <t>PP_KMDA0_C_FULP_AN_AA06_DLL_JTG_VIX_ALLFRV_SI_LAPLL_T2P7S</t>
  </si>
  <si>
    <t>LAPLLT2P8S</t>
  </si>
  <si>
    <t>PP_KMDA0_C_FULP_AN_AA06_DLL_JTG_VIX_ALLFRV_SI_LAPLL_T2P8S</t>
  </si>
  <si>
    <t>LAPLLT2P9S</t>
  </si>
  <si>
    <t>PP_KMDA0_C_FULP_AN_AA06_DLL_JTG_VIX_ALLFRV_SI_LAPLL_T2P9S</t>
  </si>
  <si>
    <t>LAPLLT2P10S</t>
  </si>
  <si>
    <t>PP_KMDA0_C_FULP_AN_AA06_DLL_JTG_VIX_ALLFRV_SI_LAPLL_T2P10S</t>
  </si>
  <si>
    <t>LAPLLT3</t>
  </si>
  <si>
    <t>PP_KMDA0_C_FULP_AN_AA06_MEA_JTG_IMX_ALLFRV_SI_LAPLL_T3</t>
  </si>
  <si>
    <t>LAPLLT4</t>
  </si>
  <si>
    <t>PP_KMDA0_C_FULP_AN_AA06_DLL_JTG_FRQ_ALLFRV_SI_LAPLL_T4</t>
  </si>
  <si>
    <t>LAPLLT12</t>
  </si>
  <si>
    <t>PP_KMDA0_C_FULP_AN_AA06_DLL_JTG_VIX_ALLFRV_SI_LAPLL_T12</t>
  </si>
  <si>
    <t>MNLAPLLT2P1S</t>
  </si>
  <si>
    <t>MN_KMDA0_C_FULP_AN_AA06_DLL_JTG_VIX_ALLFRV_SI_LAPLL_T2P1S</t>
  </si>
  <si>
    <t>MNLAPLLT2P2S</t>
  </si>
  <si>
    <t>MN_KMDA0_C_FULP_AN_AA06_DLL_JTG_VIX_ALLFRV_SI_LAPLL_T2P2S</t>
  </si>
  <si>
    <t>MNLAPLLT2P3S</t>
  </si>
  <si>
    <t>MN_KMDA0_C_FULP_AN_AA06_DLL_JTG_VIX_ALLFRV_SI_LAPLL_T2P3S</t>
  </si>
  <si>
    <t>MNLAPLLT2P4S</t>
  </si>
  <si>
    <t>MN_KMDA0_C_FULP_AN_AA06_DLL_JTG_VIX_ALLFRV_SI_LAPLL_T2P4S</t>
  </si>
  <si>
    <t>MNLAPLLT2P5S</t>
  </si>
  <si>
    <t>MN_KMDA0_C_FULP_AN_AA06_DLL_JTG_VIX_ALLFRV_SI_LAPLL_T2P5S</t>
  </si>
  <si>
    <t>MNLAPLLT2P6S</t>
  </si>
  <si>
    <t>MN_KMDA0_C_FULP_AN_AA06_DLL_JTG_VIX_ALLFRV_SI_LAPLL_T2P6S</t>
  </si>
  <si>
    <t>MNLAPLLT2P7S</t>
  </si>
  <si>
    <t>MN_KMDA0_C_FULP_AN_AA06_DLL_JTG_VIX_ALLFRV_SI_LAPLL_T2P7S</t>
  </si>
  <si>
    <t>MNLAPLLT2P8S</t>
  </si>
  <si>
    <t>MN_KMDA0_C_FULP_AN_AA06_DLL_JTG_VIX_ALLFRV_SI_LAPLL_T2P8S</t>
  </si>
  <si>
    <t>MNLAPLLT2P9S</t>
  </si>
  <si>
    <t>MN_KMDA0_C_FULP_AN_AA06_DLL_JTG_VIX_ALLFRV_SI_LAPLL_T2P9S</t>
  </si>
  <si>
    <t>MNLAPLLT2P10S</t>
  </si>
  <si>
    <t>MN_KMDA0_C_FULP_AN_AA06_DLL_JTG_VIX_ALLFRV_SI_LAPLL_T2P10S</t>
  </si>
  <si>
    <t>MNLAPLLT2P11S</t>
  </si>
  <si>
    <t>MN_KMDA0_C_FULP_AN_AA06_DLL_JTG_VIX_ALLFRV_SI_LAPLL_T2P11S</t>
  </si>
  <si>
    <t>MNLAPLLT2P12S</t>
  </si>
  <si>
    <t>MN_KMDA0_C_FULP_AN_AA06_DLL_JTG_VIX_ALLFRV_SI_LAPLL_T2P12S</t>
  </si>
  <si>
    <t>MNLAPLLT2P13S</t>
  </si>
  <si>
    <t>MN_KMDA0_C_FULP_AN_AA06_DLL_JTG_VIX_ALLFRV_SI_LAPLL_T2P13S</t>
  </si>
  <si>
    <t>MNLAPLLT2P14S</t>
  </si>
  <si>
    <t>MN_KMDA0_C_FULP_AN_AA06_DLL_JTG_VIX_ALLFRV_SI_LAPLL_T2P14S</t>
  </si>
  <si>
    <t>MNLAPLLT2P15S</t>
  </si>
  <si>
    <t>MN_KMDA0_C_FULP_AN_AA06_DLL_JTG_VIX_ALLFRV_SI_LAPLL_T2P15S</t>
  </si>
  <si>
    <t>MNLAPLLT2P16S</t>
  </si>
  <si>
    <t>MN_KMDA0_C_FULP_AN_AA06_DLL_JTG_VIX_ALLFRV_SI_LAPLL_T2P16S</t>
  </si>
  <si>
    <t>MNLAPLLT2P17S</t>
  </si>
  <si>
    <t>MN_KMDA0_C_FULP_AN_AA06_DLL_JTG_VIX_ALLFRV_SI_LAPLL_T2P17S</t>
  </si>
  <si>
    <t>MNLAPLLT2P18S</t>
  </si>
  <si>
    <t>MN_KMDA0_C_FULP_AN_AA06_DLL_JTG_VIX_ALLFRV_SI_LAPLL_T2P18S</t>
  </si>
  <si>
    <t>MNLAPLLT2P19S</t>
  </si>
  <si>
    <t>MN_KMDA0_C_FULP_AN_AA06_DLL_JTG_VIX_ALLFRV_SI_LAPLL_T2P19S</t>
  </si>
  <si>
    <t>MNLAPLLT2P20S</t>
  </si>
  <si>
    <t>MN_KMDA0_C_FULP_AN_AA06_DLL_JTG_VIX_ALLFRV_SI_LAPLL_T2P20S</t>
  </si>
  <si>
    <t>MNLAPLLT2P21S</t>
  </si>
  <si>
    <t>MN_KMDA0_C_FULP_AN_AA06_DLL_JTG_VIX_ALLFRV_SI_LAPLL_T2P21S</t>
  </si>
  <si>
    <t>MNLAPLLT2P22S</t>
  </si>
  <si>
    <t>MN_KMDA0_C_FULP_AN_AA06_DLL_JTG_VIX_ALLFRV_SI_LAPLL_T2P22S</t>
  </si>
  <si>
    <t>MNLAPLLT2P23S</t>
  </si>
  <si>
    <t>MN_KMDA0_C_FULP_AN_AA06_DLL_JTG_VIX_ALLFRV_SI_LAPLL_T2P23S</t>
  </si>
  <si>
    <t>MNLAPLLT2P24S</t>
  </si>
  <si>
    <t>MN_KMDA0_C_FULP_AN_AA06_DLL_JTG_VIX_ALLFRV_SI_LAPLL_T2P24S</t>
  </si>
  <si>
    <t>MNLAPLLT2P25S</t>
  </si>
  <si>
    <t>MN_KMDA0_C_FULP_AN_AA06_DLL_JTG_VIX_ALLFRV_SI_LAPLL_T2P25S</t>
  </si>
  <si>
    <t>MNLAPLLT2P26S</t>
  </si>
  <si>
    <t>MN_KMDA0_C_FULP_AN_AA06_DLL_JTG_VIX_ALLFRV_SI_LAPLL_T2P26S</t>
  </si>
  <si>
    <t>MNLAPLLT2P27S</t>
  </si>
  <si>
    <t>MN_KMDA0_C_FULP_AN_AA06_DLL_JTG_VIX_ALLFRV_SI_LAPLL_T2P27S</t>
  </si>
  <si>
    <t>MNLAPLLT2P28S</t>
  </si>
  <si>
    <t>MN_KMDA0_C_FULP_AN_AA06_DLL_JTG_VIX_ALLFRV_SI_LAPLL_T2P28S</t>
  </si>
  <si>
    <t>MNLAPLLT2P29S</t>
  </si>
  <si>
    <t>MN_KMDA0_C_FULP_AN_AA06_DLL_JTG_VIX_ALLFRV_SI_LAPLL_T2P29S</t>
  </si>
  <si>
    <t>MNLAPLLT2P30S</t>
  </si>
  <si>
    <t>MN_KMDA0_C_FULP_AN_AA06_DLL_JTG_VIX_ALLFRV_SI_LAPLL_T2P30S</t>
  </si>
  <si>
    <t>MNLAPLLT2P31S</t>
  </si>
  <si>
    <t>MN_KMDA0_C_FULP_AN_AA06_DLL_JTG_VIX_ALLFRV_SI_LAPLL_T2P31S</t>
  </si>
  <si>
    <t>MNLAPLLT2P32S</t>
  </si>
  <si>
    <t>MN_KMDA0_C_FULP_AN_AA06_DLL_JTG_VIX_ALLFRV_SI_LAPLL_T2P32S</t>
  </si>
  <si>
    <t>MNLAPLLT4</t>
  </si>
  <si>
    <t>MN_KMDA0_C_FULP_AN_AA06_DLL_JTG_FRQ_ALLFRV_SI_LAPLL_T4</t>
  </si>
  <si>
    <t>MNLAPLLT7</t>
  </si>
  <si>
    <t>MN_KMDA0_C_FULP_AN_AA06_DLL_JTG_LKK_ALLFRV_SI_LAPLL_T7</t>
  </si>
  <si>
    <t>MNLAPLLT8P1S</t>
  </si>
  <si>
    <t>MN_KMDA0_C_FULP_AN_AA06_DLL_JTG_LKK_ALLFRV_SI_LAPLL_T8P1S</t>
  </si>
  <si>
    <t>MNLAPLLT8P2S</t>
  </si>
  <si>
    <t>MN_KMDA0_C_FULP_AN_AA06_DLL_JTG_LKK_ALLFRV_SI_LAPLL_T8P2S</t>
  </si>
  <si>
    <t>MNLAPLLT8P3S</t>
  </si>
  <si>
    <t>MN_KMDA0_C_FULP_AN_AA06_DLL_JTG_LKK_ALLFRV_SI_LAPLL_T8P3S</t>
  </si>
  <si>
    <t>MNLAPLLT12</t>
  </si>
  <si>
    <t>MN_KMDA0_C_FULP_AN_AA06_DLL_JTG_VIX_ALLFRV_SI_LAPLL_T12</t>
  </si>
  <si>
    <t>REFGENCMNTRIMBGCOARSEMOSI</t>
  </si>
  <si>
    <t>PP_KMDA0_S_FULP_AN_REFG_MEA_JTG_CAL_ALLFRV_SI_REFGEN_T1</t>
  </si>
  <si>
    <t>PCIEREFGEN_FUSE_PREWRITE_REFGEN_0_MOS_TRIM_I</t>
  </si>
  <si>
    <t>PCIEREFGEN_FUSE_READ_REFGEN_0_MOS_TRIM_I</t>
  </si>
  <si>
    <t>PCIEREFGEN_FUSE_PREWRITE_FINE_MOS</t>
  </si>
  <si>
    <t>PCIEREFGEN_FUSE_READ_FUSE_PREWRITE_FINE_MOS</t>
  </si>
  <si>
    <t>PCIEREFGEN_SOCREFGEN_FUSE_PREWRITE_REFGEN_0_BJT_TRIM_V</t>
  </si>
  <si>
    <t>PCIEREFGEN_SOCREFGEN_FUSE_READ_REFGEN_0_BJT_TRIM_V</t>
  </si>
  <si>
    <t>REFGENT2P1FINEMOSRUNNVFLOWONLY</t>
  </si>
  <si>
    <t>PP_KMDA0_S_FULP_AN_REFG_MEA_JTG_CAL_ALLFRV_SI_REFGEN_T2P1</t>
  </si>
  <si>
    <t>PCIEREFGENCMNTRIMBGFINE</t>
  </si>
  <si>
    <t>PP_KMDA0_S_FULP_AN_REFG_MEA_JTG_CAL_ALLFRV_SI_REFGEN_T2P2</t>
  </si>
  <si>
    <t>REFGENCMNTRIMV2I</t>
  </si>
  <si>
    <t>PP_KMDA0_S_FULP_AN_REFG_MEA_JTG_CAL_ALLFRV_SI_REFGEN_T3</t>
  </si>
  <si>
    <t>REFGENT4P1MOSANALOGTESTPOINTS</t>
  </si>
  <si>
    <t>PP_KMDA0_S_FULP_AN_REFG_MEA_JTG_CAL_ALLFRV_SI_REFGEN_T4P1</t>
  </si>
  <si>
    <t>REFGENT4P2BJTANALOGTESTPOINTS</t>
  </si>
  <si>
    <t>PP_KMDA0_S_FULP_AN_REFG_MEA_JTG_CAL_ALLFRV_SI_REFGEN_T4P2</t>
  </si>
  <si>
    <t>PCIE5CMNTRIMBGCOARSE_MULTIPLE</t>
  </si>
  <si>
    <t>PP_KMDA0_S_FULP_AN_P5CM_MEA_JTG_CAL_ALLFRV_SI_CMNTRIM_BGCOARSE</t>
  </si>
  <si>
    <t>PCIE5CMNTRIMBGFINE_MULTIPLE</t>
  </si>
  <si>
    <t>PP_KMDA0_S_FULP_AN_P5CM_MEA_JTG_CAL_ALLFRV_SI_CMNTRIM_BGFINE</t>
  </si>
  <si>
    <t>PCIE5CMN_PCIE5_BGFINE_FUSE_PREWRITE_CAL</t>
  </si>
  <si>
    <t>PCIE5CMN_PCIE5_BGFINE_FUSE_READ_CAL</t>
  </si>
  <si>
    <t>PCIE5CMN_PCIE5_MOSI_FUSE_PREWRITE_CAL</t>
  </si>
  <si>
    <t>PCIE5CMN_PCIE5_MOSI_FUSE_READ_CAL</t>
  </si>
  <si>
    <t>PCIE5CMN_PCIE5_MOSV_FUSE_PREWRITE_CAL</t>
  </si>
  <si>
    <t>PCIE5CMN_PCIE5_MOSV_FUSE_READ_CAL</t>
  </si>
  <si>
    <t>PCIE5CMN_PCIE5_VREGTRIM_FUSE_PREWRITE_CAL</t>
  </si>
  <si>
    <t>PCIE5CMN_PCIE5_VREGTRIM_FUSE_READ_CAL</t>
  </si>
  <si>
    <t>PCIE5CMNTRIMV2I_MULTIPLE</t>
  </si>
  <si>
    <t>PP_KMDA0_S_FULP_AN_P5CM_MEA_JTG_CAL_ALLFRV_SI_CMNTRIM_V2I</t>
  </si>
  <si>
    <t>PCIE5CMNTRIMMOSI_MULTIPLE</t>
  </si>
  <si>
    <t>PP_KMDA0_S_FULP_AN_P5CM_MEA_JTG_CAL_ALLFRV_SI_CMNTRIM_MOSI</t>
  </si>
  <si>
    <t>PCIE5CMNTRIMMOSV_MULTIPLE</t>
  </si>
  <si>
    <t>PP_KMDA0_S_FULP_AN_P5CM_MEA_JTG_CAL_ALLFRV_SI_CMNTRIM_MOSV</t>
  </si>
  <si>
    <t>PCIE5CMNTRIMVREGTRIM_MULTIPLE</t>
  </si>
  <si>
    <t>PP_KMDA0_S_FULP_AN_P5CM_MEA_JTG_CAL_ALLFRV_SI_CMNTRIM_VREGTRIM</t>
  </si>
  <si>
    <t>ACIPHYCMNTRIMBGCOARSE_MULTIPLE</t>
  </si>
  <si>
    <t>PP_KMDA0_S_FULP_AN_RXCM_MEA_JTG_CAL_ALLFRV_SI_CMNTRIM_BGCOARSE</t>
  </si>
  <si>
    <t>ACIPHYCMNTRIMBGFINE_MULTIPLE</t>
  </si>
  <si>
    <t>PP_KMDA0_S_FULP_AN_RXCM_MEA_JTG_CAL_ALLFRV_SI_CMNTRIM_BGFINE</t>
  </si>
  <si>
    <t>ACIPHYCMN_ACIPHY_BGFINE_FUSE_PREWRITE_CAL</t>
  </si>
  <si>
    <t>ACIPHYCMN_ACIPHY_BGFINE_FUSE_READ_CAL</t>
  </si>
  <si>
    <t>ACIPHYCMN_ACIPHY_MOSI_FUSE_PREWRITE_CAL</t>
  </si>
  <si>
    <t>ACIPHYCMN_ACIPHY_MOSI_FUSE_READ_CAL</t>
  </si>
  <si>
    <t>ACIPHYCMN_ACIPHY_MOSV_FUSE_PREWRITE_CAL</t>
  </si>
  <si>
    <t>ACIPHYCMN_ACIPHY_MOSV_FUSE_READ_CAL</t>
  </si>
  <si>
    <t>ACIPHYCMN_ACIPHY_VREGTRIM_FUSE_PREWRITE_CAL</t>
  </si>
  <si>
    <t>ACIPHYCMN_ACIPHY_VREGTRIM_FUSE_READ_CAL</t>
  </si>
  <si>
    <t>ACIPHYCMNTRIMV2I_MULTIPLE</t>
  </si>
  <si>
    <t>PP_KMDA0_S_FULP_AN_RXCM_MEA_JTG_CAL_ALLFRV_SI_CMNTRIM_V2I</t>
  </si>
  <si>
    <t>ACIPHYCMNTRIMMOSI_MULTIPLE</t>
  </si>
  <si>
    <t>PP_KMDA0_S_FULP_AN_RXCM_MEA_JTG_CAL_ALLFRV_SI_CMNTRIM_MOSI</t>
  </si>
  <si>
    <t>ACIPHYCMNTRIMMOSV_MULTIPLE</t>
  </si>
  <si>
    <t>PP_KMDA0_S_FULP_AN_RXCM_MEA_JTG_CAL_ALLFRV_SI_CMNTRIM_MOSV</t>
  </si>
  <si>
    <t>ACIPHYCMNVREGTRIM_MULTIPLE</t>
  </si>
  <si>
    <t>PP_KMDA0_S_FULP_AN_RXCM_MEA_JTG_VMX_ALLFRV_SI_CMN_VREGTRIM</t>
  </si>
  <si>
    <t>ACIOPHYCMNTRIMBGCOARSE_MULTIPLE</t>
  </si>
  <si>
    <t>PP_KMDA0_S_FULP_AN_CICM_MEA_JTG_CAL_ALLFRV_SI_CMNTRIM_BGCOARSE</t>
  </si>
  <si>
    <t>ACIOPHYCMNTRIMBGFINE_MULTIPLE</t>
  </si>
  <si>
    <t>PP_KMDA0_S_FULP_AN_CICM_MEA_JTG_CAL_ALLFRV_SI_CMNTRIM_BGFINE</t>
  </si>
  <si>
    <t>ACIOPHYCMN_ACIOPHY_BGFINE_FUSE_PREWRITE_CAL</t>
  </si>
  <si>
    <t>ACIOPHYCMN_ACIOPHY_BGFINE_FUSE_READ_CAL</t>
  </si>
  <si>
    <t>ACIOPHYCMN_ACIOPHY_MOSI_FUSE_PREWRITE_CAL</t>
  </si>
  <si>
    <t>ACIOPHYCMN_ACIOPHY_MOSI_FUSE_READ_CAL</t>
  </si>
  <si>
    <t>ACIOPHYCMN_ACIOPHY_MOSV_FUSE_PREWRITE_CAL</t>
  </si>
  <si>
    <t>ACIOPHYCMN_ACIOPHY_MOSV_FUSE_READ_CAL</t>
  </si>
  <si>
    <t>ACIOPHYCMN_ACIOPHY_VREGTRIM_FUSE_PREWRITE_CAL</t>
  </si>
  <si>
    <t>ACIOPHYCMN_ACIOPHY_VREGTRIM_FUSE_READ_CAL</t>
  </si>
  <si>
    <t>ACIOPHYCMNTRIMV2I_MULTIPLE</t>
  </si>
  <si>
    <t>PP_KMDA0_S_FULP_AN_CICM_MEA_JTG_CAL_ALLFRV_SI_CMNTRIM_V2I</t>
  </si>
  <si>
    <t>ACIOPHYCMNTRIMMOSI_MULTIPLE</t>
  </si>
  <si>
    <t>PP_KMDA0_S_FULP_AN_CICM_MEA_JTG_CAL_ALLFRV_SI_CMNTRIM_MOSI</t>
  </si>
  <si>
    <t>ACIOPHYCMNTRIMMOSV_MULTIPLE</t>
  </si>
  <si>
    <t>PP_KMDA0_S_FULP_AN_CICM_MEA_JTG_CAL_ALLFRV_SI_CMNTRIM_MOSV</t>
  </si>
  <si>
    <t>CMNTRIMVREGTRIM_MULTIPLE</t>
  </si>
  <si>
    <t>PP_KMDA0_S_FULP_AN_CICM_MEA_JTG_CAL_ALLFRV_SI_CMNTRIM_VREGTRIM</t>
  </si>
  <si>
    <t>LPDPTXCMNTRIMBGCOARSE_MULTIPLE</t>
  </si>
  <si>
    <t>PP_KMDA0_S_FULP_AN_TXCM_MEA_JTG_CAL_ALLFRV_SI_CMNTRIM_BGCOARSE</t>
  </si>
  <si>
    <t>LPDPTXCMNTRIMBGFINE_MULTIPLE</t>
  </si>
  <si>
    <t>PP_KMDA0_S_FULP_AN_TXCM_MEA_JTG_CAL_ALLFRV_SI_CMNTRIM_BGFINE</t>
  </si>
  <si>
    <t>LPDPTXCMN_LPDPTX_FUSE_PREWRITE_REFGEN_0_BJT_TRIM_V</t>
  </si>
  <si>
    <t>LPDPTXCMN_LPDPTX_FUSE_READ_REFGEN_0_BJT_TRIM_V</t>
  </si>
  <si>
    <t>LPDPTXCMN_LPDPTX_FUSE_PREWRITE_REFGEN_0_MOS_TRIM_I</t>
  </si>
  <si>
    <t>LPDPTXCMN_LPDPTX_FUSE_READ_REFGEN_0_MOS_TRIM_I</t>
  </si>
  <si>
    <t>LPDPTXCMN_LPDPTX_FUSE_PREWRITE_FINE_MOS</t>
  </si>
  <si>
    <t>LPDPTXCMN_LPDPTX_FUSE_READ_FUSE_PREWRITE_FINE_MOS</t>
  </si>
  <si>
    <t>LPDPTXCMN_LPDPTX_FUSE_PREWRITE_CMN_VREG</t>
  </si>
  <si>
    <t>LPDPTXCMN_LPDPTX_FUSE_READ_FUSE_PREWRITE_CMN_VREG</t>
  </si>
  <si>
    <t>LPDPTXCMNTRIMV2I_MULTIPLE</t>
  </si>
  <si>
    <t>PP_KMDA0_S_FULP_AN_TXCM_MEA_JTG_CAL_ALLFRV_SI_CMNTRIM_V2I</t>
  </si>
  <si>
    <t>LPDPTXCMNTRIMMOSI_MULTIPLE</t>
  </si>
  <si>
    <t>PP_KMDA0_S_FULP_AN_TXCM_MEA_JTG_CAL_ALLFRV_SI_CMNTRIM_MOSI</t>
  </si>
  <si>
    <t>LPDPTXCMNTRIMMOSV_MULTIPLE</t>
  </si>
  <si>
    <t>PP_KMDA0_S_FULP_AN_TXCM_MEA_JTG_CAL_ALLFRV_SI_CMNTRIM_MOSV</t>
  </si>
  <si>
    <t>LPDPTXCMNVREGTRIM_MULTIPLE</t>
  </si>
  <si>
    <t>PP_KMDA0_S_FULP_AN_TXCM_MEA_JTG_CAL_ALLFRV_SI_CMNTRIM_VREGTRIM</t>
  </si>
  <si>
    <t>AMPCMN_AMP_FUSE_PREWRITE_CAL_T1</t>
  </si>
  <si>
    <t>AMPCMN_AMP_FUSE_READ_CAL_T1</t>
  </si>
  <si>
    <t>AMPCMN_AMP_FUSE_PREWRITE_CAL_T2P1</t>
  </si>
  <si>
    <t>AMPCMN_AMP_FUSE_READ_CAL_T2P1</t>
  </si>
  <si>
    <t>AMPCMN_AMP_FUSE_PREWRITE_CAL_T2P2</t>
  </si>
  <si>
    <t>AMPCMN_AMP_FUSE_READ_CAL_T2P2</t>
  </si>
  <si>
    <t>RELAYON_KM1_KM5_KM9_KM13_KM17_KM21_KM25_KM29_RELAYOFF_KM3_KM7_KM11_KM15_KM19_KM23_KM27_KM31</t>
  </si>
  <si>
    <t>RELAYON_KM3_KM7_KM11_KM15_KM19_KM23_KM27_KM31_RELAYOFF_KM1_KM5_KM9_KM13_KM17_KM21_KM25_KM29</t>
  </si>
  <si>
    <t>REFGENT1</t>
  </si>
  <si>
    <t>PP_KMDA0_S_FULP_AN_DDIO_MEA_JTG_LP5_ALLFRV_SI_REFGEN_T1</t>
  </si>
  <si>
    <t>REFGENT2P1</t>
  </si>
  <si>
    <t>PP_KMDA0_S_FULP_AN_DDIO_MEA_JTG_LP5_ALLFRV_SI_REFGEN_T2P1</t>
  </si>
  <si>
    <t>REFGENT2P2</t>
  </si>
  <si>
    <t>PP_KMDA0_S_FULP_AN_DDIO_MEA_JTG_LP5_ALLFRV_SI_REFGEN_T2P2</t>
  </si>
  <si>
    <t>REFGENT3</t>
  </si>
  <si>
    <t>PP_KMDA0_S_FULP_AN_DDIO_MEA_JTG_LP5_ALLFRV_SI_REFGEN_T3</t>
  </si>
  <si>
    <t>MNREFGENT4P1</t>
  </si>
  <si>
    <t>MN_KMDA0_S_FULP_AN_DDIO_MEA_JTG_LP5_ALLFRV_SI_REFGEN_T4P1</t>
  </si>
  <si>
    <t>MNREFGENT4P2</t>
  </si>
  <si>
    <t>MN_KMDA0_S_FULP_AN_DDIO_MEA_JTG_LP5_ALLFRV_SI_REFGEN_T4P2</t>
  </si>
  <si>
    <t>CIOPLLT1P1R</t>
  </si>
  <si>
    <t>PP_KMDA0_C_FULP_AN_AA22_FRQ_JTG_DYC_ALLFRV_SI_CIOPLL_T1P1R</t>
  </si>
  <si>
    <t>PCIEREFPLL_T1P1R_FUSE_PREWRITE_CAL</t>
  </si>
  <si>
    <t>PCIEREFPLL_T1P1R_FUSE_READ_CAL</t>
  </si>
  <si>
    <t>CIOPLLT2P1R</t>
  </si>
  <si>
    <t>PP_KMDA0_C_FULP_AN_AA22_FRQ_JTG_DYC_ALLFRV_SI_CIOPLL_T2P1R</t>
  </si>
  <si>
    <t>CIOPLLT2P2R</t>
  </si>
  <si>
    <t>PP_KMDA0_C_FULP_AN_AA22_FRQ_JTG_DYC_ALLFRV_SI_CIOPLL_T2P2R</t>
  </si>
  <si>
    <t>CIOPLLT3P1R</t>
  </si>
  <si>
    <t>PP_KMDA0_C_FULP_AN_AA22_FRQ_JTG_DYC_ALLFRV_SI_CIOPLL_T3P1R</t>
  </si>
  <si>
    <t>CIOPLLT11PR</t>
  </si>
  <si>
    <t>PP_KMDA0_C_FULP_AN_AA22_FRQ_JTG_DYC_ALLFRV_SI_CIOPLL_T11PR</t>
  </si>
  <si>
    <t>CIOPLLT13PR</t>
  </si>
  <si>
    <t>PP_KMDA0_C_FULP_AN_AA22_FRQ_JTG_DYC_ALLFRV_SI_CIOPLL_T13PR</t>
  </si>
  <si>
    <t>MNCIOPLLT1P1R</t>
  </si>
  <si>
    <t>MN_KMDA0_C_FULP_AN_AA22_FRQ_JTG_DYC_ALLFRV_SI_CIOPLL_T1P1R</t>
  </si>
  <si>
    <t>MNCIOPLLT2P1R</t>
  </si>
  <si>
    <t>MN_KMDA0_C_FULP_AN_AA22_FRQ_JTG_DYC_ALLFRV_SI_CIOPLL_T2P1R</t>
  </si>
  <si>
    <t>MNCIOPLLT2P2R</t>
  </si>
  <si>
    <t>MN_KMDA0_C_FULP_AN_AA22_FRQ_JTG_DYC_ALLFRV_SI_CIOPLL_T2P2R</t>
  </si>
  <si>
    <t>MNCIOPLLT10PR</t>
  </si>
  <si>
    <t>MN_KMDA0_C_FULP_AN_AA22_FRQ_JTG_DYC_ALLFRV_SI_CIOPLL_T10PR</t>
  </si>
  <si>
    <t>MNCIOPLLT11PR</t>
  </si>
  <si>
    <t>MN_KMDA0_C_FULP_AN_AA22_FRQ_JTG_DYC_ALLFRV_SI_CIOPLL_T11PR</t>
  </si>
  <si>
    <t>MNCIOPLLT13PR</t>
  </si>
  <si>
    <t>MN_KMDA0_C_FULP_AN_AA22_FRQ_JTG_DYC_ALLFRV_SI_CIOPLL_T13PR</t>
  </si>
  <si>
    <t>PCIEPLLT1P1</t>
  </si>
  <si>
    <t>PP_KMDA0_C_FULP_AN_AA24_DLL_JTG_CAL_ALLFRV_SI_PCIEPLL_T1P1P</t>
  </si>
  <si>
    <t>PCIEPLL_PCIEPLLL_T1P1P_FUSE_PREWRITE_CAL</t>
  </si>
  <si>
    <t>PCIEPLL_T1P1P_FUSE_READ_CAL</t>
  </si>
  <si>
    <t>PCIEPLL_PCIEPCIEPLLL_T1P2P_FUSE_PREWRITE_CAL</t>
  </si>
  <si>
    <t>PCIEPLL_PCIEPCIEPLL_T1P2P_FUSE_READ_CAL</t>
  </si>
  <si>
    <t>PCIEPLLT1P2P</t>
  </si>
  <si>
    <t>PP_KMDA0_C_FULP_AN_AA24_DLL_JTG_CAL_ALLFRV_SI_PCIEPLL_T1P2P</t>
  </si>
  <si>
    <t>PCIEPLLT2P4P</t>
  </si>
  <si>
    <t>PP_KMDA0_C_FULP_AN_AA24_DLL_JTG_VIX_ALLFRV_SI_PCIEPLL_T2P4P</t>
  </si>
  <si>
    <t>PCIEPLLT3</t>
  </si>
  <si>
    <t>PP_KMDA0_C_FULP_AN_AA24_MEA_JTG_IMX_ALLFRV_SI_PCIEPLL_T3</t>
  </si>
  <si>
    <t>PCIEPLLT11P1P</t>
  </si>
  <si>
    <t>PP_KMDA0_C_FULP_AN_AA24_FRQ_JTG_COD_ALLFRV_SI_PCIEPLL_T11P1P</t>
  </si>
  <si>
    <t>PCIEPLLT11P2P</t>
  </si>
  <si>
    <t>PP_KMDA0_C_FULP_AN_AA24_FRQ_JTG_COD_ALLFRV_SI_PCIEPLL_T11P2P</t>
  </si>
  <si>
    <t>PCIEPLLT11P3P</t>
  </si>
  <si>
    <t>PP_KMDA0_C_FULP_AN_AA24_FRQ_JTG_COD_ALLFRV_SI_PCIEPLL_T11P3P</t>
  </si>
  <si>
    <t>PCIEPLLT11P4P</t>
  </si>
  <si>
    <t>PP_KMDA0_C_FULP_AN_AA24_FRQ_JTG_COD_ALLFRV_SI_PCIEPLL_T11P4P</t>
  </si>
  <si>
    <t>PCIEPLLT16</t>
  </si>
  <si>
    <t>PP_KMDA0_C_FULP_AN_AA24_FRQ_JTG_COD_ALLFRV_SI_PCIEPLL_T16</t>
  </si>
  <si>
    <t>MNPCIEPLLT1P1P</t>
  </si>
  <si>
    <t>MN_KMDA0_C_FULP_AN_AA24_DLL_JTG_CAL_ALLFRV_SI_PCIEPLL_T1P1P</t>
  </si>
  <si>
    <t>MNPCIEPLLT1P2P</t>
  </si>
  <si>
    <t>MN_KMDA0_C_FULP_AN_AA24_DLL_JTG_CAL_ALLFRV_SI_PCIEPLL_T1P2P</t>
  </si>
  <si>
    <t>MNPCIEPLLT2P1P</t>
  </si>
  <si>
    <t>MN_KMDA0_C_FULP_AN_AA24_DLL_JTG_VIX_ALLFRV_SI_PCIEPLL_T2P1P</t>
  </si>
  <si>
    <t>MNPCIEPLLT2P2P</t>
  </si>
  <si>
    <t>MN_KMDA0_C_FULP_AN_AA24_DLL_JTG_VIX_ALLFRV_SI_PCIEPLL_T2P2P</t>
  </si>
  <si>
    <t>MNPCIEPLLT2P3P</t>
  </si>
  <si>
    <t>MN_KMDA0_C_FULP_AN_AA24_DLL_JTG_VIX_ALLFRV_SI_PCIEPLL_T2P3P</t>
  </si>
  <si>
    <t>MNPCIEPLLT2P4P</t>
  </si>
  <si>
    <t>MN_KMDA0_C_FULP_AN_AA24_DLL_JTG_VIX_ALLFRV_SI_PCIEPLL_T2P4P</t>
  </si>
  <si>
    <t>MNPCIEPLLT3</t>
  </si>
  <si>
    <t>MN_KMDA0_C_FULP_AN_AA24_MEA_JTG_IMX_ALLFRV_SI_PCIEPLL_T3</t>
  </si>
  <si>
    <t>MNPCIEPLLT10P2P</t>
  </si>
  <si>
    <t>MN_KMDA0_C_FULP_AN_AA24_FRQ_JTG_COD_ALLFRV_SI_PCIEPLL_T10P2P</t>
  </si>
  <si>
    <t>MNPCIEPLLT11P1P</t>
  </si>
  <si>
    <t>MN_KMDA0_C_FULP_AN_AA24_FRQ_JTG_COD_ALLFRV_SI_PCIEPLL_T11P1P</t>
  </si>
  <si>
    <t>MNPCIEPLLT11P2P</t>
  </si>
  <si>
    <t>MN_KMDA0_C_FULP_AN_AA24_FRQ_JTG_COD_ALLFRV_SI_PCIEPLL_T11P2P</t>
  </si>
  <si>
    <t>MNPCIEPLLT11P3P</t>
  </si>
  <si>
    <t>MN_KMDA0_C_FULP_AN_AA24_FRQ_JTG_COD_ALLFRV_SI_PCIEPLL_T11P3P</t>
  </si>
  <si>
    <t>MNPCIEPLLT11P4P</t>
  </si>
  <si>
    <t>MN_KMDA0_C_FULP_AN_AA24_FRQ_JTG_COD_ALLFRV_SI_PCIEPLL_T11P4P</t>
  </si>
  <si>
    <t>MNPCIEPLLT13P3P</t>
  </si>
  <si>
    <t>MN_KMDA0_C_FULP_AN_AA24_FRQ_JTG_COD_ALLFRV_SI_PCIEPLL_T13P3P</t>
  </si>
  <si>
    <t>MNPCIEPLLT15</t>
  </si>
  <si>
    <t>MN_KMDA0_C_FULP_AN_AA24_FRQ_JTG_COD_ALLFRV_SI_PCIEPLL_T15</t>
  </si>
  <si>
    <t>MNPCIEPLLT16</t>
  </si>
  <si>
    <t>MN_KMDA0_C_FULP_AN_AA24_FRQ_JTG_COD_ALLFRV_SI_PCIEPLL_T16</t>
  </si>
  <si>
    <t>CIOPLLT1P1U</t>
  </si>
  <si>
    <t>PP_KMDA0_C_FULP_AN_AA10_DLL_JTG_VIX_ALLFRV_SI_CIOPLL_T1P1U</t>
  </si>
  <si>
    <t>CIOCIOPLL_T1P1U_FUSE_PREWRITE_CAL</t>
  </si>
  <si>
    <t>CIOCIOPLL_T1P1U_FUSE_READ_CAL</t>
  </si>
  <si>
    <t>CIOPLLT1P2C80</t>
  </si>
  <si>
    <t>PP_KMDA0_C_FULP_AN_AA10_DLL_JTG_VIX_ALLFRV_SI_CIOPLL_T1P2C80</t>
  </si>
  <si>
    <t>CIOPLLT2P1U</t>
  </si>
  <si>
    <t>PP_KMDA0_C_FULP_AN_AA10_DLL_JTG_VIX_ALLFRV_SI_CIOPLL_T2P1U</t>
  </si>
  <si>
    <t>CIOPLLT2P3U</t>
  </si>
  <si>
    <t>PP_KMDA0_C_FULP_AN_AA10_DLL_JTG_VIX_ALLFRV_SI_CIOPLL_T2P3U</t>
  </si>
  <si>
    <t>CIOPLLT2P6U</t>
  </si>
  <si>
    <t>PP_KMDA0_C_FULP_AN_AA10_DLL_JTG_VIX_ALLFRV_SI_CIOPLL_T2P6U</t>
  </si>
  <si>
    <t>CIOPLLT2P2CL</t>
  </si>
  <si>
    <t>PP_KMDA0_C_FULP_AN_AA10_DLL_JTG_VIX_ALLFRV_SI_CIOPLL_T2P2CL</t>
  </si>
  <si>
    <t>CIOPLLT2P4CL</t>
  </si>
  <si>
    <t>PP_KMDA0_C_FULP_AN_AA10_DLL_JTG_VIX_ALLFRV_SI_CIOPLL_T2P4CL</t>
  </si>
  <si>
    <t>CIOPLLT2P1C80</t>
  </si>
  <si>
    <t>PP_KMDA0_C_FULP_AN_AA10_DLL_JTG_VIX_ALLFRV_SI_CIOPLL_T2P1C80</t>
  </si>
  <si>
    <t>CIOPLLT2P2C80</t>
  </si>
  <si>
    <t>PP_KMDA0_C_FULP_AN_AA10_DLL_JTG_VIX_ALLFRV_SI_CIOPLL_T2P2C80</t>
  </si>
  <si>
    <t>CIOPLLT3P1U</t>
  </si>
  <si>
    <t>PP_KMDA0_C_FULP_AN_AA10_MEA_JTG_IMX_ALLFRV_SI_CIOPLL_T3P1U</t>
  </si>
  <si>
    <t>CIOPLLT11P3U</t>
  </si>
  <si>
    <t>PP_KMDA0_C_FULP_AN_AA10_MEA_JTG_VIX_ALLFRV_SI_CIOPLL_T11P3U</t>
  </si>
  <si>
    <t>CIOPLLT11P2CL</t>
  </si>
  <si>
    <t>PP_KMDA0_C_FULP_AN_AA10_MEA_JTG_VIX_ALLFRV_SI_CIOPLL_T11P2CL</t>
  </si>
  <si>
    <t>CIOPLLT11PC80</t>
  </si>
  <si>
    <t>PP_KMDA0_C_FULP_AN_AA10_MEA_JTG_VIX_ALLFRV_SI_CIOPLL_T11PC80</t>
  </si>
  <si>
    <t>CIOPLLT13PU</t>
  </si>
  <si>
    <t>PP_KMDA0_C_FULP_AN_AA10_MEA_JTG_VIX_ALLFRV_SI_CIOPLL_T13PU</t>
  </si>
  <si>
    <t>CIOPLLT13PCL</t>
  </si>
  <si>
    <t>PP_KMDA0_C_FULP_AN_AA10_MEA_JTG_VIX_ALLFRV_SI_CIOPLL_T13PCL</t>
  </si>
  <si>
    <t>CIOPLLT13PC80</t>
  </si>
  <si>
    <t>PP_KMDA0_C_FULP_AN_AA10_MEA_JTG_VIX_ALLFRV_SI_CIOPLL_T13PC80</t>
  </si>
  <si>
    <t>MNCIOPLLT1P1U</t>
  </si>
  <si>
    <t>MN_KMDA0_C_FULP_AN_AA10_DLL_JTG_VIX_ALLFRV_SI_CIOPLL_T1P1U</t>
  </si>
  <si>
    <t>MNCIOPLLT1P2C80</t>
  </si>
  <si>
    <t>MN_KMDA0_C_FULP_AN_AA10_DLL_JTG_VIX_ALLFRV_SI_CIOPLL_T1P2C80</t>
  </si>
  <si>
    <t>MNCIOPLLT2P1U</t>
  </si>
  <si>
    <t>MN_KMDA0_C_FULP_AN_AA10_DLL_JTG_VIX_ALLFRV_SI_CIOPLL_T2P1U</t>
  </si>
  <si>
    <t>MNCIOPLLT2P2U</t>
  </si>
  <si>
    <t>MN_KMDA0_C_FULP_AN_AA10_DLL_JTG_VIX_ALLFRV_SI_CIOPLL_T2P2U</t>
  </si>
  <si>
    <t>MNCIOPLLT2P3U</t>
  </si>
  <si>
    <t>MN_KMDA0_C_FULP_AN_AA10_DLL_JTG_VIX_ALLFRV_SI_CIOPLL_T2P3U</t>
  </si>
  <si>
    <t>MNCIOPLLT2P4U</t>
  </si>
  <si>
    <t>MN_KMDA0_C_FULP_AN_AA10_DLL_JTG_VIX_ALLFRV_SI_CIOPLL_T2P4U</t>
  </si>
  <si>
    <t>MNCIOPLLT2P5U</t>
  </si>
  <si>
    <t>MN_KMDA0_C_FULP_AN_AA10_DLL_JTG_VIX_ALLFRV_SI_CIOPLL_T2P5U</t>
  </si>
  <si>
    <t>MNCIOPLLT2P6U</t>
  </si>
  <si>
    <t>MN_KMDA0_C_FULP_AN_AA10_DLL_JTG_VIX_ALLFRV_SI_CIOPLL_T2P6U</t>
  </si>
  <si>
    <t>MNCIOPLLT2P1CL</t>
  </si>
  <si>
    <t>MN_KMDA0_C_FULP_AN_AA10_DLL_JTG_VIX_ALLFRV_SI_CIOPLL_T2P1CL</t>
  </si>
  <si>
    <t>MNCIOPLLT2P2CL</t>
  </si>
  <si>
    <t>MN_KMDA0_C_FULP_AN_AA10_DLL_JTG_VIX_ALLFRV_SI_CIOPLL_T2P2CL</t>
  </si>
  <si>
    <t>MNCIOPLLT2P3CL</t>
  </si>
  <si>
    <t>MN_KMDA0_C_FULP_AN_AA10_DLL_JTG_VIX_ALLFRV_SI_CIOPLL_T2P3CL</t>
  </si>
  <si>
    <t>MNCIOPLLT2P4CL</t>
  </si>
  <si>
    <t>MN_KMDA0_C_FULP_AN_AA10_DLL_JTG_VIX_ALLFRV_SI_CIOPLL_T2P4CL</t>
  </si>
  <si>
    <t>MNCIOPLLT2P1C80</t>
  </si>
  <si>
    <t>MN_KMDA0_C_FULP_AN_AA10_DLL_JTG_VIX_ALLFRV_SI_CIOPLL_T2P1C80</t>
  </si>
  <si>
    <t>MNCIOPLLT2P2C80</t>
  </si>
  <si>
    <t>MN_KMDA0_C_FULP_AN_AA10_DLL_JTG_VIX_ALLFRV_SI_CIOPLL_T2P2C80</t>
  </si>
  <si>
    <t>MNCIOPLLT10P10G</t>
  </si>
  <si>
    <t>MN_KMDA0_C_FULP_AN_AA10_MEA_JTG_VIX_ALLFRV_SI_CIOPLL_T10P10G</t>
  </si>
  <si>
    <t>MNCIOPLLT10P13G</t>
  </si>
  <si>
    <t>MN_KMDA0_C_FULP_AN_AA10_MEA_JTG_VIX_ALLFRV_SI_CIOPLL_T10P13G</t>
  </si>
  <si>
    <t>MNCIOPLLT11P1U</t>
  </si>
  <si>
    <t>MN_KMDA0_C_FULP_AN_AA10_MEA_JTG_VIX_ALLFRV_SI_CIOPLL_T11P1U</t>
  </si>
  <si>
    <t>MNCIOPLLT11P2U</t>
  </si>
  <si>
    <t>MN_KMDA0_C_FULP_AN_AA10_MEA_JTG_VIX_ALLFRV_SI_CIOPLL_T11P2U</t>
  </si>
  <si>
    <t>MNCIOPLLT11P3U</t>
  </si>
  <si>
    <t>MN_KMDA0_C_FULP_AN_AA10_MEA_JTG_VIX_ALLFRV_SI_CIOPLL_T11P3U</t>
  </si>
  <si>
    <t>MNCIOPLLT11P1CL</t>
  </si>
  <si>
    <t>MN_KMDA0_C_FULP_AN_AA10_MEA_JTG_VIX_ALLFRV_SI_CIOPLL_T11P1CL</t>
  </si>
  <si>
    <t>MNCIOPLLT11P2CL</t>
  </si>
  <si>
    <t>MN_KMDA0_C_FULP_AN_AA10_MEA_JTG_VIX_ALLFRV_SI_CIOPLL_T11P2CL</t>
  </si>
  <si>
    <t>MNCIOPLLT11PC80</t>
  </si>
  <si>
    <t>MN_KMDA0_C_FULP_AN_AA10_MEA_JTG_VIX_ALLFRV_SI_CIOPLL_T11PC80</t>
  </si>
  <si>
    <t>MNCIOPLLT13PU</t>
  </si>
  <si>
    <t>MN_KMDA0_C_FULP_AN_AA10_MEA_JTG_VIX_ALLFRV_SI_CIOPLL_T13PU</t>
  </si>
  <si>
    <t>MNCIOPLLT13PCL</t>
  </si>
  <si>
    <t>MN_KMDA0_C_FULP_AN_AA10_MEA_JTG_VIX_ALLFRV_SI_CIOPLL_T13PCL</t>
  </si>
  <si>
    <t>MNCIOPLLT13PC80</t>
  </si>
  <si>
    <t>MN_KMDA0_C_FULP_AN_AA10_MEA_JTG_VIX_ALLFRV_SI_CIOPLL_T13PC80</t>
  </si>
  <si>
    <t>DPPLLT2P1C</t>
  </si>
  <si>
    <t>PP_KMDA0_C_FULP_AN_AA10_DLL_JTG_VIX_ALLFRV_SI_DPPLL_T2P1C</t>
  </si>
  <si>
    <t>DPPLLT2P3C</t>
  </si>
  <si>
    <t>PP_KMDA0_C_FULP_AN_AA10_DLL_JTG_VIX_ALLFRV_SI_DPPLL_T2P3C</t>
  </si>
  <si>
    <t>DPPLLT2P19C</t>
  </si>
  <si>
    <t>PP_KMDA0_C_FULP_AN_AA10_DLL_JTG_VIX_ALLFRV_SI_DPPLL_T2P19C</t>
  </si>
  <si>
    <t>DPPLLT2P20C</t>
  </si>
  <si>
    <t>PP_KMDA0_C_FULP_AN_AA10_DLL_JTG_VIX_ALLFRV_SI_DPPLL_T2P20C</t>
  </si>
  <si>
    <t>DPPLLT3</t>
  </si>
  <si>
    <t>PP_KMDA0_C_FULP_AN_AA10_MEA_JTG_IMX_ALLFRV_SI_DPPLL_T3</t>
  </si>
  <si>
    <t>DPPLLT13P1C</t>
  </si>
  <si>
    <t>PP_KMDA0_C_FULP_AN_AA10_MEA_JTG_VIX_ALLFRV_SI_DPPLL_T13P1C</t>
  </si>
  <si>
    <t>DPPLLT13P2C</t>
  </si>
  <si>
    <t>PP_KMDA0_C_FULP_AN_AA10_MEA_JTG_VIX_ALLFRV_SI_DPPLL_T13P2C</t>
  </si>
  <si>
    <t>DPPLLT16</t>
  </si>
  <si>
    <t>PP_KMDA0_C_FULP_AN_AA10_DLL_JTG_VIX_ALLFRV_SI_DPPLL_T16</t>
  </si>
  <si>
    <t>MNDPPLLT0</t>
  </si>
  <si>
    <t>MN_KMDA0_C_FULP_AN_AA10_DLL_JTG_VIX_ALLFRV_SI_DPPLL_T0</t>
  </si>
  <si>
    <t>MNDPPLLT1P1C</t>
  </si>
  <si>
    <t>MN_KMDA0_C_FULP_AN_AA10_DLL_JTG_CAL_ALLFRV_SI_DPPLL_T1P1C</t>
  </si>
  <si>
    <t>MNDPPLLT2P1C</t>
  </si>
  <si>
    <t>MN_KMDA0_C_FULP_AN_AA10_DLL_JTG_VIX_ALLFRV_SI_DPPLL_T2P1C</t>
  </si>
  <si>
    <t>MNDPPLLT2P2C</t>
  </si>
  <si>
    <t>MN_KMDA0_C_FULP_AN_AA10_DLL_JTG_VIX_ALLFRV_SI_DPPLL_T2P2C</t>
  </si>
  <si>
    <t>MNDPPLLT2P3C</t>
  </si>
  <si>
    <t>MN_KMDA0_C_FULP_AN_AA10_DLL_JTG_VIX_ALLFRV_SI_DPPLL_T2P3C</t>
  </si>
  <si>
    <t>MNDPPLLT2P4C</t>
  </si>
  <si>
    <t>MN_KMDA0_C_FULP_AN_AA10_DLL_JTG_VIX_ALLFRV_SI_DPPLL_T2P4C</t>
  </si>
  <si>
    <t>MNDPPLLT2P19C</t>
  </si>
  <si>
    <t>MN_KMDA0_C_FULP_AN_AA10_DLL_JTG_VIX_ALLFRV_SI_DPPLL_T2P19C</t>
  </si>
  <si>
    <t>MNDPPLLT2P20C</t>
  </si>
  <si>
    <t>MN_KMDA0_C_FULP_AN_AA10_DLL_JTG_VIX_ALLFRV_SI_DPPLL_T2P20C</t>
  </si>
  <si>
    <t>MNDPPLLT3</t>
  </si>
  <si>
    <t>MN_KMDA0_C_FULP_AN_AA10_MEA_JTG_IMX_ALLFRV_SI_DPPLL_T3</t>
  </si>
  <si>
    <t>MNDPPLLT12P1C</t>
  </si>
  <si>
    <t>MN_KMDA0_C_FULP_AN_AA10_DLL_JTG_VIX_ALLFRV_SI_DPPLL_T12P1C</t>
  </si>
  <si>
    <t>MNDPPLLT12P2C</t>
  </si>
  <si>
    <t>MN_KMDA0_C_FULP_AN_AA10_DLL_JTG_VIX_ALLFRV_SI_DPPLL_T12P2C</t>
  </si>
  <si>
    <t>MNDPPLLT12P3C</t>
  </si>
  <si>
    <t>MN_KMDA0_C_FULP_AN_AA10_DLL_JTG_VIX_ALLFRV_SI_DPPLL_T12P3C</t>
  </si>
  <si>
    <t>MNDPPLLT12P4C</t>
  </si>
  <si>
    <t>MN_KMDA0_C_FULP_AN_AA10_DLL_JTG_VIX_ALLFRV_SI_DPPLL_T12P4C</t>
  </si>
  <si>
    <t>MNDPPLLT12P19C</t>
  </si>
  <si>
    <t>MN_KMDA0_C_FULP_AN_AA10_DLL_JTG_VIX_ALLFRV_SI_DPPLL_T12P19C</t>
  </si>
  <si>
    <t>MNDPPLLT12P20C</t>
  </si>
  <si>
    <t>MN_KMDA0_C_FULP_AN_AA10_DLL_JTG_VIX_ALLFRV_SI_DPPLL_T12P20C</t>
  </si>
  <si>
    <t>DPPLLT2P1L</t>
  </si>
  <si>
    <t>PP_KMDA0_C_FULP_AN_AA23_DLL_JTG_VIX_ALLFRV_SI_DPPLL_T2P1L</t>
  </si>
  <si>
    <t>DPPLLT2P6L</t>
  </si>
  <si>
    <t>PP_KMDA0_C_FULP_AN_AA23_DLL_JTG_VIX_ALLFRV_SI_DPPLL_T2P6L</t>
  </si>
  <si>
    <t>DPPLLT2P9L</t>
  </si>
  <si>
    <t>PP_KMDA0_C_FULP_AN_AA23_DLL_JTG_VIX_ALLFRV_SI_DPPLL_T2P9L</t>
  </si>
  <si>
    <t>DPPLLT2P19L</t>
  </si>
  <si>
    <t>PP_KMDA0_C_FULP_AN_AA23_DLL_JTG_VIX_ALLFRV_SI_DPPLL_T2P19L</t>
  </si>
  <si>
    <t>DPPLLT2P20L</t>
  </si>
  <si>
    <t>PP_KMDA0_C_FULP_AN_AA23_DLL_JTG_VIX_ALLFRV_SI_DPPLL_T2P20L</t>
  </si>
  <si>
    <t>PP_KMDA0_C_FULP_AN_AA23_MEA_JTG_IMX_ALLFRV_SI_DPPLL_T3</t>
  </si>
  <si>
    <t>DPPLLT13P1L</t>
  </si>
  <si>
    <t>PP_KMDA0_C_FULP_AN_AA23_MEA_JTG_VIX_ALLFRV_SI_DPPLL_T13P1L</t>
  </si>
  <si>
    <t>DPPLLT13P2L</t>
  </si>
  <si>
    <t>PP_KMDA0_C_FULP_AN_AA23_MEA_JTG_VIX_ALLFRV_SI_DPPLL_T13P2L</t>
  </si>
  <si>
    <t>PP_KMDA0_C_FULP_AN_AA23_MEA_JTG_VMX_ALLFRV_SI_DPPLL_T16</t>
  </si>
  <si>
    <t>MN_KMDA0_C_FULP_AN_AA23_DLL_JTG_VIX_ALLFRV_SI_DPPLL_T0</t>
  </si>
  <si>
    <t>MNDPPLLT1P1L</t>
  </si>
  <si>
    <t>MN_KMDA0_C_FULP_AN_AA23_DLL_JTG_CAL_ALLFRV_SI_DPPLL_T1P1L</t>
  </si>
  <si>
    <t>MNDPPLLT2P1L</t>
  </si>
  <si>
    <t>MN_KMDA0_C_FULP_AN_AA23_DLL_JTG_VIX_ALLFRV_SI_DPPLL_T2P1L</t>
  </si>
  <si>
    <t>MNDPPLLT2P2L</t>
  </si>
  <si>
    <t>MN_KMDA0_C_FULP_AN_AA23_DLL_JTG_VIX_ALLFRV_SI_DPPLL_T2P2L</t>
  </si>
  <si>
    <t>MNDPPLLT2P3L</t>
  </si>
  <si>
    <t>MN_KMDA0_C_FULP_AN_AA23_DLL_JTG_VIX_ALLFRV_SI_DPPLL_T2P3L</t>
  </si>
  <si>
    <t>MNDPPLLT2P4L</t>
  </si>
  <si>
    <t>MN_KMDA0_C_FULP_AN_AA23_DLL_JTG_VIX_ALLFRV_SI_DPPLL_T2P4L</t>
  </si>
  <si>
    <t>MNDPPLLT2P5L</t>
  </si>
  <si>
    <t>MN_KMDA0_C_FULP_AN_AA23_DLL_JTG_VIX_ALLFRV_SI_DPPLL_T2P5L</t>
  </si>
  <si>
    <t>MNDPPLLT2P6L</t>
  </si>
  <si>
    <t>MN_KMDA0_C_FULP_AN_AA23_DLL_JTG_VIX_ALLFRV_SI_DPPLL_T2P6L</t>
  </si>
  <si>
    <t>MNDPPLLT2P7L</t>
  </si>
  <si>
    <t>MN_KMDA0_C_FULP_AN_AA23_DLL_JTG_VIX_ALLFRV_SI_DPPLL_T2P7L</t>
  </si>
  <si>
    <t>MNDPPLLT2P8L</t>
  </si>
  <si>
    <t>MN_KMDA0_C_FULP_AN_AA23_DLL_JTG_VIX_ALLFRV_SI_DPPLL_T2P8L</t>
  </si>
  <si>
    <t>MNDPPLLT2P9L</t>
  </si>
  <si>
    <t>MN_KMDA0_C_FULP_AN_AA23_DLL_JTG_VIX_ALLFRV_SI_DPPLL_T2P9L</t>
  </si>
  <si>
    <t>MNDPPLLT2P10L</t>
  </si>
  <si>
    <t>MN_KMDA0_C_FULP_AN_AA23_DLL_JTG_VIX_ALLFRV_SI_DPPLL_T2P10L</t>
  </si>
  <si>
    <t>MNDPPLLT2P11L</t>
  </si>
  <si>
    <t>MN_KMDA0_C_FULP_AN_AA23_DLL_JTG_VIX_ALLFRV_SI_DPPLL_T2P11L</t>
  </si>
  <si>
    <t>MNDPPLLT2P12L</t>
  </si>
  <si>
    <t>MN_KMDA0_C_FULP_AN_AA23_DLL_JTG_VIX_ALLFRV_SI_DPPLL_T2P12L</t>
  </si>
  <si>
    <t>MNDPPLLT2P13L</t>
  </si>
  <si>
    <t>MN_KMDA0_C_FULP_AN_AA23_DLL_JTG_VIX_ALLFRV_SI_DPPLL_T2P13L</t>
  </si>
  <si>
    <t>MNDPPLLT2P19L</t>
  </si>
  <si>
    <t>MN_KMDA0_C_FULP_AN_AA23_DLL_JTG_VIX_ALLFRV_SI_DPPLL_T2P19L</t>
  </si>
  <si>
    <t>MNDPPLLT2P20L</t>
  </si>
  <si>
    <t>MN_KMDA0_C_FULP_AN_AA23_DLL_JTG_VIX_ALLFRV_SI_DPPLL_T2P20L</t>
  </si>
  <si>
    <t>MN_KMDA0_C_FULP_AN_AA23_MEA_JTG_IMX_ALLFRV_SI_DPPLL_T3</t>
  </si>
  <si>
    <t>MNDPPLLT12P1L</t>
  </si>
  <si>
    <t>MN_KMDA0_C_FULP_AN_AA23_MEA_JTG_DYC_ALLFRV_SI_DPPLL_T12P1L</t>
  </si>
  <si>
    <t>MNDPPLLT12P2L</t>
  </si>
  <si>
    <t>MN_KMDA0_C_FULP_AN_AA23_MEA_JTG_DYC_ALLFRV_SI_DPPLL_T12P2L</t>
  </si>
  <si>
    <t>MNDPPLLT12P3L</t>
  </si>
  <si>
    <t>MN_KMDA0_C_FULP_AN_AA23_MEA_JTG_DYC_ALLFRV_SI_DPPLL_T12P3L</t>
  </si>
  <si>
    <t>MNDPPLLT12P4L</t>
  </si>
  <si>
    <t>MN_KMDA0_C_FULP_AN_AA23_MEA_JTG_DYC_ALLFRV_SI_DPPLL_T12P4L</t>
  </si>
  <si>
    <t>MNDPPLLT12P5L</t>
  </si>
  <si>
    <t>MN_KMDA0_C_FULP_AN_AA23_MEA_JTG_DYC_ALLFRV_SI_DPPLL_T12P5L</t>
  </si>
  <si>
    <t>MNDPPLLT12P6L</t>
  </si>
  <si>
    <t>MN_KMDA0_C_FULP_AN_AA23_MEA_JTG_DYC_ALLFRV_SI_DPPLL_T12P6L</t>
  </si>
  <si>
    <t>MNDPPLLT12P7L</t>
  </si>
  <si>
    <t>MN_KMDA0_C_FULP_AN_AA23_MEA_JTG_DYC_ALLFRV_SI_DPPLL_T12P7L</t>
  </si>
  <si>
    <t>MNDPPLLT12P8L</t>
  </si>
  <si>
    <t>MN_KMDA0_C_FULP_AN_AA23_MEA_JTG_DYC_ALLFRV_SI_DPPLL_T12P8L</t>
  </si>
  <si>
    <t>MNDPPLLT12P9L</t>
  </si>
  <si>
    <t>MN_KMDA0_C_FULP_AN_AA23_MEA_JTG_DYC_ALLFRV_SI_DPPLL_T12P9L</t>
  </si>
  <si>
    <t>MNDPPLLT12P10L</t>
  </si>
  <si>
    <t>MN_KMDA0_C_FULP_AN_AA23_MEA_JTG_DYC_ALLFRV_SI_DPPLL_T12P10L</t>
  </si>
  <si>
    <t>MNDPPLLT12P11L</t>
  </si>
  <si>
    <t>MN_KMDA0_C_FULP_AN_AA23_MEA_JTG_DYC_ALLFRV_SI_DPPLL_T12P11L</t>
  </si>
  <si>
    <t>MNDPPLLT12P12L</t>
  </si>
  <si>
    <t>MN_KMDA0_C_FULP_AN_AA23_MEA_JTG_DYC_ALLFRV_SI_DPPLL_T12P12L</t>
  </si>
  <si>
    <t>MNDPPLLT12P13L</t>
  </si>
  <si>
    <t>MN_KMDA0_C_FULP_AN_AA23_MEA_JTG_DYC_ALLFRV_SI_DPPLL_T12P13L</t>
  </si>
  <si>
    <t>MNDPPLLT12P19L</t>
  </si>
  <si>
    <t>MN_KMDA0_C_FULP_AN_AA23_MEA_JTG_DYC_ALLFRV_SI_DPPLL_T12P19L</t>
  </si>
  <si>
    <t>MNDPPLLT12P20L</t>
  </si>
  <si>
    <t>MN_KMDA0_C_FULP_AN_AA23_MEA_JTG_DYC_ALLFRV_SI_DPPLL_T12P20L</t>
  </si>
  <si>
    <t>FCALT1P1G</t>
  </si>
  <si>
    <t>PP_KMDA0_S_FULP_AN_AAL6_MEA_JTG_LP5_ALLFRV_SI_FCAL_T1P1G</t>
  </si>
  <si>
    <t>LPDDRPLL_T1P1G_FUSE_PREWRITE_CAL</t>
  </si>
  <si>
    <t>LPDDRPLL_T1P1G_FUSE_READ_CAL</t>
  </si>
  <si>
    <t>LP5F1T2P1G</t>
  </si>
  <si>
    <t>PP_KMDA0_S_FULP_AN_AAL6_MEA_JTG_LP5_ALLFRV_SI_LP5F1_T2P1G</t>
  </si>
  <si>
    <t>LP5F2T2P2G</t>
  </si>
  <si>
    <t>PP_KMDA0_S_FULP_AN_AAL6_MEA_JTG_LP5_ALLFRV_SI_LP5F2_T2P2G</t>
  </si>
  <si>
    <t>LP5F3T2P3G</t>
  </si>
  <si>
    <t>PP_KMDA0_S_FULP_AN_AAL6_MEA_JTG_LP5_ALLFRV_SI_LP5F3_T2P3G</t>
  </si>
  <si>
    <t>LP5F4T2P4G</t>
  </si>
  <si>
    <t>PP_KMDA0_S_FULP_AN_AAL6_MEA_JTG_LP5_ALLFRV_SI_LP5F4_T2P4G</t>
  </si>
  <si>
    <t>LP5F5T2P5G</t>
  </si>
  <si>
    <t>PP_KMDA0_S_FULP_AN_AAL6_MEA_JTG_LP5_ALLFRV_SI_LP5F5_T2P5G</t>
  </si>
  <si>
    <t>LP5F6T2P6G</t>
  </si>
  <si>
    <t>PP_KMDA0_S_FULP_AN_AAL6_MEA_JTG_LP5_ALLFRV_SI_LP5F6_T2P6G</t>
  </si>
  <si>
    <t>LP5F7T2P7G</t>
  </si>
  <si>
    <t>PP_KMDA0_S_FULP_AN_AAL6_MEA_JTG_LP5_ALLFRV_SI_LP5F7_T2P7G</t>
  </si>
  <si>
    <t>LP5F8T2P8G</t>
  </si>
  <si>
    <t>PP_KMDA0_S_FULP_AN_AAL6_MEA_JTG_LP5_ALLFRV_SI_LP5F8_T2P8G</t>
  </si>
  <si>
    <t>LP5F9T2P9G</t>
  </si>
  <si>
    <t>PP_KMDA0_S_FULP_AN_AAL6_MEA_JTG_LP5_ALLFRV_SI_LP5F9_T2P9G</t>
  </si>
  <si>
    <t>LP5CURRT3</t>
  </si>
  <si>
    <t>PP_KMDA0_S_FULP_AN_AAL6_MEA_JTG_LP5_ALLFRV_SI_LP5CURR_T3</t>
  </si>
  <si>
    <t>LP5F1PLDT13P1G</t>
  </si>
  <si>
    <t>PP_KMDA0_S_FULP_AN_AAL6_LP5_JTG_LP5_ALLFRV_SI_LP5F1PLD_T13P1G</t>
  </si>
  <si>
    <t>LP5F5PLDT13P5G</t>
  </si>
  <si>
    <t>PP_KMDA0_S_FULP_AN_AAL6_LP5_JTG_LP5_ALLFRV_SI_LP5F5PLD_T13P5G</t>
  </si>
  <si>
    <t>LP5F8PLDT13P8G</t>
  </si>
  <si>
    <t>PP_KMDA0_S_FULP_AN_AAL6_LP5_JTG_LP5_ALLFRV_SI_LP5F8PLD_T13P8G</t>
  </si>
  <si>
    <t>LP5F9PLDT13P9G</t>
  </si>
  <si>
    <t>PP_KMDA0_S_FULP_AN_AAL6_LP5_JTG_LP5_ALLFRV_SI_LP5F9PLD_T13P9G</t>
  </si>
  <si>
    <t>LP5TDCT14P1G</t>
  </si>
  <si>
    <t>PP_KMDA0_S_FULP_AN_AAL6_BST_JTG_LP5_ALLFRV_SI_LP5TDC_T14P1G</t>
  </si>
  <si>
    <t>LP5TDCT14P3G</t>
  </si>
  <si>
    <t>PP_KMDA0_S_FULP_AN_AAL6_BST_JTG_LP5_ALLFRV_SI_LP5TDC_T14P3G</t>
  </si>
  <si>
    <t>LP5IVDVT16</t>
  </si>
  <si>
    <t>PP_KMDA0_S_FULP_AN_AAL6_MEA_JTG_LP5_ALLFRV_SI_LP5IVDV_T16</t>
  </si>
  <si>
    <t>MNLP5FCALT1P1G</t>
  </si>
  <si>
    <t>MN_KMDA0_S_FULP_AN_AAL6_MEA_JTG_LP5_ALLFRV_SI_LP5FCAL_T1P1G</t>
  </si>
  <si>
    <t>MNLP5F0T2P0M10</t>
  </si>
  <si>
    <t>MN_KMDA0_S_FULP_AN_AAL6_MEA_JTG_LP5_ALLFRV_SI_LP5F0_T2P0M10</t>
  </si>
  <si>
    <t>MNLP5F0T2P0P6G</t>
  </si>
  <si>
    <t>MN_KMDA0_S_FULP_AN_AAL6_MEA_JTG_LP5_ALLFRV_SI_LP5F0_T2P0P6G</t>
  </si>
  <si>
    <t>MNLP5F1T2P1G</t>
  </si>
  <si>
    <t>MN_KMDA0_S_FULP_AN_AAL6_MEA_JTG_LP5_ALLFRV_SI_LP5F1_T2P1G</t>
  </si>
  <si>
    <t>MNLP5F2T2P2G</t>
  </si>
  <si>
    <t>MN_KMDA0_S_FULP_AN_AAL6_MEA_JTG_LP5_ALLFRV_SI_LP5F2_T2P2G</t>
  </si>
  <si>
    <t>MNLP5F3T2P3G</t>
  </si>
  <si>
    <t>MN_KMDA0_S_FULP_AN_AAL6_MEA_JTG_LP5_ALLFRV_SI_LP5F3_T2P3G</t>
  </si>
  <si>
    <t>MNLP5F4T2P4G</t>
  </si>
  <si>
    <t>MN_KMDA0_S_FULP_AN_AAL6_MEA_JTG_LP5_ALLFRV_SI_LP5F4_T2P4G</t>
  </si>
  <si>
    <t>MNLP5F5T2P5G</t>
  </si>
  <si>
    <t>MN_KMDA0_S_FULP_AN_AAL6_MEA_JTG_LP5_ALLFRV_SI_LP5F5_T2P5G</t>
  </si>
  <si>
    <t>MNLP5F6T2P6G</t>
  </si>
  <si>
    <t>MN_KMDA0_S_FULP_AN_AAL6_MEA_JTG_LP5_ALLFRV_SI_LP5F6_T2P6G</t>
  </si>
  <si>
    <t>MNLP5F7T2P7G</t>
  </si>
  <si>
    <t>MN_KMDA0_S_FULP_AN_AAL6_MEA_JTG_LP5_ALLFRV_SI_LP5F7_T2P7G</t>
  </si>
  <si>
    <t>MNLP5F8T2P8G</t>
  </si>
  <si>
    <t>MN_KMDA0_S_FULP_AN_AAL6_MEA_JTG_LP5_ALLFRV_SI_LP5F8_T2P8G</t>
  </si>
  <si>
    <t>MNLP5F9T2P9G</t>
  </si>
  <si>
    <t>MN_KMDA0_S_FULP_AN_AAL6_MEA_JTG_LP5_ALLFRV_SI_LP5F9_T2P9G</t>
  </si>
  <si>
    <t>MNLP5F10T2P10G</t>
  </si>
  <si>
    <t>MN_KMDA0_S_FULP_AN_AAL6_MEA_JTG_LP5_ALLFRV_SI_LP5F10_T2P10G</t>
  </si>
  <si>
    <t>MNLP5F10T2P10P10</t>
  </si>
  <si>
    <t>MN_KMDA0_S_FULP_AN_AAL6_MEA_JTG_LP5_ALLFRV_SI_LP5F10_T2P10P10</t>
  </si>
  <si>
    <t>MNLP5DCDT8P1G</t>
  </si>
  <si>
    <t>MN_KMDA0_S_FULP_AN_AAL6_MEA_JTG_LP5_ALLFRV_SI_LP5DCD_T8P1G</t>
  </si>
  <si>
    <t>MNLP5DCDT8P9G</t>
  </si>
  <si>
    <t>MN_KMDA0_S_FULP_AN_AAL6_MEA_JTG_LP5_ALLFRV_SI_LP5DCD_T8P9G</t>
  </si>
  <si>
    <t>MNLP5KDCO1T10P1G</t>
  </si>
  <si>
    <t>MN_KMDA0_S_FULP_AN_AAL6_LP5_JTG_LP5_ALLFRV_SI_LP5KDCO1_T10P1G</t>
  </si>
  <si>
    <t>MNLP5KDCO1T10P9G</t>
  </si>
  <si>
    <t>MN_KMDA0_S_FULP_AN_AAL6_LP5_JTG_LP5_ALLFRV_SI_LP5KDCO1_T10P9G</t>
  </si>
  <si>
    <t>MNLP5CLT11P2G</t>
  </si>
  <si>
    <t>MN_KMDA0_S_FULP_AN_AAL6_LP5_JTG_LP5_ALLFRV_SI_LP5CL_T11P2G</t>
  </si>
  <si>
    <t>MNLP5CLT11P6G</t>
  </si>
  <si>
    <t>MN_KMDA0_S_FULP_AN_AAL6_LP5_JTG_LP5_ALLFRV_SI_LP5CL_T11P6G</t>
  </si>
  <si>
    <t>MNLP5F1PLDT13P1G</t>
  </si>
  <si>
    <t>MN_KMDA0_S_FULP_AN_AAL6_LP5_JTG_LP5_ALLFRV_SI_LP5F1PLD_T13P1G</t>
  </si>
  <si>
    <t>MNLP5F2PLDT13P2G</t>
  </si>
  <si>
    <t>MN_KMDA0_S_FULP_AN_AAL6_LP5_JTG_LP5_ALLFRV_SI_LP5F2PLD_T13P2G</t>
  </si>
  <si>
    <t>MNLP5F3PLDT13P3G</t>
  </si>
  <si>
    <t>MN_KMDA0_S_FULP_AN_AAL6_LP5_JTG_LP5_ALLFRV_SI_LP5F3PLD_T13P3G</t>
  </si>
  <si>
    <t>MNLP5F4PLDT13P4G</t>
  </si>
  <si>
    <t>MN_KMDA0_S_FULP_AN_AAL6_LP5_JTG_LP5_ALLFRV_SI_LP5F4PLD_T13P4G</t>
  </si>
  <si>
    <t>MNLP5F5PLDT13P5G</t>
  </si>
  <si>
    <t>MN_KMDA0_S_FULP_AN_AAL6_LP5_JTG_LP5_ALLFRV_SI_LP5F5PLD_T13P5G</t>
  </si>
  <si>
    <t>MNLP5F8PLDT13P8G</t>
  </si>
  <si>
    <t>MN_KMDA0_S_FULP_AN_AAL6_LP5_JTG_LP5_ALLFRV_SI_LP5F8PLD_T13P8G</t>
  </si>
  <si>
    <t>MNLP5F9PLDT13P9G</t>
  </si>
  <si>
    <t>MN_KMDA0_S_FULP_AN_AAL6_LP5_JTG_LP5_ALLFRV_SI_LP5F9PLD_T13P9G</t>
  </si>
  <si>
    <t>MNF10PLDT13P10G</t>
  </si>
  <si>
    <t>MN_KMDA0_S_FULP_AN_AAL6_LP5_JTG_LP5_ALLFRV_SI_F10PLD_T13P10G</t>
  </si>
  <si>
    <t>MNLP5TDCT14P1G</t>
  </si>
  <si>
    <t>MN_KMDA0_S_FULP_AN_AAL6_BST_JTG_LP5_ALLFRV_SI_LP5TDC_T14P1G</t>
  </si>
  <si>
    <t>MNLP5TDCT14P2G</t>
  </si>
  <si>
    <t>MN_KMDA0_S_FULP_AN_AAL6_BST_JTG_LP5_ALLFRV_SI_LP5TDC_T14P2G</t>
  </si>
  <si>
    <t>MNLP5TDCT14P3G</t>
  </si>
  <si>
    <t>MN_KMDA0_S_FULP_AN_AAL6_BST_JTG_LP5_ALLFRV_SI_LP5TDC_T14P3G</t>
  </si>
  <si>
    <t>MNLP5TDCT14P4G</t>
  </si>
  <si>
    <t>MN_KMDA0_S_FULP_AN_AAL6_BST_JTG_LP5_ALLFRV_SI_LP5TDC_T14P4G</t>
  </si>
  <si>
    <t>MNLP5F1PLDT15P1G</t>
  </si>
  <si>
    <t>MN_KMDA0_S_FULP_AN_AAL6_LP5_JTG_LP5_ALLFRV_SI_LP5F1PLD_T15P1G</t>
  </si>
  <si>
    <t>MNLP5F9PLDT15P9G</t>
  </si>
  <si>
    <t>MN_KMDA0_S_FULP_AN_AAL6_LP5_JTG_LP5_ALLFRV_SI_LP5F9PLD_T15P9G</t>
  </si>
  <si>
    <t>MNLP5IVDVT16</t>
  </si>
  <si>
    <t>MN_KMDA0_S_FULP_AN_AAL6_MEA_JTG_LP5_ALLFRV_SI_LP5IVDV_T16</t>
  </si>
  <si>
    <t>SAROSCT0</t>
  </si>
  <si>
    <t>PP_KMDA0_C_FULP_AN_SARO_DLL_JTG_COD_ALLFRV_SI_SAROSC_T0</t>
  </si>
  <si>
    <t>CASET1A</t>
  </si>
  <si>
    <t>PP_KMDA0_C_FULP_AN_ULPL_FUN_JTG_FRQ_ALLFRV_SI_CASE_T1A</t>
  </si>
  <si>
    <t>CASET1B</t>
  </si>
  <si>
    <t>PP_KMDA0_C_FULP_AN_ULPL_FUN_JTG_FRQ_ALLFRV_SI_CASE_T1B</t>
  </si>
  <si>
    <t>CASET1C</t>
  </si>
  <si>
    <t>PP_KMDA0_C_FULP_AN_ULPL_FUN_JTG_FRQ_ALLFRV_SI_CASE_T1C</t>
  </si>
  <si>
    <t>CASET1C1</t>
  </si>
  <si>
    <t>PP_KMDA0_C_FULP_AN_FLPL_FUN_JTG_FRQ_ALLFRV_SI_CASE_T1C1</t>
  </si>
  <si>
    <t>CASET1C2</t>
  </si>
  <si>
    <t>PP_KMDA0_C_FULP_AN_FLPL_FUN_JTG_FRQ_ALLFRV_SI_CASE_T1C2</t>
  </si>
  <si>
    <t>CASET1C3</t>
  </si>
  <si>
    <t>PP_KMDA0_C_FULP_AN_FLPL_FUN_JTG_FRQ_ALLFRV_SI_CASE_T1C3</t>
  </si>
  <si>
    <t>CASET1C4</t>
  </si>
  <si>
    <t>PP_KMDA0_C_FULP_AN_FLPL_FUN_JTG_FRQ_ALLFRV_SI_CASE_T1C4</t>
  </si>
  <si>
    <t>CASET1C5</t>
  </si>
  <si>
    <t>PP_KMDA0_C_FULP_AN_FLPL_FUN_JTG_FRQ_ALLFRV_SI_CASE_T1C5</t>
  </si>
  <si>
    <t>CASET1C6</t>
  </si>
  <si>
    <t>PP_KMDA0_C_FULP_AN_FLPL_FUN_JTG_FRQ_ALLFRV_SI_CASE_T1C6</t>
  </si>
  <si>
    <t>PRETRIMT1</t>
  </si>
  <si>
    <t>PP_KMDA0_S_FULP_AN_SEPV_DLL_JTG_COD_ALLFRV_SI_PRETRIM_T1</t>
  </si>
  <si>
    <t>VREFPDETT2P1</t>
  </si>
  <si>
    <t>PP_KMDA0_S_FULP_AN_SEPV_DLL_JTG_COD_ALLFRV_SI_VREFPDET_T2P1</t>
  </si>
  <si>
    <t>SEPVMC_FUSE_PREWRITE_SEPVMC_TRIM_PWRDET</t>
  </si>
  <si>
    <t>SEPVMC_FUSE_READ_SEPVMC_TRIM_PWRDET</t>
  </si>
  <si>
    <t>SEPVMC_FUSE_PREWRITE_SEPVMC_TRIM_ROSC_FSM</t>
  </si>
  <si>
    <t>SEPVMC_FUSE_READ_SEPVMC_TRIM_ROSC_FSM</t>
  </si>
  <si>
    <t>SEPVMC_FUSE_PREWRITE_SEPVMC_TRIM_BG_T</t>
  </si>
  <si>
    <t>SEPVMC_FUSE_READ_SEPVMC_TRIM_BG_T</t>
  </si>
  <si>
    <t>SEPVMC_FUSE_PREWRITE_SEPVMC_TRIM_BGTEMP_ADCCODE_RT</t>
  </si>
  <si>
    <t>SEPVMC_FUSE_READ_SEPVMC_TRIM_BGTEMP_ADCCODE_RT</t>
  </si>
  <si>
    <t>SEPVMC_FUSE_PREWRITE_SEPVMC_VREF_RT</t>
  </si>
  <si>
    <t>SEPVMC_FUSE_READ_SEPVMC_VREF_RT</t>
  </si>
  <si>
    <t>SEPVMC_FUSE_PREWRITE_SEPVMC_TRIM_VREF_HT</t>
  </si>
  <si>
    <t>SEPVMC_FUSE_READ_SEPVMC_TRIM_VREF_HT</t>
  </si>
  <si>
    <t>SEPVMC_FUSE_PREWRITE_SEPVMC_COMP_L</t>
  </si>
  <si>
    <t>SEPVMC_FUSE_READ_SEPVMC_COMP_L</t>
  </si>
  <si>
    <t>SEPVMC_FUSE_PREWRITE_SEPVMC_COMP_H</t>
  </si>
  <si>
    <t>SEPVMC_FUSE_READ_SEPVMC_COMP_H</t>
  </si>
  <si>
    <t>FREQT2P2</t>
  </si>
  <si>
    <t>PP_KMDA0_S_FULP_AN_SEPV_DLL_JTG_COD_ALLFRV_SI_FREQ_T2P2</t>
  </si>
  <si>
    <t>VBGST2P3</t>
  </si>
  <si>
    <t>PP_KMDA0_A_FULP_AN_SEPV_DLL_JTG_COD_ALLFRV_SI_VBGS_T2P3</t>
  </si>
  <si>
    <t>VBGS2T2P4</t>
  </si>
  <si>
    <t>PP_KMDA0_A_FULP_AN_SEPV_DLL_JTG_COD_ALLFRV_SI_VBGS2_T2P4</t>
  </si>
  <si>
    <t>PSTPDETT3</t>
  </si>
  <si>
    <t>PP_KMDA0_A_FULP_AN_SEPV_DLL_JTG_COD_ALLFRV_SI_PSTPDET_T3</t>
  </si>
  <si>
    <t>PSTTRIMT4</t>
  </si>
  <si>
    <t>PP_KMDA0_A_FULP_AN_SEPV_DLL_JTG_COD_ALLFRV_SI_PSTTRIM_T4</t>
  </si>
  <si>
    <t>COMPLT5P1</t>
  </si>
  <si>
    <t>PP_KMDA0_A_FULP_AN_SEPV_DLL_JTG_COD_ALLFRV_SI_COMPL_T5P1</t>
  </si>
  <si>
    <t>COMPHT5P3</t>
  </si>
  <si>
    <t>PP_KMDA0_S_FULP_AN_SEPV_DLL_JTG_COD_ALLFRV_SI_COMPH_T5P3</t>
  </si>
  <si>
    <t>LBUBT6P1</t>
  </si>
  <si>
    <t>PP_KMDA0_S_FULP_AN_SEPV_DLL_JTG_COD_ALLFRV_SI_LBUB_T6P1</t>
  </si>
  <si>
    <t>LBUBT6P2</t>
  </si>
  <si>
    <t>PP_KMDA0_S_FULP_AN_SEPV_DLL_JTG_COD_ALLFRV_SI_LBUB_T6P2</t>
  </si>
  <si>
    <t>LBUBT6P3</t>
  </si>
  <si>
    <t>PP_KMDA0_S_FULP_AN_SEPV_DLL_JTG_COD_ALLFRV_SI_LBUB_T6P3</t>
  </si>
  <si>
    <t>MNPSTTRIMT4A</t>
  </si>
  <si>
    <t>MN_KMDA0_A_FULP_AN_SEPV_DLL_JTG_COD_ALLFRV_SI_PSTTRIM_T4A</t>
  </si>
  <si>
    <t>MNPSTTRIMT4B</t>
  </si>
  <si>
    <t>MN_KMDA0_A_FULP_AN_SEPV_DLL_JTG_COD_ALLFRV_SI_PSTTRIM_T4B</t>
  </si>
  <si>
    <t>MNPSTTRIMT4C</t>
  </si>
  <si>
    <t>MN_KMDA0_A_FULP_AN_SEPV_DLL_JTG_COD_ALLFRV_SI_PSTTRIM_T4C</t>
  </si>
  <si>
    <t>MNCOMPLT5P2</t>
  </si>
  <si>
    <t>MN_KMDA0_S_FULP_AN_SEPV_DLL_JTG_COD_ALLFRV_SI_COMPL_T5P2</t>
  </si>
  <si>
    <t>MNCOMPHT5P4</t>
  </si>
  <si>
    <t>MN_KMDA0_S_FULP_AN_SEPV_DLL_JTG_COD_ALLFRV_SI_COMPH_T5P4</t>
  </si>
  <si>
    <t>MNLBUBT6P1B</t>
  </si>
  <si>
    <t>MN_KMDA0_S_FULP_AN_SEPV_DLL_JTG_COD_ALLFRV_SI_LBUB_T6P1B</t>
  </si>
  <si>
    <t>MNLBUBT6P2B</t>
  </si>
  <si>
    <t>MN_KMDA0_S_FULP_AN_SEPV_DLL_JTG_COD_ALLFRV_SI_LBUB_T6P2B</t>
  </si>
  <si>
    <t>MNLBUBT6P3B</t>
  </si>
  <si>
    <t>MN_KMDA0_S_FULP_AN_SEPV_DLL_JTG_COD_ALLFRV_SI_LBUB_T6P3B</t>
  </si>
  <si>
    <t>MNTCSWEEPT9</t>
  </si>
  <si>
    <t>MN_KMDA0_S_FULP_AN_SEPV_DLL_JTG_COD_ALLFRV_SI_TCSWEEP_T9</t>
  </si>
  <si>
    <t>0P779T1P0</t>
  </si>
  <si>
    <t>PP_KMDA0_S_FULP_AN_SEPF_MEA_JTG_VIX_ALLFRV_SI_0P779_T1P0</t>
  </si>
  <si>
    <t>0P5T2P1</t>
  </si>
  <si>
    <t>PP_KMDA0_S_FULP_AN_SEPF_PFF_JTG_UNS_ALLFRV_SI_0P5_T2P1</t>
  </si>
  <si>
    <t>SEPF2M_T2P1_FUSE_PREWRITE_CAL</t>
  </si>
  <si>
    <t>SEPF2M_T2P1_FUSE_READ_CAL</t>
  </si>
  <si>
    <t>SEPF2M_T2P2_TRIM_FUSE_PREWRITE_CAL</t>
  </si>
  <si>
    <t>SEPF2M_T2P2_TRIM_FUSE_READ_CAL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</si>
  <si>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</si>
  <si>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</si>
  <si>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</si>
  <si>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</si>
  <si>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</si>
  <si>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</si>
  <si>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SEPF2M_FUSE_PREWRITE_TRIM_CAP_CLK1_OCD_ATE</t>
  </si>
  <si>
    <t>SEPF2M_FUSE_READ_TRIM_CAP_CLK1_OCD_ATE</t>
  </si>
  <si>
    <t>24MT2P2TRIM</t>
  </si>
  <si>
    <t>PP_KMDA0_S_FULP_AN_SEPF_PFF_JTG_UNS_ALLFRV_SI_24M_T2P2</t>
  </si>
  <si>
    <t>24MT2P2VERIFY</t>
  </si>
  <si>
    <t>OUCD12T2P3</t>
  </si>
  <si>
    <t>PP_KMDA0_A_FULP_AN_SEPF_PFF_JTG_UNS_ALLFRV_SI_OUCD12_T2P3</t>
  </si>
  <si>
    <t>OCD1T2P4</t>
  </si>
  <si>
    <t>PP_KMDA0_A_FULP_AN_SEPF_PFF_JTG_UNS_ALLFRV_SI_OCD1_T2P4</t>
  </si>
  <si>
    <t>OUCD12T3P1LO</t>
  </si>
  <si>
    <t>PP_KMDA0_A_FULP_AN_SEPF_PFF_JTG_UNS_ALLFRV_SI_OUCD12_T3P1</t>
  </si>
  <si>
    <t>OUCD12T3P1HI</t>
  </si>
  <si>
    <t>OUCD12T3P2LO</t>
  </si>
  <si>
    <t>PP_KMDA0_A_FULP_AN_SEPF_PFF_JTG_UNS_ALLFRV_SI_OUCD12_T3P2</t>
  </si>
  <si>
    <t>OUCD12T3P2HI</t>
  </si>
  <si>
    <t>MIDLDO</t>
  </si>
  <si>
    <t>PP_KMDA0_C_FULP_AN_MLDO_MEA_JTG_IMX_ALLFRV_SI_MID_LDO</t>
  </si>
  <si>
    <t>MNMIDLDO</t>
  </si>
  <si>
    <t>MN_KMDA0_C_FULP_AN_MLDO_MEA_JTG_IMX_ALLFRV_SI_MID_LDO</t>
  </si>
  <si>
    <t>IDDQT1</t>
  </si>
  <si>
    <t>PP_KMDA0_C_FULP_AN_AQ00_IDS_JTG_IMX_ALLFRV_SI_IDDQ_T1</t>
  </si>
  <si>
    <t>REFTRIMT2RT</t>
  </si>
  <si>
    <t>PP_KMDA0_C_FULP_AN_AQ00_DLL_JTG_CAL_ALLFRV_SI_REFTRIM_T2</t>
  </si>
  <si>
    <t>VMADC_ADC_FUSE_PREWRITE_SOC_VREF_25C_CAL</t>
  </si>
  <si>
    <t>VMADC_ADC_FUSE_READ_SOC_VREF_25C_CAL</t>
  </si>
  <si>
    <t>VMADC_ADC_FUSE_PREWRITE_ACCP_VREF_25C_CAL</t>
  </si>
  <si>
    <t>VMADC_ADC_FUSE_READ_ACCP_VREF_25C_CAL</t>
  </si>
  <si>
    <t>VMADC_ADC_FUSE_PREWRITE_ACCE_VREF_25C_CAL</t>
  </si>
  <si>
    <t>VMADC_ADC_FUSE_READ_ACCE_VREF_25C_CAL</t>
  </si>
  <si>
    <t>VMADC_ADC_FUSE_PREWRITE_REFERENCE_SCALE_DIG_25_S_CAL</t>
  </si>
  <si>
    <t>VMADC_ADC_FUSE_READ_REFERENCE_SCALE_DIG_25_S_CAL</t>
  </si>
  <si>
    <t>VMADC_ADC_FUSE_PREWRITE_REFERENCE_SCALE_DIG_25_P_CAL</t>
  </si>
  <si>
    <t>VMADC_ADC_FUSE_READ_REFERENCE_SCALE_DIG_25_P_CAL</t>
  </si>
  <si>
    <t>VMADC_ADC_FUSE_PREWRITE_REFERENCE_SCALE_DIG_25_E_CAL</t>
  </si>
  <si>
    <t>VMADC_ADC_FUSE_READ_REFERENCE_SCALE_DIG_25_E_CAL</t>
  </si>
  <si>
    <t>VMADC_ADC_FUSE_PREWRITE_SOC_VREF_85C_CAL</t>
  </si>
  <si>
    <t>VMADC_ADC_FUSE_READ_SOC_VREF_85C_CAL</t>
  </si>
  <si>
    <t>VMADC_ADC_FUSE_PREWRITE_ACCP_VREF_85C_CAL</t>
  </si>
  <si>
    <t>VMADC_ADC_FUSE_READ_ACCP_VREF_85C_CAL</t>
  </si>
  <si>
    <t>VMADC_ADC_FUSE_PREWRITE_ACCE_VREF_85C_CAL</t>
  </si>
  <si>
    <t>VMADC_ADC_FUSE_READ_ACCE_VREF_85C_CAL</t>
  </si>
  <si>
    <t>VMADC_ADC_FUSE_PREWRITE_REFERENCE_SCALE_DIG_85_S_CAL</t>
  </si>
  <si>
    <t>VMADC_ADC_FUSE_READ_REFERENCE_SCALE_DIG_85_S_CAL</t>
  </si>
  <si>
    <t>VMADC_ADC_FUSE_PREWRITE_REFERENCE_SCALE_DIG_85_P_CAL</t>
  </si>
  <si>
    <t>VMADC_ADC_FUSE_READ_REFERENCE_SCALE_DIG_85_P_CAL</t>
  </si>
  <si>
    <t>VMADC_ADC_FUSE_PREWRITE_REFERENCE_SCALE_DIG_85_E_CAL</t>
  </si>
  <si>
    <t>VMADC_ADC_FUSE_READ_REFERENCE_SCALE_DIG_85_E_CAL</t>
  </si>
  <si>
    <t>REFTRIMT2HT</t>
  </si>
  <si>
    <t>ADCSOCT3</t>
  </si>
  <si>
    <t>PP_KMDA0_C_FULP_AN_AQ00_DLL_JTG_CAL_ALLFRV_SI_ADCSOC_T3</t>
  </si>
  <si>
    <t>REFCONVT4</t>
  </si>
  <si>
    <t>PP_KMDA0_C_FULP_AN_AQ00_DLL_JTG_IMX_ALLFRV_SI_REFCONV_T4</t>
  </si>
  <si>
    <t>AUXAUXIMPSW_MULTIPLE</t>
  </si>
  <si>
    <t>PP_KMDA0_S_FULP_AN_CIAX_MEA_JTG_VMX_ALLFRV_SI_AUX_AUXIMPSW</t>
  </si>
  <si>
    <t>ACIOPHY_AUXTRIM_FUSE_PREWRITE_CAL</t>
  </si>
  <si>
    <t>ACIOPHY_AUXTRIM_FUSE_READ_CAL</t>
  </si>
  <si>
    <t>CMNCMNVOLT_MULTIPLE</t>
  </si>
  <si>
    <t>PP_KMDA0_S_FULP_AN_CICM_MEA_JTG_VMX_ALLFRV_SI_CMN_CMNVOLT</t>
  </si>
  <si>
    <t>TXTIMPMEAS_MULTIPLE</t>
  </si>
  <si>
    <t>PP_KMDA0_S_FULP_AN_CITX_MEA_JTG_VMX_ALLFRV_SI_TX_TIMPMEAS</t>
  </si>
  <si>
    <t>TXHIZLEAK_MULTIPLE</t>
  </si>
  <si>
    <t>PP_KMDA0_S_FULP_AN_CITX_MEA_JTG_VMX_ALLFRV_SI_TX_HIZLEAK</t>
  </si>
  <si>
    <t>TXTXSWING_MULTIPLE</t>
  </si>
  <si>
    <t>PP_KMDA0_S_FULP_AN_CITX_MEA_JTG_VMX_ALLFRV_SI_TX_TXSWING</t>
  </si>
  <si>
    <t>TXCIOFREQ_MULTIPLE</t>
  </si>
  <si>
    <t>PP_KMDA0_S_FULP_AN_CITX_MEA_JTG_FRQ_ALLFRV_SI_TX_CIOFREQ</t>
  </si>
  <si>
    <t>TXRXDET_MULTIPLE</t>
  </si>
  <si>
    <t>PP_KMDA0_S_FULP_AN_CITX_MEA_JTG_VMX_ALLFRV_SI_TX_RXDET</t>
  </si>
  <si>
    <t>TXCMFC_MULTIPLE</t>
  </si>
  <si>
    <t>PP_KMDA0_S_FULP_AN_CITX_MEA_JTG_VMX_ALLFRV_SI_TX_CMFC</t>
  </si>
  <si>
    <t>RXRIMPMEAS_MULTIPLE</t>
  </si>
  <si>
    <t>PP_KMDA0_S_FULP_AN_CIRX_MEA_JTG_VMX_ALLFRV_SI_RX_RIMPMEAS</t>
  </si>
  <si>
    <t>RXEIHILO_MULTIPLE</t>
  </si>
  <si>
    <t>PP_KMDA0_S_FULP_AN_CIRX_MEA_JTG_VMX_ALLFRV_SI_RX_EIHILO</t>
  </si>
  <si>
    <t>RXTXDPFREQ_MULTIPLE</t>
  </si>
  <si>
    <t>PP_KMDA0_S_FULP_AN_CIRX_MEA_JTG_FRQ_ALLFRV_SI_RXTX_DPFREQ</t>
  </si>
  <si>
    <t>ELBUSBG1DP2_MULTIPLE</t>
  </si>
  <si>
    <t>PP_KMDA0_S_FULP_AN_CIPH_BST_JTG_ELB_ALLFRV_SI_ELB_USBG1DP2</t>
  </si>
  <si>
    <t>ELBDP2USBG1_MULTIPLE</t>
  </si>
  <si>
    <t>PP_KMDA0_S_FULP_AN_CIPH_BST_JTG_ELB_ALLFRV_SI_ELB_DP2USBG1</t>
  </si>
  <si>
    <t>ELBUSBG2DP3_MULTIPLE</t>
  </si>
  <si>
    <t>PP_KMDA0_S_FULP_AN_CIPH_BST_JTG_ELB_ALLFRV_SI_ELB_USBG2DP3</t>
  </si>
  <si>
    <t>ELBDP3USBG2_MULTIPLE</t>
  </si>
  <si>
    <t>PP_KMDA0_S_FULP_AN_CIPH_BST_JTG_ELB_ALLFRV_SI_ELB_DP3USBG2</t>
  </si>
  <si>
    <t>ELBCIOG1_MULTIPLE</t>
  </si>
  <si>
    <t>PP_KMDA0_S_FULP_AN_CIPH_BST_JTG_ELB_ALLFRV_SI_ELB_CIOG1</t>
  </si>
  <si>
    <t>ELBCIOG2_MULTIPLE</t>
  </si>
  <si>
    <t>PP_KMDA0_S_FULP_AN_CIPH_BST_JTG_ELB_ALLFRV_SI_ELB_CIOG2</t>
  </si>
  <si>
    <t>ELBCIOG3_MULTIPLE</t>
  </si>
  <si>
    <t>PP_KMDA0_S_FULP_AN_CIPH_BST_JTG_ELB_ALLFRV_SI_ELB_CIOG3</t>
  </si>
  <si>
    <t>ELBCIOG4_MULTIPLE</t>
  </si>
  <si>
    <t>PP_KMDA0_S_FULP_AN_CIPH_BST_JTG_ELB_ALLFRV_SI_ELB_CIOG4</t>
  </si>
  <si>
    <t>PWRUSBG1_MULTIPLE</t>
  </si>
  <si>
    <t>PP_KMDA0_S_FULP_AN_CIPH_MEA_JTG_IMX_ALLFRV_SI_PWR_USBG1</t>
  </si>
  <si>
    <t>PWRUSBG2_MULTIPLE</t>
  </si>
  <si>
    <t>PP_KMDA0_S_FULP_AN_CIPH_MEA_JTG_IMX_ALLFRV_SI_PWR_USBG2</t>
  </si>
  <si>
    <t>PWRCIOG1_MULTIPLE</t>
  </si>
  <si>
    <t>PP_KMDA0_S_FULP_AN_CIPH_MEA_JTG_IMX_ALLFRV_SI_PWR_CIOG1</t>
  </si>
  <si>
    <t>PWRCIOG2_MULTIPLE</t>
  </si>
  <si>
    <t>PP_KMDA0_S_FULP_AN_CIPH_MEA_JTG_IMX_ALLFRV_SI_PWR_CIOG2</t>
  </si>
  <si>
    <t>PWRCIOG3_MULTIPLE</t>
  </si>
  <si>
    <t>PP_KMDA0_S_FULP_AN_CIPH_MEA_JTG_IMX_ALLFRV_SI_PWR_CIOG3</t>
  </si>
  <si>
    <t>PWRCIOG4_MULTIPLE</t>
  </si>
  <si>
    <t>PP_KMDA0_S_FULP_AN_CIPH_MEA_JTG_IMX_ALLFRV_SI_PWR_CIOG4</t>
  </si>
  <si>
    <t>PWRDPX4HBR3_MULTIPLE</t>
  </si>
  <si>
    <t>PP_KMDA0_S_FULP_AN_CIPH_MEA_JTG_IMX_ALLFRV_SI_PWR_DPX4HBR3</t>
  </si>
  <si>
    <t>AUXAUXSWING_MULTIPLE</t>
  </si>
  <si>
    <t>PP_KMDA0_S_FULP_AN_CIAX_MEA_JTG_VMX_ALLFRV_SI_AUX_AUXSWING</t>
  </si>
  <si>
    <t>AUXAUXRXHL_MULTIPLE</t>
  </si>
  <si>
    <t>PP_KMDA0_S_FULP_AN_CIAX_MEA_JTG_VMX_ALLFRV_SI_AUX_AUXRXHL</t>
  </si>
  <si>
    <t>SHMREGRDWR_MULTIPLE</t>
  </si>
  <si>
    <t>PP_KMDA0_S_FULP_AN_CIPH_MEA_JTG_FUN_ALLFRV_SI_SHM_REGRDWR</t>
  </si>
  <si>
    <t>RXDACMONO_MULTIPLE</t>
  </si>
  <si>
    <t>PP_KMDA0_S_FULP_AN_CIPH_MEA_JTG_VMX_ALLFRV_SI_RXDAC_MONO</t>
  </si>
  <si>
    <t>MNRXDCOBISWPA_MULTIPLE</t>
  </si>
  <si>
    <t>MN_KMDA0_S_FULP_AN_CIRX_MEA_JTG_FRQ_ALLFRV_SI_RX_DCOBISWP</t>
  </si>
  <si>
    <t>MNRXDCOBISWPB_MULTIPLE</t>
  </si>
  <si>
    <t>MNRXDCOBISWPC_MULTIPLE</t>
  </si>
  <si>
    <t>MNRXDCOBISWPD_MULTIPLE</t>
  </si>
  <si>
    <t>MNRXDCOCRSWPA_MULTIPLE</t>
  </si>
  <si>
    <t>MN_KMDA0_S_FULP_AN_CIRX_MEA_JTG_FRQ_ALLFRV_SI_RX_DCOCRSWP</t>
  </si>
  <si>
    <t>MNRXDCOCRSWPB_MULTIPLE</t>
  </si>
  <si>
    <t>MNRXDCOCRSWPC_MULTIPLE</t>
  </si>
  <si>
    <t>MNRXDCOCRSWPD_MULTIPLE</t>
  </si>
  <si>
    <t>MNRXDCOFNSWPA_MULTIPLE</t>
  </si>
  <si>
    <t>MN_KMDA0_S_FULP_AN_CIRX_MEA_JTG_FRQ_ALLFRV_SI_RX_DCOFNSWP</t>
  </si>
  <si>
    <t>MNRXDCOFNSWPB_MULTIPLE</t>
  </si>
  <si>
    <t>MNRXDCOFNSWPC_MULTIPLE</t>
  </si>
  <si>
    <t>MNRXDCOFNSWPD_MULTIPLE</t>
  </si>
  <si>
    <t>MNRXDACMEAS_MULTIPLE</t>
  </si>
  <si>
    <t>MN_KMDA0_S_FULP_AN_CIRX_MEA_JTG_VMX_ALLFRV_SI_RX_DACMEAS</t>
  </si>
  <si>
    <t>MNELBLONGUSBG1DP2_MULTIPLE</t>
  </si>
  <si>
    <t>MN_KMDA0_S_FULP_AN_CIPH_BST_JTG_ELB_ALLFRV_SI_ELBLONG_USBG1DP2</t>
  </si>
  <si>
    <t>MNELBLONGDP2USBG1_MULTIPLE</t>
  </si>
  <si>
    <t>MN_KMDA0_S_FULP_AN_CIPH_BST_JTG_ELB_ALLFRV_SI_ELBLONG_DP2USBG1</t>
  </si>
  <si>
    <t>MNELBLONGUSBG2DP3_MULTIPLE</t>
  </si>
  <si>
    <t>MN_KMDA0_S_FULP_AN_CIPH_BST_JTG_ELB_ALLFRV_SI_ELBLONG_USBG2DP3</t>
  </si>
  <si>
    <t>MNELBLONGDP3USBG2_MULTIPLE</t>
  </si>
  <si>
    <t>MN_KMDA0_S_FULP_AN_CIPH_BST_JTG_ELB_ALLFRV_SI_ELBLONG_DP3USBG2</t>
  </si>
  <si>
    <t>MNELBLONGCIOG1_MULTIPLE</t>
  </si>
  <si>
    <t>MN_KMDA0_S_FULP_AN_CIPH_BST_JTG_ELB_ALLFRV_SI_ELBLONG_CIOG1</t>
  </si>
  <si>
    <t>MNELBLONGCIOG2_MULTIPLE</t>
  </si>
  <si>
    <t>MN_KMDA0_S_FULP_AN_CIPH_BST_JTG_ELB_ALLFRV_SI_ELBLONG_CIOG2</t>
  </si>
  <si>
    <t>MNELBLONGCIOG3_MULTIPLE</t>
  </si>
  <si>
    <t>MN_KMDA0_S_FULP_AN_CIPH_BST_JTG_ELB_ALLFRV_SI_ELBLONG_CIOG3</t>
  </si>
  <si>
    <t>MNELBLONGCIOG4_MULTIPLE</t>
  </si>
  <si>
    <t>MN_KMDA0_S_FULP_AN_CIPH_BST_JTG_ELB_ALLFRV_SI_ELBLONG_CIOG4</t>
  </si>
  <si>
    <t>MNELBISIM_MULTIPLE</t>
  </si>
  <si>
    <t>MN_KMDA0_S_FULP_AN_CIPH_BST_JTG_ELB_ALLFRV_SI_ELB_ISIM</t>
  </si>
  <si>
    <t>ACIPHY_L5L4_SELECT</t>
  </si>
  <si>
    <t>ACIPHY_AUXTRIM_FUSE_PREWRITE_CAL</t>
  </si>
  <si>
    <t>ACIPHY_AUXTRIM_FUSE_READ_CAL</t>
  </si>
  <si>
    <t>ACIPHY_L5L6_SELECT</t>
  </si>
  <si>
    <t>ACIPHYAUXTRIMTXIMPSWP_MULTIPLE</t>
  </si>
  <si>
    <t>PP_KMDA0_S_FULP_AN_RXCM_MEA_JTG_VMX_ALLFRV_SI_AUXTRIM_TXIMPSWP</t>
  </si>
  <si>
    <t>PP_KMDA0_S_FULP_AN_RXCM_MEA_JTG_VMX_ALLFRV_SI_CMN_CMNVOLT</t>
  </si>
  <si>
    <t>PP_KMDA0_S_FULP_AN_RXPH_MEA_JTG_FUN_ALLFRV_SI_SHM_REGRDWR</t>
  </si>
  <si>
    <t>PP_KMDA0_S_FULP_AN_RXPH_MEA_JTG_VMX_ALLFRV_SI_RXDAC_MONO</t>
  </si>
  <si>
    <t>ODDELB2P7_MULTIPLE</t>
  </si>
  <si>
    <t>PP_KMDA0_S_FULP_AN_RXPH_BST_JTG_ELB_ALLFRV_SI_ODD_ELB2P7</t>
  </si>
  <si>
    <t>EVENELB2P7_MULTIPLE</t>
  </si>
  <si>
    <t>PP_KMDA0_S_FULP_AN_RXPH_BST_JTG_ELB_ALLFRV_SI_EVEN_ELB2P7</t>
  </si>
  <si>
    <t>ODDELB5P4_MULTIPLE</t>
  </si>
  <si>
    <t>PP_KMDA0_S_FULP_AN_RXPH_BST_JTG_ELB_ALLFRV_SI_ODD_ELB5P4</t>
  </si>
  <si>
    <t>EVENELB5P4_MULTIPLE</t>
  </si>
  <si>
    <t>PP_KMDA0_S_FULP_AN_RXPH_BST_JTG_ELB_ALLFRV_SI_EVEN_ELB5P4</t>
  </si>
  <si>
    <t>ODDELB9P6_MULTIPLE</t>
  </si>
  <si>
    <t>PP_KMDA0_S_FULP_AN_RXPH_BST_JTG_ELB_ALLFRV_SI_ODD_ELB9P6</t>
  </si>
  <si>
    <t>EVENELB9P6_MULTIPLE</t>
  </si>
  <si>
    <t>PP_KMDA0_S_FULP_AN_RXPH_BST_JTG_ELB_ALLFRV_SI_EVEN_ELB9P6</t>
  </si>
  <si>
    <t>ODDELB14P0_MULTIPLE</t>
  </si>
  <si>
    <t>PP_KMDA0_S_FULP_AN_RXPH_BST_JTG_ELB_ALLFRV_SI_ODD_ELB14P0</t>
  </si>
  <si>
    <t>EVENELB14P0_MULTIPLE</t>
  </si>
  <si>
    <t>PP_KMDA0_S_FULP_AN_RXPH_BST_JTG_ELB_ALLFRV_SI_EVEN_ELB14P0</t>
  </si>
  <si>
    <t>ODDPWRELB2P7_MULTIPLE</t>
  </si>
  <si>
    <t>PP_KMDA0_S_FULP_AN_RXPH_BST_JTG_ELB_ALLFRV_SI_ODDPWR_ELB2P7</t>
  </si>
  <si>
    <t>EVENPWRELB2P7_MULTIPLE</t>
  </si>
  <si>
    <t>PP_KMDA0_S_FULP_AN_RXPH_BST_JTG_ELB_ALLFRV_SI_EVENPWR_ELB2P7</t>
  </si>
  <si>
    <t>ODDPWRELB5P4_MULTIPLE</t>
  </si>
  <si>
    <t>PP_KMDA0_S_FULP_AN_RXPH_BST_JTG_ELB_ALLFRV_SI_ODDPWR_ELB5P4</t>
  </si>
  <si>
    <t>EVENPWRELB5P4_MULTIPLE</t>
  </si>
  <si>
    <t>PP_KMDA0_S_FULP_AN_RXPH_BST_JTG_ELB_ALLFRV_SI_EVENPWR_ELB5P4</t>
  </si>
  <si>
    <t>ODDPWRELB9P6_MULTIPLE</t>
  </si>
  <si>
    <t>PP_KMDA0_S_FULP_AN_RXPH_BST_JTG_ELB_ALLFRV_SI_ODDPWR_ELB9P6</t>
  </si>
  <si>
    <t>EVENPWRELB9P6_MULTIPLE</t>
  </si>
  <si>
    <t>PP_KMDA0_S_FULP_AN_RXPH_BST_JTG_ELB_ALLFRV_SI_EVENPWR_ELB9P6</t>
  </si>
  <si>
    <t>ODDPWRELB14P0_MULTIPLE</t>
  </si>
  <si>
    <t>PP_KMDA0_S_FULP_AN_RXPH_BST_JTG_ELB_ALLFRV_SI_ODDPWR_ELB14P0</t>
  </si>
  <si>
    <t>EVENPWRELB14P0_MULTIPLE</t>
  </si>
  <si>
    <t>PP_KMDA0_S_FULP_AN_RXPH_BST_JTG_ELB_ALLFRV_SI_EVENPWR_ELB14P0</t>
  </si>
  <si>
    <t>PP_KMDA0_S_FULP_AN_RXRX_MEA_JTG_VMX_ALLFRV_SI_RX_RIMPMEAS</t>
  </si>
  <si>
    <t>RXODDFCNT9P6_MULTIPLE</t>
  </si>
  <si>
    <t>PP_KMDA0_S_FULP_AN_RXRX_MEA_JTG_VMX_ALLFRV_SI_RXODD_FCNT9P6</t>
  </si>
  <si>
    <t>RXEVENFCNT9P6_MULTIPLE</t>
  </si>
  <si>
    <t>PP_KMDA0_S_FULP_AN_RXRX_MEA_JTG_VMX_ALLFRV_SI_RXEVEN_FCNT9P6</t>
  </si>
  <si>
    <t>RXODDFCNT14P0_MULTIPLE</t>
  </si>
  <si>
    <t>PP_KMDA0_S_FULP_AN_RXRX_MEA_JTG_VMX_ALLFRV_SI_RXODD_FCNT14P0</t>
  </si>
  <si>
    <t>RXEVENFCNT14P0_MULTIPLE</t>
  </si>
  <si>
    <t>PP_KMDA0_S_FULP_AN_RXRX_MEA_JTG_VMX_ALLFRV_SI_RXEVEN_FCNT14P0</t>
  </si>
  <si>
    <t>AUXAUXTERM_MULTIPLE</t>
  </si>
  <si>
    <t>PP_KMDA0_S_FULP_AN_RXAX_MEA_JTG_VMX_ALLFRV_SI_AUX_AUXTERM</t>
  </si>
  <si>
    <t>AUXRXSEN50LH_MULTIPLE</t>
  </si>
  <si>
    <t>PP_KMDA0_S_FULP_AN_RXAX_MEA_JTG_VMX_ALLFRV_SI_AUX_RXSEN</t>
  </si>
  <si>
    <t>AUXRXSEN100LH_MULTIPLE</t>
  </si>
  <si>
    <t>MNODDLONGELB2P7_MULTIPLE</t>
  </si>
  <si>
    <t>MN_KMDA0_S_FULP_AN_RXPH_BST_JTG_ELB_ALLFRV_SI_ODDLONG_ELB2P7</t>
  </si>
  <si>
    <t>MNEVENLONGELB2P7_MULTIPLE</t>
  </si>
  <si>
    <t>MN_KMDA0_S_FULP_AN_RXPH_BST_JTG_ELB_ALLFRV_SI_EVENLONG_ELB2P7</t>
  </si>
  <si>
    <t>MNODDLONGELB5P4_MULTIPLE</t>
  </si>
  <si>
    <t>MN_KMDA0_S_FULP_AN_RXPH_BST_JTG_ELB_ALLFRV_SI_ODDLONG_ELB5P4</t>
  </si>
  <si>
    <t>MNEVENLONGELB5P4_MULTIPLE</t>
  </si>
  <si>
    <t>MN_KMDA0_S_FULP_AN_RXPH_BST_JTG_ELB_ALLFRV_SI_EVENLONG_ELB5P4</t>
  </si>
  <si>
    <t>MNODDLONGELB9P6_MULTIPLE</t>
  </si>
  <si>
    <t>MN_KMDA0_S_FULP_AN_RXPH_BST_JTG_ELB_ALLFRV_SI_ODDLONG_ELB9P6</t>
  </si>
  <si>
    <t>MNEVENLONGELB9P6_MULTIPLE</t>
  </si>
  <si>
    <t>MN_KMDA0_S_FULP_AN_RXPH_BST_JTG_ELB_ALLFRV_SI_EVENLONG_ELB9P6</t>
  </si>
  <si>
    <t>MNODDLONGELB14P0_MULTIPLE</t>
  </si>
  <si>
    <t>MN_KMDA0_S_FULP_AN_RXPH_BST_JTG_ELB_ALLFRV_SI_ODDLONG_ELB14P0</t>
  </si>
  <si>
    <t>MNEVENLONGELB14P0_MULTIPLE</t>
  </si>
  <si>
    <t>MN_KMDA0_S_FULP_AN_RXPH_BST_JTG_ELB_ALLFRV_SI_EVENLONG_ELB14P0</t>
  </si>
  <si>
    <t>MN_KMDA0_S_FULP_AN_RXRX_MEA_JTG_FRQ_ALLFRV_SI_RX_DCOBISWP</t>
  </si>
  <si>
    <t>MNRXDCOBISWPE_MULTIPLE</t>
  </si>
  <si>
    <t>MN_KMDA0_S_FULP_AN_RXRX_MEA_JTG_FRQ_ALLFRV_SI_RX_DCOCRSWP</t>
  </si>
  <si>
    <t>MNRXDCOCRSWPE_MULTIPLE</t>
  </si>
  <si>
    <t>MN_KMDA0_S_FULP_AN_RXRX_MEA_JTG_FRQ_ALLFRV_SI_RX_DCOFNSWP</t>
  </si>
  <si>
    <t>MNRXDCOFNSWPE_MULTIPLE</t>
  </si>
  <si>
    <t>MNRXDACRNGEVEN_MULTIPLE</t>
  </si>
  <si>
    <t>MN_KMDA0_S_FULP_AN_RXRX_MEA_JTG_VMX_ALLFRV_SI_RXDAC_RNGEVEN</t>
  </si>
  <si>
    <t>MNRXDACRNGODD_MULTIPLE</t>
  </si>
  <si>
    <t>MN_KMDA0_S_FULP_AN_RXRX_MEA_JTG_VMX_ALLFRV_SI_RXDAC_RNGODD</t>
  </si>
  <si>
    <t>L5L6ELB2P7_MULTIPLE</t>
  </si>
  <si>
    <t>PP_KMDA0_S_FULP_AN_RXPH_BST_JTG_ELB_ALLFRV_SI_L5L6_ELB2P7</t>
  </si>
  <si>
    <t>L5L6ELB5P4_MULTIPLE</t>
  </si>
  <si>
    <t>PP_KMDA0_S_FULP_AN_RXPH_BST_JTG_ELB_ALLFRV_SI_L5L6_ELB5P4</t>
  </si>
  <si>
    <t>L5L6ELB9P6_MULTIPLE</t>
  </si>
  <si>
    <t>PP_KMDA0_S_FULP_AN_RXPH_BST_JTG_ELB_ALLFRV_SI_L5L6_ELB9P6</t>
  </si>
  <si>
    <t>L5L6ELB14P0_MULTIPLE</t>
  </si>
  <si>
    <t>PP_KMDA0_S_FULP_AN_RXPH_BST_JTG_ELB_ALLFRV_SI_L5L6_ELB14P0</t>
  </si>
  <si>
    <t>L5L6PWRELB2P7_MULTIPLE</t>
  </si>
  <si>
    <t>PP_KMDA0_S_FULP_AN_RXPH_BST_JTG_ELB_ALLFRV_SI_L5L6PWR_ELB2P7</t>
  </si>
  <si>
    <t>L5L6PWRELB5P4_MULTIPLE</t>
  </si>
  <si>
    <t>PP_KMDA0_S_FULP_AN_RXPH_BST_JTG_ELB_ALLFRV_SI_L5L6PWR_ELB5P4</t>
  </si>
  <si>
    <t>L5L6PWRELB9P6_MULTIPLE</t>
  </si>
  <si>
    <t>PP_KMDA0_S_FULP_AN_RXPH_BST_JTG_ELB_ALLFRV_SI_L5L6PWR_ELB9P6</t>
  </si>
  <si>
    <t>L5L6PWRELB14P0_MULTIPLE</t>
  </si>
  <si>
    <t>PP_KMDA0_S_FULP_AN_RXPH_BST_JTG_ELB_ALLFRV_SI_L5L6PWR_ELB14P0</t>
  </si>
  <si>
    <t>RXL5L6FCNT9P6_MULTIPLE</t>
  </si>
  <si>
    <t>PP_KMDA0_S_FULP_AN_RXRX_MEA_JTG_VMX_ALLFRV_SI_RXL5L6_FCNT9P6</t>
  </si>
  <si>
    <t>RXL5L6FCNT14P0_MULTIPLE</t>
  </si>
  <si>
    <t>PP_KMDA0_S_FULP_AN_RXRX_MEA_JTG_VMX_ALLFRV_SI_RXL5L6_FCNT14P0</t>
  </si>
  <si>
    <t>MNL5L6LONGELB2P7_MULTIPLE</t>
  </si>
  <si>
    <t>MN_KMDA0_S_FULP_AN_RXPH_BST_JTG_ELB_ALLFRV_SI_L5L6LONG_ELB2P7</t>
  </si>
  <si>
    <t>MNL5L6LONGELB5P4_MULTIPLE</t>
  </si>
  <si>
    <t>MN_KMDA0_S_FULP_AN_RXPH_BST_JTG_ELB_ALLFRV_SI_L5L6LONG_ELB5P4</t>
  </si>
  <si>
    <t>MNL5L6LONGELB9P6_MULTIPLE</t>
  </si>
  <si>
    <t>MN_KMDA0_S_FULP_AN_RXPH_BST_JTG_ELB_ALLFRV_SI_L5L6LONG_ELB9P6</t>
  </si>
  <si>
    <t>MNL5L6LONGELB14P0_MULTIPLE</t>
  </si>
  <si>
    <t>MN_KMDA0_S_FULP_AN_RXPH_BST_JTG_ELB_ALLFRV_SI_L5L6LONG_ELB14P0</t>
  </si>
  <si>
    <t>MNRXDACRNGL5L6_MULTIPLE</t>
  </si>
  <si>
    <t>MN_KMDA0_S_FULP_AN_RXRX_MEA_JTG_VMX_ALLFRV_SI_RXDAC_RNGL5L6</t>
  </si>
  <si>
    <t>LPDPTXAUXTRIMAUXTIMP_MULTIPLE</t>
  </si>
  <si>
    <t>PP_KMDA0_S_FULP_AN_TXAX_MEA_JTG_VMX_ALLFRV_SI_AUXRX_AUXTIMP</t>
  </si>
  <si>
    <t>LPDPTX_AUXTRIM_FUSE_PREWRITE_CAL</t>
  </si>
  <si>
    <t>LPDPTX_AUXTRIM_FUSE_READ_CAL</t>
  </si>
  <si>
    <t>AUXTXAUXTMODE_MULTIPLE</t>
  </si>
  <si>
    <t>PP_KMDA0_S_FULP_AN_TXAX_MEA_JTG_VMX_ALLFRV_SI_AUXTX_AUXTMODE</t>
  </si>
  <si>
    <t>PP_KMDA0_S_FULP_AN_TXTX_MEA_JTG_VMX_ALLFRV_SI_TX_TIMPMEAS</t>
  </si>
  <si>
    <t>PP_KMDA0_S_FULP_AN_TXTX_MEA_JTG_VMX_ALLFRV_SI_TXHIZ_LEAK</t>
  </si>
  <si>
    <t>TXSWING_MULTIPLE</t>
  </si>
  <si>
    <t>PP_KMDA0_S_FULP_AN_TXTX_MEA_JTG_VMX_ALLFRV_SI_TX_SWING</t>
  </si>
  <si>
    <t>TXPLB_MULTIPLE</t>
  </si>
  <si>
    <t>PP_KMDA0_S_FULP_AN_TXTX_MEA_JTG_FUN_ALLFRV_SI_TX_PLB</t>
  </si>
  <si>
    <t>TXFREQ_MULTIPLE</t>
  </si>
  <si>
    <t>PP_KMDA0_S_FULP_AN_TXTX_MEA_JTG_FRQ_ALLFRV_SI_TX_FREQ</t>
  </si>
  <si>
    <t>PP_KMDA0_S_FULP_AN_TXTX_MEA_JTG_VMX_ALLFRV_SI_TX_CMFC</t>
  </si>
  <si>
    <t>TXSHMCHECK_MULTIPLE</t>
  </si>
  <si>
    <t>PP_KMDA0_S_FULP_AN_TXTX_MEA_JTG_FUN_ALLFRV_SI_TX_SHMCHECK</t>
  </si>
  <si>
    <t>PP_KMDA0_S_FULP_AN_TXCM_MEA_JTG_VMX_ALLFRV_SI_CMN_CMNVOLT</t>
  </si>
  <si>
    <t>AUXRXAUXRMODEHI_MULTIPLE</t>
  </si>
  <si>
    <t>PP_KMDA0_S_FULP_AN_TXAX_MEA_JTG_VMX_ALLFRV_SI_AUXRX_AUXRMODE</t>
  </si>
  <si>
    <t>AUXRXAUXRMODELO_MULTIPLE</t>
  </si>
  <si>
    <t>MNTXCLKMON_MULTIPLE</t>
  </si>
  <si>
    <t>MN_KMDA0_S_FULP_AN_TXTX_MEA_JTG_VMX_ALLFRV_SI_TX_CLKMON</t>
  </si>
  <si>
    <t>PP_KMDA0_S_FULP_AN_P5CM_MEA_JTG_VMX_ALLFRV_SI_CMN_CMNVOLT</t>
  </si>
  <si>
    <t>PP_KMDA0_S_FULP_AN_P5TX_MEA_JTG_VMX_ALLFRV_SI_TX_TIMPMEAS</t>
  </si>
  <si>
    <t>PP_KMDA0_S_FULP_AN_P5TX_MEA_JTG_VMX_ALLFRV_SI_TX_HIZLEAK</t>
  </si>
  <si>
    <t>PP_KMDA0_S_FULP_AN_P5TX_MEA_JTG_VMX_ALLFRV_SI_TX_SWING</t>
  </si>
  <si>
    <t>PP_KMDA0_S_FULP_AN_P5TX_MEA_JTG_FRQ_ALLFRV_SI_TX_FREQ</t>
  </si>
  <si>
    <t>PP_KMDA0_S_FULP_AN_P5TX_MEA_JTG_VMX_ALLFRV_SI_TX_RXDET</t>
  </si>
  <si>
    <t>PP_KMDA0_S_FULP_AN_P5TX_MEA_JTG_VMX_ALLFRV_SI_TX_CMFC</t>
  </si>
  <si>
    <t>PP_KMDA0_S_FULP_AN_P5RX_MEA_JTG_VMX_ALLFRV_SI_RX_RIMPMEAS</t>
  </si>
  <si>
    <t>PP_KMDA0_S_FULP_AN_P5RX_MEA_JTG_VMX_ALLFRV_SI_RX_EIHILO</t>
  </si>
  <si>
    <t>ELBG1_MULTIPLE</t>
  </si>
  <si>
    <t>PP_KMDA0_S_FULP_AN_P5PH_BST_JTG_ELB_ALLFRV_SI_ELB_G1</t>
  </si>
  <si>
    <t>ELBG1ROM_MULTIPLE</t>
  </si>
  <si>
    <t>PP_KMDA0_S_FULP_AN_P5PH_BST_JTG_ELB_ALLFRV_SI_ELB_G1ROM</t>
  </si>
  <si>
    <t>ELBG2_MULTIPLE</t>
  </si>
  <si>
    <t>PP_KMDA0_S_FULP_AN_P5PH_BST_JTG_ELB_ALLFRV_SI_ELB_G2</t>
  </si>
  <si>
    <t>ELBG3_MULTIPLE</t>
  </si>
  <si>
    <t>PP_KMDA0_S_FULP_AN_P5PH_BST_JTG_ELB_ALLFRV_SI_ELB_G3</t>
  </si>
  <si>
    <t>ELBG4NOEQ_MULTIPLE</t>
  </si>
  <si>
    <t>PP_KMDA0_S_FULP_AN_P5PH_BST_JTG_ELB_ALLFRV_SI_ELB_G4NOEQ</t>
  </si>
  <si>
    <t>ELBG4_MULTIPLE</t>
  </si>
  <si>
    <t>PP_KMDA0_S_FULP_AN_P5PH_BST_JTG_ELB_ALLFRV_SI_ELB_G4</t>
  </si>
  <si>
    <t>ELBG5_MULTIPLE</t>
  </si>
  <si>
    <t>PP_KMDA0_S_FULP_AN_P5PH_BST_JTG_ELB_ALLFRV_SI_ELB_G5</t>
  </si>
  <si>
    <t>PWRG1_MULTIPLE</t>
  </si>
  <si>
    <t>PP_KMDA0_S_FULP_AN_P5PH_MEA_JTG_IMX_ALLFRV_SI_PWR_G1</t>
  </si>
  <si>
    <t>PWRG2_MULTIPLE</t>
  </si>
  <si>
    <t>PP_KMDA0_S_FULP_AN_P5PH_MEA_JTG_IMX_ALLFRV_SI_PWR_G2</t>
  </si>
  <si>
    <t>PWRG3_MULTIPLE</t>
  </si>
  <si>
    <t>PP_KMDA0_S_FULP_AN_P5PH_MEA_JTG_IMX_ALLFRV_SI_PWR_G3</t>
  </si>
  <si>
    <t>PWRG4_MULTIPLE</t>
  </si>
  <si>
    <t>PP_KMDA0_S_FULP_AN_P5PH_MEA_JTG_IMX_ALLFRV_SI_PWR_G4</t>
  </si>
  <si>
    <t>PWRG5_MULTIPLE</t>
  </si>
  <si>
    <t>PP_KMDA0_S_FULP_AN_P5PH_MEA_JTG_IMX_ALLFRV_SI_PWR_G5</t>
  </si>
  <si>
    <t>PP_KMDA0_S_FULP_AN_P5PH_MEA_JTG_FUN_ALLFRV_SI_SHM_REGRDWR</t>
  </si>
  <si>
    <t>PP_KMDA0_S_FULP_AN_P5PH_MEA_JTG_VMX_ALLFRV_SI_RXDAC_MONO</t>
  </si>
  <si>
    <t>MNRXDACRNG_MULTIPLE</t>
  </si>
  <si>
    <t>MN_KMDA0_S_FULP_AN_P5RX_MEA_JTG_VMX_ALLFRV_SI_RX_DACRNG</t>
  </si>
  <si>
    <t>MNRXISIMEAS_MULTIPLE</t>
  </si>
  <si>
    <t>MN_KMDA0_S_FULP_AN_P5RX_MEA_JTG_VMX_ALLFRV_SI_RX_ISIMEAS</t>
  </si>
  <si>
    <t>MNELBLONGG1_MULTIPLE</t>
  </si>
  <si>
    <t>MN_KMDA0_S_FULP_AN_P5PH_BST_JTG_ELB_ALLFRV_SI_ELBLONG_G1</t>
  </si>
  <si>
    <t>MNELBLONGG2_MULTIPLE</t>
  </si>
  <si>
    <t>MN_KMDA0_S_FULP_AN_P5PH_BST_JTG_ELB_ALLFRV_SI_ELBLONG_G2</t>
  </si>
  <si>
    <t>MNELBLONGG3_MULTIPLE</t>
  </si>
  <si>
    <t>MN_KMDA0_S_FULP_AN_P5PH_BST_JTG_ELB_ALLFRV_SI_ELBLONG_G3</t>
  </si>
  <si>
    <t>MNELBLONGG4_MULTIPLE</t>
  </si>
  <si>
    <t>MN_KMDA0_S_FULP_AN_P5PH_BST_JTG_ELB_ALLFRV_SI_ELBLONG_G4</t>
  </si>
  <si>
    <t>MNELBLONGG5_MULTIPLE</t>
  </si>
  <si>
    <t>MN_KMDA0_S_FULP_AN_P5PH_BST_JTG_ELB_ALLFRV_SI_ELBLONG_G5</t>
  </si>
  <si>
    <t>MN_KMDA0_S_FULP_AN_P5RX_MEA_JTG_FRQ_ALLFRV_SI_RX_DCOBISWP</t>
  </si>
  <si>
    <t>MN_KMDA0_S_FULP_AN_P5RX_MEA_JTG_FRQ_ALLFRV_SI_RX_DCOCRSWP</t>
  </si>
  <si>
    <t>MN_KMDA0_S_FULP_AN_P5RX_MEA_JTG_FRQ_ALLFRV_SI_RX_DCOFNSWP</t>
  </si>
  <si>
    <t>NTST1_MULTIPLE</t>
  </si>
  <si>
    <t>PP_KMDA0_S_FULP_AN_P5MT_PFF_JTG_COD_ALLFRV_SI_NTS_T1</t>
  </si>
  <si>
    <t>NTSX_PCIE5NTSX_T1_FUSE_PREWRITE_CAL</t>
  </si>
  <si>
    <t>NTSX_PCIE5NTSX_T1_FUSE_READ_CAL</t>
  </si>
  <si>
    <t>REFBUFAUXTRIMAUXTIMP</t>
  </si>
  <si>
    <t>PP_KMDA0_S_FULP_AN_AB00_MEA_JTG_VMX_ALLFRV_SI_CALIB_T1PN</t>
  </si>
  <si>
    <t>SWNGT7</t>
  </si>
  <si>
    <t>PP_KMDA0_S_FULP_AN_AB00_MEA_JTG_IMX_ALLFRV_SI_SWNG_T7</t>
  </si>
  <si>
    <t>IDDQT01</t>
  </si>
  <si>
    <t>PP_KMDA0_S_FULP_AN_EUSB_MEA_JTG_IMX_ALLFRV_SI_IDDQ_T01</t>
  </si>
  <si>
    <t>UTMIT03</t>
  </si>
  <si>
    <t>PP_KMDA0_S_FULP_AN_EUSB_MEA_JTG_FRQ_ALLFRV_SI_UTMI_T03</t>
  </si>
  <si>
    <t>FSLST04</t>
  </si>
  <si>
    <t>PP_KMDA0_S_FULP_AN_EUSB_BST_JTG_ILB_ALLFRV_SI_FSLS_T04</t>
  </si>
  <si>
    <t>HST06</t>
  </si>
  <si>
    <t>PP_KMDA0_S_FULP_AN_EUSB_BST_JTG_ILB_ALLFRV_SI_HS_T06</t>
  </si>
  <si>
    <t>HSTJT10TERM</t>
  </si>
  <si>
    <t>PP_KMDA0_S_FULP_AN_EUSB_MEA_JTG_VMX_ALLFRV_SI_HSTJ_T10</t>
  </si>
  <si>
    <t>HSTJT10UNTERM</t>
  </si>
  <si>
    <t>HSTKT11TERM</t>
  </si>
  <si>
    <t>PP_KMDA0_S_FULP_AN_EUSB_MEA_JTG_VMX_ALLFRV_SI_HSTK_T11</t>
  </si>
  <si>
    <t>HSTKT11UNTERM</t>
  </si>
  <si>
    <t>HSSE0T12</t>
  </si>
  <si>
    <t>PP_KMDA0_S_FULP_AN_EUSB_MEA_JTG_VMX_ALLFRV_SI_HSSE0_T12</t>
  </si>
  <si>
    <t>SIHSJKT13TTR</t>
  </si>
  <si>
    <t>PP_KMDA0_S_FULP_AN_EUSB_MEA_JTG_IMX_ALLFRV_SI_SIHSJK_T13TTR</t>
  </si>
  <si>
    <t>HSRTMT16</t>
  </si>
  <si>
    <t>PP_KMDA0_S_FULP_AN_EUSB_BST_JTG_ILB_ALLFRV_SI_HSRTM_T16</t>
  </si>
  <si>
    <t>DCSQJT17</t>
  </si>
  <si>
    <t>PP_KMDA0_S_FULP_AN_EUSB_BST_JTG_ILB_ALLFRV_SI_DCSQJ_T17</t>
  </si>
  <si>
    <t>DCSQKT18</t>
  </si>
  <si>
    <t>PP_KMDA0_S_FULP_AN_EUSB_BST_JTG_ILB_ALLFRV_SI_DCSQK_T18</t>
  </si>
  <si>
    <t>DCSQSE0T17SQ</t>
  </si>
  <si>
    <t>PP_KMDA0_S_FULP_AN_EUSB_BST_JTG_ILB_ALLFRV_SI_DCSQSE0_T17SQ</t>
  </si>
  <si>
    <t>FSLST19TTR</t>
  </si>
  <si>
    <t>PP_KMDA0_S_FULP_AN_EUSB_MEA_JTG_VMX_ALLFRV_SI_FSLS_T19TTR</t>
  </si>
  <si>
    <t>FSLSZT25TTR</t>
  </si>
  <si>
    <t>PP_KMDA0_S_FULP_AN_EUSB_MEA_JTG_IMX_ALLFRV_SI_FSLSZ_T25TTR</t>
  </si>
  <si>
    <t>FLSRSET29P1</t>
  </si>
  <si>
    <t>PP_KMDA0_S_FULP_AN_EUSB_BST_JTG_ILB_ALLFRV_SI_FLSRSE_T29P1</t>
  </si>
  <si>
    <t>FLSRSET29P2</t>
  </si>
  <si>
    <t>PP_KMDA0_S_FULP_AN_EUSB_BST_JTG_ILB_ALLFRV_SI_FLSRSE_T29P2</t>
  </si>
  <si>
    <t>FLSRSET29P3</t>
  </si>
  <si>
    <t>PP_KMDA0_S_FULP_AN_EUSB_BST_JTG_ILB_ALLFRV_SI_FLSRSE_T29P3</t>
  </si>
  <si>
    <t>FLSRSET29P4</t>
  </si>
  <si>
    <t>PP_KMDA0_S_FULP_AN_EUSB_BST_JTG_ILB_ALLFRV_SI_FLSRSE_T29P4</t>
  </si>
  <si>
    <t>RPDT30</t>
  </si>
  <si>
    <t>PP_KMDA0_S_FULP_AN_EUSB_MEA_JTG_IMX_ALLFRV_SI_RPD_T30</t>
  </si>
  <si>
    <t>PSSE0T40</t>
  </si>
  <si>
    <t>PP_KMDA0_S_FULP_AN_EUSB_BST_JTG_ILB_ALLFRV_SI_PSSE0_T40</t>
  </si>
  <si>
    <t>PSSE1T41</t>
  </si>
  <si>
    <t>PP_KMDA0_S_FULP_AN_EUSB_BST_JTG_ILB_ALLFRV_SI_PSSE1_T41</t>
  </si>
  <si>
    <t>PGPMLBAET42</t>
  </si>
  <si>
    <t>PP_KMDA0_S_FULP_AN_EUSB_BST_JTG_ILB_ALLFRV_SI_PGPMLBAE_T42</t>
  </si>
  <si>
    <t>PGPMLBAET43</t>
  </si>
  <si>
    <t>PP_KMDA0_S_FULP_AN_EUSB_BST_JTG_ILB_ALLFRV_SI_PGPMLBAE_T43</t>
  </si>
  <si>
    <t>PGPMLBNET44</t>
  </si>
  <si>
    <t>PP_KMDA0_S_FULP_AN_EUSB_BST_JTG_ILB_ALLFRV_SI_PGPMLBNE_T44</t>
  </si>
  <si>
    <t>HSMAXDENT50</t>
  </si>
  <si>
    <t>PP_KMDA0_S_FULP_AN_EUSB_MEA_JTG_FRQ_ALLFRV_SI_HSMAXDEN_T50</t>
  </si>
  <si>
    <t>FSMAXDENT51</t>
  </si>
  <si>
    <t>PP_KMDA0_S_FULP_AN_EUSB_MEA_JTG_FRQ_ALLFRV_SI_FSMAXDEN_T51</t>
  </si>
  <si>
    <t>MNCALT15</t>
  </si>
  <si>
    <t>MN_KMDA0_S_FULP_AN_EUSB_BST_JTG_ILB_ALLFRV_SI_CAL_T15</t>
  </si>
  <si>
    <t>MNATBT33</t>
  </si>
  <si>
    <t>MN_KMDA0_S_FULP_AN_EUSB_MEA_JTG_IMX_ALLFRV_SI_ATB_T33</t>
  </si>
  <si>
    <t>AMP_FUSE_PREWRITE_CAL_VREGCAL</t>
  </si>
  <si>
    <t>AMP_FUSE_READ_CAL_VREGCAL</t>
  </si>
  <si>
    <t>MNUCSDMCAL</t>
  </si>
  <si>
    <t>MN_KMDA0_S_FULP_AN_DDIO_MEA_JTG_LP5_MDX009_SI_UCSDM_CAL</t>
  </si>
  <si>
    <t>MNUCSDMMEAS</t>
  </si>
  <si>
    <t>MN_KMDA0_S_FULP_AN_DDIO_MEA_JTG_LP5_MDX009_SI_UCSDM_MEAS</t>
  </si>
  <si>
    <t>INTSMD1CA</t>
  </si>
  <si>
    <t>PP_KMDA0_S_FULP_AN_DDIO_ILB_JTG_LP5_MDX001_SI_INTS_MD1CA</t>
  </si>
  <si>
    <t>INTSMD2CA</t>
  </si>
  <si>
    <t>PP_KMDA0_S_FULP_AN_DDIO_ILB_JTG_LP5_MDX002_SI_INTS_MD2CA</t>
  </si>
  <si>
    <t>INTSMD3CA</t>
  </si>
  <si>
    <t>PP_KMDA0_S_FULP_AN_DDIO_ILB_JTG_LP5_MDX003_SI_INTS_MD3CA</t>
  </si>
  <si>
    <t>INTSMD4CA</t>
  </si>
  <si>
    <t>PP_KMDA0_S_FULP_AN_DDIO_ILB_JTG_LP5_MDX004_SI_INTS_MD4CA</t>
  </si>
  <si>
    <t>INTSMD5CA</t>
  </si>
  <si>
    <t>PP_KMDA0_S_FULP_AN_DDIO_ILB_JTG_LP5_MDX005_SI_INTS_MD5CA</t>
  </si>
  <si>
    <t>INTSMD6CA</t>
  </si>
  <si>
    <t>PP_KMDA0_S_FULP_AN_DDIO_ILB_JTG_LP5_MDX006_SI_INTS_MD6CA</t>
  </si>
  <si>
    <t>INTSMD7CA</t>
  </si>
  <si>
    <t>PP_KMDA0_S_FULP_AN_DDIO_ILB_JTG_LP5_MDX007_SI_INTS_MD7CA</t>
  </si>
  <si>
    <t>INTSMD8CA</t>
  </si>
  <si>
    <t>PP_KMDA0_S_FULP_AN_DDIO_ILB_JTG_LP5_MDX008_SI_INTS_MD8CA</t>
  </si>
  <si>
    <t>INTSMD9CA</t>
  </si>
  <si>
    <t>PP_KMDA0_S_FULP_AN_DDIO_ILB_JTG_LP5_MDX009_SI_INTS_MD9CA</t>
  </si>
  <si>
    <t>INTS11P6MCA</t>
  </si>
  <si>
    <t>PP_KMDA0_S_FULP_AN_DDIO_ILB_JTG_LP5_MDX009_SI_INTS_11P6MCA</t>
  </si>
  <si>
    <t>INTSMD1DQW</t>
  </si>
  <si>
    <t>PP_KMDA0_S_FULP_AN_DDIO_ILB_JTG_LP5_MDX001_SI_INTS_MD1DQW</t>
  </si>
  <si>
    <t>INTSMD2DQW</t>
  </si>
  <si>
    <t>PP_KMDA0_S_FULP_AN_DDIO_ILB_JTG_LP5_MDX002_SI_INTS_MD2DQW</t>
  </si>
  <si>
    <t>INTSMD3DQW</t>
  </si>
  <si>
    <t>PP_KMDA0_S_FULP_AN_DDIO_ILB_JTG_LP5_MDX003_SI_INTS_MD3DQW</t>
  </si>
  <si>
    <t>INTSMD4DQW</t>
  </si>
  <si>
    <t>PP_KMDA0_S_FULP_AN_DDIO_ILB_JTG_LP5_MDX004_SI_INTS_MD4DQW</t>
  </si>
  <si>
    <t>INTSMD5DQW</t>
  </si>
  <si>
    <t>PP_KMDA0_S_FULP_AN_DDIO_ILB_JTG_LP5_MDX005_SI_INTS_MD5DQW</t>
  </si>
  <si>
    <t>INTSMD6DQW</t>
  </si>
  <si>
    <t>PP_KMDA0_S_FULP_AN_DDIO_ILB_JTG_LP5_MDX006_SI_INTS_MD6DQW</t>
  </si>
  <si>
    <t>INTSMD7DQW</t>
  </si>
  <si>
    <t>PP_KMDA0_S_FULP_AN_DDIO_ILB_JTG_LP5_MDX007_SI_INTS_MD7DQW</t>
  </si>
  <si>
    <t>INTSMD8DQW</t>
  </si>
  <si>
    <t>PP_KMDA0_S_FULP_AN_DDIO_ILB_JTG_LP5_MDX008_SI_INTS_MD8DQW</t>
  </si>
  <si>
    <t>INTSMD9DQW</t>
  </si>
  <si>
    <t>PP_KMDA0_S_FULP_AN_DDIO_ILB_JTG_LP5_MDX009_SI_INTS_MD9DQW</t>
  </si>
  <si>
    <t>INTS11P6MDQW</t>
  </si>
  <si>
    <t>PP_KMDA0_S_FULP_AN_DDIO_ILB_JTG_LP5_MDX009_SI_INTS_11P6MDQW</t>
  </si>
  <si>
    <t>INTSMD1DQR</t>
  </si>
  <si>
    <t>PP_KMDA0_S_FULP_AN_DDIO_ILB_JTG_LP5_MDX001_SI_INTS_MD1DQR</t>
  </si>
  <si>
    <t>INTSMD2DQR</t>
  </si>
  <si>
    <t>PP_KMDA0_S_FULP_AN_DDIO_ILB_JTG_LP5_MDX002_SI_INTS_MD2DQR</t>
  </si>
  <si>
    <t>INTSMD3DQR</t>
  </si>
  <si>
    <t>PP_KMDA0_S_FULP_AN_DDIO_ILB_JTG_LP5_MDX003_SI_INTS_MD3DQR</t>
  </si>
  <si>
    <t>INTSMD4DQR</t>
  </si>
  <si>
    <t>PP_KMDA0_S_FULP_AN_DDIO_ILB_JTG_LP5_MDX004_SI_INTS_MD4DQR</t>
  </si>
  <si>
    <t>INTSMD5DQR</t>
  </si>
  <si>
    <t>PP_KMDA0_S_FULP_AN_DDIO_ILB_JTG_LP5_MDX005_SI_INTS_MD5DQR</t>
  </si>
  <si>
    <t>INTSMD6DQR</t>
  </si>
  <si>
    <t>PP_KMDA0_S_FULP_AN_DDIO_ILB_JTG_LP5_MDX006_SI_INTS_MD6DQR</t>
  </si>
  <si>
    <t>INTSMD7DQR</t>
  </si>
  <si>
    <t>PP_KMDA0_S_FULP_AN_DDIO_ILB_JTG_LP5_MDX007_SI_INTS_MD7DQR</t>
  </si>
  <si>
    <t>INTSMD8DQR</t>
  </si>
  <si>
    <t>PP_KMDA0_S_FULP_AN_DDIO_ILB_JTG_LP5_MDX008_SI_INTS_MD8DQR</t>
  </si>
  <si>
    <t>INTSMD9DQR</t>
  </si>
  <si>
    <t>PP_KMDA0_S_FULP_AN_DDIO_ILB_JTG_LP5_MDX009_SI_INTS_MD9DQR</t>
  </si>
  <si>
    <t>INTS11P6MDQR</t>
  </si>
  <si>
    <t>PP_KMDA0_S_FULP_AN_DDIO_ILB_JTG_LP5_MDX009_SI_INTS_11P6MDQR</t>
  </si>
  <si>
    <t>INTECCMD9DQW</t>
  </si>
  <si>
    <t>PP_KMDA0_S_FULP_AN_DDIO_ILB_JTG_LP5_MDX009_SI_INTECC_MD9DQW</t>
  </si>
  <si>
    <t>INTECC11P6MDQW</t>
  </si>
  <si>
    <t>PP_KMDA0_S_FULP_AN_DDIO_ILB_JTG_LP5_MDX009_SI_INTECC_11P6MDQW</t>
  </si>
  <si>
    <t>ZCALMD1ZCAL</t>
  </si>
  <si>
    <t>PP_KMDA0_S_FULP_AN_DDIO_CAL_JTG_LP5_MDX001_SI_ZCAL_MD1ZCAL</t>
  </si>
  <si>
    <t>ZCALMD2ZCAL</t>
  </si>
  <si>
    <t>PP_KMDA0_S_FULP_AN_DDIO_CAL_JTG_LP5_MDX002_SI_ZCAL_MD2ZCAL</t>
  </si>
  <si>
    <t>ZCALMD3ZCAL</t>
  </si>
  <si>
    <t>PP_KMDA0_S_FULP_AN_DDIO_CAL_JTG_LP5_MDX003_SI_ZCAL_MD3ZCAL</t>
  </si>
  <si>
    <t>ZCALMD4ZCAL</t>
  </si>
  <si>
    <t>PP_KMDA0_S_FULP_AN_DDIO_CAL_JTG_LP5_MDX004_SI_ZCAL_MD4ZCAL</t>
  </si>
  <si>
    <t>ZCALMD5ZCAL</t>
  </si>
  <si>
    <t>PP_KMDA0_S_FULP_AN_DDIO_CAL_JTG_LP5_MDX005_SI_ZCAL_MD5ZCAL</t>
  </si>
  <si>
    <t>ZCALMD6ZCAL</t>
  </si>
  <si>
    <t>PP_KMDA0_S_FULP_AN_DDIO_CAL_JTG_LP5_MDX006_SI_ZCAL_MD6ZCAL</t>
  </si>
  <si>
    <t>ZCALMD7ZCAL</t>
  </si>
  <si>
    <t>PP_KMDA0_S_FULP_AN_DDIO_CAL_JTG_LP5_MDX007_SI_ZCAL_MD7ZCAL</t>
  </si>
  <si>
    <t>ZCALMD8ZCAL</t>
  </si>
  <si>
    <t>PP_KMDA0_S_FULP_AN_DDIO_CAL_JTG_LP5_MDX008_SI_ZCAL_MD8ZCAL</t>
  </si>
  <si>
    <t>ZCALMD9ZCAL</t>
  </si>
  <si>
    <t>PP_KMDA0_S_FULP_AN_DDIO_CAL_JTG_LP5_MDX009_SI_ZCAL_MD9ZCAL</t>
  </si>
  <si>
    <t>BCODESMD1MDLL</t>
  </si>
  <si>
    <t>PP_KMDA0_S_FULP_AN_DDIO_DLL_JTG_LP5_MDX001_SI_BCODES_MD1MDLL</t>
  </si>
  <si>
    <t>BCODESMD2MDLL</t>
  </si>
  <si>
    <t>PP_KMDA0_S_FULP_AN_DDIO_DLL_JTG_LP5_MDX002_SI_BCODES_MD2MDLL</t>
  </si>
  <si>
    <t>BCODESMD3MDLL</t>
  </si>
  <si>
    <t>PP_KMDA0_S_FULP_AN_DDIO_DLL_JTG_LP5_MDX003_SI_BCODES_MD3MDLL</t>
  </si>
  <si>
    <t>BCODESMD4MDLL</t>
  </si>
  <si>
    <t>PP_KMDA0_S_FULP_AN_DDIO_DLL_JTG_LP5_MDX004_SI_BCODES_MD4MDLL</t>
  </si>
  <si>
    <t>BCODESMD5MDLL</t>
  </si>
  <si>
    <t>PP_KMDA0_S_FULP_AN_DDIO_DLL_JTG_LP5_MDX005_SI_BCODES_MD5MDLL</t>
  </si>
  <si>
    <t>BCODESMD6MDLL</t>
  </si>
  <si>
    <t>PP_KMDA0_S_FULP_AN_DDIO_DLL_JTG_LP5_MDX006_SI_BCODES_MD6MDLL</t>
  </si>
  <si>
    <t>BCODESMD7MDLL</t>
  </si>
  <si>
    <t>PP_KMDA0_S_FULP_AN_DDIO_DLL_JTG_LP5_MDX007_SI_BCODES_MD7MDLL</t>
  </si>
  <si>
    <t>BCODESMD8MDLL</t>
  </si>
  <si>
    <t>PP_KMDA0_S_FULP_AN_DDIO_DLL_JTG_LP5_MDX008_SI_BCODES_MD8MDLL</t>
  </si>
  <si>
    <t>BCODESMD9MDLL</t>
  </si>
  <si>
    <t>PP_KMDA0_S_FULP_AN_DDIO_DLL_JTG_LP5_MDX009_SI_BCODES_MD9MDLL</t>
  </si>
  <si>
    <t>RXOFSTMD9RXOF</t>
  </si>
  <si>
    <t>PP_KMDA0_S_FULP_AN_DDIO_OFS_JTG_LP5_MDX009_SI_RXOFST_MD9RXOF</t>
  </si>
  <si>
    <t>RDGATEMD1RDGT</t>
  </si>
  <si>
    <t>PP_KMDA0_S_FULP_AN_DDIO_RDG_JTG_LP5_MDX001_SI_RDGATE_MD1RDGT</t>
  </si>
  <si>
    <t>RDGATEMD2RDGT</t>
  </si>
  <si>
    <t>PP_KMDA0_S_FULP_AN_DDIO_RDG_JTG_LP5_MDX002_SI_RDGATE_MD2RDGT</t>
  </si>
  <si>
    <t>HIGHZMD9HIZ</t>
  </si>
  <si>
    <t>PP_KMDA0_S_FULP_AN_DDIO_HIZ_JTG_LP5_MDX009_SI_HIGHZ_MD9HIZ</t>
  </si>
  <si>
    <t>RESETMD0RST</t>
  </si>
  <si>
    <t>PP_KMDA0_S_FULP_AN_DDIO_RST_JTG_LP5_MDX000_SI_RESET_MD0RST</t>
  </si>
  <si>
    <t>RESETMD9RST</t>
  </si>
  <si>
    <t>PP_KMDA0_S_FULP_AN_DDIO_RST_JTG_LP5_MDX009_SI_RESET_MD9RST</t>
  </si>
  <si>
    <t>NPJSMD9LDO</t>
  </si>
  <si>
    <t>NPJSMD9ST</t>
  </si>
  <si>
    <t>NPJSMD9JTR</t>
  </si>
  <si>
    <t>NTSXT1</t>
  </si>
  <si>
    <t>PP_KMDA0_S_FULP_AN_DDIO_PFF_JTG_LP5_ALLFRV_SI_NTSX_T1</t>
  </si>
  <si>
    <t>MNINTSFRMD9CA</t>
  </si>
  <si>
    <t>MN_KMDA0_S_FULP_AN_DDIO_ILB_JTG_LP5_MDX009_SI_INTSFR_MD9CA</t>
  </si>
  <si>
    <t>MNINTSFRMD9DQW</t>
  </si>
  <si>
    <t>MN_KMDA0_S_FULP_AN_DDIO_ILB_JTG_LP5_MDX009_SI_INTSFR_MD9DQW</t>
  </si>
  <si>
    <t>MNINTECCMD1DQW</t>
  </si>
  <si>
    <t>MN_KMDA0_S_FULP_AN_DDIO_ILB_JTG_LP5_MDX001_SI_INTECC_MD1DQW</t>
  </si>
  <si>
    <t>MNINTECCMD2DQW</t>
  </si>
  <si>
    <t>MN_KMDA0_S_FULP_AN_DDIO_ILB_JTG_LP5_MDX002_SI_INTECC_MD2DQW</t>
  </si>
  <si>
    <t>MNINTECCMD3DQW</t>
  </si>
  <si>
    <t>MN_KMDA0_S_FULP_AN_DDIO_ILB_JTG_LP5_MDX003_SI_INTECC_MD3DQW</t>
  </si>
  <si>
    <t>MNINTECCMD4DQW</t>
  </si>
  <si>
    <t>MN_KMDA0_S_FULP_AN_DDIO_ILB_JTG_LP5_MDX004_SI_INTECC_MD4DQW</t>
  </si>
  <si>
    <t>MNINTECCMD5DQW</t>
  </si>
  <si>
    <t>MN_KMDA0_S_FULP_AN_DDIO_ILB_JTG_LP5_MDX005_SI_INTECC_MD5DQW</t>
  </si>
  <si>
    <t>MNINTECCMD6DQW</t>
  </si>
  <si>
    <t>MN_KMDA0_S_FULP_AN_DDIO_ILB_JTG_LP5_MDX006_SI_INTECC_MD6DQW</t>
  </si>
  <si>
    <t>MNINTECCMD7DQW</t>
  </si>
  <si>
    <t>MN_KMDA0_S_FULP_AN_DDIO_ILB_JTG_LP5_MDX007_SI_INTECC_MD7DQW</t>
  </si>
  <si>
    <t>MNINTECCMD8DQW</t>
  </si>
  <si>
    <t>MN_KMDA0_S_FULP_AN_DDIO_ILB_JTG_LP5_MDX008_SI_INTECC_MD8DQW</t>
  </si>
  <si>
    <t>MNRXOFSTMD2RXOF</t>
  </si>
  <si>
    <t>MN_KMDA0_S_FULP_AN_DDIO_OFS_JTG_LP5_MDX002_SI_RXOFST_MD2RXOF</t>
  </si>
  <si>
    <t>MNRXOFSTMD3RXOF</t>
  </si>
  <si>
    <t>MN_KMDA0_S_FULP_AN_DDIO_OFS_JTG_LP5_MDX003_SI_RXOFST_MD3RXOF</t>
  </si>
  <si>
    <t>MNRXOFSTMD4RXOF</t>
  </si>
  <si>
    <t>MN_KMDA0_S_FULP_AN_DDIO_OFS_JTG_LP5_MDX004_SI_RXOFST_MD4RXOF</t>
  </si>
  <si>
    <t>MNRXOFSTMD5RXOF</t>
  </si>
  <si>
    <t>MN_KMDA0_S_FULP_AN_DDIO_OFS_JTG_LP5_MDX005_SI_RXOFST_MD5RXOF</t>
  </si>
  <si>
    <t>MNRXOFSTMD6RXOF</t>
  </si>
  <si>
    <t>MN_KMDA0_S_FULP_AN_DDIO_OFS_JTG_LP5_MDX006_SI_RXOFST_MD6RXOF</t>
  </si>
  <si>
    <t>MNRXOFSTMD7RXOF</t>
  </si>
  <si>
    <t>MN_KMDA0_S_FULP_AN_DDIO_OFS_JTG_LP5_MDX007_SI_RXOFST_MD7RXOF</t>
  </si>
  <si>
    <t>MNRXOFSTMD8RXOF</t>
  </si>
  <si>
    <t>MN_KMDA0_S_FULP_AN_DDIO_OFS_JTG_LP5_MDX008_SI_RXOFST_MD8RXOF</t>
  </si>
  <si>
    <t>MNVOHLMD1VOHL</t>
  </si>
  <si>
    <t>MN_KMDA0_S_FULP_AN_DDIO_MEA_JTG_LP5_MDX001_SI_VOHL_MD1VOHL</t>
  </si>
  <si>
    <t>MNVOHLMD2VOHL</t>
  </si>
  <si>
    <t>MN_KMDA0_S_FULP_AN_DDIO_MEA_JTG_LP5_MDX002_SI_VOHL_MD2VOHL</t>
  </si>
  <si>
    <t>MNVOHLMD3VOHL</t>
  </si>
  <si>
    <t>MN_KMDA0_S_FULP_AN_DDIO_MEA_JTG_LP5_MDX003_SI_VOHL_MD3VOHL</t>
  </si>
  <si>
    <t>MNVOHLMD4VOHL</t>
  </si>
  <si>
    <t>MN_KMDA0_S_FULP_AN_DDIO_MEA_JTG_LP5_MDX004_SI_VOHL_MD4VOHL</t>
  </si>
  <si>
    <t>MNVOHLMD5VOHL</t>
  </si>
  <si>
    <t>MN_KMDA0_S_FULP_AN_DDIO_MEA_JTG_LP5_MDX005_SI_VOHL_MD5VOHL</t>
  </si>
  <si>
    <t>MNVOHLMD6VOHL</t>
  </si>
  <si>
    <t>MN_KMDA0_S_FULP_AN_DDIO_MEA_JTG_LP5_MDX006_SI_VOHL_MD6VOHL</t>
  </si>
  <si>
    <t>MNVOHLMD7VOHL</t>
  </si>
  <si>
    <t>MN_KMDA0_S_FULP_AN_DDIO_MEA_JTG_LP5_MDX007_SI_VOHL_MD7VOHL</t>
  </si>
  <si>
    <t>MNVOHLMD8VOHL</t>
  </si>
  <si>
    <t>MN_KMDA0_S_FULP_AN_DDIO_MEA_JTG_LP5_MDX008_SI_VOHL_MD8VOHL</t>
  </si>
  <si>
    <t>MNVOHLMD9VOHL</t>
  </si>
  <si>
    <t>MN_KMDA0_S_FULP_AN_DDIO_MEA_JTG_LP5_MDX009_SI_VOHL_MD9VOHL</t>
  </si>
  <si>
    <t>LV,HV</t>
  </si>
  <si>
    <t/>
  </si>
  <si>
    <t>RREFVREGCAL</t>
  </si>
  <si>
    <t>PP_KMDA0_S_FULP_AN_DDIO_MEA_JTG_LP5_MDX009_SI_RREF_VREGCAL</t>
  </si>
  <si>
    <t>BV</t>
  </si>
  <si>
    <t>BV_BChk</t>
  </si>
  <si>
    <t>BV,HBV</t>
  </si>
  <si>
    <t>BV_BChk,HBV_BChk</t>
  </si>
  <si>
    <t>LV,HV.NV</t>
  </si>
  <si>
    <t>LV,NV,HV</t>
  </si>
  <si>
    <t>NV,LV,HV</t>
  </si>
  <si>
    <t>ADCDFT_RELAY_OFF_K80_K83</t>
  </si>
  <si>
    <t>Relay_On_AMP_RREF_MEAS</t>
  </si>
  <si>
    <t>Relay_On_AMP_RREF_NORMAL</t>
  </si>
  <si>
    <t>HIP_FailRun</t>
  </si>
  <si>
    <t xml:space="preserve">LV </t>
  </si>
  <si>
    <t>MN_KMDA0_S_FULP_AN_DDIO_NPJ_JTG_LP5_MDX009_SI_NPJS_MD9LDO</t>
  </si>
  <si>
    <t>MN_KMDA0_S_FULP_AN_DDIO_NPJ_JTG_LP5_MDX009_SI_NPJS_MD9ST</t>
  </si>
  <si>
    <t>MN_KMDA0_S_FULP_AN_DDIO_NPJ_JTG_LP5_MDX009_SI_NPJS_MD9JTR</t>
  </si>
  <si>
    <t>PP_KMDA0_S_FULP_AN_AAL6_MEA_JTG_LP5_ALLFRV_SI_LP5FBYP_T4P9G</t>
  </si>
  <si>
    <t>PP_KMDA0_S_FULP_AN_AAL6_MEA_JTG_LP5_ALLFRV_SI_LP5FBYP_T4P1G</t>
  </si>
  <si>
    <t>LP5FBYPT4P9G</t>
  </si>
  <si>
    <t>LP5FBYPT4P1G</t>
  </si>
  <si>
    <t>PP_KMDA0_S_FULP_PW_PTSX_PFF_DAA_PWR_ALLFRV_SI_PWRCHAIN_ACC</t>
  </si>
  <si>
    <t>PP_KMDA0_S_FULP_AN_DDIO_ELB_JTG_LP5_MDX001_SI_EXTS_MD1CA</t>
  </si>
  <si>
    <t>PP_KMDA0_S_FULP_AN_DDIO_ELB_JTG_LP5_MDX001_SI_EXTS_MD1DQWCM</t>
  </si>
  <si>
    <t>PP_KMDA0_S_FULP_AN_DDIO_ELB_JTG_LP5_MDX002_SI_EXTS_MD2DQW</t>
  </si>
  <si>
    <t>PP_KMDA0_S_FULP_AN_DDIO_ELB_JTG_LP5_MDX001_SI_EXTSCMLP_MD1DQR</t>
  </si>
  <si>
    <t>PP_KMDA0_S_FULP_AN_DDIO_ELB_JTG_LP5_MDX001_SI_EXTSCMHP_MD1DQR</t>
  </si>
  <si>
    <t>PP_KMDA0_S_FULP_AN_DDIO_ELB_JTG_LP5_MDX002_SI_EXTS_MD2DQR</t>
  </si>
  <si>
    <t>PP_KMDA0_S_FULP_AN_DDIO_ELB_JTG_LP5_MDX002_SI_EXTSCMHP_MD2DQR</t>
  </si>
  <si>
    <t>PP_KMDA0_S_FULP_AN_DDIO_ELB_JTG_LP5_MDX001_SI_EXTSRXSW_MD1DQW</t>
  </si>
  <si>
    <t>PP_KMDA0_S_FULP_AN_DDIO_ELB_JTG_LP5_MDX002_SI_EXTSRXSW_MD2DQW</t>
  </si>
  <si>
    <t>PP_KMDA0_S_FULP_AN_DDIO_ELB_JTG_LP5_MDX003_SI_EXTSRXSW_MD3DQW</t>
  </si>
  <si>
    <t>PP_KMDA0_S_FULP_AN_DDIO_ELB_JTG_LP5_MDX001_SI_EXTSRXSW_MD1DQR</t>
  </si>
  <si>
    <t>PP_KMDA0_S_FULP_AN_DDIO_ELB_JTG_LP5_MDX002_SI_EXTSRXSW_MD2DQR</t>
  </si>
  <si>
    <t>PP_KMDA0_S_FULP_AN_DDIO_ELB_JTG_LP5_MDX003_SI_EXTSRXSW_MD3DQR</t>
  </si>
  <si>
    <t>MN_KMDA0_S_FULP_AN_DDIO_ELB_JTG_LP5_MDX003_SI_EXTS_MD3DQW</t>
  </si>
  <si>
    <t>MN_KMDA0_S_FULP_AN_DDIO_ELB_JTG_LP5_MDX003_SI_EXTS_MD3DQR</t>
  </si>
  <si>
    <t>EXTSMD1CA</t>
  </si>
  <si>
    <t>EXTSMD2CA</t>
  </si>
  <si>
    <t>EXTSMD1DQWCM</t>
  </si>
  <si>
    <t>EXTSMD2DQW</t>
  </si>
  <si>
    <t>EXTSCMLPMD1DQR</t>
  </si>
  <si>
    <t>EXTSCMLPMD2DQR</t>
  </si>
  <si>
    <t>EXTSMD2DQR</t>
  </si>
  <si>
    <t>EXTSCMHPMD2DQR</t>
  </si>
  <si>
    <t>EXTSMD3DQW</t>
  </si>
  <si>
    <t>EXTSMD3DQR</t>
  </si>
  <si>
    <t>PP_KMDA0_S_FULP_AN_DDIO_ELB_JTG_LP5_MDX002_SI_EXTS_MD2CA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</si>
</sst>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23"/>
      </right>
      <top/>
      <bottom/>
      <diagonal/>
    </border>
  </borders>
  <cellStyleXfs count="12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49" fontId="5" fillId="0" borderId="3"/>
    <xf numFmtId="0" fontId="6" fillId="0" borderId="3"/>
  </cellStyleXfs>
  <cellXfs count="27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1" fillId="3" borderId="2" xfId="5" applyFill="1">
      <alignment horizontal="left" vertical="center"/>
    </xf>
    <xf numFmtId="0" fontId="1" fillId="3" borderId="2" xfId="6" applyFill="1">
      <alignment horizontal="right" vertical="center"/>
    </xf>
    <xf numFmtId="49" fontId="5" fillId="0" borderId="3" xfId="10"/>
    <xf numFmtId="0" fontId="1" fillId="0" borderId="2" xfId="5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4" borderId="2" xfId="6" applyFill="1">
      <alignment horizontal="right" vertical="center"/>
    </xf>
    <xf numFmtId="0" fontId="7" fillId="0" borderId="0" xfId="0" applyFont="1"/>
    <xf numFmtId="0" fontId="3" fillId="0" borderId="1" xfId="8" applyFont="1">
      <alignment horizontal="left" vertical="center"/>
    </xf>
    <xf numFmtId="0" fontId="3" fillId="0" borderId="1" xfId="9" applyFont="1">
      <alignment horizontal="right" vertical="center"/>
    </xf>
    <xf numFmtId="0" fontId="1" fillId="2" borderId="2" xfId="3" applyFont="1">
      <alignment horizontal="center" vertical="center"/>
    </xf>
    <xf numFmtId="0" fontId="7" fillId="0" borderId="3" xfId="11" applyFont="1"/>
    <xf numFmtId="0" fontId="8" fillId="0" borderId="2" xfId="0" applyFont="1" applyBorder="1"/>
    <xf numFmtId="0" fontId="2" fillId="2" borderId="2" xfId="3">
      <alignment horizontal="center" vertical="center"/>
    </xf>
    <xf numFmtId="0" fontId="1" fillId="2" borderId="2" xfId="3" applyFont="1">
      <alignment horizontal="center" vertical="center"/>
    </xf>
    <xf numFmtId="0" fontId="2" fillId="0" borderId="2" xfId="5" applyFont="1">
      <alignment horizontal="left" vertical="center"/>
    </xf>
    <xf numFmtId="0" fontId="9" fillId="0" borderId="2" xfId="0" applyFont="1" applyBorder="1"/>
    <xf numFmtId="0" fontId="2" fillId="0" borderId="2" xfId="6" applyFont="1">
      <alignment horizontal="right" vertical="center"/>
    </xf>
    <xf numFmtId="0" fontId="10" fillId="0" borderId="0" xfId="0" applyFont="1"/>
  </cellXfs>
  <cellStyles count="12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terGroup" xfId="11" xr:uid="{275ED5DE-D7E2-1746-B131-78EB36B9DD95}"/>
    <cellStyle name="terText" xfId="10" xr:uid="{955A8818-9391-3044-A7A5-BBD38EF602AB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3"/>
  <sheetViews>
    <sheetView workbookViewId="0">
      <selection activeCell="W29" sqref="W29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">
      <c r="B4" s="3" t="s">
        <v>13</v>
      </c>
      <c r="C4" s="4">
        <f>ROUND(IO_JTAG!F2/1000, 2)</f>
        <v>1.1200000000000001</v>
      </c>
      <c r="D4" s="4">
        <f>ROUND(IO_JTAG!I2/1000, 2)</f>
        <v>1.1200000000000001</v>
      </c>
      <c r="E4" s="4">
        <f>ROUND(IO_JTAG!L2/1000, 2)</f>
        <v>1.1200000000000001</v>
      </c>
      <c r="F4" s="4">
        <f>ROUND(IO_JTAG!O2/1000, 2)</f>
        <v>1.1200000000000001</v>
      </c>
      <c r="G4" s="4">
        <f t="shared" ref="G4:G41" si="0">SUM(C4:F4)</f>
        <v>4.4800000000000004</v>
      </c>
      <c r="I4" s="4"/>
      <c r="J4" s="4"/>
      <c r="K4" s="4"/>
      <c r="L4" s="4"/>
      <c r="M4" s="4"/>
      <c r="O4" s="5">
        <f>1-(I4-C4)/((M2-1)*C4)</f>
        <v>1.3333333333333333</v>
      </c>
      <c r="P4" s="5">
        <f>1-(J4-D4)/((M2-1)*D4)</f>
        <v>1.3333333333333333</v>
      </c>
      <c r="Q4" s="5">
        <f>1-(K4-E4)/((M2-1)*E4)</f>
        <v>1.3333333333333333</v>
      </c>
      <c r="R4" s="5">
        <f>1-(L4-F4)/((M2-1)*F4)</f>
        <v>1.3333333333333333</v>
      </c>
    </row>
    <row r="5" spans="1:18" x14ac:dyDescent="0.2">
      <c r="B5" s="3" t="s">
        <v>14</v>
      </c>
      <c r="C5" s="4">
        <f>ROUND(ADCDFT!F2/1000, 2)</f>
        <v>0.88</v>
      </c>
      <c r="D5" s="4">
        <f>ROUND(ADCDFT!I2/1000, 2)</f>
        <v>0.88</v>
      </c>
      <c r="E5" s="4">
        <f>ROUND(ADCDFT!L2/1000, 2)</f>
        <v>0.88</v>
      </c>
      <c r="F5" s="4">
        <f>ROUND(ADCDFT!O2/1000, 2)</f>
        <v>0.88</v>
      </c>
      <c r="G5" s="4">
        <f t="shared" si="0"/>
        <v>3.52</v>
      </c>
      <c r="I5" s="4"/>
      <c r="J5" s="4"/>
      <c r="K5" s="4"/>
      <c r="L5" s="4"/>
      <c r="M5" s="4"/>
      <c r="O5" s="5">
        <f>1-(I5-C5)/((M2-1)*C5)</f>
        <v>1.3333333333333333</v>
      </c>
      <c r="P5" s="5">
        <f>1-(J5-D5)/((M2-1)*D5)</f>
        <v>1.3333333333333333</v>
      </c>
      <c r="Q5" s="5">
        <f>1-(K5-E5)/((M2-1)*E5)</f>
        <v>1.3333333333333333</v>
      </c>
      <c r="R5" s="5">
        <f>1-(L5-F5)/((M2-1)*F5)</f>
        <v>1.3333333333333333</v>
      </c>
    </row>
    <row r="6" spans="1:18" x14ac:dyDescent="0.2">
      <c r="B6" s="3" t="s">
        <v>15</v>
      </c>
      <c r="C6" s="4">
        <f>ROUND(MTRICTS!F2/1000, 2)</f>
        <v>7.61</v>
      </c>
      <c r="D6" s="4">
        <f>ROUND(MTRICTS!I2/1000, 2)</f>
        <v>7.61</v>
      </c>
      <c r="E6" s="4">
        <f>ROUND(MTRICTS!L2/1000, 2)</f>
        <v>7.61</v>
      </c>
      <c r="F6" s="4">
        <f>ROUND(MTRICTS!O2/1000, 2)</f>
        <v>7.61</v>
      </c>
      <c r="G6" s="4">
        <f t="shared" si="0"/>
        <v>30.44</v>
      </c>
      <c r="I6" s="4"/>
      <c r="J6" s="4"/>
      <c r="K6" s="4"/>
      <c r="L6" s="4"/>
      <c r="M6" s="4"/>
      <c r="O6" s="5">
        <f>1-(I6-C6)/((M2-1)*C6)</f>
        <v>1.3333333333333333</v>
      </c>
      <c r="P6" s="5">
        <f>1-(J6-D6)/((M2-1)*D6)</f>
        <v>1.3333333333333333</v>
      </c>
      <c r="Q6" s="5">
        <f>1-(K6-E6)/((M2-1)*E6)</f>
        <v>1.3333333333333333</v>
      </c>
      <c r="R6" s="5">
        <f>1-(L6-F6)/((M2-1)*F6)</f>
        <v>1.3333333333333333</v>
      </c>
    </row>
    <row r="7" spans="1:18" x14ac:dyDescent="0.2">
      <c r="B7" s="3" t="s">
        <v>16</v>
      </c>
      <c r="C7" s="4">
        <f>ROUND(NTSE!F2/1000, 2)</f>
        <v>4.3499999999999996</v>
      </c>
      <c r="D7" s="4">
        <f>ROUND(NTSE!I2/1000, 2)</f>
        <v>4.3499999999999996</v>
      </c>
      <c r="E7" s="4">
        <f>ROUND(NTSE!L2/1000, 2)</f>
        <v>4.3499999999999996</v>
      </c>
      <c r="F7" s="4">
        <f>ROUND(NTSE!O2/1000, 2)</f>
        <v>4.3499999999999996</v>
      </c>
      <c r="G7" s="4">
        <f t="shared" si="0"/>
        <v>17.399999999999999</v>
      </c>
      <c r="I7" s="4"/>
      <c r="J7" s="4"/>
      <c r="K7" s="4"/>
      <c r="L7" s="4"/>
      <c r="M7" s="4"/>
      <c r="O7" s="5">
        <f>1-(I7-C7)/((M2-1)*C7)</f>
        <v>1.3333333333333333</v>
      </c>
      <c r="P7" s="5">
        <f>1-(J7-D7)/((M2-1)*D7)</f>
        <v>1.3333333333333333</v>
      </c>
      <c r="Q7" s="5">
        <f>1-(K7-E7)/((M2-1)*E7)</f>
        <v>1.3333333333333333</v>
      </c>
      <c r="R7" s="5">
        <f>1-(L7-F7)/((M2-1)*F7)</f>
        <v>1.3333333333333333</v>
      </c>
    </row>
    <row r="8" spans="1:18" x14ac:dyDescent="0.2">
      <c r="B8" s="3" t="s">
        <v>17</v>
      </c>
      <c r="C8" s="4">
        <f>ROUND(NTSR!F2/1000, 2)</f>
        <v>0.26</v>
      </c>
      <c r="D8" s="4">
        <f>ROUND(NTSR!I2/1000, 2)</f>
        <v>0.26</v>
      </c>
      <c r="E8" s="4">
        <f>ROUND(NTSR!L2/1000, 2)</f>
        <v>0.26</v>
      </c>
      <c r="F8" s="4">
        <f>ROUND(NTSR!O2/1000, 2)</f>
        <v>0.26</v>
      </c>
      <c r="G8" s="4">
        <f t="shared" si="0"/>
        <v>1.04</v>
      </c>
      <c r="I8" s="4"/>
      <c r="J8" s="4"/>
      <c r="K8" s="4"/>
      <c r="L8" s="4"/>
      <c r="M8" s="4"/>
      <c r="O8" s="5">
        <f>1-(I8-C8)/((M2-1)*C8)</f>
        <v>1.3333333333333333</v>
      </c>
      <c r="P8" s="5">
        <f>1-(J8-D8)/((M2-1)*D8)</f>
        <v>1.3333333333333333</v>
      </c>
      <c r="Q8" s="5">
        <f>1-(K8-E8)/((M2-1)*E8)</f>
        <v>1.3333333333333333</v>
      </c>
      <c r="R8" s="5">
        <f>1-(L8-F8)/((M2-1)*F8)</f>
        <v>1.3333333333333333</v>
      </c>
    </row>
    <row r="9" spans="1:18" x14ac:dyDescent="0.2">
      <c r="B9" s="3" t="s">
        <v>18</v>
      </c>
      <c r="C9" s="4">
        <f>ROUND(MISC!F2/1000, 2)</f>
        <v>0.37</v>
      </c>
      <c r="D9" s="4">
        <f>ROUND(MISC!I2/1000, 2)</f>
        <v>0.37</v>
      </c>
      <c r="E9" s="4">
        <f>ROUND(MISC!L2/1000, 2)</f>
        <v>0.37</v>
      </c>
      <c r="F9" s="4">
        <f>ROUND(MISC!O2/1000, 2)</f>
        <v>0.37</v>
      </c>
      <c r="G9" s="4">
        <f t="shared" si="0"/>
        <v>1.48</v>
      </c>
      <c r="I9" s="4"/>
      <c r="J9" s="4"/>
      <c r="K9" s="4"/>
      <c r="L9" s="4"/>
      <c r="M9" s="4"/>
      <c r="O9" s="5">
        <f>1-(I9-C9)/((M2-1)*C9)</f>
        <v>1.3333333333333335</v>
      </c>
      <c r="P9" s="5">
        <f>1-(J9-D9)/((M2-1)*D9)</f>
        <v>1.3333333333333335</v>
      </c>
      <c r="Q9" s="5">
        <f>1-(K9-E9)/((M2-1)*E9)</f>
        <v>1.3333333333333335</v>
      </c>
      <c r="R9" s="5">
        <f>1-(L9-F9)/((M2-1)*F9)</f>
        <v>1.3333333333333335</v>
      </c>
    </row>
    <row r="10" spans="1:18" x14ac:dyDescent="0.2">
      <c r="B10" s="3" t="s">
        <v>19</v>
      </c>
      <c r="C10" s="4">
        <f>ROUND(FRO!F2/1000, 2)</f>
        <v>0.01</v>
      </c>
      <c r="D10" s="4">
        <f>ROUND(FRO!I2/1000, 2)</f>
        <v>0.01</v>
      </c>
      <c r="E10" s="4">
        <f>ROUND(FRO!L2/1000, 2)</f>
        <v>0.01</v>
      </c>
      <c r="F10" s="4">
        <f>ROUND(FRO!O2/1000, 2)</f>
        <v>0.01</v>
      </c>
      <c r="G10" s="4">
        <f t="shared" si="0"/>
        <v>0.04</v>
      </c>
      <c r="I10" s="4"/>
      <c r="J10" s="4"/>
      <c r="K10" s="4"/>
      <c r="L10" s="4"/>
      <c r="M10" s="4"/>
      <c r="O10" s="5">
        <f>1-(I10-C10)/((M2-1)*C10)</f>
        <v>1.3333333333333335</v>
      </c>
      <c r="P10" s="5">
        <f>1-(J10-D10)/((M2-1)*D10)</f>
        <v>1.3333333333333335</v>
      </c>
      <c r="Q10" s="5">
        <f>1-(K10-E10)/((M2-1)*E10)</f>
        <v>1.3333333333333335</v>
      </c>
      <c r="R10" s="5">
        <f>1-(L10-F10)/((M2-1)*F10)</f>
        <v>1.3333333333333335</v>
      </c>
    </row>
    <row r="11" spans="1:18" x14ac:dyDescent="0.2">
      <c r="B11" s="3" t="s">
        <v>20</v>
      </c>
      <c r="C11" s="4">
        <f>ROUND(CPLL!F2/1000, 2)</f>
        <v>3.47</v>
      </c>
      <c r="D11" s="4">
        <f>ROUND(CPLL!I2/1000, 2)</f>
        <v>3.47</v>
      </c>
      <c r="E11" s="4">
        <f>ROUND(CPLL!L2/1000, 2)</f>
        <v>3.47</v>
      </c>
      <c r="F11" s="4">
        <f>ROUND(CPLL!O2/1000, 2)</f>
        <v>3.47</v>
      </c>
      <c r="G11" s="4">
        <f t="shared" si="0"/>
        <v>13.88</v>
      </c>
      <c r="I11" s="4"/>
      <c r="J11" s="4"/>
      <c r="K11" s="4"/>
      <c r="L11" s="4"/>
      <c r="M11" s="4"/>
      <c r="O11" s="5">
        <f>1-(I11-C11)/((M2-1)*C11)</f>
        <v>1.3333333333333335</v>
      </c>
      <c r="P11" s="5">
        <f>1-(J11-D11)/((M2-1)*D11)</f>
        <v>1.3333333333333335</v>
      </c>
      <c r="Q11" s="5">
        <f>1-(K11-E11)/((M2-1)*E11)</f>
        <v>1.3333333333333335</v>
      </c>
      <c r="R11" s="5">
        <f>1-(L11-F11)/((M2-1)*F11)</f>
        <v>1.3333333333333335</v>
      </c>
    </row>
    <row r="12" spans="1:18" x14ac:dyDescent="0.2">
      <c r="B12" s="3" t="s">
        <v>21</v>
      </c>
      <c r="C12" s="4">
        <f>ROUND(ADCLK!F2/1000, 2)</f>
        <v>7.79</v>
      </c>
      <c r="D12" s="4">
        <f>ROUND(ADCLK!I2/1000, 2)</f>
        <v>7.79</v>
      </c>
      <c r="E12" s="4">
        <f>ROUND(ADCLK!L2/1000, 2)</f>
        <v>7.79</v>
      </c>
      <c r="F12" s="4">
        <f>ROUND(ADCLK!O2/1000, 2)</f>
        <v>7.79</v>
      </c>
      <c r="G12" s="4">
        <f t="shared" si="0"/>
        <v>31.16</v>
      </c>
      <c r="I12" s="4"/>
      <c r="J12" s="4"/>
      <c r="K12" s="4"/>
      <c r="L12" s="4"/>
      <c r="M12" s="4"/>
      <c r="O12" s="5">
        <f>1-(I12-C12)/((M2-1)*C12)</f>
        <v>1.3333333333333333</v>
      </c>
      <c r="P12" s="5">
        <f>1-(J12-D12)/((M2-1)*D12)</f>
        <v>1.3333333333333333</v>
      </c>
      <c r="Q12" s="5">
        <f>1-(K12-E12)/((M2-1)*E12)</f>
        <v>1.3333333333333333</v>
      </c>
      <c r="R12" s="5">
        <f>1-(L12-F12)/((M2-1)*F12)</f>
        <v>1.3333333333333333</v>
      </c>
    </row>
    <row r="13" spans="1:18" x14ac:dyDescent="0.2">
      <c r="B13" s="3" t="s">
        <v>22</v>
      </c>
      <c r="C13" s="4">
        <f>ROUND(LAPLL!F2/1000, 2)</f>
        <v>4.58</v>
      </c>
      <c r="D13" s="4">
        <f>ROUND(LAPLL!I2/1000, 2)</f>
        <v>4.58</v>
      </c>
      <c r="E13" s="4">
        <f>ROUND(LAPLL!L2/1000, 2)</f>
        <v>4.58</v>
      </c>
      <c r="F13" s="4">
        <f>ROUND(LAPLL!O2/1000, 2)</f>
        <v>4.58</v>
      </c>
      <c r="G13" s="4">
        <f t="shared" si="0"/>
        <v>18.32</v>
      </c>
      <c r="I13" s="4"/>
      <c r="J13" s="4"/>
      <c r="K13" s="4"/>
      <c r="L13" s="4"/>
      <c r="M13" s="4"/>
      <c r="O13" s="5">
        <f>1-(I13-C13)/((M2-1)*C13)</f>
        <v>1.3333333333333333</v>
      </c>
      <c r="P13" s="5">
        <f>1-(J13-D13)/((M2-1)*D13)</f>
        <v>1.3333333333333333</v>
      </c>
      <c r="Q13" s="5">
        <f>1-(K13-E13)/((M2-1)*E13)</f>
        <v>1.3333333333333333</v>
      </c>
      <c r="R13" s="5">
        <f>1-(L13-F13)/((M2-1)*F13)</f>
        <v>1.3333333333333333</v>
      </c>
    </row>
    <row r="14" spans="1:18" x14ac:dyDescent="0.2">
      <c r="B14" s="3" t="s">
        <v>23</v>
      </c>
      <c r="C14" s="4">
        <f>ROUND(PCIEREFGEN!F2/1000, 2)</f>
        <v>3.74</v>
      </c>
      <c r="D14" s="4">
        <f>ROUND(PCIEREFGEN!I2/1000, 2)</f>
        <v>3.74</v>
      </c>
      <c r="E14" s="4">
        <f>ROUND(PCIEREFGEN!L2/1000, 2)</f>
        <v>3.74</v>
      </c>
      <c r="F14" s="4">
        <f>ROUND(PCIEREFGEN!O2/1000, 2)</f>
        <v>3.74</v>
      </c>
      <c r="G14" s="4">
        <f t="shared" si="0"/>
        <v>14.96</v>
      </c>
      <c r="I14" s="4"/>
      <c r="J14" s="4"/>
      <c r="K14" s="4"/>
      <c r="L14" s="4"/>
      <c r="M14" s="4"/>
      <c r="O14" s="5">
        <f>1-(I14-C14)/((M2-1)*C14)</f>
        <v>1.3333333333333333</v>
      </c>
      <c r="P14" s="5">
        <f>1-(J14-D14)/((M2-1)*D14)</f>
        <v>1.3333333333333333</v>
      </c>
      <c r="Q14" s="5">
        <f>1-(K14-E14)/((M2-1)*E14)</f>
        <v>1.3333333333333333</v>
      </c>
      <c r="R14" s="5">
        <f>1-(L14-F14)/((M2-1)*F14)</f>
        <v>1.3333333333333333</v>
      </c>
    </row>
    <row r="15" spans="1:18" x14ac:dyDescent="0.2">
      <c r="B15" s="3" t="s">
        <v>24</v>
      </c>
      <c r="C15" s="4">
        <f>ROUND(PCIE5CMN!F2/1000, 2)</f>
        <v>0.84</v>
      </c>
      <c r="D15" s="4">
        <f>ROUND(PCIE5CMN!I2/1000, 2)</f>
        <v>0.84</v>
      </c>
      <c r="E15" s="4">
        <f>ROUND(PCIE5CMN!L2/1000, 2)</f>
        <v>0.84</v>
      </c>
      <c r="F15" s="4">
        <f>ROUND(PCIE5CMN!O2/1000, 2)</f>
        <v>0.84</v>
      </c>
      <c r="G15" s="4">
        <f t="shared" si="0"/>
        <v>3.36</v>
      </c>
      <c r="I15" s="4"/>
      <c r="J15" s="4"/>
      <c r="K15" s="4"/>
      <c r="L15" s="4"/>
      <c r="M15" s="4"/>
      <c r="O15" s="5">
        <f>1-(I15-C15)/((M2-1)*C15)</f>
        <v>1.3333333333333333</v>
      </c>
      <c r="P15" s="5">
        <f>1-(J15-D15)/((M2-1)*D15)</f>
        <v>1.3333333333333333</v>
      </c>
      <c r="Q15" s="5">
        <f>1-(K15-E15)/((M2-1)*E15)</f>
        <v>1.3333333333333333</v>
      </c>
      <c r="R15" s="5">
        <f>1-(L15-F15)/((M2-1)*F15)</f>
        <v>1.3333333333333333</v>
      </c>
    </row>
    <row r="16" spans="1:18" x14ac:dyDescent="0.2">
      <c r="B16" s="3" t="s">
        <v>25</v>
      </c>
      <c r="C16" s="4">
        <f>ROUND(ACIPHYCMN!F2/1000, 2)</f>
        <v>0.37</v>
      </c>
      <c r="D16" s="4">
        <f>ROUND(ACIPHYCMN!I2/1000, 2)</f>
        <v>0.37</v>
      </c>
      <c r="E16" s="4">
        <f>ROUND(ACIPHYCMN!L2/1000, 2)</f>
        <v>0.37</v>
      </c>
      <c r="F16" s="4">
        <f>ROUND(ACIPHYCMN!O2/1000, 2)</f>
        <v>0.37</v>
      </c>
      <c r="G16" s="4">
        <f t="shared" si="0"/>
        <v>1.48</v>
      </c>
      <c r="I16" s="4"/>
      <c r="J16" s="4"/>
      <c r="K16" s="4"/>
      <c r="L16" s="4"/>
      <c r="M16" s="4"/>
      <c r="O16" s="5">
        <f>1-(I16-C16)/((M2-1)*C16)</f>
        <v>1.3333333333333335</v>
      </c>
      <c r="P16" s="5">
        <f>1-(J16-D16)/((M2-1)*D16)</f>
        <v>1.3333333333333335</v>
      </c>
      <c r="Q16" s="5">
        <f>1-(K16-E16)/((M2-1)*E16)</f>
        <v>1.3333333333333335</v>
      </c>
      <c r="R16" s="5">
        <f>1-(L16-F16)/((M2-1)*F16)</f>
        <v>1.3333333333333335</v>
      </c>
    </row>
    <row r="17" spans="2:18" x14ac:dyDescent="0.2">
      <c r="B17" s="3" t="s">
        <v>26</v>
      </c>
      <c r="C17" s="4">
        <f>ROUND(ACIOPHYCMN!F2/1000, 2)</f>
        <v>0.52</v>
      </c>
      <c r="D17" s="4">
        <f>ROUND(ACIOPHYCMN!I2/1000, 2)</f>
        <v>0.52</v>
      </c>
      <c r="E17" s="4">
        <f>ROUND(ACIOPHYCMN!L2/1000, 2)</f>
        <v>0.52</v>
      </c>
      <c r="F17" s="4">
        <f>ROUND(ACIOPHYCMN!O2/1000, 2)</f>
        <v>0.52</v>
      </c>
      <c r="G17" s="4">
        <f t="shared" si="0"/>
        <v>2.08</v>
      </c>
      <c r="I17" s="4"/>
      <c r="J17" s="4"/>
      <c r="K17" s="4"/>
      <c r="L17" s="4"/>
      <c r="M17" s="4"/>
      <c r="O17" s="5">
        <f>1-(I17-C17)/((M2-1)*C17)</f>
        <v>1.3333333333333333</v>
      </c>
      <c r="P17" s="5">
        <f>1-(J17-D17)/((M2-1)*D17)</f>
        <v>1.3333333333333333</v>
      </c>
      <c r="Q17" s="5">
        <f>1-(K17-E17)/((M2-1)*E17)</f>
        <v>1.3333333333333333</v>
      </c>
      <c r="R17" s="5">
        <f>1-(L17-F17)/((M2-1)*F17)</f>
        <v>1.3333333333333333</v>
      </c>
    </row>
    <row r="18" spans="2:18" x14ac:dyDescent="0.2">
      <c r="B18" s="3" t="s">
        <v>27</v>
      </c>
      <c r="C18" s="4">
        <f>ROUND(LPDPTXCMN!F2/1000, 2)</f>
        <v>0.38</v>
      </c>
      <c r="D18" s="4">
        <f>ROUND(LPDPTXCMN!I2/1000, 2)</f>
        <v>0.38</v>
      </c>
      <c r="E18" s="4">
        <f>ROUND(LPDPTXCMN!L2/1000, 2)</f>
        <v>0.38</v>
      </c>
      <c r="F18" s="4">
        <f>ROUND(LPDPTXCMN!O2/1000, 2)</f>
        <v>0.38</v>
      </c>
      <c r="G18" s="4">
        <f t="shared" si="0"/>
        <v>1.52</v>
      </c>
      <c r="I18" s="4"/>
      <c r="J18" s="4"/>
      <c r="K18" s="4"/>
      <c r="L18" s="4"/>
      <c r="M18" s="4"/>
      <c r="O18" s="5">
        <f>1-(I18-C18)/((M2-1)*C18)</f>
        <v>1.3333333333333333</v>
      </c>
      <c r="P18" s="5">
        <f>1-(J18-D18)/((M2-1)*D18)</f>
        <v>1.3333333333333333</v>
      </c>
      <c r="Q18" s="5">
        <f>1-(K18-E18)/((M2-1)*E18)</f>
        <v>1.3333333333333333</v>
      </c>
      <c r="R18" s="5">
        <f>1-(L18-F18)/((M2-1)*F18)</f>
        <v>1.3333333333333333</v>
      </c>
    </row>
    <row r="19" spans="2:18" x14ac:dyDescent="0.2">
      <c r="B19" s="3" t="s">
        <v>28</v>
      </c>
      <c r="C19" s="4">
        <f>ROUND(AMPCMN!F2/1000, 2)</f>
        <v>1.58</v>
      </c>
      <c r="D19" s="4">
        <f>ROUND(AMPCMN!I2/1000, 2)</f>
        <v>1.58</v>
      </c>
      <c r="E19" s="4">
        <f>ROUND(AMPCMN!L2/1000, 2)</f>
        <v>1.58</v>
      </c>
      <c r="F19" s="4">
        <f>ROUND(AMPCMN!O2/1000, 2)</f>
        <v>1.58</v>
      </c>
      <c r="G19" s="4">
        <f t="shared" si="0"/>
        <v>6.32</v>
      </c>
      <c r="I19" s="4"/>
      <c r="J19" s="4"/>
      <c r="K19" s="4"/>
      <c r="L19" s="4"/>
      <c r="M19" s="4"/>
      <c r="O19" s="5">
        <f>1-(I19-C19)/((M2-1)*C19)</f>
        <v>1.3333333333333333</v>
      </c>
      <c r="P19" s="5">
        <f>1-(J19-D19)/((M2-1)*D19)</f>
        <v>1.3333333333333333</v>
      </c>
      <c r="Q19" s="5">
        <f>1-(K19-E19)/((M2-1)*E19)</f>
        <v>1.3333333333333333</v>
      </c>
      <c r="R19" s="5">
        <f>1-(L19-F19)/((M2-1)*F19)</f>
        <v>1.3333333333333333</v>
      </c>
    </row>
    <row r="20" spans="2:18" x14ac:dyDescent="0.2">
      <c r="B20" s="3" t="s">
        <v>29</v>
      </c>
      <c r="C20" s="4">
        <f>ROUND(PCIEREFPLL!F2/1000, 2)</f>
        <v>1.69</v>
      </c>
      <c r="D20" s="4">
        <f>ROUND(PCIEREFPLL!I2/1000, 2)</f>
        <v>1.69</v>
      </c>
      <c r="E20" s="4">
        <f>ROUND(PCIEREFPLL!L2/1000, 2)</f>
        <v>1.69</v>
      </c>
      <c r="F20" s="4">
        <f>ROUND(PCIEREFPLL!O2/1000, 2)</f>
        <v>1.69</v>
      </c>
      <c r="G20" s="4">
        <f t="shared" si="0"/>
        <v>6.76</v>
      </c>
      <c r="I20" s="4"/>
      <c r="J20" s="4"/>
      <c r="K20" s="4"/>
      <c r="L20" s="4"/>
      <c r="M20" s="4"/>
      <c r="O20" s="5">
        <f>1-(I20-C20)/((M2-1)*C20)</f>
        <v>1.3333333333333333</v>
      </c>
      <c r="P20" s="5">
        <f>1-(J20-D20)/((M2-1)*D20)</f>
        <v>1.3333333333333333</v>
      </c>
      <c r="Q20" s="5">
        <f>1-(K20-E20)/((M2-1)*E20)</f>
        <v>1.3333333333333333</v>
      </c>
      <c r="R20" s="5">
        <f>1-(L20-F20)/((M2-1)*F20)</f>
        <v>1.3333333333333333</v>
      </c>
    </row>
    <row r="21" spans="2:18" x14ac:dyDescent="0.2">
      <c r="B21" s="3" t="s">
        <v>30</v>
      </c>
      <c r="C21" s="4">
        <f>ROUND(PCIEPLL!F2/1000, 2)</f>
        <v>5.38</v>
      </c>
      <c r="D21" s="4">
        <f>ROUND(PCIEPLL!I2/1000, 2)</f>
        <v>5.38</v>
      </c>
      <c r="E21" s="4">
        <f>ROUND(PCIEPLL!L2/1000, 2)</f>
        <v>5.38</v>
      </c>
      <c r="F21" s="4">
        <f>ROUND(PCIEPLL!O2/1000, 2)</f>
        <v>5.38</v>
      </c>
      <c r="G21" s="4">
        <f t="shared" si="0"/>
        <v>21.52</v>
      </c>
      <c r="I21" s="4"/>
      <c r="J21" s="4"/>
      <c r="K21" s="4"/>
      <c r="L21" s="4"/>
      <c r="M21" s="4"/>
      <c r="O21" s="5">
        <f>1-(I21-C21)/((M2-1)*C21)</f>
        <v>1.3333333333333333</v>
      </c>
      <c r="P21" s="5">
        <f>1-(J21-D21)/((M2-1)*D21)</f>
        <v>1.3333333333333333</v>
      </c>
      <c r="Q21" s="5">
        <f>1-(K21-E21)/((M2-1)*E21)</f>
        <v>1.3333333333333333</v>
      </c>
      <c r="R21" s="5">
        <f>1-(L21-F21)/((M2-1)*F21)</f>
        <v>1.3333333333333333</v>
      </c>
    </row>
    <row r="22" spans="2:18" x14ac:dyDescent="0.2">
      <c r="B22" s="3" t="s">
        <v>31</v>
      </c>
      <c r="C22" s="4">
        <f>ROUND(CIOCIOPLL!F2/1000, 2)</f>
        <v>4.74</v>
      </c>
      <c r="D22" s="4">
        <f>ROUND(CIOCIOPLL!I2/1000, 2)</f>
        <v>4.74</v>
      </c>
      <c r="E22" s="4">
        <f>ROUND(CIOCIOPLL!L2/1000, 2)</f>
        <v>4.74</v>
      </c>
      <c r="F22" s="4">
        <f>ROUND(CIOCIOPLL!O2/1000, 2)</f>
        <v>4.74</v>
      </c>
      <c r="G22" s="4">
        <f t="shared" si="0"/>
        <v>18.96</v>
      </c>
      <c r="I22" s="4"/>
      <c r="J22" s="4"/>
      <c r="K22" s="4"/>
      <c r="L22" s="4"/>
      <c r="M22" s="4"/>
      <c r="O22" s="5">
        <f>1-(I22-C22)/((M2-1)*C22)</f>
        <v>1.3333333333333333</v>
      </c>
      <c r="P22" s="5">
        <f>1-(J22-D22)/((M2-1)*D22)</f>
        <v>1.3333333333333333</v>
      </c>
      <c r="Q22" s="5">
        <f>1-(K22-E22)/((M2-1)*E22)</f>
        <v>1.3333333333333333</v>
      </c>
      <c r="R22" s="5">
        <f>1-(L22-F22)/((M2-1)*F22)</f>
        <v>1.3333333333333333</v>
      </c>
    </row>
    <row r="23" spans="2:18" x14ac:dyDescent="0.2">
      <c r="B23" s="3" t="s">
        <v>32</v>
      </c>
      <c r="C23" s="4">
        <f>ROUND(CIODPPLL!F2/1000, 2)</f>
        <v>2.1800000000000002</v>
      </c>
      <c r="D23" s="4">
        <f>ROUND(CIODPPLL!I2/1000, 2)</f>
        <v>2.1800000000000002</v>
      </c>
      <c r="E23" s="4">
        <f>ROUND(CIODPPLL!L2/1000, 2)</f>
        <v>2.1800000000000002</v>
      </c>
      <c r="F23" s="4">
        <f>ROUND(CIODPPLL!O2/1000, 2)</f>
        <v>2.1800000000000002</v>
      </c>
      <c r="G23" s="4">
        <f t="shared" si="0"/>
        <v>8.7200000000000006</v>
      </c>
      <c r="I23" s="4"/>
      <c r="J23" s="4"/>
      <c r="K23" s="4"/>
      <c r="L23" s="4"/>
      <c r="M23" s="4"/>
      <c r="O23" s="5">
        <f>1-(I23-C23)/((M2-1)*C23)</f>
        <v>1.3333333333333333</v>
      </c>
      <c r="P23" s="5">
        <f>1-(J23-D23)/((M2-1)*D23)</f>
        <v>1.3333333333333333</v>
      </c>
      <c r="Q23" s="5">
        <f>1-(K23-E23)/((M2-1)*E23)</f>
        <v>1.3333333333333333</v>
      </c>
      <c r="R23" s="5">
        <f>1-(L23-F23)/((M2-1)*F23)</f>
        <v>1.3333333333333333</v>
      </c>
    </row>
    <row r="24" spans="2:18" x14ac:dyDescent="0.2">
      <c r="B24" s="3" t="s">
        <v>33</v>
      </c>
      <c r="C24" s="4">
        <f>ROUND(LPDPDPPLL!F2/1000, 2)</f>
        <v>2.2400000000000002</v>
      </c>
      <c r="D24" s="4">
        <f>ROUND(LPDPDPPLL!I2/1000, 2)</f>
        <v>2.2400000000000002</v>
      </c>
      <c r="E24" s="4">
        <f>ROUND(LPDPDPPLL!L2/1000, 2)</f>
        <v>2.2400000000000002</v>
      </c>
      <c r="F24" s="4">
        <f>ROUND(LPDPDPPLL!O2/1000, 2)</f>
        <v>2.2400000000000002</v>
      </c>
      <c r="G24" s="4">
        <f t="shared" si="0"/>
        <v>8.9600000000000009</v>
      </c>
      <c r="I24" s="4"/>
      <c r="J24" s="4"/>
      <c r="K24" s="4"/>
      <c r="L24" s="4"/>
      <c r="M24" s="4"/>
      <c r="O24" s="5">
        <f>1-(I24-C24)/((M2-1)*C24)</f>
        <v>1.3333333333333333</v>
      </c>
      <c r="P24" s="5">
        <f>1-(J24-D24)/((M2-1)*D24)</f>
        <v>1.3333333333333333</v>
      </c>
      <c r="Q24" s="5">
        <f>1-(K24-E24)/((M2-1)*E24)</f>
        <v>1.3333333333333333</v>
      </c>
      <c r="R24" s="5">
        <f>1-(L24-F24)/((M2-1)*F24)</f>
        <v>1.3333333333333333</v>
      </c>
    </row>
    <row r="25" spans="2:18" x14ac:dyDescent="0.2">
      <c r="B25" s="3" t="s">
        <v>34</v>
      </c>
      <c r="C25" s="4">
        <f>ROUND(LPDDRPLL!F2/1000, 2)</f>
        <v>7.16</v>
      </c>
      <c r="D25" s="4">
        <f>ROUND(LPDDRPLL!I2/1000, 2)</f>
        <v>7.16</v>
      </c>
      <c r="E25" s="4">
        <f>ROUND(LPDDRPLL!L2/1000, 2)</f>
        <v>7.16</v>
      </c>
      <c r="F25" s="4">
        <f>ROUND(LPDDRPLL!O2/1000, 2)</f>
        <v>7.16</v>
      </c>
      <c r="G25" s="4">
        <f t="shared" si="0"/>
        <v>28.64</v>
      </c>
      <c r="I25" s="4"/>
      <c r="J25" s="4"/>
      <c r="K25" s="4"/>
      <c r="L25" s="4"/>
      <c r="M25" s="4"/>
      <c r="O25" s="5">
        <f>1-(I25-C25)/((M2-1)*C25)</f>
        <v>1.3333333333333333</v>
      </c>
      <c r="P25" s="5">
        <f>1-(J25-D25)/((M2-1)*D25)</f>
        <v>1.3333333333333333</v>
      </c>
      <c r="Q25" s="5">
        <f>1-(K25-E25)/((M2-1)*E25)</f>
        <v>1.3333333333333333</v>
      </c>
      <c r="R25" s="5">
        <f>1-(L25-F25)/((M2-1)*F25)</f>
        <v>1.3333333333333333</v>
      </c>
    </row>
    <row r="26" spans="2:18" x14ac:dyDescent="0.2">
      <c r="B26" s="3" t="s">
        <v>35</v>
      </c>
      <c r="C26" s="4">
        <f>ROUND(HSCSAROSC!F2/1000, 2)</f>
        <v>0.26</v>
      </c>
      <c r="D26" s="4">
        <f>ROUND(HSCSAROSC!I2/1000, 2)</f>
        <v>0.26</v>
      </c>
      <c r="E26" s="4">
        <f>ROUND(HSCSAROSC!L2/1000, 2)</f>
        <v>0.26</v>
      </c>
      <c r="F26" s="4">
        <f>ROUND(HSCSAROSC!O2/1000, 2)</f>
        <v>0.26</v>
      </c>
      <c r="G26" s="4">
        <f t="shared" si="0"/>
        <v>1.04</v>
      </c>
      <c r="I26" s="4"/>
      <c r="J26" s="4"/>
      <c r="K26" s="4"/>
      <c r="L26" s="4"/>
      <c r="M26" s="4"/>
      <c r="O26" s="5">
        <f>1-(I26-C26)/((M2-1)*C26)</f>
        <v>1.3333333333333333</v>
      </c>
      <c r="P26" s="5">
        <f>1-(J26-D26)/((M2-1)*D26)</f>
        <v>1.3333333333333333</v>
      </c>
      <c r="Q26" s="5">
        <f>1-(K26-E26)/((M2-1)*E26)</f>
        <v>1.3333333333333333</v>
      </c>
      <c r="R26" s="5">
        <f>1-(L26-F26)/((M2-1)*F26)</f>
        <v>1.3333333333333333</v>
      </c>
    </row>
    <row r="27" spans="2:18" x14ac:dyDescent="0.2">
      <c r="B27" s="3" t="s">
        <v>36</v>
      </c>
      <c r="C27" s="4">
        <f>ROUND(ULPPLL!F2/1000, 2)</f>
        <v>0.42</v>
      </c>
      <c r="D27" s="4">
        <f>ROUND(ULPPLL!I2/1000, 2)</f>
        <v>0.42</v>
      </c>
      <c r="E27" s="4">
        <f>ROUND(ULPPLL!L2/1000, 2)</f>
        <v>0.42</v>
      </c>
      <c r="F27" s="4">
        <f>ROUND(ULPPLL!O2/1000, 2)</f>
        <v>0.42</v>
      </c>
      <c r="G27" s="4">
        <f t="shared" si="0"/>
        <v>1.68</v>
      </c>
      <c r="I27" s="4"/>
      <c r="J27" s="4"/>
      <c r="K27" s="4"/>
      <c r="L27" s="4"/>
      <c r="M27" s="4"/>
      <c r="O27" s="5">
        <f>1-(I27-C27)/((M2-1)*C27)</f>
        <v>1.3333333333333333</v>
      </c>
      <c r="P27" s="5">
        <f>1-(J27-D27)/((M2-1)*D27)</f>
        <v>1.3333333333333333</v>
      </c>
      <c r="Q27" s="5">
        <f>1-(K27-E27)/((M2-1)*E27)</f>
        <v>1.3333333333333333</v>
      </c>
      <c r="R27" s="5">
        <f>1-(L27-F27)/((M2-1)*F27)</f>
        <v>1.3333333333333333</v>
      </c>
    </row>
    <row r="28" spans="2:18" x14ac:dyDescent="0.2">
      <c r="B28" s="3" t="s">
        <v>37</v>
      </c>
      <c r="C28" s="4">
        <f>ROUND(FLPPLL!F2/1000, 2)</f>
        <v>0.78</v>
      </c>
      <c r="D28" s="4">
        <f>ROUND(FLPPLL!I2/1000, 2)</f>
        <v>0.78</v>
      </c>
      <c r="E28" s="4">
        <f>ROUND(FLPPLL!L2/1000, 2)</f>
        <v>0.78</v>
      </c>
      <c r="F28" s="4">
        <f>ROUND(FLPPLL!O2/1000, 2)</f>
        <v>0.78</v>
      </c>
      <c r="G28" s="4">
        <f t="shared" si="0"/>
        <v>3.12</v>
      </c>
      <c r="I28" s="4"/>
      <c r="J28" s="4"/>
      <c r="K28" s="4"/>
      <c r="L28" s="4"/>
      <c r="M28" s="4"/>
      <c r="O28" s="5">
        <f>1-(I28-C28)/((M2-1)*C28)</f>
        <v>1.3333333333333335</v>
      </c>
      <c r="P28" s="5">
        <f>1-(J28-D28)/((M2-1)*D28)</f>
        <v>1.3333333333333335</v>
      </c>
      <c r="Q28" s="5">
        <f>1-(K28-E28)/((M2-1)*E28)</f>
        <v>1.3333333333333335</v>
      </c>
      <c r="R28" s="5">
        <f>1-(L28-F28)/((M2-1)*F28)</f>
        <v>1.3333333333333335</v>
      </c>
    </row>
    <row r="29" spans="2:18" x14ac:dyDescent="0.2">
      <c r="B29" s="3" t="s">
        <v>38</v>
      </c>
      <c r="C29" s="4">
        <f>ROUND(SEPVMC!F2/1000, 2)</f>
        <v>1.38</v>
      </c>
      <c r="D29" s="4">
        <f>ROUND(SEPVMC!I2/1000, 2)</f>
        <v>1.38</v>
      </c>
      <c r="E29" s="4">
        <f>ROUND(SEPVMC!L2/1000, 2)</f>
        <v>1.38</v>
      </c>
      <c r="F29" s="4">
        <f>ROUND(SEPVMC!O2/1000, 2)</f>
        <v>1.38</v>
      </c>
      <c r="G29" s="4">
        <f t="shared" si="0"/>
        <v>5.52</v>
      </c>
      <c r="I29" s="4"/>
      <c r="J29" s="4"/>
      <c r="K29" s="4"/>
      <c r="L29" s="4"/>
      <c r="M29" s="4"/>
      <c r="O29" s="5">
        <f>1-(I29-C29)/((M2-1)*C29)</f>
        <v>1.3333333333333333</v>
      </c>
      <c r="P29" s="5">
        <f>1-(J29-D29)/((M2-1)*D29)</f>
        <v>1.3333333333333333</v>
      </c>
      <c r="Q29" s="5">
        <f>1-(K29-E29)/((M2-1)*E29)</f>
        <v>1.3333333333333333</v>
      </c>
      <c r="R29" s="5">
        <f>1-(L29-F29)/((M2-1)*F29)</f>
        <v>1.3333333333333333</v>
      </c>
    </row>
    <row r="30" spans="2:18" x14ac:dyDescent="0.2">
      <c r="B30" s="3" t="s">
        <v>39</v>
      </c>
      <c r="C30" s="4">
        <f>ROUND(SEPF2M!F2/1000, 2)</f>
        <v>0.92</v>
      </c>
      <c r="D30" s="4">
        <f>ROUND(SEPF2M!I2/1000, 2)</f>
        <v>0.92</v>
      </c>
      <c r="E30" s="4">
        <f>ROUND(SEPF2M!L2/1000, 2)</f>
        <v>0.92</v>
      </c>
      <c r="F30" s="4">
        <f>ROUND(SEPF2M!O2/1000, 2)</f>
        <v>0.92</v>
      </c>
      <c r="G30" s="4">
        <f t="shared" si="0"/>
        <v>3.68</v>
      </c>
      <c r="I30" s="4"/>
      <c r="J30" s="4"/>
      <c r="K30" s="4"/>
      <c r="L30" s="4"/>
      <c r="M30" s="4"/>
      <c r="O30" s="5">
        <f>1-(I30-C30)/((M2-1)*C30)</f>
        <v>1.3333333333333333</v>
      </c>
      <c r="P30" s="5">
        <f>1-(J30-D30)/((M2-1)*D30)</f>
        <v>1.3333333333333333</v>
      </c>
      <c r="Q30" s="5">
        <f>1-(K30-E30)/((M2-1)*E30)</f>
        <v>1.3333333333333333</v>
      </c>
      <c r="R30" s="5">
        <f>1-(L30-F30)/((M2-1)*F30)</f>
        <v>1.3333333333333333</v>
      </c>
    </row>
    <row r="31" spans="2:18" x14ac:dyDescent="0.2">
      <c r="B31" s="3" t="s">
        <v>40</v>
      </c>
      <c r="C31" s="4">
        <f>ROUND(MIDBIASLDO!F2/1000, 2)</f>
        <v>0.06</v>
      </c>
      <c r="D31" s="4">
        <f>ROUND(MIDBIASLDO!I2/1000, 2)</f>
        <v>0.06</v>
      </c>
      <c r="E31" s="4">
        <f>ROUND(MIDBIASLDO!L2/1000, 2)</f>
        <v>0.06</v>
      </c>
      <c r="F31" s="4">
        <f>ROUND(MIDBIASLDO!O2/1000, 2)</f>
        <v>0.06</v>
      </c>
      <c r="G31" s="4">
        <f t="shared" si="0"/>
        <v>0.24</v>
      </c>
      <c r="I31" s="4"/>
      <c r="J31" s="4"/>
      <c r="K31" s="4"/>
      <c r="L31" s="4"/>
      <c r="M31" s="4"/>
      <c r="O31" s="5">
        <f>1-(I31-C31)/((M2-1)*C31)</f>
        <v>1.3333333333333333</v>
      </c>
      <c r="P31" s="5">
        <f>1-(J31-D31)/((M2-1)*D31)</f>
        <v>1.3333333333333333</v>
      </c>
      <c r="Q31" s="5">
        <f>1-(K31-E31)/((M2-1)*E31)</f>
        <v>1.3333333333333333</v>
      </c>
      <c r="R31" s="5">
        <f>1-(L31-F31)/((M2-1)*F31)</f>
        <v>1.3333333333333333</v>
      </c>
    </row>
    <row r="32" spans="2:18" x14ac:dyDescent="0.2">
      <c r="B32" s="3" t="s">
        <v>41</v>
      </c>
      <c r="C32" s="4">
        <f>ROUND(VMADC!F2/1000, 2)</f>
        <v>0.44</v>
      </c>
      <c r="D32" s="4">
        <f>ROUND(VMADC!I2/1000, 2)</f>
        <v>0.44</v>
      </c>
      <c r="E32" s="4">
        <f>ROUND(VMADC!L2/1000, 2)</f>
        <v>0.44</v>
      </c>
      <c r="F32" s="4">
        <f>ROUND(VMADC!O2/1000, 2)</f>
        <v>0.44</v>
      </c>
      <c r="G32" s="4">
        <f t="shared" si="0"/>
        <v>1.76</v>
      </c>
      <c r="I32" s="4"/>
      <c r="J32" s="4"/>
      <c r="K32" s="4"/>
      <c r="L32" s="4"/>
      <c r="M32" s="4"/>
      <c r="O32" s="5">
        <f>1-(I32-C32)/((M2-1)*C32)</f>
        <v>1.3333333333333333</v>
      </c>
      <c r="P32" s="5">
        <f>1-(J32-D32)/((M2-1)*D32)</f>
        <v>1.3333333333333333</v>
      </c>
      <c r="Q32" s="5">
        <f>1-(K32-E32)/((M2-1)*E32)</f>
        <v>1.3333333333333333</v>
      </c>
      <c r="R32" s="5">
        <f>1-(L32-F32)/((M2-1)*F32)</f>
        <v>1.3333333333333333</v>
      </c>
    </row>
    <row r="33" spans="2:18" x14ac:dyDescent="0.2">
      <c r="B33" s="3" t="s">
        <v>42</v>
      </c>
      <c r="C33" s="4">
        <f>ROUND(ACIOPHY!F2/1000, 2)</f>
        <v>6.41</v>
      </c>
      <c r="D33" s="4">
        <f>ROUND(ACIOPHY!I2/1000, 2)</f>
        <v>6.41</v>
      </c>
      <c r="E33" s="4">
        <f>ROUND(ACIOPHY!L2/1000, 2)</f>
        <v>6.41</v>
      </c>
      <c r="F33" s="4">
        <f>ROUND(ACIOPHY!O2/1000, 2)</f>
        <v>6.41</v>
      </c>
      <c r="G33" s="4">
        <f t="shared" si="0"/>
        <v>25.64</v>
      </c>
      <c r="I33" s="4"/>
      <c r="J33" s="4"/>
      <c r="K33" s="4"/>
      <c r="L33" s="4"/>
      <c r="M33" s="4"/>
      <c r="O33" s="5">
        <f>1-(I33-C33)/((M2-1)*C33)</f>
        <v>1.3333333333333333</v>
      </c>
      <c r="P33" s="5">
        <f>1-(J33-D33)/((M2-1)*D33)</f>
        <v>1.3333333333333333</v>
      </c>
      <c r="Q33" s="5">
        <f>1-(K33-E33)/((M2-1)*E33)</f>
        <v>1.3333333333333333</v>
      </c>
      <c r="R33" s="5">
        <f>1-(L33-F33)/((M2-1)*F33)</f>
        <v>1.3333333333333333</v>
      </c>
    </row>
    <row r="34" spans="2:18" x14ac:dyDescent="0.2">
      <c r="B34" s="3" t="s">
        <v>43</v>
      </c>
      <c r="C34" s="4">
        <f>ROUND(ACIPHY!F2/1000, 2)</f>
        <v>12.69</v>
      </c>
      <c r="D34" s="4">
        <f>ROUND(ACIPHY!I2/1000, 2)</f>
        <v>12.69</v>
      </c>
      <c r="E34" s="4">
        <f>ROUND(ACIPHY!L2/1000, 2)</f>
        <v>12.69</v>
      </c>
      <c r="F34" s="4">
        <f>ROUND(ACIPHY!O2/1000, 2)</f>
        <v>12.69</v>
      </c>
      <c r="G34" s="4">
        <f t="shared" si="0"/>
        <v>50.76</v>
      </c>
      <c r="I34" s="4"/>
      <c r="J34" s="4"/>
      <c r="K34" s="4"/>
      <c r="L34" s="4"/>
      <c r="M34" s="4"/>
      <c r="O34" s="5">
        <f>1-(I34-C34)/((M2-1)*C34)</f>
        <v>1.3333333333333333</v>
      </c>
      <c r="P34" s="5">
        <f>1-(J34-D34)/((M2-1)*D34)</f>
        <v>1.3333333333333333</v>
      </c>
      <c r="Q34" s="5">
        <f>1-(K34-E34)/((M2-1)*E34)</f>
        <v>1.3333333333333333</v>
      </c>
      <c r="R34" s="5">
        <f>1-(L34-F34)/((M2-1)*F34)</f>
        <v>1.3333333333333333</v>
      </c>
    </row>
    <row r="35" spans="2:18" x14ac:dyDescent="0.2">
      <c r="B35" s="3" t="s">
        <v>44</v>
      </c>
      <c r="C35" s="4">
        <f>ROUND(LPDPTX!F2/1000, 2)</f>
        <v>1.05</v>
      </c>
      <c r="D35" s="4">
        <f>ROUND(LPDPTX!I2/1000, 2)</f>
        <v>1.05</v>
      </c>
      <c r="E35" s="4">
        <f>ROUND(LPDPTX!L2/1000, 2)</f>
        <v>1.05</v>
      </c>
      <c r="F35" s="4">
        <f>ROUND(LPDPTX!O2/1000, 2)</f>
        <v>1.05</v>
      </c>
      <c r="G35" s="4">
        <f t="shared" si="0"/>
        <v>4.2</v>
      </c>
      <c r="I35" s="4"/>
      <c r="J35" s="4"/>
      <c r="K35" s="4"/>
      <c r="L35" s="4"/>
      <c r="M35" s="4"/>
      <c r="O35" s="5">
        <f>1-(I35-C35)/((M2-1)*C35)</f>
        <v>1.3333333333333333</v>
      </c>
      <c r="P35" s="5">
        <f>1-(J35-D35)/((M2-1)*D35)</f>
        <v>1.3333333333333333</v>
      </c>
      <c r="Q35" s="5">
        <f>1-(K35-E35)/((M2-1)*E35)</f>
        <v>1.3333333333333333</v>
      </c>
      <c r="R35" s="5">
        <f>1-(L35-F35)/((M2-1)*F35)</f>
        <v>1.3333333333333333</v>
      </c>
    </row>
    <row r="36" spans="2:18" x14ac:dyDescent="0.2">
      <c r="B36" s="3" t="s">
        <v>45</v>
      </c>
      <c r="C36" s="4">
        <f>ROUND(PCIE5!F2/1000, 2)</f>
        <v>7</v>
      </c>
      <c r="D36" s="4">
        <f>ROUND(PCIE5!I2/1000, 2)</f>
        <v>7</v>
      </c>
      <c r="E36" s="4">
        <f>ROUND(PCIE5!L2/1000, 2)</f>
        <v>7</v>
      </c>
      <c r="F36" s="4">
        <f>ROUND(PCIE5!O2/1000, 2)</f>
        <v>7</v>
      </c>
      <c r="G36" s="4">
        <f t="shared" si="0"/>
        <v>28</v>
      </c>
      <c r="I36" s="4"/>
      <c r="J36" s="4"/>
      <c r="K36" s="4"/>
      <c r="L36" s="4"/>
      <c r="M36" s="4"/>
      <c r="O36" s="5">
        <f>1-(I36-C36)/((M2-1)*C36)</f>
        <v>1.3333333333333333</v>
      </c>
      <c r="P36" s="5">
        <f>1-(J36-D36)/((M2-1)*D36)</f>
        <v>1.3333333333333333</v>
      </c>
      <c r="Q36" s="5">
        <f>1-(K36-E36)/((M2-1)*E36)</f>
        <v>1.3333333333333333</v>
      </c>
      <c r="R36" s="5">
        <f>1-(L36-F36)/((M2-1)*F36)</f>
        <v>1.3333333333333333</v>
      </c>
    </row>
    <row r="37" spans="2:18" x14ac:dyDescent="0.2">
      <c r="B37" s="3" t="s">
        <v>46</v>
      </c>
      <c r="C37" s="4">
        <f>ROUND(NTSX!F2/1000, 2)</f>
        <v>0.09</v>
      </c>
      <c r="D37" s="4">
        <f>ROUND(NTSX!I2/1000, 2)</f>
        <v>0.09</v>
      </c>
      <c r="E37" s="4">
        <f>ROUND(NTSX!L2/1000, 2)</f>
        <v>0.09</v>
      </c>
      <c r="F37" s="4">
        <f>ROUND(NTSX!O2/1000, 2)</f>
        <v>0.09</v>
      </c>
      <c r="G37" s="4">
        <f t="shared" si="0"/>
        <v>0.36</v>
      </c>
      <c r="I37" s="4"/>
      <c r="J37" s="4"/>
      <c r="K37" s="4"/>
      <c r="L37" s="4"/>
      <c r="M37" s="4"/>
      <c r="O37" s="5">
        <f>1-(I37-C37)/((M2-1)*C37)</f>
        <v>1.3333333333333333</v>
      </c>
      <c r="P37" s="5">
        <f>1-(J37-D37)/((M2-1)*D37)</f>
        <v>1.3333333333333333</v>
      </c>
      <c r="Q37" s="5">
        <f>1-(K37-E37)/((M2-1)*E37)</f>
        <v>1.3333333333333333</v>
      </c>
      <c r="R37" s="5">
        <f>1-(L37-F37)/((M2-1)*F37)</f>
        <v>1.3333333333333333</v>
      </c>
    </row>
    <row r="38" spans="2:18" x14ac:dyDescent="0.2">
      <c r="B38" s="3" t="s">
        <v>47</v>
      </c>
      <c r="C38" s="4">
        <f>ROUND(PCIEREFBUF!F2/1000, 2)</f>
        <v>0.08</v>
      </c>
      <c r="D38" s="4">
        <f>ROUND(PCIEREFBUF!I2/1000, 2)</f>
        <v>0.08</v>
      </c>
      <c r="E38" s="4">
        <f>ROUND(PCIEREFBUF!L2/1000, 2)</f>
        <v>0.08</v>
      </c>
      <c r="F38" s="4">
        <f>ROUND(PCIEREFBUF!O2/1000, 2)</f>
        <v>0.08</v>
      </c>
      <c r="G38" s="4">
        <f t="shared" si="0"/>
        <v>0.32</v>
      </c>
      <c r="I38" s="4"/>
      <c r="J38" s="4"/>
      <c r="K38" s="4"/>
      <c r="L38" s="4"/>
      <c r="M38" s="4"/>
      <c r="O38" s="5">
        <f>1-(I38-C38)/((M2-1)*C38)</f>
        <v>1.3333333333333335</v>
      </c>
      <c r="P38" s="5">
        <f>1-(J38-D38)/((M2-1)*D38)</f>
        <v>1.3333333333333335</v>
      </c>
      <c r="Q38" s="5">
        <f>1-(K38-E38)/((M2-1)*E38)</f>
        <v>1.3333333333333335</v>
      </c>
      <c r="R38" s="5">
        <f>1-(L38-F38)/((M2-1)*F38)</f>
        <v>1.3333333333333335</v>
      </c>
    </row>
    <row r="39" spans="2:18" x14ac:dyDescent="0.2">
      <c r="B39" s="3" t="s">
        <v>48</v>
      </c>
      <c r="C39" s="4">
        <f>ROUND(EUSB!F2/1000, 2)</f>
        <v>0.11</v>
      </c>
      <c r="D39" s="4">
        <f>ROUND(EUSB!I2/1000, 2)</f>
        <v>0.11</v>
      </c>
      <c r="E39" s="4">
        <f>ROUND(EUSB!L2/1000, 2)</f>
        <v>0.11</v>
      </c>
      <c r="F39" s="4">
        <f>ROUND(EUSB!O2/1000, 2)</f>
        <v>0.11</v>
      </c>
      <c r="G39" s="4">
        <f t="shared" si="0"/>
        <v>0.44</v>
      </c>
      <c r="I39" s="4"/>
      <c r="J39" s="4"/>
      <c r="K39" s="4"/>
      <c r="L39" s="4"/>
      <c r="M39" s="4"/>
      <c r="O39" s="5">
        <f>1-(I39-C39)/((M2-1)*C39)</f>
        <v>1.3333333333333333</v>
      </c>
      <c r="P39" s="5">
        <f>1-(J39-D39)/((M2-1)*D39)</f>
        <v>1.3333333333333333</v>
      </c>
      <c r="Q39" s="5">
        <f>1-(K39-E39)/((M2-1)*E39)</f>
        <v>1.3333333333333333</v>
      </c>
      <c r="R39" s="5">
        <f>1-(L39-F39)/((M2-1)*F39)</f>
        <v>1.3333333333333333</v>
      </c>
    </row>
    <row r="40" spans="2:18" x14ac:dyDescent="0.2">
      <c r="B40" s="3" t="s">
        <v>49</v>
      </c>
      <c r="C40" s="4" t="e">
        <f>ROUND(#REF!/1000, 2)</f>
        <v>#REF!</v>
      </c>
      <c r="D40" s="4" t="e">
        <f>ROUND(#REF!/1000, 2)</f>
        <v>#REF!</v>
      </c>
      <c r="E40" s="4" t="e">
        <f>ROUND(#REF!/1000, 2)</f>
        <v>#REF!</v>
      </c>
      <c r="F40" s="4" t="e">
        <f>ROUND(#REF!/1000, 2)</f>
        <v>#REF!</v>
      </c>
      <c r="G40" s="4" t="e">
        <f t="shared" si="0"/>
        <v>#REF!</v>
      </c>
      <c r="I40" s="4"/>
      <c r="J40" s="4"/>
      <c r="K40" s="4"/>
      <c r="L40" s="4"/>
      <c r="M40" s="4"/>
      <c r="O40" s="5" t="e">
        <f>1-(I40-C40)/((M2-1)*C40)</f>
        <v>#REF!</v>
      </c>
      <c r="P40" s="5" t="e">
        <f>1-(J40-D40)/((M2-1)*D40)</f>
        <v>#REF!</v>
      </c>
      <c r="Q40" s="5" t="e">
        <f>1-(K40-E40)/((M2-1)*E40)</f>
        <v>#REF!</v>
      </c>
      <c r="R40" s="5" t="e">
        <f>1-(L40-F40)/((M2-1)*F40)</f>
        <v>#REF!</v>
      </c>
    </row>
    <row r="41" spans="2:18" x14ac:dyDescent="0.2">
      <c r="B41" s="3" t="s">
        <v>50</v>
      </c>
      <c r="C41" s="4">
        <f>ROUND(AMP!F2/1000, 2)</f>
        <v>8.66</v>
      </c>
      <c r="D41" s="4">
        <f>ROUND(AMP!I2/1000, 2)</f>
        <v>8.66</v>
      </c>
      <c r="E41" s="4">
        <f>ROUND(AMP!L2/1000, 2)</f>
        <v>8.66</v>
      </c>
      <c r="F41" s="4">
        <f>ROUND(AMP!O2/1000, 2)</f>
        <v>8.66</v>
      </c>
      <c r="G41" s="4">
        <f t="shared" si="0"/>
        <v>34.64</v>
      </c>
      <c r="I41" s="4"/>
      <c r="J41" s="4"/>
      <c r="K41" s="4"/>
      <c r="L41" s="4"/>
      <c r="M41" s="4"/>
      <c r="O41" s="5">
        <f>1-(I41-C41)/((M2-1)*C41)</f>
        <v>1.3333333333333333</v>
      </c>
      <c r="P41" s="5">
        <f>1-(J41-D41)/((M2-1)*D41)</f>
        <v>1.3333333333333333</v>
      </c>
      <c r="Q41" s="5">
        <f>1-(K41-E41)/((M2-1)*E41)</f>
        <v>1.3333333333333333</v>
      </c>
      <c r="R41" s="5">
        <f>1-(L41-F41)/((M2-1)*F41)</f>
        <v>1.3333333333333333</v>
      </c>
    </row>
    <row r="43" spans="2:18" ht="21" x14ac:dyDescent="0.2">
      <c r="B43" s="1" t="s">
        <v>51</v>
      </c>
      <c r="C43" s="6" t="e">
        <f>SUM(C4:C41)</f>
        <v>#REF!</v>
      </c>
      <c r="D43" s="6" t="e">
        <f>SUM(D4:D41)</f>
        <v>#REF!</v>
      </c>
      <c r="E43" s="6" t="e">
        <f>SUM(E4:E41)</f>
        <v>#REF!</v>
      </c>
      <c r="F43" s="6" t="e">
        <f>SUM(F4:F41)</f>
        <v>#REF!</v>
      </c>
      <c r="G43" s="6" t="e">
        <f>SUM(G4:G41)</f>
        <v>#REF!</v>
      </c>
      <c r="I43" s="6">
        <f>SUM(I4:I41)</f>
        <v>0</v>
      </c>
      <c r="J43" s="6">
        <f>SUM(J4:J41)</f>
        <v>0</v>
      </c>
      <c r="K43" s="6">
        <f>SUM(K4:K41)</f>
        <v>0</v>
      </c>
      <c r="L43" s="6">
        <f>SUM(L4:L41)</f>
        <v>0</v>
      </c>
      <c r="M43" s="6">
        <f>SUM(M4:M41)</f>
        <v>0</v>
      </c>
      <c r="O43" s="7" t="e">
        <f>1-(I43-C43)/((M2-1)*C43)</f>
        <v>#REF!</v>
      </c>
      <c r="P43" s="7" t="e">
        <f>1-(J43-D43)/((M2-1)*D43)</f>
        <v>#REF!</v>
      </c>
      <c r="Q43" s="7" t="e">
        <f>1-(K43-E43)/((M2-1)*E43)</f>
        <v>#REF!</v>
      </c>
      <c r="R43" s="7" t="e">
        <f>1-(L43-F43)/((M2-1)*F43)</f>
        <v>#REF!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MTRICTS!A1" display="MTRICTS" xr:uid="{00000000-0004-0000-0000-000002000000}"/>
    <hyperlink ref="B7" location="NTSE!A1" display="NTSE" xr:uid="{00000000-0004-0000-0000-000003000000}"/>
    <hyperlink ref="B8" location="NTSR!A1" display="NTSR" xr:uid="{00000000-0004-0000-0000-000004000000}"/>
    <hyperlink ref="B9" location="MISC!A1" display="MISC" xr:uid="{00000000-0004-0000-0000-000005000000}"/>
    <hyperlink ref="B10" location="FRO!A1" display="FRO" xr:uid="{00000000-0004-0000-0000-000006000000}"/>
    <hyperlink ref="B11" location="CPLL!A1" display="CPLL" xr:uid="{00000000-0004-0000-0000-000007000000}"/>
    <hyperlink ref="B12" location="ADCLK!A1" display="ADCLK" xr:uid="{00000000-0004-0000-0000-000008000000}"/>
    <hyperlink ref="B13" location="LAPLL!A1" display="LAPLL" xr:uid="{00000000-0004-0000-0000-000009000000}"/>
    <hyperlink ref="B14" location="PCIEREFGEN!A1" display="PCIEREFGEN" xr:uid="{00000000-0004-0000-0000-00000B000000}"/>
    <hyperlink ref="B15" location="PCIE5CMN!A1" display="PCIE5CMN" xr:uid="{00000000-0004-0000-0000-00000C000000}"/>
    <hyperlink ref="B16" location="ACIPHYCMN!A1" display="ACIPHYCMN" xr:uid="{00000000-0004-0000-0000-00000D000000}"/>
    <hyperlink ref="B17" location="ACIOPHYCMN!A1" display="ACIOPHYCMN" xr:uid="{00000000-0004-0000-0000-00000E000000}"/>
    <hyperlink ref="B18" location="LPDPTXCMN!A1" display="LPDPTXCMN" xr:uid="{00000000-0004-0000-0000-00000F000000}"/>
    <hyperlink ref="B19" location="AMPCMN!A1" display="AMPCMN" xr:uid="{00000000-0004-0000-0000-000010000000}"/>
    <hyperlink ref="B20" location="PCIEREFPLL!A1" display="PCIEREFPLL" xr:uid="{00000000-0004-0000-0000-000011000000}"/>
    <hyperlink ref="B21" location="PCIEPLL!A1" display="PCIEPLL" xr:uid="{00000000-0004-0000-0000-000012000000}"/>
    <hyperlink ref="B22" location="CIOCIOPLL!A1" display="CIOCIOPLL" xr:uid="{00000000-0004-0000-0000-000013000000}"/>
    <hyperlink ref="B23" location="CIODPPLL!A1" display="CIODPPLL" xr:uid="{00000000-0004-0000-0000-000014000000}"/>
    <hyperlink ref="B24" location="LPDPDPPLL!A1" display="LPDPDPPLL" xr:uid="{00000000-0004-0000-0000-000015000000}"/>
    <hyperlink ref="B25" location="LPDDRPLL!A1" display="LPDDRPLL" xr:uid="{00000000-0004-0000-0000-000016000000}"/>
    <hyperlink ref="B26" location="HSCSAROSC!A1" display="HSCSAROSC" xr:uid="{00000000-0004-0000-0000-000017000000}"/>
    <hyperlink ref="B27" location="ULPPLL!A1" display="ULPPLL" xr:uid="{00000000-0004-0000-0000-000018000000}"/>
    <hyperlink ref="B28" location="FLPPLL!A1" display="FLPPLL" xr:uid="{00000000-0004-0000-0000-000019000000}"/>
    <hyperlink ref="B29" location="SEPVMC!A1" display="SEPVMC" xr:uid="{00000000-0004-0000-0000-00001A000000}"/>
    <hyperlink ref="B30" location="SEPF2M!A1" display="SEPF2M" xr:uid="{00000000-0004-0000-0000-00001B000000}"/>
    <hyperlink ref="B31" location="MIDBIASLDO!A1" display="MIDBIASLDO" xr:uid="{00000000-0004-0000-0000-00001C000000}"/>
    <hyperlink ref="B32" location="VMADC!A1" display="VMADC" xr:uid="{00000000-0004-0000-0000-00001D000000}"/>
    <hyperlink ref="B33" location="ACIOPHY!A1" display="ACIOPHY" xr:uid="{00000000-0004-0000-0000-00001E000000}"/>
    <hyperlink ref="B34" location="ACIPHY!A1" display="ACIPHY" xr:uid="{00000000-0004-0000-0000-00001F000000}"/>
    <hyperlink ref="B35" location="LPDPTX!A1" display="LPDPTX" xr:uid="{00000000-0004-0000-0000-000020000000}"/>
    <hyperlink ref="B36" location="PCIE5!A1" display="PCIE5" xr:uid="{00000000-0004-0000-0000-000021000000}"/>
    <hyperlink ref="B37" location="NTSX!A1" display="NTSX" xr:uid="{00000000-0004-0000-0000-000022000000}"/>
    <hyperlink ref="B38" location="PCIEREFBUF!A1" display="PCIEREFBUF" xr:uid="{00000000-0004-0000-0000-000023000000}"/>
    <hyperlink ref="B39" location="EUSB!A1" display="EUSB" xr:uid="{00000000-0004-0000-0000-000024000000}"/>
    <hyperlink ref="B40" location="DSGRINGS!A1" display="DSGRINGS" xr:uid="{00000000-0004-0000-0000-000025000000}"/>
    <hyperlink ref="B41" location="AMP!A1" display="AMP" xr:uid="{00000000-0004-0000-0000-00002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21"/>
  <sheetViews>
    <sheetView zoomScale="120" zoomScaleNormal="120" workbookViewId="0">
      <selection activeCell="AI38" sqref="AI38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SUM(E5:G21)</f>
        <v>1118.72</v>
      </c>
      <c r="G2" s="6"/>
      <c r="H2" s="6"/>
      <c r="I2" s="6">
        <f>SUM(H5:J21)</f>
        <v>1118.72</v>
      </c>
      <c r="J2" s="6"/>
      <c r="K2" s="6"/>
      <c r="L2" s="6">
        <f>SUM(K5:M21)</f>
        <v>1118.72</v>
      </c>
      <c r="M2" s="6"/>
      <c r="N2" s="6"/>
      <c r="O2" s="6">
        <f>SUM(N5:P21)</f>
        <v>1118.72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13</v>
      </c>
      <c r="B5" s="8" t="s">
        <v>73</v>
      </c>
      <c r="C5" s="8" t="s">
        <v>74</v>
      </c>
      <c r="D5" s="4"/>
      <c r="E5" s="4">
        <v>24.32</v>
      </c>
      <c r="F5" s="4"/>
      <c r="G5" s="4">
        <v>24.75</v>
      </c>
      <c r="H5" s="4">
        <v>24.32</v>
      </c>
      <c r="I5" s="4"/>
      <c r="J5" s="4">
        <v>24.75</v>
      </c>
      <c r="K5" s="4">
        <v>24.32</v>
      </c>
      <c r="L5" s="4"/>
      <c r="M5" s="4">
        <v>24.75</v>
      </c>
      <c r="N5" s="4">
        <v>24.32</v>
      </c>
      <c r="O5" s="4"/>
      <c r="P5" s="4">
        <v>24.75</v>
      </c>
      <c r="Q5" s="4" t="s">
        <v>1775</v>
      </c>
      <c r="R5" s="4" t="s">
        <v>1775</v>
      </c>
      <c r="S5" s="4" t="s">
        <v>63</v>
      </c>
      <c r="T5" s="4" t="s">
        <v>1776</v>
      </c>
      <c r="U5" s="4"/>
      <c r="V5" s="4"/>
      <c r="W5" s="4"/>
      <c r="X5" s="4"/>
    </row>
    <row r="6" spans="1:24" x14ac:dyDescent="0.2">
      <c r="A6" s="8" t="s">
        <v>13</v>
      </c>
      <c r="B6" s="8" t="s">
        <v>75</v>
      </c>
      <c r="C6" s="8" t="s">
        <v>76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1776</v>
      </c>
      <c r="R6" s="4" t="s">
        <v>1775</v>
      </c>
      <c r="S6" s="4" t="s">
        <v>1776</v>
      </c>
      <c r="T6" s="4" t="s">
        <v>1775</v>
      </c>
      <c r="U6" s="4"/>
      <c r="V6" s="4"/>
      <c r="W6" s="4"/>
      <c r="X6" s="4"/>
    </row>
    <row r="7" spans="1:24" x14ac:dyDescent="0.2">
      <c r="A7" s="8" t="s">
        <v>13</v>
      </c>
      <c r="B7" s="8" t="s">
        <v>77</v>
      </c>
      <c r="C7" s="8" t="s">
        <v>78</v>
      </c>
      <c r="D7" s="4"/>
      <c r="E7" s="4">
        <v>43.62</v>
      </c>
      <c r="F7" s="4"/>
      <c r="G7" s="4">
        <v>8.9499999999999993</v>
      </c>
      <c r="H7" s="4">
        <v>43.62</v>
      </c>
      <c r="I7" s="4"/>
      <c r="J7" s="4">
        <v>8.9499999999999993</v>
      </c>
      <c r="K7" s="4">
        <v>43.62</v>
      </c>
      <c r="L7" s="4"/>
      <c r="M7" s="4">
        <v>8.9499999999999993</v>
      </c>
      <c r="N7" s="4">
        <v>43.62</v>
      </c>
      <c r="O7" s="4"/>
      <c r="P7" s="4">
        <v>8.9499999999999993</v>
      </c>
      <c r="Q7" s="4" t="s">
        <v>1775</v>
      </c>
      <c r="R7" s="4" t="s">
        <v>1775</v>
      </c>
      <c r="S7" s="4"/>
      <c r="T7" s="4"/>
      <c r="U7" s="4"/>
      <c r="V7" s="4"/>
      <c r="W7" s="4"/>
      <c r="X7" s="4"/>
    </row>
    <row r="8" spans="1:24" x14ac:dyDescent="0.2">
      <c r="A8" s="8" t="s">
        <v>13</v>
      </c>
      <c r="B8" s="8" t="s">
        <v>79</v>
      </c>
      <c r="C8" s="8" t="s">
        <v>80</v>
      </c>
      <c r="D8" s="4"/>
      <c r="E8" s="4">
        <v>83.85</v>
      </c>
      <c r="F8" s="4"/>
      <c r="G8" s="4">
        <v>83.48</v>
      </c>
      <c r="H8" s="4">
        <v>83.85</v>
      </c>
      <c r="I8" s="4"/>
      <c r="J8" s="4">
        <v>83.48</v>
      </c>
      <c r="K8" s="4">
        <v>83.85</v>
      </c>
      <c r="L8" s="4"/>
      <c r="M8" s="4">
        <v>83.48</v>
      </c>
      <c r="N8" s="4">
        <v>83.85</v>
      </c>
      <c r="O8" s="4"/>
      <c r="P8" s="4">
        <v>83.48</v>
      </c>
      <c r="Q8" s="4" t="s">
        <v>1775</v>
      </c>
      <c r="R8" s="4" t="s">
        <v>1775</v>
      </c>
      <c r="S8" s="4"/>
      <c r="T8" s="4"/>
      <c r="U8" s="4"/>
      <c r="V8" s="4"/>
      <c r="W8" s="4"/>
      <c r="X8" s="4"/>
    </row>
    <row r="9" spans="1:24" x14ac:dyDescent="0.2">
      <c r="A9" s="8" t="s">
        <v>13</v>
      </c>
      <c r="B9" s="8" t="s">
        <v>81</v>
      </c>
      <c r="C9" s="8" t="s">
        <v>82</v>
      </c>
      <c r="D9" s="4"/>
      <c r="E9" s="4"/>
      <c r="F9" s="4"/>
      <c r="G9" s="4">
        <v>159.93</v>
      </c>
      <c r="H9" s="4"/>
      <c r="I9" s="4"/>
      <c r="J9" s="4">
        <v>159.93</v>
      </c>
      <c r="K9" s="4"/>
      <c r="L9" s="4"/>
      <c r="M9" s="4">
        <v>159.93</v>
      </c>
      <c r="N9" s="4"/>
      <c r="O9" s="4"/>
      <c r="P9" s="4">
        <v>159.93</v>
      </c>
      <c r="Q9" s="4" t="s">
        <v>64</v>
      </c>
      <c r="R9" s="4" t="s">
        <v>62</v>
      </c>
      <c r="S9" s="4"/>
      <c r="T9" s="4"/>
      <c r="U9" s="4"/>
      <c r="V9" s="4"/>
      <c r="W9" s="4"/>
      <c r="X9" s="4"/>
    </row>
    <row r="10" spans="1:24" x14ac:dyDescent="0.2">
      <c r="A10" s="8" t="s">
        <v>13</v>
      </c>
      <c r="B10" s="8" t="s">
        <v>83</v>
      </c>
      <c r="C10" s="8" t="s">
        <v>84</v>
      </c>
      <c r="D10" s="4"/>
      <c r="E10" s="4"/>
      <c r="F10" s="4">
        <v>25.57</v>
      </c>
      <c r="G10" s="4"/>
      <c r="H10" s="4"/>
      <c r="I10" s="4">
        <v>25.57</v>
      </c>
      <c r="J10" s="4"/>
      <c r="K10" s="4"/>
      <c r="L10" s="4">
        <v>25.57</v>
      </c>
      <c r="M10" s="4"/>
      <c r="N10" s="4"/>
      <c r="O10" s="4">
        <v>25.57</v>
      </c>
      <c r="P10" s="4"/>
      <c r="Q10" s="14"/>
      <c r="R10" s="4"/>
      <c r="S10" s="4"/>
      <c r="T10" s="4"/>
      <c r="U10" s="4"/>
      <c r="V10" s="4"/>
      <c r="W10" s="4"/>
      <c r="X10" s="4"/>
    </row>
    <row r="11" spans="1:24" x14ac:dyDescent="0.2">
      <c r="A11" s="8" t="s">
        <v>13</v>
      </c>
      <c r="B11" s="8" t="s">
        <v>85</v>
      </c>
      <c r="C11" s="8" t="s">
        <v>86</v>
      </c>
      <c r="D11" s="4"/>
      <c r="E11" s="4"/>
      <c r="F11" s="4">
        <v>22.95</v>
      </c>
      <c r="G11" s="4"/>
      <c r="H11" s="4"/>
      <c r="I11" s="4">
        <v>22.95</v>
      </c>
      <c r="J11" s="4"/>
      <c r="K11" s="4"/>
      <c r="L11" s="4">
        <v>22.95</v>
      </c>
      <c r="M11" s="4"/>
      <c r="N11" s="4"/>
      <c r="O11" s="4">
        <v>22.95</v>
      </c>
      <c r="P11" s="4"/>
      <c r="Q11" s="14"/>
      <c r="R11" s="4"/>
      <c r="S11" s="4"/>
      <c r="T11" s="4"/>
      <c r="U11" s="4"/>
      <c r="V11" s="4"/>
      <c r="W11" s="4"/>
      <c r="X11" s="4"/>
    </row>
    <row r="12" spans="1:24" x14ac:dyDescent="0.2">
      <c r="A12" s="8" t="s">
        <v>13</v>
      </c>
      <c r="B12" s="8" t="s">
        <v>87</v>
      </c>
      <c r="C12" s="8" t="s">
        <v>88</v>
      </c>
      <c r="D12" s="4"/>
      <c r="E12" s="4"/>
      <c r="F12" s="4">
        <v>22.8</v>
      </c>
      <c r="G12" s="4"/>
      <c r="H12" s="4"/>
      <c r="I12" s="4">
        <v>22.8</v>
      </c>
      <c r="J12" s="4"/>
      <c r="K12" s="4"/>
      <c r="L12" s="4">
        <v>22.8</v>
      </c>
      <c r="M12" s="4"/>
      <c r="N12" s="4"/>
      <c r="O12" s="4">
        <v>22.8</v>
      </c>
      <c r="P12" s="4"/>
      <c r="Q12" s="14"/>
      <c r="R12" s="4"/>
      <c r="S12" s="4"/>
      <c r="T12" s="4"/>
      <c r="U12" s="4"/>
      <c r="V12" s="4"/>
      <c r="W12" s="4"/>
      <c r="X12" s="4"/>
    </row>
    <row r="13" spans="1:24" x14ac:dyDescent="0.2">
      <c r="A13" s="8" t="s">
        <v>13</v>
      </c>
      <c r="B13" s="8" t="s">
        <v>89</v>
      </c>
      <c r="C13" s="8" t="s">
        <v>84</v>
      </c>
      <c r="D13" s="4"/>
      <c r="E13" s="4"/>
      <c r="F13" s="4"/>
      <c r="G13" s="4">
        <v>37.93</v>
      </c>
      <c r="H13" s="4"/>
      <c r="I13" s="4"/>
      <c r="J13" s="4">
        <v>37.93</v>
      </c>
      <c r="K13" s="4"/>
      <c r="L13" s="4"/>
      <c r="M13" s="4">
        <v>37.93</v>
      </c>
      <c r="N13" s="4"/>
      <c r="O13" s="4"/>
      <c r="P13" s="4">
        <v>37.93</v>
      </c>
      <c r="Q13" s="4" t="s">
        <v>64</v>
      </c>
      <c r="R13" s="4" t="s">
        <v>62</v>
      </c>
      <c r="S13" s="4"/>
      <c r="T13" s="4"/>
      <c r="U13" s="4"/>
      <c r="V13" s="4"/>
      <c r="W13" s="4"/>
      <c r="X13" s="4"/>
    </row>
    <row r="14" spans="1:24" x14ac:dyDescent="0.2">
      <c r="A14" s="8" t="s">
        <v>13</v>
      </c>
      <c r="B14" s="8" t="s">
        <v>90</v>
      </c>
      <c r="C14" s="8" t="s">
        <v>84</v>
      </c>
      <c r="D14" s="4"/>
      <c r="E14" s="4"/>
      <c r="F14" s="4"/>
      <c r="G14" s="4">
        <v>29.04</v>
      </c>
      <c r="H14" s="4"/>
      <c r="I14" s="4"/>
      <c r="J14" s="4">
        <v>29.04</v>
      </c>
      <c r="K14" s="4"/>
      <c r="L14" s="4"/>
      <c r="M14" s="4">
        <v>29.04</v>
      </c>
      <c r="N14" s="4"/>
      <c r="O14" s="4"/>
      <c r="P14" s="4">
        <v>29.04</v>
      </c>
      <c r="Q14" s="4" t="s">
        <v>64</v>
      </c>
      <c r="R14" s="4" t="s">
        <v>62</v>
      </c>
      <c r="S14" s="4"/>
      <c r="T14" s="4"/>
      <c r="U14" s="4"/>
      <c r="V14" s="4"/>
      <c r="W14" s="4"/>
      <c r="X14" s="4"/>
    </row>
    <row r="15" spans="1:24" x14ac:dyDescent="0.2">
      <c r="A15" s="8" t="s">
        <v>13</v>
      </c>
      <c r="B15" s="8" t="s">
        <v>91</v>
      </c>
      <c r="C15" s="8" t="s">
        <v>86</v>
      </c>
      <c r="D15" s="4"/>
      <c r="E15" s="4"/>
      <c r="F15" s="4"/>
      <c r="G15" s="4">
        <v>38.450000000000003</v>
      </c>
      <c r="H15" s="4"/>
      <c r="I15" s="4"/>
      <c r="J15" s="4">
        <v>38.450000000000003</v>
      </c>
      <c r="K15" s="4"/>
      <c r="L15" s="4"/>
      <c r="M15" s="4">
        <v>38.450000000000003</v>
      </c>
      <c r="N15" s="4"/>
      <c r="O15" s="4"/>
      <c r="P15" s="4">
        <v>38.450000000000003</v>
      </c>
      <c r="Q15" s="4" t="s">
        <v>64</v>
      </c>
      <c r="R15" s="4" t="s">
        <v>62</v>
      </c>
      <c r="S15" s="4"/>
      <c r="T15" s="4"/>
      <c r="U15" s="4"/>
      <c r="V15" s="4"/>
      <c r="W15" s="4"/>
      <c r="X15" s="4"/>
    </row>
    <row r="16" spans="1:24" x14ac:dyDescent="0.2">
      <c r="A16" s="8" t="s">
        <v>13</v>
      </c>
      <c r="B16" s="8" t="s">
        <v>92</v>
      </c>
      <c r="C16" s="8" t="s">
        <v>86</v>
      </c>
      <c r="D16" s="4"/>
      <c r="E16" s="4"/>
      <c r="F16" s="4"/>
      <c r="G16" s="4">
        <v>29.07</v>
      </c>
      <c r="H16" s="4"/>
      <c r="I16" s="4"/>
      <c r="J16" s="4">
        <v>29.07</v>
      </c>
      <c r="K16" s="4"/>
      <c r="L16" s="4"/>
      <c r="M16" s="4">
        <v>29.07</v>
      </c>
      <c r="N16" s="4"/>
      <c r="O16" s="4"/>
      <c r="P16" s="4">
        <v>29.07</v>
      </c>
      <c r="Q16" s="4" t="s">
        <v>64</v>
      </c>
      <c r="R16" s="4" t="s">
        <v>62</v>
      </c>
      <c r="S16" s="4"/>
      <c r="T16" s="4"/>
      <c r="U16" s="4"/>
      <c r="V16" s="4"/>
      <c r="W16" s="4"/>
      <c r="X16" s="4"/>
    </row>
    <row r="17" spans="1:24" x14ac:dyDescent="0.2">
      <c r="A17" s="8" t="s">
        <v>13</v>
      </c>
      <c r="B17" s="8" t="s">
        <v>93</v>
      </c>
      <c r="C17" s="8" t="s">
        <v>88</v>
      </c>
      <c r="D17" s="4"/>
      <c r="E17" s="4"/>
      <c r="F17" s="4"/>
      <c r="G17" s="4">
        <v>56.1</v>
      </c>
      <c r="H17" s="4"/>
      <c r="I17" s="4"/>
      <c r="J17" s="4">
        <v>56.1</v>
      </c>
      <c r="K17" s="4"/>
      <c r="L17" s="4"/>
      <c r="M17" s="4">
        <v>56.1</v>
      </c>
      <c r="N17" s="4"/>
      <c r="O17" s="4"/>
      <c r="P17" s="4">
        <v>56.1</v>
      </c>
      <c r="Q17" s="4" t="s">
        <v>64</v>
      </c>
      <c r="R17" s="4" t="s">
        <v>62</v>
      </c>
      <c r="S17" s="4"/>
      <c r="T17" s="4"/>
      <c r="U17" s="4"/>
      <c r="V17" s="4"/>
      <c r="W17" s="4"/>
      <c r="X17" s="4"/>
    </row>
    <row r="18" spans="1:24" x14ac:dyDescent="0.2">
      <c r="A18" s="8" t="s">
        <v>13</v>
      </c>
      <c r="B18" s="8" t="s">
        <v>94</v>
      </c>
      <c r="C18" s="8" t="s">
        <v>88</v>
      </c>
      <c r="D18" s="4"/>
      <c r="E18" s="4"/>
      <c r="F18" s="4"/>
      <c r="G18" s="4">
        <v>42.51</v>
      </c>
      <c r="H18" s="4"/>
      <c r="I18" s="4"/>
      <c r="J18" s="4">
        <v>42.51</v>
      </c>
      <c r="K18" s="4"/>
      <c r="L18" s="4"/>
      <c r="M18" s="4">
        <v>42.51</v>
      </c>
      <c r="N18" s="4"/>
      <c r="O18" s="4"/>
      <c r="P18" s="4">
        <v>42.51</v>
      </c>
      <c r="Q18" s="4" t="s">
        <v>64</v>
      </c>
      <c r="R18" s="4" t="s">
        <v>62</v>
      </c>
      <c r="S18" s="4"/>
      <c r="T18" s="4"/>
      <c r="U18" s="4"/>
      <c r="V18" s="4"/>
      <c r="W18" s="4"/>
      <c r="X18" s="4"/>
    </row>
    <row r="19" spans="1:24" x14ac:dyDescent="0.2">
      <c r="A19" s="8" t="s">
        <v>13</v>
      </c>
      <c r="B19" s="8" t="s">
        <v>95</v>
      </c>
      <c r="C19" s="8" t="s">
        <v>96</v>
      </c>
      <c r="D19" s="4"/>
      <c r="E19" s="4"/>
      <c r="F19" s="4"/>
      <c r="G19" s="4">
        <v>57.67</v>
      </c>
      <c r="H19" s="4"/>
      <c r="I19" s="4"/>
      <c r="J19" s="4">
        <v>57.67</v>
      </c>
      <c r="K19" s="4"/>
      <c r="L19" s="4"/>
      <c r="M19" s="4">
        <v>57.67</v>
      </c>
      <c r="N19" s="4"/>
      <c r="O19" s="4"/>
      <c r="P19" s="4">
        <v>57.67</v>
      </c>
      <c r="Q19" s="4" t="s">
        <v>64</v>
      </c>
      <c r="R19" s="4" t="s">
        <v>64</v>
      </c>
      <c r="S19" s="4"/>
      <c r="T19" s="4"/>
      <c r="U19" s="4"/>
      <c r="V19" s="4"/>
      <c r="W19" s="4"/>
      <c r="X19" s="4"/>
    </row>
    <row r="20" spans="1:24" x14ac:dyDescent="0.2">
      <c r="A20" s="8" t="s">
        <v>13</v>
      </c>
      <c r="B20" s="8" t="s">
        <v>97</v>
      </c>
      <c r="C20" s="8" t="s">
        <v>98</v>
      </c>
      <c r="D20" s="4"/>
      <c r="E20" s="4"/>
      <c r="F20" s="4"/>
      <c r="G20" s="4">
        <v>162.76</v>
      </c>
      <c r="H20" s="4"/>
      <c r="I20" s="4"/>
      <c r="J20" s="4">
        <v>162.76</v>
      </c>
      <c r="K20" s="4"/>
      <c r="L20" s="4"/>
      <c r="M20" s="4">
        <v>162.76</v>
      </c>
      <c r="N20" s="4"/>
      <c r="O20" s="4"/>
      <c r="P20" s="4">
        <v>162.76</v>
      </c>
      <c r="Q20" s="4" t="s">
        <v>64</v>
      </c>
      <c r="R20" s="4" t="s">
        <v>62</v>
      </c>
      <c r="S20" s="4"/>
      <c r="T20" s="4"/>
      <c r="U20" s="4"/>
      <c r="V20" s="4"/>
      <c r="W20" s="4"/>
      <c r="X20" s="4"/>
    </row>
    <row r="21" spans="1:24" x14ac:dyDescent="0.2">
      <c r="A21" s="8" t="s">
        <v>13</v>
      </c>
      <c r="B21" s="8" t="s">
        <v>99</v>
      </c>
      <c r="C21" s="8" t="s">
        <v>100</v>
      </c>
      <c r="D21" s="4"/>
      <c r="E21" s="4"/>
      <c r="F21" s="4"/>
      <c r="G21" s="4">
        <v>164.97</v>
      </c>
      <c r="H21" s="4"/>
      <c r="I21" s="4"/>
      <c r="J21" s="4">
        <v>164.97</v>
      </c>
      <c r="K21" s="4"/>
      <c r="L21" s="4"/>
      <c r="M21" s="4">
        <v>164.97</v>
      </c>
      <c r="N21" s="4"/>
      <c r="O21" s="4"/>
      <c r="P21" s="4">
        <v>164.97</v>
      </c>
      <c r="Q21" s="4" t="s">
        <v>64</v>
      </c>
      <c r="R21" s="4" t="s">
        <v>62</v>
      </c>
      <c r="S21" s="4"/>
      <c r="T21" s="4"/>
      <c r="U21" s="4"/>
      <c r="V21" s="4"/>
      <c r="W21" s="4"/>
      <c r="X21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28"/>
  <sheetViews>
    <sheetView workbookViewId="0">
      <selection activeCell="AB11" sqref="AB11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8.1640625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SUM(E5:G28)</f>
        <v>878.24</v>
      </c>
      <c r="G2" s="6"/>
      <c r="H2" s="6"/>
      <c r="I2" s="6">
        <f>SUM(H5:J28)</f>
        <v>878.24</v>
      </c>
      <c r="J2" s="6"/>
      <c r="K2" s="6"/>
      <c r="L2" s="6">
        <f>SUM(K5:M28)</f>
        <v>878.24</v>
      </c>
      <c r="M2" s="6"/>
      <c r="N2" s="6"/>
      <c r="O2" s="6">
        <f>SUM(N5:P28)</f>
        <v>878.24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14</v>
      </c>
      <c r="B5" s="8" t="s">
        <v>101</v>
      </c>
      <c r="C5" s="8" t="s">
        <v>102</v>
      </c>
      <c r="D5" s="4"/>
      <c r="E5" s="4"/>
      <c r="F5" s="4">
        <v>3.34</v>
      </c>
      <c r="G5" s="4"/>
      <c r="H5" s="4"/>
      <c r="I5" s="4">
        <v>3.34</v>
      </c>
      <c r="J5" s="4"/>
      <c r="K5" s="4"/>
      <c r="L5" s="4">
        <v>3.34</v>
      </c>
      <c r="M5" s="4"/>
      <c r="N5" s="4"/>
      <c r="O5" s="4">
        <v>3.34</v>
      </c>
      <c r="P5" s="4"/>
      <c r="Q5" s="4" t="s">
        <v>1785</v>
      </c>
      <c r="R5" s="4" t="s">
        <v>1785</v>
      </c>
      <c r="S5" s="4" t="s">
        <v>1785</v>
      </c>
      <c r="T5" s="4" t="s">
        <v>1785</v>
      </c>
      <c r="U5" s="4" t="s">
        <v>1785</v>
      </c>
      <c r="V5" s="4" t="s">
        <v>1785</v>
      </c>
      <c r="W5" s="4" t="s">
        <v>1785</v>
      </c>
      <c r="X5" s="4" t="s">
        <v>1785</v>
      </c>
    </row>
    <row r="6" spans="1:24" x14ac:dyDescent="0.2">
      <c r="A6" s="8" t="s">
        <v>14</v>
      </c>
      <c r="B6" s="8" t="s">
        <v>101</v>
      </c>
      <c r="C6" s="8" t="s">
        <v>1786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1785</v>
      </c>
      <c r="R6" s="4" t="s">
        <v>1785</v>
      </c>
      <c r="S6" s="4" t="s">
        <v>1785</v>
      </c>
      <c r="T6" s="4" t="s">
        <v>1785</v>
      </c>
      <c r="U6" s="4" t="s">
        <v>1785</v>
      </c>
      <c r="V6" s="4" t="s">
        <v>1785</v>
      </c>
      <c r="W6" s="4" t="s">
        <v>1785</v>
      </c>
      <c r="X6" s="4" t="s">
        <v>1785</v>
      </c>
    </row>
    <row r="7" spans="1:24" x14ac:dyDescent="0.2">
      <c r="A7" s="8" t="s">
        <v>14</v>
      </c>
      <c r="B7" s="8" t="s">
        <v>101</v>
      </c>
      <c r="C7" s="8" t="s">
        <v>103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S7" s="4"/>
      <c r="T7" s="4"/>
      <c r="U7" s="4"/>
      <c r="V7" s="4"/>
      <c r="W7" s="4"/>
      <c r="X7" s="4"/>
    </row>
    <row r="8" spans="1:24" x14ac:dyDescent="0.2">
      <c r="A8" s="8" t="s">
        <v>14</v>
      </c>
      <c r="B8" s="8" t="s">
        <v>101</v>
      </c>
      <c r="C8" s="8" t="s">
        <v>104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 t="s">
        <v>63</v>
      </c>
      <c r="T8" s="4" t="s">
        <v>63</v>
      </c>
      <c r="U8" s="4"/>
      <c r="V8" s="4"/>
      <c r="W8" s="4"/>
      <c r="X8" s="4"/>
    </row>
    <row r="9" spans="1:24" x14ac:dyDescent="0.2">
      <c r="A9" s="8" t="s">
        <v>14</v>
      </c>
      <c r="B9" s="8" t="s">
        <v>101</v>
      </c>
      <c r="C9" s="8" t="s">
        <v>105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S9" s="4"/>
      <c r="T9" s="4"/>
      <c r="U9" s="4"/>
      <c r="V9" s="4"/>
      <c r="W9" s="4"/>
      <c r="X9" s="4"/>
    </row>
    <row r="10" spans="1:24" x14ac:dyDescent="0.2">
      <c r="A10" s="8" t="s">
        <v>14</v>
      </c>
      <c r="B10" s="8" t="s">
        <v>101</v>
      </c>
      <c r="C10" s="8" t="s">
        <v>106</v>
      </c>
      <c r="D10" s="4"/>
      <c r="E10" s="4"/>
      <c r="F10" s="4">
        <v>3.57</v>
      </c>
      <c r="G10" s="4"/>
      <c r="H10" s="4"/>
      <c r="I10" s="4">
        <v>3.57</v>
      </c>
      <c r="J10" s="4"/>
      <c r="K10" s="4"/>
      <c r="L10" s="4">
        <v>3.57</v>
      </c>
      <c r="M10" s="4"/>
      <c r="N10" s="4"/>
      <c r="O10" s="4">
        <v>3.57</v>
      </c>
      <c r="P10" s="4"/>
      <c r="Q10" s="4"/>
      <c r="R10" s="4" t="s">
        <v>63</v>
      </c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">
      <c r="A11" s="8" t="s">
        <v>14</v>
      </c>
      <c r="B11" s="8" t="s">
        <v>107</v>
      </c>
      <c r="C11" s="8" t="s">
        <v>108</v>
      </c>
      <c r="D11" s="4"/>
      <c r="E11" s="4"/>
      <c r="F11" s="4">
        <v>241.4</v>
      </c>
      <c r="G11" s="4"/>
      <c r="H11" s="4"/>
      <c r="I11" s="4">
        <v>241.4</v>
      </c>
      <c r="J11" s="4"/>
      <c r="K11" s="4"/>
      <c r="L11" s="4">
        <v>241.4</v>
      </c>
      <c r="M11" s="4"/>
      <c r="N11" s="4"/>
      <c r="O11" s="4">
        <v>241.4</v>
      </c>
      <c r="P11" s="4"/>
      <c r="Q11" s="4" t="s">
        <v>63</v>
      </c>
      <c r="R11" s="14"/>
      <c r="S11" s="14"/>
      <c r="T11" s="14"/>
      <c r="U11" s="4"/>
      <c r="V11" s="4"/>
      <c r="W11" s="4"/>
      <c r="X11" s="4"/>
    </row>
    <row r="12" spans="1:24" x14ac:dyDescent="0.2">
      <c r="A12" s="8" t="s">
        <v>14</v>
      </c>
      <c r="B12" s="8" t="s">
        <v>109</v>
      </c>
      <c r="C12" s="8" t="s">
        <v>110</v>
      </c>
      <c r="D12" s="4"/>
      <c r="E12" s="4"/>
      <c r="F12" s="4">
        <v>103.33</v>
      </c>
      <c r="G12" s="4"/>
      <c r="H12" s="4"/>
      <c r="I12" s="4">
        <v>103.33</v>
      </c>
      <c r="J12" s="4"/>
      <c r="K12" s="4"/>
      <c r="L12" s="4">
        <v>103.33</v>
      </c>
      <c r="M12" s="4"/>
      <c r="N12" s="4"/>
      <c r="O12" s="4">
        <v>103.33</v>
      </c>
      <c r="P12" s="4"/>
      <c r="Q12" s="4" t="s">
        <v>63</v>
      </c>
      <c r="R12" s="4" t="s">
        <v>63</v>
      </c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">
      <c r="A13" s="8" t="s">
        <v>14</v>
      </c>
      <c r="B13" s="8" t="s">
        <v>111</v>
      </c>
      <c r="C13" s="8" t="s">
        <v>112</v>
      </c>
      <c r="D13" s="4"/>
      <c r="E13" s="4"/>
      <c r="F13" s="4">
        <v>80.69</v>
      </c>
      <c r="G13" s="4"/>
      <c r="H13" s="4"/>
      <c r="I13" s="4">
        <v>80.69</v>
      </c>
      <c r="J13" s="4"/>
      <c r="K13" s="4"/>
      <c r="L13" s="4">
        <v>80.69</v>
      </c>
      <c r="M13" s="4"/>
      <c r="N13" s="4"/>
      <c r="O13" s="4">
        <v>80.69</v>
      </c>
      <c r="P13" s="4"/>
      <c r="Q13" s="4" t="s">
        <v>63</v>
      </c>
      <c r="R13" s="14"/>
      <c r="S13" s="14"/>
      <c r="T13" s="14"/>
      <c r="U13" s="4"/>
      <c r="V13" s="4"/>
      <c r="W13" s="4"/>
      <c r="X13" s="4"/>
    </row>
    <row r="14" spans="1:24" x14ac:dyDescent="0.2">
      <c r="A14" s="8" t="s">
        <v>14</v>
      </c>
      <c r="B14" s="8" t="s">
        <v>113</v>
      </c>
      <c r="C14" s="8" t="s">
        <v>112</v>
      </c>
      <c r="D14" s="4"/>
      <c r="E14" s="4"/>
      <c r="F14" s="4">
        <v>66.290000000000006</v>
      </c>
      <c r="G14" s="4"/>
      <c r="H14" s="4"/>
      <c r="I14" s="4">
        <v>66.290000000000006</v>
      </c>
      <c r="J14" s="4"/>
      <c r="K14" s="4"/>
      <c r="L14" s="4">
        <v>66.290000000000006</v>
      </c>
      <c r="M14" s="4"/>
      <c r="N14" s="4"/>
      <c r="O14" s="4">
        <v>66.290000000000006</v>
      </c>
      <c r="P14" s="4"/>
      <c r="Q14" s="4" t="s">
        <v>63</v>
      </c>
      <c r="R14" s="14"/>
      <c r="S14" s="14"/>
      <c r="T14" s="14"/>
      <c r="U14" s="4"/>
      <c r="V14" s="4"/>
      <c r="W14" s="4"/>
      <c r="X14" s="4"/>
    </row>
    <row r="15" spans="1:24" x14ac:dyDescent="0.2">
      <c r="A15" s="8" t="s">
        <v>14</v>
      </c>
      <c r="B15" s="8" t="s">
        <v>114</v>
      </c>
      <c r="C15" s="8" t="s">
        <v>112</v>
      </c>
      <c r="D15" s="4"/>
      <c r="E15" s="4"/>
      <c r="F15" s="4">
        <v>65.77</v>
      </c>
      <c r="G15" s="4"/>
      <c r="H15" s="4"/>
      <c r="I15" s="4">
        <v>65.77</v>
      </c>
      <c r="J15" s="4"/>
      <c r="K15" s="4"/>
      <c r="L15" s="4">
        <v>65.77</v>
      </c>
      <c r="M15" s="4"/>
      <c r="N15" s="4"/>
      <c r="O15" s="4">
        <v>65.77</v>
      </c>
      <c r="P15" s="4"/>
      <c r="Q15" s="4" t="s">
        <v>63</v>
      </c>
      <c r="R15" s="14"/>
      <c r="S15" s="14"/>
      <c r="T15" s="14"/>
      <c r="U15" s="4"/>
      <c r="V15" s="4"/>
      <c r="W15" s="4"/>
      <c r="X15" s="4"/>
    </row>
    <row r="16" spans="1:24" x14ac:dyDescent="0.2">
      <c r="A16" s="8" t="s">
        <v>14</v>
      </c>
      <c r="B16" s="8" t="s">
        <v>115</v>
      </c>
      <c r="C16" s="8" t="s">
        <v>112</v>
      </c>
      <c r="D16" s="4"/>
      <c r="E16" s="4"/>
      <c r="F16" s="4">
        <v>65.77</v>
      </c>
      <c r="G16" s="4"/>
      <c r="H16" s="4"/>
      <c r="I16" s="4">
        <v>65.77</v>
      </c>
      <c r="J16" s="4"/>
      <c r="K16" s="4"/>
      <c r="L16" s="4">
        <v>65.77</v>
      </c>
      <c r="M16" s="4"/>
      <c r="N16" s="4"/>
      <c r="O16" s="4">
        <v>65.77</v>
      </c>
      <c r="P16" s="4"/>
      <c r="Q16" s="4" t="s">
        <v>63</v>
      </c>
      <c r="R16" s="14"/>
      <c r="S16" s="14"/>
      <c r="T16" s="14"/>
      <c r="U16" s="4"/>
      <c r="V16" s="4"/>
      <c r="W16" s="4"/>
      <c r="X16" s="4"/>
    </row>
    <row r="17" spans="1:24" x14ac:dyDescent="0.2">
      <c r="A17" s="8" t="s">
        <v>14</v>
      </c>
      <c r="B17" s="8" t="s">
        <v>116</v>
      </c>
      <c r="C17" s="8" t="s">
        <v>117</v>
      </c>
      <c r="D17" s="4"/>
      <c r="E17" s="4"/>
      <c r="F17" s="4">
        <v>52.18</v>
      </c>
      <c r="G17" s="4"/>
      <c r="H17" s="4"/>
      <c r="I17" s="4">
        <v>52.18</v>
      </c>
      <c r="J17" s="4"/>
      <c r="K17" s="4"/>
      <c r="L17" s="4">
        <v>52.18</v>
      </c>
      <c r="M17" s="4"/>
      <c r="N17" s="4"/>
      <c r="O17" s="4">
        <v>52.18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">
      <c r="A18" s="8" t="s">
        <v>14</v>
      </c>
      <c r="B18" s="8" t="s">
        <v>118</v>
      </c>
      <c r="C18" s="8" t="s">
        <v>119</v>
      </c>
      <c r="D18" s="4"/>
      <c r="E18" s="4"/>
      <c r="F18" s="4">
        <v>125.59</v>
      </c>
      <c r="G18" s="4"/>
      <c r="H18" s="4"/>
      <c r="I18" s="4">
        <v>125.59</v>
      </c>
      <c r="J18" s="4"/>
      <c r="K18" s="4"/>
      <c r="L18" s="4">
        <v>125.59</v>
      </c>
      <c r="M18" s="4"/>
      <c r="N18" s="4"/>
      <c r="O18" s="4">
        <v>125.59</v>
      </c>
      <c r="P18" s="4"/>
      <c r="Q18" s="4" t="s">
        <v>63</v>
      </c>
      <c r="R18" s="14"/>
      <c r="S18" s="14"/>
      <c r="T18" s="14"/>
      <c r="U18" s="4"/>
      <c r="V18" s="4"/>
      <c r="W18" s="4"/>
      <c r="X18" s="4"/>
    </row>
    <row r="19" spans="1:24" x14ac:dyDescent="0.2">
      <c r="A19" s="8" t="s">
        <v>14</v>
      </c>
      <c r="B19" s="8" t="s">
        <v>120</v>
      </c>
      <c r="C19" s="8" t="s">
        <v>121</v>
      </c>
      <c r="D19" s="4"/>
      <c r="E19" s="4"/>
      <c r="F19" s="4">
        <v>70.31</v>
      </c>
      <c r="G19" s="4"/>
      <c r="H19" s="4"/>
      <c r="I19" s="4">
        <v>70.31</v>
      </c>
      <c r="J19" s="4"/>
      <c r="K19" s="4"/>
      <c r="L19" s="4">
        <v>70.31</v>
      </c>
      <c r="M19" s="4"/>
      <c r="N19" s="4"/>
      <c r="O19" s="4">
        <v>70.31</v>
      </c>
      <c r="P19" s="4"/>
      <c r="Q19" s="4" t="s">
        <v>63</v>
      </c>
      <c r="R19" s="14"/>
      <c r="S19" s="14"/>
      <c r="T19" s="14"/>
      <c r="U19" s="4"/>
      <c r="V19" s="4"/>
      <c r="W19" s="4"/>
      <c r="X19" s="4"/>
    </row>
    <row r="20" spans="1:24" x14ac:dyDescent="0.2">
      <c r="A20" s="8" t="s">
        <v>14</v>
      </c>
      <c r="B20" s="8" t="s">
        <v>122</v>
      </c>
      <c r="C20" s="8" t="s">
        <v>123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1775</v>
      </c>
      <c r="V20" s="4"/>
      <c r="W20" s="4"/>
      <c r="X20" s="4"/>
    </row>
    <row r="21" spans="1:24" x14ac:dyDescent="0.2">
      <c r="A21" s="8" t="s">
        <v>14</v>
      </c>
      <c r="B21" s="8" t="s">
        <v>124</v>
      </c>
      <c r="C21" s="8" t="s">
        <v>125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14</v>
      </c>
      <c r="B22" s="8" t="s">
        <v>126</v>
      </c>
      <c r="C22" s="8" t="s">
        <v>125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14</v>
      </c>
      <c r="B23" s="8" t="s">
        <v>127</v>
      </c>
      <c r="C23" s="8" t="s">
        <v>125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14</v>
      </c>
      <c r="B24" s="8" t="s">
        <v>128</v>
      </c>
      <c r="C24" s="8" t="s">
        <v>129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14</v>
      </c>
      <c r="B25" s="8" t="s">
        <v>130</v>
      </c>
      <c r="C25" s="8" t="s">
        <v>131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14</v>
      </c>
      <c r="B26" s="8" t="s">
        <v>132</v>
      </c>
      <c r="C26" s="8" t="s">
        <v>133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14</v>
      </c>
      <c r="B27" s="8" t="s">
        <v>134</v>
      </c>
      <c r="C27" s="8" t="s">
        <v>135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14</v>
      </c>
      <c r="B28" s="8" t="s">
        <v>136</v>
      </c>
      <c r="C28" s="8" t="s">
        <v>137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27"/>
  <sheetViews>
    <sheetView workbookViewId="0">
      <selection activeCell="Q17" sqref="Q17:R17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SUM(E5:G27)</f>
        <v>7607.59</v>
      </c>
      <c r="G2" s="6"/>
      <c r="H2" s="6"/>
      <c r="I2" s="6">
        <f>SUM(H5:J27)</f>
        <v>7607.59</v>
      </c>
      <c r="J2" s="6"/>
      <c r="K2" s="6"/>
      <c r="L2" s="6">
        <f>SUM(K5:M27)</f>
        <v>7607.59</v>
      </c>
      <c r="M2" s="6"/>
      <c r="N2" s="6"/>
      <c r="O2" s="6">
        <f>SUM(N5:P27)</f>
        <v>7607.59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15</v>
      </c>
      <c r="B5" s="8" t="s">
        <v>138</v>
      </c>
      <c r="C5" s="8" t="s">
        <v>139</v>
      </c>
      <c r="D5" s="4"/>
      <c r="E5" s="4"/>
      <c r="F5" s="4">
        <v>344.08</v>
      </c>
      <c r="G5" s="4"/>
      <c r="H5" s="4"/>
      <c r="I5" s="4">
        <v>344.08</v>
      </c>
      <c r="J5" s="4"/>
      <c r="K5" s="4"/>
      <c r="L5" s="4">
        <v>344.08</v>
      </c>
      <c r="M5" s="4"/>
      <c r="N5" s="4"/>
      <c r="O5" s="4">
        <v>344.08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15</v>
      </c>
      <c r="B6" s="8" t="s">
        <v>101</v>
      </c>
      <c r="C6" s="8" t="s">
        <v>140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">
      <c r="A7" s="8" t="s">
        <v>15</v>
      </c>
      <c r="B7" s="8" t="s">
        <v>101</v>
      </c>
      <c r="C7" s="8" t="s">
        <v>141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">
      <c r="A8" s="8" t="s">
        <v>15</v>
      </c>
      <c r="B8" s="8" t="s">
        <v>101</v>
      </c>
      <c r="C8" s="8" t="s">
        <v>142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/>
      <c r="T8" s="4"/>
      <c r="U8" s="4"/>
      <c r="V8" s="4"/>
      <c r="W8" s="4"/>
      <c r="X8" s="4"/>
    </row>
    <row r="9" spans="1:24" x14ac:dyDescent="0.2">
      <c r="A9" s="8" t="s">
        <v>15</v>
      </c>
      <c r="B9" s="8" t="s">
        <v>101</v>
      </c>
      <c r="C9" s="8" t="s">
        <v>143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">
      <c r="A10" s="8" t="s">
        <v>15</v>
      </c>
      <c r="B10" s="8" t="s">
        <v>101</v>
      </c>
      <c r="C10" s="8" t="s">
        <v>144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 t="s">
        <v>63</v>
      </c>
      <c r="R10" s="4"/>
      <c r="S10" s="4"/>
      <c r="T10" s="4"/>
      <c r="U10" s="4"/>
      <c r="V10" s="4"/>
      <c r="W10" s="4"/>
      <c r="X10" s="4"/>
    </row>
    <row r="11" spans="1:24" x14ac:dyDescent="0.2">
      <c r="A11" s="8" t="s">
        <v>15</v>
      </c>
      <c r="B11" s="8" t="s">
        <v>101</v>
      </c>
      <c r="C11" s="8" t="s">
        <v>145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63</v>
      </c>
      <c r="S11" s="4" t="s">
        <v>63</v>
      </c>
      <c r="T11" s="4" t="s">
        <v>63</v>
      </c>
      <c r="U11" s="4"/>
      <c r="V11" s="4"/>
      <c r="W11" s="4"/>
      <c r="X11" s="4"/>
    </row>
    <row r="12" spans="1:24" x14ac:dyDescent="0.2">
      <c r="A12" s="8" t="s">
        <v>15</v>
      </c>
      <c r="B12" s="8" t="s">
        <v>101</v>
      </c>
      <c r="C12" s="8" t="s">
        <v>146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63</v>
      </c>
      <c r="R12" s="4"/>
      <c r="S12" s="4"/>
      <c r="T12" s="4"/>
      <c r="U12" s="4"/>
      <c r="V12" s="4"/>
      <c r="W12" s="4"/>
      <c r="X12" s="4"/>
    </row>
    <row r="13" spans="1:24" x14ac:dyDescent="0.2">
      <c r="A13" s="8" t="s">
        <v>15</v>
      </c>
      <c r="B13" s="8" t="s">
        <v>101</v>
      </c>
      <c r="C13" s="8" t="s">
        <v>147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63</v>
      </c>
      <c r="R13" s="4"/>
      <c r="S13" s="4"/>
      <c r="T13" s="4"/>
      <c r="U13" s="4"/>
      <c r="V13" s="4"/>
      <c r="W13" s="4"/>
      <c r="X13" s="4"/>
    </row>
    <row r="14" spans="1:24" x14ac:dyDescent="0.2">
      <c r="A14" s="8" t="s">
        <v>15</v>
      </c>
      <c r="B14" s="8" t="s">
        <v>101</v>
      </c>
      <c r="C14" s="8" t="s">
        <v>148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63</v>
      </c>
      <c r="S14" s="4" t="s">
        <v>63</v>
      </c>
      <c r="T14" s="4" t="s">
        <v>63</v>
      </c>
      <c r="U14" s="4"/>
      <c r="V14" s="4"/>
      <c r="W14" s="4"/>
      <c r="X14" s="4"/>
    </row>
    <row r="15" spans="1:24" x14ac:dyDescent="0.2">
      <c r="A15" s="8" t="s">
        <v>15</v>
      </c>
      <c r="B15" s="8" t="s">
        <v>101</v>
      </c>
      <c r="C15" s="8" t="s">
        <v>149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63</v>
      </c>
      <c r="S15" s="4"/>
      <c r="T15" s="4"/>
      <c r="U15" s="4"/>
      <c r="V15" s="4"/>
      <c r="W15" s="4"/>
      <c r="X15" s="4"/>
    </row>
    <row r="16" spans="1:24" x14ac:dyDescent="0.2">
      <c r="A16" s="8" t="s">
        <v>15</v>
      </c>
      <c r="B16" s="8" t="s">
        <v>101</v>
      </c>
      <c r="C16" s="8" t="s">
        <v>150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63</v>
      </c>
      <c r="T16" s="4" t="s">
        <v>63</v>
      </c>
      <c r="U16" s="4"/>
      <c r="V16" s="4"/>
      <c r="W16" s="4"/>
      <c r="X16" s="4"/>
    </row>
    <row r="17" spans="1:24" x14ac:dyDescent="0.2">
      <c r="A17" s="8" t="s">
        <v>15</v>
      </c>
      <c r="B17" s="8" t="s">
        <v>151</v>
      </c>
      <c r="C17" s="8" t="s">
        <v>152</v>
      </c>
      <c r="D17" s="4"/>
      <c r="E17" s="4"/>
      <c r="F17" s="4">
        <v>248.68</v>
      </c>
      <c r="G17" s="4"/>
      <c r="H17" s="4"/>
      <c r="I17" s="4">
        <v>248.68</v>
      </c>
      <c r="J17" s="4"/>
      <c r="K17" s="4"/>
      <c r="L17" s="4">
        <v>248.68</v>
      </c>
      <c r="M17" s="4"/>
      <c r="N17" s="4"/>
      <c r="O17" s="4">
        <v>248.68</v>
      </c>
      <c r="P17" s="4"/>
      <c r="Q17" s="4" t="s">
        <v>63</v>
      </c>
      <c r="R17" s="4" t="s">
        <v>63</v>
      </c>
      <c r="S17" s="4"/>
      <c r="T17" s="4"/>
      <c r="U17" s="4"/>
      <c r="V17" s="4"/>
      <c r="W17" s="4"/>
      <c r="X17" s="4"/>
    </row>
    <row r="18" spans="1:24" x14ac:dyDescent="0.2">
      <c r="A18" s="8" t="s">
        <v>15</v>
      </c>
      <c r="B18" s="8" t="s">
        <v>153</v>
      </c>
      <c r="C18" s="8" t="s">
        <v>154</v>
      </c>
      <c r="D18" s="4"/>
      <c r="E18" s="4"/>
      <c r="F18" s="4">
        <v>30.42</v>
      </c>
      <c r="G18" s="4"/>
      <c r="H18" s="4"/>
      <c r="I18" s="4">
        <v>30.42</v>
      </c>
      <c r="J18" s="4"/>
      <c r="K18" s="4"/>
      <c r="L18" s="4">
        <v>30.42</v>
      </c>
      <c r="M18" s="4"/>
      <c r="N18" s="4"/>
      <c r="O18" s="4">
        <v>30.42</v>
      </c>
      <c r="P18" s="4"/>
      <c r="Q18" s="4" t="s">
        <v>63</v>
      </c>
      <c r="R18" s="4" t="s">
        <v>63</v>
      </c>
      <c r="S18" s="4"/>
      <c r="T18" s="4"/>
      <c r="U18" s="4"/>
      <c r="V18" s="4"/>
      <c r="W18" s="4"/>
      <c r="X18" s="4"/>
    </row>
    <row r="19" spans="1:24" x14ac:dyDescent="0.2">
      <c r="A19" s="8" t="s">
        <v>15</v>
      </c>
      <c r="B19" s="8" t="s">
        <v>155</v>
      </c>
      <c r="C19" s="8" t="s">
        <v>156</v>
      </c>
      <c r="D19" s="4"/>
      <c r="E19" s="4"/>
      <c r="F19" s="4">
        <v>227.65</v>
      </c>
      <c r="G19" s="4"/>
      <c r="H19" s="4"/>
      <c r="I19" s="4">
        <v>227.65</v>
      </c>
      <c r="J19" s="4"/>
      <c r="K19" s="4"/>
      <c r="L19" s="4">
        <v>227.65</v>
      </c>
      <c r="M19" s="4"/>
      <c r="N19" s="4"/>
      <c r="O19" s="4">
        <v>227.65</v>
      </c>
      <c r="P19" s="4"/>
      <c r="Q19" s="4" t="s">
        <v>63</v>
      </c>
      <c r="R19" s="4"/>
      <c r="S19" s="4"/>
      <c r="T19" s="4"/>
      <c r="U19" s="4"/>
      <c r="V19" s="4"/>
      <c r="W19" s="4"/>
      <c r="X19" s="4"/>
    </row>
    <row r="20" spans="1:24" x14ac:dyDescent="0.2">
      <c r="A20" s="8" t="s">
        <v>15</v>
      </c>
      <c r="B20" s="8" t="s">
        <v>157</v>
      </c>
      <c r="C20" s="8" t="s">
        <v>158</v>
      </c>
      <c r="D20" s="4"/>
      <c r="E20" s="4"/>
      <c r="F20" s="4">
        <v>1262.8900000000001</v>
      </c>
      <c r="G20" s="4"/>
      <c r="H20" s="4"/>
      <c r="I20" s="4">
        <v>1262.8900000000001</v>
      </c>
      <c r="J20" s="4"/>
      <c r="K20" s="4"/>
      <c r="L20" s="4">
        <v>1262.8900000000001</v>
      </c>
      <c r="M20" s="4"/>
      <c r="N20" s="4"/>
      <c r="O20" s="4">
        <v>1262.8900000000001</v>
      </c>
      <c r="P20" s="4"/>
      <c r="Q20" s="4" t="s">
        <v>63</v>
      </c>
      <c r="R20" s="4"/>
      <c r="S20" s="4"/>
      <c r="T20" s="4"/>
      <c r="U20" s="4"/>
      <c r="V20" s="4"/>
      <c r="W20" s="4"/>
      <c r="X20" s="4"/>
    </row>
    <row r="21" spans="1:24" x14ac:dyDescent="0.2">
      <c r="A21" s="8" t="s">
        <v>15</v>
      </c>
      <c r="B21" s="8" t="s">
        <v>159</v>
      </c>
      <c r="C21" s="8" t="s">
        <v>160</v>
      </c>
      <c r="D21" s="4"/>
      <c r="E21" s="4"/>
      <c r="F21" s="4">
        <v>1172.05</v>
      </c>
      <c r="G21" s="4"/>
      <c r="H21" s="4"/>
      <c r="I21" s="4">
        <v>1172.05</v>
      </c>
      <c r="J21" s="4"/>
      <c r="K21" s="4"/>
      <c r="L21" s="4">
        <v>1172.05</v>
      </c>
      <c r="M21" s="4"/>
      <c r="N21" s="4"/>
      <c r="O21" s="4">
        <v>1172.05</v>
      </c>
      <c r="P21" s="4"/>
      <c r="Q21" s="4" t="s">
        <v>63</v>
      </c>
      <c r="R21" s="4"/>
      <c r="S21" s="4"/>
      <c r="T21" s="4"/>
      <c r="U21" s="4"/>
      <c r="V21" s="4"/>
      <c r="W21" s="4"/>
      <c r="X21" s="4"/>
    </row>
    <row r="22" spans="1:24" x14ac:dyDescent="0.2">
      <c r="A22" s="8" t="s">
        <v>15</v>
      </c>
      <c r="B22" s="8" t="s">
        <v>161</v>
      </c>
      <c r="C22" s="8" t="s">
        <v>162</v>
      </c>
      <c r="D22" s="4"/>
      <c r="E22" s="4"/>
      <c r="F22" s="4">
        <v>4074.13</v>
      </c>
      <c r="G22" s="4"/>
      <c r="H22" s="4"/>
      <c r="I22" s="4">
        <v>4074.13</v>
      </c>
      <c r="J22" s="4"/>
      <c r="K22" s="4"/>
      <c r="L22" s="4">
        <v>4074.13</v>
      </c>
      <c r="M22" s="4"/>
      <c r="N22" s="4"/>
      <c r="O22" s="4">
        <v>4074.13</v>
      </c>
      <c r="P22" s="4"/>
      <c r="Q22" s="4" t="s">
        <v>1783</v>
      </c>
      <c r="R22" s="4" t="s">
        <v>1783</v>
      </c>
      <c r="S22" s="4" t="s">
        <v>1783</v>
      </c>
      <c r="T22" s="4" t="s">
        <v>1783</v>
      </c>
      <c r="U22" s="4"/>
      <c r="V22" s="4"/>
      <c r="W22" s="4"/>
      <c r="X22" s="4"/>
    </row>
    <row r="23" spans="1:24" x14ac:dyDescent="0.2">
      <c r="A23" s="8" t="s">
        <v>15</v>
      </c>
      <c r="B23" s="8" t="s">
        <v>163</v>
      </c>
      <c r="C23" s="8" t="s">
        <v>164</v>
      </c>
      <c r="D23" s="4"/>
      <c r="E23" s="4"/>
      <c r="F23" s="4">
        <v>247.69</v>
      </c>
      <c r="G23" s="4"/>
      <c r="H23" s="4"/>
      <c r="I23" s="4">
        <v>247.69</v>
      </c>
      <c r="J23" s="4"/>
      <c r="K23" s="4"/>
      <c r="L23" s="4">
        <v>247.69</v>
      </c>
      <c r="M23" s="4"/>
      <c r="N23" s="4"/>
      <c r="O23" s="4">
        <v>247.69</v>
      </c>
      <c r="P23" s="4"/>
      <c r="Q23" s="4" t="s">
        <v>63</v>
      </c>
      <c r="R23" s="4" t="s">
        <v>63</v>
      </c>
      <c r="S23" s="4" t="s">
        <v>63</v>
      </c>
      <c r="T23" s="4" t="s">
        <v>63</v>
      </c>
      <c r="U23" s="4"/>
      <c r="V23" s="4"/>
      <c r="W23" s="4"/>
      <c r="X23" s="4"/>
    </row>
    <row r="24" spans="1:24" x14ac:dyDescent="0.2">
      <c r="A24" s="8" t="s">
        <v>15</v>
      </c>
      <c r="B24" s="8" t="s">
        <v>165</v>
      </c>
      <c r="C24" s="8" t="s">
        <v>166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15</v>
      </c>
      <c r="B25" s="8" t="s">
        <v>167</v>
      </c>
      <c r="C25" s="8" t="s">
        <v>168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15</v>
      </c>
      <c r="B26" s="8" t="s">
        <v>169</v>
      </c>
      <c r="C26" s="8" t="s">
        <v>170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15</v>
      </c>
      <c r="B27" s="8" t="s">
        <v>171</v>
      </c>
      <c r="C27" s="9" t="s">
        <v>172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20"/>
  <sheetViews>
    <sheetView zoomScale="130" zoomScaleNormal="130" workbookViewId="0">
      <selection activeCell="Q20" sqref="Q20:T20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SUM(E5:G20)</f>
        <v>4350.88</v>
      </c>
      <c r="G2" s="6"/>
      <c r="H2" s="6"/>
      <c r="I2" s="6">
        <f>SUM(H5:J20)</f>
        <v>4350.88</v>
      </c>
      <c r="J2" s="6"/>
      <c r="K2" s="6"/>
      <c r="L2" s="6">
        <f>SUM(K5:M20)</f>
        <v>4350.88</v>
      </c>
      <c r="M2" s="6"/>
      <c r="N2" s="6"/>
      <c r="O2" s="6">
        <f>SUM(N5:P20)</f>
        <v>4350.88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16</v>
      </c>
      <c r="B5" s="8" t="s">
        <v>173</v>
      </c>
      <c r="C5" s="8" t="s">
        <v>174</v>
      </c>
      <c r="D5" s="4"/>
      <c r="E5" s="4"/>
      <c r="F5" s="4">
        <v>1050.1600000000001</v>
      </c>
      <c r="G5" s="4"/>
      <c r="H5" s="4"/>
      <c r="I5" s="4">
        <v>1050.1600000000001</v>
      </c>
      <c r="J5" s="4"/>
      <c r="K5" s="4"/>
      <c r="L5" s="4">
        <v>1050.1600000000001</v>
      </c>
      <c r="M5" s="4"/>
      <c r="N5" s="4"/>
      <c r="O5" s="4">
        <v>1050.1600000000001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16</v>
      </c>
      <c r="B6" s="8" t="s">
        <v>101</v>
      </c>
      <c r="C6" s="8" t="s">
        <v>175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">
      <c r="A7" s="8" t="s">
        <v>16</v>
      </c>
      <c r="B7" s="8" t="s">
        <v>101</v>
      </c>
      <c r="C7" s="8" t="s">
        <v>176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S7" s="4"/>
      <c r="T7" s="4"/>
      <c r="U7" s="4"/>
      <c r="V7" s="4"/>
      <c r="W7" s="4"/>
      <c r="X7" s="4"/>
    </row>
    <row r="8" spans="1:24" x14ac:dyDescent="0.2">
      <c r="A8" s="8" t="s">
        <v>16</v>
      </c>
      <c r="B8" s="8" t="s">
        <v>101</v>
      </c>
      <c r="C8" s="8" t="s">
        <v>177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63</v>
      </c>
      <c r="T8" s="4"/>
      <c r="U8" s="4"/>
      <c r="V8" s="4"/>
      <c r="W8" s="4"/>
      <c r="X8" s="4"/>
    </row>
    <row r="9" spans="1:24" x14ac:dyDescent="0.2">
      <c r="A9" s="8" t="s">
        <v>16</v>
      </c>
      <c r="B9" s="8" t="s">
        <v>101</v>
      </c>
      <c r="C9" s="8" t="s">
        <v>178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T9" s="4" t="s">
        <v>63</v>
      </c>
      <c r="U9" s="4"/>
      <c r="V9" s="4"/>
      <c r="W9" s="4"/>
      <c r="X9" s="4"/>
    </row>
    <row r="10" spans="1:24" x14ac:dyDescent="0.2">
      <c r="A10" s="8" t="s">
        <v>16</v>
      </c>
      <c r="B10" s="8" t="s">
        <v>101</v>
      </c>
      <c r="C10" s="8" t="s">
        <v>179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">
      <c r="A11" s="8" t="s">
        <v>16</v>
      </c>
      <c r="B11" s="8" t="s">
        <v>101</v>
      </c>
      <c r="C11" s="8" t="s">
        <v>180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T11" s="4" t="s">
        <v>63</v>
      </c>
      <c r="U11" s="4"/>
      <c r="V11" s="4"/>
      <c r="W11" s="4"/>
      <c r="X11" s="4"/>
    </row>
    <row r="12" spans="1:24" x14ac:dyDescent="0.2">
      <c r="A12" s="8" t="s">
        <v>16</v>
      </c>
      <c r="B12" s="8" t="s">
        <v>101</v>
      </c>
      <c r="C12" s="8" t="s">
        <v>181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">
      <c r="A13" s="8" t="s">
        <v>16</v>
      </c>
      <c r="B13" s="8" t="s">
        <v>101</v>
      </c>
      <c r="C13" s="8" t="s">
        <v>182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63</v>
      </c>
      <c r="U13" s="4"/>
      <c r="V13" s="4"/>
      <c r="W13" s="4"/>
      <c r="X13" s="4"/>
    </row>
    <row r="14" spans="1:24" x14ac:dyDescent="0.2">
      <c r="A14" s="8" t="s">
        <v>16</v>
      </c>
      <c r="B14" s="8" t="s">
        <v>101</v>
      </c>
      <c r="C14" s="8" t="s">
        <v>183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">
      <c r="A15" s="8" t="s">
        <v>16</v>
      </c>
      <c r="B15" s="8" t="s">
        <v>101</v>
      </c>
      <c r="C15" s="8" t="s">
        <v>184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63</v>
      </c>
      <c r="U15" s="4"/>
      <c r="V15" s="4"/>
      <c r="W15" s="4"/>
      <c r="X15" s="4"/>
    </row>
    <row r="16" spans="1:24" x14ac:dyDescent="0.2">
      <c r="A16" s="8" t="s">
        <v>16</v>
      </c>
      <c r="B16" s="8" t="s">
        <v>101</v>
      </c>
      <c r="C16" s="8" t="s">
        <v>185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8" t="s">
        <v>16</v>
      </c>
      <c r="B17" s="8" t="s">
        <v>186</v>
      </c>
      <c r="C17" s="8" t="s">
        <v>174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16</v>
      </c>
      <c r="B18" s="8" t="s">
        <v>187</v>
      </c>
      <c r="C18" s="8" t="s">
        <v>174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">
      <c r="A19" s="8" t="s">
        <v>16</v>
      </c>
      <c r="B19" s="8" t="s">
        <v>188</v>
      </c>
      <c r="C19" s="8" t="s">
        <v>189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63</v>
      </c>
      <c r="U19" s="4"/>
      <c r="V19" s="4"/>
      <c r="W19" s="4"/>
      <c r="X19" s="4"/>
    </row>
    <row r="20" spans="1:24" x14ac:dyDescent="0.2">
      <c r="A20" s="8" t="s">
        <v>16</v>
      </c>
      <c r="B20" s="8" t="s">
        <v>190</v>
      </c>
      <c r="C20" s="8" t="s">
        <v>191</v>
      </c>
      <c r="D20" s="4"/>
      <c r="E20" s="4"/>
      <c r="F20" s="4">
        <v>3300.72</v>
      </c>
      <c r="G20" s="4"/>
      <c r="H20" s="4"/>
      <c r="I20" s="4">
        <v>3300.72</v>
      </c>
      <c r="J20" s="4"/>
      <c r="K20" s="4"/>
      <c r="L20" s="4">
        <v>3300.72</v>
      </c>
      <c r="M20" s="4"/>
      <c r="N20" s="4"/>
      <c r="O20" s="4">
        <v>3300.72</v>
      </c>
      <c r="P20" s="4"/>
      <c r="Q20" s="14"/>
      <c r="R20" s="14"/>
      <c r="S20" s="14"/>
      <c r="T20" s="14"/>
      <c r="U20" s="4" t="s">
        <v>1775</v>
      </c>
      <c r="V20" s="4"/>
      <c r="W20" s="4"/>
      <c r="X2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16"/>
  <sheetViews>
    <sheetView workbookViewId="0">
      <selection activeCell="Q16" sqref="Q16:T16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SUM(E5:G16)</f>
        <v>260.48</v>
      </c>
      <c r="G2" s="6"/>
      <c r="H2" s="6"/>
      <c r="I2" s="6">
        <f>SUM(H5:J16)</f>
        <v>260.48</v>
      </c>
      <c r="J2" s="6"/>
      <c r="K2" s="6"/>
      <c r="L2" s="6">
        <f>SUM(K5:M16)</f>
        <v>260.48</v>
      </c>
      <c r="M2" s="6"/>
      <c r="N2" s="6"/>
      <c r="O2" s="6">
        <f>SUM(N5:P16)</f>
        <v>260.48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17</v>
      </c>
      <c r="B5" s="8" t="s">
        <v>192</v>
      </c>
      <c r="C5" s="8" t="s">
        <v>193</v>
      </c>
      <c r="D5" s="4"/>
      <c r="E5" s="4"/>
      <c r="F5" s="4">
        <v>65.489999999999995</v>
      </c>
      <c r="G5" s="4"/>
      <c r="H5" s="4"/>
      <c r="I5" s="4">
        <v>65.489999999999995</v>
      </c>
      <c r="J5" s="4"/>
      <c r="K5" s="4"/>
      <c r="L5" s="4">
        <v>65.489999999999995</v>
      </c>
      <c r="M5" s="4"/>
      <c r="N5" s="4"/>
      <c r="O5" s="4">
        <v>65.489999999999995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17</v>
      </c>
      <c r="B6" s="8" t="s">
        <v>101</v>
      </c>
      <c r="C6" s="8" t="s">
        <v>194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">
      <c r="A7" s="8" t="s">
        <v>17</v>
      </c>
      <c r="B7" s="8" t="s">
        <v>101</v>
      </c>
      <c r="C7" s="8" t="s">
        <v>195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">
      <c r="A8" s="8" t="s">
        <v>17</v>
      </c>
      <c r="B8" s="8" t="s">
        <v>101</v>
      </c>
      <c r="C8" s="8" t="s">
        <v>196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/>
      <c r="T8" s="4"/>
      <c r="U8" s="4"/>
      <c r="V8" s="4"/>
      <c r="W8" s="4"/>
      <c r="X8" s="4"/>
    </row>
    <row r="9" spans="1:24" x14ac:dyDescent="0.2">
      <c r="A9" s="8" t="s">
        <v>17</v>
      </c>
      <c r="B9" s="8" t="s">
        <v>101</v>
      </c>
      <c r="C9" s="8" t="s">
        <v>197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">
      <c r="A10" s="8" t="s">
        <v>17</v>
      </c>
      <c r="B10" s="8" t="s">
        <v>101</v>
      </c>
      <c r="C10" s="8" t="s">
        <v>198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">
      <c r="A11" s="8" t="s">
        <v>17</v>
      </c>
      <c r="B11" s="8" t="s">
        <v>101</v>
      </c>
      <c r="C11" s="8" t="s">
        <v>199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63</v>
      </c>
      <c r="U11" s="4"/>
      <c r="V11" s="4"/>
      <c r="W11" s="4"/>
      <c r="X11" s="4"/>
    </row>
    <row r="12" spans="1:24" x14ac:dyDescent="0.2">
      <c r="A12" s="8" t="s">
        <v>17</v>
      </c>
      <c r="B12" s="8" t="s">
        <v>200</v>
      </c>
      <c r="C12" s="8" t="s">
        <v>193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63</v>
      </c>
      <c r="S12" s="4"/>
      <c r="T12" s="4"/>
      <c r="U12" s="4"/>
      <c r="V12" s="4"/>
      <c r="W12" s="4"/>
      <c r="X12" s="4"/>
    </row>
    <row r="13" spans="1:24" x14ac:dyDescent="0.2">
      <c r="A13" s="8" t="s">
        <v>17</v>
      </c>
      <c r="B13" s="8" t="s">
        <v>201</v>
      </c>
      <c r="C13" s="8" t="s">
        <v>193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">
      <c r="A14" s="8" t="s">
        <v>17</v>
      </c>
      <c r="B14" s="8" t="s">
        <v>202</v>
      </c>
      <c r="C14" s="8" t="s">
        <v>193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">
      <c r="A15" s="8" t="s">
        <v>17</v>
      </c>
      <c r="B15" s="8" t="s">
        <v>203</v>
      </c>
      <c r="C15" s="8" t="s">
        <v>204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63</v>
      </c>
      <c r="U15" s="4"/>
      <c r="V15" s="4"/>
      <c r="W15" s="4"/>
      <c r="X15" s="4"/>
    </row>
    <row r="16" spans="1:24" x14ac:dyDescent="0.2">
      <c r="A16" s="8" t="s">
        <v>17</v>
      </c>
      <c r="B16" s="8" t="s">
        <v>205</v>
      </c>
      <c r="C16" s="8" t="s">
        <v>206</v>
      </c>
      <c r="D16" s="4"/>
      <c r="E16" s="4"/>
      <c r="F16" s="4">
        <v>194.99</v>
      </c>
      <c r="G16" s="4"/>
      <c r="H16" s="4"/>
      <c r="I16" s="4">
        <v>194.99</v>
      </c>
      <c r="J16" s="4"/>
      <c r="K16" s="4"/>
      <c r="L16" s="4">
        <v>194.99</v>
      </c>
      <c r="M16" s="4"/>
      <c r="N16" s="4"/>
      <c r="O16" s="4">
        <v>194.99</v>
      </c>
      <c r="P16" s="4"/>
      <c r="Q16" s="14"/>
      <c r="R16" s="14"/>
      <c r="S16" s="14"/>
      <c r="T16" s="14"/>
      <c r="U16" s="4" t="s">
        <v>1775</v>
      </c>
      <c r="V16" s="4"/>
      <c r="W16" s="4"/>
      <c r="X1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19"/>
  <sheetViews>
    <sheetView workbookViewId="0">
      <selection activeCell="C22" sqref="C22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373.07999999999993</v>
      </c>
      <c r="G2" s="6"/>
      <c r="H2" s="6"/>
      <c r="I2" s="6">
        <f>SUM(H5:J18)</f>
        <v>373.07999999999993</v>
      </c>
      <c r="J2" s="6"/>
      <c r="K2" s="6"/>
      <c r="L2" s="6">
        <f>SUM(K5:M18)</f>
        <v>373.07999999999993</v>
      </c>
      <c r="M2" s="6"/>
      <c r="N2" s="6"/>
      <c r="O2" s="6">
        <f>SUM(N5:P18)</f>
        <v>373.07999999999993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18</v>
      </c>
      <c r="B5" s="8" t="s">
        <v>207</v>
      </c>
      <c r="C5" s="8" t="s">
        <v>208</v>
      </c>
      <c r="D5" s="4"/>
      <c r="E5" s="4">
        <v>12.65</v>
      </c>
      <c r="F5" s="4"/>
      <c r="G5" s="4">
        <v>12.48</v>
      </c>
      <c r="H5" s="4">
        <v>12.65</v>
      </c>
      <c r="I5" s="4"/>
      <c r="J5" s="4">
        <v>12.48</v>
      </c>
      <c r="K5" s="4">
        <v>12.65</v>
      </c>
      <c r="L5" s="4"/>
      <c r="M5" s="4">
        <v>12.48</v>
      </c>
      <c r="N5" s="4">
        <v>12.65</v>
      </c>
      <c r="O5" s="4"/>
      <c r="P5" s="4">
        <v>12.48</v>
      </c>
      <c r="Q5" s="4" t="s">
        <v>1775</v>
      </c>
      <c r="R5" s="14"/>
      <c r="S5" s="4"/>
      <c r="T5" s="4" t="s">
        <v>1775</v>
      </c>
      <c r="U5" s="4"/>
      <c r="V5" s="4"/>
      <c r="W5" s="4"/>
      <c r="X5" s="4"/>
    </row>
    <row r="6" spans="1:24" x14ac:dyDescent="0.2">
      <c r="A6" s="8" t="s">
        <v>18</v>
      </c>
      <c r="B6" s="8" t="s">
        <v>209</v>
      </c>
      <c r="C6" s="8" t="s">
        <v>210</v>
      </c>
      <c r="D6" s="4"/>
      <c r="E6" s="4">
        <v>9.89</v>
      </c>
      <c r="F6" s="4"/>
      <c r="G6" s="4">
        <v>9.73</v>
      </c>
      <c r="H6" s="4">
        <v>9.89</v>
      </c>
      <c r="I6" s="4"/>
      <c r="J6" s="4">
        <v>9.73</v>
      </c>
      <c r="K6" s="4">
        <v>9.89</v>
      </c>
      <c r="L6" s="4"/>
      <c r="M6" s="4">
        <v>9.73</v>
      </c>
      <c r="N6" s="4">
        <v>9.89</v>
      </c>
      <c r="O6" s="4"/>
      <c r="P6" s="4">
        <v>9.73</v>
      </c>
      <c r="Q6" s="4" t="s">
        <v>1775</v>
      </c>
      <c r="R6" s="14"/>
      <c r="S6" s="4"/>
      <c r="T6" s="4" t="s">
        <v>1775</v>
      </c>
      <c r="U6" s="4"/>
      <c r="V6" s="4"/>
      <c r="W6" s="4"/>
      <c r="X6" s="4"/>
    </row>
    <row r="7" spans="1:24" x14ac:dyDescent="0.2">
      <c r="A7" s="8" t="s">
        <v>18</v>
      </c>
      <c r="B7" s="8" t="s">
        <v>211</v>
      </c>
      <c r="C7" s="8" t="s">
        <v>212</v>
      </c>
      <c r="D7" s="4"/>
      <c r="E7" s="4">
        <v>9.74</v>
      </c>
      <c r="F7" s="4"/>
      <c r="G7" s="4">
        <v>10.050000000000001</v>
      </c>
      <c r="H7" s="4">
        <v>9.74</v>
      </c>
      <c r="I7" s="4"/>
      <c r="J7" s="4">
        <v>10.050000000000001</v>
      </c>
      <c r="K7" s="4">
        <v>9.74</v>
      </c>
      <c r="L7" s="4"/>
      <c r="M7" s="4">
        <v>10.050000000000001</v>
      </c>
      <c r="N7" s="4">
        <v>9.74</v>
      </c>
      <c r="O7" s="4"/>
      <c r="P7" s="4">
        <v>10.050000000000001</v>
      </c>
      <c r="Q7" s="4" t="s">
        <v>1775</v>
      </c>
      <c r="R7" s="14"/>
      <c r="S7" s="4"/>
      <c r="T7" s="4" t="s">
        <v>1775</v>
      </c>
      <c r="U7" s="4"/>
      <c r="V7" s="4"/>
      <c r="W7" s="4"/>
      <c r="X7" s="4"/>
    </row>
    <row r="8" spans="1:24" x14ac:dyDescent="0.2">
      <c r="A8" s="8" t="s">
        <v>18</v>
      </c>
      <c r="B8" s="8" t="s">
        <v>213</v>
      </c>
      <c r="C8" s="8" t="s">
        <v>214</v>
      </c>
      <c r="D8" s="4"/>
      <c r="E8" s="4">
        <v>24.94</v>
      </c>
      <c r="F8" s="4"/>
      <c r="G8" s="4">
        <v>9.57</v>
      </c>
      <c r="H8" s="4">
        <v>24.94</v>
      </c>
      <c r="I8" s="4"/>
      <c r="J8" s="4">
        <v>9.57</v>
      </c>
      <c r="K8" s="4">
        <v>24.94</v>
      </c>
      <c r="L8" s="4"/>
      <c r="M8" s="4">
        <v>9.57</v>
      </c>
      <c r="N8" s="4">
        <v>24.94</v>
      </c>
      <c r="O8" s="4"/>
      <c r="P8" s="4">
        <v>9.57</v>
      </c>
      <c r="Q8" s="4" t="s">
        <v>1775</v>
      </c>
      <c r="R8" s="14"/>
      <c r="S8" s="4"/>
      <c r="T8" s="4" t="s">
        <v>1775</v>
      </c>
      <c r="U8" s="4"/>
      <c r="V8" s="4"/>
      <c r="W8" s="4"/>
      <c r="X8" s="4"/>
    </row>
    <row r="9" spans="1:24" x14ac:dyDescent="0.2">
      <c r="A9" s="8" t="s">
        <v>18</v>
      </c>
      <c r="B9" s="8" t="s">
        <v>215</v>
      </c>
      <c r="C9" s="8" t="s">
        <v>216</v>
      </c>
      <c r="D9" s="4"/>
      <c r="E9" s="4">
        <v>9.7899999999999991</v>
      </c>
      <c r="F9" s="4"/>
      <c r="G9" s="4">
        <v>9.9499999999999993</v>
      </c>
      <c r="H9" s="4">
        <v>9.7899999999999991</v>
      </c>
      <c r="I9" s="4"/>
      <c r="J9" s="4">
        <v>9.9499999999999993</v>
      </c>
      <c r="K9" s="4">
        <v>9.7899999999999991</v>
      </c>
      <c r="L9" s="4"/>
      <c r="M9" s="4">
        <v>9.9499999999999993</v>
      </c>
      <c r="N9" s="4">
        <v>9.7899999999999991</v>
      </c>
      <c r="O9" s="4"/>
      <c r="P9" s="4">
        <v>9.9499999999999993</v>
      </c>
      <c r="Q9" s="4" t="s">
        <v>1775</v>
      </c>
      <c r="R9" s="14"/>
      <c r="S9" s="4"/>
      <c r="T9" s="4" t="s">
        <v>1775</v>
      </c>
      <c r="U9" s="4"/>
      <c r="V9" s="4"/>
      <c r="W9" s="4"/>
      <c r="X9" s="4"/>
    </row>
    <row r="10" spans="1:24" x14ac:dyDescent="0.2">
      <c r="A10" s="8" t="s">
        <v>18</v>
      </c>
      <c r="B10" s="8" t="s">
        <v>217</v>
      </c>
      <c r="C10" s="8" t="s">
        <v>218</v>
      </c>
      <c r="D10" s="4"/>
      <c r="E10" s="4">
        <v>11.01</v>
      </c>
      <c r="F10" s="4"/>
      <c r="G10" s="4">
        <v>11.99</v>
      </c>
      <c r="H10" s="4">
        <v>11.01</v>
      </c>
      <c r="I10" s="4"/>
      <c r="J10" s="4">
        <v>11.99</v>
      </c>
      <c r="K10" s="4">
        <v>11.01</v>
      </c>
      <c r="L10" s="4"/>
      <c r="M10" s="4">
        <v>11.99</v>
      </c>
      <c r="N10" s="4">
        <v>11.01</v>
      </c>
      <c r="O10" s="4"/>
      <c r="P10" s="4">
        <v>11.99</v>
      </c>
      <c r="Q10" s="4" t="s">
        <v>1775</v>
      </c>
      <c r="R10" s="14"/>
      <c r="S10" s="4"/>
      <c r="T10" s="4" t="s">
        <v>1775</v>
      </c>
      <c r="U10" s="4"/>
      <c r="V10" s="4"/>
      <c r="W10" s="4"/>
      <c r="X10" s="4"/>
    </row>
    <row r="11" spans="1:24" x14ac:dyDescent="0.2">
      <c r="A11" s="8" t="s">
        <v>18</v>
      </c>
      <c r="B11" s="8" t="s">
        <v>219</v>
      </c>
      <c r="C11" s="8" t="s">
        <v>220</v>
      </c>
      <c r="D11" s="4"/>
      <c r="E11" s="4">
        <v>28.08</v>
      </c>
      <c r="F11" s="4"/>
      <c r="G11" s="4">
        <v>28.05</v>
      </c>
      <c r="H11" s="4">
        <v>28.08</v>
      </c>
      <c r="I11" s="4"/>
      <c r="J11" s="4">
        <v>28.05</v>
      </c>
      <c r="K11" s="4">
        <v>28.08</v>
      </c>
      <c r="L11" s="4"/>
      <c r="M11" s="4">
        <v>28.05</v>
      </c>
      <c r="N11" s="4">
        <v>28.08</v>
      </c>
      <c r="O11" s="4"/>
      <c r="P11" s="4">
        <v>28.05</v>
      </c>
      <c r="Q11" s="4" t="s">
        <v>1775</v>
      </c>
      <c r="R11" s="14"/>
      <c r="S11" s="4"/>
      <c r="T11" s="4" t="s">
        <v>1775</v>
      </c>
      <c r="U11" s="4"/>
      <c r="V11" s="4"/>
      <c r="W11" s="4"/>
      <c r="X11" s="4"/>
    </row>
    <row r="12" spans="1:24" x14ac:dyDescent="0.2">
      <c r="A12" s="8" t="s">
        <v>18</v>
      </c>
      <c r="B12" s="8" t="s">
        <v>221</v>
      </c>
      <c r="C12" s="8" t="s">
        <v>222</v>
      </c>
      <c r="D12" s="4"/>
      <c r="E12" s="4">
        <v>10.73</v>
      </c>
      <c r="F12" s="4"/>
      <c r="G12" s="4">
        <v>10.83</v>
      </c>
      <c r="H12" s="4">
        <v>10.73</v>
      </c>
      <c r="I12" s="4"/>
      <c r="J12" s="4">
        <v>10.83</v>
      </c>
      <c r="K12" s="4">
        <v>10.73</v>
      </c>
      <c r="L12" s="4"/>
      <c r="M12" s="4">
        <v>10.83</v>
      </c>
      <c r="N12" s="4">
        <v>10.73</v>
      </c>
      <c r="O12" s="4"/>
      <c r="P12" s="4">
        <v>10.83</v>
      </c>
      <c r="Q12" s="4" t="s">
        <v>1775</v>
      </c>
      <c r="R12" s="14"/>
      <c r="S12" s="4"/>
      <c r="T12" s="4" t="s">
        <v>1775</v>
      </c>
      <c r="U12" s="4"/>
      <c r="V12" s="4"/>
      <c r="W12" s="4"/>
      <c r="X12" s="4"/>
    </row>
    <row r="13" spans="1:24" x14ac:dyDescent="0.2">
      <c r="A13" s="8" t="s">
        <v>18</v>
      </c>
      <c r="B13" s="8" t="s">
        <v>223</v>
      </c>
      <c r="C13" s="8" t="s">
        <v>224</v>
      </c>
      <c r="D13" s="4"/>
      <c r="E13" s="4">
        <v>10.3</v>
      </c>
      <c r="F13" s="4"/>
      <c r="G13" s="4">
        <v>10.46</v>
      </c>
      <c r="H13" s="4">
        <v>10.3</v>
      </c>
      <c r="I13" s="4"/>
      <c r="J13" s="4">
        <v>10.46</v>
      </c>
      <c r="K13" s="4">
        <v>10.3</v>
      </c>
      <c r="L13" s="4"/>
      <c r="M13" s="4">
        <v>10.46</v>
      </c>
      <c r="N13" s="4">
        <v>10.3</v>
      </c>
      <c r="O13" s="4"/>
      <c r="P13" s="4">
        <v>10.46</v>
      </c>
      <c r="Q13" s="4" t="s">
        <v>1775</v>
      </c>
      <c r="R13" s="14"/>
      <c r="S13" s="4"/>
      <c r="T13" s="4" t="s">
        <v>1775</v>
      </c>
      <c r="U13" s="4"/>
      <c r="V13" s="4"/>
      <c r="W13" s="4"/>
      <c r="X13" s="4"/>
    </row>
    <row r="14" spans="1:24" x14ac:dyDescent="0.2">
      <c r="A14" s="8" t="s">
        <v>18</v>
      </c>
      <c r="B14" s="8" t="s">
        <v>225</v>
      </c>
      <c r="C14" s="8" t="s">
        <v>226</v>
      </c>
      <c r="D14" s="4"/>
      <c r="E14" s="4">
        <v>14.47</v>
      </c>
      <c r="F14" s="4"/>
      <c r="G14" s="4">
        <v>13.58</v>
      </c>
      <c r="H14" s="4">
        <v>14.47</v>
      </c>
      <c r="I14" s="4"/>
      <c r="J14" s="4">
        <v>13.58</v>
      </c>
      <c r="K14" s="4">
        <v>14.47</v>
      </c>
      <c r="L14" s="4"/>
      <c r="M14" s="4">
        <v>13.58</v>
      </c>
      <c r="N14" s="4">
        <v>14.47</v>
      </c>
      <c r="O14" s="4"/>
      <c r="P14" s="4">
        <v>13.58</v>
      </c>
      <c r="Q14" s="4" t="s">
        <v>1775</v>
      </c>
      <c r="R14" s="14"/>
      <c r="S14" s="4"/>
      <c r="T14" s="4" t="s">
        <v>1775</v>
      </c>
      <c r="U14" s="4"/>
      <c r="V14" s="4"/>
      <c r="W14" s="4"/>
      <c r="X14" s="4"/>
    </row>
    <row r="15" spans="1:24" x14ac:dyDescent="0.2">
      <c r="A15" s="8" t="s">
        <v>18</v>
      </c>
      <c r="B15" s="8" t="s">
        <v>227</v>
      </c>
      <c r="C15" s="8" t="s">
        <v>228</v>
      </c>
      <c r="D15" s="4"/>
      <c r="E15" s="4">
        <v>9.4499999999999993</v>
      </c>
      <c r="F15" s="4"/>
      <c r="G15" s="4">
        <v>9.6999999999999993</v>
      </c>
      <c r="H15" s="4">
        <v>9.4499999999999993</v>
      </c>
      <c r="I15" s="4"/>
      <c r="J15" s="4">
        <v>9.6999999999999993</v>
      </c>
      <c r="K15" s="4">
        <v>9.4499999999999993</v>
      </c>
      <c r="L15" s="4"/>
      <c r="M15" s="4">
        <v>9.6999999999999993</v>
      </c>
      <c r="N15" s="4">
        <v>9.4499999999999993</v>
      </c>
      <c r="O15" s="4"/>
      <c r="P15" s="4">
        <v>9.6999999999999993</v>
      </c>
      <c r="Q15" s="4" t="s">
        <v>1775</v>
      </c>
      <c r="R15" s="14"/>
      <c r="S15" s="4"/>
      <c r="T15" s="4" t="s">
        <v>1775</v>
      </c>
      <c r="U15" s="4"/>
      <c r="V15" s="4"/>
      <c r="W15" s="4"/>
      <c r="X15" s="4"/>
    </row>
    <row r="16" spans="1:24" x14ac:dyDescent="0.2">
      <c r="A16" s="8" t="s">
        <v>18</v>
      </c>
      <c r="B16" s="8" t="s">
        <v>229</v>
      </c>
      <c r="C16" s="8" t="s">
        <v>230</v>
      </c>
      <c r="D16" s="4"/>
      <c r="E16" s="4">
        <v>10.38</v>
      </c>
      <c r="F16" s="4"/>
      <c r="G16" s="4">
        <v>10.56</v>
      </c>
      <c r="H16" s="4">
        <v>10.38</v>
      </c>
      <c r="I16" s="4"/>
      <c r="J16" s="4">
        <v>10.56</v>
      </c>
      <c r="K16" s="4">
        <v>10.38</v>
      </c>
      <c r="L16" s="4"/>
      <c r="M16" s="4">
        <v>10.56</v>
      </c>
      <c r="N16" s="4">
        <v>10.38</v>
      </c>
      <c r="O16" s="4"/>
      <c r="P16" s="4">
        <v>10.56</v>
      </c>
      <c r="Q16" s="4" t="s">
        <v>1775</v>
      </c>
      <c r="R16" s="14"/>
      <c r="S16" s="4"/>
      <c r="T16" s="4" t="s">
        <v>1775</v>
      </c>
      <c r="U16" s="4"/>
      <c r="V16" s="4"/>
      <c r="W16" s="4"/>
      <c r="X16" s="4"/>
    </row>
    <row r="17" spans="1:24" x14ac:dyDescent="0.2">
      <c r="A17" s="8" t="s">
        <v>18</v>
      </c>
      <c r="B17" s="8" t="s">
        <v>231</v>
      </c>
      <c r="C17" s="8" t="s">
        <v>232</v>
      </c>
      <c r="D17" s="4"/>
      <c r="E17" s="4">
        <v>10.28</v>
      </c>
      <c r="F17" s="4"/>
      <c r="G17" s="4">
        <v>10.57</v>
      </c>
      <c r="H17" s="4">
        <v>10.28</v>
      </c>
      <c r="I17" s="4"/>
      <c r="J17" s="4">
        <v>10.57</v>
      </c>
      <c r="K17" s="4">
        <v>10.28</v>
      </c>
      <c r="L17" s="4"/>
      <c r="M17" s="4">
        <v>10.57</v>
      </c>
      <c r="N17" s="4">
        <v>10.28</v>
      </c>
      <c r="O17" s="4"/>
      <c r="P17" s="4">
        <v>10.57</v>
      </c>
      <c r="Q17" s="4" t="s">
        <v>1775</v>
      </c>
      <c r="R17" s="14"/>
      <c r="S17" s="4"/>
      <c r="T17" s="4" t="s">
        <v>1775</v>
      </c>
      <c r="U17" s="4"/>
      <c r="V17" s="4"/>
      <c r="W17" s="4"/>
      <c r="X17" s="4"/>
    </row>
    <row r="18" spans="1:24" x14ac:dyDescent="0.2">
      <c r="A18" s="8" t="s">
        <v>18</v>
      </c>
      <c r="B18" s="8" t="s">
        <v>233</v>
      </c>
      <c r="C18" s="8" t="s">
        <v>234</v>
      </c>
      <c r="D18" s="4"/>
      <c r="E18" s="4">
        <v>22.26</v>
      </c>
      <c r="F18" s="4"/>
      <c r="G18" s="4">
        <v>21.59</v>
      </c>
      <c r="H18" s="4">
        <v>22.26</v>
      </c>
      <c r="I18" s="4"/>
      <c r="J18" s="4">
        <v>21.59</v>
      </c>
      <c r="K18" s="4">
        <v>22.26</v>
      </c>
      <c r="L18" s="4"/>
      <c r="M18" s="4">
        <v>21.59</v>
      </c>
      <c r="N18" s="4">
        <v>22.26</v>
      </c>
      <c r="O18" s="4"/>
      <c r="P18" s="4">
        <v>21.59</v>
      </c>
      <c r="Q18" s="4" t="s">
        <v>1775</v>
      </c>
      <c r="R18" s="14"/>
      <c r="S18" s="4"/>
      <c r="T18" s="4" t="s">
        <v>1775</v>
      </c>
      <c r="U18" s="4"/>
      <c r="V18" s="4"/>
      <c r="W18" s="4"/>
      <c r="X18" s="4"/>
    </row>
    <row r="19" spans="1:24" x14ac:dyDescent="0.2">
      <c r="A19" s="8" t="s">
        <v>18</v>
      </c>
      <c r="B19" s="8" t="s">
        <v>233</v>
      </c>
      <c r="C19" s="8" t="s">
        <v>1798</v>
      </c>
      <c r="D19" s="4"/>
      <c r="E19" s="4">
        <v>22.26</v>
      </c>
      <c r="F19" s="4"/>
      <c r="G19" s="4">
        <v>21.59</v>
      </c>
      <c r="H19" s="4">
        <v>22.26</v>
      </c>
      <c r="I19" s="4"/>
      <c r="J19" s="4">
        <v>21.59</v>
      </c>
      <c r="K19" s="4">
        <v>22.26</v>
      </c>
      <c r="L19" s="4"/>
      <c r="M19" s="4">
        <v>21.59</v>
      </c>
      <c r="N19" s="4">
        <v>22.26</v>
      </c>
      <c r="O19" s="4"/>
      <c r="P19" s="4">
        <v>21.59</v>
      </c>
      <c r="Q19" s="4" t="s">
        <v>1775</v>
      </c>
      <c r="R19" s="14"/>
      <c r="S19" s="4"/>
      <c r="T19" s="4" t="s">
        <v>1775</v>
      </c>
      <c r="U19" s="4"/>
      <c r="V19" s="4"/>
      <c r="W19" s="4"/>
      <c r="X1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8"/>
  <sheetViews>
    <sheetView workbookViewId="0">
      <selection activeCell="X24" sqref="X24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SUM(E5:G8)</f>
        <v>14.13</v>
      </c>
      <c r="G2" s="6"/>
      <c r="H2" s="6"/>
      <c r="I2" s="6">
        <f>SUM(H5:J8)</f>
        <v>14.13</v>
      </c>
      <c r="J2" s="6"/>
      <c r="K2" s="6"/>
      <c r="L2" s="6">
        <f>SUM(K5:M8)</f>
        <v>14.13</v>
      </c>
      <c r="M2" s="6"/>
      <c r="N2" s="6"/>
      <c r="O2" s="6">
        <f>SUM(N5:P8)</f>
        <v>14.13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19</v>
      </c>
      <c r="B5" s="8" t="s">
        <v>235</v>
      </c>
      <c r="C5" s="8" t="s">
        <v>236</v>
      </c>
      <c r="D5" s="4"/>
      <c r="E5" s="4"/>
      <c r="F5" s="4">
        <v>14.13</v>
      </c>
      <c r="G5" s="4"/>
      <c r="H5" s="4"/>
      <c r="I5" s="4">
        <v>14.13</v>
      </c>
      <c r="J5" s="4"/>
      <c r="K5" s="4"/>
      <c r="L5" s="4">
        <v>14.13</v>
      </c>
      <c r="M5" s="4"/>
      <c r="N5" s="4"/>
      <c r="O5" s="4">
        <v>14.13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19</v>
      </c>
      <c r="B6" s="8" t="s">
        <v>237</v>
      </c>
      <c r="C6" s="8" t="s">
        <v>238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1775</v>
      </c>
      <c r="V6" s="4"/>
      <c r="W6" s="4"/>
      <c r="X6" s="4"/>
    </row>
    <row r="7" spans="1:24" x14ac:dyDescent="0.2">
      <c r="A7" s="8" t="s">
        <v>19</v>
      </c>
      <c r="B7" s="8" t="s">
        <v>239</v>
      </c>
      <c r="C7" s="8" t="s">
        <v>240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 t="s">
        <v>1775</v>
      </c>
      <c r="V7" s="4"/>
      <c r="W7" s="4"/>
      <c r="X7" s="4"/>
    </row>
    <row r="8" spans="1:24" x14ac:dyDescent="0.2">
      <c r="A8" s="8" t="s">
        <v>19</v>
      </c>
      <c r="B8" s="8" t="s">
        <v>241</v>
      </c>
      <c r="C8" s="8" t="s">
        <v>242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1775</v>
      </c>
      <c r="V8" s="4"/>
      <c r="W8" s="4"/>
      <c r="X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80"/>
  <sheetViews>
    <sheetView workbookViewId="0">
      <selection activeCell="AE19" sqref="AE19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SUM(E5:G80)</f>
        <v>3466.52</v>
      </c>
      <c r="G2" s="6"/>
      <c r="H2" s="6"/>
      <c r="I2" s="6">
        <f>SUM(H5:J80)</f>
        <v>3466.52</v>
      </c>
      <c r="J2" s="6"/>
      <c r="K2" s="6"/>
      <c r="L2" s="6">
        <f>SUM(K5:M80)</f>
        <v>3466.52</v>
      </c>
      <c r="M2" s="6"/>
      <c r="N2" s="6"/>
      <c r="O2" s="6">
        <f>SUM(N5:P80)</f>
        <v>3466.52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20</v>
      </c>
      <c r="B5" s="8" t="s">
        <v>243</v>
      </c>
      <c r="C5" s="8" t="s">
        <v>244</v>
      </c>
      <c r="D5" s="4"/>
      <c r="E5" s="4"/>
      <c r="F5" s="4">
        <v>162.04</v>
      </c>
      <c r="G5" s="4"/>
      <c r="H5" s="4"/>
      <c r="I5" s="4">
        <v>162.04</v>
      </c>
      <c r="J5" s="4"/>
      <c r="K5" s="4"/>
      <c r="L5" s="4">
        <v>162.04</v>
      </c>
      <c r="M5" s="4"/>
      <c r="N5" s="4"/>
      <c r="O5" s="4">
        <v>162.04</v>
      </c>
      <c r="P5" s="4"/>
      <c r="Q5" s="4" t="s">
        <v>63</v>
      </c>
      <c r="R5" s="4"/>
      <c r="S5" s="10" t="s">
        <v>63</v>
      </c>
      <c r="T5" s="4"/>
      <c r="U5" s="4"/>
      <c r="V5" s="4"/>
      <c r="W5" s="4"/>
      <c r="X5" s="4"/>
    </row>
    <row r="6" spans="1:24" x14ac:dyDescent="0.2">
      <c r="A6" s="8" t="s">
        <v>20</v>
      </c>
      <c r="B6" s="8" t="s">
        <v>101</v>
      </c>
      <c r="C6" s="8" t="s">
        <v>245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20</v>
      </c>
      <c r="B7" s="8" t="s">
        <v>101</v>
      </c>
      <c r="C7" s="8" t="s">
        <v>246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63</v>
      </c>
      <c r="U7" s="4"/>
      <c r="V7" s="4"/>
      <c r="W7" s="4"/>
      <c r="X7" s="4"/>
    </row>
    <row r="8" spans="1:24" x14ac:dyDescent="0.2">
      <c r="A8" s="8" t="s">
        <v>20</v>
      </c>
      <c r="B8" s="8" t="s">
        <v>101</v>
      </c>
      <c r="C8" s="8" t="s">
        <v>247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0" t="s">
        <v>63</v>
      </c>
      <c r="T8" s="4"/>
      <c r="U8" s="4"/>
      <c r="V8" s="4"/>
      <c r="W8" s="4"/>
      <c r="X8" s="4"/>
    </row>
    <row r="9" spans="1:24" x14ac:dyDescent="0.2">
      <c r="A9" s="8" t="s">
        <v>20</v>
      </c>
      <c r="B9" s="8" t="s">
        <v>101</v>
      </c>
      <c r="C9" s="8" t="s">
        <v>248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0" t="s">
        <v>63</v>
      </c>
      <c r="U9" s="4"/>
      <c r="V9" s="4"/>
      <c r="W9" s="4"/>
      <c r="X9" s="4"/>
    </row>
    <row r="10" spans="1:24" x14ac:dyDescent="0.2">
      <c r="A10" s="8" t="s">
        <v>20</v>
      </c>
      <c r="B10" s="8" t="s">
        <v>249</v>
      </c>
      <c r="C10" s="8" t="s">
        <v>250</v>
      </c>
      <c r="D10" s="4"/>
      <c r="E10" s="4"/>
      <c r="F10" s="4">
        <v>98</v>
      </c>
      <c r="G10" s="4"/>
      <c r="H10" s="4"/>
      <c r="I10" s="4">
        <v>98</v>
      </c>
      <c r="J10" s="4"/>
      <c r="K10" s="4"/>
      <c r="L10" s="4">
        <v>98</v>
      </c>
      <c r="M10" s="4"/>
      <c r="N10" s="4"/>
      <c r="O10" s="4">
        <v>98</v>
      </c>
      <c r="P10" s="4"/>
      <c r="Q10" s="4" t="s">
        <v>63</v>
      </c>
      <c r="R10" s="4"/>
      <c r="S10" s="10" t="s">
        <v>63</v>
      </c>
      <c r="T10" s="4"/>
      <c r="U10" s="4"/>
      <c r="V10" s="4"/>
      <c r="W10" s="4"/>
      <c r="X10" s="4"/>
    </row>
    <row r="11" spans="1:24" x14ac:dyDescent="0.2">
      <c r="A11" s="8" t="s">
        <v>20</v>
      </c>
      <c r="B11" s="8" t="s">
        <v>251</v>
      </c>
      <c r="C11" s="8" t="s">
        <v>252</v>
      </c>
      <c r="D11" s="4"/>
      <c r="E11" s="4">
        <v>206.13</v>
      </c>
      <c r="F11" s="4"/>
      <c r="G11" s="4">
        <v>198.84</v>
      </c>
      <c r="H11" s="4">
        <v>206.13</v>
      </c>
      <c r="I11" s="4"/>
      <c r="J11" s="4">
        <v>198.84</v>
      </c>
      <c r="K11" s="4">
        <v>206.13</v>
      </c>
      <c r="L11" s="4"/>
      <c r="M11" s="4">
        <v>198.84</v>
      </c>
      <c r="N11" s="4">
        <v>206.13</v>
      </c>
      <c r="O11" s="4"/>
      <c r="P11" s="4">
        <v>198.84</v>
      </c>
      <c r="Q11" s="4" t="s">
        <v>64</v>
      </c>
      <c r="R11" s="4"/>
      <c r="S11" s="4"/>
      <c r="T11" s="4" t="s">
        <v>64</v>
      </c>
      <c r="U11" s="4"/>
      <c r="V11" s="4"/>
      <c r="W11" s="4"/>
      <c r="X11" s="4"/>
    </row>
    <row r="12" spans="1:24" x14ac:dyDescent="0.2">
      <c r="A12" s="8" t="s">
        <v>20</v>
      </c>
      <c r="B12" s="8" t="s">
        <v>253</v>
      </c>
      <c r="C12" s="8" t="s">
        <v>254</v>
      </c>
      <c r="D12" s="4"/>
      <c r="E12" s="4">
        <v>188.21</v>
      </c>
      <c r="F12" s="4"/>
      <c r="G12" s="4">
        <v>190.85</v>
      </c>
      <c r="H12" s="4">
        <v>188.21</v>
      </c>
      <c r="I12" s="4"/>
      <c r="J12" s="4">
        <v>190.85</v>
      </c>
      <c r="K12" s="4">
        <v>188.21</v>
      </c>
      <c r="L12" s="4"/>
      <c r="M12" s="4">
        <v>190.85</v>
      </c>
      <c r="N12" s="4">
        <v>188.21</v>
      </c>
      <c r="O12" s="4"/>
      <c r="P12" s="4">
        <v>190.85</v>
      </c>
      <c r="Q12" s="4"/>
      <c r="R12" s="4"/>
      <c r="S12" s="4" t="s">
        <v>64</v>
      </c>
      <c r="T12" s="4"/>
      <c r="U12" s="4"/>
      <c r="V12" s="4"/>
      <c r="W12" s="4"/>
      <c r="X12" s="4"/>
    </row>
    <row r="13" spans="1:24" x14ac:dyDescent="0.2">
      <c r="A13" s="8" t="s">
        <v>20</v>
      </c>
      <c r="B13" s="8" t="s">
        <v>255</v>
      </c>
      <c r="C13" s="8" t="s">
        <v>256</v>
      </c>
      <c r="D13" s="4"/>
      <c r="E13" s="4">
        <v>208.82</v>
      </c>
      <c r="F13" s="4"/>
      <c r="G13" s="4">
        <v>187.22</v>
      </c>
      <c r="H13" s="4">
        <v>208.82</v>
      </c>
      <c r="I13" s="4"/>
      <c r="J13" s="4">
        <v>187.22</v>
      </c>
      <c r="K13" s="4">
        <v>208.82</v>
      </c>
      <c r="L13" s="4"/>
      <c r="M13" s="4">
        <v>187.22</v>
      </c>
      <c r="N13" s="4">
        <v>208.82</v>
      </c>
      <c r="O13" s="4"/>
      <c r="P13" s="4">
        <v>187.22</v>
      </c>
      <c r="Q13" s="4"/>
      <c r="R13" s="4"/>
      <c r="S13" s="4"/>
      <c r="T13" s="4" t="s">
        <v>64</v>
      </c>
      <c r="U13" s="4"/>
      <c r="V13" s="4"/>
      <c r="W13" s="4"/>
      <c r="X13" s="4"/>
    </row>
    <row r="14" spans="1:24" x14ac:dyDescent="0.2">
      <c r="A14" s="8" t="s">
        <v>20</v>
      </c>
      <c r="B14" s="8" t="s">
        <v>257</v>
      </c>
      <c r="C14" s="8" t="s">
        <v>258</v>
      </c>
      <c r="D14" s="4"/>
      <c r="E14" s="4">
        <v>188.42</v>
      </c>
      <c r="F14" s="4"/>
      <c r="G14" s="4">
        <v>199.9</v>
      </c>
      <c r="H14" s="4">
        <v>188.42</v>
      </c>
      <c r="I14" s="4"/>
      <c r="J14" s="4">
        <v>199.9</v>
      </c>
      <c r="K14" s="4">
        <v>188.42</v>
      </c>
      <c r="L14" s="4"/>
      <c r="M14" s="4">
        <v>199.9</v>
      </c>
      <c r="N14" s="4">
        <v>188.42</v>
      </c>
      <c r="O14" s="4"/>
      <c r="P14" s="4">
        <v>199.9</v>
      </c>
      <c r="Q14" s="4" t="s">
        <v>62</v>
      </c>
      <c r="R14" s="4"/>
      <c r="S14" s="4"/>
      <c r="T14" s="4"/>
      <c r="U14" s="4"/>
      <c r="V14" s="4"/>
      <c r="W14" s="4"/>
      <c r="X14" s="4"/>
    </row>
    <row r="15" spans="1:24" x14ac:dyDescent="0.2">
      <c r="A15" s="8" t="s">
        <v>20</v>
      </c>
      <c r="B15" s="8" t="s">
        <v>259</v>
      </c>
      <c r="C15" s="8" t="s">
        <v>260</v>
      </c>
      <c r="D15" s="4"/>
      <c r="E15" s="4">
        <v>200.65</v>
      </c>
      <c r="F15" s="4"/>
      <c r="G15" s="4">
        <v>202.81</v>
      </c>
      <c r="H15" s="4">
        <v>200.65</v>
      </c>
      <c r="I15" s="4"/>
      <c r="J15" s="4">
        <v>202.81</v>
      </c>
      <c r="K15" s="4">
        <v>200.65</v>
      </c>
      <c r="L15" s="4"/>
      <c r="M15" s="4">
        <v>202.81</v>
      </c>
      <c r="N15" s="4">
        <v>200.65</v>
      </c>
      <c r="O15" s="4"/>
      <c r="P15" s="4">
        <v>202.81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">
      <c r="A16" s="8" t="s">
        <v>20</v>
      </c>
      <c r="B16" s="8" t="s">
        <v>261</v>
      </c>
      <c r="C16" s="8" t="s">
        <v>262</v>
      </c>
      <c r="D16" s="4"/>
      <c r="E16" s="4">
        <v>188.4</v>
      </c>
      <c r="F16" s="4"/>
      <c r="G16" s="4">
        <v>187.79</v>
      </c>
      <c r="H16" s="4">
        <v>188.4</v>
      </c>
      <c r="I16" s="4"/>
      <c r="J16" s="4">
        <v>187.79</v>
      </c>
      <c r="K16" s="4">
        <v>188.4</v>
      </c>
      <c r="L16" s="4"/>
      <c r="M16" s="4">
        <v>187.79</v>
      </c>
      <c r="N16" s="4">
        <v>188.4</v>
      </c>
      <c r="O16" s="4"/>
      <c r="P16" s="4">
        <v>187.79</v>
      </c>
      <c r="Q16" s="4"/>
      <c r="R16" s="4"/>
      <c r="S16" s="4" t="s">
        <v>62</v>
      </c>
      <c r="T16" s="4" t="s">
        <v>62</v>
      </c>
      <c r="U16" s="4"/>
      <c r="V16" s="4"/>
      <c r="W16" s="4"/>
      <c r="X16" s="4"/>
    </row>
    <row r="17" spans="1:24" x14ac:dyDescent="0.2">
      <c r="A17" s="8" t="s">
        <v>20</v>
      </c>
      <c r="B17" s="8" t="s">
        <v>263</v>
      </c>
      <c r="C17" s="8" t="s">
        <v>264</v>
      </c>
      <c r="D17" s="4"/>
      <c r="E17" s="4">
        <v>342.47</v>
      </c>
      <c r="F17" s="4"/>
      <c r="G17" s="4">
        <v>335.14</v>
      </c>
      <c r="H17" s="4">
        <v>342.47</v>
      </c>
      <c r="I17" s="4"/>
      <c r="J17" s="4">
        <v>335.14</v>
      </c>
      <c r="K17" s="4">
        <v>342.47</v>
      </c>
      <c r="L17" s="4"/>
      <c r="M17" s="4">
        <v>335.14</v>
      </c>
      <c r="N17" s="4">
        <v>342.47</v>
      </c>
      <c r="O17" s="4"/>
      <c r="P17" s="4">
        <v>335.14</v>
      </c>
      <c r="Q17" s="4"/>
      <c r="R17" s="4"/>
      <c r="S17" s="4"/>
      <c r="T17" s="4" t="s">
        <v>64</v>
      </c>
      <c r="U17" s="4"/>
      <c r="V17" s="4"/>
      <c r="W17" s="4"/>
      <c r="X17" s="4"/>
    </row>
    <row r="18" spans="1:24" x14ac:dyDescent="0.2">
      <c r="A18" s="8" t="s">
        <v>20</v>
      </c>
      <c r="B18" s="8" t="s">
        <v>265</v>
      </c>
      <c r="C18" s="8" t="s">
        <v>266</v>
      </c>
      <c r="D18" s="4"/>
      <c r="E18" s="4">
        <v>49.31</v>
      </c>
      <c r="F18" s="4"/>
      <c r="G18" s="4">
        <v>34.1</v>
      </c>
      <c r="H18" s="4">
        <v>49.31</v>
      </c>
      <c r="I18" s="4"/>
      <c r="J18" s="4">
        <v>34.1</v>
      </c>
      <c r="K18" s="4">
        <v>49.31</v>
      </c>
      <c r="L18" s="4"/>
      <c r="M18" s="4">
        <v>34.1</v>
      </c>
      <c r="N18" s="4">
        <v>49.31</v>
      </c>
      <c r="O18" s="4"/>
      <c r="P18" s="4">
        <v>34.1</v>
      </c>
      <c r="Q18" s="4"/>
      <c r="R18" s="4"/>
      <c r="S18" s="4"/>
      <c r="T18" s="4" t="s">
        <v>64</v>
      </c>
      <c r="U18" s="4"/>
      <c r="V18" s="4"/>
      <c r="W18" s="4"/>
      <c r="X18" s="4"/>
    </row>
    <row r="19" spans="1:24" x14ac:dyDescent="0.2">
      <c r="A19" s="8" t="s">
        <v>20</v>
      </c>
      <c r="B19" s="8" t="s">
        <v>267</v>
      </c>
      <c r="C19" s="8" t="s">
        <v>268</v>
      </c>
      <c r="D19" s="4"/>
      <c r="E19" s="4">
        <v>20.67</v>
      </c>
      <c r="F19" s="4"/>
      <c r="G19" s="4">
        <v>17.59</v>
      </c>
      <c r="H19" s="4">
        <v>20.67</v>
      </c>
      <c r="I19" s="4"/>
      <c r="J19" s="4">
        <v>17.59</v>
      </c>
      <c r="K19" s="4">
        <v>20.67</v>
      </c>
      <c r="L19" s="4"/>
      <c r="M19" s="4">
        <v>17.59</v>
      </c>
      <c r="N19" s="4">
        <v>20.67</v>
      </c>
      <c r="O19" s="4"/>
      <c r="P19" s="4">
        <v>17.59</v>
      </c>
      <c r="Q19" s="4"/>
      <c r="R19" s="4"/>
      <c r="S19" s="4" t="s">
        <v>62</v>
      </c>
      <c r="T19" s="4"/>
      <c r="U19" s="4"/>
      <c r="V19" s="4"/>
      <c r="W19" s="4"/>
      <c r="X19" s="4"/>
    </row>
    <row r="20" spans="1:24" x14ac:dyDescent="0.2">
      <c r="A20" s="8" t="s">
        <v>20</v>
      </c>
      <c r="B20" s="8" t="s">
        <v>269</v>
      </c>
      <c r="C20" s="8" t="s">
        <v>270</v>
      </c>
      <c r="D20" s="4"/>
      <c r="E20" s="4">
        <v>20.93</v>
      </c>
      <c r="F20" s="4"/>
      <c r="G20" s="4">
        <v>38.229999999999997</v>
      </c>
      <c r="H20" s="4">
        <v>20.93</v>
      </c>
      <c r="I20" s="4"/>
      <c r="J20" s="4">
        <v>38.229999999999997</v>
      </c>
      <c r="K20" s="4">
        <v>20.93</v>
      </c>
      <c r="L20" s="4"/>
      <c r="M20" s="4">
        <v>38.229999999999997</v>
      </c>
      <c r="N20" s="4">
        <v>20.93</v>
      </c>
      <c r="O20" s="4"/>
      <c r="P20" s="4">
        <v>38.229999999999997</v>
      </c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8" t="s">
        <v>20</v>
      </c>
      <c r="B21" s="8" t="s">
        <v>271</v>
      </c>
      <c r="C21" s="8" t="s">
        <v>272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20</v>
      </c>
      <c r="B22" s="8" t="s">
        <v>273</v>
      </c>
      <c r="C22" s="8" t="s">
        <v>274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20</v>
      </c>
      <c r="B23" s="8" t="s">
        <v>275</v>
      </c>
      <c r="C23" s="8" t="s">
        <v>276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20</v>
      </c>
      <c r="B24" s="8" t="s">
        <v>277</v>
      </c>
      <c r="C24" s="8" t="s">
        <v>278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20</v>
      </c>
      <c r="B25" s="8" t="s">
        <v>279</v>
      </c>
      <c r="C25" s="8" t="s">
        <v>280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20</v>
      </c>
      <c r="B26" s="8" t="s">
        <v>281</v>
      </c>
      <c r="C26" s="8" t="s">
        <v>282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20</v>
      </c>
      <c r="B27" s="8" t="s">
        <v>283</v>
      </c>
      <c r="C27" s="8" t="s">
        <v>284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20</v>
      </c>
      <c r="B28" s="8" t="s">
        <v>285</v>
      </c>
      <c r="C28" s="8" t="s">
        <v>286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20</v>
      </c>
      <c r="B29" s="8" t="s">
        <v>287</v>
      </c>
      <c r="C29" s="8" t="s">
        <v>288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20</v>
      </c>
      <c r="B30" s="8" t="s">
        <v>289</v>
      </c>
      <c r="C30" s="8" t="s">
        <v>290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20</v>
      </c>
      <c r="B31" s="8" t="s">
        <v>291</v>
      </c>
      <c r="C31" s="8" t="s">
        <v>292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20</v>
      </c>
      <c r="B32" s="8" t="s">
        <v>293</v>
      </c>
      <c r="C32" s="8" t="s">
        <v>294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20</v>
      </c>
      <c r="B33" s="8" t="s">
        <v>295</v>
      </c>
      <c r="C33" s="8" t="s">
        <v>296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20</v>
      </c>
      <c r="B34" s="8" t="s">
        <v>297</v>
      </c>
      <c r="C34" s="8" t="s">
        <v>298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20</v>
      </c>
      <c r="B35" s="8" t="s">
        <v>299</v>
      </c>
      <c r="C35" s="8" t="s">
        <v>300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20</v>
      </c>
      <c r="B36" s="8" t="s">
        <v>301</v>
      </c>
      <c r="C36" s="8" t="s">
        <v>302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20</v>
      </c>
      <c r="B37" s="8" t="s">
        <v>303</v>
      </c>
      <c r="C37" s="8" t="s">
        <v>304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20</v>
      </c>
      <c r="B38" s="8" t="s">
        <v>305</v>
      </c>
      <c r="C38" s="8" t="s">
        <v>306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20</v>
      </c>
      <c r="B39" s="8" t="s">
        <v>307</v>
      </c>
      <c r="C39" s="8" t="s">
        <v>308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20</v>
      </c>
      <c r="B40" s="8" t="s">
        <v>309</v>
      </c>
      <c r="C40" s="8" t="s">
        <v>310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20</v>
      </c>
      <c r="B41" s="8" t="s">
        <v>311</v>
      </c>
      <c r="C41" s="8" t="s">
        <v>312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20</v>
      </c>
      <c r="B42" s="8" t="s">
        <v>313</v>
      </c>
      <c r="C42" s="8" t="s">
        <v>314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20</v>
      </c>
      <c r="B43" s="8" t="s">
        <v>315</v>
      </c>
      <c r="C43" s="8" t="s">
        <v>316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20</v>
      </c>
      <c r="B44" s="8" t="s">
        <v>317</v>
      </c>
      <c r="C44" s="8" t="s">
        <v>318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20</v>
      </c>
      <c r="B45" s="8" t="s">
        <v>319</v>
      </c>
      <c r="C45" s="8" t="s">
        <v>320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20</v>
      </c>
      <c r="B46" s="8" t="s">
        <v>321</v>
      </c>
      <c r="C46" s="8" t="s">
        <v>322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  <row r="47" spans="1:24" x14ac:dyDescent="0.2">
      <c r="A47" s="8" t="s">
        <v>20</v>
      </c>
      <c r="B47" s="8" t="s">
        <v>323</v>
      </c>
      <c r="C47" s="8" t="s">
        <v>324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1775</v>
      </c>
      <c r="V47" s="4"/>
      <c r="W47" s="4"/>
      <c r="X47" s="4"/>
    </row>
    <row r="48" spans="1:24" x14ac:dyDescent="0.2">
      <c r="A48" s="8" t="s">
        <v>20</v>
      </c>
      <c r="B48" s="8" t="s">
        <v>325</v>
      </c>
      <c r="C48" s="8" t="s">
        <v>326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1775</v>
      </c>
      <c r="V48" s="4"/>
      <c r="W48" s="4"/>
      <c r="X48" s="4"/>
    </row>
    <row r="49" spans="1:24" x14ac:dyDescent="0.2">
      <c r="A49" s="8" t="s">
        <v>20</v>
      </c>
      <c r="B49" s="8" t="s">
        <v>327</v>
      </c>
      <c r="C49" s="8" t="s">
        <v>328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1775</v>
      </c>
      <c r="V49" s="4"/>
      <c r="W49" s="4"/>
      <c r="X49" s="4"/>
    </row>
    <row r="50" spans="1:24" x14ac:dyDescent="0.2">
      <c r="A50" s="8" t="s">
        <v>20</v>
      </c>
      <c r="B50" s="8" t="s">
        <v>329</v>
      </c>
      <c r="C50" s="8" t="s">
        <v>330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1775</v>
      </c>
      <c r="V50" s="4"/>
      <c r="W50" s="4"/>
      <c r="X50" s="4"/>
    </row>
    <row r="51" spans="1:24" x14ac:dyDescent="0.2">
      <c r="A51" s="8" t="s">
        <v>20</v>
      </c>
      <c r="B51" s="8" t="s">
        <v>331</v>
      </c>
      <c r="C51" s="8" t="s">
        <v>332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1775</v>
      </c>
      <c r="V51" s="4"/>
      <c r="W51" s="4"/>
      <c r="X51" s="4"/>
    </row>
    <row r="52" spans="1:24" x14ac:dyDescent="0.2">
      <c r="A52" s="8" t="s">
        <v>20</v>
      </c>
      <c r="B52" s="8" t="s">
        <v>333</v>
      </c>
      <c r="C52" s="8" t="s">
        <v>334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1775</v>
      </c>
      <c r="V52" s="4"/>
      <c r="W52" s="4"/>
      <c r="X52" s="4"/>
    </row>
    <row r="53" spans="1:24" x14ac:dyDescent="0.2">
      <c r="A53" s="8" t="s">
        <v>20</v>
      </c>
      <c r="B53" s="8" t="s">
        <v>335</v>
      </c>
      <c r="C53" s="8" t="s">
        <v>336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1775</v>
      </c>
      <c r="V53" s="4"/>
      <c r="W53" s="4"/>
      <c r="X53" s="4"/>
    </row>
    <row r="54" spans="1:24" x14ac:dyDescent="0.2">
      <c r="A54" s="8" t="s">
        <v>20</v>
      </c>
      <c r="B54" s="8" t="s">
        <v>337</v>
      </c>
      <c r="C54" s="8" t="s">
        <v>338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1775</v>
      </c>
      <c r="V54" s="4"/>
      <c r="W54" s="4"/>
      <c r="X54" s="4"/>
    </row>
    <row r="55" spans="1:24" x14ac:dyDescent="0.2">
      <c r="A55" s="8" t="s">
        <v>20</v>
      </c>
      <c r="B55" s="8" t="s">
        <v>339</v>
      </c>
      <c r="C55" s="8" t="s">
        <v>340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1775</v>
      </c>
      <c r="V55" s="4"/>
      <c r="W55" s="4"/>
      <c r="X55" s="4"/>
    </row>
    <row r="56" spans="1:24" x14ac:dyDescent="0.2">
      <c r="A56" s="8" t="s">
        <v>20</v>
      </c>
      <c r="B56" s="8" t="s">
        <v>341</v>
      </c>
      <c r="C56" s="8" t="s">
        <v>342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1775</v>
      </c>
      <c r="V56" s="4"/>
      <c r="W56" s="4"/>
      <c r="X56" s="4"/>
    </row>
    <row r="57" spans="1:24" x14ac:dyDescent="0.2">
      <c r="A57" s="8" t="s">
        <v>20</v>
      </c>
      <c r="B57" s="8" t="s">
        <v>343</v>
      </c>
      <c r="C57" s="8" t="s">
        <v>344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1775</v>
      </c>
      <c r="V57" s="4"/>
      <c r="W57" s="4"/>
      <c r="X57" s="4"/>
    </row>
    <row r="58" spans="1:24" x14ac:dyDescent="0.2">
      <c r="A58" s="8" t="s">
        <v>20</v>
      </c>
      <c r="B58" s="8" t="s">
        <v>345</v>
      </c>
      <c r="C58" s="8" t="s">
        <v>346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 t="s">
        <v>1775</v>
      </c>
      <c r="V58" s="4"/>
      <c r="W58" s="4"/>
      <c r="X58" s="4"/>
    </row>
    <row r="59" spans="1:24" x14ac:dyDescent="0.2">
      <c r="A59" s="8" t="s">
        <v>20</v>
      </c>
      <c r="B59" s="8" t="s">
        <v>347</v>
      </c>
      <c r="C59" s="8" t="s">
        <v>348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1775</v>
      </c>
      <c r="V59" s="4"/>
      <c r="W59" s="4"/>
      <c r="X59" s="4"/>
    </row>
    <row r="60" spans="1:24" x14ac:dyDescent="0.2">
      <c r="A60" s="8" t="s">
        <v>20</v>
      </c>
      <c r="B60" s="8" t="s">
        <v>349</v>
      </c>
      <c r="C60" s="8" t="s">
        <v>350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1775</v>
      </c>
      <c r="V60" s="4"/>
      <c r="W60" s="4"/>
      <c r="X60" s="4"/>
    </row>
    <row r="61" spans="1:24" x14ac:dyDescent="0.2">
      <c r="A61" s="8" t="s">
        <v>20</v>
      </c>
      <c r="B61" s="8" t="s">
        <v>351</v>
      </c>
      <c r="C61" s="8" t="s">
        <v>352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1775</v>
      </c>
      <c r="V61" s="4"/>
      <c r="W61" s="4"/>
      <c r="X61" s="4"/>
    </row>
    <row r="62" spans="1:24" x14ac:dyDescent="0.2">
      <c r="A62" s="8" t="s">
        <v>20</v>
      </c>
      <c r="B62" s="8" t="s">
        <v>353</v>
      </c>
      <c r="C62" s="8" t="s">
        <v>354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1775</v>
      </c>
      <c r="V62" s="4"/>
      <c r="W62" s="4"/>
      <c r="X62" s="4"/>
    </row>
    <row r="63" spans="1:24" x14ac:dyDescent="0.2">
      <c r="A63" s="8" t="s">
        <v>20</v>
      </c>
      <c r="B63" s="8" t="s">
        <v>355</v>
      </c>
      <c r="C63" s="8" t="s">
        <v>356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1775</v>
      </c>
      <c r="V63" s="4"/>
      <c r="W63" s="4"/>
      <c r="X63" s="4"/>
    </row>
    <row r="64" spans="1:24" x14ac:dyDescent="0.2">
      <c r="A64" s="8" t="s">
        <v>20</v>
      </c>
      <c r="B64" s="8" t="s">
        <v>357</v>
      </c>
      <c r="C64" s="8" t="s">
        <v>358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1775</v>
      </c>
      <c r="V64" s="4"/>
      <c r="W64" s="4"/>
      <c r="X64" s="4"/>
    </row>
    <row r="65" spans="1:24" x14ac:dyDescent="0.2">
      <c r="A65" s="8" t="s">
        <v>20</v>
      </c>
      <c r="B65" s="8" t="s">
        <v>359</v>
      </c>
      <c r="C65" s="8" t="s">
        <v>360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1775</v>
      </c>
      <c r="V65" s="4"/>
      <c r="W65" s="4"/>
      <c r="X65" s="4"/>
    </row>
    <row r="66" spans="1:24" x14ac:dyDescent="0.2">
      <c r="A66" s="8" t="s">
        <v>20</v>
      </c>
      <c r="B66" s="8" t="s">
        <v>361</v>
      </c>
      <c r="C66" s="8" t="s">
        <v>362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 t="s">
        <v>1775</v>
      </c>
      <c r="V66" s="4"/>
      <c r="W66" s="4"/>
      <c r="X66" s="4"/>
    </row>
    <row r="67" spans="1:24" x14ac:dyDescent="0.2">
      <c r="A67" s="8" t="s">
        <v>20</v>
      </c>
      <c r="B67" s="8" t="s">
        <v>363</v>
      </c>
      <c r="C67" s="8" t="s">
        <v>364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1775</v>
      </c>
      <c r="V67" s="4"/>
      <c r="W67" s="4"/>
      <c r="X67" s="4"/>
    </row>
    <row r="68" spans="1:24" x14ac:dyDescent="0.2">
      <c r="A68" s="8" t="s">
        <v>20</v>
      </c>
      <c r="B68" s="8" t="s">
        <v>365</v>
      </c>
      <c r="C68" s="8" t="s">
        <v>366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 t="s">
        <v>1775</v>
      </c>
      <c r="V68" s="4"/>
      <c r="W68" s="4"/>
      <c r="X68" s="4"/>
    </row>
    <row r="69" spans="1:24" x14ac:dyDescent="0.2">
      <c r="A69" s="8" t="s">
        <v>20</v>
      </c>
      <c r="B69" s="8" t="s">
        <v>367</v>
      </c>
      <c r="C69" s="8" t="s">
        <v>368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1775</v>
      </c>
      <c r="V69" s="4"/>
      <c r="W69" s="4"/>
      <c r="X69" s="4"/>
    </row>
    <row r="70" spans="1:24" x14ac:dyDescent="0.2">
      <c r="A70" s="8" t="s">
        <v>20</v>
      </c>
      <c r="B70" s="8" t="s">
        <v>369</v>
      </c>
      <c r="C70" s="8" t="s">
        <v>370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 t="s">
        <v>1775</v>
      </c>
      <c r="V70" s="4"/>
      <c r="W70" s="4"/>
      <c r="X70" s="4"/>
    </row>
    <row r="71" spans="1:24" x14ac:dyDescent="0.2">
      <c r="A71" s="8" t="s">
        <v>20</v>
      </c>
      <c r="B71" s="8" t="s">
        <v>371</v>
      </c>
      <c r="C71" s="8" t="s">
        <v>372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 t="s">
        <v>1775</v>
      </c>
      <c r="V71" s="4"/>
      <c r="W71" s="4"/>
      <c r="X71" s="4"/>
    </row>
    <row r="72" spans="1:24" x14ac:dyDescent="0.2">
      <c r="A72" s="8" t="s">
        <v>20</v>
      </c>
      <c r="B72" s="8" t="s">
        <v>373</v>
      </c>
      <c r="C72" s="8" t="s">
        <v>374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 t="s">
        <v>1775</v>
      </c>
      <c r="V72" s="4"/>
      <c r="W72" s="4"/>
      <c r="X72" s="4"/>
    </row>
    <row r="73" spans="1:24" x14ac:dyDescent="0.2">
      <c r="A73" s="8" t="s">
        <v>20</v>
      </c>
      <c r="B73" s="8" t="s">
        <v>375</v>
      </c>
      <c r="C73" s="8" t="s">
        <v>376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 t="s">
        <v>1775</v>
      </c>
      <c r="V73" s="4"/>
      <c r="W73" s="4"/>
      <c r="X73" s="4"/>
    </row>
    <row r="74" spans="1:24" x14ac:dyDescent="0.2">
      <c r="A74" s="8" t="s">
        <v>20</v>
      </c>
      <c r="B74" s="8" t="s">
        <v>377</v>
      </c>
      <c r="C74" s="8" t="s">
        <v>378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 t="s">
        <v>1775</v>
      </c>
      <c r="V74" s="4"/>
      <c r="W74" s="4"/>
      <c r="X74" s="4"/>
    </row>
    <row r="75" spans="1:24" x14ac:dyDescent="0.2">
      <c r="A75" s="8" t="s">
        <v>20</v>
      </c>
      <c r="B75" s="8" t="s">
        <v>379</v>
      </c>
      <c r="C75" s="8" t="s">
        <v>380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1775</v>
      </c>
      <c r="V75" s="4"/>
      <c r="W75" s="4"/>
      <c r="X75" s="4"/>
    </row>
    <row r="76" spans="1:24" x14ac:dyDescent="0.2">
      <c r="A76" s="8" t="s">
        <v>20</v>
      </c>
      <c r="B76" s="8" t="s">
        <v>381</v>
      </c>
      <c r="C76" s="8" t="s">
        <v>382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 t="s">
        <v>1775</v>
      </c>
      <c r="V76" s="4"/>
      <c r="W76" s="4"/>
      <c r="X76" s="4"/>
    </row>
    <row r="77" spans="1:24" x14ac:dyDescent="0.2">
      <c r="A77" s="8" t="s">
        <v>20</v>
      </c>
      <c r="B77" s="8" t="s">
        <v>383</v>
      </c>
      <c r="C77" s="8" t="s">
        <v>384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 t="s">
        <v>1775</v>
      </c>
      <c r="V77" s="4"/>
      <c r="W77" s="4"/>
      <c r="X77" s="4"/>
    </row>
    <row r="78" spans="1:24" x14ac:dyDescent="0.2">
      <c r="A78" s="8" t="s">
        <v>20</v>
      </c>
      <c r="B78" s="8" t="s">
        <v>385</v>
      </c>
      <c r="C78" s="8" t="s">
        <v>386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 t="s">
        <v>1775</v>
      </c>
      <c r="V78" s="4"/>
      <c r="W78" s="4"/>
      <c r="X78" s="4"/>
    </row>
    <row r="79" spans="1:24" x14ac:dyDescent="0.2">
      <c r="A79" s="8" t="s">
        <v>20</v>
      </c>
      <c r="B79" s="8" t="s">
        <v>387</v>
      </c>
      <c r="C79" s="8" t="s">
        <v>388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 t="s">
        <v>1775</v>
      </c>
      <c r="V79" s="4"/>
      <c r="W79" s="4"/>
      <c r="X79" s="4"/>
    </row>
    <row r="80" spans="1:24" x14ac:dyDescent="0.2">
      <c r="A80" s="8" t="s">
        <v>20</v>
      </c>
      <c r="B80" s="8" t="s">
        <v>389</v>
      </c>
      <c r="C80" s="8" t="s">
        <v>390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 t="s">
        <v>1775</v>
      </c>
      <c r="V80" s="4"/>
      <c r="W80" s="4"/>
      <c r="X8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57"/>
  <sheetViews>
    <sheetView topLeftCell="A5" workbookViewId="0">
      <selection activeCell="AD15" sqref="AD15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6" width="8" hidden="1" customWidth="1"/>
    <col min="7" max="7" width="9" hidden="1" customWidth="1"/>
    <col min="8" max="8" width="10" hidden="1" customWidth="1"/>
    <col min="9" max="9" width="8" hidden="1" customWidth="1"/>
    <col min="10" max="10" width="9" hidden="1" customWidth="1"/>
    <col min="11" max="11" width="10" hidden="1" customWidth="1"/>
    <col min="12" max="12" width="8" hidden="1" customWidth="1"/>
    <col min="13" max="13" width="9" hidden="1" customWidth="1"/>
    <col min="14" max="14" width="10" hidden="1" customWidth="1"/>
    <col min="15" max="15" width="8" hidden="1" customWidth="1"/>
    <col min="16" max="16" width="9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SUM(E5:G57)</f>
        <v>7787.4199999999992</v>
      </c>
      <c r="G2" s="6"/>
      <c r="H2" s="6"/>
      <c r="I2" s="6">
        <f>SUM(H5:J57)</f>
        <v>7787.4199999999992</v>
      </c>
      <c r="J2" s="6"/>
      <c r="K2" s="6"/>
      <c r="L2" s="6">
        <f>SUM(K5:M57)</f>
        <v>7787.4199999999992</v>
      </c>
      <c r="M2" s="6"/>
      <c r="N2" s="6"/>
      <c r="O2" s="6">
        <f>SUM(N5:P57)</f>
        <v>7787.4199999999992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21</v>
      </c>
      <c r="B5" s="8" t="s">
        <v>391</v>
      </c>
      <c r="C5" s="8" t="s">
        <v>392</v>
      </c>
      <c r="D5" s="4"/>
      <c r="E5" s="4"/>
      <c r="F5" s="4">
        <v>27.32</v>
      </c>
      <c r="G5" s="4"/>
      <c r="H5" s="4"/>
      <c r="I5" s="4">
        <v>27.32</v>
      </c>
      <c r="J5" s="4"/>
      <c r="K5" s="4"/>
      <c r="L5" s="4">
        <v>27.32</v>
      </c>
      <c r="M5" s="4"/>
      <c r="N5" s="4"/>
      <c r="O5" s="4">
        <v>27.32</v>
      </c>
      <c r="P5" s="4"/>
      <c r="Q5" s="4" t="s">
        <v>63</v>
      </c>
      <c r="R5" s="4"/>
      <c r="S5" s="4" t="s">
        <v>63</v>
      </c>
      <c r="T5" s="4"/>
      <c r="U5" s="4"/>
      <c r="V5" s="4"/>
      <c r="W5" s="4"/>
      <c r="X5" s="4"/>
    </row>
    <row r="6" spans="1:24" x14ac:dyDescent="0.2">
      <c r="A6" s="8" t="s">
        <v>21</v>
      </c>
      <c r="B6" s="8" t="s">
        <v>101</v>
      </c>
      <c r="C6" s="8" t="s">
        <v>393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21</v>
      </c>
      <c r="B7" s="8" t="s">
        <v>101</v>
      </c>
      <c r="C7" s="8" t="s">
        <v>394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 t="s">
        <v>63</v>
      </c>
      <c r="T7" s="4"/>
      <c r="U7" s="4"/>
      <c r="V7" s="4"/>
      <c r="W7" s="4"/>
      <c r="X7" s="4"/>
    </row>
    <row r="8" spans="1:24" x14ac:dyDescent="0.2">
      <c r="A8" s="8" t="s">
        <v>21</v>
      </c>
      <c r="B8" s="8" t="s">
        <v>101</v>
      </c>
      <c r="C8" s="8" t="s">
        <v>395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0" t="s">
        <v>63</v>
      </c>
      <c r="T8" s="4"/>
      <c r="U8" s="4"/>
      <c r="V8" s="4"/>
      <c r="W8" s="4"/>
      <c r="X8" s="4"/>
    </row>
    <row r="9" spans="1:24" x14ac:dyDescent="0.2">
      <c r="A9" s="8" t="s">
        <v>21</v>
      </c>
      <c r="B9" s="8" t="s">
        <v>101</v>
      </c>
      <c r="C9" s="8" t="s">
        <v>396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0" t="s">
        <v>63</v>
      </c>
      <c r="U9" s="4"/>
      <c r="V9" s="4"/>
      <c r="W9" s="4"/>
      <c r="X9" s="4"/>
    </row>
    <row r="10" spans="1:24" x14ac:dyDescent="0.2">
      <c r="A10" s="8" t="s">
        <v>21</v>
      </c>
      <c r="B10" s="8" t="s">
        <v>101</v>
      </c>
      <c r="C10" s="8" t="s">
        <v>397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0" t="s">
        <v>63</v>
      </c>
      <c r="U10" s="4"/>
      <c r="V10" s="4"/>
      <c r="W10" s="4"/>
      <c r="X10" s="4"/>
    </row>
    <row r="11" spans="1:24" x14ac:dyDescent="0.2">
      <c r="A11" s="8" t="s">
        <v>21</v>
      </c>
      <c r="B11" s="8" t="s">
        <v>101</v>
      </c>
      <c r="C11" s="8" t="s">
        <v>398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0" t="s">
        <v>63</v>
      </c>
      <c r="U11" s="4"/>
      <c r="V11" s="4"/>
      <c r="W11" s="4"/>
      <c r="X11" s="4"/>
    </row>
    <row r="12" spans="1:24" x14ac:dyDescent="0.2">
      <c r="A12" s="8" t="s">
        <v>21</v>
      </c>
      <c r="B12" s="8" t="s">
        <v>399</v>
      </c>
      <c r="C12" s="8" t="s">
        <v>400</v>
      </c>
      <c r="D12" s="4"/>
      <c r="E12" s="4">
        <v>441.85</v>
      </c>
      <c r="F12" s="4"/>
      <c r="G12" s="4">
        <v>436.87</v>
      </c>
      <c r="H12" s="4">
        <v>441.85</v>
      </c>
      <c r="I12" s="4"/>
      <c r="J12" s="4">
        <v>436.87</v>
      </c>
      <c r="K12" s="4">
        <v>441.85</v>
      </c>
      <c r="L12" s="4"/>
      <c r="M12" s="4">
        <v>436.87</v>
      </c>
      <c r="N12" s="4">
        <v>441.85</v>
      </c>
      <c r="O12" s="4"/>
      <c r="P12" s="4">
        <v>436.87</v>
      </c>
      <c r="Q12" s="4" t="s">
        <v>64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">
      <c r="A13" s="8" t="s">
        <v>21</v>
      </c>
      <c r="B13" s="8" t="s">
        <v>401</v>
      </c>
      <c r="C13" s="8" t="s">
        <v>402</v>
      </c>
      <c r="D13" s="4"/>
      <c r="E13" s="4">
        <v>414.5</v>
      </c>
      <c r="F13" s="4"/>
      <c r="G13" s="4">
        <v>422.57</v>
      </c>
      <c r="H13" s="4">
        <v>414.5</v>
      </c>
      <c r="I13" s="4"/>
      <c r="J13" s="4">
        <v>422.57</v>
      </c>
      <c r="K13" s="4">
        <v>414.5</v>
      </c>
      <c r="L13" s="4"/>
      <c r="M13" s="4">
        <v>422.57</v>
      </c>
      <c r="N13" s="4">
        <v>414.5</v>
      </c>
      <c r="O13" s="4"/>
      <c r="P13" s="4">
        <v>422.57</v>
      </c>
      <c r="Q13" s="4" t="s">
        <v>62</v>
      </c>
      <c r="R13" s="4"/>
      <c r="S13" s="4"/>
      <c r="T13" s="4" t="s">
        <v>62</v>
      </c>
      <c r="U13" s="4"/>
      <c r="V13" s="4"/>
      <c r="W13" s="4"/>
      <c r="X13" s="4"/>
    </row>
    <row r="14" spans="1:24" x14ac:dyDescent="0.2">
      <c r="A14" s="8" t="s">
        <v>21</v>
      </c>
      <c r="B14" s="8" t="s">
        <v>403</v>
      </c>
      <c r="C14" s="8" t="s">
        <v>404</v>
      </c>
      <c r="D14" s="4"/>
      <c r="E14" s="4">
        <v>422.81</v>
      </c>
      <c r="F14" s="4"/>
      <c r="G14" s="4">
        <v>411.16</v>
      </c>
      <c r="H14" s="4">
        <v>422.81</v>
      </c>
      <c r="I14" s="4"/>
      <c r="J14" s="4">
        <v>411.16</v>
      </c>
      <c r="K14" s="4">
        <v>422.81</v>
      </c>
      <c r="L14" s="4"/>
      <c r="M14" s="4">
        <v>411.16</v>
      </c>
      <c r="N14" s="4">
        <v>422.81</v>
      </c>
      <c r="O14" s="4"/>
      <c r="P14" s="4">
        <v>411.16</v>
      </c>
      <c r="Q14" s="4"/>
      <c r="R14" s="4"/>
      <c r="S14" s="4" t="s">
        <v>62</v>
      </c>
      <c r="T14" s="4"/>
      <c r="U14" s="4"/>
      <c r="V14" s="4"/>
      <c r="W14" s="4"/>
      <c r="X14" s="4"/>
    </row>
    <row r="15" spans="1:24" x14ac:dyDescent="0.2">
      <c r="A15" s="8" t="s">
        <v>21</v>
      </c>
      <c r="B15" s="8" t="s">
        <v>405</v>
      </c>
      <c r="C15" s="8" t="s">
        <v>406</v>
      </c>
      <c r="D15" s="4"/>
      <c r="E15" s="4">
        <v>426.79</v>
      </c>
      <c r="F15" s="4"/>
      <c r="G15" s="4">
        <v>428.5</v>
      </c>
      <c r="H15" s="4">
        <v>426.79</v>
      </c>
      <c r="I15" s="4"/>
      <c r="J15" s="4">
        <v>428.5</v>
      </c>
      <c r="K15" s="4">
        <v>426.79</v>
      </c>
      <c r="L15" s="4"/>
      <c r="M15" s="4">
        <v>428.5</v>
      </c>
      <c r="N15" s="4">
        <v>426.79</v>
      </c>
      <c r="O15" s="4"/>
      <c r="P15" s="4">
        <v>428.5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">
      <c r="A16" s="8" t="s">
        <v>21</v>
      </c>
      <c r="B16" s="8" t="s">
        <v>407</v>
      </c>
      <c r="C16" s="8" t="s">
        <v>408</v>
      </c>
      <c r="D16" s="4"/>
      <c r="E16" s="4">
        <v>1155.04</v>
      </c>
      <c r="F16" s="4"/>
      <c r="G16" s="4">
        <v>1181.74</v>
      </c>
      <c r="H16" s="4">
        <v>1155.04</v>
      </c>
      <c r="I16" s="4"/>
      <c r="J16" s="4">
        <v>1181.74</v>
      </c>
      <c r="K16" s="4">
        <v>1155.04</v>
      </c>
      <c r="L16" s="4"/>
      <c r="M16" s="4">
        <v>1181.74</v>
      </c>
      <c r="N16" s="4">
        <v>1155.04</v>
      </c>
      <c r="O16" s="4"/>
      <c r="P16" s="4">
        <v>1181.74</v>
      </c>
      <c r="Q16" s="4"/>
      <c r="R16" s="4"/>
      <c r="S16" s="4"/>
      <c r="T16" s="4" t="s">
        <v>64</v>
      </c>
      <c r="U16" s="4"/>
      <c r="V16" s="4"/>
      <c r="W16" s="4"/>
      <c r="X16" s="4"/>
    </row>
    <row r="17" spans="1:24" x14ac:dyDescent="0.2">
      <c r="A17" s="8" t="s">
        <v>21</v>
      </c>
      <c r="B17" s="8" t="s">
        <v>409</v>
      </c>
      <c r="C17" s="8" t="s">
        <v>410</v>
      </c>
      <c r="D17" s="4"/>
      <c r="E17" s="4">
        <v>41.48</v>
      </c>
      <c r="F17" s="4"/>
      <c r="G17" s="4">
        <v>40.53</v>
      </c>
      <c r="H17" s="4">
        <v>41.48</v>
      </c>
      <c r="I17" s="4"/>
      <c r="J17" s="4">
        <v>40.53</v>
      </c>
      <c r="K17" s="4">
        <v>41.48</v>
      </c>
      <c r="L17" s="4"/>
      <c r="M17" s="4">
        <v>40.53</v>
      </c>
      <c r="N17" s="4">
        <v>41.48</v>
      </c>
      <c r="O17" s="4"/>
      <c r="P17" s="4">
        <v>40.53</v>
      </c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21</v>
      </c>
      <c r="B18" s="8" t="s">
        <v>411</v>
      </c>
      <c r="C18" s="8" t="s">
        <v>412</v>
      </c>
      <c r="D18" s="4"/>
      <c r="E18" s="4">
        <v>112.41</v>
      </c>
      <c r="F18" s="4"/>
      <c r="G18" s="4">
        <v>111.37</v>
      </c>
      <c r="H18" s="4">
        <v>112.41</v>
      </c>
      <c r="I18" s="4"/>
      <c r="J18" s="4">
        <v>111.37</v>
      </c>
      <c r="K18" s="4">
        <v>112.41</v>
      </c>
      <c r="L18" s="4"/>
      <c r="M18" s="4">
        <v>111.37</v>
      </c>
      <c r="N18" s="4">
        <v>112.41</v>
      </c>
      <c r="O18" s="4"/>
      <c r="P18" s="4">
        <v>111.37</v>
      </c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8" t="s">
        <v>21</v>
      </c>
      <c r="B19" s="8" t="s">
        <v>413</v>
      </c>
      <c r="C19" s="8" t="s">
        <v>414</v>
      </c>
      <c r="D19" s="4"/>
      <c r="E19" s="4">
        <v>109.62</v>
      </c>
      <c r="F19" s="4"/>
      <c r="G19" s="4">
        <v>97.11</v>
      </c>
      <c r="H19" s="4">
        <v>109.62</v>
      </c>
      <c r="I19" s="4"/>
      <c r="J19" s="4">
        <v>97.11</v>
      </c>
      <c r="K19" s="4">
        <v>109.62</v>
      </c>
      <c r="L19" s="4"/>
      <c r="M19" s="4">
        <v>97.11</v>
      </c>
      <c r="N19" s="4">
        <v>109.62</v>
      </c>
      <c r="O19" s="4"/>
      <c r="P19" s="4">
        <v>97.11</v>
      </c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8" t="s">
        <v>21</v>
      </c>
      <c r="B20" s="8" t="s">
        <v>415</v>
      </c>
      <c r="C20" s="8" t="s">
        <v>416</v>
      </c>
      <c r="D20" s="4"/>
      <c r="E20" s="4">
        <v>99.9</v>
      </c>
      <c r="F20" s="4"/>
      <c r="G20" s="4">
        <v>109.56</v>
      </c>
      <c r="H20" s="4">
        <v>99.9</v>
      </c>
      <c r="I20" s="4"/>
      <c r="J20" s="4">
        <v>109.56</v>
      </c>
      <c r="K20" s="4">
        <v>99.9</v>
      </c>
      <c r="L20" s="4"/>
      <c r="M20" s="4">
        <v>109.56</v>
      </c>
      <c r="N20" s="4">
        <v>99.9</v>
      </c>
      <c r="O20" s="4"/>
      <c r="P20" s="4">
        <v>109.56</v>
      </c>
      <c r="Q20" s="4" t="s">
        <v>62</v>
      </c>
      <c r="R20" s="4"/>
      <c r="S20" s="4"/>
      <c r="T20" s="4" t="s">
        <v>64</v>
      </c>
      <c r="U20" s="4"/>
      <c r="V20" s="4"/>
      <c r="W20" s="4"/>
      <c r="X20" s="4"/>
    </row>
    <row r="21" spans="1:24" x14ac:dyDescent="0.2">
      <c r="A21" s="8" t="s">
        <v>21</v>
      </c>
      <c r="B21" s="8" t="s">
        <v>417</v>
      </c>
      <c r="C21" s="8" t="s">
        <v>418</v>
      </c>
      <c r="D21" s="4"/>
      <c r="E21" s="4">
        <v>111.29</v>
      </c>
      <c r="F21" s="4"/>
      <c r="G21" s="4">
        <v>95.77</v>
      </c>
      <c r="H21" s="4">
        <v>111.29</v>
      </c>
      <c r="I21" s="4"/>
      <c r="J21" s="4">
        <v>95.77</v>
      </c>
      <c r="K21" s="4">
        <v>111.29</v>
      </c>
      <c r="L21" s="4"/>
      <c r="M21" s="4">
        <v>95.77</v>
      </c>
      <c r="N21" s="4">
        <v>111.29</v>
      </c>
      <c r="O21" s="4"/>
      <c r="P21" s="4">
        <v>95.77</v>
      </c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8" t="s">
        <v>21</v>
      </c>
      <c r="B22" s="8" t="s">
        <v>419</v>
      </c>
      <c r="C22" s="8" t="s">
        <v>420</v>
      </c>
      <c r="D22" s="4"/>
      <c r="E22" s="4">
        <v>111.16</v>
      </c>
      <c r="F22" s="4"/>
      <c r="G22" s="4">
        <v>110.57</v>
      </c>
      <c r="H22" s="4">
        <v>111.16</v>
      </c>
      <c r="I22" s="4"/>
      <c r="J22" s="4">
        <v>110.57</v>
      </c>
      <c r="K22" s="4">
        <v>111.16</v>
      </c>
      <c r="L22" s="4"/>
      <c r="M22" s="4">
        <v>110.57</v>
      </c>
      <c r="N22" s="4">
        <v>111.16</v>
      </c>
      <c r="O22" s="4"/>
      <c r="P22" s="4">
        <v>110.57</v>
      </c>
      <c r="Q22" s="4"/>
      <c r="R22" s="4"/>
      <c r="S22" s="4"/>
      <c r="T22" s="4"/>
      <c r="U22" s="4"/>
      <c r="V22" s="4"/>
      <c r="W22" s="4"/>
      <c r="X22" s="4"/>
    </row>
    <row r="23" spans="1:24" x14ac:dyDescent="0.2">
      <c r="A23" s="8" t="s">
        <v>21</v>
      </c>
      <c r="B23" s="8" t="s">
        <v>421</v>
      </c>
      <c r="C23" s="8" t="s">
        <v>422</v>
      </c>
      <c r="D23" s="4"/>
      <c r="E23" s="4">
        <v>94.74</v>
      </c>
      <c r="F23" s="4"/>
      <c r="G23" s="4">
        <v>110.52</v>
      </c>
      <c r="H23" s="4">
        <v>94.74</v>
      </c>
      <c r="I23" s="4"/>
      <c r="J23" s="4">
        <v>110.52</v>
      </c>
      <c r="K23" s="4">
        <v>94.74</v>
      </c>
      <c r="L23" s="4"/>
      <c r="M23" s="4">
        <v>110.52</v>
      </c>
      <c r="N23" s="4">
        <v>94.74</v>
      </c>
      <c r="O23" s="4"/>
      <c r="P23" s="4">
        <v>110.52</v>
      </c>
      <c r="Q23" s="4"/>
      <c r="R23" s="4"/>
      <c r="S23" s="4"/>
      <c r="T23" s="4"/>
      <c r="U23" s="4"/>
      <c r="V23" s="4"/>
      <c r="W23" s="4"/>
      <c r="X23" s="4"/>
    </row>
    <row r="24" spans="1:24" x14ac:dyDescent="0.2">
      <c r="A24" s="8" t="s">
        <v>21</v>
      </c>
      <c r="B24" s="8" t="s">
        <v>423</v>
      </c>
      <c r="C24" s="8" t="s">
        <v>424</v>
      </c>
      <c r="D24" s="4"/>
      <c r="E24" s="4">
        <v>98.22</v>
      </c>
      <c r="F24" s="4"/>
      <c r="G24" s="4">
        <v>95.79</v>
      </c>
      <c r="H24" s="4">
        <v>98.22</v>
      </c>
      <c r="I24" s="4"/>
      <c r="J24" s="4">
        <v>95.79</v>
      </c>
      <c r="K24" s="4">
        <v>98.22</v>
      </c>
      <c r="L24" s="4"/>
      <c r="M24" s="4">
        <v>95.79</v>
      </c>
      <c r="N24" s="4">
        <v>98.22</v>
      </c>
      <c r="O24" s="4"/>
      <c r="P24" s="4">
        <v>95.79</v>
      </c>
      <c r="Q24" s="4"/>
      <c r="R24" s="4"/>
      <c r="S24" s="4" t="s">
        <v>62</v>
      </c>
      <c r="T24" s="4"/>
      <c r="U24" s="4"/>
      <c r="V24" s="4"/>
      <c r="W24" s="4"/>
      <c r="X24" s="4"/>
    </row>
    <row r="25" spans="1:24" x14ac:dyDescent="0.2">
      <c r="A25" s="8" t="s">
        <v>21</v>
      </c>
      <c r="B25" s="8" t="s">
        <v>425</v>
      </c>
      <c r="C25" s="8" t="s">
        <v>426</v>
      </c>
      <c r="D25" s="4"/>
      <c r="E25" s="4">
        <v>136.51</v>
      </c>
      <c r="F25" s="4"/>
      <c r="G25" s="4">
        <v>124.56</v>
      </c>
      <c r="H25" s="4">
        <v>136.51</v>
      </c>
      <c r="I25" s="4"/>
      <c r="J25" s="4">
        <v>124.56</v>
      </c>
      <c r="K25" s="4">
        <v>136.51</v>
      </c>
      <c r="L25" s="4"/>
      <c r="M25" s="4">
        <v>124.56</v>
      </c>
      <c r="N25" s="4">
        <v>136.51</v>
      </c>
      <c r="O25" s="4"/>
      <c r="P25" s="4">
        <v>124.56</v>
      </c>
      <c r="Q25" s="4"/>
      <c r="R25" s="4"/>
      <c r="S25" s="4"/>
      <c r="T25" s="4" t="s">
        <v>64</v>
      </c>
      <c r="U25" s="4"/>
      <c r="V25" s="4"/>
      <c r="W25" s="4"/>
      <c r="X25" s="4"/>
    </row>
    <row r="26" spans="1:24" x14ac:dyDescent="0.2">
      <c r="A26" s="8" t="s">
        <v>21</v>
      </c>
      <c r="B26" s="8" t="s">
        <v>427</v>
      </c>
      <c r="C26" s="8" t="s">
        <v>428</v>
      </c>
      <c r="D26" s="4"/>
      <c r="E26" s="4">
        <v>53.78</v>
      </c>
      <c r="F26" s="4"/>
      <c r="G26" s="4">
        <v>73.52</v>
      </c>
      <c r="H26" s="4">
        <v>53.78</v>
      </c>
      <c r="I26" s="4"/>
      <c r="J26" s="4">
        <v>73.52</v>
      </c>
      <c r="K26" s="4">
        <v>53.78</v>
      </c>
      <c r="L26" s="4"/>
      <c r="M26" s="4">
        <v>73.52</v>
      </c>
      <c r="N26" s="4">
        <v>53.78</v>
      </c>
      <c r="O26" s="4"/>
      <c r="P26" s="4">
        <v>73.52</v>
      </c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">
      <c r="A27" s="8" t="s">
        <v>21</v>
      </c>
      <c r="B27" s="8" t="s">
        <v>429</v>
      </c>
      <c r="C27" s="8" t="s">
        <v>430</v>
      </c>
      <c r="D27" s="4"/>
      <c r="E27" s="4">
        <v>40.65</v>
      </c>
      <c r="F27" s="4"/>
      <c r="G27" s="4">
        <v>39.21</v>
      </c>
      <c r="H27" s="4">
        <v>40.65</v>
      </c>
      <c r="I27" s="4"/>
      <c r="J27" s="4">
        <v>39.21</v>
      </c>
      <c r="K27" s="4">
        <v>40.65</v>
      </c>
      <c r="L27" s="4"/>
      <c r="M27" s="4">
        <v>39.21</v>
      </c>
      <c r="N27" s="4">
        <v>40.65</v>
      </c>
      <c r="O27" s="4"/>
      <c r="P27" s="4">
        <v>39.21</v>
      </c>
      <c r="Q27" s="4"/>
      <c r="R27" s="4"/>
      <c r="S27" s="4" t="s">
        <v>62</v>
      </c>
      <c r="T27" s="4"/>
      <c r="U27" s="4"/>
      <c r="V27" s="4"/>
      <c r="W27" s="4"/>
      <c r="X27" s="4"/>
    </row>
    <row r="28" spans="1:24" x14ac:dyDescent="0.2">
      <c r="A28" s="8" t="s">
        <v>21</v>
      </c>
      <c r="B28" s="8" t="s">
        <v>431</v>
      </c>
      <c r="C28" s="8" t="s">
        <v>432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21</v>
      </c>
      <c r="B29" s="8" t="s">
        <v>433</v>
      </c>
      <c r="C29" s="8" t="s">
        <v>434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21</v>
      </c>
      <c r="B30" s="8" t="s">
        <v>435</v>
      </c>
      <c r="C30" s="8" t="s">
        <v>436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21</v>
      </c>
      <c r="B31" s="8" t="s">
        <v>437</v>
      </c>
      <c r="C31" s="8" t="s">
        <v>438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21</v>
      </c>
      <c r="B32" s="8" t="s">
        <v>439</v>
      </c>
      <c r="C32" s="8" t="s">
        <v>440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21</v>
      </c>
      <c r="B33" s="8" t="s">
        <v>441</v>
      </c>
      <c r="C33" s="8" t="s">
        <v>442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21</v>
      </c>
      <c r="B34" s="8" t="s">
        <v>443</v>
      </c>
      <c r="C34" s="8" t="s">
        <v>444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21</v>
      </c>
      <c r="B35" s="8" t="s">
        <v>445</v>
      </c>
      <c r="C35" s="8" t="s">
        <v>446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21</v>
      </c>
      <c r="B36" s="8" t="s">
        <v>447</v>
      </c>
      <c r="C36" s="8" t="s">
        <v>448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21</v>
      </c>
      <c r="B37" s="8" t="s">
        <v>449</v>
      </c>
      <c r="C37" s="8" t="s">
        <v>450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21</v>
      </c>
      <c r="B38" s="8" t="s">
        <v>451</v>
      </c>
      <c r="C38" s="8" t="s">
        <v>452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21</v>
      </c>
      <c r="B39" s="8" t="s">
        <v>453</v>
      </c>
      <c r="C39" s="8" t="s">
        <v>454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21</v>
      </c>
      <c r="B40" s="8" t="s">
        <v>455</v>
      </c>
      <c r="C40" s="8" t="s">
        <v>456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21</v>
      </c>
      <c r="B41" s="8" t="s">
        <v>457</v>
      </c>
      <c r="C41" s="8" t="s">
        <v>458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21</v>
      </c>
      <c r="B42" s="8" t="s">
        <v>459</v>
      </c>
      <c r="C42" s="8" t="s">
        <v>460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21</v>
      </c>
      <c r="B43" s="8" t="s">
        <v>461</v>
      </c>
      <c r="C43" s="8" t="s">
        <v>462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21</v>
      </c>
      <c r="B44" s="8" t="s">
        <v>463</v>
      </c>
      <c r="C44" s="8" t="s">
        <v>464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21</v>
      </c>
      <c r="B45" s="8" t="s">
        <v>465</v>
      </c>
      <c r="C45" s="8" t="s">
        <v>466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21</v>
      </c>
      <c r="B46" s="8" t="s">
        <v>467</v>
      </c>
      <c r="C46" s="8" t="s">
        <v>468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  <row r="47" spans="1:24" x14ac:dyDescent="0.2">
      <c r="A47" s="8" t="s">
        <v>21</v>
      </c>
      <c r="B47" s="8" t="s">
        <v>469</v>
      </c>
      <c r="C47" s="8" t="s">
        <v>470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1775</v>
      </c>
      <c r="V47" s="4"/>
      <c r="W47" s="4"/>
      <c r="X47" s="4"/>
    </row>
    <row r="48" spans="1:24" x14ac:dyDescent="0.2">
      <c r="A48" s="8" t="s">
        <v>21</v>
      </c>
      <c r="B48" s="8" t="s">
        <v>471</v>
      </c>
      <c r="C48" s="8" t="s">
        <v>472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1775</v>
      </c>
      <c r="V48" s="4"/>
      <c r="W48" s="4"/>
      <c r="X48" s="4"/>
    </row>
    <row r="49" spans="1:24" x14ac:dyDescent="0.2">
      <c r="A49" s="8" t="s">
        <v>21</v>
      </c>
      <c r="B49" s="8" t="s">
        <v>473</v>
      </c>
      <c r="C49" s="8" t="s">
        <v>474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1775</v>
      </c>
      <c r="V49" s="4"/>
      <c r="W49" s="4"/>
      <c r="X49" s="4"/>
    </row>
    <row r="50" spans="1:24" x14ac:dyDescent="0.2">
      <c r="A50" s="8" t="s">
        <v>21</v>
      </c>
      <c r="B50" s="8" t="s">
        <v>475</v>
      </c>
      <c r="C50" s="8" t="s">
        <v>476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1775</v>
      </c>
      <c r="V50" s="4"/>
      <c r="W50" s="4"/>
      <c r="X50" s="4"/>
    </row>
    <row r="51" spans="1:24" x14ac:dyDescent="0.2">
      <c r="A51" s="8" t="s">
        <v>21</v>
      </c>
      <c r="B51" s="8" t="s">
        <v>477</v>
      </c>
      <c r="C51" s="8" t="s">
        <v>478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1775</v>
      </c>
      <c r="V51" s="4"/>
      <c r="W51" s="4"/>
      <c r="X51" s="4"/>
    </row>
    <row r="52" spans="1:24" x14ac:dyDescent="0.2">
      <c r="A52" s="8" t="s">
        <v>21</v>
      </c>
      <c r="B52" s="8" t="s">
        <v>479</v>
      </c>
      <c r="C52" s="8" t="s">
        <v>480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1775</v>
      </c>
      <c r="V52" s="4"/>
      <c r="W52" s="4"/>
      <c r="X52" s="4"/>
    </row>
    <row r="53" spans="1:24" x14ac:dyDescent="0.2">
      <c r="A53" s="8" t="s">
        <v>21</v>
      </c>
      <c r="B53" s="8" t="s">
        <v>481</v>
      </c>
      <c r="C53" s="8" t="s">
        <v>482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1775</v>
      </c>
      <c r="V53" s="4"/>
      <c r="W53" s="4"/>
      <c r="X53" s="4"/>
    </row>
    <row r="54" spans="1:24" x14ac:dyDescent="0.2">
      <c r="A54" s="8" t="s">
        <v>21</v>
      </c>
      <c r="B54" s="8" t="s">
        <v>483</v>
      </c>
      <c r="C54" s="8" t="s">
        <v>484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1775</v>
      </c>
      <c r="V54" s="4"/>
      <c r="W54" s="4"/>
      <c r="X54" s="4"/>
    </row>
    <row r="55" spans="1:24" x14ac:dyDescent="0.2">
      <c r="A55" s="8" t="s">
        <v>21</v>
      </c>
      <c r="B55" s="8" t="s">
        <v>485</v>
      </c>
      <c r="C55" s="8" t="s">
        <v>486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1775</v>
      </c>
      <c r="V55" s="4"/>
      <c r="W55" s="4"/>
      <c r="X55" s="4"/>
    </row>
    <row r="56" spans="1:24" x14ac:dyDescent="0.2">
      <c r="A56" s="8" t="s">
        <v>21</v>
      </c>
      <c r="B56" s="8" t="s">
        <v>487</v>
      </c>
      <c r="C56" s="8" t="s">
        <v>488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1775</v>
      </c>
      <c r="V56" s="4"/>
      <c r="W56" s="4"/>
      <c r="X56" s="4"/>
    </row>
    <row r="57" spans="1:24" x14ac:dyDescent="0.2">
      <c r="A57" s="8" t="s">
        <v>21</v>
      </c>
      <c r="B57" s="8" t="s">
        <v>489</v>
      </c>
      <c r="C57" s="8" t="s">
        <v>490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1775</v>
      </c>
      <c r="V57" s="4"/>
      <c r="W57" s="4"/>
      <c r="X5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55"/>
  <sheetViews>
    <sheetView workbookViewId="0">
      <selection activeCell="Q5" sqref="Q5:T17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SUM(E5:G55)</f>
        <v>4584.3600000000006</v>
      </c>
      <c r="G2" s="6"/>
      <c r="H2" s="6"/>
      <c r="I2" s="6">
        <f>SUM(H5:J55)</f>
        <v>4584.3600000000006</v>
      </c>
      <c r="J2" s="6"/>
      <c r="K2" s="6"/>
      <c r="L2" s="6">
        <f>SUM(K5:M55)</f>
        <v>4584.3600000000006</v>
      </c>
      <c r="M2" s="6"/>
      <c r="N2" s="6"/>
      <c r="O2" s="6">
        <f>SUM(N5:P55)</f>
        <v>4584.3600000000006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22</v>
      </c>
      <c r="B5" s="8" t="s">
        <v>491</v>
      </c>
      <c r="C5" s="8" t="s">
        <v>492</v>
      </c>
      <c r="D5" s="4"/>
      <c r="E5" s="4">
        <v>194.25</v>
      </c>
      <c r="F5" s="4"/>
      <c r="G5" s="4">
        <v>203.02</v>
      </c>
      <c r="H5" s="4">
        <v>194.25</v>
      </c>
      <c r="I5" s="4"/>
      <c r="J5" s="4">
        <v>203.02</v>
      </c>
      <c r="K5" s="4">
        <v>194.25</v>
      </c>
      <c r="L5" s="4"/>
      <c r="M5" s="4">
        <v>203.02</v>
      </c>
      <c r="N5" s="4">
        <v>194.25</v>
      </c>
      <c r="O5" s="4"/>
      <c r="P5" s="4">
        <v>203.02</v>
      </c>
      <c r="Q5" s="4" t="s">
        <v>1775</v>
      </c>
      <c r="R5" s="4" t="s">
        <v>1775</v>
      </c>
      <c r="S5" s="4" t="s">
        <v>1775</v>
      </c>
      <c r="T5" s="4" t="s">
        <v>1775</v>
      </c>
      <c r="U5" s="4"/>
      <c r="V5" s="4"/>
      <c r="W5" s="4"/>
      <c r="X5" s="4"/>
    </row>
    <row r="6" spans="1:24" x14ac:dyDescent="0.2">
      <c r="A6" s="8" t="s">
        <v>22</v>
      </c>
      <c r="B6" s="8" t="s">
        <v>493</v>
      </c>
      <c r="C6" s="8" t="s">
        <v>494</v>
      </c>
      <c r="D6" s="4"/>
      <c r="E6" s="4">
        <v>200.31</v>
      </c>
      <c r="F6" s="4"/>
      <c r="G6" s="4">
        <v>200.86</v>
      </c>
      <c r="H6" s="4">
        <v>200.31</v>
      </c>
      <c r="I6" s="4"/>
      <c r="J6" s="4">
        <v>200.86</v>
      </c>
      <c r="K6" s="4">
        <v>200.31</v>
      </c>
      <c r="L6" s="4"/>
      <c r="M6" s="4">
        <v>200.86</v>
      </c>
      <c r="N6" s="4">
        <v>200.31</v>
      </c>
      <c r="O6" s="4"/>
      <c r="P6" s="4">
        <v>200.86</v>
      </c>
      <c r="Q6" s="4" t="s">
        <v>1775</v>
      </c>
      <c r="R6" s="4" t="s">
        <v>1775</v>
      </c>
      <c r="S6" s="4" t="s">
        <v>1775</v>
      </c>
      <c r="T6" s="4" t="s">
        <v>1775</v>
      </c>
      <c r="U6" s="4"/>
      <c r="V6" s="4"/>
      <c r="W6" s="4"/>
      <c r="X6" s="4"/>
    </row>
    <row r="7" spans="1:24" x14ac:dyDescent="0.2">
      <c r="A7" s="8" t="s">
        <v>22</v>
      </c>
      <c r="B7" s="8" t="s">
        <v>495</v>
      </c>
      <c r="C7" s="8" t="s">
        <v>496</v>
      </c>
      <c r="D7" s="4"/>
      <c r="E7" s="4">
        <v>193.89</v>
      </c>
      <c r="F7" s="4"/>
      <c r="G7" s="4">
        <v>192.62</v>
      </c>
      <c r="H7" s="4">
        <v>193.89</v>
      </c>
      <c r="I7" s="4"/>
      <c r="J7" s="4">
        <v>192.62</v>
      </c>
      <c r="K7" s="4">
        <v>193.89</v>
      </c>
      <c r="L7" s="4"/>
      <c r="M7" s="4">
        <v>192.62</v>
      </c>
      <c r="N7" s="4">
        <v>193.89</v>
      </c>
      <c r="O7" s="4"/>
      <c r="P7" s="4">
        <v>192.62</v>
      </c>
      <c r="Q7" s="4" t="s">
        <v>1775</v>
      </c>
      <c r="R7" s="4" t="s">
        <v>1775</v>
      </c>
      <c r="S7" s="4" t="s">
        <v>1775</v>
      </c>
      <c r="T7" s="4" t="s">
        <v>1775</v>
      </c>
      <c r="U7" s="4"/>
      <c r="V7" s="4"/>
      <c r="W7" s="4"/>
      <c r="X7" s="4"/>
    </row>
    <row r="8" spans="1:24" x14ac:dyDescent="0.2">
      <c r="A8" s="8" t="s">
        <v>22</v>
      </c>
      <c r="B8" s="8" t="s">
        <v>497</v>
      </c>
      <c r="C8" s="8" t="s">
        <v>498</v>
      </c>
      <c r="D8" s="4"/>
      <c r="E8" s="4">
        <v>194.74</v>
      </c>
      <c r="F8" s="4"/>
      <c r="G8" s="4">
        <v>194.66</v>
      </c>
      <c r="H8" s="4">
        <v>194.74</v>
      </c>
      <c r="I8" s="4"/>
      <c r="J8" s="4">
        <v>194.66</v>
      </c>
      <c r="K8" s="4">
        <v>194.74</v>
      </c>
      <c r="L8" s="4"/>
      <c r="M8" s="4">
        <v>194.66</v>
      </c>
      <c r="N8" s="4">
        <v>194.74</v>
      </c>
      <c r="O8" s="4"/>
      <c r="P8" s="4">
        <v>194.66</v>
      </c>
      <c r="Q8" s="4" t="s">
        <v>1775</v>
      </c>
      <c r="R8" s="4" t="s">
        <v>1775</v>
      </c>
      <c r="S8" s="4" t="s">
        <v>1775</v>
      </c>
      <c r="T8" s="4" t="s">
        <v>1775</v>
      </c>
      <c r="U8" s="4"/>
      <c r="V8" s="4"/>
      <c r="W8" s="4"/>
      <c r="X8" s="4"/>
    </row>
    <row r="9" spans="1:24" x14ac:dyDescent="0.2">
      <c r="A9" s="8" t="s">
        <v>22</v>
      </c>
      <c r="B9" s="8" t="s">
        <v>499</v>
      </c>
      <c r="C9" s="8" t="s">
        <v>500</v>
      </c>
      <c r="D9" s="4"/>
      <c r="E9" s="4">
        <v>178.25</v>
      </c>
      <c r="F9" s="4"/>
      <c r="G9" s="4">
        <v>179.64</v>
      </c>
      <c r="H9" s="4">
        <v>178.25</v>
      </c>
      <c r="I9" s="4"/>
      <c r="J9" s="4">
        <v>179.64</v>
      </c>
      <c r="K9" s="4">
        <v>178.25</v>
      </c>
      <c r="L9" s="4"/>
      <c r="M9" s="4">
        <v>179.64</v>
      </c>
      <c r="N9" s="4">
        <v>178.25</v>
      </c>
      <c r="O9" s="4"/>
      <c r="P9" s="4">
        <v>179.64</v>
      </c>
      <c r="Q9" s="4" t="s">
        <v>1775</v>
      </c>
      <c r="R9" s="4" t="s">
        <v>1775</v>
      </c>
      <c r="S9" s="4" t="s">
        <v>1775</v>
      </c>
      <c r="T9" s="4" t="s">
        <v>1775</v>
      </c>
      <c r="U9" s="4"/>
      <c r="V9" s="4"/>
      <c r="W9" s="4"/>
      <c r="X9" s="4"/>
    </row>
    <row r="10" spans="1:24" x14ac:dyDescent="0.2">
      <c r="A10" s="8" t="s">
        <v>22</v>
      </c>
      <c r="B10" s="8" t="s">
        <v>501</v>
      </c>
      <c r="C10" s="8" t="s">
        <v>502</v>
      </c>
      <c r="D10" s="4"/>
      <c r="E10" s="4">
        <v>196.96</v>
      </c>
      <c r="F10" s="4"/>
      <c r="G10" s="4">
        <v>194.22</v>
      </c>
      <c r="H10" s="4">
        <v>196.96</v>
      </c>
      <c r="I10" s="4"/>
      <c r="J10" s="4">
        <v>194.22</v>
      </c>
      <c r="K10" s="4">
        <v>196.96</v>
      </c>
      <c r="L10" s="4"/>
      <c r="M10" s="4">
        <v>194.22</v>
      </c>
      <c r="N10" s="4">
        <v>196.96</v>
      </c>
      <c r="O10" s="4"/>
      <c r="P10" s="4">
        <v>194.22</v>
      </c>
      <c r="Q10" s="4" t="s">
        <v>1775</v>
      </c>
      <c r="R10" s="4" t="s">
        <v>1775</v>
      </c>
      <c r="S10" s="4" t="s">
        <v>1775</v>
      </c>
      <c r="T10" s="4" t="s">
        <v>1775</v>
      </c>
      <c r="U10" s="4"/>
      <c r="V10" s="4"/>
      <c r="W10" s="4"/>
      <c r="X10" s="4"/>
    </row>
    <row r="11" spans="1:24" x14ac:dyDescent="0.2">
      <c r="A11" s="8" t="s">
        <v>22</v>
      </c>
      <c r="B11" s="8" t="s">
        <v>503</v>
      </c>
      <c r="C11" s="8" t="s">
        <v>504</v>
      </c>
      <c r="D11" s="4"/>
      <c r="E11" s="4">
        <v>193.46</v>
      </c>
      <c r="F11" s="4"/>
      <c r="G11" s="4">
        <v>192.23</v>
      </c>
      <c r="H11" s="4">
        <v>193.46</v>
      </c>
      <c r="I11" s="4"/>
      <c r="J11" s="4">
        <v>192.23</v>
      </c>
      <c r="K11" s="4">
        <v>193.46</v>
      </c>
      <c r="L11" s="4"/>
      <c r="M11" s="4">
        <v>192.23</v>
      </c>
      <c r="N11" s="4">
        <v>193.46</v>
      </c>
      <c r="O11" s="4"/>
      <c r="P11" s="4">
        <v>192.23</v>
      </c>
      <c r="Q11" s="4" t="s">
        <v>1775</v>
      </c>
      <c r="R11" s="4" t="s">
        <v>1775</v>
      </c>
      <c r="S11" s="4" t="s">
        <v>1775</v>
      </c>
      <c r="T11" s="4" t="s">
        <v>1775</v>
      </c>
      <c r="U11" s="4"/>
      <c r="V11" s="4"/>
      <c r="W11" s="4"/>
      <c r="X11" s="4"/>
    </row>
    <row r="12" spans="1:24" x14ac:dyDescent="0.2">
      <c r="A12" s="8" t="s">
        <v>22</v>
      </c>
      <c r="B12" s="8" t="s">
        <v>505</v>
      </c>
      <c r="C12" s="8" t="s">
        <v>506</v>
      </c>
      <c r="D12" s="4"/>
      <c r="E12" s="4">
        <v>201.89</v>
      </c>
      <c r="F12" s="4"/>
      <c r="G12" s="4">
        <v>193.32</v>
      </c>
      <c r="H12" s="4">
        <v>201.89</v>
      </c>
      <c r="I12" s="4"/>
      <c r="J12" s="4">
        <v>193.32</v>
      </c>
      <c r="K12" s="4">
        <v>201.89</v>
      </c>
      <c r="L12" s="4"/>
      <c r="M12" s="4">
        <v>193.32</v>
      </c>
      <c r="N12" s="4">
        <v>201.89</v>
      </c>
      <c r="O12" s="4"/>
      <c r="P12" s="4">
        <v>193.32</v>
      </c>
      <c r="Q12" s="4" t="s">
        <v>1775</v>
      </c>
      <c r="R12" s="4" t="s">
        <v>1775</v>
      </c>
      <c r="S12" s="4" t="s">
        <v>1775</v>
      </c>
      <c r="T12" s="4" t="s">
        <v>1775</v>
      </c>
      <c r="U12" s="4"/>
      <c r="V12" s="4"/>
      <c r="W12" s="4"/>
      <c r="X12" s="4"/>
    </row>
    <row r="13" spans="1:24" x14ac:dyDescent="0.2">
      <c r="A13" s="8" t="s">
        <v>22</v>
      </c>
      <c r="B13" s="8" t="s">
        <v>507</v>
      </c>
      <c r="C13" s="8" t="s">
        <v>508</v>
      </c>
      <c r="D13" s="4"/>
      <c r="E13" s="4">
        <v>206.85</v>
      </c>
      <c r="F13" s="4"/>
      <c r="G13" s="4">
        <v>198.28</v>
      </c>
      <c r="H13" s="4">
        <v>206.85</v>
      </c>
      <c r="I13" s="4"/>
      <c r="J13" s="4">
        <v>198.28</v>
      </c>
      <c r="K13" s="4">
        <v>206.85</v>
      </c>
      <c r="L13" s="4"/>
      <c r="M13" s="4">
        <v>198.28</v>
      </c>
      <c r="N13" s="4">
        <v>206.85</v>
      </c>
      <c r="O13" s="4"/>
      <c r="P13" s="4">
        <v>198.28</v>
      </c>
      <c r="Q13" s="4" t="s">
        <v>1775</v>
      </c>
      <c r="R13" s="4" t="s">
        <v>1775</v>
      </c>
      <c r="S13" s="4" t="s">
        <v>1775</v>
      </c>
      <c r="T13" s="4" t="s">
        <v>1775</v>
      </c>
      <c r="U13" s="4"/>
      <c r="V13" s="4"/>
      <c r="W13" s="4"/>
      <c r="X13" s="4"/>
    </row>
    <row r="14" spans="1:24" x14ac:dyDescent="0.2">
      <c r="A14" s="8" t="s">
        <v>22</v>
      </c>
      <c r="B14" s="8" t="s">
        <v>509</v>
      </c>
      <c r="C14" s="8" t="s">
        <v>510</v>
      </c>
      <c r="D14" s="4"/>
      <c r="E14" s="4">
        <v>199.35</v>
      </c>
      <c r="F14" s="4"/>
      <c r="G14" s="4">
        <v>203.88</v>
      </c>
      <c r="H14" s="4">
        <v>199.35</v>
      </c>
      <c r="I14" s="4"/>
      <c r="J14" s="4">
        <v>203.88</v>
      </c>
      <c r="K14" s="4">
        <v>199.35</v>
      </c>
      <c r="L14" s="4"/>
      <c r="M14" s="4">
        <v>203.88</v>
      </c>
      <c r="N14" s="4">
        <v>199.35</v>
      </c>
      <c r="O14" s="4"/>
      <c r="P14" s="4">
        <v>203.88</v>
      </c>
      <c r="Q14" s="4" t="s">
        <v>1775</v>
      </c>
      <c r="R14" s="4" t="s">
        <v>1775</v>
      </c>
      <c r="S14" s="4" t="s">
        <v>1775</v>
      </c>
      <c r="T14" s="4" t="s">
        <v>1775</v>
      </c>
      <c r="U14" s="4"/>
      <c r="V14" s="4"/>
      <c r="W14" s="4"/>
      <c r="X14" s="4"/>
    </row>
    <row r="15" spans="1:24" x14ac:dyDescent="0.2">
      <c r="A15" s="8" t="s">
        <v>22</v>
      </c>
      <c r="B15" s="8" t="s">
        <v>511</v>
      </c>
      <c r="C15" s="8" t="s">
        <v>512</v>
      </c>
      <c r="D15" s="4"/>
      <c r="E15" s="4">
        <v>287</v>
      </c>
      <c r="F15" s="4"/>
      <c r="G15" s="4">
        <v>287.68</v>
      </c>
      <c r="H15" s="4">
        <v>287</v>
      </c>
      <c r="I15" s="4"/>
      <c r="J15" s="4">
        <v>287.68</v>
      </c>
      <c r="K15" s="4">
        <v>287</v>
      </c>
      <c r="L15" s="4"/>
      <c r="M15" s="4">
        <v>287.68</v>
      </c>
      <c r="N15" s="4">
        <v>287</v>
      </c>
      <c r="O15" s="4"/>
      <c r="P15" s="4">
        <v>287.68</v>
      </c>
      <c r="Q15" s="4" t="s">
        <v>1775</v>
      </c>
      <c r="R15" s="4" t="s">
        <v>1775</v>
      </c>
      <c r="S15" s="4" t="s">
        <v>1775</v>
      </c>
      <c r="T15" s="4" t="s">
        <v>1775</v>
      </c>
      <c r="U15" s="4"/>
      <c r="V15" s="4"/>
      <c r="W15" s="4"/>
      <c r="X15" s="4"/>
    </row>
    <row r="16" spans="1:24" x14ac:dyDescent="0.2">
      <c r="A16" s="8" t="s">
        <v>22</v>
      </c>
      <c r="B16" s="8" t="s">
        <v>513</v>
      </c>
      <c r="C16" s="8" t="s">
        <v>514</v>
      </c>
      <c r="D16" s="4"/>
      <c r="E16" s="4">
        <v>21.1</v>
      </c>
      <c r="F16" s="4"/>
      <c r="G16" s="4">
        <v>19.79</v>
      </c>
      <c r="H16" s="4">
        <v>21.1</v>
      </c>
      <c r="I16" s="4"/>
      <c r="J16" s="4">
        <v>19.79</v>
      </c>
      <c r="K16" s="4">
        <v>21.1</v>
      </c>
      <c r="L16" s="4"/>
      <c r="M16" s="4">
        <v>19.79</v>
      </c>
      <c r="N16" s="4">
        <v>21.1</v>
      </c>
      <c r="O16" s="4"/>
      <c r="P16" s="4">
        <v>19.79</v>
      </c>
      <c r="Q16" s="4" t="s">
        <v>1775</v>
      </c>
      <c r="R16" s="4" t="s">
        <v>1775</v>
      </c>
      <c r="S16" s="4" t="s">
        <v>1775</v>
      </c>
      <c r="T16" s="4" t="s">
        <v>1775</v>
      </c>
      <c r="U16" s="4"/>
      <c r="V16" s="4"/>
      <c r="W16" s="4"/>
      <c r="X16" s="4"/>
    </row>
    <row r="17" spans="1:24" x14ac:dyDescent="0.2">
      <c r="A17" s="8" t="s">
        <v>22</v>
      </c>
      <c r="B17" s="8" t="s">
        <v>515</v>
      </c>
      <c r="C17" s="8" t="s">
        <v>516</v>
      </c>
      <c r="D17" s="4"/>
      <c r="E17" s="4">
        <v>25.87</v>
      </c>
      <c r="F17" s="4"/>
      <c r="G17" s="4">
        <v>30.24</v>
      </c>
      <c r="H17" s="4">
        <v>25.87</v>
      </c>
      <c r="I17" s="4"/>
      <c r="J17" s="4">
        <v>30.24</v>
      </c>
      <c r="K17" s="4">
        <v>25.87</v>
      </c>
      <c r="L17" s="4"/>
      <c r="M17" s="4">
        <v>30.24</v>
      </c>
      <c r="N17" s="4">
        <v>25.87</v>
      </c>
      <c r="O17" s="4"/>
      <c r="P17" s="4">
        <v>30.24</v>
      </c>
      <c r="Q17" s="4" t="s">
        <v>1775</v>
      </c>
      <c r="R17" s="4" t="s">
        <v>1775</v>
      </c>
      <c r="S17" s="4" t="s">
        <v>1775</v>
      </c>
      <c r="T17" s="4" t="s">
        <v>1775</v>
      </c>
      <c r="U17" s="4"/>
      <c r="V17" s="4"/>
      <c r="W17" s="4"/>
      <c r="X17" s="4"/>
    </row>
    <row r="18" spans="1:24" x14ac:dyDescent="0.2">
      <c r="A18" s="8" t="s">
        <v>22</v>
      </c>
      <c r="B18" s="8" t="s">
        <v>517</v>
      </c>
      <c r="C18" s="8" t="s">
        <v>518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1775</v>
      </c>
      <c r="V18" s="4"/>
      <c r="W18" s="4"/>
      <c r="X18" s="4"/>
    </row>
    <row r="19" spans="1:24" x14ac:dyDescent="0.2">
      <c r="A19" s="8" t="s">
        <v>22</v>
      </c>
      <c r="B19" s="8" t="s">
        <v>519</v>
      </c>
      <c r="C19" s="8" t="s">
        <v>520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1775</v>
      </c>
      <c r="V19" s="4"/>
      <c r="W19" s="4"/>
      <c r="X19" s="4"/>
    </row>
    <row r="20" spans="1:24" x14ac:dyDescent="0.2">
      <c r="A20" s="8" t="s">
        <v>22</v>
      </c>
      <c r="B20" s="8" t="s">
        <v>521</v>
      </c>
      <c r="C20" s="8" t="s">
        <v>522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1775</v>
      </c>
      <c r="V20" s="4"/>
      <c r="W20" s="4"/>
      <c r="X20" s="4"/>
    </row>
    <row r="21" spans="1:24" x14ac:dyDescent="0.2">
      <c r="A21" s="8" t="s">
        <v>22</v>
      </c>
      <c r="B21" s="8" t="s">
        <v>523</v>
      </c>
      <c r="C21" s="8" t="s">
        <v>524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22</v>
      </c>
      <c r="B22" s="8" t="s">
        <v>525</v>
      </c>
      <c r="C22" s="8" t="s">
        <v>526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22</v>
      </c>
      <c r="B23" s="8" t="s">
        <v>527</v>
      </c>
      <c r="C23" s="8" t="s">
        <v>528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22</v>
      </c>
      <c r="B24" s="8" t="s">
        <v>529</v>
      </c>
      <c r="C24" s="8" t="s">
        <v>530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22</v>
      </c>
      <c r="B25" s="8" t="s">
        <v>531</v>
      </c>
      <c r="C25" s="8" t="s">
        <v>532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22</v>
      </c>
      <c r="B26" s="8" t="s">
        <v>533</v>
      </c>
      <c r="C26" s="8" t="s">
        <v>534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22</v>
      </c>
      <c r="B27" s="8" t="s">
        <v>535</v>
      </c>
      <c r="C27" s="8" t="s">
        <v>536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22</v>
      </c>
      <c r="B28" s="8" t="s">
        <v>537</v>
      </c>
      <c r="C28" s="8" t="s">
        <v>538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22</v>
      </c>
      <c r="B29" s="8" t="s">
        <v>539</v>
      </c>
      <c r="C29" s="8" t="s">
        <v>540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22</v>
      </c>
      <c r="B30" s="8" t="s">
        <v>541</v>
      </c>
      <c r="C30" s="8" t="s">
        <v>542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22</v>
      </c>
      <c r="B31" s="8" t="s">
        <v>543</v>
      </c>
      <c r="C31" s="8" t="s">
        <v>544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22</v>
      </c>
      <c r="B32" s="8" t="s">
        <v>545</v>
      </c>
      <c r="C32" s="8" t="s">
        <v>546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22</v>
      </c>
      <c r="B33" s="8" t="s">
        <v>547</v>
      </c>
      <c r="C33" s="8" t="s">
        <v>548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22</v>
      </c>
      <c r="B34" s="8" t="s">
        <v>549</v>
      </c>
      <c r="C34" s="8" t="s">
        <v>550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22</v>
      </c>
      <c r="B35" s="8" t="s">
        <v>551</v>
      </c>
      <c r="C35" s="8" t="s">
        <v>552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22</v>
      </c>
      <c r="B36" s="8" t="s">
        <v>553</v>
      </c>
      <c r="C36" s="8" t="s">
        <v>554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22</v>
      </c>
      <c r="B37" s="8" t="s">
        <v>555</v>
      </c>
      <c r="C37" s="8" t="s">
        <v>556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22</v>
      </c>
      <c r="B38" s="8" t="s">
        <v>557</v>
      </c>
      <c r="C38" s="8" t="s">
        <v>558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22</v>
      </c>
      <c r="B39" s="8" t="s">
        <v>559</v>
      </c>
      <c r="C39" s="8" t="s">
        <v>560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22</v>
      </c>
      <c r="B40" s="8" t="s">
        <v>561</v>
      </c>
      <c r="C40" s="8" t="s">
        <v>562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22</v>
      </c>
      <c r="B41" s="8" t="s">
        <v>563</v>
      </c>
      <c r="C41" s="8" t="s">
        <v>564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22</v>
      </c>
      <c r="B42" s="8" t="s">
        <v>565</v>
      </c>
      <c r="C42" s="8" t="s">
        <v>566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22</v>
      </c>
      <c r="B43" s="8" t="s">
        <v>567</v>
      </c>
      <c r="C43" s="8" t="s">
        <v>568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22</v>
      </c>
      <c r="B44" s="8" t="s">
        <v>569</v>
      </c>
      <c r="C44" s="8" t="s">
        <v>570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22</v>
      </c>
      <c r="B45" s="8" t="s">
        <v>571</v>
      </c>
      <c r="C45" s="8" t="s">
        <v>572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22</v>
      </c>
      <c r="B46" s="8" t="s">
        <v>573</v>
      </c>
      <c r="C46" s="8" t="s">
        <v>574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  <row r="47" spans="1:24" x14ac:dyDescent="0.2">
      <c r="A47" s="8" t="s">
        <v>22</v>
      </c>
      <c r="B47" s="8" t="s">
        <v>575</v>
      </c>
      <c r="C47" s="8" t="s">
        <v>576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1775</v>
      </c>
      <c r="V47" s="4"/>
      <c r="W47" s="4"/>
      <c r="X47" s="4"/>
    </row>
    <row r="48" spans="1:24" x14ac:dyDescent="0.2">
      <c r="A48" s="8" t="s">
        <v>22</v>
      </c>
      <c r="B48" s="8" t="s">
        <v>577</v>
      </c>
      <c r="C48" s="8" t="s">
        <v>578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1775</v>
      </c>
      <c r="V48" s="4"/>
      <c r="W48" s="4"/>
      <c r="X48" s="4"/>
    </row>
    <row r="49" spans="1:24" x14ac:dyDescent="0.2">
      <c r="A49" s="8" t="s">
        <v>22</v>
      </c>
      <c r="B49" s="8" t="s">
        <v>579</v>
      </c>
      <c r="C49" s="8" t="s">
        <v>580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1775</v>
      </c>
      <c r="V49" s="4"/>
      <c r="W49" s="4"/>
      <c r="X49" s="4"/>
    </row>
    <row r="50" spans="1:24" x14ac:dyDescent="0.2">
      <c r="A50" s="8" t="s">
        <v>22</v>
      </c>
      <c r="B50" s="8" t="s">
        <v>581</v>
      </c>
      <c r="C50" s="8" t="s">
        <v>582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1775</v>
      </c>
      <c r="V50" s="4"/>
      <c r="W50" s="4"/>
      <c r="X50" s="4"/>
    </row>
    <row r="51" spans="1:24" x14ac:dyDescent="0.2">
      <c r="A51" s="8" t="s">
        <v>22</v>
      </c>
      <c r="B51" s="8" t="s">
        <v>583</v>
      </c>
      <c r="C51" s="8" t="s">
        <v>584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1775</v>
      </c>
      <c r="V51" s="4"/>
      <c r="W51" s="4"/>
      <c r="X51" s="4"/>
    </row>
    <row r="52" spans="1:24" x14ac:dyDescent="0.2">
      <c r="A52" s="8" t="s">
        <v>22</v>
      </c>
      <c r="B52" s="8" t="s">
        <v>585</v>
      </c>
      <c r="C52" s="8" t="s">
        <v>586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1775</v>
      </c>
      <c r="V52" s="4"/>
      <c r="W52" s="4"/>
      <c r="X52" s="4"/>
    </row>
    <row r="53" spans="1:24" x14ac:dyDescent="0.2">
      <c r="A53" s="8" t="s">
        <v>22</v>
      </c>
      <c r="B53" s="8" t="s">
        <v>587</v>
      </c>
      <c r="C53" s="8" t="s">
        <v>588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1775</v>
      </c>
      <c r="V53" s="4"/>
      <c r="W53" s="4"/>
      <c r="X53" s="4"/>
    </row>
    <row r="54" spans="1:24" x14ac:dyDescent="0.2">
      <c r="A54" s="8" t="s">
        <v>22</v>
      </c>
      <c r="B54" s="8" t="s">
        <v>589</v>
      </c>
      <c r="C54" s="8" t="s">
        <v>590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1775</v>
      </c>
      <c r="V54" s="4"/>
      <c r="W54" s="4"/>
      <c r="X54" s="4"/>
    </row>
    <row r="55" spans="1:24" x14ac:dyDescent="0.2">
      <c r="A55" s="8" t="s">
        <v>22</v>
      </c>
      <c r="B55" s="8" t="s">
        <v>591</v>
      </c>
      <c r="C55" s="8" t="s">
        <v>592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1775</v>
      </c>
      <c r="V55" s="4"/>
      <c r="W55" s="4"/>
      <c r="X55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16"/>
  <sheetViews>
    <sheetView workbookViewId="0">
      <selection activeCell="AB11" sqref="AB11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59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SUM(E5:G16)</f>
        <v>3739.7000000000003</v>
      </c>
      <c r="G2" s="6"/>
      <c r="H2" s="6"/>
      <c r="I2" s="6">
        <f>SUM(H5:J16)</f>
        <v>3739.7000000000003</v>
      </c>
      <c r="J2" s="6"/>
      <c r="K2" s="6"/>
      <c r="L2" s="6">
        <f>SUM(K5:M16)</f>
        <v>3739.7000000000003</v>
      </c>
      <c r="M2" s="6"/>
      <c r="N2" s="6"/>
      <c r="O2" s="6">
        <f>SUM(N5:P16)</f>
        <v>3739.7000000000003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23</v>
      </c>
      <c r="B5" s="8" t="s">
        <v>593</v>
      </c>
      <c r="C5" s="8" t="s">
        <v>594</v>
      </c>
      <c r="D5" s="4"/>
      <c r="E5" s="4"/>
      <c r="F5" s="4">
        <v>28.8</v>
      </c>
      <c r="G5" s="4"/>
      <c r="H5" s="4"/>
      <c r="I5" s="4">
        <v>28.8</v>
      </c>
      <c r="J5" s="4"/>
      <c r="K5" s="4"/>
      <c r="L5" s="4">
        <v>28.8</v>
      </c>
      <c r="M5" s="4"/>
      <c r="N5" s="4"/>
      <c r="O5" s="4">
        <v>28.8</v>
      </c>
      <c r="P5" s="4"/>
      <c r="Q5" s="4" t="s">
        <v>63</v>
      </c>
      <c r="R5" s="4"/>
      <c r="S5" s="10" t="s">
        <v>63</v>
      </c>
      <c r="T5" s="10"/>
      <c r="U5" s="4"/>
      <c r="V5" s="4"/>
      <c r="W5" s="4"/>
      <c r="X5" s="4"/>
    </row>
    <row r="6" spans="1:24" x14ac:dyDescent="0.2">
      <c r="A6" s="8" t="s">
        <v>23</v>
      </c>
      <c r="B6" s="8" t="s">
        <v>101</v>
      </c>
      <c r="C6" s="8" t="s">
        <v>595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23</v>
      </c>
      <c r="B7" s="8" t="s">
        <v>101</v>
      </c>
      <c r="C7" s="8" t="s">
        <v>596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63</v>
      </c>
      <c r="U7" s="4"/>
      <c r="V7" s="4"/>
      <c r="W7" s="4"/>
      <c r="X7" s="4"/>
    </row>
    <row r="8" spans="1:24" x14ac:dyDescent="0.2">
      <c r="A8" s="8" t="s">
        <v>23</v>
      </c>
      <c r="B8" s="8" t="s">
        <v>101</v>
      </c>
      <c r="C8" s="8" t="s">
        <v>597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0" t="s">
        <v>63</v>
      </c>
      <c r="T8" s="4"/>
      <c r="U8" s="4"/>
      <c r="V8" s="4"/>
      <c r="W8" s="4"/>
      <c r="X8" s="4"/>
    </row>
    <row r="9" spans="1:24" x14ac:dyDescent="0.2">
      <c r="A9" s="8" t="s">
        <v>23</v>
      </c>
      <c r="B9" s="8" t="s">
        <v>101</v>
      </c>
      <c r="C9" s="8" t="s">
        <v>598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0" t="s">
        <v>63</v>
      </c>
      <c r="U9" s="4"/>
      <c r="V9" s="4"/>
      <c r="W9" s="4"/>
      <c r="X9" s="4"/>
    </row>
    <row r="10" spans="1:24" x14ac:dyDescent="0.2">
      <c r="A10" s="8" t="s">
        <v>23</v>
      </c>
      <c r="B10" s="8" t="s">
        <v>101</v>
      </c>
      <c r="C10" s="8" t="s">
        <v>599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0" t="s">
        <v>63</v>
      </c>
      <c r="T10" s="4"/>
      <c r="U10" s="4"/>
      <c r="V10" s="4"/>
      <c r="W10" s="4"/>
      <c r="X10" s="4"/>
    </row>
    <row r="11" spans="1:24" x14ac:dyDescent="0.2">
      <c r="A11" s="8" t="s">
        <v>23</v>
      </c>
      <c r="B11" s="8" t="s">
        <v>101</v>
      </c>
      <c r="C11" s="8" t="s">
        <v>600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0" t="s">
        <v>63</v>
      </c>
      <c r="U11" s="4"/>
      <c r="V11" s="4"/>
      <c r="W11" s="4"/>
      <c r="X11" s="4"/>
    </row>
    <row r="12" spans="1:24" x14ac:dyDescent="0.2">
      <c r="A12" s="8" t="s">
        <v>23</v>
      </c>
      <c r="B12" s="8" t="s">
        <v>601</v>
      </c>
      <c r="C12" s="8" t="s">
        <v>602</v>
      </c>
      <c r="D12" s="4"/>
      <c r="E12" s="4"/>
      <c r="F12" s="4">
        <v>117.62</v>
      </c>
      <c r="G12" s="4"/>
      <c r="H12" s="4"/>
      <c r="I12" s="4">
        <v>117.62</v>
      </c>
      <c r="J12" s="4"/>
      <c r="K12" s="4"/>
      <c r="L12" s="4">
        <v>117.62</v>
      </c>
      <c r="M12" s="4"/>
      <c r="N12" s="4"/>
      <c r="O12" s="4">
        <v>117.62</v>
      </c>
      <c r="P12" s="4"/>
      <c r="Q12" s="4" t="s">
        <v>63</v>
      </c>
      <c r="R12" s="4"/>
      <c r="S12" s="4" t="s">
        <v>63</v>
      </c>
      <c r="T12" s="4"/>
      <c r="U12" s="4"/>
      <c r="V12" s="4"/>
      <c r="W12" s="4"/>
      <c r="X12" s="4"/>
    </row>
    <row r="13" spans="1:24" x14ac:dyDescent="0.2">
      <c r="A13" s="8" t="s">
        <v>23</v>
      </c>
      <c r="B13" s="8" t="s">
        <v>603</v>
      </c>
      <c r="C13" s="8" t="s">
        <v>604</v>
      </c>
      <c r="D13" s="4"/>
      <c r="E13" s="4"/>
      <c r="F13" s="4">
        <v>46.95</v>
      </c>
      <c r="G13" s="4"/>
      <c r="H13" s="4"/>
      <c r="I13" s="4">
        <v>46.95</v>
      </c>
      <c r="J13" s="4"/>
      <c r="K13" s="4"/>
      <c r="L13" s="4">
        <v>46.95</v>
      </c>
      <c r="M13" s="4"/>
      <c r="N13" s="4"/>
      <c r="O13" s="4">
        <v>46.95</v>
      </c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8" t="s">
        <v>23</v>
      </c>
      <c r="B14" s="8" t="s">
        <v>605</v>
      </c>
      <c r="C14" s="8" t="s">
        <v>606</v>
      </c>
      <c r="D14" s="4"/>
      <c r="E14" s="4"/>
      <c r="F14" s="4">
        <v>1812.45</v>
      </c>
      <c r="G14" s="4"/>
      <c r="H14" s="4"/>
      <c r="I14" s="4">
        <v>1812.45</v>
      </c>
      <c r="J14" s="4"/>
      <c r="K14" s="4"/>
      <c r="L14" s="4">
        <v>1812.45</v>
      </c>
      <c r="M14" s="4"/>
      <c r="N14" s="4"/>
      <c r="O14" s="4">
        <v>1812.45</v>
      </c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">
      <c r="A15" s="8" t="s">
        <v>23</v>
      </c>
      <c r="B15" s="8" t="s">
        <v>607</v>
      </c>
      <c r="C15" s="8" t="s">
        <v>608</v>
      </c>
      <c r="D15" s="4"/>
      <c r="E15" s="4"/>
      <c r="F15" s="4">
        <v>881.21</v>
      </c>
      <c r="G15" s="4"/>
      <c r="H15" s="4"/>
      <c r="I15" s="4">
        <v>881.21</v>
      </c>
      <c r="J15" s="4"/>
      <c r="K15" s="4"/>
      <c r="L15" s="4">
        <v>881.21</v>
      </c>
      <c r="M15" s="4"/>
      <c r="N15" s="4"/>
      <c r="O15" s="4">
        <v>881.21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">
      <c r="A16" s="8" t="s">
        <v>23</v>
      </c>
      <c r="B16" s="8" t="s">
        <v>609</v>
      </c>
      <c r="C16" s="8" t="s">
        <v>610</v>
      </c>
      <c r="D16" s="4"/>
      <c r="E16" s="4"/>
      <c r="F16" s="4">
        <v>852.67</v>
      </c>
      <c r="G16" s="4"/>
      <c r="H16" s="4"/>
      <c r="I16" s="4">
        <v>852.67</v>
      </c>
      <c r="J16" s="4"/>
      <c r="K16" s="4"/>
      <c r="L16" s="4">
        <v>852.67</v>
      </c>
      <c r="M16" s="4"/>
      <c r="N16" s="4"/>
      <c r="O16" s="4">
        <v>852.67</v>
      </c>
      <c r="P16" s="4"/>
      <c r="Q16" s="4"/>
      <c r="R16" s="4"/>
      <c r="S16" s="4"/>
      <c r="T16" s="4"/>
      <c r="U16" s="4"/>
      <c r="V16" s="4"/>
      <c r="W16" s="4"/>
      <c r="X1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18"/>
  <sheetViews>
    <sheetView topLeftCell="A2" workbookViewId="0">
      <selection activeCell="R5" sqref="R5:R6"/>
    </sheetView>
  </sheetViews>
  <sheetFormatPr baseColWidth="10" defaultColWidth="8.83203125" defaultRowHeight="15" x14ac:dyDescent="0.2"/>
  <cols>
    <col min="1" max="1" width="18" customWidth="1"/>
    <col min="2" max="2" width="31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838.88</v>
      </c>
      <c r="G2" s="6"/>
      <c r="H2" s="6"/>
      <c r="I2" s="6">
        <f>SUM(H5:J18)</f>
        <v>838.88</v>
      </c>
      <c r="J2" s="6"/>
      <c r="K2" s="6"/>
      <c r="L2" s="6">
        <f>SUM(K5:M18)</f>
        <v>838.88</v>
      </c>
      <c r="M2" s="6"/>
      <c r="N2" s="6"/>
      <c r="O2" s="6">
        <f>SUM(N5:P18)</f>
        <v>838.88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24</v>
      </c>
      <c r="B5" s="8" t="s">
        <v>611</v>
      </c>
      <c r="C5" s="8" t="s">
        <v>612</v>
      </c>
      <c r="D5" s="4"/>
      <c r="E5" s="4"/>
      <c r="F5" s="4">
        <v>34.14</v>
      </c>
      <c r="G5" s="4"/>
      <c r="H5" s="4"/>
      <c r="I5" s="4">
        <v>34.14</v>
      </c>
      <c r="J5" s="4"/>
      <c r="K5" s="4"/>
      <c r="L5" s="4">
        <v>34.14</v>
      </c>
      <c r="M5" s="4"/>
      <c r="N5" s="4"/>
      <c r="O5" s="4">
        <v>34.14</v>
      </c>
      <c r="P5" s="4"/>
      <c r="Q5" s="4" t="s">
        <v>63</v>
      </c>
      <c r="R5" s="14"/>
      <c r="S5" s="10" t="s">
        <v>63</v>
      </c>
      <c r="T5" s="10"/>
      <c r="U5" s="4"/>
      <c r="V5" s="4"/>
      <c r="W5" s="4"/>
      <c r="X5" s="4"/>
    </row>
    <row r="6" spans="1:24" x14ac:dyDescent="0.2">
      <c r="A6" s="8" t="s">
        <v>24</v>
      </c>
      <c r="B6" s="8" t="s">
        <v>613</v>
      </c>
      <c r="C6" s="8" t="s">
        <v>614</v>
      </c>
      <c r="D6" s="4"/>
      <c r="E6" s="4"/>
      <c r="F6" s="4">
        <v>36.44</v>
      </c>
      <c r="G6" s="4"/>
      <c r="H6" s="4"/>
      <c r="I6" s="4">
        <v>36.44</v>
      </c>
      <c r="J6" s="4"/>
      <c r="K6" s="4"/>
      <c r="L6" s="4">
        <v>36.44</v>
      </c>
      <c r="M6" s="4"/>
      <c r="N6" s="4"/>
      <c r="O6" s="4">
        <v>36.44</v>
      </c>
      <c r="P6" s="4"/>
      <c r="Q6" s="4" t="s">
        <v>63</v>
      </c>
      <c r="R6" s="14"/>
      <c r="S6" s="10" t="s">
        <v>63</v>
      </c>
      <c r="T6" s="10"/>
      <c r="U6" s="4"/>
      <c r="V6" s="4"/>
      <c r="W6" s="4"/>
      <c r="X6" s="4"/>
    </row>
    <row r="7" spans="1:24" x14ac:dyDescent="0.2">
      <c r="A7" s="8" t="s">
        <v>24</v>
      </c>
      <c r="B7" s="8" t="s">
        <v>101</v>
      </c>
      <c r="C7" s="8" t="s">
        <v>615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 t="s">
        <v>63</v>
      </c>
      <c r="T7" s="4"/>
      <c r="U7" s="4"/>
      <c r="V7" s="4"/>
      <c r="W7" s="4"/>
      <c r="X7" s="4"/>
    </row>
    <row r="8" spans="1:24" x14ac:dyDescent="0.2">
      <c r="A8" s="8" t="s">
        <v>24</v>
      </c>
      <c r="B8" s="8" t="s">
        <v>101</v>
      </c>
      <c r="C8" s="8" t="s">
        <v>616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 t="s">
        <v>63</v>
      </c>
      <c r="U8" s="4"/>
      <c r="V8" s="4"/>
      <c r="W8" s="4"/>
      <c r="X8" s="4"/>
    </row>
    <row r="9" spans="1:24" x14ac:dyDescent="0.2">
      <c r="A9" s="8" t="s">
        <v>24</v>
      </c>
      <c r="B9" s="8" t="s">
        <v>101</v>
      </c>
      <c r="C9" s="8" t="s">
        <v>617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0" t="s">
        <v>63</v>
      </c>
      <c r="T9" s="4"/>
      <c r="U9" s="4"/>
      <c r="V9" s="4"/>
      <c r="W9" s="4"/>
      <c r="X9" s="4"/>
    </row>
    <row r="10" spans="1:24" x14ac:dyDescent="0.2">
      <c r="A10" s="8" t="s">
        <v>24</v>
      </c>
      <c r="B10" s="8" t="s">
        <v>101</v>
      </c>
      <c r="C10" s="8" t="s">
        <v>618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0" t="s">
        <v>63</v>
      </c>
      <c r="U10" s="4"/>
      <c r="V10" s="4"/>
      <c r="W10" s="4"/>
      <c r="X10" s="4"/>
    </row>
    <row r="11" spans="1:24" x14ac:dyDescent="0.2">
      <c r="A11" s="8" t="s">
        <v>24</v>
      </c>
      <c r="B11" s="8" t="s">
        <v>101</v>
      </c>
      <c r="C11" s="8" t="s">
        <v>619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0" t="s">
        <v>63</v>
      </c>
      <c r="T11" s="4"/>
      <c r="U11" s="4"/>
      <c r="V11" s="4"/>
      <c r="W11" s="4"/>
      <c r="X11" s="4"/>
    </row>
    <row r="12" spans="1:24" x14ac:dyDescent="0.2">
      <c r="A12" s="8" t="s">
        <v>24</v>
      </c>
      <c r="B12" s="8" t="s">
        <v>101</v>
      </c>
      <c r="C12" s="8" t="s">
        <v>620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0" t="s">
        <v>63</v>
      </c>
      <c r="U12" s="4"/>
      <c r="V12" s="4"/>
      <c r="W12" s="4"/>
      <c r="X12" s="4"/>
    </row>
    <row r="13" spans="1:24" x14ac:dyDescent="0.2">
      <c r="A13" s="8" t="s">
        <v>24</v>
      </c>
      <c r="B13" s="8" t="s">
        <v>101</v>
      </c>
      <c r="C13" s="8" t="s">
        <v>621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0" t="s">
        <v>63</v>
      </c>
      <c r="T13" s="4"/>
      <c r="U13" s="4"/>
      <c r="V13" s="4"/>
      <c r="W13" s="4"/>
      <c r="X13" s="4"/>
    </row>
    <row r="14" spans="1:24" x14ac:dyDescent="0.2">
      <c r="A14" s="8" t="s">
        <v>24</v>
      </c>
      <c r="B14" s="8" t="s">
        <v>101</v>
      </c>
      <c r="C14" s="8" t="s">
        <v>622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0" t="s">
        <v>63</v>
      </c>
      <c r="U14" s="4"/>
      <c r="V14" s="4"/>
      <c r="W14" s="4"/>
      <c r="X14" s="4"/>
    </row>
    <row r="15" spans="1:24" x14ac:dyDescent="0.2">
      <c r="A15" s="8" t="s">
        <v>24</v>
      </c>
      <c r="B15" s="8" t="s">
        <v>623</v>
      </c>
      <c r="C15" s="8" t="s">
        <v>624</v>
      </c>
      <c r="D15" s="4"/>
      <c r="E15" s="4"/>
      <c r="F15" s="4">
        <v>33.33</v>
      </c>
      <c r="G15" s="4"/>
      <c r="H15" s="4"/>
      <c r="I15" s="4">
        <v>33.33</v>
      </c>
      <c r="J15" s="4"/>
      <c r="K15" s="4"/>
      <c r="L15" s="4">
        <v>33.33</v>
      </c>
      <c r="M15" s="4"/>
      <c r="N15" s="4"/>
      <c r="O15" s="4">
        <v>33.33</v>
      </c>
      <c r="P15" s="4"/>
      <c r="Q15" s="4" t="s">
        <v>63</v>
      </c>
      <c r="R15" s="1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24</v>
      </c>
      <c r="B16" s="8" t="s">
        <v>625</v>
      </c>
      <c r="C16" s="8" t="s">
        <v>626</v>
      </c>
      <c r="D16" s="4"/>
      <c r="E16" s="4"/>
      <c r="F16" s="4">
        <v>34.94</v>
      </c>
      <c r="G16" s="4"/>
      <c r="H16" s="4"/>
      <c r="I16" s="4">
        <v>34.94</v>
      </c>
      <c r="J16" s="4"/>
      <c r="K16" s="4"/>
      <c r="L16" s="4">
        <v>34.94</v>
      </c>
      <c r="M16" s="4"/>
      <c r="N16" s="4"/>
      <c r="O16" s="4">
        <v>34.94</v>
      </c>
      <c r="P16" s="4"/>
      <c r="Q16" s="4" t="s">
        <v>63</v>
      </c>
      <c r="R16" s="14"/>
      <c r="S16" s="4" t="s">
        <v>63</v>
      </c>
      <c r="T16" s="4"/>
      <c r="U16" s="4"/>
      <c r="V16" s="4"/>
      <c r="W16" s="4"/>
      <c r="X16" s="4"/>
    </row>
    <row r="17" spans="1:24" x14ac:dyDescent="0.2">
      <c r="A17" s="8" t="s">
        <v>24</v>
      </c>
      <c r="B17" s="8" t="s">
        <v>627</v>
      </c>
      <c r="C17" s="8" t="s">
        <v>628</v>
      </c>
      <c r="D17" s="4"/>
      <c r="E17" s="4"/>
      <c r="F17" s="4">
        <v>173.39</v>
      </c>
      <c r="G17" s="4"/>
      <c r="H17" s="4"/>
      <c r="I17" s="4">
        <v>173.39</v>
      </c>
      <c r="J17" s="4"/>
      <c r="K17" s="4"/>
      <c r="L17" s="4">
        <v>173.39</v>
      </c>
      <c r="M17" s="4"/>
      <c r="N17" s="4"/>
      <c r="O17" s="4">
        <v>173.39</v>
      </c>
      <c r="P17" s="4"/>
      <c r="Q17" s="4" t="s">
        <v>63</v>
      </c>
      <c r="R17" s="1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24</v>
      </c>
      <c r="B18" s="8" t="s">
        <v>629</v>
      </c>
      <c r="C18" s="8" t="s">
        <v>630</v>
      </c>
      <c r="D18" s="4"/>
      <c r="E18" s="4"/>
      <c r="F18" s="4">
        <v>526.64</v>
      </c>
      <c r="G18" s="4"/>
      <c r="H18" s="4"/>
      <c r="I18" s="4">
        <v>526.64</v>
      </c>
      <c r="J18" s="4"/>
      <c r="K18" s="4"/>
      <c r="L18" s="4">
        <v>526.64</v>
      </c>
      <c r="M18" s="4"/>
      <c r="N18" s="4"/>
      <c r="O18" s="4">
        <v>526.64</v>
      </c>
      <c r="P18" s="4"/>
      <c r="Q18" s="4" t="s">
        <v>63</v>
      </c>
      <c r="R18" s="1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18"/>
  <sheetViews>
    <sheetView workbookViewId="0">
      <selection activeCell="R5" sqref="R5:R18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370.94</v>
      </c>
      <c r="G2" s="6"/>
      <c r="H2" s="6"/>
      <c r="I2" s="6">
        <f>SUM(H5:J18)</f>
        <v>370.94</v>
      </c>
      <c r="J2" s="6"/>
      <c r="K2" s="6"/>
      <c r="L2" s="6">
        <f>SUM(K5:M18)</f>
        <v>370.94</v>
      </c>
      <c r="M2" s="6"/>
      <c r="N2" s="6"/>
      <c r="O2" s="6">
        <f>SUM(N5:P18)</f>
        <v>370.94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25</v>
      </c>
      <c r="B5" s="8" t="s">
        <v>631</v>
      </c>
      <c r="C5" s="8" t="s">
        <v>632</v>
      </c>
      <c r="D5" s="4"/>
      <c r="E5" s="4"/>
      <c r="F5" s="4">
        <v>27.97</v>
      </c>
      <c r="G5" s="4"/>
      <c r="H5" s="4"/>
      <c r="I5" s="4">
        <v>27.97</v>
      </c>
      <c r="J5" s="4"/>
      <c r="K5" s="4"/>
      <c r="L5" s="4">
        <v>27.97</v>
      </c>
      <c r="M5" s="4"/>
      <c r="N5" s="4"/>
      <c r="O5" s="4">
        <v>27.97</v>
      </c>
      <c r="P5" s="4"/>
      <c r="Q5" s="4" t="s">
        <v>63</v>
      </c>
      <c r="R5" s="14"/>
      <c r="S5" s="10" t="s">
        <v>63</v>
      </c>
      <c r="T5" s="10"/>
      <c r="U5" s="4"/>
      <c r="V5" s="4"/>
      <c r="W5" s="4"/>
      <c r="X5" s="4"/>
    </row>
    <row r="6" spans="1:24" x14ac:dyDescent="0.2">
      <c r="A6" s="8" t="s">
        <v>25</v>
      </c>
      <c r="B6" s="8" t="s">
        <v>633</v>
      </c>
      <c r="C6" s="8" t="s">
        <v>634</v>
      </c>
      <c r="D6" s="4"/>
      <c r="E6" s="4"/>
      <c r="F6" s="4">
        <v>32.03</v>
      </c>
      <c r="G6" s="4"/>
      <c r="H6" s="4"/>
      <c r="I6" s="4">
        <v>32.03</v>
      </c>
      <c r="J6" s="4"/>
      <c r="K6" s="4"/>
      <c r="L6" s="4">
        <v>32.03</v>
      </c>
      <c r="M6" s="4"/>
      <c r="N6" s="4"/>
      <c r="O6" s="4">
        <v>32.03</v>
      </c>
      <c r="P6" s="4"/>
      <c r="Q6" s="4" t="s">
        <v>63</v>
      </c>
      <c r="R6" s="14"/>
      <c r="S6" s="10" t="s">
        <v>63</v>
      </c>
      <c r="T6" s="10"/>
      <c r="U6" s="4"/>
      <c r="V6" s="4"/>
      <c r="W6" s="4"/>
      <c r="X6" s="4"/>
    </row>
    <row r="7" spans="1:24" x14ac:dyDescent="0.2">
      <c r="A7" s="8" t="s">
        <v>25</v>
      </c>
      <c r="B7" s="8" t="s">
        <v>101</v>
      </c>
      <c r="C7" s="8" t="s">
        <v>635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 t="s">
        <v>63</v>
      </c>
      <c r="T7" s="4"/>
      <c r="U7" s="4"/>
      <c r="V7" s="4"/>
      <c r="W7" s="4"/>
      <c r="X7" s="4"/>
    </row>
    <row r="8" spans="1:24" x14ac:dyDescent="0.2">
      <c r="A8" s="8" t="s">
        <v>25</v>
      </c>
      <c r="B8" s="8" t="s">
        <v>101</v>
      </c>
      <c r="C8" s="8" t="s">
        <v>636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 t="s">
        <v>63</v>
      </c>
      <c r="U8" s="4"/>
      <c r="V8" s="4"/>
      <c r="W8" s="4"/>
      <c r="X8" s="4"/>
    </row>
    <row r="9" spans="1:24" x14ac:dyDescent="0.2">
      <c r="A9" s="8" t="s">
        <v>25</v>
      </c>
      <c r="B9" s="8" t="s">
        <v>101</v>
      </c>
      <c r="C9" s="8" t="s">
        <v>637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0" t="s">
        <v>63</v>
      </c>
      <c r="T9" s="4"/>
      <c r="U9" s="4"/>
      <c r="V9" s="4"/>
      <c r="W9" s="4"/>
      <c r="X9" s="4"/>
    </row>
    <row r="10" spans="1:24" x14ac:dyDescent="0.2">
      <c r="A10" s="8" t="s">
        <v>25</v>
      </c>
      <c r="B10" s="8" t="s">
        <v>101</v>
      </c>
      <c r="C10" s="8" t="s">
        <v>638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0" t="s">
        <v>63</v>
      </c>
      <c r="U10" s="4"/>
      <c r="V10" s="4"/>
      <c r="W10" s="4"/>
      <c r="X10" s="4"/>
    </row>
    <row r="11" spans="1:24" x14ac:dyDescent="0.2">
      <c r="A11" s="8" t="s">
        <v>25</v>
      </c>
      <c r="B11" s="8" t="s">
        <v>101</v>
      </c>
      <c r="C11" s="8" t="s">
        <v>639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0" t="s">
        <v>63</v>
      </c>
      <c r="T11" s="4"/>
      <c r="U11" s="4"/>
      <c r="V11" s="4"/>
      <c r="W11" s="4"/>
      <c r="X11" s="4"/>
    </row>
    <row r="12" spans="1:24" x14ac:dyDescent="0.2">
      <c r="A12" s="8" t="s">
        <v>25</v>
      </c>
      <c r="B12" s="8" t="s">
        <v>101</v>
      </c>
      <c r="C12" s="8" t="s">
        <v>640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0" t="s">
        <v>63</v>
      </c>
      <c r="U12" s="4"/>
      <c r="V12" s="4"/>
      <c r="W12" s="4"/>
      <c r="X12" s="4"/>
    </row>
    <row r="13" spans="1:24" x14ac:dyDescent="0.2">
      <c r="A13" s="8" t="s">
        <v>25</v>
      </c>
      <c r="B13" s="8" t="s">
        <v>101</v>
      </c>
      <c r="C13" s="8" t="s">
        <v>641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0" t="s">
        <v>63</v>
      </c>
      <c r="T13" s="4"/>
      <c r="U13" s="4"/>
      <c r="V13" s="4"/>
      <c r="W13" s="4"/>
      <c r="X13" s="4"/>
    </row>
    <row r="14" spans="1:24" x14ac:dyDescent="0.2">
      <c r="A14" s="8" t="s">
        <v>25</v>
      </c>
      <c r="B14" s="8" t="s">
        <v>101</v>
      </c>
      <c r="C14" s="8" t="s">
        <v>642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0" t="s">
        <v>63</v>
      </c>
      <c r="U14" s="4"/>
      <c r="V14" s="4"/>
      <c r="W14" s="4"/>
      <c r="X14" s="4"/>
    </row>
    <row r="15" spans="1:24" x14ac:dyDescent="0.2">
      <c r="A15" s="8" t="s">
        <v>25</v>
      </c>
      <c r="B15" s="8" t="s">
        <v>643</v>
      </c>
      <c r="C15" s="8" t="s">
        <v>644</v>
      </c>
      <c r="D15" s="4"/>
      <c r="E15" s="4"/>
      <c r="F15" s="4">
        <v>28.26</v>
      </c>
      <c r="G15" s="4"/>
      <c r="H15" s="4"/>
      <c r="I15" s="4">
        <v>28.26</v>
      </c>
      <c r="J15" s="4"/>
      <c r="K15" s="4"/>
      <c r="L15" s="4">
        <v>28.26</v>
      </c>
      <c r="M15" s="4"/>
      <c r="N15" s="4"/>
      <c r="O15" s="4">
        <v>28.26</v>
      </c>
      <c r="P15" s="4"/>
      <c r="Q15" s="4" t="s">
        <v>63</v>
      </c>
      <c r="R15" s="1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25</v>
      </c>
      <c r="B16" s="8" t="s">
        <v>645</v>
      </c>
      <c r="C16" s="8" t="s">
        <v>646</v>
      </c>
      <c r="D16" s="4"/>
      <c r="E16" s="4"/>
      <c r="F16" s="4">
        <v>41.23</v>
      </c>
      <c r="G16" s="4"/>
      <c r="H16" s="4"/>
      <c r="I16" s="4">
        <v>41.23</v>
      </c>
      <c r="J16" s="4"/>
      <c r="K16" s="4"/>
      <c r="L16" s="4">
        <v>41.23</v>
      </c>
      <c r="M16" s="4"/>
      <c r="N16" s="4"/>
      <c r="O16" s="4">
        <v>41.23</v>
      </c>
      <c r="P16" s="4"/>
      <c r="Q16" s="4" t="s">
        <v>63</v>
      </c>
      <c r="R16" s="14"/>
      <c r="S16" s="4" t="s">
        <v>63</v>
      </c>
      <c r="T16" s="4"/>
      <c r="U16" s="4"/>
      <c r="V16" s="4"/>
      <c r="W16" s="4"/>
      <c r="X16" s="4"/>
    </row>
    <row r="17" spans="1:24" x14ac:dyDescent="0.2">
      <c r="A17" s="8" t="s">
        <v>25</v>
      </c>
      <c r="B17" s="8" t="s">
        <v>647</v>
      </c>
      <c r="C17" s="8" t="s">
        <v>648</v>
      </c>
      <c r="D17" s="4"/>
      <c r="E17" s="4"/>
      <c r="F17" s="4">
        <v>123.19</v>
      </c>
      <c r="G17" s="4"/>
      <c r="H17" s="4"/>
      <c r="I17" s="4">
        <v>123.19</v>
      </c>
      <c r="J17" s="4"/>
      <c r="K17" s="4"/>
      <c r="L17" s="4">
        <v>123.19</v>
      </c>
      <c r="M17" s="4"/>
      <c r="N17" s="4"/>
      <c r="O17" s="4">
        <v>123.19</v>
      </c>
      <c r="P17" s="4"/>
      <c r="Q17" s="4" t="s">
        <v>63</v>
      </c>
      <c r="R17" s="1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25</v>
      </c>
      <c r="B18" s="8" t="s">
        <v>649</v>
      </c>
      <c r="C18" s="8" t="s">
        <v>650</v>
      </c>
      <c r="D18" s="4"/>
      <c r="E18" s="4"/>
      <c r="F18" s="4">
        <v>118.26</v>
      </c>
      <c r="G18" s="4"/>
      <c r="H18" s="4"/>
      <c r="I18" s="4">
        <v>118.26</v>
      </c>
      <c r="J18" s="4"/>
      <c r="K18" s="4"/>
      <c r="L18" s="4">
        <v>118.26</v>
      </c>
      <c r="M18" s="4"/>
      <c r="N18" s="4"/>
      <c r="O18" s="4">
        <v>118.26</v>
      </c>
      <c r="P18" s="4"/>
      <c r="Q18" s="4" t="s">
        <v>63</v>
      </c>
      <c r="R18" s="1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18"/>
  <sheetViews>
    <sheetView topLeftCell="A2" workbookViewId="0">
      <selection activeCell="R5" sqref="R5:R6"/>
    </sheetView>
  </sheetViews>
  <sheetFormatPr baseColWidth="10" defaultColWidth="8.83203125" defaultRowHeight="15" x14ac:dyDescent="0.2"/>
  <cols>
    <col min="1" max="1" width="18" customWidth="1"/>
    <col min="2" max="2" width="33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519.85</v>
      </c>
      <c r="G2" s="6"/>
      <c r="H2" s="6"/>
      <c r="I2" s="6">
        <f>SUM(H5:J18)</f>
        <v>519.85</v>
      </c>
      <c r="J2" s="6"/>
      <c r="K2" s="6"/>
      <c r="L2" s="6">
        <f>SUM(K5:M18)</f>
        <v>519.85</v>
      </c>
      <c r="M2" s="6"/>
      <c r="N2" s="6"/>
      <c r="O2" s="6">
        <f>SUM(N5:P18)</f>
        <v>519.85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26</v>
      </c>
      <c r="B5" s="8" t="s">
        <v>651</v>
      </c>
      <c r="C5" s="8" t="s">
        <v>652</v>
      </c>
      <c r="D5" s="4"/>
      <c r="E5" s="4"/>
      <c r="F5" s="4">
        <v>38.89</v>
      </c>
      <c r="G5" s="4"/>
      <c r="H5" s="4"/>
      <c r="I5" s="4">
        <v>38.89</v>
      </c>
      <c r="J5" s="4"/>
      <c r="K5" s="4"/>
      <c r="L5" s="4">
        <v>38.89</v>
      </c>
      <c r="M5" s="4"/>
      <c r="N5" s="4"/>
      <c r="O5" s="4">
        <v>38.89</v>
      </c>
      <c r="P5" s="4"/>
      <c r="Q5" s="4" t="s">
        <v>63</v>
      </c>
      <c r="R5" s="14"/>
      <c r="S5" s="10" t="s">
        <v>63</v>
      </c>
      <c r="T5" s="10"/>
      <c r="U5" s="4"/>
      <c r="V5" s="4"/>
      <c r="W5" s="4"/>
      <c r="X5" s="4"/>
    </row>
    <row r="6" spans="1:24" x14ac:dyDescent="0.2">
      <c r="A6" s="8" t="s">
        <v>26</v>
      </c>
      <c r="B6" s="8" t="s">
        <v>653</v>
      </c>
      <c r="C6" s="8" t="s">
        <v>654</v>
      </c>
      <c r="D6" s="4"/>
      <c r="E6" s="4"/>
      <c r="F6" s="4">
        <v>41.5</v>
      </c>
      <c r="G6" s="4"/>
      <c r="H6" s="4"/>
      <c r="I6" s="4">
        <v>41.5</v>
      </c>
      <c r="J6" s="4"/>
      <c r="K6" s="4"/>
      <c r="L6" s="4">
        <v>41.5</v>
      </c>
      <c r="M6" s="4"/>
      <c r="N6" s="4"/>
      <c r="O6" s="4">
        <v>41.5</v>
      </c>
      <c r="P6" s="4"/>
      <c r="Q6" s="4" t="s">
        <v>63</v>
      </c>
      <c r="R6" s="14"/>
      <c r="S6" s="10" t="s">
        <v>63</v>
      </c>
      <c r="T6" s="10"/>
      <c r="U6" s="4"/>
      <c r="V6" s="4"/>
      <c r="W6" s="4"/>
      <c r="X6" s="4"/>
    </row>
    <row r="7" spans="1:24" x14ac:dyDescent="0.2">
      <c r="A7" s="8" t="s">
        <v>26</v>
      </c>
      <c r="B7" s="8" t="s">
        <v>101</v>
      </c>
      <c r="C7" s="8" t="s">
        <v>655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 t="s">
        <v>63</v>
      </c>
      <c r="T7" s="4"/>
      <c r="U7" s="4"/>
      <c r="V7" s="4"/>
      <c r="W7" s="4"/>
      <c r="X7" s="4"/>
    </row>
    <row r="8" spans="1:24" x14ac:dyDescent="0.2">
      <c r="A8" s="8" t="s">
        <v>26</v>
      </c>
      <c r="B8" s="8" t="s">
        <v>101</v>
      </c>
      <c r="C8" s="8" t="s">
        <v>656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 t="s">
        <v>63</v>
      </c>
      <c r="U8" s="4"/>
      <c r="V8" s="4"/>
      <c r="W8" s="4"/>
      <c r="X8" s="4"/>
    </row>
    <row r="9" spans="1:24" x14ac:dyDescent="0.2">
      <c r="A9" s="8" t="s">
        <v>26</v>
      </c>
      <c r="B9" s="8" t="s">
        <v>101</v>
      </c>
      <c r="C9" s="8" t="s">
        <v>657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0" t="s">
        <v>63</v>
      </c>
      <c r="T9" s="4"/>
      <c r="U9" s="4"/>
      <c r="V9" s="4"/>
      <c r="W9" s="4"/>
      <c r="X9" s="4"/>
    </row>
    <row r="10" spans="1:24" x14ac:dyDescent="0.2">
      <c r="A10" s="8" t="s">
        <v>26</v>
      </c>
      <c r="B10" s="8" t="s">
        <v>101</v>
      </c>
      <c r="C10" s="8" t="s">
        <v>658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0" t="s">
        <v>63</v>
      </c>
      <c r="U10" s="4"/>
      <c r="V10" s="4"/>
      <c r="W10" s="4"/>
      <c r="X10" s="4"/>
    </row>
    <row r="11" spans="1:24" x14ac:dyDescent="0.2">
      <c r="A11" s="8" t="s">
        <v>26</v>
      </c>
      <c r="B11" s="8" t="s">
        <v>101</v>
      </c>
      <c r="C11" s="8" t="s">
        <v>659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0" t="s">
        <v>63</v>
      </c>
      <c r="T11" s="4"/>
      <c r="U11" s="4"/>
      <c r="V11" s="4"/>
      <c r="W11" s="4"/>
      <c r="X11" s="4"/>
    </row>
    <row r="12" spans="1:24" x14ac:dyDescent="0.2">
      <c r="A12" s="8" t="s">
        <v>26</v>
      </c>
      <c r="B12" s="8" t="s">
        <v>101</v>
      </c>
      <c r="C12" s="8" t="s">
        <v>660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0" t="s">
        <v>63</v>
      </c>
      <c r="U12" s="4"/>
      <c r="V12" s="4"/>
      <c r="W12" s="4"/>
      <c r="X12" s="4"/>
    </row>
    <row r="13" spans="1:24" x14ac:dyDescent="0.2">
      <c r="A13" s="8" t="s">
        <v>26</v>
      </c>
      <c r="B13" s="8" t="s">
        <v>101</v>
      </c>
      <c r="C13" s="8" t="s">
        <v>661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0" t="s">
        <v>63</v>
      </c>
      <c r="T13" s="4"/>
      <c r="U13" s="4"/>
      <c r="V13" s="4"/>
      <c r="W13" s="4"/>
      <c r="X13" s="4"/>
    </row>
    <row r="14" spans="1:24" x14ac:dyDescent="0.2">
      <c r="A14" s="8" t="s">
        <v>26</v>
      </c>
      <c r="B14" s="8" t="s">
        <v>101</v>
      </c>
      <c r="C14" s="8" t="s">
        <v>662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0" t="s">
        <v>63</v>
      </c>
      <c r="U14" s="4"/>
      <c r="V14" s="4"/>
      <c r="W14" s="4"/>
      <c r="X14" s="4"/>
    </row>
    <row r="15" spans="1:24" x14ac:dyDescent="0.2">
      <c r="A15" s="8" t="s">
        <v>26</v>
      </c>
      <c r="B15" s="8" t="s">
        <v>663</v>
      </c>
      <c r="C15" s="8" t="s">
        <v>664</v>
      </c>
      <c r="D15" s="4"/>
      <c r="E15" s="4"/>
      <c r="F15" s="4">
        <v>37.78</v>
      </c>
      <c r="G15" s="4"/>
      <c r="H15" s="4"/>
      <c r="I15" s="4">
        <v>37.78</v>
      </c>
      <c r="J15" s="4"/>
      <c r="K15" s="4"/>
      <c r="L15" s="4">
        <v>37.78</v>
      </c>
      <c r="M15" s="4"/>
      <c r="N15" s="4"/>
      <c r="O15" s="4">
        <v>37.78</v>
      </c>
      <c r="P15" s="4"/>
      <c r="Q15" s="4" t="s">
        <v>63</v>
      </c>
      <c r="R15" s="1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26</v>
      </c>
      <c r="B16" s="8" t="s">
        <v>665</v>
      </c>
      <c r="C16" s="8" t="s">
        <v>666</v>
      </c>
      <c r="D16" s="4"/>
      <c r="E16" s="4"/>
      <c r="F16" s="4">
        <v>51.61</v>
      </c>
      <c r="G16" s="4"/>
      <c r="H16" s="4"/>
      <c r="I16" s="4">
        <v>51.61</v>
      </c>
      <c r="J16" s="4"/>
      <c r="K16" s="4"/>
      <c r="L16" s="4">
        <v>51.61</v>
      </c>
      <c r="M16" s="4"/>
      <c r="N16" s="4"/>
      <c r="O16" s="4">
        <v>51.61</v>
      </c>
      <c r="P16" s="4"/>
      <c r="Q16" s="4" t="s">
        <v>63</v>
      </c>
      <c r="R16" s="14"/>
      <c r="S16" s="4" t="s">
        <v>63</v>
      </c>
      <c r="T16" s="4"/>
      <c r="U16" s="4"/>
      <c r="V16" s="4"/>
      <c r="W16" s="4"/>
      <c r="X16" s="4"/>
    </row>
    <row r="17" spans="1:24" x14ac:dyDescent="0.2">
      <c r="A17" s="8" t="s">
        <v>26</v>
      </c>
      <c r="B17" s="8" t="s">
        <v>667</v>
      </c>
      <c r="C17" s="8" t="s">
        <v>668</v>
      </c>
      <c r="D17" s="4"/>
      <c r="E17" s="4"/>
      <c r="F17" s="4">
        <v>186.4</v>
      </c>
      <c r="G17" s="4"/>
      <c r="H17" s="4"/>
      <c r="I17" s="4">
        <v>186.4</v>
      </c>
      <c r="J17" s="4"/>
      <c r="K17" s="4"/>
      <c r="L17" s="4">
        <v>186.4</v>
      </c>
      <c r="M17" s="4"/>
      <c r="N17" s="4"/>
      <c r="O17" s="4">
        <v>186.4</v>
      </c>
      <c r="P17" s="4"/>
      <c r="Q17" s="4" t="s">
        <v>63</v>
      </c>
      <c r="R17" s="1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26</v>
      </c>
      <c r="B18" s="8" t="s">
        <v>669</v>
      </c>
      <c r="C18" s="8" t="s">
        <v>670</v>
      </c>
      <c r="D18" s="4"/>
      <c r="E18" s="4"/>
      <c r="F18" s="4">
        <v>163.66999999999999</v>
      </c>
      <c r="G18" s="4"/>
      <c r="H18" s="4"/>
      <c r="I18" s="4">
        <v>163.66999999999999</v>
      </c>
      <c r="J18" s="4"/>
      <c r="K18" s="4"/>
      <c r="L18" s="4">
        <v>163.66999999999999</v>
      </c>
      <c r="M18" s="4"/>
      <c r="N18" s="4"/>
      <c r="O18" s="4">
        <v>163.66999999999999</v>
      </c>
      <c r="P18" s="4"/>
      <c r="Q18" s="4" t="s">
        <v>63</v>
      </c>
      <c r="R18" s="1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18"/>
  <sheetViews>
    <sheetView topLeftCell="B1" workbookViewId="0">
      <selection activeCell="R5" sqref="R5:R6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381.59000000000003</v>
      </c>
      <c r="G2" s="6"/>
      <c r="H2" s="6"/>
      <c r="I2" s="6">
        <f>SUM(H5:J18)</f>
        <v>381.59000000000003</v>
      </c>
      <c r="J2" s="6"/>
      <c r="K2" s="6"/>
      <c r="L2" s="6">
        <f>SUM(K5:M18)</f>
        <v>381.59000000000003</v>
      </c>
      <c r="M2" s="6"/>
      <c r="N2" s="6"/>
      <c r="O2" s="6">
        <f>SUM(N5:P18)</f>
        <v>381.59000000000003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27</v>
      </c>
      <c r="B5" s="8" t="s">
        <v>671</v>
      </c>
      <c r="C5" s="8" t="s">
        <v>672</v>
      </c>
      <c r="D5" s="4"/>
      <c r="E5" s="4"/>
      <c r="F5" s="4">
        <v>27.39</v>
      </c>
      <c r="G5" s="4"/>
      <c r="H5" s="4"/>
      <c r="I5" s="4">
        <v>27.39</v>
      </c>
      <c r="J5" s="4"/>
      <c r="K5" s="4"/>
      <c r="L5" s="4">
        <v>27.39</v>
      </c>
      <c r="M5" s="4"/>
      <c r="N5" s="4"/>
      <c r="O5" s="4">
        <v>27.39</v>
      </c>
      <c r="P5" s="4"/>
      <c r="Q5" s="4" t="s">
        <v>63</v>
      </c>
      <c r="R5" s="14"/>
      <c r="S5" s="10" t="s">
        <v>63</v>
      </c>
      <c r="T5" s="10"/>
      <c r="U5" s="4"/>
      <c r="V5" s="4"/>
      <c r="W5" s="4"/>
      <c r="X5" s="4"/>
    </row>
    <row r="6" spans="1:24" x14ac:dyDescent="0.2">
      <c r="A6" s="8" t="s">
        <v>27</v>
      </c>
      <c r="B6" s="8" t="s">
        <v>673</v>
      </c>
      <c r="C6" s="8" t="s">
        <v>674</v>
      </c>
      <c r="D6" s="4"/>
      <c r="E6" s="4"/>
      <c r="F6" s="4">
        <v>28.7</v>
      </c>
      <c r="G6" s="4"/>
      <c r="H6" s="4"/>
      <c r="I6" s="4">
        <v>28.7</v>
      </c>
      <c r="J6" s="4"/>
      <c r="K6" s="4"/>
      <c r="L6" s="4">
        <v>28.7</v>
      </c>
      <c r="M6" s="4"/>
      <c r="N6" s="4"/>
      <c r="O6" s="4">
        <v>28.7</v>
      </c>
      <c r="P6" s="4"/>
      <c r="Q6" s="4" t="s">
        <v>63</v>
      </c>
      <c r="R6" s="14"/>
      <c r="S6" s="10" t="s">
        <v>63</v>
      </c>
      <c r="T6" s="10"/>
      <c r="U6" s="4"/>
      <c r="V6" s="4"/>
      <c r="W6" s="4"/>
      <c r="X6" s="4"/>
    </row>
    <row r="7" spans="1:24" x14ac:dyDescent="0.2">
      <c r="A7" s="8" t="s">
        <v>27</v>
      </c>
      <c r="B7" s="8" t="s">
        <v>101</v>
      </c>
      <c r="C7" s="8" t="s">
        <v>675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 t="s">
        <v>63</v>
      </c>
      <c r="T7" s="4"/>
      <c r="U7" s="4"/>
      <c r="V7" s="4"/>
      <c r="W7" s="4"/>
      <c r="X7" s="4"/>
    </row>
    <row r="8" spans="1:24" x14ac:dyDescent="0.2">
      <c r="A8" s="8" t="s">
        <v>27</v>
      </c>
      <c r="B8" s="8" t="s">
        <v>101</v>
      </c>
      <c r="C8" s="8" t="s">
        <v>676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 t="s">
        <v>63</v>
      </c>
      <c r="U8" s="4"/>
      <c r="V8" s="4"/>
      <c r="W8" s="4"/>
      <c r="X8" s="4"/>
    </row>
    <row r="9" spans="1:24" x14ac:dyDescent="0.2">
      <c r="A9" s="8" t="s">
        <v>27</v>
      </c>
      <c r="B9" s="8" t="s">
        <v>101</v>
      </c>
      <c r="C9" s="8" t="s">
        <v>677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0" t="s">
        <v>63</v>
      </c>
      <c r="T9" s="4"/>
      <c r="U9" s="4"/>
      <c r="V9" s="4"/>
      <c r="W9" s="4"/>
      <c r="X9" s="4"/>
    </row>
    <row r="10" spans="1:24" x14ac:dyDescent="0.2">
      <c r="A10" s="8" t="s">
        <v>27</v>
      </c>
      <c r="B10" s="8" t="s">
        <v>101</v>
      </c>
      <c r="C10" s="8" t="s">
        <v>678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0" t="s">
        <v>63</v>
      </c>
      <c r="U10" s="4"/>
      <c r="V10" s="4"/>
      <c r="W10" s="4"/>
      <c r="X10" s="4"/>
    </row>
    <row r="11" spans="1:24" x14ac:dyDescent="0.2">
      <c r="A11" s="8" t="s">
        <v>27</v>
      </c>
      <c r="B11" s="8" t="s">
        <v>101</v>
      </c>
      <c r="C11" s="8" t="s">
        <v>679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0" t="s">
        <v>63</v>
      </c>
      <c r="T11" s="4"/>
      <c r="U11" s="4"/>
      <c r="V11" s="4"/>
      <c r="W11" s="4"/>
      <c r="X11" s="4"/>
    </row>
    <row r="12" spans="1:24" x14ac:dyDescent="0.2">
      <c r="A12" s="8" t="s">
        <v>27</v>
      </c>
      <c r="B12" s="8" t="s">
        <v>101</v>
      </c>
      <c r="C12" s="8" t="s">
        <v>680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0" t="s">
        <v>63</v>
      </c>
      <c r="U12" s="4"/>
      <c r="V12" s="4"/>
      <c r="W12" s="4"/>
      <c r="X12" s="4"/>
    </row>
    <row r="13" spans="1:24" x14ac:dyDescent="0.2">
      <c r="A13" s="8" t="s">
        <v>27</v>
      </c>
      <c r="B13" s="8" t="s">
        <v>101</v>
      </c>
      <c r="C13" s="8" t="s">
        <v>681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0" t="s">
        <v>63</v>
      </c>
      <c r="T13" s="4"/>
      <c r="U13" s="4"/>
      <c r="V13" s="4"/>
      <c r="W13" s="4"/>
      <c r="X13" s="4"/>
    </row>
    <row r="14" spans="1:24" x14ac:dyDescent="0.2">
      <c r="A14" s="8" t="s">
        <v>27</v>
      </c>
      <c r="B14" s="8" t="s">
        <v>101</v>
      </c>
      <c r="C14" s="8" t="s">
        <v>682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0" t="s">
        <v>63</v>
      </c>
      <c r="U14" s="4"/>
      <c r="V14" s="4"/>
      <c r="W14" s="4"/>
      <c r="X14" s="4"/>
    </row>
    <row r="15" spans="1:24" x14ac:dyDescent="0.2">
      <c r="A15" s="8" t="s">
        <v>27</v>
      </c>
      <c r="B15" s="8" t="s">
        <v>683</v>
      </c>
      <c r="C15" s="8" t="s">
        <v>684</v>
      </c>
      <c r="D15" s="4"/>
      <c r="E15" s="4"/>
      <c r="F15" s="4">
        <v>27.27</v>
      </c>
      <c r="G15" s="4"/>
      <c r="H15" s="4"/>
      <c r="I15" s="4">
        <v>27.27</v>
      </c>
      <c r="J15" s="4"/>
      <c r="K15" s="4"/>
      <c r="L15" s="4">
        <v>27.27</v>
      </c>
      <c r="M15" s="4"/>
      <c r="N15" s="4"/>
      <c r="O15" s="4">
        <v>27.27</v>
      </c>
      <c r="P15" s="4"/>
      <c r="Q15" s="4" t="s">
        <v>63</v>
      </c>
      <c r="R15" s="1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27</v>
      </c>
      <c r="B16" s="8" t="s">
        <v>685</v>
      </c>
      <c r="C16" s="8" t="s">
        <v>686</v>
      </c>
      <c r="D16" s="4"/>
      <c r="E16" s="4"/>
      <c r="F16" s="4">
        <v>27.47</v>
      </c>
      <c r="G16" s="4"/>
      <c r="H16" s="4"/>
      <c r="I16" s="4">
        <v>27.47</v>
      </c>
      <c r="J16" s="4"/>
      <c r="K16" s="4"/>
      <c r="L16" s="4">
        <v>27.47</v>
      </c>
      <c r="M16" s="4"/>
      <c r="N16" s="4"/>
      <c r="O16" s="4">
        <v>27.47</v>
      </c>
      <c r="P16" s="4"/>
      <c r="Q16" s="4" t="s">
        <v>63</v>
      </c>
      <c r="R16" s="14"/>
      <c r="S16" s="4" t="s">
        <v>63</v>
      </c>
      <c r="T16" s="4"/>
      <c r="U16" s="4"/>
      <c r="V16" s="4"/>
      <c r="W16" s="4"/>
      <c r="X16" s="4"/>
    </row>
    <row r="17" spans="1:24" x14ac:dyDescent="0.2">
      <c r="A17" s="8" t="s">
        <v>27</v>
      </c>
      <c r="B17" s="8" t="s">
        <v>687</v>
      </c>
      <c r="C17" s="8" t="s">
        <v>688</v>
      </c>
      <c r="D17" s="4"/>
      <c r="E17" s="4"/>
      <c r="F17" s="4">
        <v>155.04</v>
      </c>
      <c r="G17" s="4"/>
      <c r="H17" s="4"/>
      <c r="I17" s="4">
        <v>155.04</v>
      </c>
      <c r="J17" s="4"/>
      <c r="K17" s="4"/>
      <c r="L17" s="4">
        <v>155.04</v>
      </c>
      <c r="M17" s="4"/>
      <c r="N17" s="4"/>
      <c r="O17" s="4">
        <v>155.04</v>
      </c>
      <c r="P17" s="4"/>
      <c r="Q17" s="4" t="s">
        <v>63</v>
      </c>
      <c r="R17" s="1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27</v>
      </c>
      <c r="B18" s="8" t="s">
        <v>689</v>
      </c>
      <c r="C18" s="8" t="s">
        <v>690</v>
      </c>
      <c r="D18" s="4"/>
      <c r="E18" s="4"/>
      <c r="F18" s="4">
        <v>115.72</v>
      </c>
      <c r="G18" s="4"/>
      <c r="H18" s="4"/>
      <c r="I18" s="4">
        <v>115.72</v>
      </c>
      <c r="J18" s="4"/>
      <c r="K18" s="4"/>
      <c r="L18" s="4">
        <v>115.72</v>
      </c>
      <c r="M18" s="4"/>
      <c r="N18" s="4"/>
      <c r="O18" s="4">
        <v>115.72</v>
      </c>
      <c r="P18" s="4"/>
      <c r="Q18" s="4" t="s">
        <v>63</v>
      </c>
      <c r="R18" s="1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18"/>
  <sheetViews>
    <sheetView workbookViewId="0">
      <selection activeCell="T19" sqref="T19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13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1581.35</v>
      </c>
      <c r="G2" s="6"/>
      <c r="H2" s="6"/>
      <c r="I2" s="6">
        <f>SUM(H5:J18)</f>
        <v>1581.35</v>
      </c>
      <c r="J2" s="6"/>
      <c r="K2" s="6"/>
      <c r="L2" s="6">
        <f>SUM(K5:M18)</f>
        <v>1581.35</v>
      </c>
      <c r="M2" s="6"/>
      <c r="N2" s="6"/>
      <c r="O2" s="6">
        <f>SUM(N5:P18)</f>
        <v>1581.35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28</v>
      </c>
      <c r="B5" s="8" t="s">
        <v>101</v>
      </c>
      <c r="C5" s="11" t="s">
        <v>1787</v>
      </c>
      <c r="D5" s="4"/>
      <c r="E5" s="4"/>
      <c r="F5" s="4">
        <v>14.85</v>
      </c>
      <c r="G5" s="4"/>
      <c r="H5" s="4"/>
      <c r="I5" s="4">
        <v>14.85</v>
      </c>
      <c r="J5" s="4"/>
      <c r="K5" s="4"/>
      <c r="L5" s="4">
        <v>14.85</v>
      </c>
      <c r="M5" s="4"/>
      <c r="N5" s="4"/>
      <c r="O5" s="4">
        <v>14.85</v>
      </c>
      <c r="P5" s="4"/>
      <c r="Q5" s="4" t="s">
        <v>1785</v>
      </c>
      <c r="R5" s="4" t="s">
        <v>1785</v>
      </c>
      <c r="S5" s="4" t="s">
        <v>1785</v>
      </c>
      <c r="T5" s="4" t="s">
        <v>1785</v>
      </c>
      <c r="U5" s="4" t="s">
        <v>1785</v>
      </c>
      <c r="V5" s="4" t="s">
        <v>1785</v>
      </c>
      <c r="W5" s="4" t="s">
        <v>1785</v>
      </c>
      <c r="X5" s="4" t="s">
        <v>1785</v>
      </c>
    </row>
    <row r="6" spans="1:24" x14ac:dyDescent="0.2">
      <c r="A6" s="8" t="s">
        <v>28</v>
      </c>
      <c r="B6" s="8" t="s">
        <v>101</v>
      </c>
      <c r="C6" s="11" t="s">
        <v>1788</v>
      </c>
      <c r="D6" s="4"/>
      <c r="E6" s="4"/>
      <c r="F6" s="4">
        <v>15.61</v>
      </c>
      <c r="G6" s="4"/>
      <c r="H6" s="4"/>
      <c r="I6" s="4">
        <v>15.61</v>
      </c>
      <c r="J6" s="4"/>
      <c r="K6" s="4"/>
      <c r="L6" s="4">
        <v>15.61</v>
      </c>
      <c r="M6" s="4"/>
      <c r="N6" s="4"/>
      <c r="O6" s="4">
        <v>15.61</v>
      </c>
      <c r="P6" s="4"/>
      <c r="Q6" s="4" t="s">
        <v>1785</v>
      </c>
      <c r="R6" s="4" t="s">
        <v>1785</v>
      </c>
      <c r="S6" s="4" t="s">
        <v>1785</v>
      </c>
      <c r="T6" s="4" t="s">
        <v>1785</v>
      </c>
      <c r="U6" s="4" t="s">
        <v>1785</v>
      </c>
      <c r="V6" s="4" t="s">
        <v>1785</v>
      </c>
      <c r="W6" s="4" t="s">
        <v>1785</v>
      </c>
      <c r="X6" s="4" t="s">
        <v>1785</v>
      </c>
    </row>
    <row r="7" spans="1:24" x14ac:dyDescent="0.2">
      <c r="A7" s="8" t="s">
        <v>28</v>
      </c>
      <c r="B7" s="8" t="s">
        <v>101</v>
      </c>
      <c r="C7" s="8" t="s">
        <v>691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">
      <c r="A8" s="8" t="s">
        <v>28</v>
      </c>
      <c r="B8" s="8" t="s">
        <v>101</v>
      </c>
      <c r="C8" s="8" t="s">
        <v>692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">
      <c r="A9" s="8" t="s">
        <v>28</v>
      </c>
      <c r="B9" s="8" t="s">
        <v>101</v>
      </c>
      <c r="C9" s="8" t="s">
        <v>693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28</v>
      </c>
      <c r="B10" s="8" t="s">
        <v>101</v>
      </c>
      <c r="C10" s="8" t="s">
        <v>694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">
      <c r="A11" s="8" t="s">
        <v>28</v>
      </c>
      <c r="B11" s="8" t="s">
        <v>101</v>
      </c>
      <c r="C11" s="8" t="s">
        <v>695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">
      <c r="A12" s="8" t="s">
        <v>28</v>
      </c>
      <c r="B12" s="8" t="s">
        <v>101</v>
      </c>
      <c r="C12" s="8" t="s">
        <v>696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">
      <c r="A13" s="8" t="s">
        <v>28</v>
      </c>
      <c r="B13" s="8" t="s">
        <v>699</v>
      </c>
      <c r="C13" s="8" t="s">
        <v>700</v>
      </c>
      <c r="D13" s="4"/>
      <c r="E13" s="4"/>
      <c r="F13" s="4">
        <v>63.85</v>
      </c>
      <c r="G13" s="4"/>
      <c r="H13" s="4"/>
      <c r="I13" s="4">
        <v>63.85</v>
      </c>
      <c r="J13" s="4"/>
      <c r="K13" s="4"/>
      <c r="L13" s="4">
        <v>63.85</v>
      </c>
      <c r="M13" s="4"/>
      <c r="N13" s="4"/>
      <c r="O13" s="4">
        <v>63.85</v>
      </c>
      <c r="P13" s="4"/>
      <c r="Q13" s="4" t="s">
        <v>63</v>
      </c>
      <c r="R13" s="4" t="s">
        <v>63</v>
      </c>
      <c r="S13" s="4" t="s">
        <v>63</v>
      </c>
      <c r="T13" s="4"/>
      <c r="U13" s="4"/>
      <c r="V13" s="4"/>
      <c r="W13" s="4"/>
      <c r="X13" s="4"/>
    </row>
    <row r="14" spans="1:24" x14ac:dyDescent="0.2">
      <c r="A14" s="8" t="s">
        <v>28</v>
      </c>
      <c r="B14" s="8" t="s">
        <v>701</v>
      </c>
      <c r="C14" s="8" t="s">
        <v>702</v>
      </c>
      <c r="D14" s="4"/>
      <c r="E14" s="4"/>
      <c r="F14" s="4">
        <v>250.79</v>
      </c>
      <c r="G14" s="4"/>
      <c r="H14" s="4"/>
      <c r="I14" s="4">
        <v>250.79</v>
      </c>
      <c r="J14" s="4"/>
      <c r="K14" s="4"/>
      <c r="L14" s="4">
        <v>250.79</v>
      </c>
      <c r="M14" s="4"/>
      <c r="N14" s="4"/>
      <c r="O14" s="4">
        <v>250.79</v>
      </c>
      <c r="P14" s="4"/>
      <c r="Q14" s="4" t="s">
        <v>63</v>
      </c>
      <c r="R14" s="4" t="s">
        <v>63</v>
      </c>
      <c r="S14" s="4" t="s">
        <v>63</v>
      </c>
      <c r="T14" s="4"/>
      <c r="U14" s="4"/>
      <c r="V14" s="4"/>
      <c r="W14" s="4"/>
      <c r="X14" s="4"/>
    </row>
    <row r="15" spans="1:24" x14ac:dyDescent="0.2">
      <c r="A15" s="8" t="s">
        <v>28</v>
      </c>
      <c r="B15" s="8" t="s">
        <v>703</v>
      </c>
      <c r="C15" s="8" t="s">
        <v>704</v>
      </c>
      <c r="D15" s="4"/>
      <c r="E15" s="4"/>
      <c r="F15" s="4">
        <v>67.45</v>
      </c>
      <c r="G15" s="4"/>
      <c r="H15" s="4"/>
      <c r="I15" s="4">
        <v>67.45</v>
      </c>
      <c r="J15" s="4"/>
      <c r="K15" s="4"/>
      <c r="L15" s="4">
        <v>67.45</v>
      </c>
      <c r="M15" s="4"/>
      <c r="N15" s="4"/>
      <c r="O15" s="4">
        <v>67.45</v>
      </c>
      <c r="P15" s="4"/>
      <c r="Q15" s="4" t="s">
        <v>63</v>
      </c>
      <c r="R15" s="4" t="s">
        <v>63</v>
      </c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28</v>
      </c>
      <c r="B16" s="8" t="s">
        <v>705</v>
      </c>
      <c r="C16" s="8" t="s">
        <v>706</v>
      </c>
      <c r="D16" s="4"/>
      <c r="E16" s="4"/>
      <c r="F16" s="4">
        <v>471.31</v>
      </c>
      <c r="G16" s="4"/>
      <c r="H16" s="4"/>
      <c r="I16" s="4">
        <v>471.31</v>
      </c>
      <c r="J16" s="4"/>
      <c r="K16" s="4"/>
      <c r="L16" s="4">
        <v>471.31</v>
      </c>
      <c r="M16" s="4"/>
      <c r="N16" s="4"/>
      <c r="O16" s="4">
        <v>471.31</v>
      </c>
      <c r="P16" s="4"/>
      <c r="Q16" s="4" t="s">
        <v>63</v>
      </c>
      <c r="R16" s="4" t="s">
        <v>63</v>
      </c>
      <c r="S16" s="4" t="s">
        <v>63</v>
      </c>
      <c r="T16" s="4"/>
      <c r="U16" s="4"/>
      <c r="V16" s="4"/>
      <c r="W16" s="4"/>
      <c r="X16" s="4"/>
    </row>
    <row r="17" spans="1:24" x14ac:dyDescent="0.2">
      <c r="A17" s="8" t="s">
        <v>28</v>
      </c>
      <c r="B17" s="8" t="s">
        <v>707</v>
      </c>
      <c r="C17" s="8" t="s">
        <v>708</v>
      </c>
      <c r="D17" s="4"/>
      <c r="E17" s="4"/>
      <c r="F17" s="4">
        <v>339.15</v>
      </c>
      <c r="G17" s="4"/>
      <c r="H17" s="4"/>
      <c r="I17" s="4">
        <v>339.15</v>
      </c>
      <c r="J17" s="4"/>
      <c r="K17" s="4"/>
      <c r="L17" s="4">
        <v>339.15</v>
      </c>
      <c r="M17" s="4"/>
      <c r="N17" s="4"/>
      <c r="O17" s="4">
        <v>339.15</v>
      </c>
      <c r="P17" s="4"/>
      <c r="Q17" s="4" t="s">
        <v>63</v>
      </c>
      <c r="R17" s="4" t="s">
        <v>63</v>
      </c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28</v>
      </c>
      <c r="B18" s="8" t="s">
        <v>709</v>
      </c>
      <c r="C18" s="8" t="s">
        <v>710</v>
      </c>
      <c r="D18" s="4"/>
      <c r="E18" s="4"/>
      <c r="F18" s="4">
        <v>358.34</v>
      </c>
      <c r="G18" s="4"/>
      <c r="H18" s="4"/>
      <c r="I18" s="4">
        <v>358.34</v>
      </c>
      <c r="J18" s="4"/>
      <c r="K18" s="4"/>
      <c r="L18" s="4">
        <v>358.34</v>
      </c>
      <c r="M18" s="4"/>
      <c r="N18" s="4"/>
      <c r="O18" s="4">
        <v>358.34</v>
      </c>
      <c r="P18" s="4"/>
      <c r="Q18" s="4" t="s">
        <v>63</v>
      </c>
      <c r="R18" s="4" t="s">
        <v>63</v>
      </c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18"/>
  <sheetViews>
    <sheetView workbookViewId="0">
      <selection activeCell="AD11" sqref="AD11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SUM(E5:G18)</f>
        <v>1685.28</v>
      </c>
      <c r="G2" s="6"/>
      <c r="H2" s="6"/>
      <c r="I2" s="6">
        <f>SUM(H5:J18)</f>
        <v>1685.28</v>
      </c>
      <c r="J2" s="6"/>
      <c r="K2" s="6"/>
      <c r="L2" s="6">
        <f>SUM(K5:M18)</f>
        <v>1685.28</v>
      </c>
      <c r="M2" s="6"/>
      <c r="N2" s="6"/>
      <c r="O2" s="6">
        <f>SUM(N5:P18)</f>
        <v>1685.28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29</v>
      </c>
      <c r="B5" s="8" t="s">
        <v>711</v>
      </c>
      <c r="C5" s="8" t="s">
        <v>712</v>
      </c>
      <c r="D5" s="4"/>
      <c r="E5" s="4"/>
      <c r="F5" s="4">
        <v>59.24</v>
      </c>
      <c r="G5" s="4"/>
      <c r="H5" s="4"/>
      <c r="I5" s="4">
        <v>59.24</v>
      </c>
      <c r="J5" s="4"/>
      <c r="K5" s="4"/>
      <c r="L5" s="4">
        <v>59.24</v>
      </c>
      <c r="M5" s="4"/>
      <c r="N5" s="4"/>
      <c r="O5" s="4">
        <v>59.24</v>
      </c>
      <c r="P5" s="4"/>
      <c r="Q5" s="4" t="s">
        <v>63</v>
      </c>
      <c r="R5" s="4"/>
      <c r="S5" s="10" t="s">
        <v>63</v>
      </c>
      <c r="T5" s="4"/>
      <c r="U5" s="4"/>
      <c r="V5" s="4"/>
      <c r="W5" s="4"/>
      <c r="X5" s="4"/>
    </row>
    <row r="6" spans="1:24" x14ac:dyDescent="0.2">
      <c r="A6" s="8" t="s">
        <v>29</v>
      </c>
      <c r="B6" s="8" t="s">
        <v>101</v>
      </c>
      <c r="C6" s="8" t="s">
        <v>713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29</v>
      </c>
      <c r="B7" s="8" t="s">
        <v>101</v>
      </c>
      <c r="C7" s="8" t="s">
        <v>714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63</v>
      </c>
      <c r="U7" s="4"/>
      <c r="V7" s="4"/>
      <c r="W7" s="4"/>
      <c r="X7" s="4"/>
    </row>
    <row r="8" spans="1:24" x14ac:dyDescent="0.2">
      <c r="A8" s="8" t="s">
        <v>29</v>
      </c>
      <c r="B8" s="8" t="s">
        <v>715</v>
      </c>
      <c r="C8" s="8" t="s">
        <v>716</v>
      </c>
      <c r="D8" s="4"/>
      <c r="E8" s="4">
        <v>176.77</v>
      </c>
      <c r="F8" s="4"/>
      <c r="G8" s="4">
        <v>159.88</v>
      </c>
      <c r="H8" s="4">
        <v>176.77</v>
      </c>
      <c r="I8" s="4"/>
      <c r="J8" s="4">
        <v>159.88</v>
      </c>
      <c r="K8" s="4">
        <v>176.77</v>
      </c>
      <c r="L8" s="4"/>
      <c r="M8" s="4">
        <v>159.88</v>
      </c>
      <c r="N8" s="4">
        <v>176.77</v>
      </c>
      <c r="O8" s="4"/>
      <c r="P8" s="4">
        <v>159.88</v>
      </c>
      <c r="Q8" s="4"/>
      <c r="R8" s="4"/>
      <c r="S8" s="4" t="s">
        <v>62</v>
      </c>
      <c r="T8" s="4"/>
      <c r="U8" s="4"/>
      <c r="V8" s="4"/>
      <c r="W8" s="4"/>
      <c r="X8" s="4"/>
    </row>
    <row r="9" spans="1:24" x14ac:dyDescent="0.2">
      <c r="A9" s="8" t="s">
        <v>29</v>
      </c>
      <c r="B9" s="8" t="s">
        <v>717</v>
      </c>
      <c r="C9" s="8" t="s">
        <v>718</v>
      </c>
      <c r="D9" s="4"/>
      <c r="E9" s="4">
        <v>161.87</v>
      </c>
      <c r="F9" s="4"/>
      <c r="G9" s="4">
        <v>173.04</v>
      </c>
      <c r="H9" s="4">
        <v>161.87</v>
      </c>
      <c r="I9" s="4"/>
      <c r="J9" s="4">
        <v>173.04</v>
      </c>
      <c r="K9" s="4">
        <v>161.87</v>
      </c>
      <c r="L9" s="4"/>
      <c r="M9" s="4">
        <v>173.04</v>
      </c>
      <c r="N9" s="4">
        <v>161.87</v>
      </c>
      <c r="O9" s="4"/>
      <c r="P9" s="4">
        <v>173.04</v>
      </c>
      <c r="Q9" s="4"/>
      <c r="R9" s="4"/>
      <c r="S9" s="4"/>
      <c r="T9" s="4" t="s">
        <v>1775</v>
      </c>
      <c r="U9" s="4"/>
      <c r="V9" s="4"/>
      <c r="W9" s="4"/>
      <c r="X9" s="4"/>
    </row>
    <row r="10" spans="1:24" x14ac:dyDescent="0.2">
      <c r="A10" s="8" t="s">
        <v>29</v>
      </c>
      <c r="B10" s="8" t="s">
        <v>719</v>
      </c>
      <c r="C10" s="8" t="s">
        <v>720</v>
      </c>
      <c r="D10" s="4"/>
      <c r="E10" s="4">
        <v>300.77999999999997</v>
      </c>
      <c r="F10" s="4"/>
      <c r="G10" s="4">
        <v>276.93</v>
      </c>
      <c r="H10" s="4">
        <v>300.77999999999997</v>
      </c>
      <c r="I10" s="4"/>
      <c r="J10" s="4">
        <v>276.93</v>
      </c>
      <c r="K10" s="4">
        <v>300.77999999999997</v>
      </c>
      <c r="L10" s="4"/>
      <c r="M10" s="4">
        <v>276.93</v>
      </c>
      <c r="N10" s="4">
        <v>300.77999999999997</v>
      </c>
      <c r="O10" s="4"/>
      <c r="P10" s="4">
        <v>276.93</v>
      </c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">
      <c r="A11" s="8" t="s">
        <v>29</v>
      </c>
      <c r="B11" s="8" t="s">
        <v>721</v>
      </c>
      <c r="C11" s="8" t="s">
        <v>722</v>
      </c>
      <c r="D11" s="4"/>
      <c r="E11" s="4">
        <v>171.63</v>
      </c>
      <c r="F11" s="4"/>
      <c r="G11" s="4">
        <v>166.74</v>
      </c>
      <c r="H11" s="4">
        <v>171.63</v>
      </c>
      <c r="I11" s="4"/>
      <c r="J11" s="4">
        <v>166.74</v>
      </c>
      <c r="K11" s="4">
        <v>171.63</v>
      </c>
      <c r="L11" s="4"/>
      <c r="M11" s="4">
        <v>166.74</v>
      </c>
      <c r="N11" s="4">
        <v>171.63</v>
      </c>
      <c r="O11" s="4"/>
      <c r="P11" s="4">
        <v>166.74</v>
      </c>
      <c r="Q11" s="4"/>
      <c r="R11" s="4"/>
      <c r="S11" s="4"/>
      <c r="T11" s="4" t="s">
        <v>1775</v>
      </c>
      <c r="U11" s="4"/>
      <c r="V11" s="4"/>
      <c r="W11" s="4"/>
      <c r="X11" s="4"/>
    </row>
    <row r="12" spans="1:24" x14ac:dyDescent="0.2">
      <c r="A12" s="8" t="s">
        <v>29</v>
      </c>
      <c r="B12" s="8" t="s">
        <v>723</v>
      </c>
      <c r="C12" s="8" t="s">
        <v>724</v>
      </c>
      <c r="D12" s="4"/>
      <c r="E12" s="4">
        <v>18.96</v>
      </c>
      <c r="F12" s="4"/>
      <c r="G12" s="4">
        <v>19.440000000000001</v>
      </c>
      <c r="H12" s="4">
        <v>18.96</v>
      </c>
      <c r="I12" s="4"/>
      <c r="J12" s="4">
        <v>19.440000000000001</v>
      </c>
      <c r="K12" s="4">
        <v>18.96</v>
      </c>
      <c r="L12" s="4"/>
      <c r="M12" s="4">
        <v>19.440000000000001</v>
      </c>
      <c r="N12" s="4">
        <v>18.96</v>
      </c>
      <c r="O12" s="4"/>
      <c r="P12" s="4">
        <v>19.440000000000001</v>
      </c>
      <c r="Q12" s="4"/>
      <c r="R12" s="4"/>
      <c r="S12" s="4"/>
      <c r="T12" s="4" t="s">
        <v>62</v>
      </c>
      <c r="U12" s="4"/>
      <c r="V12" s="4"/>
      <c r="W12" s="4"/>
      <c r="X12" s="4"/>
    </row>
    <row r="13" spans="1:24" x14ac:dyDescent="0.2">
      <c r="A13" s="8" t="s">
        <v>29</v>
      </c>
      <c r="B13" s="8" t="s">
        <v>725</v>
      </c>
      <c r="C13" s="8" t="s">
        <v>726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 t="s">
        <v>1775</v>
      </c>
      <c r="V13" s="4"/>
      <c r="W13" s="4"/>
      <c r="X13" s="4"/>
    </row>
    <row r="14" spans="1:24" x14ac:dyDescent="0.2">
      <c r="A14" s="8" t="s">
        <v>29</v>
      </c>
      <c r="B14" s="8" t="s">
        <v>727</v>
      </c>
      <c r="C14" s="8" t="s">
        <v>728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1775</v>
      </c>
      <c r="V14" s="4"/>
      <c r="W14" s="4"/>
      <c r="X14" s="4"/>
    </row>
    <row r="15" spans="1:24" x14ac:dyDescent="0.2">
      <c r="A15" s="8" t="s">
        <v>29</v>
      </c>
      <c r="B15" s="8" t="s">
        <v>729</v>
      </c>
      <c r="C15" s="8" t="s">
        <v>730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1775</v>
      </c>
      <c r="V15" s="4"/>
      <c r="W15" s="4"/>
      <c r="X15" s="4"/>
    </row>
    <row r="16" spans="1:24" x14ac:dyDescent="0.2">
      <c r="A16" s="8" t="s">
        <v>29</v>
      </c>
      <c r="B16" s="8" t="s">
        <v>731</v>
      </c>
      <c r="C16" s="8" t="s">
        <v>732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1775</v>
      </c>
      <c r="V16" s="4"/>
      <c r="W16" s="4"/>
      <c r="X16" s="4"/>
    </row>
    <row r="17" spans="1:24" x14ac:dyDescent="0.2">
      <c r="A17" s="8" t="s">
        <v>29</v>
      </c>
      <c r="B17" s="8" t="s">
        <v>733</v>
      </c>
      <c r="C17" s="8" t="s">
        <v>734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1775</v>
      </c>
      <c r="V17" s="4"/>
      <c r="W17" s="4"/>
      <c r="X17" s="4"/>
    </row>
    <row r="18" spans="1:24" x14ac:dyDescent="0.2">
      <c r="A18" s="8" t="s">
        <v>29</v>
      </c>
      <c r="B18" s="8" t="s">
        <v>735</v>
      </c>
      <c r="C18" s="8" t="s">
        <v>736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1775</v>
      </c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32"/>
  <sheetViews>
    <sheetView workbookViewId="0">
      <selection activeCell="Z11" sqref="Z11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SUM(E5:G32)</f>
        <v>5381.27</v>
      </c>
      <c r="G2" s="6"/>
      <c r="H2" s="6"/>
      <c r="I2" s="6">
        <f>SUM(H5:J32)</f>
        <v>5381.27</v>
      </c>
      <c r="J2" s="6"/>
      <c r="K2" s="6"/>
      <c r="L2" s="6">
        <f>SUM(K5:M32)</f>
        <v>5381.27</v>
      </c>
      <c r="M2" s="6"/>
      <c r="N2" s="6"/>
      <c r="O2" s="6">
        <f>SUM(N5:P32)</f>
        <v>5381.27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30</v>
      </c>
      <c r="B5" s="8" t="s">
        <v>737</v>
      </c>
      <c r="C5" s="8" t="s">
        <v>738</v>
      </c>
      <c r="D5" s="4"/>
      <c r="E5" s="4"/>
      <c r="F5" s="4">
        <v>100.01</v>
      </c>
      <c r="G5" s="4"/>
      <c r="H5" s="4"/>
      <c r="I5" s="4">
        <v>100.01</v>
      </c>
      <c r="J5" s="4"/>
      <c r="K5" s="4"/>
      <c r="L5" s="4">
        <v>100.01</v>
      </c>
      <c r="M5" s="4"/>
      <c r="N5" s="4"/>
      <c r="O5" s="4">
        <v>100.01</v>
      </c>
      <c r="P5" s="4"/>
      <c r="Q5" s="4" t="s">
        <v>63</v>
      </c>
      <c r="R5" s="4"/>
      <c r="S5" s="10" t="s">
        <v>63</v>
      </c>
      <c r="T5" s="4"/>
      <c r="U5" s="4"/>
      <c r="V5" s="4"/>
      <c r="W5" s="4"/>
      <c r="X5" s="4"/>
    </row>
    <row r="6" spans="1:24" x14ac:dyDescent="0.2">
      <c r="A6" s="8" t="s">
        <v>30</v>
      </c>
      <c r="B6" s="8" t="s">
        <v>101</v>
      </c>
      <c r="C6" s="8" t="s">
        <v>739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30</v>
      </c>
      <c r="B7" s="8" t="s">
        <v>101</v>
      </c>
      <c r="C7" s="8" t="s">
        <v>740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63</v>
      </c>
      <c r="U7" s="4"/>
      <c r="V7" s="4"/>
      <c r="W7" s="4"/>
      <c r="X7" s="4"/>
    </row>
    <row r="8" spans="1:24" x14ac:dyDescent="0.2">
      <c r="A8" s="8" t="s">
        <v>30</v>
      </c>
      <c r="B8" s="8" t="s">
        <v>101</v>
      </c>
      <c r="C8" s="8" t="s">
        <v>741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0" t="s">
        <v>63</v>
      </c>
      <c r="T8" s="4"/>
      <c r="U8" s="4"/>
      <c r="V8" s="4"/>
      <c r="W8" s="4"/>
      <c r="X8" s="4"/>
    </row>
    <row r="9" spans="1:24" x14ac:dyDescent="0.2">
      <c r="A9" s="8" t="s">
        <v>30</v>
      </c>
      <c r="B9" s="8" t="s">
        <v>101</v>
      </c>
      <c r="C9" s="8" t="s">
        <v>742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0" t="s">
        <v>63</v>
      </c>
      <c r="U9" s="4"/>
      <c r="V9" s="4"/>
      <c r="W9" s="4"/>
      <c r="X9" s="4"/>
    </row>
    <row r="10" spans="1:24" x14ac:dyDescent="0.2">
      <c r="A10" s="8" t="s">
        <v>30</v>
      </c>
      <c r="B10" s="8" t="s">
        <v>743</v>
      </c>
      <c r="C10" s="8" t="s">
        <v>744</v>
      </c>
      <c r="D10" s="4"/>
      <c r="E10" s="4"/>
      <c r="F10" s="4">
        <v>101.15</v>
      </c>
      <c r="G10" s="4"/>
      <c r="H10" s="4"/>
      <c r="I10" s="4">
        <v>101.15</v>
      </c>
      <c r="J10" s="4"/>
      <c r="K10" s="4"/>
      <c r="L10" s="4">
        <v>101.15</v>
      </c>
      <c r="M10" s="4"/>
      <c r="N10" s="4"/>
      <c r="O10" s="4">
        <v>101.15</v>
      </c>
      <c r="P10" s="4"/>
      <c r="Q10" s="4" t="s">
        <v>63</v>
      </c>
      <c r="R10" s="4"/>
      <c r="S10" s="10" t="s">
        <v>63</v>
      </c>
      <c r="T10" s="4"/>
      <c r="U10" s="4"/>
      <c r="V10" s="4"/>
      <c r="W10" s="4"/>
      <c r="X10" s="4"/>
    </row>
    <row r="11" spans="1:24" x14ac:dyDescent="0.2">
      <c r="A11" s="8" t="s">
        <v>30</v>
      </c>
      <c r="B11" s="8" t="s">
        <v>745</v>
      </c>
      <c r="C11" s="8" t="s">
        <v>746</v>
      </c>
      <c r="D11" s="4"/>
      <c r="E11" s="4">
        <v>309.99</v>
      </c>
      <c r="F11" s="4"/>
      <c r="G11" s="4">
        <v>315.39999999999998</v>
      </c>
      <c r="H11" s="4">
        <v>309.99</v>
      </c>
      <c r="I11" s="4"/>
      <c r="J11" s="4">
        <v>315.39999999999998</v>
      </c>
      <c r="K11" s="4">
        <v>309.99</v>
      </c>
      <c r="L11" s="4"/>
      <c r="M11" s="4">
        <v>315.39999999999998</v>
      </c>
      <c r="N11" s="4">
        <v>309.99</v>
      </c>
      <c r="O11" s="4"/>
      <c r="P11" s="4">
        <v>315.39999999999998</v>
      </c>
      <c r="Q11" s="4" t="s">
        <v>62</v>
      </c>
      <c r="R11" s="4"/>
      <c r="S11" s="4"/>
      <c r="T11" s="4" t="s">
        <v>64</v>
      </c>
      <c r="U11" s="4"/>
      <c r="V11" s="4"/>
      <c r="W11" s="4"/>
      <c r="X11" s="4"/>
    </row>
    <row r="12" spans="1:24" x14ac:dyDescent="0.2">
      <c r="A12" s="8" t="s">
        <v>30</v>
      </c>
      <c r="B12" s="8" t="s">
        <v>747</v>
      </c>
      <c r="C12" s="8" t="s">
        <v>748</v>
      </c>
      <c r="D12" s="4"/>
      <c r="E12" s="4">
        <v>716.05</v>
      </c>
      <c r="F12" s="4"/>
      <c r="G12" s="4">
        <v>701.34</v>
      </c>
      <c r="H12" s="4">
        <v>716.05</v>
      </c>
      <c r="I12" s="4"/>
      <c r="J12" s="4">
        <v>701.34</v>
      </c>
      <c r="K12" s="4">
        <v>716.05</v>
      </c>
      <c r="L12" s="4"/>
      <c r="M12" s="4">
        <v>701.34</v>
      </c>
      <c r="N12" s="4">
        <v>716.05</v>
      </c>
      <c r="O12" s="4"/>
      <c r="P12" s="4">
        <v>701.34</v>
      </c>
      <c r="Q12" s="4"/>
      <c r="R12" s="4"/>
      <c r="S12" s="4"/>
      <c r="T12" s="4" t="s">
        <v>64</v>
      </c>
      <c r="U12" s="4"/>
      <c r="V12" s="4"/>
      <c r="W12" s="4"/>
      <c r="X12" s="4"/>
    </row>
    <row r="13" spans="1:24" x14ac:dyDescent="0.2">
      <c r="A13" s="8" t="s">
        <v>30</v>
      </c>
      <c r="B13" s="8" t="s">
        <v>749</v>
      </c>
      <c r="C13" s="8" t="s">
        <v>750</v>
      </c>
      <c r="D13" s="4"/>
      <c r="E13" s="4">
        <v>301.58999999999997</v>
      </c>
      <c r="F13" s="4"/>
      <c r="G13" s="4">
        <v>315.52</v>
      </c>
      <c r="H13" s="4">
        <v>301.58999999999997</v>
      </c>
      <c r="I13" s="4"/>
      <c r="J13" s="4">
        <v>315.52</v>
      </c>
      <c r="K13" s="4">
        <v>301.58999999999997</v>
      </c>
      <c r="L13" s="4"/>
      <c r="M13" s="4">
        <v>315.52</v>
      </c>
      <c r="N13" s="4">
        <v>301.58999999999997</v>
      </c>
      <c r="O13" s="4"/>
      <c r="P13" s="4">
        <v>315.52</v>
      </c>
      <c r="Q13" s="4"/>
      <c r="R13" s="4"/>
      <c r="S13" s="4" t="s">
        <v>62</v>
      </c>
      <c r="T13" s="4" t="s">
        <v>64</v>
      </c>
      <c r="U13" s="4"/>
      <c r="V13" s="4"/>
      <c r="W13" s="4"/>
      <c r="X13" s="4"/>
    </row>
    <row r="14" spans="1:24" x14ac:dyDescent="0.2">
      <c r="A14" s="8" t="s">
        <v>30</v>
      </c>
      <c r="B14" s="8" t="s">
        <v>751</v>
      </c>
      <c r="C14" s="8" t="s">
        <v>752</v>
      </c>
      <c r="D14" s="4"/>
      <c r="E14" s="4">
        <v>316.31</v>
      </c>
      <c r="F14" s="4"/>
      <c r="G14" s="4">
        <v>314.8</v>
      </c>
      <c r="H14" s="4">
        <v>316.31</v>
      </c>
      <c r="I14" s="4"/>
      <c r="J14" s="4">
        <v>314.8</v>
      </c>
      <c r="K14" s="4">
        <v>316.31</v>
      </c>
      <c r="L14" s="4"/>
      <c r="M14" s="4">
        <v>314.8</v>
      </c>
      <c r="N14" s="4">
        <v>316.31</v>
      </c>
      <c r="O14" s="4"/>
      <c r="P14" s="4">
        <v>314.8</v>
      </c>
      <c r="Q14" s="4"/>
      <c r="R14" s="4"/>
      <c r="S14" s="4"/>
      <c r="T14" s="4"/>
      <c r="U14" s="4"/>
      <c r="V14" s="4"/>
      <c r="W14" s="4"/>
      <c r="X14" s="4"/>
    </row>
    <row r="15" spans="1:24" x14ac:dyDescent="0.2">
      <c r="A15" s="8" t="s">
        <v>30</v>
      </c>
      <c r="B15" s="8" t="s">
        <v>753</v>
      </c>
      <c r="C15" s="8" t="s">
        <v>754</v>
      </c>
      <c r="D15" s="4"/>
      <c r="E15" s="4">
        <v>311.38</v>
      </c>
      <c r="F15" s="4"/>
      <c r="G15" s="4">
        <v>314.19</v>
      </c>
      <c r="H15" s="4">
        <v>311.38</v>
      </c>
      <c r="I15" s="4"/>
      <c r="J15" s="4">
        <v>314.19</v>
      </c>
      <c r="K15" s="4">
        <v>311.38</v>
      </c>
      <c r="L15" s="4"/>
      <c r="M15" s="4">
        <v>314.19</v>
      </c>
      <c r="N15" s="4">
        <v>311.38</v>
      </c>
      <c r="O15" s="4"/>
      <c r="P15" s="4">
        <v>314.19</v>
      </c>
      <c r="Q15" s="4"/>
      <c r="R15" s="4"/>
      <c r="S15" s="4"/>
      <c r="T15" s="4"/>
      <c r="U15" s="4"/>
      <c r="V15" s="4"/>
      <c r="W15" s="4"/>
      <c r="X15" s="4"/>
    </row>
    <row r="16" spans="1:24" x14ac:dyDescent="0.2">
      <c r="A16" s="8" t="s">
        <v>30</v>
      </c>
      <c r="B16" s="8" t="s">
        <v>755</v>
      </c>
      <c r="C16" s="8" t="s">
        <v>756</v>
      </c>
      <c r="D16" s="4"/>
      <c r="E16" s="4">
        <v>316.11</v>
      </c>
      <c r="F16" s="4"/>
      <c r="G16" s="4">
        <v>311.13</v>
      </c>
      <c r="H16" s="4">
        <v>316.11</v>
      </c>
      <c r="I16" s="4"/>
      <c r="J16" s="4">
        <v>311.13</v>
      </c>
      <c r="K16" s="4">
        <v>316.11</v>
      </c>
      <c r="L16" s="4"/>
      <c r="M16" s="4">
        <v>311.13</v>
      </c>
      <c r="N16" s="4">
        <v>316.11</v>
      </c>
      <c r="O16" s="4"/>
      <c r="P16" s="4">
        <v>311.13</v>
      </c>
      <c r="Q16" s="4"/>
      <c r="R16" s="4"/>
      <c r="S16" s="4" t="s">
        <v>62</v>
      </c>
      <c r="T16" s="4" t="s">
        <v>64</v>
      </c>
      <c r="U16" s="4"/>
      <c r="V16" s="4"/>
      <c r="W16" s="4"/>
      <c r="X16" s="4"/>
    </row>
    <row r="17" spans="1:24" x14ac:dyDescent="0.2">
      <c r="A17" s="8" t="s">
        <v>30</v>
      </c>
      <c r="B17" s="8" t="s">
        <v>757</v>
      </c>
      <c r="C17" s="8" t="s">
        <v>758</v>
      </c>
      <c r="D17" s="4"/>
      <c r="E17" s="4">
        <v>316.35000000000002</v>
      </c>
      <c r="F17" s="4"/>
      <c r="G17" s="4">
        <v>319.95</v>
      </c>
      <c r="H17" s="4">
        <v>316.35000000000002</v>
      </c>
      <c r="I17" s="4"/>
      <c r="J17" s="4">
        <v>319.95</v>
      </c>
      <c r="K17" s="4">
        <v>316.35000000000002</v>
      </c>
      <c r="L17" s="4"/>
      <c r="M17" s="4">
        <v>319.95</v>
      </c>
      <c r="N17" s="4">
        <v>316.35000000000002</v>
      </c>
      <c r="O17" s="4"/>
      <c r="P17" s="4">
        <v>319.95</v>
      </c>
      <c r="Q17" s="4" t="s">
        <v>62</v>
      </c>
      <c r="R17" s="4"/>
      <c r="S17" s="4"/>
      <c r="T17" s="4" t="s">
        <v>64</v>
      </c>
      <c r="U17" s="4"/>
      <c r="V17" s="4"/>
      <c r="W17" s="4"/>
      <c r="X17" s="4"/>
    </row>
    <row r="18" spans="1:24" x14ac:dyDescent="0.2">
      <c r="A18" s="8" t="s">
        <v>30</v>
      </c>
      <c r="B18" s="8" t="s">
        <v>759</v>
      </c>
      <c r="C18" s="8" t="s">
        <v>760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1775</v>
      </c>
      <c r="V18" s="4"/>
      <c r="W18" s="4"/>
      <c r="X18" s="4"/>
    </row>
    <row r="19" spans="1:24" x14ac:dyDescent="0.2">
      <c r="A19" s="8" t="s">
        <v>30</v>
      </c>
      <c r="B19" s="8" t="s">
        <v>761</v>
      </c>
      <c r="C19" s="8" t="s">
        <v>762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1775</v>
      </c>
      <c r="V19" s="4"/>
      <c r="W19" s="4"/>
      <c r="X19" s="4"/>
    </row>
    <row r="20" spans="1:24" x14ac:dyDescent="0.2">
      <c r="A20" s="8" t="s">
        <v>30</v>
      </c>
      <c r="B20" s="8" t="s">
        <v>763</v>
      </c>
      <c r="C20" s="8" t="s">
        <v>764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1775</v>
      </c>
      <c r="V20" s="4"/>
      <c r="W20" s="4"/>
      <c r="X20" s="4"/>
    </row>
    <row r="21" spans="1:24" x14ac:dyDescent="0.2">
      <c r="A21" s="8" t="s">
        <v>30</v>
      </c>
      <c r="B21" s="8" t="s">
        <v>765</v>
      </c>
      <c r="C21" s="8" t="s">
        <v>766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30</v>
      </c>
      <c r="B22" s="8" t="s">
        <v>767</v>
      </c>
      <c r="C22" s="8" t="s">
        <v>768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30</v>
      </c>
      <c r="B23" s="8" t="s">
        <v>769</v>
      </c>
      <c r="C23" s="8" t="s">
        <v>770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30</v>
      </c>
      <c r="B24" s="8" t="s">
        <v>771</v>
      </c>
      <c r="C24" s="8" t="s">
        <v>772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30</v>
      </c>
      <c r="B25" s="8" t="s">
        <v>773</v>
      </c>
      <c r="C25" s="8" t="s">
        <v>774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30</v>
      </c>
      <c r="B26" s="8" t="s">
        <v>775</v>
      </c>
      <c r="C26" s="8" t="s">
        <v>776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30</v>
      </c>
      <c r="B27" s="8" t="s">
        <v>777</v>
      </c>
      <c r="C27" s="8" t="s">
        <v>778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30</v>
      </c>
      <c r="B28" s="8" t="s">
        <v>779</v>
      </c>
      <c r="C28" s="8" t="s">
        <v>780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30</v>
      </c>
      <c r="B29" s="8" t="s">
        <v>781</v>
      </c>
      <c r="C29" s="8" t="s">
        <v>782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30</v>
      </c>
      <c r="B30" s="8" t="s">
        <v>783</v>
      </c>
      <c r="C30" s="8" t="s">
        <v>784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30</v>
      </c>
      <c r="B31" s="8" t="s">
        <v>785</v>
      </c>
      <c r="C31" s="8" t="s">
        <v>786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30</v>
      </c>
      <c r="B32" s="8" t="s">
        <v>787</v>
      </c>
      <c r="C32" s="8" t="s">
        <v>788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47"/>
  <sheetViews>
    <sheetView topLeftCell="A2" workbookViewId="0">
      <selection activeCell="Z9" sqref="Z9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SUM(E5:G47)</f>
        <v>4739.7499999999991</v>
      </c>
      <c r="G2" s="6"/>
      <c r="H2" s="6"/>
      <c r="I2" s="6">
        <f>SUM(H5:J47)</f>
        <v>4739.7499999999991</v>
      </c>
      <c r="J2" s="6"/>
      <c r="K2" s="6"/>
      <c r="L2" s="6">
        <f>SUM(K5:M47)</f>
        <v>4739.7499999999991</v>
      </c>
      <c r="M2" s="6"/>
      <c r="N2" s="6"/>
      <c r="O2" s="6">
        <f>SUM(N5:P47)</f>
        <v>4739.7499999999991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31</v>
      </c>
      <c r="B5" s="8" t="s">
        <v>789</v>
      </c>
      <c r="C5" s="8" t="s">
        <v>790</v>
      </c>
      <c r="D5" s="4"/>
      <c r="E5" s="4"/>
      <c r="F5" s="4">
        <v>188</v>
      </c>
      <c r="G5" s="4"/>
      <c r="H5" s="4"/>
      <c r="I5" s="4">
        <v>188</v>
      </c>
      <c r="J5" s="4"/>
      <c r="K5" s="4"/>
      <c r="L5" s="4">
        <v>188</v>
      </c>
      <c r="M5" s="4"/>
      <c r="N5" s="4"/>
      <c r="O5" s="4">
        <v>188</v>
      </c>
      <c r="P5" s="4"/>
      <c r="Q5" s="4" t="s">
        <v>63</v>
      </c>
      <c r="R5" s="4"/>
      <c r="S5" s="10" t="s">
        <v>63</v>
      </c>
      <c r="T5" s="4"/>
      <c r="U5" s="4"/>
      <c r="V5" s="4"/>
      <c r="W5" s="4"/>
      <c r="X5" s="4"/>
    </row>
    <row r="6" spans="1:24" x14ac:dyDescent="0.2">
      <c r="A6" s="8" t="s">
        <v>31</v>
      </c>
      <c r="B6" s="8" t="s">
        <v>101</v>
      </c>
      <c r="C6" s="8" t="s">
        <v>791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0" t="s">
        <v>63</v>
      </c>
      <c r="T6" s="4"/>
      <c r="U6" s="4"/>
      <c r="V6" s="4"/>
      <c r="W6" s="4"/>
      <c r="X6" s="4"/>
    </row>
    <row r="7" spans="1:24" x14ac:dyDescent="0.2">
      <c r="A7" s="8" t="s">
        <v>31</v>
      </c>
      <c r="B7" s="8" t="s">
        <v>101</v>
      </c>
      <c r="C7" s="8" t="s">
        <v>792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0" t="s">
        <v>63</v>
      </c>
      <c r="U7" s="4"/>
      <c r="V7" s="4"/>
      <c r="W7" s="4"/>
      <c r="X7" s="4"/>
    </row>
    <row r="8" spans="1:24" x14ac:dyDescent="0.2">
      <c r="A8" s="8" t="s">
        <v>31</v>
      </c>
      <c r="B8" s="8" t="s">
        <v>793</v>
      </c>
      <c r="C8" s="8" t="s">
        <v>794</v>
      </c>
      <c r="D8" s="4"/>
      <c r="E8" s="4"/>
      <c r="F8" s="4">
        <v>183.52</v>
      </c>
      <c r="G8" s="4"/>
      <c r="H8" s="4"/>
      <c r="I8" s="4">
        <v>183.52</v>
      </c>
      <c r="J8" s="4"/>
      <c r="K8" s="4"/>
      <c r="L8" s="4">
        <v>183.52</v>
      </c>
      <c r="M8" s="4"/>
      <c r="N8" s="4"/>
      <c r="O8" s="4">
        <v>183.52</v>
      </c>
      <c r="P8" s="4"/>
      <c r="Q8" s="4"/>
      <c r="R8" s="4"/>
      <c r="S8" s="10" t="s">
        <v>63</v>
      </c>
      <c r="T8" s="10" t="s">
        <v>63</v>
      </c>
      <c r="U8" s="4"/>
      <c r="V8" s="4"/>
      <c r="W8" s="4"/>
      <c r="X8" s="4"/>
    </row>
    <row r="9" spans="1:24" x14ac:dyDescent="0.2">
      <c r="A9" s="8" t="s">
        <v>31</v>
      </c>
      <c r="B9" s="8" t="s">
        <v>795</v>
      </c>
      <c r="C9" s="8" t="s">
        <v>796</v>
      </c>
      <c r="D9" s="4"/>
      <c r="E9" s="4">
        <v>188.54</v>
      </c>
      <c r="F9" s="4"/>
      <c r="G9" s="4">
        <v>180.88</v>
      </c>
      <c r="H9" s="4">
        <v>188.54</v>
      </c>
      <c r="I9" s="4"/>
      <c r="J9" s="4">
        <v>180.88</v>
      </c>
      <c r="K9" s="4">
        <v>188.54</v>
      </c>
      <c r="L9" s="4"/>
      <c r="M9" s="4">
        <v>180.88</v>
      </c>
      <c r="N9" s="4">
        <v>188.54</v>
      </c>
      <c r="O9" s="4"/>
      <c r="P9" s="4">
        <v>180.88</v>
      </c>
      <c r="Q9" s="4" t="s">
        <v>64</v>
      </c>
      <c r="R9" s="4"/>
      <c r="S9" s="4"/>
      <c r="T9" s="4"/>
      <c r="U9" s="4"/>
      <c r="V9" s="4"/>
      <c r="W9" s="4"/>
      <c r="X9" s="4"/>
    </row>
    <row r="10" spans="1:24" x14ac:dyDescent="0.2">
      <c r="A10" s="8" t="s">
        <v>31</v>
      </c>
      <c r="B10" s="8" t="s">
        <v>797</v>
      </c>
      <c r="C10" s="8" t="s">
        <v>798</v>
      </c>
      <c r="D10" s="4"/>
      <c r="E10" s="4">
        <v>175.11</v>
      </c>
      <c r="F10" s="4"/>
      <c r="G10" s="4">
        <v>188.21</v>
      </c>
      <c r="H10" s="4">
        <v>175.11</v>
      </c>
      <c r="I10" s="4"/>
      <c r="J10" s="4">
        <v>188.21</v>
      </c>
      <c r="K10" s="4">
        <v>175.11</v>
      </c>
      <c r="L10" s="4"/>
      <c r="M10" s="4">
        <v>188.21</v>
      </c>
      <c r="N10" s="4">
        <v>175.11</v>
      </c>
      <c r="O10" s="4"/>
      <c r="P10" s="4">
        <v>188.21</v>
      </c>
      <c r="Q10" s="4"/>
      <c r="R10" s="4"/>
      <c r="S10" s="4" t="s">
        <v>64</v>
      </c>
      <c r="T10" s="4"/>
      <c r="U10" s="4"/>
      <c r="V10" s="4"/>
      <c r="W10" s="4"/>
      <c r="X10" s="4"/>
    </row>
    <row r="11" spans="1:24" x14ac:dyDescent="0.2">
      <c r="A11" s="8" t="s">
        <v>31</v>
      </c>
      <c r="B11" s="8" t="s">
        <v>799</v>
      </c>
      <c r="C11" s="8" t="s">
        <v>800</v>
      </c>
      <c r="D11" s="4"/>
      <c r="E11" s="4">
        <v>187.97</v>
      </c>
      <c r="F11" s="4"/>
      <c r="G11" s="4">
        <v>188.01</v>
      </c>
      <c r="H11" s="4">
        <v>187.97</v>
      </c>
      <c r="I11" s="4"/>
      <c r="J11" s="4">
        <v>188.01</v>
      </c>
      <c r="K11" s="4">
        <v>187.97</v>
      </c>
      <c r="L11" s="4"/>
      <c r="M11" s="4">
        <v>188.01</v>
      </c>
      <c r="N11" s="4">
        <v>187.97</v>
      </c>
      <c r="O11" s="4"/>
      <c r="P11" s="4">
        <v>188.01</v>
      </c>
      <c r="Q11" s="4"/>
      <c r="R11" s="4"/>
      <c r="S11" s="4"/>
      <c r="T11" s="4" t="s">
        <v>62</v>
      </c>
      <c r="U11" s="4"/>
      <c r="V11" s="4"/>
      <c r="W11" s="4"/>
      <c r="X11" s="4"/>
    </row>
    <row r="12" spans="1:24" x14ac:dyDescent="0.2">
      <c r="A12" s="8" t="s">
        <v>31</v>
      </c>
      <c r="B12" s="8" t="s">
        <v>801</v>
      </c>
      <c r="C12" s="8" t="s">
        <v>802</v>
      </c>
      <c r="D12" s="4"/>
      <c r="E12" s="4">
        <v>189.51</v>
      </c>
      <c r="F12" s="4"/>
      <c r="G12" s="4">
        <v>174.4</v>
      </c>
      <c r="H12" s="4">
        <v>189.51</v>
      </c>
      <c r="I12" s="4"/>
      <c r="J12" s="4">
        <v>174.4</v>
      </c>
      <c r="K12" s="4">
        <v>189.51</v>
      </c>
      <c r="L12" s="4"/>
      <c r="M12" s="4">
        <v>174.4</v>
      </c>
      <c r="N12" s="4">
        <v>189.51</v>
      </c>
      <c r="O12" s="4"/>
      <c r="P12" s="4">
        <v>174.4</v>
      </c>
      <c r="Q12" s="4"/>
      <c r="R12" s="4"/>
      <c r="S12" s="4"/>
      <c r="T12" s="4" t="s">
        <v>64</v>
      </c>
      <c r="U12" s="4"/>
      <c r="V12" s="4"/>
      <c r="W12" s="4"/>
      <c r="X12" s="4"/>
    </row>
    <row r="13" spans="1:24" x14ac:dyDescent="0.2">
      <c r="A13" s="8" t="s">
        <v>31</v>
      </c>
      <c r="B13" s="8" t="s">
        <v>803</v>
      </c>
      <c r="C13" s="8" t="s">
        <v>804</v>
      </c>
      <c r="D13" s="4"/>
      <c r="E13" s="4">
        <v>187.69</v>
      </c>
      <c r="F13" s="4"/>
      <c r="G13" s="4">
        <v>189.71</v>
      </c>
      <c r="H13" s="4">
        <v>187.69</v>
      </c>
      <c r="I13" s="4"/>
      <c r="J13" s="4">
        <v>189.71</v>
      </c>
      <c r="K13" s="4">
        <v>187.69</v>
      </c>
      <c r="L13" s="4"/>
      <c r="M13" s="4">
        <v>189.71</v>
      </c>
      <c r="N13" s="4">
        <v>187.69</v>
      </c>
      <c r="O13" s="4"/>
      <c r="P13" s="4">
        <v>189.71</v>
      </c>
      <c r="Q13" s="4" t="s">
        <v>62</v>
      </c>
      <c r="R13" s="4"/>
      <c r="S13" s="4"/>
      <c r="T13" s="4"/>
      <c r="U13" s="4"/>
      <c r="V13" s="4"/>
      <c r="W13" s="4"/>
      <c r="X13" s="4"/>
    </row>
    <row r="14" spans="1:24" x14ac:dyDescent="0.2">
      <c r="A14" s="8" t="s">
        <v>31</v>
      </c>
      <c r="B14" s="8" t="s">
        <v>805</v>
      </c>
      <c r="C14" s="8" t="s">
        <v>806</v>
      </c>
      <c r="D14" s="4"/>
      <c r="E14" s="4">
        <v>174.41</v>
      </c>
      <c r="F14" s="4"/>
      <c r="G14" s="4">
        <v>189.27</v>
      </c>
      <c r="H14" s="4">
        <v>174.41</v>
      </c>
      <c r="I14" s="4"/>
      <c r="J14" s="4">
        <v>189.27</v>
      </c>
      <c r="K14" s="4">
        <v>174.41</v>
      </c>
      <c r="L14" s="4"/>
      <c r="M14" s="4">
        <v>189.27</v>
      </c>
      <c r="N14" s="4">
        <v>174.41</v>
      </c>
      <c r="O14" s="4"/>
      <c r="P14" s="4">
        <v>189.27</v>
      </c>
      <c r="Q14" s="4"/>
      <c r="R14" s="4"/>
      <c r="S14" s="4"/>
      <c r="T14" s="4" t="s">
        <v>1775</v>
      </c>
      <c r="U14" s="4"/>
      <c r="V14" s="4"/>
      <c r="W14" s="4"/>
      <c r="X14" s="4"/>
    </row>
    <row r="15" spans="1:24" x14ac:dyDescent="0.2">
      <c r="A15" s="8" t="s">
        <v>31</v>
      </c>
      <c r="B15" s="8" t="s">
        <v>807</v>
      </c>
      <c r="C15" s="8" t="s">
        <v>808</v>
      </c>
      <c r="D15" s="4"/>
      <c r="E15" s="4">
        <v>187.96</v>
      </c>
      <c r="F15" s="4"/>
      <c r="G15" s="4">
        <v>174.45</v>
      </c>
      <c r="H15" s="4">
        <v>187.96</v>
      </c>
      <c r="I15" s="4"/>
      <c r="J15" s="4">
        <v>174.45</v>
      </c>
      <c r="K15" s="4">
        <v>187.96</v>
      </c>
      <c r="L15" s="4"/>
      <c r="M15" s="4">
        <v>174.45</v>
      </c>
      <c r="N15" s="4">
        <v>187.96</v>
      </c>
      <c r="O15" s="4"/>
      <c r="P15" s="4">
        <v>174.45</v>
      </c>
      <c r="Q15" s="4" t="s">
        <v>62</v>
      </c>
      <c r="R15" s="4"/>
      <c r="S15" s="4"/>
      <c r="T15" s="4"/>
      <c r="U15" s="4"/>
      <c r="V15" s="4"/>
      <c r="W15" s="4"/>
      <c r="X15" s="4"/>
    </row>
    <row r="16" spans="1:24" x14ac:dyDescent="0.2">
      <c r="A16" s="8" t="s">
        <v>31</v>
      </c>
      <c r="B16" s="8" t="s">
        <v>809</v>
      </c>
      <c r="C16" s="8" t="s">
        <v>810</v>
      </c>
      <c r="D16" s="4"/>
      <c r="E16" s="4">
        <v>270.52999999999997</v>
      </c>
      <c r="F16" s="4"/>
      <c r="G16" s="4">
        <v>261.73</v>
      </c>
      <c r="H16" s="4">
        <v>270.52999999999997</v>
      </c>
      <c r="I16" s="4"/>
      <c r="J16" s="4">
        <v>261.73</v>
      </c>
      <c r="K16" s="4">
        <v>270.52999999999997</v>
      </c>
      <c r="L16" s="4"/>
      <c r="M16" s="4">
        <v>261.73</v>
      </c>
      <c r="N16" s="4">
        <v>270.52999999999997</v>
      </c>
      <c r="O16" s="4"/>
      <c r="P16" s="4">
        <v>261.73</v>
      </c>
      <c r="Q16" s="4"/>
      <c r="R16" s="4"/>
      <c r="S16" s="4"/>
      <c r="T16" s="4" t="s">
        <v>64</v>
      </c>
      <c r="U16" s="4"/>
      <c r="V16" s="4"/>
      <c r="W16" s="4"/>
      <c r="X16" s="4"/>
    </row>
    <row r="17" spans="1:24" x14ac:dyDescent="0.2">
      <c r="A17" s="8" t="s">
        <v>31</v>
      </c>
      <c r="B17" s="8" t="s">
        <v>811</v>
      </c>
      <c r="C17" s="8" t="s">
        <v>812</v>
      </c>
      <c r="D17" s="4"/>
      <c r="E17" s="4">
        <v>176.09</v>
      </c>
      <c r="F17" s="4"/>
      <c r="G17" s="4">
        <v>195.72</v>
      </c>
      <c r="H17" s="4">
        <v>176.09</v>
      </c>
      <c r="I17" s="4"/>
      <c r="J17" s="4">
        <v>195.72</v>
      </c>
      <c r="K17" s="4">
        <v>176.09</v>
      </c>
      <c r="L17" s="4"/>
      <c r="M17" s="4">
        <v>195.72</v>
      </c>
      <c r="N17" s="4">
        <v>176.09</v>
      </c>
      <c r="O17" s="4"/>
      <c r="P17" s="4">
        <v>195.72</v>
      </c>
      <c r="Q17" s="4"/>
      <c r="R17" s="4"/>
      <c r="S17" s="4" t="s">
        <v>64</v>
      </c>
      <c r="T17" s="4"/>
      <c r="U17" s="4"/>
      <c r="V17" s="4"/>
      <c r="W17" s="4"/>
      <c r="X17" s="4"/>
    </row>
    <row r="18" spans="1:24" x14ac:dyDescent="0.2">
      <c r="A18" s="8" t="s">
        <v>31</v>
      </c>
      <c r="B18" s="8" t="s">
        <v>813</v>
      </c>
      <c r="C18" s="8" t="s">
        <v>814</v>
      </c>
      <c r="D18" s="4"/>
      <c r="E18" s="4">
        <v>188.3</v>
      </c>
      <c r="F18" s="4"/>
      <c r="G18" s="4">
        <v>186.58</v>
      </c>
      <c r="H18" s="4">
        <v>188.3</v>
      </c>
      <c r="I18" s="4"/>
      <c r="J18" s="4">
        <v>186.58</v>
      </c>
      <c r="K18" s="4">
        <v>188.3</v>
      </c>
      <c r="L18" s="4"/>
      <c r="M18" s="4">
        <v>186.58</v>
      </c>
      <c r="N18" s="4">
        <v>188.3</v>
      </c>
      <c r="O18" s="4"/>
      <c r="P18" s="4">
        <v>186.58</v>
      </c>
      <c r="Q18" s="4"/>
      <c r="R18" s="4"/>
      <c r="S18" s="4"/>
      <c r="T18" s="4" t="s">
        <v>64</v>
      </c>
      <c r="U18" s="4"/>
      <c r="V18" s="4"/>
      <c r="W18" s="4"/>
      <c r="X18" s="4"/>
    </row>
    <row r="19" spans="1:24" x14ac:dyDescent="0.2">
      <c r="A19" s="8" t="s">
        <v>31</v>
      </c>
      <c r="B19" s="8" t="s">
        <v>815</v>
      </c>
      <c r="C19" s="8" t="s">
        <v>816</v>
      </c>
      <c r="D19" s="4"/>
      <c r="E19" s="4">
        <v>188.15</v>
      </c>
      <c r="F19" s="4"/>
      <c r="G19" s="4">
        <v>180.03</v>
      </c>
      <c r="H19" s="4">
        <v>188.15</v>
      </c>
      <c r="I19" s="4"/>
      <c r="J19" s="4">
        <v>180.03</v>
      </c>
      <c r="K19" s="4">
        <v>188.15</v>
      </c>
      <c r="L19" s="4"/>
      <c r="M19" s="4">
        <v>180.03</v>
      </c>
      <c r="N19" s="4">
        <v>188.15</v>
      </c>
      <c r="O19" s="4"/>
      <c r="P19" s="4">
        <v>180.03</v>
      </c>
      <c r="Q19" s="4"/>
      <c r="R19" s="4"/>
      <c r="S19" s="4"/>
      <c r="T19" s="4" t="s">
        <v>1775</v>
      </c>
      <c r="U19" s="4"/>
      <c r="V19" s="4"/>
      <c r="W19" s="4"/>
      <c r="X19" s="4"/>
    </row>
    <row r="20" spans="1:24" x14ac:dyDescent="0.2">
      <c r="A20" s="8" t="s">
        <v>31</v>
      </c>
      <c r="B20" s="8" t="s">
        <v>817</v>
      </c>
      <c r="C20" s="8" t="s">
        <v>818</v>
      </c>
      <c r="D20" s="4"/>
      <c r="E20" s="4">
        <v>22.94</v>
      </c>
      <c r="F20" s="4"/>
      <c r="G20" s="4">
        <v>24.55</v>
      </c>
      <c r="H20" s="4">
        <v>22.94</v>
      </c>
      <c r="I20" s="4"/>
      <c r="J20" s="4">
        <v>24.55</v>
      </c>
      <c r="K20" s="4">
        <v>22.94</v>
      </c>
      <c r="L20" s="4"/>
      <c r="M20" s="4">
        <v>24.55</v>
      </c>
      <c r="N20" s="4">
        <v>22.94</v>
      </c>
      <c r="O20" s="4"/>
      <c r="P20" s="4">
        <v>24.55</v>
      </c>
      <c r="Q20" s="4"/>
      <c r="R20" s="4"/>
      <c r="S20" s="4" t="s">
        <v>64</v>
      </c>
      <c r="T20" s="4"/>
      <c r="U20" s="4"/>
      <c r="V20" s="4"/>
      <c r="W20" s="4"/>
      <c r="X20" s="4"/>
    </row>
    <row r="21" spans="1:24" x14ac:dyDescent="0.2">
      <c r="A21" s="8" t="s">
        <v>31</v>
      </c>
      <c r="B21" s="8" t="s">
        <v>819</v>
      </c>
      <c r="C21" s="8" t="s">
        <v>820</v>
      </c>
      <c r="D21" s="4"/>
      <c r="E21" s="4">
        <v>21.65</v>
      </c>
      <c r="F21" s="4"/>
      <c r="G21" s="4">
        <v>34.6</v>
      </c>
      <c r="H21" s="4">
        <v>21.65</v>
      </c>
      <c r="I21" s="4"/>
      <c r="J21" s="4">
        <v>34.6</v>
      </c>
      <c r="K21" s="4">
        <v>21.65</v>
      </c>
      <c r="L21" s="4"/>
      <c r="M21" s="4">
        <v>34.6</v>
      </c>
      <c r="N21" s="4">
        <v>21.65</v>
      </c>
      <c r="O21" s="4"/>
      <c r="P21" s="4">
        <v>34.6</v>
      </c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">
      <c r="A22" s="8" t="s">
        <v>31</v>
      </c>
      <c r="B22" s="8" t="s">
        <v>821</v>
      </c>
      <c r="C22" s="8" t="s">
        <v>822</v>
      </c>
      <c r="D22" s="4"/>
      <c r="E22" s="4">
        <v>21.66</v>
      </c>
      <c r="F22" s="4"/>
      <c r="G22" s="4">
        <v>19.579999999999998</v>
      </c>
      <c r="H22" s="4">
        <v>21.66</v>
      </c>
      <c r="I22" s="4"/>
      <c r="J22" s="4">
        <v>19.579999999999998</v>
      </c>
      <c r="K22" s="4">
        <v>21.66</v>
      </c>
      <c r="L22" s="4"/>
      <c r="M22" s="4">
        <v>19.579999999999998</v>
      </c>
      <c r="N22" s="4">
        <v>21.66</v>
      </c>
      <c r="O22" s="4"/>
      <c r="P22" s="4">
        <v>19.579999999999998</v>
      </c>
      <c r="Q22" s="4"/>
      <c r="R22" s="4"/>
      <c r="S22" s="4"/>
      <c r="T22" s="4" t="s">
        <v>62</v>
      </c>
      <c r="U22" s="4"/>
      <c r="V22" s="4"/>
      <c r="W22" s="4"/>
      <c r="X22" s="4"/>
    </row>
    <row r="23" spans="1:24" x14ac:dyDescent="0.2">
      <c r="A23" s="8" t="s">
        <v>31</v>
      </c>
      <c r="B23" s="8" t="s">
        <v>823</v>
      </c>
      <c r="C23" s="8" t="s">
        <v>824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31</v>
      </c>
      <c r="B24" s="8" t="s">
        <v>825</v>
      </c>
      <c r="C24" s="8" t="s">
        <v>826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31</v>
      </c>
      <c r="B25" s="8" t="s">
        <v>827</v>
      </c>
      <c r="C25" s="8" t="s">
        <v>828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31</v>
      </c>
      <c r="B26" s="8" t="s">
        <v>829</v>
      </c>
      <c r="C26" s="8" t="s">
        <v>830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31</v>
      </c>
      <c r="B27" s="8" t="s">
        <v>831</v>
      </c>
      <c r="C27" s="8" t="s">
        <v>832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31</v>
      </c>
      <c r="B28" s="8" t="s">
        <v>833</v>
      </c>
      <c r="C28" s="8" t="s">
        <v>834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31</v>
      </c>
      <c r="B29" s="8" t="s">
        <v>835</v>
      </c>
      <c r="C29" s="8" t="s">
        <v>836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31</v>
      </c>
      <c r="B30" s="8" t="s">
        <v>837</v>
      </c>
      <c r="C30" s="8" t="s">
        <v>838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31</v>
      </c>
      <c r="B31" s="8" t="s">
        <v>839</v>
      </c>
      <c r="C31" s="8" t="s">
        <v>840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31</v>
      </c>
      <c r="B32" s="8" t="s">
        <v>841</v>
      </c>
      <c r="C32" s="8" t="s">
        <v>842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31</v>
      </c>
      <c r="B33" s="8" t="s">
        <v>843</v>
      </c>
      <c r="C33" s="8" t="s">
        <v>844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31</v>
      </c>
      <c r="B34" s="8" t="s">
        <v>845</v>
      </c>
      <c r="C34" s="8" t="s">
        <v>846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31</v>
      </c>
      <c r="B35" s="8" t="s">
        <v>847</v>
      </c>
      <c r="C35" s="8" t="s">
        <v>848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31</v>
      </c>
      <c r="B36" s="8" t="s">
        <v>849</v>
      </c>
      <c r="C36" s="8" t="s">
        <v>850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31</v>
      </c>
      <c r="B37" s="8" t="s">
        <v>851</v>
      </c>
      <c r="C37" s="8" t="s">
        <v>852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31</v>
      </c>
      <c r="B38" s="8" t="s">
        <v>853</v>
      </c>
      <c r="C38" s="8" t="s">
        <v>854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31</v>
      </c>
      <c r="B39" s="8" t="s">
        <v>855</v>
      </c>
      <c r="C39" s="8" t="s">
        <v>856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31</v>
      </c>
      <c r="B40" s="8" t="s">
        <v>857</v>
      </c>
      <c r="C40" s="8" t="s">
        <v>858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31</v>
      </c>
      <c r="B41" s="8" t="s">
        <v>859</v>
      </c>
      <c r="C41" s="8" t="s">
        <v>860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31</v>
      </c>
      <c r="B42" s="8" t="s">
        <v>861</v>
      </c>
      <c r="C42" s="8" t="s">
        <v>862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31</v>
      </c>
      <c r="B43" s="8" t="s">
        <v>863</v>
      </c>
      <c r="C43" s="8" t="s">
        <v>864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31</v>
      </c>
      <c r="B44" s="8" t="s">
        <v>865</v>
      </c>
      <c r="C44" s="8" t="s">
        <v>866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31</v>
      </c>
      <c r="B45" s="8" t="s">
        <v>867</v>
      </c>
      <c r="C45" s="8" t="s">
        <v>868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31</v>
      </c>
      <c r="B46" s="8" t="s">
        <v>869</v>
      </c>
      <c r="C46" s="8" t="s">
        <v>870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  <row r="47" spans="1:24" x14ac:dyDescent="0.2">
      <c r="A47" s="8" t="s">
        <v>31</v>
      </c>
      <c r="B47" s="8" t="s">
        <v>871</v>
      </c>
      <c r="C47" s="8" t="s">
        <v>872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1775</v>
      </c>
      <c r="V47" s="4"/>
      <c r="W47" s="4"/>
      <c r="X4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27"/>
  <sheetViews>
    <sheetView workbookViewId="0">
      <selection activeCell="AB12" sqref="AB12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SUM(E5:G27)</f>
        <v>2176.7099999999996</v>
      </c>
      <c r="G2" s="6"/>
      <c r="H2" s="6"/>
      <c r="I2" s="6">
        <f>SUM(H5:J27)</f>
        <v>2176.7099999999996</v>
      </c>
      <c r="J2" s="6"/>
      <c r="K2" s="6"/>
      <c r="L2" s="6">
        <f>SUM(K5:M27)</f>
        <v>2176.7099999999996</v>
      </c>
      <c r="M2" s="6"/>
      <c r="N2" s="6"/>
      <c r="O2" s="6">
        <f>SUM(N5:P27)</f>
        <v>2176.7099999999996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32</v>
      </c>
      <c r="B5" s="8" t="s">
        <v>873</v>
      </c>
      <c r="C5" s="8" t="s">
        <v>874</v>
      </c>
      <c r="D5" s="4"/>
      <c r="E5" s="4">
        <v>178.13</v>
      </c>
      <c r="F5" s="4"/>
      <c r="G5" s="4">
        <v>181.58</v>
      </c>
      <c r="H5" s="4">
        <v>178.13</v>
      </c>
      <c r="I5" s="4"/>
      <c r="J5" s="4">
        <v>181.58</v>
      </c>
      <c r="K5" s="4">
        <v>178.13</v>
      </c>
      <c r="L5" s="4"/>
      <c r="M5" s="4">
        <v>181.58</v>
      </c>
      <c r="N5" s="4">
        <v>178.13</v>
      </c>
      <c r="O5" s="4"/>
      <c r="P5" s="4">
        <v>181.58</v>
      </c>
      <c r="Q5" s="4" t="s">
        <v>62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32</v>
      </c>
      <c r="B6" s="8" t="s">
        <v>875</v>
      </c>
      <c r="C6" s="8" t="s">
        <v>876</v>
      </c>
      <c r="D6" s="4"/>
      <c r="E6" s="4">
        <v>192.47</v>
      </c>
      <c r="F6" s="4"/>
      <c r="G6" s="4">
        <v>175.37</v>
      </c>
      <c r="H6" s="4">
        <v>192.47</v>
      </c>
      <c r="I6" s="4"/>
      <c r="J6" s="4">
        <v>175.37</v>
      </c>
      <c r="K6" s="4">
        <v>192.47</v>
      </c>
      <c r="L6" s="4"/>
      <c r="M6" s="4">
        <v>175.37</v>
      </c>
      <c r="N6" s="4">
        <v>192.47</v>
      </c>
      <c r="O6" s="4"/>
      <c r="P6" s="4">
        <v>175.37</v>
      </c>
      <c r="Q6" s="4"/>
      <c r="R6" s="4"/>
      <c r="S6" s="4" t="s">
        <v>62</v>
      </c>
      <c r="T6" s="4"/>
      <c r="U6" s="4"/>
      <c r="V6" s="4"/>
      <c r="W6" s="4"/>
      <c r="X6" s="4"/>
    </row>
    <row r="7" spans="1:24" x14ac:dyDescent="0.2">
      <c r="A7" s="8" t="s">
        <v>32</v>
      </c>
      <c r="B7" s="8" t="s">
        <v>877</v>
      </c>
      <c r="C7" s="8" t="s">
        <v>878</v>
      </c>
      <c r="D7" s="4"/>
      <c r="E7" s="4">
        <v>184.44</v>
      </c>
      <c r="F7" s="4"/>
      <c r="G7" s="4">
        <v>181.03</v>
      </c>
      <c r="H7" s="4">
        <v>184.44</v>
      </c>
      <c r="I7" s="4"/>
      <c r="J7" s="4">
        <v>181.03</v>
      </c>
      <c r="K7" s="4">
        <v>184.44</v>
      </c>
      <c r="L7" s="4"/>
      <c r="M7" s="4">
        <v>181.03</v>
      </c>
      <c r="N7" s="4">
        <v>184.44</v>
      </c>
      <c r="O7" s="4"/>
      <c r="P7" s="4">
        <v>181.03</v>
      </c>
      <c r="Q7" s="4"/>
      <c r="R7" s="4"/>
      <c r="S7" s="4"/>
      <c r="T7" s="4" t="s">
        <v>62</v>
      </c>
      <c r="U7" s="4"/>
      <c r="V7" s="4"/>
      <c r="W7" s="4"/>
      <c r="X7" s="4"/>
    </row>
    <row r="8" spans="1:24" x14ac:dyDescent="0.2">
      <c r="A8" s="8" t="s">
        <v>32</v>
      </c>
      <c r="B8" s="8" t="s">
        <v>879</v>
      </c>
      <c r="C8" s="8" t="s">
        <v>880</v>
      </c>
      <c r="D8" s="4"/>
      <c r="E8" s="4">
        <v>190.05</v>
      </c>
      <c r="F8" s="4"/>
      <c r="G8" s="4">
        <v>190.83</v>
      </c>
      <c r="H8" s="4">
        <v>190.05</v>
      </c>
      <c r="I8" s="4"/>
      <c r="J8" s="4">
        <v>190.83</v>
      </c>
      <c r="K8" s="4">
        <v>190.05</v>
      </c>
      <c r="L8" s="4"/>
      <c r="M8" s="4">
        <v>190.83</v>
      </c>
      <c r="N8" s="4">
        <v>190.05</v>
      </c>
      <c r="O8" s="4"/>
      <c r="P8" s="4">
        <v>190.83</v>
      </c>
      <c r="Q8" s="4" t="s">
        <v>64</v>
      </c>
      <c r="R8" s="4"/>
      <c r="S8" s="4"/>
      <c r="T8" s="4" t="s">
        <v>64</v>
      </c>
      <c r="U8" s="4"/>
      <c r="V8" s="4"/>
      <c r="W8" s="4"/>
      <c r="X8" s="4"/>
    </row>
    <row r="9" spans="1:24" x14ac:dyDescent="0.2">
      <c r="A9" s="8" t="s">
        <v>32</v>
      </c>
      <c r="B9" s="8" t="s">
        <v>881</v>
      </c>
      <c r="C9" s="8" t="s">
        <v>882</v>
      </c>
      <c r="D9" s="4"/>
      <c r="E9" s="4">
        <v>194.88</v>
      </c>
      <c r="F9" s="4"/>
      <c r="G9" s="4">
        <v>194.3</v>
      </c>
      <c r="H9" s="4">
        <v>194.88</v>
      </c>
      <c r="I9" s="4"/>
      <c r="J9" s="4">
        <v>194.3</v>
      </c>
      <c r="K9" s="4">
        <v>194.88</v>
      </c>
      <c r="L9" s="4"/>
      <c r="M9" s="4">
        <v>194.3</v>
      </c>
      <c r="N9" s="4">
        <v>194.88</v>
      </c>
      <c r="O9" s="4"/>
      <c r="P9" s="4">
        <v>194.3</v>
      </c>
      <c r="Q9" s="4"/>
      <c r="R9" s="4"/>
      <c r="S9" s="4"/>
      <c r="T9" s="4" t="s">
        <v>64</v>
      </c>
      <c r="U9" s="4"/>
      <c r="V9" s="4"/>
      <c r="W9" s="4"/>
      <c r="X9" s="4"/>
    </row>
    <row r="10" spans="1:24" x14ac:dyDescent="0.2">
      <c r="A10" s="8" t="s">
        <v>32</v>
      </c>
      <c r="B10" s="8" t="s">
        <v>883</v>
      </c>
      <c r="C10" s="8" t="s">
        <v>884</v>
      </c>
      <c r="D10" s="4"/>
      <c r="E10" s="4">
        <v>22.53</v>
      </c>
      <c r="F10" s="4"/>
      <c r="G10" s="4">
        <v>25.15</v>
      </c>
      <c r="H10" s="4">
        <v>22.53</v>
      </c>
      <c r="I10" s="4"/>
      <c r="J10" s="4">
        <v>25.15</v>
      </c>
      <c r="K10" s="4">
        <v>22.53</v>
      </c>
      <c r="L10" s="4"/>
      <c r="M10" s="4">
        <v>25.15</v>
      </c>
      <c r="N10" s="4">
        <v>22.53</v>
      </c>
      <c r="O10" s="4"/>
      <c r="P10" s="4">
        <v>25.15</v>
      </c>
      <c r="Q10" s="4"/>
      <c r="R10" s="4"/>
      <c r="S10" s="4" t="s">
        <v>62</v>
      </c>
      <c r="T10" s="4"/>
      <c r="U10" s="4"/>
      <c r="V10" s="4"/>
      <c r="W10" s="4"/>
      <c r="X10" s="4"/>
    </row>
    <row r="11" spans="1:24" x14ac:dyDescent="0.2">
      <c r="A11" s="8" t="s">
        <v>32</v>
      </c>
      <c r="B11" s="8" t="s">
        <v>885</v>
      </c>
      <c r="C11" s="8" t="s">
        <v>886</v>
      </c>
      <c r="D11" s="4"/>
      <c r="E11" s="4">
        <v>22.15</v>
      </c>
      <c r="F11" s="4"/>
      <c r="G11" s="4">
        <v>21.85</v>
      </c>
      <c r="H11" s="4">
        <v>22.15</v>
      </c>
      <c r="I11" s="4"/>
      <c r="J11" s="4">
        <v>21.85</v>
      </c>
      <c r="K11" s="4">
        <v>22.15</v>
      </c>
      <c r="L11" s="4"/>
      <c r="M11" s="4">
        <v>21.85</v>
      </c>
      <c r="N11" s="4">
        <v>22.15</v>
      </c>
      <c r="O11" s="4"/>
      <c r="P11" s="4">
        <v>21.85</v>
      </c>
      <c r="Q11" s="4"/>
      <c r="R11" s="4"/>
      <c r="S11" s="4"/>
      <c r="T11" s="4"/>
      <c r="U11" s="4"/>
      <c r="V11" s="4"/>
      <c r="W11" s="4"/>
      <c r="X11" s="4"/>
    </row>
    <row r="12" spans="1:24" x14ac:dyDescent="0.2">
      <c r="A12" s="8" t="s">
        <v>32</v>
      </c>
      <c r="B12" s="8" t="s">
        <v>887</v>
      </c>
      <c r="C12" s="8" t="s">
        <v>888</v>
      </c>
      <c r="D12" s="4"/>
      <c r="E12" s="4">
        <v>44.75</v>
      </c>
      <c r="F12" s="4"/>
      <c r="G12" s="4">
        <v>59.96</v>
      </c>
      <c r="H12" s="4">
        <v>44.75</v>
      </c>
      <c r="I12" s="4"/>
      <c r="J12" s="4">
        <v>59.96</v>
      </c>
      <c r="K12" s="4">
        <v>44.75</v>
      </c>
      <c r="L12" s="4"/>
      <c r="M12" s="4">
        <v>59.96</v>
      </c>
      <c r="N12" s="4">
        <v>44.75</v>
      </c>
      <c r="O12" s="4"/>
      <c r="P12" s="4">
        <v>59.96</v>
      </c>
      <c r="Q12" s="4"/>
      <c r="R12" s="4"/>
      <c r="S12" s="4" t="s">
        <v>64</v>
      </c>
      <c r="T12" s="4"/>
      <c r="U12" s="4"/>
      <c r="V12" s="4"/>
      <c r="W12" s="4"/>
      <c r="X12" s="4"/>
    </row>
    <row r="13" spans="1:24" x14ac:dyDescent="0.2">
      <c r="A13" s="8" t="s">
        <v>32</v>
      </c>
      <c r="B13" s="8" t="s">
        <v>889</v>
      </c>
      <c r="C13" s="8" t="s">
        <v>890</v>
      </c>
      <c r="D13" s="4"/>
      <c r="E13" s="4">
        <v>67.739999999999995</v>
      </c>
      <c r="F13" s="4"/>
      <c r="G13" s="4">
        <v>49.5</v>
      </c>
      <c r="H13" s="4">
        <v>67.739999999999995</v>
      </c>
      <c r="I13" s="4"/>
      <c r="J13" s="4">
        <v>49.5</v>
      </c>
      <c r="K13" s="4">
        <v>67.739999999999995</v>
      </c>
      <c r="L13" s="4"/>
      <c r="M13" s="4">
        <v>49.5</v>
      </c>
      <c r="N13" s="4">
        <v>67.739999999999995</v>
      </c>
      <c r="O13" s="4"/>
      <c r="P13" s="4">
        <v>49.5</v>
      </c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8" t="s">
        <v>32</v>
      </c>
      <c r="B14" s="8" t="s">
        <v>891</v>
      </c>
      <c r="C14" s="8" t="s">
        <v>892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1775</v>
      </c>
      <c r="V14" s="4"/>
      <c r="W14" s="4"/>
      <c r="X14" s="4"/>
    </row>
    <row r="15" spans="1:24" x14ac:dyDescent="0.2">
      <c r="A15" s="8" t="s">
        <v>32</v>
      </c>
      <c r="B15" s="8" t="s">
        <v>893</v>
      </c>
      <c r="C15" s="8" t="s">
        <v>894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1775</v>
      </c>
      <c r="V15" s="4"/>
      <c r="W15" s="4"/>
      <c r="X15" s="4"/>
    </row>
    <row r="16" spans="1:24" x14ac:dyDescent="0.2">
      <c r="A16" s="8" t="s">
        <v>32</v>
      </c>
      <c r="B16" s="8" t="s">
        <v>895</v>
      </c>
      <c r="C16" s="8" t="s">
        <v>896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1775</v>
      </c>
      <c r="V16" s="4"/>
      <c r="W16" s="4"/>
      <c r="X16" s="4"/>
    </row>
    <row r="17" spans="1:24" x14ac:dyDescent="0.2">
      <c r="A17" s="8" t="s">
        <v>32</v>
      </c>
      <c r="B17" s="8" t="s">
        <v>897</v>
      </c>
      <c r="C17" s="8" t="s">
        <v>898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1775</v>
      </c>
      <c r="V17" s="4"/>
      <c r="W17" s="4"/>
      <c r="X17" s="4"/>
    </row>
    <row r="18" spans="1:24" x14ac:dyDescent="0.2">
      <c r="A18" s="8" t="s">
        <v>32</v>
      </c>
      <c r="B18" s="8" t="s">
        <v>899</v>
      </c>
      <c r="C18" s="8" t="s">
        <v>900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1775</v>
      </c>
      <c r="V18" s="4"/>
      <c r="W18" s="4"/>
      <c r="X18" s="4"/>
    </row>
    <row r="19" spans="1:24" x14ac:dyDescent="0.2">
      <c r="A19" s="8" t="s">
        <v>32</v>
      </c>
      <c r="B19" s="8" t="s">
        <v>901</v>
      </c>
      <c r="C19" s="8" t="s">
        <v>902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1775</v>
      </c>
      <c r="V19" s="4"/>
      <c r="W19" s="4"/>
      <c r="X19" s="4"/>
    </row>
    <row r="20" spans="1:24" x14ac:dyDescent="0.2">
      <c r="A20" s="8" t="s">
        <v>32</v>
      </c>
      <c r="B20" s="8" t="s">
        <v>903</v>
      </c>
      <c r="C20" s="8" t="s">
        <v>904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1775</v>
      </c>
      <c r="V20" s="4"/>
      <c r="W20" s="4"/>
      <c r="X20" s="4"/>
    </row>
    <row r="21" spans="1:24" x14ac:dyDescent="0.2">
      <c r="A21" s="8" t="s">
        <v>32</v>
      </c>
      <c r="B21" s="8" t="s">
        <v>905</v>
      </c>
      <c r="C21" s="8" t="s">
        <v>906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32</v>
      </c>
      <c r="B22" s="8" t="s">
        <v>907</v>
      </c>
      <c r="C22" s="8" t="s">
        <v>908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32</v>
      </c>
      <c r="B23" s="8" t="s">
        <v>909</v>
      </c>
      <c r="C23" s="8" t="s">
        <v>910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32</v>
      </c>
      <c r="B24" s="8" t="s">
        <v>911</v>
      </c>
      <c r="C24" s="8" t="s">
        <v>912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32</v>
      </c>
      <c r="B25" s="8" t="s">
        <v>913</v>
      </c>
      <c r="C25" s="8" t="s">
        <v>914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32</v>
      </c>
      <c r="B26" s="8" t="s">
        <v>915</v>
      </c>
      <c r="C26" s="8" t="s">
        <v>916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32</v>
      </c>
      <c r="B27" s="8" t="s">
        <v>917</v>
      </c>
      <c r="C27" s="8" t="s">
        <v>918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46"/>
  <sheetViews>
    <sheetView workbookViewId="0">
      <selection activeCell="Q5" sqref="Q5:T13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61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SUM(E5:G46)</f>
        <v>2243.3000000000002</v>
      </c>
      <c r="G2" s="6"/>
      <c r="H2" s="6"/>
      <c r="I2" s="6">
        <f>SUM(H5:J46)</f>
        <v>2243.3000000000002</v>
      </c>
      <c r="J2" s="6"/>
      <c r="K2" s="6"/>
      <c r="L2" s="6">
        <f>SUM(K5:M46)</f>
        <v>2243.3000000000002</v>
      </c>
      <c r="M2" s="6"/>
      <c r="N2" s="6"/>
      <c r="O2" s="6">
        <f>SUM(N5:P46)</f>
        <v>2243.3000000000002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33</v>
      </c>
      <c r="B5" s="8" t="s">
        <v>919</v>
      </c>
      <c r="C5" s="8" t="s">
        <v>920</v>
      </c>
      <c r="D5" s="4"/>
      <c r="E5" s="4">
        <v>170.87</v>
      </c>
      <c r="F5" s="4"/>
      <c r="G5" s="4">
        <v>154.97</v>
      </c>
      <c r="H5" s="4">
        <v>170.87</v>
      </c>
      <c r="I5" s="4"/>
      <c r="J5" s="4">
        <v>154.97</v>
      </c>
      <c r="K5" s="4">
        <v>170.87</v>
      </c>
      <c r="L5" s="4"/>
      <c r="M5" s="4">
        <v>154.97</v>
      </c>
      <c r="N5" s="4">
        <v>170.87</v>
      </c>
      <c r="O5" s="4"/>
      <c r="P5" s="4">
        <v>154.97</v>
      </c>
      <c r="Q5" s="4" t="s">
        <v>62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33</v>
      </c>
      <c r="B6" s="8" t="s">
        <v>921</v>
      </c>
      <c r="C6" s="8" t="s">
        <v>922</v>
      </c>
      <c r="D6" s="4"/>
      <c r="E6" s="4">
        <v>154.88999999999999</v>
      </c>
      <c r="F6" s="4"/>
      <c r="G6" s="4">
        <v>167.94</v>
      </c>
      <c r="H6" s="4">
        <v>154.88999999999999</v>
      </c>
      <c r="I6" s="4"/>
      <c r="J6" s="4">
        <v>167.94</v>
      </c>
      <c r="K6" s="4">
        <v>154.88999999999999</v>
      </c>
      <c r="L6" s="4"/>
      <c r="M6" s="4">
        <v>167.94</v>
      </c>
      <c r="N6" s="4">
        <v>154.88999999999999</v>
      </c>
      <c r="O6" s="4"/>
      <c r="P6" s="4">
        <v>167.94</v>
      </c>
      <c r="Q6" s="4"/>
      <c r="R6" s="4"/>
      <c r="S6" s="4" t="s">
        <v>62</v>
      </c>
      <c r="T6" s="4"/>
      <c r="U6" s="4"/>
      <c r="V6" s="4"/>
      <c r="W6" s="4"/>
      <c r="X6" s="4"/>
    </row>
    <row r="7" spans="1:24" x14ac:dyDescent="0.2">
      <c r="A7" s="8" t="s">
        <v>33</v>
      </c>
      <c r="B7" s="8" t="s">
        <v>923</v>
      </c>
      <c r="C7" s="8" t="s">
        <v>924</v>
      </c>
      <c r="D7" s="4"/>
      <c r="E7" s="4">
        <v>168.07</v>
      </c>
      <c r="F7" s="4"/>
      <c r="G7" s="4">
        <v>154.49</v>
      </c>
      <c r="H7" s="4">
        <v>168.07</v>
      </c>
      <c r="I7" s="4"/>
      <c r="J7" s="4">
        <v>154.49</v>
      </c>
      <c r="K7" s="4">
        <v>168.07</v>
      </c>
      <c r="L7" s="4"/>
      <c r="M7" s="4">
        <v>154.49</v>
      </c>
      <c r="N7" s="4">
        <v>168.07</v>
      </c>
      <c r="O7" s="4"/>
      <c r="P7" s="4">
        <v>154.49</v>
      </c>
      <c r="Q7" s="4"/>
      <c r="R7" s="4"/>
      <c r="S7" s="4"/>
      <c r="T7" s="4"/>
      <c r="U7" s="4"/>
      <c r="V7" s="4"/>
      <c r="W7" s="4"/>
      <c r="X7" s="4"/>
    </row>
    <row r="8" spans="1:24" x14ac:dyDescent="0.2">
      <c r="A8" s="8" t="s">
        <v>33</v>
      </c>
      <c r="B8" s="8" t="s">
        <v>925</v>
      </c>
      <c r="C8" s="8" t="s">
        <v>926</v>
      </c>
      <c r="D8" s="4"/>
      <c r="E8" s="4">
        <v>155.1</v>
      </c>
      <c r="F8" s="4"/>
      <c r="G8" s="4">
        <v>168.34</v>
      </c>
      <c r="H8" s="4">
        <v>155.1</v>
      </c>
      <c r="I8" s="4"/>
      <c r="J8" s="4">
        <v>168.34</v>
      </c>
      <c r="K8" s="4">
        <v>155.1</v>
      </c>
      <c r="L8" s="4"/>
      <c r="M8" s="4">
        <v>168.34</v>
      </c>
      <c r="N8" s="4">
        <v>155.1</v>
      </c>
      <c r="O8" s="4"/>
      <c r="P8" s="4">
        <v>168.34</v>
      </c>
      <c r="Q8" s="4"/>
      <c r="R8" s="4"/>
      <c r="S8" s="4"/>
      <c r="T8" s="4" t="s">
        <v>62</v>
      </c>
      <c r="U8" s="4"/>
      <c r="V8" s="4"/>
      <c r="W8" s="4"/>
      <c r="X8" s="4"/>
    </row>
    <row r="9" spans="1:24" x14ac:dyDescent="0.2">
      <c r="A9" s="8" t="s">
        <v>33</v>
      </c>
      <c r="B9" s="8" t="s">
        <v>927</v>
      </c>
      <c r="C9" s="8" t="s">
        <v>928</v>
      </c>
      <c r="D9" s="4"/>
      <c r="E9" s="4">
        <v>179.71</v>
      </c>
      <c r="F9" s="4"/>
      <c r="G9" s="4">
        <v>165.4</v>
      </c>
      <c r="H9" s="4">
        <v>179.71</v>
      </c>
      <c r="I9" s="4"/>
      <c r="J9" s="4">
        <v>165.4</v>
      </c>
      <c r="K9" s="4">
        <v>179.71</v>
      </c>
      <c r="L9" s="4"/>
      <c r="M9" s="4">
        <v>165.4</v>
      </c>
      <c r="N9" s="4">
        <v>179.71</v>
      </c>
      <c r="O9" s="4"/>
      <c r="P9" s="4">
        <v>165.4</v>
      </c>
      <c r="Q9" s="4" t="s">
        <v>64</v>
      </c>
      <c r="R9" s="4"/>
      <c r="S9" s="4"/>
      <c r="T9" s="4" t="s">
        <v>64</v>
      </c>
      <c r="U9" s="4"/>
      <c r="V9" s="4"/>
      <c r="W9" s="4"/>
      <c r="X9" s="4"/>
    </row>
    <row r="10" spans="1:24" x14ac:dyDescent="0.2">
      <c r="A10" s="8" t="s">
        <v>33</v>
      </c>
      <c r="B10" s="8" t="s">
        <v>881</v>
      </c>
      <c r="C10" s="8" t="s">
        <v>929</v>
      </c>
      <c r="D10" s="4"/>
      <c r="E10" s="4">
        <v>216.41</v>
      </c>
      <c r="F10" s="4"/>
      <c r="G10" s="4">
        <v>232.33</v>
      </c>
      <c r="H10" s="4">
        <v>216.41</v>
      </c>
      <c r="I10" s="4"/>
      <c r="J10" s="4">
        <v>232.33</v>
      </c>
      <c r="K10" s="4">
        <v>216.41</v>
      </c>
      <c r="L10" s="4"/>
      <c r="M10" s="4">
        <v>232.33</v>
      </c>
      <c r="N10" s="4">
        <v>216.41</v>
      </c>
      <c r="O10" s="4"/>
      <c r="P10" s="4">
        <v>232.33</v>
      </c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">
      <c r="A11" s="8" t="s">
        <v>33</v>
      </c>
      <c r="B11" s="8" t="s">
        <v>930</v>
      </c>
      <c r="C11" s="8" t="s">
        <v>931</v>
      </c>
      <c r="D11" s="4"/>
      <c r="E11" s="4">
        <v>20.440000000000001</v>
      </c>
      <c r="F11" s="4"/>
      <c r="G11" s="4">
        <v>21.65</v>
      </c>
      <c r="H11" s="4">
        <v>20.440000000000001</v>
      </c>
      <c r="I11" s="4"/>
      <c r="J11" s="4">
        <v>21.65</v>
      </c>
      <c r="K11" s="4">
        <v>20.440000000000001</v>
      </c>
      <c r="L11" s="4"/>
      <c r="M11" s="4">
        <v>21.65</v>
      </c>
      <c r="N11" s="4">
        <v>20.440000000000001</v>
      </c>
      <c r="O11" s="4"/>
      <c r="P11" s="4">
        <v>21.65</v>
      </c>
      <c r="Q11" s="4"/>
      <c r="R11" s="4"/>
      <c r="S11" s="4" t="s">
        <v>62</v>
      </c>
      <c r="T11" s="4"/>
      <c r="U11" s="4"/>
      <c r="V11" s="4"/>
      <c r="W11" s="4"/>
      <c r="X11" s="4"/>
    </row>
    <row r="12" spans="1:24" x14ac:dyDescent="0.2">
      <c r="A12" s="8" t="s">
        <v>33</v>
      </c>
      <c r="B12" s="8" t="s">
        <v>932</v>
      </c>
      <c r="C12" s="8" t="s">
        <v>933</v>
      </c>
      <c r="D12" s="4"/>
      <c r="E12" s="4">
        <v>16.940000000000001</v>
      </c>
      <c r="F12" s="4"/>
      <c r="G12" s="4">
        <v>16.489999999999998</v>
      </c>
      <c r="H12" s="4">
        <v>16.940000000000001</v>
      </c>
      <c r="I12" s="4"/>
      <c r="J12" s="4">
        <v>16.489999999999998</v>
      </c>
      <c r="K12" s="4">
        <v>16.940000000000001</v>
      </c>
      <c r="L12" s="4"/>
      <c r="M12" s="4">
        <v>16.489999999999998</v>
      </c>
      <c r="N12" s="4">
        <v>16.940000000000001</v>
      </c>
      <c r="O12" s="4"/>
      <c r="P12" s="4">
        <v>16.489999999999998</v>
      </c>
      <c r="Q12" s="4"/>
      <c r="R12" s="4"/>
      <c r="S12" s="4"/>
      <c r="T12" s="4"/>
      <c r="U12" s="4"/>
      <c r="V12" s="4"/>
      <c r="W12" s="4"/>
      <c r="X12" s="4"/>
    </row>
    <row r="13" spans="1:24" x14ac:dyDescent="0.2">
      <c r="A13" s="8" t="s">
        <v>33</v>
      </c>
      <c r="B13" s="8" t="s">
        <v>887</v>
      </c>
      <c r="C13" s="8" t="s">
        <v>934</v>
      </c>
      <c r="D13" s="4"/>
      <c r="E13" s="4">
        <v>47.65</v>
      </c>
      <c r="F13" s="4"/>
      <c r="G13" s="4">
        <v>31.61</v>
      </c>
      <c r="H13" s="4">
        <v>47.65</v>
      </c>
      <c r="I13" s="4"/>
      <c r="J13" s="4">
        <v>31.61</v>
      </c>
      <c r="K13" s="4">
        <v>47.65</v>
      </c>
      <c r="L13" s="4"/>
      <c r="M13" s="4">
        <v>31.61</v>
      </c>
      <c r="N13" s="4">
        <v>47.65</v>
      </c>
      <c r="O13" s="4"/>
      <c r="P13" s="4">
        <v>31.61</v>
      </c>
      <c r="Q13" s="4"/>
      <c r="R13" s="4"/>
      <c r="S13" s="4" t="s">
        <v>64</v>
      </c>
      <c r="T13" s="4"/>
      <c r="U13" s="4"/>
      <c r="V13" s="4"/>
      <c r="W13" s="4"/>
      <c r="X13" s="4"/>
    </row>
    <row r="14" spans="1:24" x14ac:dyDescent="0.2">
      <c r="A14" s="8" t="s">
        <v>33</v>
      </c>
      <c r="B14" s="8" t="s">
        <v>889</v>
      </c>
      <c r="C14" s="8" t="s">
        <v>935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1775</v>
      </c>
      <c r="V14" s="4"/>
      <c r="W14" s="4"/>
      <c r="X14" s="4"/>
    </row>
    <row r="15" spans="1:24" x14ac:dyDescent="0.2">
      <c r="A15" s="8" t="s">
        <v>33</v>
      </c>
      <c r="B15" s="8" t="s">
        <v>936</v>
      </c>
      <c r="C15" s="8" t="s">
        <v>937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1775</v>
      </c>
      <c r="V15" s="4"/>
      <c r="W15" s="4"/>
      <c r="X15" s="4"/>
    </row>
    <row r="16" spans="1:24" x14ac:dyDescent="0.2">
      <c r="A16" s="8" t="s">
        <v>33</v>
      </c>
      <c r="B16" s="8" t="s">
        <v>938</v>
      </c>
      <c r="C16" s="8" t="s">
        <v>939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1775</v>
      </c>
      <c r="V16" s="4"/>
      <c r="W16" s="4"/>
      <c r="X16" s="4"/>
    </row>
    <row r="17" spans="1:24" x14ac:dyDescent="0.2">
      <c r="A17" s="8" t="s">
        <v>33</v>
      </c>
      <c r="B17" s="8" t="s">
        <v>940</v>
      </c>
      <c r="C17" s="8" t="s">
        <v>941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1775</v>
      </c>
      <c r="V17" s="4"/>
      <c r="W17" s="4"/>
      <c r="X17" s="4"/>
    </row>
    <row r="18" spans="1:24" x14ac:dyDescent="0.2">
      <c r="A18" s="8" t="s">
        <v>33</v>
      </c>
      <c r="B18" s="8" t="s">
        <v>942</v>
      </c>
      <c r="C18" s="8" t="s">
        <v>943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1775</v>
      </c>
      <c r="V18" s="4"/>
      <c r="W18" s="4"/>
      <c r="X18" s="4"/>
    </row>
    <row r="19" spans="1:24" x14ac:dyDescent="0.2">
      <c r="A19" s="8" t="s">
        <v>33</v>
      </c>
      <c r="B19" s="8" t="s">
        <v>944</v>
      </c>
      <c r="C19" s="8" t="s">
        <v>945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1775</v>
      </c>
      <c r="V19" s="4"/>
      <c r="W19" s="4"/>
      <c r="X19" s="4"/>
    </row>
    <row r="20" spans="1:24" x14ac:dyDescent="0.2">
      <c r="A20" s="8" t="s">
        <v>33</v>
      </c>
      <c r="B20" s="8" t="s">
        <v>946</v>
      </c>
      <c r="C20" s="8" t="s">
        <v>947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1775</v>
      </c>
      <c r="V20" s="4"/>
      <c r="W20" s="4"/>
      <c r="X20" s="4"/>
    </row>
    <row r="21" spans="1:24" x14ac:dyDescent="0.2">
      <c r="A21" s="8" t="s">
        <v>33</v>
      </c>
      <c r="B21" s="8" t="s">
        <v>948</v>
      </c>
      <c r="C21" s="8" t="s">
        <v>949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1775</v>
      </c>
      <c r="V21" s="4"/>
      <c r="W21" s="4"/>
      <c r="X21" s="4"/>
    </row>
    <row r="22" spans="1:24" x14ac:dyDescent="0.2">
      <c r="A22" s="8" t="s">
        <v>33</v>
      </c>
      <c r="B22" s="8" t="s">
        <v>950</v>
      </c>
      <c r="C22" s="8" t="s">
        <v>951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1775</v>
      </c>
      <c r="V22" s="4"/>
      <c r="W22" s="4"/>
      <c r="X22" s="4"/>
    </row>
    <row r="23" spans="1:24" x14ac:dyDescent="0.2">
      <c r="A23" s="8" t="s">
        <v>33</v>
      </c>
      <c r="B23" s="8" t="s">
        <v>952</v>
      </c>
      <c r="C23" s="8" t="s">
        <v>953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1775</v>
      </c>
      <c r="V23" s="4"/>
      <c r="W23" s="4"/>
      <c r="X23" s="4"/>
    </row>
    <row r="24" spans="1:24" x14ac:dyDescent="0.2">
      <c r="A24" s="8" t="s">
        <v>33</v>
      </c>
      <c r="B24" s="8" t="s">
        <v>954</v>
      </c>
      <c r="C24" s="8" t="s">
        <v>955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1775</v>
      </c>
      <c r="V24" s="4"/>
      <c r="W24" s="4"/>
      <c r="X24" s="4"/>
    </row>
    <row r="25" spans="1:24" x14ac:dyDescent="0.2">
      <c r="A25" s="8" t="s">
        <v>33</v>
      </c>
      <c r="B25" s="8" t="s">
        <v>956</v>
      </c>
      <c r="C25" s="8" t="s">
        <v>957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1775</v>
      </c>
      <c r="V25" s="4"/>
      <c r="W25" s="4"/>
      <c r="X25" s="4"/>
    </row>
    <row r="26" spans="1:24" x14ac:dyDescent="0.2">
      <c r="A26" s="8" t="s">
        <v>33</v>
      </c>
      <c r="B26" s="8" t="s">
        <v>958</v>
      </c>
      <c r="C26" s="8" t="s">
        <v>959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1775</v>
      </c>
      <c r="V26" s="4"/>
      <c r="W26" s="4"/>
      <c r="X26" s="4"/>
    </row>
    <row r="27" spans="1:24" x14ac:dyDescent="0.2">
      <c r="A27" s="8" t="s">
        <v>33</v>
      </c>
      <c r="B27" s="8" t="s">
        <v>960</v>
      </c>
      <c r="C27" s="8" t="s">
        <v>961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1775</v>
      </c>
      <c r="V27" s="4"/>
      <c r="W27" s="4"/>
      <c r="X27" s="4"/>
    </row>
    <row r="28" spans="1:24" x14ac:dyDescent="0.2">
      <c r="A28" s="8" t="s">
        <v>33</v>
      </c>
      <c r="B28" s="8" t="s">
        <v>962</v>
      </c>
      <c r="C28" s="8" t="s">
        <v>963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1775</v>
      </c>
      <c r="V28" s="4"/>
      <c r="W28" s="4"/>
      <c r="X28" s="4"/>
    </row>
    <row r="29" spans="1:24" x14ac:dyDescent="0.2">
      <c r="A29" s="8" t="s">
        <v>33</v>
      </c>
      <c r="B29" s="8" t="s">
        <v>964</v>
      </c>
      <c r="C29" s="8" t="s">
        <v>965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33</v>
      </c>
      <c r="B30" s="8" t="s">
        <v>966</v>
      </c>
      <c r="C30" s="8" t="s">
        <v>967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33</v>
      </c>
      <c r="B31" s="8" t="s">
        <v>905</v>
      </c>
      <c r="C31" s="8" t="s">
        <v>968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33</v>
      </c>
      <c r="B32" s="8" t="s">
        <v>969</v>
      </c>
      <c r="C32" s="8" t="s">
        <v>970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33</v>
      </c>
      <c r="B33" s="8" t="s">
        <v>971</v>
      </c>
      <c r="C33" s="8" t="s">
        <v>972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33</v>
      </c>
      <c r="B34" s="8" t="s">
        <v>973</v>
      </c>
      <c r="C34" s="8" t="s">
        <v>974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33</v>
      </c>
      <c r="B35" s="8" t="s">
        <v>975</v>
      </c>
      <c r="C35" s="8" t="s">
        <v>976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33</v>
      </c>
      <c r="B36" s="8" t="s">
        <v>977</v>
      </c>
      <c r="C36" s="8" t="s">
        <v>978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33</v>
      </c>
      <c r="B37" s="8" t="s">
        <v>979</v>
      </c>
      <c r="C37" s="8" t="s">
        <v>980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33</v>
      </c>
      <c r="B38" s="8" t="s">
        <v>981</v>
      </c>
      <c r="C38" s="8" t="s">
        <v>982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33</v>
      </c>
      <c r="B39" s="8" t="s">
        <v>983</v>
      </c>
      <c r="C39" s="8" t="s">
        <v>984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33</v>
      </c>
      <c r="B40" s="8" t="s">
        <v>985</v>
      </c>
      <c r="C40" s="8" t="s">
        <v>986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33</v>
      </c>
      <c r="B41" s="8" t="s">
        <v>987</v>
      </c>
      <c r="C41" s="8" t="s">
        <v>988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33</v>
      </c>
      <c r="B42" s="8" t="s">
        <v>989</v>
      </c>
      <c r="C42" s="8" t="s">
        <v>990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33</v>
      </c>
      <c r="B43" s="8" t="s">
        <v>991</v>
      </c>
      <c r="C43" s="8" t="s">
        <v>992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33</v>
      </c>
      <c r="B44" s="8" t="s">
        <v>993</v>
      </c>
      <c r="C44" s="8" t="s">
        <v>994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33</v>
      </c>
      <c r="B45" s="8" t="s">
        <v>995</v>
      </c>
      <c r="C45" s="8" t="s">
        <v>996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33</v>
      </c>
      <c r="B46" s="8" t="s">
        <v>997</v>
      </c>
      <c r="C46" s="8" t="s">
        <v>998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63"/>
  <sheetViews>
    <sheetView workbookViewId="0">
      <selection activeCell="T10" sqref="T10:T11"/>
    </sheetView>
  </sheetViews>
  <sheetFormatPr baseColWidth="10" defaultColWidth="8.83203125" defaultRowHeight="15" x14ac:dyDescent="0.2"/>
  <cols>
    <col min="1" max="2" width="18" customWidth="1"/>
    <col min="3" max="3" width="93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SUM(E5:G63)</f>
        <v>7164.7699999999986</v>
      </c>
      <c r="G2" s="6"/>
      <c r="H2" s="6"/>
      <c r="I2" s="6">
        <f>SUM(H5:J63)</f>
        <v>7164.7699999999986</v>
      </c>
      <c r="J2" s="6"/>
      <c r="K2" s="6"/>
      <c r="L2" s="6">
        <f>SUM(K5:M63)</f>
        <v>7164.7699999999986</v>
      </c>
      <c r="M2" s="6"/>
      <c r="N2" s="6"/>
      <c r="O2" s="6">
        <f>SUM(N5:P63)</f>
        <v>7164.7699999999986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34</v>
      </c>
      <c r="B5" s="8" t="s">
        <v>999</v>
      </c>
      <c r="C5" s="8" t="s">
        <v>1000</v>
      </c>
      <c r="D5" s="4"/>
      <c r="E5" s="4"/>
      <c r="F5" s="4">
        <v>205.95</v>
      </c>
      <c r="G5" s="4"/>
      <c r="H5" s="4"/>
      <c r="I5" s="4">
        <v>205.95</v>
      </c>
      <c r="J5" s="4"/>
      <c r="K5" s="4"/>
      <c r="L5" s="4">
        <v>205.95</v>
      </c>
      <c r="M5" s="4"/>
      <c r="N5" s="4"/>
      <c r="O5" s="4">
        <v>205.95</v>
      </c>
      <c r="P5" s="4"/>
      <c r="Q5" s="4" t="s">
        <v>63</v>
      </c>
      <c r="R5" s="4" t="s">
        <v>63</v>
      </c>
      <c r="S5" s="4" t="s">
        <v>63</v>
      </c>
      <c r="T5" s="4"/>
      <c r="U5" s="4"/>
      <c r="V5" s="4"/>
      <c r="W5" s="4"/>
      <c r="X5" s="4"/>
    </row>
    <row r="6" spans="1:24" x14ac:dyDescent="0.2">
      <c r="A6" s="8" t="s">
        <v>34</v>
      </c>
      <c r="B6" s="8" t="s">
        <v>101</v>
      </c>
      <c r="C6" s="8" t="s">
        <v>1001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63</v>
      </c>
      <c r="T6" s="4"/>
      <c r="U6" s="4"/>
      <c r="V6" s="4"/>
      <c r="W6" s="4"/>
      <c r="X6" s="4"/>
    </row>
    <row r="7" spans="1:24" x14ac:dyDescent="0.2">
      <c r="A7" s="8" t="s">
        <v>34</v>
      </c>
      <c r="B7" s="8" t="s">
        <v>101</v>
      </c>
      <c r="C7" s="8" t="s">
        <v>1002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 t="s">
        <v>63</v>
      </c>
      <c r="U7" s="4"/>
      <c r="V7" s="4"/>
      <c r="W7" s="4"/>
      <c r="X7" s="4"/>
    </row>
    <row r="8" spans="1:24" x14ac:dyDescent="0.2">
      <c r="A8" s="8" t="s">
        <v>34</v>
      </c>
      <c r="B8" s="8" t="s">
        <v>101</v>
      </c>
      <c r="C8" s="8" t="s">
        <v>697</v>
      </c>
      <c r="D8" s="4"/>
      <c r="E8" s="4"/>
      <c r="F8" s="4">
        <v>66.52</v>
      </c>
      <c r="G8" s="4"/>
      <c r="H8" s="4"/>
      <c r="I8" s="4">
        <v>66.52</v>
      </c>
      <c r="J8" s="4"/>
      <c r="K8" s="4"/>
      <c r="L8" s="4">
        <v>66.52</v>
      </c>
      <c r="M8" s="4"/>
      <c r="N8" s="4"/>
      <c r="O8" s="4">
        <v>66.52</v>
      </c>
      <c r="P8" s="4"/>
      <c r="Q8" s="4" t="s">
        <v>1785</v>
      </c>
      <c r="R8" s="4" t="s">
        <v>1785</v>
      </c>
      <c r="S8" s="4" t="s">
        <v>1785</v>
      </c>
      <c r="T8" s="4" t="s">
        <v>1785</v>
      </c>
      <c r="U8" s="4" t="s">
        <v>1785</v>
      </c>
      <c r="V8" s="4" t="s">
        <v>1785</v>
      </c>
      <c r="W8" s="4" t="s">
        <v>1785</v>
      </c>
      <c r="X8" s="4" t="s">
        <v>1785</v>
      </c>
    </row>
    <row r="9" spans="1:24" x14ac:dyDescent="0.2">
      <c r="A9" s="8" t="s">
        <v>34</v>
      </c>
      <c r="B9" s="8" t="s">
        <v>101</v>
      </c>
      <c r="C9" s="8" t="s">
        <v>698</v>
      </c>
      <c r="D9" s="4"/>
      <c r="E9" s="4"/>
      <c r="F9" s="4">
        <v>71.63</v>
      </c>
      <c r="G9" s="4"/>
      <c r="H9" s="4"/>
      <c r="I9" s="4">
        <v>71.63</v>
      </c>
      <c r="J9" s="4"/>
      <c r="K9" s="4"/>
      <c r="L9" s="4">
        <v>71.63</v>
      </c>
      <c r="M9" s="4"/>
      <c r="N9" s="4"/>
      <c r="O9" s="4">
        <v>71.63</v>
      </c>
      <c r="P9" s="4"/>
      <c r="Q9" s="4" t="s">
        <v>1785</v>
      </c>
      <c r="R9" s="4" t="s">
        <v>1785</v>
      </c>
      <c r="S9" s="4" t="s">
        <v>1785</v>
      </c>
      <c r="T9" s="4" t="s">
        <v>1785</v>
      </c>
      <c r="U9" s="4" t="s">
        <v>1785</v>
      </c>
      <c r="V9" s="4" t="s">
        <v>1785</v>
      </c>
      <c r="W9" s="4" t="s">
        <v>1785</v>
      </c>
      <c r="X9" s="4" t="s">
        <v>1785</v>
      </c>
    </row>
    <row r="10" spans="1:24" x14ac:dyDescent="0.2">
      <c r="A10" s="8" t="s">
        <v>34</v>
      </c>
      <c r="B10" s="8" t="s">
        <v>1796</v>
      </c>
      <c r="C10" s="8" t="s">
        <v>1794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1775</v>
      </c>
      <c r="T10" s="4" t="s">
        <v>1775</v>
      </c>
      <c r="U10" s="4"/>
      <c r="V10" s="4"/>
      <c r="W10" s="4"/>
      <c r="X10" s="4"/>
    </row>
    <row r="11" spans="1:24" x14ac:dyDescent="0.2">
      <c r="A11" s="8" t="s">
        <v>34</v>
      </c>
      <c r="B11" s="8" t="s">
        <v>1797</v>
      </c>
      <c r="C11" s="8" t="s">
        <v>1795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1775</v>
      </c>
      <c r="T11" s="4" t="s">
        <v>1775</v>
      </c>
      <c r="U11" s="4"/>
      <c r="V11" s="4"/>
      <c r="W11" s="4"/>
      <c r="X11" s="4"/>
    </row>
    <row r="12" spans="1:24" x14ac:dyDescent="0.2">
      <c r="A12" s="8" t="s">
        <v>34</v>
      </c>
      <c r="B12" s="8" t="s">
        <v>1003</v>
      </c>
      <c r="C12" s="8" t="s">
        <v>1004</v>
      </c>
      <c r="D12" s="4"/>
      <c r="E12" s="4">
        <v>252.6</v>
      </c>
      <c r="F12" s="4"/>
      <c r="G12" s="4">
        <v>266.81</v>
      </c>
      <c r="H12" s="4">
        <v>252.6</v>
      </c>
      <c r="I12" s="4"/>
      <c r="J12" s="4">
        <v>266.81</v>
      </c>
      <c r="K12" s="4">
        <v>252.6</v>
      </c>
      <c r="L12" s="4"/>
      <c r="M12" s="4">
        <v>266.81</v>
      </c>
      <c r="N12" s="4">
        <v>252.6</v>
      </c>
      <c r="O12" s="4"/>
      <c r="P12" s="4">
        <v>266.81</v>
      </c>
      <c r="Q12" s="4" t="s">
        <v>62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">
      <c r="A13" s="8" t="s">
        <v>34</v>
      </c>
      <c r="B13" s="8" t="s">
        <v>1005</v>
      </c>
      <c r="C13" s="8" t="s">
        <v>1006</v>
      </c>
      <c r="D13" s="4"/>
      <c r="E13" s="4">
        <v>252.99</v>
      </c>
      <c r="F13" s="4"/>
      <c r="G13" s="4">
        <v>257.23</v>
      </c>
      <c r="H13" s="4">
        <v>252.99</v>
      </c>
      <c r="I13" s="4"/>
      <c r="J13" s="4">
        <v>257.23</v>
      </c>
      <c r="K13" s="4">
        <v>252.99</v>
      </c>
      <c r="L13" s="4"/>
      <c r="M13" s="4">
        <v>257.23</v>
      </c>
      <c r="N13" s="4">
        <v>252.99</v>
      </c>
      <c r="O13" s="4"/>
      <c r="P13" s="4">
        <v>257.23</v>
      </c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8" t="s">
        <v>34</v>
      </c>
      <c r="B14" s="8" t="s">
        <v>1007</v>
      </c>
      <c r="C14" s="8" t="s">
        <v>1008</v>
      </c>
      <c r="D14" s="4"/>
      <c r="E14" s="4">
        <v>252.66</v>
      </c>
      <c r="F14" s="4"/>
      <c r="G14" s="4">
        <v>259.58999999999997</v>
      </c>
      <c r="H14" s="4">
        <v>252.66</v>
      </c>
      <c r="I14" s="4"/>
      <c r="J14" s="4">
        <v>259.58999999999997</v>
      </c>
      <c r="K14" s="4">
        <v>252.66</v>
      </c>
      <c r="L14" s="4"/>
      <c r="M14" s="4">
        <v>259.58999999999997</v>
      </c>
      <c r="N14" s="4">
        <v>252.66</v>
      </c>
      <c r="O14" s="4"/>
      <c r="P14" s="4">
        <v>259.58999999999997</v>
      </c>
      <c r="Q14" s="4"/>
      <c r="R14" s="4"/>
      <c r="S14" s="4"/>
      <c r="T14" s="4" t="s">
        <v>62</v>
      </c>
      <c r="U14" s="4"/>
      <c r="V14" s="4"/>
      <c r="W14" s="4"/>
      <c r="X14" s="4"/>
    </row>
    <row r="15" spans="1:24" x14ac:dyDescent="0.2">
      <c r="A15" s="8" t="s">
        <v>34</v>
      </c>
      <c r="B15" s="8" t="s">
        <v>1009</v>
      </c>
      <c r="C15" s="8" t="s">
        <v>1010</v>
      </c>
      <c r="D15" s="4"/>
      <c r="E15" s="4">
        <v>271.24</v>
      </c>
      <c r="F15" s="4"/>
      <c r="G15" s="4">
        <v>252.16</v>
      </c>
      <c r="H15" s="4">
        <v>271.24</v>
      </c>
      <c r="I15" s="4"/>
      <c r="J15" s="4">
        <v>252.16</v>
      </c>
      <c r="K15" s="4">
        <v>271.24</v>
      </c>
      <c r="L15" s="4"/>
      <c r="M15" s="4">
        <v>252.16</v>
      </c>
      <c r="N15" s="4">
        <v>271.24</v>
      </c>
      <c r="O15" s="4"/>
      <c r="P15" s="4">
        <v>252.16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">
      <c r="A16" s="8" t="s">
        <v>34</v>
      </c>
      <c r="B16" s="8" t="s">
        <v>1011</v>
      </c>
      <c r="C16" s="8" t="s">
        <v>1012</v>
      </c>
      <c r="D16" s="4"/>
      <c r="E16" s="4">
        <v>240.85</v>
      </c>
      <c r="F16" s="4"/>
      <c r="G16" s="4">
        <v>255.84</v>
      </c>
      <c r="H16" s="4">
        <v>240.85</v>
      </c>
      <c r="I16" s="4"/>
      <c r="J16" s="4">
        <v>255.84</v>
      </c>
      <c r="K16" s="4">
        <v>240.85</v>
      </c>
      <c r="L16" s="4"/>
      <c r="M16" s="4">
        <v>255.84</v>
      </c>
      <c r="N16" s="4">
        <v>240.85</v>
      </c>
      <c r="O16" s="4"/>
      <c r="P16" s="4">
        <v>255.84</v>
      </c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8" t="s">
        <v>34</v>
      </c>
      <c r="B17" s="8" t="s">
        <v>1013</v>
      </c>
      <c r="C17" s="8" t="s">
        <v>1014</v>
      </c>
      <c r="D17" s="4"/>
      <c r="E17" s="4">
        <v>272.04000000000002</v>
      </c>
      <c r="F17" s="4"/>
      <c r="G17" s="4">
        <v>248.79</v>
      </c>
      <c r="H17" s="4">
        <v>272.04000000000002</v>
      </c>
      <c r="I17" s="4"/>
      <c r="J17" s="4">
        <v>248.79</v>
      </c>
      <c r="K17" s="4">
        <v>272.04000000000002</v>
      </c>
      <c r="L17" s="4"/>
      <c r="M17" s="4">
        <v>248.79</v>
      </c>
      <c r="N17" s="4">
        <v>272.04000000000002</v>
      </c>
      <c r="O17" s="4"/>
      <c r="P17" s="4">
        <v>248.79</v>
      </c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s="8" t="s">
        <v>34</v>
      </c>
      <c r="B18" s="8" t="s">
        <v>1015</v>
      </c>
      <c r="C18" s="8" t="s">
        <v>1016</v>
      </c>
      <c r="D18" s="4"/>
      <c r="E18" s="4">
        <v>257.33</v>
      </c>
      <c r="F18" s="4"/>
      <c r="G18" s="4">
        <v>252.22</v>
      </c>
      <c r="H18" s="4">
        <v>257.33</v>
      </c>
      <c r="I18" s="4"/>
      <c r="J18" s="4">
        <v>252.22</v>
      </c>
      <c r="K18" s="4">
        <v>257.33</v>
      </c>
      <c r="L18" s="4"/>
      <c r="M18" s="4">
        <v>252.22</v>
      </c>
      <c r="N18" s="4">
        <v>257.33</v>
      </c>
      <c r="O18" s="4"/>
      <c r="P18" s="4">
        <v>252.22</v>
      </c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8" t="s">
        <v>34</v>
      </c>
      <c r="B19" s="8" t="s">
        <v>1017</v>
      </c>
      <c r="C19" s="8" t="s">
        <v>1018</v>
      </c>
      <c r="D19" s="4"/>
      <c r="E19" s="4">
        <v>259.89</v>
      </c>
      <c r="F19" s="4"/>
      <c r="G19" s="4">
        <v>267.73</v>
      </c>
      <c r="H19" s="4">
        <v>259.89</v>
      </c>
      <c r="I19" s="4"/>
      <c r="J19" s="4">
        <v>267.73</v>
      </c>
      <c r="K19" s="4">
        <v>259.89</v>
      </c>
      <c r="L19" s="4"/>
      <c r="M19" s="4">
        <v>267.73</v>
      </c>
      <c r="N19" s="4">
        <v>259.89</v>
      </c>
      <c r="O19" s="4"/>
      <c r="P19" s="4">
        <v>267.73</v>
      </c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8" t="s">
        <v>34</v>
      </c>
      <c r="B20" s="8" t="s">
        <v>1019</v>
      </c>
      <c r="C20" s="8" t="s">
        <v>1020</v>
      </c>
      <c r="D20" s="4"/>
      <c r="E20" s="4">
        <v>265.48</v>
      </c>
      <c r="F20" s="4"/>
      <c r="G20" s="4">
        <v>251.96</v>
      </c>
      <c r="H20" s="4">
        <v>265.48</v>
      </c>
      <c r="I20" s="4"/>
      <c r="J20" s="4">
        <v>251.96</v>
      </c>
      <c r="K20" s="4">
        <v>265.48</v>
      </c>
      <c r="L20" s="4"/>
      <c r="M20" s="4">
        <v>251.96</v>
      </c>
      <c r="N20" s="4">
        <v>265.48</v>
      </c>
      <c r="O20" s="4"/>
      <c r="P20" s="4">
        <v>251.96</v>
      </c>
      <c r="Q20" s="4" t="s">
        <v>62</v>
      </c>
      <c r="R20" s="4"/>
      <c r="S20" s="4"/>
      <c r="T20" s="4" t="s">
        <v>64</v>
      </c>
      <c r="U20" s="4"/>
      <c r="V20" s="4"/>
      <c r="W20" s="4"/>
      <c r="X20" s="4"/>
    </row>
    <row r="21" spans="1:24" x14ac:dyDescent="0.2">
      <c r="A21" s="8" t="s">
        <v>34</v>
      </c>
      <c r="B21" s="8" t="s">
        <v>1021</v>
      </c>
      <c r="C21" s="8" t="s">
        <v>1022</v>
      </c>
      <c r="D21" s="4"/>
      <c r="E21" s="4">
        <v>415.34</v>
      </c>
      <c r="F21" s="4"/>
      <c r="G21" s="4">
        <v>405.17</v>
      </c>
      <c r="H21" s="4">
        <v>415.34</v>
      </c>
      <c r="I21" s="4"/>
      <c r="J21" s="4">
        <v>405.17</v>
      </c>
      <c r="K21" s="4">
        <v>415.34</v>
      </c>
      <c r="L21" s="4"/>
      <c r="M21" s="4">
        <v>405.17</v>
      </c>
      <c r="N21" s="4">
        <v>415.34</v>
      </c>
      <c r="O21" s="4"/>
      <c r="P21" s="4">
        <v>405.17</v>
      </c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">
      <c r="A22" s="8" t="s">
        <v>34</v>
      </c>
      <c r="B22" s="8" t="s">
        <v>1023</v>
      </c>
      <c r="C22" s="8" t="s">
        <v>1024</v>
      </c>
      <c r="D22" s="4"/>
      <c r="E22" s="4">
        <v>69.23</v>
      </c>
      <c r="F22" s="4"/>
      <c r="G22" s="4">
        <v>51.39</v>
      </c>
      <c r="H22" s="4">
        <v>69.23</v>
      </c>
      <c r="I22" s="4"/>
      <c r="J22" s="4">
        <v>51.39</v>
      </c>
      <c r="K22" s="4">
        <v>69.23</v>
      </c>
      <c r="L22" s="4"/>
      <c r="M22" s="4">
        <v>51.39</v>
      </c>
      <c r="N22" s="4">
        <v>69.23</v>
      </c>
      <c r="O22" s="4"/>
      <c r="P22" s="4">
        <v>51.39</v>
      </c>
      <c r="Q22" s="4"/>
      <c r="R22" s="4"/>
      <c r="S22" s="4"/>
      <c r="T22" s="4" t="s">
        <v>62</v>
      </c>
      <c r="U22" s="4"/>
      <c r="V22" s="4"/>
      <c r="W22" s="4"/>
      <c r="X22" s="4"/>
    </row>
    <row r="23" spans="1:24" x14ac:dyDescent="0.2">
      <c r="A23" s="8" t="s">
        <v>34</v>
      </c>
      <c r="B23" s="8" t="s">
        <v>1025</v>
      </c>
      <c r="C23" s="8" t="s">
        <v>1026</v>
      </c>
      <c r="D23" s="4"/>
      <c r="E23" s="4">
        <v>53.08</v>
      </c>
      <c r="F23" s="4"/>
      <c r="G23" s="4">
        <v>69.099999999999994</v>
      </c>
      <c r="H23" s="4">
        <v>53.08</v>
      </c>
      <c r="I23" s="4"/>
      <c r="J23" s="4">
        <v>69.099999999999994</v>
      </c>
      <c r="K23" s="4">
        <v>53.08</v>
      </c>
      <c r="L23" s="4"/>
      <c r="M23" s="4">
        <v>69.099999999999994</v>
      </c>
      <c r="N23" s="4">
        <v>53.08</v>
      </c>
      <c r="O23" s="4"/>
      <c r="P23" s="4">
        <v>69.099999999999994</v>
      </c>
      <c r="Q23" s="4"/>
      <c r="R23" s="4"/>
      <c r="S23" s="4"/>
      <c r="T23" s="4"/>
      <c r="U23" s="4"/>
      <c r="V23" s="4"/>
      <c r="W23" s="4"/>
      <c r="X23" s="4"/>
    </row>
    <row r="24" spans="1:24" x14ac:dyDescent="0.2">
      <c r="A24" s="8" t="s">
        <v>34</v>
      </c>
      <c r="B24" s="8" t="s">
        <v>1027</v>
      </c>
      <c r="C24" s="8" t="s">
        <v>1028</v>
      </c>
      <c r="D24" s="4"/>
      <c r="E24" s="4">
        <v>66.650000000000006</v>
      </c>
      <c r="F24" s="4"/>
      <c r="G24" s="4">
        <v>50.75</v>
      </c>
      <c r="H24" s="4">
        <v>66.650000000000006</v>
      </c>
      <c r="I24" s="4"/>
      <c r="J24" s="4">
        <v>50.75</v>
      </c>
      <c r="K24" s="4">
        <v>66.650000000000006</v>
      </c>
      <c r="L24" s="4"/>
      <c r="M24" s="4">
        <v>50.75</v>
      </c>
      <c r="N24" s="4">
        <v>66.650000000000006</v>
      </c>
      <c r="O24" s="4"/>
      <c r="P24" s="4">
        <v>50.75</v>
      </c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8" t="s">
        <v>34</v>
      </c>
      <c r="B25" s="8" t="s">
        <v>1029</v>
      </c>
      <c r="C25" s="8" t="s">
        <v>1030</v>
      </c>
      <c r="D25" s="4"/>
      <c r="E25" s="4">
        <v>54.94</v>
      </c>
      <c r="F25" s="4"/>
      <c r="G25" s="4">
        <v>67.040000000000006</v>
      </c>
      <c r="H25" s="4">
        <v>54.94</v>
      </c>
      <c r="I25" s="4"/>
      <c r="J25" s="4">
        <v>67.040000000000006</v>
      </c>
      <c r="K25" s="4">
        <v>54.94</v>
      </c>
      <c r="L25" s="4"/>
      <c r="M25" s="4">
        <v>67.040000000000006</v>
      </c>
      <c r="N25" s="4">
        <v>54.94</v>
      </c>
      <c r="O25" s="4"/>
      <c r="P25" s="4">
        <v>67.040000000000006</v>
      </c>
      <c r="Q25" s="4" t="s">
        <v>62</v>
      </c>
      <c r="R25" s="4"/>
      <c r="S25" s="4"/>
      <c r="T25" s="4"/>
      <c r="U25" s="4"/>
      <c r="V25" s="4"/>
      <c r="W25" s="4"/>
      <c r="X25" s="4"/>
    </row>
    <row r="26" spans="1:24" x14ac:dyDescent="0.2">
      <c r="A26" s="8" t="s">
        <v>34</v>
      </c>
      <c r="B26" s="8" t="s">
        <v>1031</v>
      </c>
      <c r="C26" s="8" t="s">
        <v>1032</v>
      </c>
      <c r="D26" s="4"/>
      <c r="E26" s="4">
        <v>183.43</v>
      </c>
      <c r="F26" s="4"/>
      <c r="G26" s="4">
        <v>175.9</v>
      </c>
      <c r="H26" s="4">
        <v>183.43</v>
      </c>
      <c r="I26" s="4"/>
      <c r="J26" s="4">
        <v>175.9</v>
      </c>
      <c r="K26" s="4">
        <v>183.43</v>
      </c>
      <c r="L26" s="4"/>
      <c r="M26" s="4">
        <v>175.9</v>
      </c>
      <c r="N26" s="4">
        <v>183.43</v>
      </c>
      <c r="O26" s="4"/>
      <c r="P26" s="4">
        <v>175.9</v>
      </c>
      <c r="Q26" s="4"/>
      <c r="R26" s="4"/>
      <c r="S26" s="4"/>
      <c r="T26" s="4"/>
      <c r="U26" s="4"/>
      <c r="V26" s="4"/>
      <c r="W26" s="4"/>
      <c r="X26" s="4"/>
    </row>
    <row r="27" spans="1:24" x14ac:dyDescent="0.2">
      <c r="A27" s="8" t="s">
        <v>34</v>
      </c>
      <c r="B27" s="8" t="s">
        <v>1033</v>
      </c>
      <c r="C27" s="8" t="s">
        <v>1034</v>
      </c>
      <c r="D27" s="4"/>
      <c r="E27" s="4">
        <v>168.39</v>
      </c>
      <c r="F27" s="4"/>
      <c r="G27" s="4">
        <v>178.23</v>
      </c>
      <c r="H27" s="4">
        <v>168.39</v>
      </c>
      <c r="I27" s="4"/>
      <c r="J27" s="4">
        <v>178.23</v>
      </c>
      <c r="K27" s="4">
        <v>168.39</v>
      </c>
      <c r="L27" s="4"/>
      <c r="M27" s="4">
        <v>178.23</v>
      </c>
      <c r="N27" s="4">
        <v>168.39</v>
      </c>
      <c r="O27" s="4"/>
      <c r="P27" s="4">
        <v>178.23</v>
      </c>
      <c r="Q27" s="4"/>
      <c r="R27" s="4"/>
      <c r="S27" s="4"/>
      <c r="T27" s="4"/>
      <c r="U27" s="4"/>
      <c r="V27" s="4"/>
      <c r="W27" s="4"/>
      <c r="X27" s="4"/>
    </row>
    <row r="28" spans="1:24" x14ac:dyDescent="0.2">
      <c r="A28" s="8" t="s">
        <v>34</v>
      </c>
      <c r="B28" s="8" t="s">
        <v>1035</v>
      </c>
      <c r="C28" s="8" t="s">
        <v>1036</v>
      </c>
      <c r="D28" s="4"/>
      <c r="E28" s="4">
        <v>92.93</v>
      </c>
      <c r="F28" s="4"/>
      <c r="G28" s="4">
        <v>81.69</v>
      </c>
      <c r="H28" s="4">
        <v>92.93</v>
      </c>
      <c r="I28" s="4"/>
      <c r="J28" s="4">
        <v>81.69</v>
      </c>
      <c r="K28" s="4">
        <v>92.93</v>
      </c>
      <c r="L28" s="4"/>
      <c r="M28" s="4">
        <v>81.69</v>
      </c>
      <c r="N28" s="4">
        <v>92.93</v>
      </c>
      <c r="O28" s="4"/>
      <c r="P28" s="4">
        <v>81.69</v>
      </c>
      <c r="Q28" s="4"/>
      <c r="R28" s="4"/>
      <c r="S28" s="4" t="s">
        <v>64</v>
      </c>
      <c r="T28" s="4"/>
      <c r="U28" s="4"/>
      <c r="V28" s="4"/>
      <c r="W28" s="4"/>
      <c r="X28" s="4"/>
    </row>
    <row r="29" spans="1:24" x14ac:dyDescent="0.2">
      <c r="A29" s="8" t="s">
        <v>34</v>
      </c>
      <c r="B29" s="8" t="s">
        <v>1037</v>
      </c>
      <c r="C29" s="8" t="s">
        <v>1038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1775</v>
      </c>
      <c r="V29" s="4"/>
      <c r="W29" s="4"/>
      <c r="X29" s="4"/>
    </row>
    <row r="30" spans="1:24" x14ac:dyDescent="0.2">
      <c r="A30" s="8" t="s">
        <v>34</v>
      </c>
      <c r="B30" s="8" t="s">
        <v>1039</v>
      </c>
      <c r="C30" s="8" t="s">
        <v>1040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1775</v>
      </c>
      <c r="V30" s="4"/>
      <c r="W30" s="4"/>
      <c r="X30" s="4"/>
    </row>
    <row r="31" spans="1:24" x14ac:dyDescent="0.2">
      <c r="A31" s="8" t="s">
        <v>34</v>
      </c>
      <c r="B31" s="8" t="s">
        <v>1041</v>
      </c>
      <c r="C31" s="8" t="s">
        <v>1042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1775</v>
      </c>
      <c r="V31" s="4"/>
      <c r="W31" s="4"/>
      <c r="X31" s="4"/>
    </row>
    <row r="32" spans="1:24" x14ac:dyDescent="0.2">
      <c r="A32" s="8" t="s">
        <v>34</v>
      </c>
      <c r="B32" s="8" t="s">
        <v>1043</v>
      </c>
      <c r="C32" s="8" t="s">
        <v>1044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1775</v>
      </c>
      <c r="V32" s="4"/>
      <c r="W32" s="4"/>
      <c r="X32" s="4"/>
    </row>
    <row r="33" spans="1:24" x14ac:dyDescent="0.2">
      <c r="A33" s="8" t="s">
        <v>34</v>
      </c>
      <c r="B33" s="8" t="s">
        <v>1045</v>
      </c>
      <c r="C33" s="8" t="s">
        <v>1046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1775</v>
      </c>
      <c r="V33" s="4"/>
      <c r="W33" s="4"/>
      <c r="X33" s="4"/>
    </row>
    <row r="34" spans="1:24" x14ac:dyDescent="0.2">
      <c r="A34" s="8" t="s">
        <v>34</v>
      </c>
      <c r="B34" s="8" t="s">
        <v>1047</v>
      </c>
      <c r="C34" s="8" t="s">
        <v>1048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1775</v>
      </c>
      <c r="V34" s="4"/>
      <c r="W34" s="4"/>
      <c r="X34" s="4"/>
    </row>
    <row r="35" spans="1:24" x14ac:dyDescent="0.2">
      <c r="A35" s="8" t="s">
        <v>34</v>
      </c>
      <c r="B35" s="8" t="s">
        <v>1049</v>
      </c>
      <c r="C35" s="8" t="s">
        <v>1050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1775</v>
      </c>
      <c r="V35" s="4"/>
      <c r="W35" s="4"/>
      <c r="X35" s="4"/>
    </row>
    <row r="36" spans="1:24" x14ac:dyDescent="0.2">
      <c r="A36" s="8" t="s">
        <v>34</v>
      </c>
      <c r="B36" s="8" t="s">
        <v>1051</v>
      </c>
      <c r="C36" s="8" t="s">
        <v>1052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1775</v>
      </c>
      <c r="V36" s="4"/>
      <c r="W36" s="4"/>
      <c r="X36" s="4"/>
    </row>
    <row r="37" spans="1:24" x14ac:dyDescent="0.2">
      <c r="A37" s="8" t="s">
        <v>34</v>
      </c>
      <c r="B37" s="8" t="s">
        <v>1053</v>
      </c>
      <c r="C37" s="8" t="s">
        <v>1054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1775</v>
      </c>
      <c r="V37" s="4"/>
      <c r="W37" s="4"/>
      <c r="X37" s="4"/>
    </row>
    <row r="38" spans="1:24" x14ac:dyDescent="0.2">
      <c r="A38" s="8" t="s">
        <v>34</v>
      </c>
      <c r="B38" s="8" t="s">
        <v>1055</v>
      </c>
      <c r="C38" s="8" t="s">
        <v>1056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1775</v>
      </c>
      <c r="V38" s="4"/>
      <c r="W38" s="4"/>
      <c r="X38" s="4"/>
    </row>
    <row r="39" spans="1:24" x14ac:dyDescent="0.2">
      <c r="A39" s="8" t="s">
        <v>34</v>
      </c>
      <c r="B39" s="8" t="s">
        <v>1057</v>
      </c>
      <c r="C39" s="8" t="s">
        <v>1058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1775</v>
      </c>
      <c r="V39" s="4"/>
      <c r="W39" s="4"/>
      <c r="X39" s="4"/>
    </row>
    <row r="40" spans="1:24" x14ac:dyDescent="0.2">
      <c r="A40" s="8" t="s">
        <v>34</v>
      </c>
      <c r="B40" s="8" t="s">
        <v>1059</v>
      </c>
      <c r="C40" s="8" t="s">
        <v>1060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1775</v>
      </c>
      <c r="V40" s="4"/>
      <c r="W40" s="4"/>
      <c r="X40" s="4"/>
    </row>
    <row r="41" spans="1:24" x14ac:dyDescent="0.2">
      <c r="A41" s="8" t="s">
        <v>34</v>
      </c>
      <c r="B41" s="8" t="s">
        <v>1061</v>
      </c>
      <c r="C41" s="8" t="s">
        <v>1062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1775</v>
      </c>
      <c r="V41" s="4"/>
      <c r="W41" s="4"/>
      <c r="X41" s="4"/>
    </row>
    <row r="42" spans="1:24" x14ac:dyDescent="0.2">
      <c r="A42" s="8" t="s">
        <v>34</v>
      </c>
      <c r="B42" s="8" t="s">
        <v>1063</v>
      </c>
      <c r="C42" s="8" t="s">
        <v>1064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1775</v>
      </c>
      <c r="V42" s="4"/>
      <c r="W42" s="4"/>
      <c r="X42" s="4"/>
    </row>
    <row r="43" spans="1:24" x14ac:dyDescent="0.2">
      <c r="A43" s="8" t="s">
        <v>34</v>
      </c>
      <c r="B43" s="8" t="s">
        <v>1065</v>
      </c>
      <c r="C43" s="8" t="s">
        <v>1066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1775</v>
      </c>
      <c r="V43" s="4"/>
      <c r="W43" s="4"/>
      <c r="X43" s="4"/>
    </row>
    <row r="44" spans="1:24" x14ac:dyDescent="0.2">
      <c r="A44" s="8" t="s">
        <v>34</v>
      </c>
      <c r="B44" s="8" t="s">
        <v>1067</v>
      </c>
      <c r="C44" s="8" t="s">
        <v>1068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1775</v>
      </c>
      <c r="V44" s="4"/>
      <c r="W44" s="4"/>
      <c r="X44" s="4"/>
    </row>
    <row r="45" spans="1:24" x14ac:dyDescent="0.2">
      <c r="A45" s="8" t="s">
        <v>34</v>
      </c>
      <c r="B45" s="8" t="s">
        <v>1069</v>
      </c>
      <c r="C45" s="8" t="s">
        <v>1070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1775</v>
      </c>
      <c r="V45" s="4"/>
      <c r="W45" s="4"/>
      <c r="X45" s="4"/>
    </row>
    <row r="46" spans="1:24" x14ac:dyDescent="0.2">
      <c r="A46" s="8" t="s">
        <v>34</v>
      </c>
      <c r="B46" s="8" t="s">
        <v>1071</v>
      </c>
      <c r="C46" s="8" t="s">
        <v>1072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1775</v>
      </c>
      <c r="V46" s="4"/>
      <c r="W46" s="4"/>
      <c r="X46" s="4"/>
    </row>
    <row r="47" spans="1:24" x14ac:dyDescent="0.2">
      <c r="A47" s="8" t="s">
        <v>34</v>
      </c>
      <c r="B47" s="8" t="s">
        <v>1073</v>
      </c>
      <c r="C47" s="8" t="s">
        <v>1074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1775</v>
      </c>
      <c r="V47" s="4"/>
      <c r="W47" s="4"/>
      <c r="X47" s="4"/>
    </row>
    <row r="48" spans="1:24" x14ac:dyDescent="0.2">
      <c r="A48" s="8" t="s">
        <v>34</v>
      </c>
      <c r="B48" s="8" t="s">
        <v>1075</v>
      </c>
      <c r="C48" s="8" t="s">
        <v>1076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1775</v>
      </c>
      <c r="V48" s="4"/>
      <c r="W48" s="4"/>
      <c r="X48" s="4"/>
    </row>
    <row r="49" spans="1:24" x14ac:dyDescent="0.2">
      <c r="A49" s="8" t="s">
        <v>34</v>
      </c>
      <c r="B49" s="8" t="s">
        <v>1077</v>
      </c>
      <c r="C49" s="8" t="s">
        <v>1078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1775</v>
      </c>
      <c r="V49" s="4"/>
      <c r="W49" s="4"/>
      <c r="X49" s="4"/>
    </row>
    <row r="50" spans="1:24" x14ac:dyDescent="0.2">
      <c r="A50" s="8" t="s">
        <v>34</v>
      </c>
      <c r="B50" s="8" t="s">
        <v>1079</v>
      </c>
      <c r="C50" s="8" t="s">
        <v>1080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1775</v>
      </c>
      <c r="V50" s="4"/>
      <c r="W50" s="4"/>
      <c r="X50" s="4"/>
    </row>
    <row r="51" spans="1:24" x14ac:dyDescent="0.2">
      <c r="A51" s="8" t="s">
        <v>34</v>
      </c>
      <c r="B51" s="8" t="s">
        <v>1081</v>
      </c>
      <c r="C51" s="8" t="s">
        <v>1082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1775</v>
      </c>
      <c r="V51" s="4"/>
      <c r="W51" s="4"/>
      <c r="X51" s="4"/>
    </row>
    <row r="52" spans="1:24" x14ac:dyDescent="0.2">
      <c r="A52" s="8" t="s">
        <v>34</v>
      </c>
      <c r="B52" s="8" t="s">
        <v>1083</v>
      </c>
      <c r="C52" s="8" t="s">
        <v>1084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1775</v>
      </c>
      <c r="V52" s="4"/>
      <c r="W52" s="4"/>
      <c r="X52" s="4"/>
    </row>
    <row r="53" spans="1:24" x14ac:dyDescent="0.2">
      <c r="A53" s="8" t="s">
        <v>34</v>
      </c>
      <c r="B53" s="8" t="s">
        <v>1085</v>
      </c>
      <c r="C53" s="8" t="s">
        <v>1086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1775</v>
      </c>
      <c r="V53" s="4"/>
      <c r="W53" s="4"/>
      <c r="X53" s="4"/>
    </row>
    <row r="54" spans="1:24" x14ac:dyDescent="0.2">
      <c r="A54" s="8" t="s">
        <v>34</v>
      </c>
      <c r="B54" s="8" t="s">
        <v>1087</v>
      </c>
      <c r="C54" s="8" t="s">
        <v>1088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1775</v>
      </c>
      <c r="V54" s="4"/>
      <c r="W54" s="4"/>
      <c r="X54" s="4"/>
    </row>
    <row r="55" spans="1:24" x14ac:dyDescent="0.2">
      <c r="A55" s="8" t="s">
        <v>34</v>
      </c>
      <c r="B55" s="8" t="s">
        <v>1089</v>
      </c>
      <c r="C55" s="8" t="s">
        <v>1090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1775</v>
      </c>
      <c r="V55" s="4"/>
      <c r="W55" s="4"/>
      <c r="X55" s="4"/>
    </row>
    <row r="56" spans="1:24" x14ac:dyDescent="0.2">
      <c r="A56" s="8" t="s">
        <v>34</v>
      </c>
      <c r="B56" s="8" t="s">
        <v>1091</v>
      </c>
      <c r="C56" s="8" t="s">
        <v>1092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1775</v>
      </c>
      <c r="V56" s="4"/>
      <c r="W56" s="4"/>
      <c r="X56" s="4"/>
    </row>
    <row r="57" spans="1:24" x14ac:dyDescent="0.2">
      <c r="A57" s="8" t="s">
        <v>34</v>
      </c>
      <c r="B57" s="8" t="s">
        <v>1093</v>
      </c>
      <c r="C57" s="8" t="s">
        <v>1094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1775</v>
      </c>
      <c r="V57" s="4"/>
      <c r="W57" s="4"/>
      <c r="X57" s="4"/>
    </row>
    <row r="58" spans="1:24" x14ac:dyDescent="0.2">
      <c r="A58" s="8" t="s">
        <v>34</v>
      </c>
      <c r="B58" s="8" t="s">
        <v>1095</v>
      </c>
      <c r="C58" s="8" t="s">
        <v>1096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 t="s">
        <v>1775</v>
      </c>
      <c r="V58" s="4"/>
      <c r="W58" s="4"/>
      <c r="X58" s="4"/>
    </row>
    <row r="59" spans="1:24" x14ac:dyDescent="0.2">
      <c r="A59" s="8" t="s">
        <v>34</v>
      </c>
      <c r="B59" s="8" t="s">
        <v>1097</v>
      </c>
      <c r="C59" s="8" t="s">
        <v>1098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1775</v>
      </c>
      <c r="V59" s="4"/>
      <c r="W59" s="4"/>
      <c r="X59" s="4"/>
    </row>
    <row r="60" spans="1:24" x14ac:dyDescent="0.2">
      <c r="A60" s="8" t="s">
        <v>34</v>
      </c>
      <c r="B60" s="8" t="s">
        <v>1099</v>
      </c>
      <c r="C60" s="8" t="s">
        <v>1100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1775</v>
      </c>
      <c r="V60" s="4"/>
      <c r="W60" s="4"/>
      <c r="X60" s="4"/>
    </row>
    <row r="61" spans="1:24" x14ac:dyDescent="0.2">
      <c r="A61" s="8" t="s">
        <v>34</v>
      </c>
      <c r="B61" s="8" t="s">
        <v>1101</v>
      </c>
      <c r="C61" s="8" t="s">
        <v>1102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1775</v>
      </c>
      <c r="V61" s="4"/>
      <c r="W61" s="4"/>
      <c r="X61" s="4"/>
    </row>
    <row r="62" spans="1:24" x14ac:dyDescent="0.2">
      <c r="A62" s="8" t="s">
        <v>34</v>
      </c>
      <c r="B62" s="8" t="s">
        <v>1103</v>
      </c>
      <c r="C62" s="8" t="s">
        <v>1104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1775</v>
      </c>
      <c r="V62" s="4"/>
      <c r="W62" s="4"/>
      <c r="X62" s="4"/>
    </row>
    <row r="63" spans="1:24" x14ac:dyDescent="0.2">
      <c r="A63" s="8" t="s">
        <v>34</v>
      </c>
      <c r="B63" s="8" t="s">
        <v>1105</v>
      </c>
      <c r="C63" s="8" t="s">
        <v>1106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1775</v>
      </c>
      <c r="V63" s="4"/>
      <c r="W63" s="4"/>
      <c r="X6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5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7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SUM(E5:G5)</f>
        <v>264.95</v>
      </c>
      <c r="G2" s="6"/>
      <c r="H2" s="6"/>
      <c r="I2" s="6">
        <f>SUM(H5:J5)</f>
        <v>264.95</v>
      </c>
      <c r="J2" s="6"/>
      <c r="K2" s="6"/>
      <c r="L2" s="6">
        <f>SUM(K5:M5)</f>
        <v>264.95</v>
      </c>
      <c r="M2" s="6"/>
      <c r="N2" s="6"/>
      <c r="O2" s="6">
        <f>SUM(N5:P5)</f>
        <v>264.95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35</v>
      </c>
      <c r="B5" s="8" t="s">
        <v>1107</v>
      </c>
      <c r="C5" s="8" t="s">
        <v>1108</v>
      </c>
      <c r="D5" s="4"/>
      <c r="E5" s="4"/>
      <c r="F5" s="4">
        <v>264.95</v>
      </c>
      <c r="G5" s="4"/>
      <c r="H5" s="4"/>
      <c r="I5" s="4">
        <v>264.95</v>
      </c>
      <c r="J5" s="4"/>
      <c r="K5" s="4"/>
      <c r="L5" s="4">
        <v>264.95</v>
      </c>
      <c r="M5" s="4"/>
      <c r="N5" s="4"/>
      <c r="O5" s="4">
        <v>264.95</v>
      </c>
      <c r="P5" s="4"/>
      <c r="Q5" s="4" t="s">
        <v>63</v>
      </c>
      <c r="R5" s="4" t="s">
        <v>63</v>
      </c>
      <c r="S5" s="4" t="s">
        <v>63</v>
      </c>
      <c r="T5" s="4" t="s">
        <v>63</v>
      </c>
      <c r="U5" s="4"/>
      <c r="V5" s="4"/>
      <c r="W5" s="4"/>
      <c r="X5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7"/>
  <sheetViews>
    <sheetView workbookViewId="0">
      <selection activeCell="V13" sqref="V13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SUM(E5:G7)</f>
        <v>420.42</v>
      </c>
      <c r="G2" s="6"/>
      <c r="H2" s="6"/>
      <c r="I2" s="6">
        <f>SUM(H5:J7)</f>
        <v>420.42</v>
      </c>
      <c r="J2" s="6"/>
      <c r="K2" s="6"/>
      <c r="L2" s="6">
        <f>SUM(K5:M7)</f>
        <v>420.42</v>
      </c>
      <c r="M2" s="6"/>
      <c r="N2" s="6"/>
      <c r="O2" s="6">
        <f>SUM(N5:P7)</f>
        <v>420.42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36</v>
      </c>
      <c r="B5" s="8" t="s">
        <v>1109</v>
      </c>
      <c r="C5" s="8" t="s">
        <v>1110</v>
      </c>
      <c r="D5" s="4"/>
      <c r="E5" s="4">
        <v>68.400000000000006</v>
      </c>
      <c r="F5" s="4"/>
      <c r="G5" s="4">
        <v>67.94</v>
      </c>
      <c r="H5" s="4">
        <v>68.400000000000006</v>
      </c>
      <c r="I5" s="4"/>
      <c r="J5" s="4">
        <v>67.94</v>
      </c>
      <c r="K5" s="4">
        <v>68.400000000000006</v>
      </c>
      <c r="L5" s="4"/>
      <c r="M5" s="4">
        <v>67.94</v>
      </c>
      <c r="N5" s="4">
        <v>68.400000000000006</v>
      </c>
      <c r="O5" s="4"/>
      <c r="P5" s="4">
        <v>67.94</v>
      </c>
      <c r="Q5" s="4" t="s">
        <v>62</v>
      </c>
      <c r="R5" s="4"/>
      <c r="S5" s="4"/>
      <c r="T5" s="4" t="s">
        <v>64</v>
      </c>
      <c r="U5" s="4"/>
      <c r="V5" s="4"/>
      <c r="W5" s="4"/>
      <c r="X5" s="4"/>
    </row>
    <row r="6" spans="1:24" x14ac:dyDescent="0.2">
      <c r="A6" s="8" t="s">
        <v>36</v>
      </c>
      <c r="B6" s="8" t="s">
        <v>1111</v>
      </c>
      <c r="C6" s="8" t="s">
        <v>1112</v>
      </c>
      <c r="D6" s="4"/>
      <c r="E6" s="4">
        <v>79.260000000000005</v>
      </c>
      <c r="F6" s="4"/>
      <c r="G6" s="4">
        <v>68.150000000000006</v>
      </c>
      <c r="H6" s="4">
        <v>79.260000000000005</v>
      </c>
      <c r="I6" s="4"/>
      <c r="J6" s="4">
        <v>68.150000000000006</v>
      </c>
      <c r="K6" s="4">
        <v>79.260000000000005</v>
      </c>
      <c r="L6" s="4"/>
      <c r="M6" s="4">
        <v>68.150000000000006</v>
      </c>
      <c r="N6" s="4">
        <v>79.260000000000005</v>
      </c>
      <c r="O6" s="4"/>
      <c r="P6" s="4">
        <v>68.150000000000006</v>
      </c>
      <c r="Q6" s="4" t="s">
        <v>62</v>
      </c>
      <c r="R6" s="4"/>
      <c r="S6" s="4"/>
      <c r="T6" s="4" t="s">
        <v>64</v>
      </c>
      <c r="U6" s="4"/>
      <c r="V6" s="4"/>
      <c r="W6" s="4"/>
      <c r="X6" s="4"/>
    </row>
    <row r="7" spans="1:24" x14ac:dyDescent="0.2">
      <c r="A7" s="8" t="s">
        <v>36</v>
      </c>
      <c r="B7" s="8" t="s">
        <v>1113</v>
      </c>
      <c r="C7" s="8" t="s">
        <v>1114</v>
      </c>
      <c r="D7" s="4"/>
      <c r="E7" s="4">
        <v>67.72</v>
      </c>
      <c r="F7" s="4"/>
      <c r="G7" s="4">
        <v>68.95</v>
      </c>
      <c r="H7" s="4">
        <v>67.72</v>
      </c>
      <c r="I7" s="4"/>
      <c r="J7" s="4">
        <v>68.95</v>
      </c>
      <c r="K7" s="4">
        <v>67.72</v>
      </c>
      <c r="L7" s="4"/>
      <c r="M7" s="4">
        <v>68.95</v>
      </c>
      <c r="N7" s="4">
        <v>67.72</v>
      </c>
      <c r="O7" s="4"/>
      <c r="P7" s="4">
        <v>68.95</v>
      </c>
      <c r="Q7" s="4" t="s">
        <v>62</v>
      </c>
      <c r="R7" s="4"/>
      <c r="S7" s="4"/>
      <c r="T7" s="4" t="s">
        <v>1775</v>
      </c>
      <c r="U7" s="4"/>
      <c r="V7" s="4"/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10"/>
  <sheetViews>
    <sheetView workbookViewId="0">
      <selection activeCell="AB9" sqref="AB9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7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SUM(E5:G10)</f>
        <v>783.17</v>
      </c>
      <c r="G2" s="6"/>
      <c r="H2" s="6"/>
      <c r="I2" s="6">
        <f>SUM(H5:J10)</f>
        <v>783.17</v>
      </c>
      <c r="J2" s="6"/>
      <c r="K2" s="6"/>
      <c r="L2" s="6">
        <f>SUM(K5:M10)</f>
        <v>783.17</v>
      </c>
      <c r="M2" s="6"/>
      <c r="N2" s="6"/>
      <c r="O2" s="6">
        <f>SUM(N5:P10)</f>
        <v>783.17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37</v>
      </c>
      <c r="B5" s="8" t="s">
        <v>1115</v>
      </c>
      <c r="C5" s="8" t="s">
        <v>1116</v>
      </c>
      <c r="D5" s="4"/>
      <c r="E5" s="4">
        <v>81</v>
      </c>
      <c r="F5" s="4"/>
      <c r="G5" s="4">
        <v>67.53</v>
      </c>
      <c r="H5" s="4">
        <v>81</v>
      </c>
      <c r="I5" s="4"/>
      <c r="J5" s="4">
        <v>67.53</v>
      </c>
      <c r="K5" s="4">
        <v>81</v>
      </c>
      <c r="L5" s="4"/>
      <c r="M5" s="4">
        <v>67.53</v>
      </c>
      <c r="N5" s="4">
        <v>81</v>
      </c>
      <c r="O5" s="4"/>
      <c r="P5" s="4">
        <v>67.53</v>
      </c>
      <c r="Q5" s="4" t="s">
        <v>64</v>
      </c>
      <c r="R5" s="4"/>
      <c r="S5" s="4"/>
      <c r="T5" s="4" t="s">
        <v>62</v>
      </c>
      <c r="U5" s="4"/>
      <c r="V5" s="4"/>
      <c r="W5" s="4"/>
      <c r="X5" s="4"/>
    </row>
    <row r="6" spans="1:24" x14ac:dyDescent="0.2">
      <c r="A6" s="8" t="s">
        <v>37</v>
      </c>
      <c r="B6" s="8" t="s">
        <v>1117</v>
      </c>
      <c r="C6" s="8" t="s">
        <v>1118</v>
      </c>
      <c r="D6" s="4"/>
      <c r="E6" s="4">
        <v>64.17</v>
      </c>
      <c r="F6" s="4"/>
      <c r="G6" s="4">
        <v>65.86</v>
      </c>
      <c r="H6" s="4">
        <v>64.17</v>
      </c>
      <c r="I6" s="4"/>
      <c r="J6" s="4">
        <v>65.86</v>
      </c>
      <c r="K6" s="4">
        <v>64.17</v>
      </c>
      <c r="L6" s="4"/>
      <c r="M6" s="4">
        <v>65.86</v>
      </c>
      <c r="N6" s="4">
        <v>64.17</v>
      </c>
      <c r="O6" s="4"/>
      <c r="P6" s="4">
        <v>65.86</v>
      </c>
      <c r="Q6" s="4" t="s">
        <v>64</v>
      </c>
      <c r="R6" s="4"/>
      <c r="S6" s="4"/>
      <c r="T6" s="4" t="s">
        <v>62</v>
      </c>
      <c r="U6" s="4"/>
      <c r="V6" s="4"/>
      <c r="W6" s="4"/>
      <c r="X6" s="4"/>
    </row>
    <row r="7" spans="1:24" x14ac:dyDescent="0.2">
      <c r="A7" s="8" t="s">
        <v>37</v>
      </c>
      <c r="B7" s="8" t="s">
        <v>1119</v>
      </c>
      <c r="C7" s="8" t="s">
        <v>1120</v>
      </c>
      <c r="D7" s="4"/>
      <c r="E7" s="4">
        <v>64.59</v>
      </c>
      <c r="F7" s="4"/>
      <c r="G7" s="4">
        <v>64.87</v>
      </c>
      <c r="H7" s="4">
        <v>64.59</v>
      </c>
      <c r="I7" s="4"/>
      <c r="J7" s="4">
        <v>64.87</v>
      </c>
      <c r="K7" s="4">
        <v>64.59</v>
      </c>
      <c r="L7" s="4"/>
      <c r="M7" s="4">
        <v>64.87</v>
      </c>
      <c r="N7" s="4">
        <v>64.59</v>
      </c>
      <c r="O7" s="4"/>
      <c r="P7" s="4">
        <v>64.87</v>
      </c>
      <c r="Q7" s="4" t="s">
        <v>64</v>
      </c>
      <c r="R7" s="4"/>
      <c r="S7" s="4"/>
      <c r="T7" s="4" t="s">
        <v>62</v>
      </c>
      <c r="U7" s="4"/>
      <c r="V7" s="4"/>
      <c r="W7" s="4"/>
      <c r="X7" s="4"/>
    </row>
    <row r="8" spans="1:24" x14ac:dyDescent="0.2">
      <c r="A8" s="8" t="s">
        <v>37</v>
      </c>
      <c r="B8" s="8" t="s">
        <v>1121</v>
      </c>
      <c r="C8" s="8" t="s">
        <v>1122</v>
      </c>
      <c r="D8" s="4"/>
      <c r="E8" s="4">
        <v>65.7</v>
      </c>
      <c r="F8" s="4"/>
      <c r="G8" s="4">
        <v>64.66</v>
      </c>
      <c r="H8" s="4">
        <v>65.7</v>
      </c>
      <c r="I8" s="4"/>
      <c r="J8" s="4">
        <v>64.66</v>
      </c>
      <c r="K8" s="4">
        <v>65.7</v>
      </c>
      <c r="L8" s="4"/>
      <c r="M8" s="4">
        <v>64.66</v>
      </c>
      <c r="N8" s="4">
        <v>65.7</v>
      </c>
      <c r="O8" s="4"/>
      <c r="P8" s="4">
        <v>64.66</v>
      </c>
      <c r="Q8" s="4" t="s">
        <v>64</v>
      </c>
      <c r="R8" s="4"/>
      <c r="S8" s="4"/>
      <c r="T8" s="4" t="s">
        <v>62</v>
      </c>
      <c r="U8" s="4"/>
      <c r="V8" s="4"/>
      <c r="W8" s="4"/>
      <c r="X8" s="4"/>
    </row>
    <row r="9" spans="1:24" x14ac:dyDescent="0.2">
      <c r="A9" s="8" t="s">
        <v>37</v>
      </c>
      <c r="B9" s="8" t="s">
        <v>1123</v>
      </c>
      <c r="C9" s="8" t="s">
        <v>1124</v>
      </c>
      <c r="D9" s="4"/>
      <c r="E9" s="4">
        <v>65.12</v>
      </c>
      <c r="F9" s="4"/>
      <c r="G9" s="4">
        <v>64.819999999999993</v>
      </c>
      <c r="H9" s="4">
        <v>65.12</v>
      </c>
      <c r="I9" s="4"/>
      <c r="J9" s="4">
        <v>64.819999999999993</v>
      </c>
      <c r="K9" s="4">
        <v>65.12</v>
      </c>
      <c r="L9" s="4"/>
      <c r="M9" s="4">
        <v>64.819999999999993</v>
      </c>
      <c r="N9" s="4">
        <v>65.12</v>
      </c>
      <c r="O9" s="4"/>
      <c r="P9" s="4">
        <v>64.819999999999993</v>
      </c>
      <c r="Q9" s="4" t="s">
        <v>64</v>
      </c>
      <c r="R9" s="4"/>
      <c r="S9" s="4"/>
      <c r="T9" s="4" t="s">
        <v>62</v>
      </c>
      <c r="U9" s="4"/>
      <c r="V9" s="4"/>
      <c r="W9" s="4"/>
      <c r="X9" s="4"/>
    </row>
    <row r="10" spans="1:24" x14ac:dyDescent="0.2">
      <c r="A10" s="8" t="s">
        <v>37</v>
      </c>
      <c r="B10" s="8" t="s">
        <v>1125</v>
      </c>
      <c r="C10" s="8" t="s">
        <v>1126</v>
      </c>
      <c r="D10" s="4"/>
      <c r="E10" s="4">
        <v>58.37</v>
      </c>
      <c r="F10" s="4"/>
      <c r="G10" s="4">
        <v>56.48</v>
      </c>
      <c r="H10" s="4">
        <v>58.37</v>
      </c>
      <c r="I10" s="4"/>
      <c r="J10" s="4">
        <v>56.48</v>
      </c>
      <c r="K10" s="4">
        <v>58.37</v>
      </c>
      <c r="L10" s="4"/>
      <c r="M10" s="4">
        <v>56.48</v>
      </c>
      <c r="N10" s="4">
        <v>58.37</v>
      </c>
      <c r="O10" s="4"/>
      <c r="P10" s="4">
        <v>56.48</v>
      </c>
      <c r="Q10" s="4" t="s">
        <v>64</v>
      </c>
      <c r="R10" s="4"/>
      <c r="S10" s="4"/>
      <c r="T10" s="4" t="s">
        <v>62</v>
      </c>
      <c r="U10" s="4"/>
      <c r="V10" s="4"/>
      <c r="W10" s="4"/>
      <c r="X1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41"/>
  <sheetViews>
    <sheetView workbookViewId="0">
      <selection activeCell="AB24" sqref="AB24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61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SUM(E5:G41)</f>
        <v>1379.64</v>
      </c>
      <c r="G2" s="6"/>
      <c r="H2" s="6"/>
      <c r="I2" s="6">
        <f>SUM(H5:J41)</f>
        <v>1379.64</v>
      </c>
      <c r="J2" s="6"/>
      <c r="K2" s="6"/>
      <c r="L2" s="6">
        <f>SUM(K5:M41)</f>
        <v>1379.64</v>
      </c>
      <c r="M2" s="6"/>
      <c r="N2" s="6"/>
      <c r="O2" s="6">
        <f>SUM(N5:P41)</f>
        <v>1379.64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38</v>
      </c>
      <c r="B5" s="8" t="s">
        <v>1127</v>
      </c>
      <c r="C5" s="8" t="s">
        <v>1128</v>
      </c>
      <c r="D5" s="4"/>
      <c r="E5" s="4"/>
      <c r="F5" s="4">
        <v>166.85</v>
      </c>
      <c r="G5" s="4"/>
      <c r="H5" s="4"/>
      <c r="I5" s="4">
        <v>166.85</v>
      </c>
      <c r="J5" s="4"/>
      <c r="K5" s="4"/>
      <c r="L5" s="4">
        <v>166.85</v>
      </c>
      <c r="M5" s="4"/>
      <c r="N5" s="4"/>
      <c r="O5" s="4">
        <v>166.85</v>
      </c>
      <c r="P5" s="4"/>
      <c r="Q5" s="4" t="s">
        <v>63</v>
      </c>
      <c r="R5" s="4"/>
      <c r="S5" s="4" t="s">
        <v>63</v>
      </c>
      <c r="T5" s="4" t="s">
        <v>64</v>
      </c>
      <c r="U5" s="4"/>
      <c r="V5" s="4"/>
      <c r="W5" s="4"/>
      <c r="X5" s="4"/>
    </row>
    <row r="6" spans="1:24" x14ac:dyDescent="0.2">
      <c r="A6" s="8" t="s">
        <v>38</v>
      </c>
      <c r="B6" s="8" t="s">
        <v>1129</v>
      </c>
      <c r="C6" s="8" t="s">
        <v>1130</v>
      </c>
      <c r="D6" s="4"/>
      <c r="E6" s="4"/>
      <c r="F6" s="4">
        <v>42.25</v>
      </c>
      <c r="G6" s="4"/>
      <c r="H6" s="4"/>
      <c r="I6" s="4">
        <v>42.25</v>
      </c>
      <c r="J6" s="4"/>
      <c r="K6" s="4"/>
      <c r="L6" s="4">
        <v>42.25</v>
      </c>
      <c r="M6" s="4"/>
      <c r="N6" s="4"/>
      <c r="O6" s="4">
        <v>42.25</v>
      </c>
      <c r="P6" s="4"/>
      <c r="Q6" s="4"/>
      <c r="R6" s="4"/>
      <c r="S6" s="4" t="s">
        <v>63</v>
      </c>
      <c r="T6" s="4"/>
      <c r="U6" s="4"/>
      <c r="V6" s="4"/>
      <c r="W6" s="4"/>
      <c r="X6" s="4"/>
    </row>
    <row r="7" spans="1:24" x14ac:dyDescent="0.2">
      <c r="A7" s="8" t="s">
        <v>38</v>
      </c>
      <c r="B7" s="8" t="s">
        <v>101</v>
      </c>
      <c r="C7" s="8" t="s">
        <v>1131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">
      <c r="A8" s="8" t="s">
        <v>38</v>
      </c>
      <c r="B8" s="8" t="s">
        <v>101</v>
      </c>
      <c r="C8" s="8" t="s">
        <v>1132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">
      <c r="A9" s="8" t="s">
        <v>38</v>
      </c>
      <c r="B9" s="8" t="s">
        <v>101</v>
      </c>
      <c r="C9" s="8" t="s">
        <v>1133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38</v>
      </c>
      <c r="B10" s="8" t="s">
        <v>101</v>
      </c>
      <c r="C10" s="8" t="s">
        <v>1134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">
      <c r="A11" s="8" t="s">
        <v>38</v>
      </c>
      <c r="B11" s="8" t="s">
        <v>101</v>
      </c>
      <c r="C11" s="8" t="s">
        <v>1135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">
      <c r="A12" s="8" t="s">
        <v>38</v>
      </c>
      <c r="B12" s="8" t="s">
        <v>101</v>
      </c>
      <c r="C12" s="8" t="s">
        <v>1136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">
      <c r="A13" s="8" t="s">
        <v>38</v>
      </c>
      <c r="B13" s="8" t="s">
        <v>101</v>
      </c>
      <c r="C13" s="8" t="s">
        <v>1137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">
      <c r="A14" s="8" t="s">
        <v>38</v>
      </c>
      <c r="B14" s="8" t="s">
        <v>101</v>
      </c>
      <c r="C14" s="8" t="s">
        <v>1138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">
      <c r="A15" s="8" t="s">
        <v>38</v>
      </c>
      <c r="B15" s="8" t="s">
        <v>101</v>
      </c>
      <c r="C15" s="8" t="s">
        <v>1139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38</v>
      </c>
      <c r="B16" s="8" t="s">
        <v>101</v>
      </c>
      <c r="C16" s="8" t="s">
        <v>1140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">
      <c r="A17" s="8" t="s">
        <v>38</v>
      </c>
      <c r="B17" s="8" t="s">
        <v>101</v>
      </c>
      <c r="C17" s="8" t="s">
        <v>1141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38</v>
      </c>
      <c r="B18" s="8" t="s">
        <v>101</v>
      </c>
      <c r="C18" s="8" t="s">
        <v>1142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">
      <c r="A19" s="8" t="s">
        <v>38</v>
      </c>
      <c r="B19" s="8" t="s">
        <v>101</v>
      </c>
      <c r="C19" s="8" t="s">
        <v>1143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63</v>
      </c>
      <c r="T19" s="4"/>
      <c r="U19" s="4"/>
      <c r="V19" s="4"/>
      <c r="W19" s="4"/>
      <c r="X19" s="4"/>
    </row>
    <row r="20" spans="1:24" x14ac:dyDescent="0.2">
      <c r="A20" s="8" t="s">
        <v>38</v>
      </c>
      <c r="B20" s="8" t="s">
        <v>101</v>
      </c>
      <c r="C20" s="8" t="s">
        <v>1144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63</v>
      </c>
      <c r="U20" s="4"/>
      <c r="V20" s="4"/>
      <c r="W20" s="4"/>
      <c r="X20" s="4"/>
    </row>
    <row r="21" spans="1:24" x14ac:dyDescent="0.2">
      <c r="A21" s="8" t="s">
        <v>38</v>
      </c>
      <c r="B21" s="8" t="s">
        <v>101</v>
      </c>
      <c r="C21" s="8" t="s">
        <v>1145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63</v>
      </c>
      <c r="T21" s="4"/>
      <c r="U21" s="4"/>
      <c r="V21" s="4"/>
      <c r="W21" s="4"/>
      <c r="X21" s="4"/>
    </row>
    <row r="22" spans="1:24" x14ac:dyDescent="0.2">
      <c r="A22" s="8" t="s">
        <v>38</v>
      </c>
      <c r="B22" s="8" t="s">
        <v>101</v>
      </c>
      <c r="C22" s="8" t="s">
        <v>1146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63</v>
      </c>
      <c r="U22" s="4"/>
      <c r="V22" s="4"/>
      <c r="W22" s="4"/>
      <c r="X22" s="4"/>
    </row>
    <row r="23" spans="1:24" x14ac:dyDescent="0.2">
      <c r="A23" s="8" t="s">
        <v>38</v>
      </c>
      <c r="B23" s="8" t="s">
        <v>1147</v>
      </c>
      <c r="C23" s="8" t="s">
        <v>1148</v>
      </c>
      <c r="D23" s="4"/>
      <c r="E23" s="4"/>
      <c r="F23" s="4">
        <v>43.19</v>
      </c>
      <c r="G23" s="4"/>
      <c r="H23" s="4"/>
      <c r="I23" s="4">
        <v>43.19</v>
      </c>
      <c r="J23" s="4"/>
      <c r="K23" s="4"/>
      <c r="L23" s="4">
        <v>43.19</v>
      </c>
      <c r="M23" s="4"/>
      <c r="N23" s="4"/>
      <c r="O23" s="4">
        <v>43.19</v>
      </c>
      <c r="P23" s="4"/>
      <c r="Q23" s="4"/>
      <c r="R23" s="4"/>
      <c r="S23" s="4" t="s">
        <v>63</v>
      </c>
      <c r="T23" s="4"/>
      <c r="U23" s="4"/>
      <c r="V23" s="4"/>
      <c r="W23" s="4"/>
      <c r="X23" s="4"/>
    </row>
    <row r="24" spans="1:24" x14ac:dyDescent="0.2">
      <c r="A24" s="8" t="s">
        <v>38</v>
      </c>
      <c r="B24" s="8" t="s">
        <v>1149</v>
      </c>
      <c r="C24" s="8" t="s">
        <v>1150</v>
      </c>
      <c r="D24" s="4"/>
      <c r="E24" s="4"/>
      <c r="F24" s="4">
        <v>52.04</v>
      </c>
      <c r="G24" s="4"/>
      <c r="H24" s="4"/>
      <c r="I24" s="4">
        <v>52.04</v>
      </c>
      <c r="J24" s="4"/>
      <c r="K24" s="4"/>
      <c r="L24" s="4">
        <v>52.04</v>
      </c>
      <c r="M24" s="4"/>
      <c r="N24" s="4"/>
      <c r="O24" s="4">
        <v>52.04</v>
      </c>
      <c r="P24" s="4"/>
      <c r="Q24" s="4"/>
      <c r="R24" s="4"/>
      <c r="S24" s="4" t="s">
        <v>63</v>
      </c>
      <c r="T24" s="4"/>
      <c r="U24" s="4"/>
      <c r="V24" s="4"/>
      <c r="W24" s="4"/>
      <c r="X24" s="4"/>
    </row>
    <row r="25" spans="1:24" x14ac:dyDescent="0.2">
      <c r="A25" s="8" t="s">
        <v>38</v>
      </c>
      <c r="B25" s="8" t="s">
        <v>1151</v>
      </c>
      <c r="C25" s="8" t="s">
        <v>1152</v>
      </c>
      <c r="D25" s="4"/>
      <c r="E25" s="4"/>
      <c r="F25" s="4">
        <v>59.09</v>
      </c>
      <c r="G25" s="4"/>
      <c r="H25" s="4"/>
      <c r="I25" s="4">
        <v>59.09</v>
      </c>
      <c r="J25" s="4"/>
      <c r="K25" s="4"/>
      <c r="L25" s="4">
        <v>59.09</v>
      </c>
      <c r="M25" s="4"/>
      <c r="N25" s="4"/>
      <c r="O25" s="4">
        <v>59.09</v>
      </c>
      <c r="P25" s="4"/>
      <c r="Q25" s="4"/>
      <c r="R25" s="4"/>
      <c r="S25" s="4" t="s">
        <v>63</v>
      </c>
      <c r="T25" s="4"/>
      <c r="U25" s="4"/>
      <c r="V25" s="4"/>
      <c r="W25" s="4"/>
      <c r="X25" s="4"/>
    </row>
    <row r="26" spans="1:24" x14ac:dyDescent="0.2">
      <c r="A26" s="8" t="s">
        <v>38</v>
      </c>
      <c r="B26" s="8" t="s">
        <v>1153</v>
      </c>
      <c r="C26" s="8" t="s">
        <v>1154</v>
      </c>
      <c r="D26" s="4"/>
      <c r="E26" s="4"/>
      <c r="F26" s="4">
        <v>168.74</v>
      </c>
      <c r="G26" s="4"/>
      <c r="H26" s="4"/>
      <c r="I26" s="4">
        <v>168.74</v>
      </c>
      <c r="J26" s="4"/>
      <c r="K26" s="4"/>
      <c r="L26" s="4">
        <v>168.74</v>
      </c>
      <c r="M26" s="4"/>
      <c r="N26" s="4"/>
      <c r="O26" s="4">
        <v>168.74</v>
      </c>
      <c r="P26" s="4"/>
      <c r="Q26" s="4"/>
      <c r="R26" s="4"/>
      <c r="S26" s="4" t="s">
        <v>63</v>
      </c>
      <c r="T26" s="4" t="s">
        <v>63</v>
      </c>
      <c r="U26" s="4"/>
      <c r="V26" s="4"/>
      <c r="W26" s="4"/>
      <c r="X26" s="4"/>
    </row>
    <row r="27" spans="1:24" x14ac:dyDescent="0.2">
      <c r="A27" s="8" t="s">
        <v>38</v>
      </c>
      <c r="B27" s="8" t="s">
        <v>1155</v>
      </c>
      <c r="C27" s="8" t="s">
        <v>1156</v>
      </c>
      <c r="D27" s="4"/>
      <c r="E27" s="4"/>
      <c r="F27" s="4">
        <v>226.32</v>
      </c>
      <c r="G27" s="4"/>
      <c r="H27" s="4"/>
      <c r="I27" s="4">
        <v>226.32</v>
      </c>
      <c r="J27" s="4"/>
      <c r="K27" s="4"/>
      <c r="L27" s="4">
        <v>226.32</v>
      </c>
      <c r="M27" s="4"/>
      <c r="N27" s="4"/>
      <c r="O27" s="4">
        <v>226.32</v>
      </c>
      <c r="P27" s="4"/>
      <c r="Q27" s="4"/>
      <c r="R27" s="4"/>
      <c r="S27" s="4" t="s">
        <v>63</v>
      </c>
      <c r="T27" s="4" t="s">
        <v>63</v>
      </c>
      <c r="U27" s="4"/>
      <c r="V27" s="4"/>
      <c r="W27" s="4"/>
      <c r="X27" s="4"/>
    </row>
    <row r="28" spans="1:24" x14ac:dyDescent="0.2">
      <c r="A28" s="8" t="s">
        <v>38</v>
      </c>
      <c r="B28" s="8" t="s">
        <v>1157</v>
      </c>
      <c r="C28" s="8" t="s">
        <v>1158</v>
      </c>
      <c r="D28" s="4"/>
      <c r="E28" s="4"/>
      <c r="F28" s="4">
        <v>41.6</v>
      </c>
      <c r="G28" s="4"/>
      <c r="H28" s="4"/>
      <c r="I28" s="4">
        <v>41.6</v>
      </c>
      <c r="J28" s="4"/>
      <c r="K28" s="4"/>
      <c r="L28" s="4">
        <v>41.6</v>
      </c>
      <c r="M28" s="4"/>
      <c r="N28" s="4"/>
      <c r="O28" s="4">
        <v>41.6</v>
      </c>
      <c r="P28" s="4"/>
      <c r="Q28" s="4"/>
      <c r="R28" s="4"/>
      <c r="S28" s="4" t="s">
        <v>63</v>
      </c>
      <c r="T28" s="4"/>
      <c r="U28" s="4"/>
      <c r="V28" s="4"/>
      <c r="W28" s="4"/>
      <c r="X28" s="4"/>
    </row>
    <row r="29" spans="1:24" x14ac:dyDescent="0.2">
      <c r="A29" s="8" t="s">
        <v>38</v>
      </c>
      <c r="B29" s="8" t="s">
        <v>1159</v>
      </c>
      <c r="C29" s="8" t="s">
        <v>1160</v>
      </c>
      <c r="D29" s="4"/>
      <c r="E29" s="4"/>
      <c r="F29" s="4">
        <v>37.17</v>
      </c>
      <c r="G29" s="4"/>
      <c r="H29" s="4"/>
      <c r="I29" s="4">
        <v>37.17</v>
      </c>
      <c r="J29" s="4"/>
      <c r="K29" s="4"/>
      <c r="L29" s="4">
        <v>37.17</v>
      </c>
      <c r="M29" s="4"/>
      <c r="N29" s="4"/>
      <c r="O29" s="4">
        <v>37.17</v>
      </c>
      <c r="P29" s="4"/>
      <c r="Q29" s="4"/>
      <c r="R29" s="4"/>
      <c r="S29" s="4" t="s">
        <v>63</v>
      </c>
      <c r="T29" s="4"/>
      <c r="U29" s="4"/>
      <c r="V29" s="4"/>
      <c r="W29" s="4"/>
      <c r="X29" s="4"/>
    </row>
    <row r="30" spans="1:24" x14ac:dyDescent="0.2">
      <c r="A30" s="8" t="s">
        <v>38</v>
      </c>
      <c r="B30" s="8" t="s">
        <v>1161</v>
      </c>
      <c r="C30" s="8" t="s">
        <v>1162</v>
      </c>
      <c r="D30" s="4"/>
      <c r="E30" s="4"/>
      <c r="F30" s="4">
        <v>294.63</v>
      </c>
      <c r="G30" s="4"/>
      <c r="H30" s="4"/>
      <c r="I30" s="4">
        <v>294.63</v>
      </c>
      <c r="J30" s="4"/>
      <c r="K30" s="4"/>
      <c r="L30" s="4">
        <v>294.63</v>
      </c>
      <c r="M30" s="4"/>
      <c r="N30" s="4"/>
      <c r="O30" s="4">
        <v>294.63</v>
      </c>
      <c r="P30" s="4"/>
      <c r="Q30" s="4"/>
      <c r="R30" s="4"/>
      <c r="S30" s="4" t="s">
        <v>63</v>
      </c>
      <c r="T30" s="4" t="s">
        <v>63</v>
      </c>
      <c r="U30" s="4"/>
      <c r="V30" s="4"/>
      <c r="W30" s="4"/>
      <c r="X30" s="4"/>
    </row>
    <row r="31" spans="1:24" x14ac:dyDescent="0.2">
      <c r="A31" s="8" t="s">
        <v>38</v>
      </c>
      <c r="B31" s="8" t="s">
        <v>1163</v>
      </c>
      <c r="C31" s="8" t="s">
        <v>1164</v>
      </c>
      <c r="D31" s="4"/>
      <c r="E31" s="4"/>
      <c r="F31" s="4">
        <v>115.77</v>
      </c>
      <c r="G31" s="4"/>
      <c r="H31" s="4"/>
      <c r="I31" s="4">
        <v>115.77</v>
      </c>
      <c r="J31" s="4"/>
      <c r="K31" s="4"/>
      <c r="L31" s="4">
        <v>115.77</v>
      </c>
      <c r="M31" s="4"/>
      <c r="N31" s="4"/>
      <c r="O31" s="4">
        <v>115.77</v>
      </c>
      <c r="P31" s="4"/>
      <c r="Q31" s="4"/>
      <c r="R31" s="4"/>
      <c r="S31" s="4" t="s">
        <v>63</v>
      </c>
      <c r="T31" s="4" t="s">
        <v>63</v>
      </c>
      <c r="U31" s="4"/>
      <c r="V31" s="4"/>
      <c r="W31" s="4"/>
      <c r="X31" s="4"/>
    </row>
    <row r="32" spans="1:24" x14ac:dyDescent="0.2">
      <c r="A32" s="8" t="s">
        <v>38</v>
      </c>
      <c r="B32" s="8" t="s">
        <v>1165</v>
      </c>
      <c r="C32" s="8" t="s">
        <v>1166</v>
      </c>
      <c r="D32" s="4"/>
      <c r="E32" s="4"/>
      <c r="F32" s="4">
        <v>131.99</v>
      </c>
      <c r="G32" s="4"/>
      <c r="H32" s="4"/>
      <c r="I32" s="4">
        <v>131.99</v>
      </c>
      <c r="J32" s="4"/>
      <c r="K32" s="4"/>
      <c r="L32" s="4">
        <v>131.99</v>
      </c>
      <c r="M32" s="4"/>
      <c r="N32" s="4"/>
      <c r="O32" s="4">
        <v>131.99</v>
      </c>
      <c r="P32" s="4"/>
      <c r="Q32" s="4"/>
      <c r="R32" s="4"/>
      <c r="S32" s="4" t="s">
        <v>63</v>
      </c>
      <c r="T32" s="4" t="s">
        <v>63</v>
      </c>
      <c r="U32" s="4"/>
      <c r="V32" s="4"/>
      <c r="W32" s="4"/>
      <c r="X32" s="4"/>
    </row>
    <row r="33" spans="1:24" x14ac:dyDescent="0.2">
      <c r="A33" s="8" t="s">
        <v>38</v>
      </c>
      <c r="B33" s="8" t="s">
        <v>1167</v>
      </c>
      <c r="C33" s="8" t="s">
        <v>1168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4"/>
      <c r="T33" s="14"/>
      <c r="U33" s="4" t="s">
        <v>1775</v>
      </c>
      <c r="V33" s="4"/>
      <c r="W33" s="4"/>
      <c r="X33" s="4"/>
    </row>
    <row r="34" spans="1:24" x14ac:dyDescent="0.2">
      <c r="A34" s="8" t="s">
        <v>38</v>
      </c>
      <c r="B34" s="8" t="s">
        <v>1169</v>
      </c>
      <c r="C34" s="8" t="s">
        <v>1170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4"/>
      <c r="T34" s="14"/>
      <c r="U34" s="4" t="s">
        <v>1775</v>
      </c>
      <c r="V34" s="4"/>
      <c r="W34" s="4"/>
      <c r="X34" s="4"/>
    </row>
    <row r="35" spans="1:24" x14ac:dyDescent="0.2">
      <c r="A35" s="8" t="s">
        <v>38</v>
      </c>
      <c r="B35" s="8" t="s">
        <v>1171</v>
      </c>
      <c r="C35" s="8" t="s">
        <v>1172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4"/>
      <c r="T35" s="14"/>
      <c r="U35" s="4" t="s">
        <v>1775</v>
      </c>
      <c r="V35" s="4"/>
      <c r="W35" s="4"/>
      <c r="X35" s="4"/>
    </row>
    <row r="36" spans="1:24" x14ac:dyDescent="0.2">
      <c r="A36" s="8" t="s">
        <v>38</v>
      </c>
      <c r="B36" s="8" t="s">
        <v>1173</v>
      </c>
      <c r="C36" s="8" t="s">
        <v>1174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  <c r="T36" s="14"/>
      <c r="U36" s="4" t="s">
        <v>1775</v>
      </c>
      <c r="V36" s="4"/>
      <c r="W36" s="4"/>
      <c r="X36" s="4"/>
    </row>
    <row r="37" spans="1:24" x14ac:dyDescent="0.2">
      <c r="A37" s="8" t="s">
        <v>38</v>
      </c>
      <c r="B37" s="8" t="s">
        <v>1175</v>
      </c>
      <c r="C37" s="8" t="s">
        <v>1176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4"/>
      <c r="T37" s="14"/>
      <c r="U37" s="4" t="s">
        <v>1775</v>
      </c>
      <c r="V37" s="4"/>
      <c r="W37" s="4"/>
      <c r="X37" s="4"/>
    </row>
    <row r="38" spans="1:24" x14ac:dyDescent="0.2">
      <c r="A38" s="8" t="s">
        <v>38</v>
      </c>
      <c r="B38" s="8" t="s">
        <v>1177</v>
      </c>
      <c r="C38" s="8" t="s">
        <v>1178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4"/>
      <c r="T38" s="14"/>
      <c r="U38" s="4" t="s">
        <v>1775</v>
      </c>
      <c r="V38" s="4"/>
      <c r="W38" s="4"/>
      <c r="X38" s="4"/>
    </row>
    <row r="39" spans="1:24" x14ac:dyDescent="0.2">
      <c r="A39" s="8" t="s">
        <v>38</v>
      </c>
      <c r="B39" s="8" t="s">
        <v>1179</v>
      </c>
      <c r="C39" s="8" t="s">
        <v>1180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4"/>
      <c r="T39" s="14"/>
      <c r="U39" s="4" t="s">
        <v>1775</v>
      </c>
      <c r="V39" s="4"/>
      <c r="W39" s="4"/>
      <c r="X39" s="4"/>
    </row>
    <row r="40" spans="1:24" x14ac:dyDescent="0.2">
      <c r="A40" s="8" t="s">
        <v>38</v>
      </c>
      <c r="B40" s="8" t="s">
        <v>1181</v>
      </c>
      <c r="C40" s="8" t="s">
        <v>1182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  <c r="T40" s="14"/>
      <c r="U40" s="4" t="s">
        <v>1775</v>
      </c>
      <c r="V40" s="4"/>
      <c r="W40" s="4"/>
      <c r="X40" s="4"/>
    </row>
    <row r="41" spans="1:24" x14ac:dyDescent="0.2">
      <c r="A41" s="8" t="s">
        <v>38</v>
      </c>
      <c r="B41" s="8" t="s">
        <v>1183</v>
      </c>
      <c r="C41" s="8" t="s">
        <v>1184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4"/>
      <c r="T41" s="14"/>
      <c r="U41" s="4" t="s">
        <v>1775</v>
      </c>
      <c r="V41" s="4"/>
      <c r="W41" s="4"/>
      <c r="X41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26"/>
  <sheetViews>
    <sheetView workbookViewId="0">
      <selection activeCell="AH35" sqref="AH35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59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SUM(E5:G26)</f>
        <v>922.2700000000001</v>
      </c>
      <c r="G2" s="6"/>
      <c r="H2" s="6"/>
      <c r="I2" s="6">
        <f>SUM(H5:J26)</f>
        <v>922.2700000000001</v>
      </c>
      <c r="J2" s="6"/>
      <c r="K2" s="6"/>
      <c r="L2" s="6">
        <f>SUM(K5:M26)</f>
        <v>922.2700000000001</v>
      </c>
      <c r="M2" s="6"/>
      <c r="N2" s="6"/>
      <c r="O2" s="6">
        <f>SUM(N5:P26)</f>
        <v>922.2700000000001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39</v>
      </c>
      <c r="B5" s="8" t="s">
        <v>1185</v>
      </c>
      <c r="C5" s="8" t="s">
        <v>1186</v>
      </c>
      <c r="D5" s="4"/>
      <c r="E5" s="4"/>
      <c r="F5" s="4">
        <v>175.1</v>
      </c>
      <c r="G5" s="4"/>
      <c r="H5" s="4"/>
      <c r="I5" s="4">
        <v>175.1</v>
      </c>
      <c r="J5" s="4"/>
      <c r="K5" s="4"/>
      <c r="L5" s="4">
        <v>175.1</v>
      </c>
      <c r="M5" s="4"/>
      <c r="N5" s="4"/>
      <c r="O5" s="4">
        <v>175.1</v>
      </c>
      <c r="P5" s="4"/>
      <c r="Q5" s="4" t="s">
        <v>63</v>
      </c>
      <c r="R5" s="4"/>
      <c r="S5" s="4"/>
      <c r="T5" s="4" t="s">
        <v>64</v>
      </c>
      <c r="U5" s="4"/>
      <c r="V5" s="4"/>
      <c r="W5" s="4"/>
      <c r="X5" s="4"/>
    </row>
    <row r="6" spans="1:24" x14ac:dyDescent="0.2">
      <c r="A6" s="8" t="s">
        <v>39</v>
      </c>
      <c r="B6" s="8" t="s">
        <v>1187</v>
      </c>
      <c r="C6" s="8" t="s">
        <v>1188</v>
      </c>
      <c r="D6" s="4"/>
      <c r="E6" s="4"/>
      <c r="F6" s="4">
        <v>28.07</v>
      </c>
      <c r="G6" s="4"/>
      <c r="H6" s="4"/>
      <c r="I6" s="4">
        <v>28.07</v>
      </c>
      <c r="J6" s="4"/>
      <c r="K6" s="4"/>
      <c r="L6" s="4">
        <v>28.07</v>
      </c>
      <c r="M6" s="4"/>
      <c r="N6" s="4"/>
      <c r="O6" s="4">
        <v>28.07</v>
      </c>
      <c r="P6" s="4"/>
      <c r="Q6" s="14"/>
      <c r="R6" s="4"/>
      <c r="S6" s="4" t="s">
        <v>63</v>
      </c>
      <c r="T6" s="4"/>
      <c r="U6" s="4"/>
      <c r="V6" s="4"/>
      <c r="W6" s="4"/>
      <c r="X6" s="4"/>
    </row>
    <row r="7" spans="1:24" x14ac:dyDescent="0.2">
      <c r="A7" s="8" t="s">
        <v>39</v>
      </c>
      <c r="B7" s="8" t="s">
        <v>101</v>
      </c>
      <c r="C7" s="8" t="s">
        <v>1189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">
      <c r="A8" s="8" t="s">
        <v>39</v>
      </c>
      <c r="B8" s="8" t="s">
        <v>101</v>
      </c>
      <c r="C8" s="8" t="s">
        <v>1190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">
      <c r="A9" s="8" t="s">
        <v>39</v>
      </c>
      <c r="B9" s="8" t="s">
        <v>101</v>
      </c>
      <c r="C9" s="8" t="s">
        <v>1191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39</v>
      </c>
      <c r="B10" s="8" t="s">
        <v>101</v>
      </c>
      <c r="C10" s="8" t="s">
        <v>1192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">
      <c r="A11" s="8" t="s">
        <v>39</v>
      </c>
      <c r="B11" s="8" t="s">
        <v>101</v>
      </c>
      <c r="C11" s="8" t="s">
        <v>1193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">
      <c r="A12" s="8" t="s">
        <v>39</v>
      </c>
      <c r="B12" s="8" t="s">
        <v>101</v>
      </c>
      <c r="C12" s="8" t="s">
        <v>1194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">
      <c r="A13" s="8" t="s">
        <v>39</v>
      </c>
      <c r="B13" s="8" t="s">
        <v>101</v>
      </c>
      <c r="C13" s="8" t="s">
        <v>1195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">
      <c r="A14" s="8" t="s">
        <v>39</v>
      </c>
      <c r="B14" s="8" t="s">
        <v>101</v>
      </c>
      <c r="C14" s="8" t="s">
        <v>1196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">
      <c r="A15" s="8" t="s">
        <v>39</v>
      </c>
      <c r="B15" s="8" t="s">
        <v>101</v>
      </c>
      <c r="C15" s="8" t="s">
        <v>1197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39</v>
      </c>
      <c r="B16" s="8" t="s">
        <v>101</v>
      </c>
      <c r="C16" s="8" t="s">
        <v>1198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">
      <c r="A17" s="8" t="s">
        <v>39</v>
      </c>
      <c r="B17" s="8" t="s">
        <v>101</v>
      </c>
      <c r="C17" s="8" t="s">
        <v>1199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39</v>
      </c>
      <c r="B18" s="8" t="s">
        <v>101</v>
      </c>
      <c r="C18" s="8" t="s">
        <v>1200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">
      <c r="A19" s="8" t="s">
        <v>39</v>
      </c>
      <c r="B19" s="8" t="s">
        <v>1201</v>
      </c>
      <c r="C19" s="8" t="s">
        <v>1202</v>
      </c>
      <c r="D19" s="4"/>
      <c r="E19" s="4"/>
      <c r="F19" s="4">
        <v>276.47000000000003</v>
      </c>
      <c r="G19" s="4"/>
      <c r="H19" s="4"/>
      <c r="I19" s="4">
        <v>276.47000000000003</v>
      </c>
      <c r="J19" s="4"/>
      <c r="K19" s="4"/>
      <c r="L19" s="4">
        <v>276.47000000000003</v>
      </c>
      <c r="M19" s="4"/>
      <c r="N19" s="4"/>
      <c r="O19" s="4">
        <v>276.47000000000003</v>
      </c>
      <c r="P19" s="4"/>
      <c r="Q19" s="14"/>
      <c r="R19" s="4"/>
      <c r="S19" s="4" t="s">
        <v>63</v>
      </c>
      <c r="T19" s="4"/>
      <c r="U19" s="4"/>
      <c r="V19" s="4"/>
      <c r="W19" s="4"/>
      <c r="X19" s="4"/>
    </row>
    <row r="20" spans="1:24" x14ac:dyDescent="0.2">
      <c r="A20" s="8" t="s">
        <v>39</v>
      </c>
      <c r="B20" s="8" t="s">
        <v>1203</v>
      </c>
      <c r="C20" s="8" t="s">
        <v>1202</v>
      </c>
      <c r="D20" s="4"/>
      <c r="E20" s="4"/>
      <c r="F20" s="4">
        <v>38.54</v>
      </c>
      <c r="G20" s="4"/>
      <c r="H20" s="4"/>
      <c r="I20" s="4">
        <v>38.54</v>
      </c>
      <c r="J20" s="4"/>
      <c r="K20" s="4"/>
      <c r="L20" s="4">
        <v>38.54</v>
      </c>
      <c r="M20" s="4"/>
      <c r="N20" s="4"/>
      <c r="O20" s="4">
        <v>38.54</v>
      </c>
      <c r="P20" s="4"/>
      <c r="Q20" s="14"/>
      <c r="R20" s="4"/>
      <c r="S20" s="4" t="s">
        <v>63</v>
      </c>
      <c r="T20" s="4"/>
      <c r="U20" s="4"/>
      <c r="V20" s="4"/>
      <c r="W20" s="4"/>
      <c r="X20" s="4"/>
    </row>
    <row r="21" spans="1:24" x14ac:dyDescent="0.2">
      <c r="A21" s="8" t="s">
        <v>39</v>
      </c>
      <c r="B21" s="8" t="s">
        <v>1204</v>
      </c>
      <c r="C21" s="8" t="s">
        <v>1205</v>
      </c>
      <c r="D21" s="4"/>
      <c r="E21" s="4"/>
      <c r="F21" s="4">
        <v>101.96</v>
      </c>
      <c r="G21" s="4"/>
      <c r="H21" s="4"/>
      <c r="I21" s="4">
        <v>101.96</v>
      </c>
      <c r="J21" s="4"/>
      <c r="K21" s="4"/>
      <c r="L21" s="4">
        <v>101.96</v>
      </c>
      <c r="M21" s="4"/>
      <c r="N21" s="4"/>
      <c r="O21" s="4">
        <v>101.96</v>
      </c>
      <c r="P21" s="4"/>
      <c r="Q21" s="14"/>
      <c r="R21" s="4"/>
      <c r="S21" s="4" t="s">
        <v>63</v>
      </c>
      <c r="T21" s="4"/>
      <c r="U21" s="4"/>
      <c r="V21" s="4"/>
      <c r="W21" s="4"/>
      <c r="X21" s="4"/>
    </row>
    <row r="22" spans="1:24" x14ac:dyDescent="0.2">
      <c r="A22" s="8" t="s">
        <v>39</v>
      </c>
      <c r="B22" s="8" t="s">
        <v>1206</v>
      </c>
      <c r="C22" s="8" t="s">
        <v>1207</v>
      </c>
      <c r="D22" s="4"/>
      <c r="E22" s="4"/>
      <c r="F22" s="4">
        <v>49.09</v>
      </c>
      <c r="G22" s="4"/>
      <c r="H22" s="4"/>
      <c r="I22" s="4">
        <v>49.09</v>
      </c>
      <c r="J22" s="4"/>
      <c r="K22" s="4"/>
      <c r="L22" s="4">
        <v>49.09</v>
      </c>
      <c r="M22" s="4"/>
      <c r="N22" s="4"/>
      <c r="O22" s="4">
        <v>49.09</v>
      </c>
      <c r="P22" s="4"/>
      <c r="Q22" s="14"/>
      <c r="R22" s="4"/>
      <c r="S22" s="4" t="s">
        <v>63</v>
      </c>
      <c r="T22" s="4"/>
      <c r="U22" s="4"/>
      <c r="V22" s="4"/>
      <c r="W22" s="4"/>
      <c r="X22" s="4"/>
    </row>
    <row r="23" spans="1:24" x14ac:dyDescent="0.2">
      <c r="A23" s="8" t="s">
        <v>39</v>
      </c>
      <c r="B23" s="8" t="s">
        <v>1208</v>
      </c>
      <c r="C23" s="8" t="s">
        <v>1209</v>
      </c>
      <c r="D23" s="4"/>
      <c r="E23" s="4"/>
      <c r="F23" s="4">
        <v>72.48</v>
      </c>
      <c r="G23" s="4"/>
      <c r="H23" s="4"/>
      <c r="I23" s="4">
        <v>72.48</v>
      </c>
      <c r="J23" s="4"/>
      <c r="K23" s="4"/>
      <c r="L23" s="4">
        <v>72.48</v>
      </c>
      <c r="M23" s="4"/>
      <c r="N23" s="4"/>
      <c r="O23" s="4">
        <v>72.48</v>
      </c>
      <c r="P23" s="4"/>
      <c r="Q23" s="14"/>
      <c r="R23" s="4"/>
      <c r="S23" s="4" t="s">
        <v>63</v>
      </c>
      <c r="T23" s="4" t="s">
        <v>63</v>
      </c>
      <c r="U23" s="4"/>
      <c r="V23" s="4"/>
      <c r="W23" s="4"/>
      <c r="X23" s="4"/>
    </row>
    <row r="24" spans="1:24" x14ac:dyDescent="0.2">
      <c r="A24" s="8" t="s">
        <v>39</v>
      </c>
      <c r="B24" s="8" t="s">
        <v>1210</v>
      </c>
      <c r="C24" s="8" t="s">
        <v>1209</v>
      </c>
      <c r="D24" s="4"/>
      <c r="E24" s="4"/>
      <c r="F24" s="4">
        <v>73.33</v>
      </c>
      <c r="G24" s="4"/>
      <c r="H24" s="4"/>
      <c r="I24" s="4">
        <v>73.33</v>
      </c>
      <c r="J24" s="4"/>
      <c r="K24" s="4"/>
      <c r="L24" s="4">
        <v>73.33</v>
      </c>
      <c r="M24" s="4"/>
      <c r="N24" s="4"/>
      <c r="O24" s="4">
        <v>73.33</v>
      </c>
      <c r="P24" s="4"/>
      <c r="Q24" s="14"/>
      <c r="R24" s="4"/>
      <c r="S24" s="4" t="s">
        <v>63</v>
      </c>
      <c r="T24" s="4" t="s">
        <v>63</v>
      </c>
      <c r="U24" s="4"/>
      <c r="V24" s="4"/>
      <c r="W24" s="4"/>
      <c r="X24" s="4"/>
    </row>
    <row r="25" spans="1:24" x14ac:dyDescent="0.2">
      <c r="A25" s="8" t="s">
        <v>39</v>
      </c>
      <c r="B25" s="8" t="s">
        <v>1211</v>
      </c>
      <c r="C25" s="8" t="s">
        <v>1212</v>
      </c>
      <c r="D25" s="4"/>
      <c r="E25" s="4"/>
      <c r="F25" s="4">
        <v>47.15</v>
      </c>
      <c r="G25" s="4"/>
      <c r="H25" s="4"/>
      <c r="I25" s="4">
        <v>47.15</v>
      </c>
      <c r="J25" s="4"/>
      <c r="K25" s="4"/>
      <c r="L25" s="4">
        <v>47.15</v>
      </c>
      <c r="M25" s="4"/>
      <c r="N25" s="4"/>
      <c r="O25" s="4">
        <v>47.15</v>
      </c>
      <c r="P25" s="4"/>
      <c r="Q25" s="14"/>
      <c r="R25" s="4"/>
      <c r="S25" s="4" t="s">
        <v>63</v>
      </c>
      <c r="T25" s="4" t="s">
        <v>63</v>
      </c>
      <c r="U25" s="4"/>
      <c r="V25" s="4"/>
      <c r="W25" s="4"/>
      <c r="X25" s="4"/>
    </row>
    <row r="26" spans="1:24" x14ac:dyDescent="0.2">
      <c r="A26" s="8" t="s">
        <v>39</v>
      </c>
      <c r="B26" s="8" t="s">
        <v>1213</v>
      </c>
      <c r="C26" s="8" t="s">
        <v>1212</v>
      </c>
      <c r="D26" s="4"/>
      <c r="E26" s="4"/>
      <c r="F26" s="4">
        <v>60.08</v>
      </c>
      <c r="G26" s="4"/>
      <c r="H26" s="4"/>
      <c r="I26" s="4">
        <v>60.08</v>
      </c>
      <c r="J26" s="4"/>
      <c r="K26" s="4"/>
      <c r="L26" s="4">
        <v>60.08</v>
      </c>
      <c r="M26" s="4"/>
      <c r="N26" s="4"/>
      <c r="O26" s="4">
        <v>60.08</v>
      </c>
      <c r="P26" s="4"/>
      <c r="Q26" s="14"/>
      <c r="R26" s="4"/>
      <c r="S26" s="4" t="s">
        <v>63</v>
      </c>
      <c r="T26" s="4" t="s">
        <v>63</v>
      </c>
      <c r="U26" s="4"/>
      <c r="V26" s="4"/>
      <c r="W26" s="4"/>
      <c r="X2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6"/>
  <sheetViews>
    <sheetView workbookViewId="0">
      <selection activeCell="Q6" sqref="Q6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5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SUM(E5:G6)</f>
        <v>55.59</v>
      </c>
      <c r="G2" s="6"/>
      <c r="H2" s="6"/>
      <c r="I2" s="6">
        <f>SUM(H5:J6)</f>
        <v>55.59</v>
      </c>
      <c r="J2" s="6"/>
      <c r="K2" s="6"/>
      <c r="L2" s="6">
        <f>SUM(K5:M6)</f>
        <v>55.59</v>
      </c>
      <c r="M2" s="6"/>
      <c r="N2" s="6"/>
      <c r="O2" s="6">
        <f>SUM(N5:P6)</f>
        <v>55.59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40</v>
      </c>
      <c r="B5" s="8" t="s">
        <v>1214</v>
      </c>
      <c r="C5" s="8" t="s">
        <v>1215</v>
      </c>
      <c r="D5" s="4"/>
      <c r="E5" s="4">
        <v>28.63</v>
      </c>
      <c r="F5" s="4"/>
      <c r="G5" s="4">
        <v>26.96</v>
      </c>
      <c r="H5" s="4">
        <v>28.63</v>
      </c>
      <c r="I5" s="4"/>
      <c r="J5" s="4">
        <v>26.96</v>
      </c>
      <c r="K5" s="4">
        <v>28.63</v>
      </c>
      <c r="L5" s="4"/>
      <c r="M5" s="4">
        <v>26.96</v>
      </c>
      <c r="N5" s="4">
        <v>28.63</v>
      </c>
      <c r="O5" s="4"/>
      <c r="P5" s="4">
        <v>26.96</v>
      </c>
      <c r="Q5" s="4" t="s">
        <v>1775</v>
      </c>
      <c r="R5" s="14"/>
      <c r="S5" s="14"/>
      <c r="T5" s="14"/>
      <c r="U5" s="4"/>
      <c r="V5" s="4"/>
      <c r="W5" s="4"/>
      <c r="X5" s="4"/>
    </row>
    <row r="6" spans="1:24" x14ac:dyDescent="0.2">
      <c r="A6" s="8" t="s">
        <v>40</v>
      </c>
      <c r="B6" s="8" t="s">
        <v>1216</v>
      </c>
      <c r="C6" s="8" t="s">
        <v>1217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1775</v>
      </c>
      <c r="R6" s="14"/>
      <c r="S6" s="4"/>
      <c r="T6" s="4"/>
      <c r="U6" s="4" t="s">
        <v>1775</v>
      </c>
      <c r="V6" s="4"/>
      <c r="W6" s="4"/>
      <c r="X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33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SUM(E5:G33)</f>
        <v>444.75</v>
      </c>
      <c r="G2" s="6"/>
      <c r="H2" s="6"/>
      <c r="I2" s="6">
        <f>SUM(H5:J33)</f>
        <v>444.75</v>
      </c>
      <c r="J2" s="6"/>
      <c r="K2" s="6"/>
      <c r="L2" s="6">
        <f>SUM(K5:M33)</f>
        <v>444.75</v>
      </c>
      <c r="M2" s="6"/>
      <c r="N2" s="6"/>
      <c r="O2" s="6">
        <f>SUM(N5:P33)</f>
        <v>444.75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41</v>
      </c>
      <c r="B5" s="8" t="s">
        <v>1218</v>
      </c>
      <c r="C5" s="8" t="s">
        <v>1219</v>
      </c>
      <c r="D5" s="4"/>
      <c r="E5" s="4"/>
      <c r="F5" s="4"/>
      <c r="G5" s="4">
        <v>57.8</v>
      </c>
      <c r="H5" s="4"/>
      <c r="I5" s="4"/>
      <c r="J5" s="4">
        <v>57.8</v>
      </c>
      <c r="K5" s="4"/>
      <c r="L5" s="4"/>
      <c r="M5" s="4">
        <v>57.8</v>
      </c>
      <c r="N5" s="4"/>
      <c r="O5" s="4"/>
      <c r="P5" s="4">
        <v>57.8</v>
      </c>
      <c r="Q5" s="4"/>
      <c r="R5" s="4"/>
      <c r="S5" s="4" t="s">
        <v>64</v>
      </c>
      <c r="T5" s="4" t="s">
        <v>64</v>
      </c>
      <c r="U5" s="4"/>
      <c r="V5" s="4"/>
      <c r="W5" s="4"/>
      <c r="X5" s="4"/>
    </row>
    <row r="6" spans="1:24" x14ac:dyDescent="0.2">
      <c r="A6" s="8" t="s">
        <v>41</v>
      </c>
      <c r="B6" s="8" t="s">
        <v>1220</v>
      </c>
      <c r="C6" s="8" t="s">
        <v>1221</v>
      </c>
      <c r="D6" s="4"/>
      <c r="E6" s="4"/>
      <c r="F6" s="4">
        <v>386.95</v>
      </c>
      <c r="G6" s="4"/>
      <c r="H6" s="4"/>
      <c r="I6" s="4">
        <v>386.95</v>
      </c>
      <c r="J6" s="4"/>
      <c r="K6" s="4"/>
      <c r="L6" s="4">
        <v>386.95</v>
      </c>
      <c r="M6" s="4"/>
      <c r="N6" s="4"/>
      <c r="O6" s="4">
        <v>386.95</v>
      </c>
      <c r="P6" s="4"/>
      <c r="Q6" s="4"/>
      <c r="R6" s="4"/>
      <c r="S6" s="4" t="s">
        <v>63</v>
      </c>
      <c r="T6" s="4"/>
      <c r="U6" s="4"/>
      <c r="V6" s="4"/>
      <c r="W6" s="4"/>
      <c r="X6" s="4"/>
    </row>
    <row r="7" spans="1:24" x14ac:dyDescent="0.2">
      <c r="A7" s="8" t="s">
        <v>41</v>
      </c>
      <c r="B7" s="8" t="s">
        <v>101</v>
      </c>
      <c r="C7" s="8" t="s">
        <v>1222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">
      <c r="A8" s="8" t="s">
        <v>41</v>
      </c>
      <c r="B8" s="8" t="s">
        <v>101</v>
      </c>
      <c r="C8" s="8" t="s">
        <v>1223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">
      <c r="A9" s="8" t="s">
        <v>41</v>
      </c>
      <c r="B9" s="8" t="s">
        <v>101</v>
      </c>
      <c r="C9" s="8" t="s">
        <v>1224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41</v>
      </c>
      <c r="B10" s="8" t="s">
        <v>101</v>
      </c>
      <c r="C10" s="8" t="s">
        <v>1225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">
      <c r="A11" s="8" t="s">
        <v>41</v>
      </c>
      <c r="B11" s="8" t="s">
        <v>101</v>
      </c>
      <c r="C11" s="8" t="s">
        <v>1226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">
      <c r="A12" s="8" t="s">
        <v>41</v>
      </c>
      <c r="B12" s="8" t="s">
        <v>101</v>
      </c>
      <c r="C12" s="8" t="s">
        <v>1227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">
      <c r="A13" s="8" t="s">
        <v>41</v>
      </c>
      <c r="B13" s="8" t="s">
        <v>101</v>
      </c>
      <c r="C13" s="8" t="s">
        <v>1228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">
      <c r="A14" s="8" t="s">
        <v>41</v>
      </c>
      <c r="B14" s="8" t="s">
        <v>101</v>
      </c>
      <c r="C14" s="8" t="s">
        <v>1229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">
      <c r="A15" s="8" t="s">
        <v>41</v>
      </c>
      <c r="B15" s="8" t="s">
        <v>101</v>
      </c>
      <c r="C15" s="8" t="s">
        <v>1230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">
      <c r="A16" s="8" t="s">
        <v>41</v>
      </c>
      <c r="B16" s="8" t="s">
        <v>101</v>
      </c>
      <c r="C16" s="8" t="s">
        <v>1231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">
      <c r="A17" s="8" t="s">
        <v>41</v>
      </c>
      <c r="B17" s="8" t="s">
        <v>101</v>
      </c>
      <c r="C17" s="8" t="s">
        <v>1232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">
      <c r="A18" s="8" t="s">
        <v>41</v>
      </c>
      <c r="B18" s="8" t="s">
        <v>101</v>
      </c>
      <c r="C18" s="8" t="s">
        <v>1233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">
      <c r="A19" s="8" t="s">
        <v>41</v>
      </c>
      <c r="B19" s="8" t="s">
        <v>101</v>
      </c>
      <c r="C19" s="8" t="s">
        <v>1234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63</v>
      </c>
      <c r="U19" s="4"/>
      <c r="V19" s="4"/>
      <c r="W19" s="4"/>
      <c r="X19" s="4"/>
    </row>
    <row r="20" spans="1:24" x14ac:dyDescent="0.2">
      <c r="A20" s="8" t="s">
        <v>41</v>
      </c>
      <c r="B20" s="8" t="s">
        <v>101</v>
      </c>
      <c r="C20" s="8" t="s">
        <v>1235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8" t="s">
        <v>41</v>
      </c>
      <c r="B21" s="8" t="s">
        <v>101</v>
      </c>
      <c r="C21" s="8" t="s">
        <v>1236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63</v>
      </c>
      <c r="U21" s="4"/>
      <c r="V21" s="4"/>
      <c r="W21" s="4"/>
      <c r="X21" s="4"/>
    </row>
    <row r="22" spans="1:24" x14ac:dyDescent="0.2">
      <c r="A22" s="8" t="s">
        <v>41</v>
      </c>
      <c r="B22" s="8" t="s">
        <v>101</v>
      </c>
      <c r="C22" s="8" t="s">
        <v>1237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">
      <c r="A23" s="8" t="s">
        <v>41</v>
      </c>
      <c r="B23" s="8" t="s">
        <v>101</v>
      </c>
      <c r="C23" s="8" t="s">
        <v>1238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 t="s">
        <v>63</v>
      </c>
      <c r="U23" s="4"/>
      <c r="V23" s="4"/>
      <c r="W23" s="4"/>
      <c r="X23" s="4"/>
    </row>
    <row r="24" spans="1:24" x14ac:dyDescent="0.2">
      <c r="A24" s="8" t="s">
        <v>41</v>
      </c>
      <c r="B24" s="8" t="s">
        <v>101</v>
      </c>
      <c r="C24" s="8" t="s">
        <v>1239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8" t="s">
        <v>41</v>
      </c>
      <c r="B25" s="8" t="s">
        <v>101</v>
      </c>
      <c r="C25" s="8" t="s">
        <v>1240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63</v>
      </c>
      <c r="U25" s="4"/>
      <c r="V25" s="4"/>
      <c r="W25" s="4"/>
      <c r="X25" s="4"/>
    </row>
    <row r="26" spans="1:24" x14ac:dyDescent="0.2">
      <c r="A26" s="8" t="s">
        <v>41</v>
      </c>
      <c r="B26" s="8" t="s">
        <v>101</v>
      </c>
      <c r="C26" s="8" t="s">
        <v>1241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">
      <c r="A27" s="8" t="s">
        <v>41</v>
      </c>
      <c r="B27" s="8" t="s">
        <v>101</v>
      </c>
      <c r="C27" s="8" t="s">
        <v>1242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63</v>
      </c>
      <c r="U27" s="4"/>
      <c r="V27" s="4"/>
      <c r="W27" s="4"/>
      <c r="X27" s="4"/>
    </row>
    <row r="28" spans="1:24" x14ac:dyDescent="0.2">
      <c r="A28" s="8" t="s">
        <v>41</v>
      </c>
      <c r="B28" s="8" t="s">
        <v>101</v>
      </c>
      <c r="C28" s="8" t="s">
        <v>1243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">
      <c r="A29" s="8" t="s">
        <v>41</v>
      </c>
      <c r="B29" s="8" t="s">
        <v>101</v>
      </c>
      <c r="C29" s="8" t="s">
        <v>1244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63</v>
      </c>
      <c r="U29" s="4"/>
      <c r="V29" s="4"/>
      <c r="W29" s="4"/>
      <c r="X29" s="4"/>
    </row>
    <row r="30" spans="1:24" x14ac:dyDescent="0.2">
      <c r="A30" s="8" t="s">
        <v>41</v>
      </c>
      <c r="B30" s="8" t="s">
        <v>101</v>
      </c>
      <c r="C30" s="8" t="s">
        <v>1245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8" t="s">
        <v>41</v>
      </c>
      <c r="B31" s="8" t="s">
        <v>1246</v>
      </c>
      <c r="C31" s="8" t="s">
        <v>1221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63</v>
      </c>
      <c r="U31" s="4"/>
      <c r="V31" s="4"/>
      <c r="W31" s="4"/>
      <c r="X31" s="4"/>
    </row>
    <row r="32" spans="1:24" x14ac:dyDescent="0.2">
      <c r="A32" s="8" t="s">
        <v>41</v>
      </c>
      <c r="B32" s="8" t="s">
        <v>1247</v>
      </c>
      <c r="C32" s="8" t="s">
        <v>1248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63</v>
      </c>
      <c r="U32" s="4"/>
      <c r="V32" s="4"/>
      <c r="W32" s="4"/>
      <c r="X32" s="4"/>
    </row>
    <row r="33" spans="1:24" x14ac:dyDescent="0.2">
      <c r="A33" s="8" t="s">
        <v>41</v>
      </c>
      <c r="B33" s="8" t="s">
        <v>1249</v>
      </c>
      <c r="C33" s="8" t="s">
        <v>1250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63</v>
      </c>
      <c r="U33" s="4"/>
      <c r="V33" s="4"/>
      <c r="W33" s="4"/>
      <c r="X3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58"/>
  <sheetViews>
    <sheetView topLeftCell="A17" zoomScale="130" zoomScaleNormal="130" workbookViewId="0">
      <selection activeCell="S13" sqref="S13:T13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64" customWidth="1"/>
    <col min="4" max="4" width="20.5" customWidth="1"/>
    <col min="5" max="12" width="12.6640625" hidden="1" customWidth="1"/>
    <col min="13" max="13" width="8" hidden="1" customWidth="1"/>
    <col min="14" max="14" width="10" hidden="1" customWidth="1"/>
    <col min="15" max="15" width="8" hidden="1" customWidth="1"/>
    <col min="16" max="16" width="11.1640625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SUM(E5:G58)</f>
        <v>6406.2799999999988</v>
      </c>
      <c r="G2" s="6"/>
      <c r="H2" s="6"/>
      <c r="I2" s="6">
        <f>SUM(H5:J58)</f>
        <v>6406.2799999999988</v>
      </c>
      <c r="J2" s="6"/>
      <c r="K2" s="6"/>
      <c r="L2" s="6">
        <f>SUM(K5:M58)</f>
        <v>6406.2799999999988</v>
      </c>
      <c r="M2" s="6"/>
      <c r="N2" s="6"/>
      <c r="O2" s="6">
        <f>SUM(N5:P58)</f>
        <v>6406.2799999999988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42</v>
      </c>
      <c r="B5" s="8" t="s">
        <v>1251</v>
      </c>
      <c r="C5" s="8" t="s">
        <v>1252</v>
      </c>
      <c r="D5" s="4"/>
      <c r="E5" s="4"/>
      <c r="F5" s="4">
        <v>271.86</v>
      </c>
      <c r="G5" s="4"/>
      <c r="H5" s="4"/>
      <c r="I5" s="4">
        <v>271.86</v>
      </c>
      <c r="J5" s="4"/>
      <c r="K5" s="4"/>
      <c r="L5" s="4">
        <v>271.86</v>
      </c>
      <c r="M5" s="4"/>
      <c r="N5" s="4"/>
      <c r="O5" s="4">
        <v>271.86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42</v>
      </c>
      <c r="B6" s="8" t="s">
        <v>101</v>
      </c>
      <c r="C6" s="8" t="s">
        <v>1253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">
      <c r="A7" s="8" t="s">
        <v>42</v>
      </c>
      <c r="B7" s="8" t="s">
        <v>101</v>
      </c>
      <c r="C7" s="8" t="s">
        <v>1254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">
      <c r="A8" s="8" t="s">
        <v>42</v>
      </c>
      <c r="B8" s="8" t="s">
        <v>1255</v>
      </c>
      <c r="C8" s="8" t="s">
        <v>1256</v>
      </c>
      <c r="D8" s="4"/>
      <c r="E8" s="4"/>
      <c r="F8" s="4">
        <v>411.33</v>
      </c>
      <c r="G8" s="4"/>
      <c r="H8" s="4"/>
      <c r="I8" s="4">
        <v>411.33</v>
      </c>
      <c r="J8" s="4"/>
      <c r="K8" s="4"/>
      <c r="L8" s="4">
        <v>411.33</v>
      </c>
      <c r="M8" s="4"/>
      <c r="N8" s="4"/>
      <c r="O8" s="4">
        <v>411.33</v>
      </c>
      <c r="P8" s="4"/>
      <c r="Q8" s="4"/>
      <c r="R8" s="4"/>
      <c r="S8" s="4" t="s">
        <v>63</v>
      </c>
      <c r="T8" s="4"/>
      <c r="U8" s="4"/>
      <c r="V8" s="4"/>
      <c r="W8" s="4"/>
      <c r="X8" s="4"/>
    </row>
    <row r="9" spans="1:24" x14ac:dyDescent="0.2">
      <c r="A9" s="8" t="s">
        <v>42</v>
      </c>
      <c r="B9" s="8" t="s">
        <v>1257</v>
      </c>
      <c r="C9" s="8" t="s">
        <v>1258</v>
      </c>
      <c r="D9" s="4"/>
      <c r="E9" s="4"/>
      <c r="F9" s="4">
        <v>82.91</v>
      </c>
      <c r="G9" s="4"/>
      <c r="H9" s="4"/>
      <c r="I9" s="4">
        <v>82.91</v>
      </c>
      <c r="J9" s="4"/>
      <c r="K9" s="4"/>
      <c r="L9" s="4">
        <v>82.91</v>
      </c>
      <c r="M9" s="4"/>
      <c r="N9" s="4"/>
      <c r="O9" s="4">
        <v>82.91</v>
      </c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42</v>
      </c>
      <c r="B10" s="8" t="s">
        <v>1259</v>
      </c>
      <c r="C10" s="8" t="s">
        <v>1260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">
      <c r="A11" s="8" t="s">
        <v>42</v>
      </c>
      <c r="B11" s="8" t="s">
        <v>1261</v>
      </c>
      <c r="C11" s="8" t="s">
        <v>1262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62</v>
      </c>
      <c r="T11" s="4"/>
      <c r="U11" s="4"/>
      <c r="V11" s="4"/>
      <c r="W11" s="4"/>
      <c r="X11" s="4"/>
    </row>
    <row r="12" spans="1:24" x14ac:dyDescent="0.2">
      <c r="A12" s="8" t="s">
        <v>42</v>
      </c>
      <c r="B12" s="8" t="s">
        <v>1263</v>
      </c>
      <c r="C12" s="8" t="s">
        <v>1264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62</v>
      </c>
      <c r="T12" s="4"/>
      <c r="U12" s="4"/>
      <c r="V12" s="4"/>
      <c r="W12" s="4"/>
      <c r="X12" s="4"/>
    </row>
    <row r="13" spans="1:24" x14ac:dyDescent="0.2">
      <c r="A13" s="8" t="s">
        <v>42</v>
      </c>
      <c r="B13" s="8" t="s">
        <v>1265</v>
      </c>
      <c r="C13" s="8" t="s">
        <v>1266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62</v>
      </c>
      <c r="T13" s="4" t="s">
        <v>64</v>
      </c>
      <c r="U13" s="4"/>
      <c r="V13" s="4"/>
      <c r="W13" s="4"/>
      <c r="X13" s="4"/>
    </row>
    <row r="14" spans="1:24" x14ac:dyDescent="0.2">
      <c r="A14" s="8" t="s">
        <v>42</v>
      </c>
      <c r="B14" s="8" t="s">
        <v>1267</v>
      </c>
      <c r="C14" s="8" t="s">
        <v>1268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62</v>
      </c>
      <c r="T14" s="4" t="s">
        <v>64</v>
      </c>
      <c r="U14" s="4"/>
      <c r="V14" s="4"/>
      <c r="W14" s="4"/>
      <c r="X14" s="4"/>
    </row>
    <row r="15" spans="1:24" x14ac:dyDescent="0.2">
      <c r="A15" s="8" t="s">
        <v>42</v>
      </c>
      <c r="B15" s="8" t="s">
        <v>1269</v>
      </c>
      <c r="C15" s="8" t="s">
        <v>1270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62</v>
      </c>
      <c r="T15" s="4" t="s">
        <v>64</v>
      </c>
      <c r="U15" s="4"/>
      <c r="V15" s="4"/>
      <c r="W15" s="4"/>
      <c r="X15" s="4"/>
    </row>
    <row r="16" spans="1:24" x14ac:dyDescent="0.2">
      <c r="A16" s="8" t="s">
        <v>42</v>
      </c>
      <c r="B16" s="8" t="s">
        <v>1271</v>
      </c>
      <c r="C16" s="8" t="s">
        <v>1272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62</v>
      </c>
      <c r="T16" s="4" t="s">
        <v>64</v>
      </c>
      <c r="U16" s="4"/>
      <c r="V16" s="4"/>
      <c r="W16" s="4"/>
      <c r="X16" s="4"/>
    </row>
    <row r="17" spans="1:24" x14ac:dyDescent="0.2">
      <c r="A17" s="8" t="s">
        <v>42</v>
      </c>
      <c r="B17" s="8" t="s">
        <v>1273</v>
      </c>
      <c r="C17" s="8" t="s">
        <v>1274</v>
      </c>
      <c r="D17" s="4"/>
      <c r="E17" s="4">
        <v>66.22</v>
      </c>
      <c r="F17" s="4"/>
      <c r="G17" s="4">
        <v>64.88</v>
      </c>
      <c r="H17" s="4">
        <v>66.22</v>
      </c>
      <c r="I17" s="4"/>
      <c r="J17" s="4">
        <v>64.88</v>
      </c>
      <c r="K17" s="4">
        <v>66.22</v>
      </c>
      <c r="L17" s="4"/>
      <c r="M17" s="4">
        <v>64.88</v>
      </c>
      <c r="N17" s="4">
        <v>66.22</v>
      </c>
      <c r="O17" s="4"/>
      <c r="P17" s="4">
        <v>64.88</v>
      </c>
      <c r="Q17" s="4"/>
      <c r="R17" s="4"/>
      <c r="S17" s="4" t="s">
        <v>62</v>
      </c>
      <c r="T17" s="4" t="s">
        <v>64</v>
      </c>
      <c r="U17" s="4"/>
      <c r="V17" s="4"/>
      <c r="W17" s="4"/>
      <c r="X17" s="4"/>
    </row>
    <row r="18" spans="1:24" x14ac:dyDescent="0.2">
      <c r="A18" s="8" t="s">
        <v>42</v>
      </c>
      <c r="B18" s="8" t="s">
        <v>1275</v>
      </c>
      <c r="C18" s="8" t="s">
        <v>1276</v>
      </c>
      <c r="D18" s="4"/>
      <c r="E18" s="4">
        <v>77.84</v>
      </c>
      <c r="F18" s="4"/>
      <c r="G18" s="4">
        <v>73.08</v>
      </c>
      <c r="H18" s="4">
        <v>77.84</v>
      </c>
      <c r="I18" s="4"/>
      <c r="J18" s="4">
        <v>73.08</v>
      </c>
      <c r="K18" s="4">
        <v>77.84</v>
      </c>
      <c r="L18" s="4"/>
      <c r="M18" s="4">
        <v>73.08</v>
      </c>
      <c r="N18" s="4">
        <v>77.84</v>
      </c>
      <c r="O18" s="4"/>
      <c r="P18" s="4">
        <v>73.08</v>
      </c>
      <c r="Q18" s="4" t="s">
        <v>62</v>
      </c>
      <c r="R18" s="4"/>
      <c r="S18" s="4" t="s">
        <v>64</v>
      </c>
      <c r="T18" s="4" t="s">
        <v>62</v>
      </c>
      <c r="U18" s="4"/>
      <c r="V18" s="4"/>
      <c r="W18" s="4"/>
      <c r="X18" s="4"/>
    </row>
    <row r="19" spans="1:24" x14ac:dyDescent="0.2">
      <c r="A19" s="8" t="s">
        <v>42</v>
      </c>
      <c r="B19" s="8" t="s">
        <v>1277</v>
      </c>
      <c r="C19" s="8" t="s">
        <v>1278</v>
      </c>
      <c r="D19" s="4"/>
      <c r="E19" s="4">
        <v>58.58</v>
      </c>
      <c r="F19" s="4"/>
      <c r="G19" s="4">
        <v>58.84</v>
      </c>
      <c r="H19" s="4">
        <v>58.58</v>
      </c>
      <c r="I19" s="4"/>
      <c r="J19" s="4">
        <v>58.84</v>
      </c>
      <c r="K19" s="4">
        <v>58.58</v>
      </c>
      <c r="L19" s="4"/>
      <c r="M19" s="4">
        <v>58.84</v>
      </c>
      <c r="N19" s="4">
        <v>58.58</v>
      </c>
      <c r="O19" s="4"/>
      <c r="P19" s="4">
        <v>58.84</v>
      </c>
      <c r="Q19" s="4" t="s">
        <v>62</v>
      </c>
      <c r="R19" s="4"/>
      <c r="S19" s="4" t="s">
        <v>64</v>
      </c>
      <c r="T19" s="4" t="s">
        <v>62</v>
      </c>
      <c r="U19" s="4"/>
      <c r="V19" s="4"/>
      <c r="W19" s="4"/>
      <c r="X19" s="4"/>
    </row>
    <row r="20" spans="1:24" x14ac:dyDescent="0.2">
      <c r="A20" s="8" t="s">
        <v>42</v>
      </c>
      <c r="B20" s="8" t="s">
        <v>1279</v>
      </c>
      <c r="C20" s="8" t="s">
        <v>1280</v>
      </c>
      <c r="D20" s="4"/>
      <c r="E20" s="4">
        <v>97.36</v>
      </c>
      <c r="F20" s="4"/>
      <c r="G20" s="4">
        <v>94.69</v>
      </c>
      <c r="H20" s="4">
        <v>97.36</v>
      </c>
      <c r="I20" s="4"/>
      <c r="J20" s="4">
        <v>94.69</v>
      </c>
      <c r="K20" s="4">
        <v>97.36</v>
      </c>
      <c r="L20" s="4"/>
      <c r="M20" s="4">
        <v>94.69</v>
      </c>
      <c r="N20" s="4">
        <v>97.36</v>
      </c>
      <c r="O20" s="4"/>
      <c r="P20" s="4">
        <v>94.69</v>
      </c>
      <c r="Q20" s="4" t="s">
        <v>62</v>
      </c>
      <c r="R20" s="4"/>
      <c r="S20" s="4" t="s">
        <v>64</v>
      </c>
      <c r="T20" s="4" t="s">
        <v>62</v>
      </c>
      <c r="U20" s="4"/>
      <c r="V20" s="4"/>
      <c r="W20" s="4"/>
      <c r="X20" s="4"/>
    </row>
    <row r="21" spans="1:24" x14ac:dyDescent="0.2">
      <c r="A21" s="8" t="s">
        <v>42</v>
      </c>
      <c r="B21" s="8" t="s">
        <v>1281</v>
      </c>
      <c r="C21" s="8" t="s">
        <v>1282</v>
      </c>
      <c r="D21" s="4"/>
      <c r="E21" s="4">
        <v>83.17</v>
      </c>
      <c r="F21" s="4"/>
      <c r="G21" s="4">
        <v>83.07</v>
      </c>
      <c r="H21" s="4">
        <v>83.17</v>
      </c>
      <c r="I21" s="4"/>
      <c r="J21" s="4">
        <v>83.07</v>
      </c>
      <c r="K21" s="4">
        <v>83.17</v>
      </c>
      <c r="L21" s="4"/>
      <c r="M21" s="4">
        <v>83.07</v>
      </c>
      <c r="N21" s="4">
        <v>83.17</v>
      </c>
      <c r="O21" s="4"/>
      <c r="P21" s="4">
        <v>83.07</v>
      </c>
      <c r="Q21" s="4" t="s">
        <v>62</v>
      </c>
      <c r="R21" s="4"/>
      <c r="S21" s="4" t="s">
        <v>64</v>
      </c>
      <c r="T21" s="4" t="s">
        <v>62</v>
      </c>
      <c r="U21" s="4"/>
      <c r="V21" s="4"/>
      <c r="W21" s="4"/>
      <c r="X21" s="4"/>
    </row>
    <row r="22" spans="1:24" x14ac:dyDescent="0.2">
      <c r="A22" s="8" t="s">
        <v>42</v>
      </c>
      <c r="B22" s="8" t="s">
        <v>1283</v>
      </c>
      <c r="C22" s="8" t="s">
        <v>1284</v>
      </c>
      <c r="D22" s="4"/>
      <c r="E22" s="4">
        <v>132.74</v>
      </c>
      <c r="F22" s="4"/>
      <c r="G22" s="4">
        <v>131.66999999999999</v>
      </c>
      <c r="H22" s="4">
        <v>132.74</v>
      </c>
      <c r="I22" s="4"/>
      <c r="J22" s="4">
        <v>131.66999999999999</v>
      </c>
      <c r="K22" s="4">
        <v>132.74</v>
      </c>
      <c r="L22" s="4"/>
      <c r="M22" s="4">
        <v>131.66999999999999</v>
      </c>
      <c r="N22" s="4">
        <v>132.74</v>
      </c>
      <c r="O22" s="4"/>
      <c r="P22" s="4">
        <v>131.66999999999999</v>
      </c>
      <c r="Q22" s="4" t="s">
        <v>62</v>
      </c>
      <c r="R22" s="4"/>
      <c r="S22" s="4" t="s">
        <v>64</v>
      </c>
      <c r="T22" s="4" t="s">
        <v>62</v>
      </c>
      <c r="U22" s="4"/>
      <c r="V22" s="4"/>
      <c r="W22" s="4"/>
      <c r="X22" s="4"/>
    </row>
    <row r="23" spans="1:24" x14ac:dyDescent="0.2">
      <c r="A23" s="8" t="s">
        <v>42</v>
      </c>
      <c r="B23" s="8" t="s">
        <v>1285</v>
      </c>
      <c r="C23" s="8" t="s">
        <v>1286</v>
      </c>
      <c r="D23" s="4"/>
      <c r="E23" s="4">
        <v>131.4</v>
      </c>
      <c r="F23" s="4"/>
      <c r="G23" s="4">
        <v>132.61000000000001</v>
      </c>
      <c r="H23" s="4">
        <v>131.4</v>
      </c>
      <c r="I23" s="4"/>
      <c r="J23" s="4">
        <v>132.61000000000001</v>
      </c>
      <c r="K23" s="4">
        <v>131.4</v>
      </c>
      <c r="L23" s="4"/>
      <c r="M23" s="4">
        <v>132.61000000000001</v>
      </c>
      <c r="N23" s="4">
        <v>131.4</v>
      </c>
      <c r="O23" s="4"/>
      <c r="P23" s="4">
        <v>132.61000000000001</v>
      </c>
      <c r="Q23" s="4" t="s">
        <v>62</v>
      </c>
      <c r="R23" s="4"/>
      <c r="S23" s="4" t="s">
        <v>64</v>
      </c>
      <c r="T23" s="4" t="s">
        <v>62</v>
      </c>
      <c r="U23" s="4"/>
      <c r="V23" s="4"/>
      <c r="W23" s="4"/>
      <c r="X23" s="4"/>
    </row>
    <row r="24" spans="1:24" x14ac:dyDescent="0.2">
      <c r="A24" s="8" t="s">
        <v>42</v>
      </c>
      <c r="B24" s="8" t="s">
        <v>1287</v>
      </c>
      <c r="C24" s="8" t="s">
        <v>1288</v>
      </c>
      <c r="D24" s="4"/>
      <c r="E24" s="4">
        <v>132.13999999999999</v>
      </c>
      <c r="F24" s="4"/>
      <c r="G24" s="4">
        <v>128.58000000000001</v>
      </c>
      <c r="H24" s="4">
        <v>132.13999999999999</v>
      </c>
      <c r="I24" s="4"/>
      <c r="J24" s="4">
        <v>128.58000000000001</v>
      </c>
      <c r="K24" s="4">
        <v>132.13999999999999</v>
      </c>
      <c r="L24" s="4"/>
      <c r="M24" s="4">
        <v>128.58000000000001</v>
      </c>
      <c r="N24" s="4">
        <v>132.13999999999999</v>
      </c>
      <c r="O24" s="4"/>
      <c r="P24" s="4">
        <v>128.58000000000001</v>
      </c>
      <c r="Q24" s="4" t="s">
        <v>1775</v>
      </c>
      <c r="R24" s="4"/>
      <c r="S24" s="4" t="s">
        <v>64</v>
      </c>
      <c r="T24" s="4" t="s">
        <v>62</v>
      </c>
      <c r="U24" s="4"/>
      <c r="V24" s="4"/>
      <c r="W24" s="4"/>
      <c r="X24" s="4"/>
    </row>
    <row r="25" spans="1:24" x14ac:dyDescent="0.2">
      <c r="A25" s="8" t="s">
        <v>42</v>
      </c>
      <c r="B25" s="8" t="s">
        <v>1289</v>
      </c>
      <c r="C25" s="8" t="s">
        <v>1290</v>
      </c>
      <c r="D25" s="4"/>
      <c r="E25" s="4">
        <v>128.01</v>
      </c>
      <c r="F25" s="4"/>
      <c r="G25" s="4">
        <v>130.33000000000001</v>
      </c>
      <c r="H25" s="4">
        <v>128.01</v>
      </c>
      <c r="I25" s="4"/>
      <c r="J25" s="4">
        <v>130.33000000000001</v>
      </c>
      <c r="K25" s="4">
        <v>128.01</v>
      </c>
      <c r="L25" s="4"/>
      <c r="M25" s="4">
        <v>130.33000000000001</v>
      </c>
      <c r="N25" s="4">
        <v>128.01</v>
      </c>
      <c r="O25" s="4"/>
      <c r="P25" s="4">
        <v>130.33000000000001</v>
      </c>
      <c r="Q25" s="4" t="s">
        <v>1775</v>
      </c>
      <c r="R25" s="4"/>
      <c r="S25" s="4" t="s">
        <v>64</v>
      </c>
      <c r="T25" s="4" t="s">
        <v>62</v>
      </c>
      <c r="U25" s="4"/>
      <c r="V25" s="4"/>
      <c r="W25" s="4"/>
      <c r="X25" s="4"/>
    </row>
    <row r="26" spans="1:24" x14ac:dyDescent="0.2">
      <c r="A26" s="8" t="s">
        <v>42</v>
      </c>
      <c r="B26" s="8" t="s">
        <v>1291</v>
      </c>
      <c r="C26" s="8" t="s">
        <v>1292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">
      <c r="A27" s="8" t="s">
        <v>42</v>
      </c>
      <c r="B27" s="8" t="s">
        <v>1293</v>
      </c>
      <c r="C27" s="8" t="s">
        <v>1294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64</v>
      </c>
      <c r="U27" s="4"/>
      <c r="V27" s="4"/>
      <c r="W27" s="4"/>
      <c r="X27" s="4"/>
    </row>
    <row r="28" spans="1:24" x14ac:dyDescent="0.2">
      <c r="A28" s="8" t="s">
        <v>42</v>
      </c>
      <c r="B28" s="8" t="s">
        <v>1295</v>
      </c>
      <c r="C28" s="8" t="s">
        <v>1296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64</v>
      </c>
      <c r="U28" s="4"/>
      <c r="V28" s="4"/>
      <c r="W28" s="4"/>
      <c r="X28" s="4"/>
    </row>
    <row r="29" spans="1:24" x14ac:dyDescent="0.2">
      <c r="A29" s="8" t="s">
        <v>42</v>
      </c>
      <c r="B29" s="8" t="s">
        <v>1297</v>
      </c>
      <c r="C29" s="8" t="s">
        <v>1298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64</v>
      </c>
      <c r="U29" s="4"/>
      <c r="V29" s="4"/>
      <c r="W29" s="4"/>
      <c r="X29" s="4"/>
    </row>
    <row r="30" spans="1:24" x14ac:dyDescent="0.2">
      <c r="A30" s="8" t="s">
        <v>42</v>
      </c>
      <c r="B30" s="8" t="s">
        <v>1299</v>
      </c>
      <c r="C30" s="8" t="s">
        <v>1300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64</v>
      </c>
      <c r="U30" s="4"/>
      <c r="V30" s="4"/>
      <c r="W30" s="4"/>
      <c r="X30" s="4"/>
    </row>
    <row r="31" spans="1:24" x14ac:dyDescent="0.2">
      <c r="A31" s="8" t="s">
        <v>42</v>
      </c>
      <c r="B31" s="8" t="s">
        <v>1301</v>
      </c>
      <c r="C31" s="8" t="s">
        <v>1302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64</v>
      </c>
      <c r="U31" s="4"/>
      <c r="V31" s="4"/>
      <c r="W31" s="4"/>
      <c r="X31" s="4"/>
    </row>
    <row r="32" spans="1:24" x14ac:dyDescent="0.2">
      <c r="A32" s="8" t="s">
        <v>42</v>
      </c>
      <c r="B32" s="8" t="s">
        <v>1303</v>
      </c>
      <c r="C32" s="8" t="s">
        <v>1304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64</v>
      </c>
      <c r="U32" s="4"/>
      <c r="V32" s="4"/>
      <c r="W32" s="4"/>
      <c r="X32" s="4"/>
    </row>
    <row r="33" spans="1:24" x14ac:dyDescent="0.2">
      <c r="A33" s="8" t="s">
        <v>42</v>
      </c>
      <c r="B33" s="8" t="s">
        <v>1305</v>
      </c>
      <c r="C33" s="8" t="s">
        <v>1306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62</v>
      </c>
      <c r="T33" s="4"/>
      <c r="U33" s="4"/>
      <c r="V33" s="4"/>
      <c r="W33" s="4"/>
      <c r="X33" s="4"/>
    </row>
    <row r="34" spans="1:24" x14ac:dyDescent="0.2">
      <c r="A34" s="8" t="s">
        <v>42</v>
      </c>
      <c r="B34" s="8" t="s">
        <v>1307</v>
      </c>
      <c r="C34" s="8" t="s">
        <v>1308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62</v>
      </c>
      <c r="T34" s="4"/>
      <c r="U34" s="4"/>
      <c r="V34" s="4"/>
      <c r="W34" s="4"/>
      <c r="X34" s="4"/>
    </row>
    <row r="35" spans="1:24" x14ac:dyDescent="0.2">
      <c r="A35" s="8" t="s">
        <v>42</v>
      </c>
      <c r="B35" s="8" t="s">
        <v>1309</v>
      </c>
      <c r="C35" s="8" t="s">
        <v>1310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64</v>
      </c>
      <c r="R35" s="4"/>
      <c r="S35" s="4"/>
      <c r="T35" s="4"/>
      <c r="U35" s="4"/>
      <c r="V35" s="4"/>
      <c r="W35" s="4"/>
      <c r="X35" s="4"/>
    </row>
    <row r="36" spans="1:24" x14ac:dyDescent="0.2">
      <c r="A36" s="8" t="s">
        <v>42</v>
      </c>
      <c r="B36" s="8" t="s">
        <v>1311</v>
      </c>
      <c r="C36" s="8" t="s">
        <v>1312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 t="s">
        <v>1775</v>
      </c>
      <c r="R36" s="4"/>
      <c r="S36" s="4"/>
      <c r="T36" s="4"/>
      <c r="U36" s="4"/>
      <c r="V36" s="4"/>
      <c r="W36" s="4"/>
      <c r="X36" s="4"/>
    </row>
    <row r="37" spans="1:24" x14ac:dyDescent="0.2">
      <c r="A37" s="8" t="s">
        <v>42</v>
      </c>
      <c r="B37" s="8" t="s">
        <v>1313</v>
      </c>
      <c r="C37" s="8" t="s">
        <v>1314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">
      <c r="A38" s="8" t="s">
        <v>42</v>
      </c>
      <c r="B38" s="8" t="s">
        <v>1315</v>
      </c>
      <c r="C38" s="8" t="s">
        <v>1314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">
      <c r="A39" s="8" t="s">
        <v>42</v>
      </c>
      <c r="B39" s="8" t="s">
        <v>1316</v>
      </c>
      <c r="C39" s="8" t="s">
        <v>1314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">
      <c r="A40" s="8" t="s">
        <v>42</v>
      </c>
      <c r="B40" s="8" t="s">
        <v>1317</v>
      </c>
      <c r="C40" s="8" t="s">
        <v>1314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">
      <c r="A41" s="8" t="s">
        <v>42</v>
      </c>
      <c r="B41" s="8" t="s">
        <v>1318</v>
      </c>
      <c r="C41" s="8" t="s">
        <v>1319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">
      <c r="A42" s="8" t="s">
        <v>42</v>
      </c>
      <c r="B42" s="8" t="s">
        <v>1320</v>
      </c>
      <c r="C42" s="8" t="s">
        <v>1319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">
      <c r="A43" s="8" t="s">
        <v>42</v>
      </c>
      <c r="B43" s="8" t="s">
        <v>1321</v>
      </c>
      <c r="C43" s="8" t="s">
        <v>1319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">
      <c r="A44" s="8" t="s">
        <v>42</v>
      </c>
      <c r="B44" s="8" t="s">
        <v>1322</v>
      </c>
      <c r="C44" s="8" t="s">
        <v>1319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">
      <c r="A45" s="8" t="s">
        <v>42</v>
      </c>
      <c r="B45" s="8" t="s">
        <v>1323</v>
      </c>
      <c r="C45" s="8" t="s">
        <v>1324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8" t="s">
        <v>42</v>
      </c>
      <c r="B46" s="8" t="s">
        <v>1325</v>
      </c>
      <c r="C46" s="8" t="s">
        <v>1324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">
      <c r="A47" s="8" t="s">
        <v>42</v>
      </c>
      <c r="B47" s="8" t="s">
        <v>1326</v>
      </c>
      <c r="C47" s="8" t="s">
        <v>1324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">
      <c r="A48" s="8" t="s">
        <v>42</v>
      </c>
      <c r="B48" s="8" t="s">
        <v>1327</v>
      </c>
      <c r="C48" s="8" t="s">
        <v>1324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">
      <c r="A49" s="8" t="s">
        <v>42</v>
      </c>
      <c r="B49" s="8" t="s">
        <v>1328</v>
      </c>
      <c r="C49" s="8" t="s">
        <v>1329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">
      <c r="A50" s="8" t="s">
        <v>42</v>
      </c>
      <c r="B50" s="8" t="s">
        <v>1330</v>
      </c>
      <c r="C50" s="8" t="s">
        <v>1331</v>
      </c>
      <c r="D50" s="8" t="s">
        <v>1275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 t="s">
        <v>62</v>
      </c>
      <c r="R50" s="4"/>
      <c r="S50" s="4"/>
      <c r="T50" s="4" t="s">
        <v>62</v>
      </c>
      <c r="U50" s="4"/>
      <c r="V50" s="4"/>
      <c r="W50" s="4"/>
      <c r="X50" s="4"/>
    </row>
    <row r="51" spans="1:24" x14ac:dyDescent="0.2">
      <c r="A51" s="8" t="s">
        <v>42</v>
      </c>
      <c r="B51" s="8" t="s">
        <v>1332</v>
      </c>
      <c r="C51" s="8" t="s">
        <v>1333</v>
      </c>
      <c r="D51" s="8" t="s">
        <v>1277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 t="s">
        <v>62</v>
      </c>
      <c r="R51" s="4"/>
      <c r="S51" s="4"/>
      <c r="T51" s="4" t="s">
        <v>62</v>
      </c>
      <c r="U51" s="4"/>
      <c r="V51" s="4"/>
      <c r="W51" s="4"/>
      <c r="X51" s="4"/>
    </row>
    <row r="52" spans="1:24" x14ac:dyDescent="0.2">
      <c r="A52" s="8" t="s">
        <v>42</v>
      </c>
      <c r="B52" s="8" t="s">
        <v>1334</v>
      </c>
      <c r="C52" s="8" t="s">
        <v>1335</v>
      </c>
      <c r="D52" s="8" t="s">
        <v>1279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 t="s">
        <v>62</v>
      </c>
      <c r="R52" s="4"/>
      <c r="S52" s="4"/>
      <c r="T52" s="4" t="s">
        <v>62</v>
      </c>
      <c r="U52" s="4"/>
      <c r="V52" s="4"/>
      <c r="W52" s="4"/>
      <c r="X52" s="4"/>
    </row>
    <row r="53" spans="1:24" x14ac:dyDescent="0.2">
      <c r="A53" s="8" t="s">
        <v>42</v>
      </c>
      <c r="B53" s="8" t="s">
        <v>1336</v>
      </c>
      <c r="C53" s="8" t="s">
        <v>1337</v>
      </c>
      <c r="D53" s="8" t="s">
        <v>1281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 t="s">
        <v>62</v>
      </c>
      <c r="R53" s="4"/>
      <c r="S53" s="4"/>
      <c r="T53" s="4" t="s">
        <v>62</v>
      </c>
      <c r="U53" s="4"/>
      <c r="V53" s="4"/>
      <c r="W53" s="4"/>
      <c r="X53" s="4"/>
    </row>
    <row r="54" spans="1:24" x14ac:dyDescent="0.2">
      <c r="A54" s="8" t="s">
        <v>42</v>
      </c>
      <c r="B54" s="8" t="s">
        <v>1338</v>
      </c>
      <c r="C54" s="8" t="s">
        <v>1339</v>
      </c>
      <c r="D54" s="8" t="s">
        <v>1283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 t="s">
        <v>62</v>
      </c>
      <c r="R54" s="4"/>
      <c r="S54" s="4"/>
      <c r="T54" s="4" t="s">
        <v>62</v>
      </c>
      <c r="U54" s="4"/>
      <c r="V54" s="4"/>
      <c r="W54" s="4"/>
      <c r="X54" s="4"/>
    </row>
    <row r="55" spans="1:24" x14ac:dyDescent="0.2">
      <c r="A55" s="8" t="s">
        <v>42</v>
      </c>
      <c r="B55" s="8" t="s">
        <v>1340</v>
      </c>
      <c r="C55" s="8" t="s">
        <v>1341</v>
      </c>
      <c r="D55" s="8" t="s">
        <v>1285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 t="s">
        <v>62</v>
      </c>
      <c r="R55" s="4"/>
      <c r="S55" s="4"/>
      <c r="T55" s="4" t="s">
        <v>62</v>
      </c>
      <c r="U55" s="4"/>
      <c r="V55" s="4"/>
      <c r="W55" s="4"/>
      <c r="X55" s="4"/>
    </row>
    <row r="56" spans="1:24" x14ac:dyDescent="0.2">
      <c r="A56" s="8" t="s">
        <v>42</v>
      </c>
      <c r="B56" s="8" t="s">
        <v>1342</v>
      </c>
      <c r="C56" s="8" t="s">
        <v>1343</v>
      </c>
      <c r="D56" s="8" t="s">
        <v>1287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 t="s">
        <v>62</v>
      </c>
      <c r="R56" s="4"/>
      <c r="S56" s="4"/>
      <c r="T56" s="4" t="s">
        <v>62</v>
      </c>
      <c r="U56" s="4"/>
      <c r="V56" s="4"/>
      <c r="W56" s="4"/>
      <c r="X56" s="4"/>
    </row>
    <row r="57" spans="1:24" x14ac:dyDescent="0.2">
      <c r="A57" s="8" t="s">
        <v>42</v>
      </c>
      <c r="B57" s="8" t="s">
        <v>1344</v>
      </c>
      <c r="C57" s="8" t="s">
        <v>1345</v>
      </c>
      <c r="D57" s="8" t="s">
        <v>1289</v>
      </c>
      <c r="E57" s="4">
        <v>3834.97</v>
      </c>
      <c r="F57" s="4"/>
      <c r="G57" s="4"/>
      <c r="H57" s="4">
        <v>3834.97</v>
      </c>
      <c r="I57" s="4"/>
      <c r="J57" s="4"/>
      <c r="K57" s="4">
        <v>3834.97</v>
      </c>
      <c r="L57" s="4"/>
      <c r="M57" s="4"/>
      <c r="N57" s="4">
        <v>3834.97</v>
      </c>
      <c r="O57" s="4"/>
      <c r="P57" s="4"/>
      <c r="Q57" s="4" t="s">
        <v>62</v>
      </c>
      <c r="R57" s="4"/>
      <c r="S57" s="4"/>
      <c r="T57" s="4" t="s">
        <v>62</v>
      </c>
      <c r="U57" s="4"/>
      <c r="V57" s="4"/>
      <c r="W57" s="4"/>
      <c r="X57" s="4"/>
    </row>
    <row r="58" spans="1:24" x14ac:dyDescent="0.2">
      <c r="A58" s="8" t="s">
        <v>42</v>
      </c>
      <c r="B58" s="8" t="s">
        <v>1346</v>
      </c>
      <c r="C58" s="8" t="s">
        <v>1347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76"/>
  <sheetViews>
    <sheetView topLeftCell="A2" workbookViewId="0">
      <selection activeCell="AC29" sqref="AC29"/>
    </sheetView>
  </sheetViews>
  <sheetFormatPr baseColWidth="10" defaultColWidth="8.83203125" defaultRowHeight="15" x14ac:dyDescent="0.2"/>
  <cols>
    <col min="1" max="1" width="18" customWidth="1"/>
    <col min="2" max="2" width="32" customWidth="1"/>
    <col min="3" max="3" width="64" customWidth="1"/>
    <col min="4" max="4" width="20.1640625" bestFit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SUM(E5:G76)</f>
        <v>12694.25</v>
      </c>
      <c r="G2" s="6"/>
      <c r="H2" s="6"/>
      <c r="I2" s="6">
        <f>SUM(H5:J76)</f>
        <v>12694.25</v>
      </c>
      <c r="J2" s="6"/>
      <c r="K2" s="6"/>
      <c r="L2" s="6">
        <f>SUM(K5:M76)</f>
        <v>12694.25</v>
      </c>
      <c r="M2" s="6"/>
      <c r="N2" s="6"/>
      <c r="O2" s="6">
        <f>SUM(N5:P76)</f>
        <v>12694.25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43</v>
      </c>
      <c r="B5" s="8" t="s">
        <v>101</v>
      </c>
      <c r="C5" s="8" t="s">
        <v>1348</v>
      </c>
      <c r="D5" s="4"/>
      <c r="E5" s="4"/>
      <c r="F5" s="4">
        <v>32.94</v>
      </c>
      <c r="G5" s="4"/>
      <c r="H5" s="4"/>
      <c r="I5" s="4">
        <v>32.94</v>
      </c>
      <c r="J5" s="4"/>
      <c r="K5" s="4"/>
      <c r="L5" s="4">
        <v>32.94</v>
      </c>
      <c r="M5" s="4"/>
      <c r="N5" s="4"/>
      <c r="O5" s="4">
        <v>32.94</v>
      </c>
      <c r="P5" s="4"/>
      <c r="Q5" s="10" t="s">
        <v>1784</v>
      </c>
      <c r="R5" s="10" t="s">
        <v>1784</v>
      </c>
      <c r="S5" s="10" t="s">
        <v>1784</v>
      </c>
      <c r="T5" s="10" t="s">
        <v>1784</v>
      </c>
      <c r="U5" s="4"/>
      <c r="V5" s="4"/>
      <c r="W5" s="4"/>
      <c r="X5" s="4"/>
    </row>
    <row r="6" spans="1:24" x14ac:dyDescent="0.2">
      <c r="A6" s="8" t="s">
        <v>43</v>
      </c>
      <c r="B6" s="8" t="s">
        <v>101</v>
      </c>
      <c r="C6" s="8" t="s">
        <v>1349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10"/>
      <c r="U6" s="4"/>
      <c r="V6" s="4"/>
      <c r="W6" s="4"/>
      <c r="X6" s="4"/>
    </row>
    <row r="7" spans="1:24" x14ac:dyDescent="0.2">
      <c r="A7" s="8" t="s">
        <v>43</v>
      </c>
      <c r="B7" s="8" t="s">
        <v>101</v>
      </c>
      <c r="C7" s="8" t="s">
        <v>1350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">
      <c r="A8" s="8" t="s">
        <v>43</v>
      </c>
      <c r="B8" s="8" t="s">
        <v>101</v>
      </c>
      <c r="C8" s="8" t="s">
        <v>1351</v>
      </c>
      <c r="D8" s="4"/>
      <c r="E8" s="4"/>
      <c r="F8" s="4">
        <v>45.1</v>
      </c>
      <c r="G8" s="4"/>
      <c r="H8" s="4"/>
      <c r="I8" s="4">
        <v>45.1</v>
      </c>
      <c r="J8" s="4"/>
      <c r="K8" s="4"/>
      <c r="L8" s="4">
        <v>45.1</v>
      </c>
      <c r="M8" s="4"/>
      <c r="N8" s="4"/>
      <c r="O8" s="4">
        <v>45.1</v>
      </c>
      <c r="P8" s="4"/>
      <c r="Q8" s="10" t="s">
        <v>1784</v>
      </c>
      <c r="R8" s="10" t="s">
        <v>1784</v>
      </c>
      <c r="S8" s="10" t="s">
        <v>1784</v>
      </c>
      <c r="T8" s="10" t="s">
        <v>1784</v>
      </c>
      <c r="U8" s="4"/>
      <c r="V8" s="4"/>
      <c r="W8" s="4"/>
      <c r="X8" s="4"/>
    </row>
    <row r="9" spans="1:24" x14ac:dyDescent="0.2">
      <c r="A9" s="8" t="s">
        <v>43</v>
      </c>
      <c r="B9" s="8" t="s">
        <v>1352</v>
      </c>
      <c r="C9" s="8" t="s">
        <v>1353</v>
      </c>
      <c r="D9" s="4"/>
      <c r="E9" s="4"/>
      <c r="F9" s="4">
        <v>439.32</v>
      </c>
      <c r="G9" s="4"/>
      <c r="H9" s="4"/>
      <c r="I9" s="4">
        <v>439.32</v>
      </c>
      <c r="J9" s="4"/>
      <c r="K9" s="4"/>
      <c r="L9" s="4">
        <v>439.32</v>
      </c>
      <c r="M9" s="4"/>
      <c r="N9" s="4"/>
      <c r="O9" s="4">
        <v>439.32</v>
      </c>
      <c r="P9" s="4"/>
      <c r="Q9" s="4" t="s">
        <v>63</v>
      </c>
      <c r="R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43</v>
      </c>
      <c r="B10" s="8" t="s">
        <v>1255</v>
      </c>
      <c r="C10" s="8" t="s">
        <v>1354</v>
      </c>
      <c r="D10" s="4"/>
      <c r="E10" s="4"/>
      <c r="F10" s="4">
        <v>166.23</v>
      </c>
      <c r="G10" s="4"/>
      <c r="H10" s="4"/>
      <c r="I10" s="4">
        <v>166.23</v>
      </c>
      <c r="J10" s="4"/>
      <c r="K10" s="4"/>
      <c r="L10" s="4">
        <v>166.23</v>
      </c>
      <c r="M10" s="4"/>
      <c r="N10" s="4"/>
      <c r="O10" s="4">
        <v>166.23</v>
      </c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">
      <c r="A11" s="8" t="s">
        <v>43</v>
      </c>
      <c r="B11" s="8" t="s">
        <v>1309</v>
      </c>
      <c r="C11" s="8" t="s">
        <v>1355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64</v>
      </c>
      <c r="R11" s="4"/>
      <c r="S11" s="4"/>
      <c r="T11" s="4"/>
      <c r="U11" s="4"/>
      <c r="V11" s="4"/>
      <c r="W11" s="4"/>
      <c r="X11" s="4"/>
    </row>
    <row r="12" spans="1:24" x14ac:dyDescent="0.2">
      <c r="A12" s="8" t="s">
        <v>43</v>
      </c>
      <c r="B12" s="8" t="s">
        <v>1311</v>
      </c>
      <c r="C12" s="8" t="s">
        <v>1356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1775</v>
      </c>
      <c r="R12" s="4"/>
      <c r="S12" s="4"/>
      <c r="T12" s="4"/>
      <c r="U12" s="4"/>
      <c r="V12" s="4"/>
      <c r="W12" s="4"/>
      <c r="X12" s="4"/>
    </row>
    <row r="13" spans="1:24" x14ac:dyDescent="0.2">
      <c r="A13" s="8" t="s">
        <v>43</v>
      </c>
      <c r="B13" s="8" t="s">
        <v>1357</v>
      </c>
      <c r="C13" s="8" t="s">
        <v>1358</v>
      </c>
      <c r="D13" s="4"/>
      <c r="E13" s="4">
        <v>59.69</v>
      </c>
      <c r="F13" s="4"/>
      <c r="G13" s="4">
        <v>46.99</v>
      </c>
      <c r="H13" s="4">
        <v>59.69</v>
      </c>
      <c r="I13" s="4"/>
      <c r="J13" s="4">
        <v>46.99</v>
      </c>
      <c r="K13" s="4">
        <v>59.69</v>
      </c>
      <c r="L13" s="4"/>
      <c r="M13" s="4">
        <v>46.99</v>
      </c>
      <c r="N13" s="4">
        <v>59.69</v>
      </c>
      <c r="O13" s="4"/>
      <c r="P13" s="4">
        <v>46.99</v>
      </c>
      <c r="Q13" s="4" t="s">
        <v>62</v>
      </c>
      <c r="R13" s="4"/>
      <c r="S13" s="4" t="s">
        <v>64</v>
      </c>
      <c r="T13" s="4" t="s">
        <v>62</v>
      </c>
      <c r="U13" s="4"/>
      <c r="V13" s="4"/>
      <c r="W13" s="4"/>
      <c r="X13" s="4"/>
    </row>
    <row r="14" spans="1:24" x14ac:dyDescent="0.2">
      <c r="A14" s="8" t="s">
        <v>43</v>
      </c>
      <c r="B14" s="8" t="s">
        <v>1359</v>
      </c>
      <c r="C14" s="8" t="s">
        <v>1360</v>
      </c>
      <c r="D14" s="4"/>
      <c r="E14" s="4">
        <v>44.1</v>
      </c>
      <c r="F14" s="4"/>
      <c r="G14" s="4">
        <v>46.07</v>
      </c>
      <c r="H14" s="4">
        <v>44.1</v>
      </c>
      <c r="I14" s="4"/>
      <c r="J14" s="4">
        <v>46.07</v>
      </c>
      <c r="K14" s="4">
        <v>44.1</v>
      </c>
      <c r="L14" s="4"/>
      <c r="M14" s="4">
        <v>46.07</v>
      </c>
      <c r="N14" s="4">
        <v>44.1</v>
      </c>
      <c r="O14" s="4"/>
      <c r="P14" s="4">
        <v>46.07</v>
      </c>
      <c r="Q14" s="4" t="s">
        <v>62</v>
      </c>
      <c r="R14" s="4"/>
      <c r="S14" s="4" t="s">
        <v>64</v>
      </c>
      <c r="T14" s="4" t="s">
        <v>62</v>
      </c>
      <c r="U14" s="4"/>
      <c r="V14" s="4"/>
      <c r="W14" s="4"/>
      <c r="X14" s="4"/>
    </row>
    <row r="15" spans="1:24" x14ac:dyDescent="0.2">
      <c r="A15" s="8" t="s">
        <v>43</v>
      </c>
      <c r="B15" s="8" t="s">
        <v>1361</v>
      </c>
      <c r="C15" s="8" t="s">
        <v>1362</v>
      </c>
      <c r="D15" s="4"/>
      <c r="E15" s="4">
        <v>46.3</v>
      </c>
      <c r="F15" s="4"/>
      <c r="G15" s="4">
        <v>51.07</v>
      </c>
      <c r="H15" s="4">
        <v>46.3</v>
      </c>
      <c r="I15" s="4"/>
      <c r="J15" s="4">
        <v>51.07</v>
      </c>
      <c r="K15" s="4">
        <v>46.3</v>
      </c>
      <c r="L15" s="4"/>
      <c r="M15" s="4">
        <v>51.07</v>
      </c>
      <c r="N15" s="4">
        <v>46.3</v>
      </c>
      <c r="O15" s="4"/>
      <c r="P15" s="4">
        <v>51.07</v>
      </c>
      <c r="Q15" s="4" t="s">
        <v>62</v>
      </c>
      <c r="R15" s="4"/>
      <c r="S15" s="4" t="s">
        <v>64</v>
      </c>
      <c r="T15" s="4" t="s">
        <v>62</v>
      </c>
      <c r="U15" s="4"/>
      <c r="V15" s="4"/>
      <c r="W15" s="4"/>
      <c r="X15" s="4"/>
    </row>
    <row r="16" spans="1:24" x14ac:dyDescent="0.2">
      <c r="A16" s="8" t="s">
        <v>43</v>
      </c>
      <c r="B16" s="8" t="s">
        <v>1363</v>
      </c>
      <c r="C16" s="8" t="s">
        <v>1364</v>
      </c>
      <c r="D16" s="4"/>
      <c r="E16" s="4">
        <v>59.52</v>
      </c>
      <c r="F16" s="4"/>
      <c r="G16" s="4">
        <v>46.64</v>
      </c>
      <c r="H16" s="4">
        <v>59.52</v>
      </c>
      <c r="I16" s="4"/>
      <c r="J16" s="4">
        <v>46.64</v>
      </c>
      <c r="K16" s="4">
        <v>59.52</v>
      </c>
      <c r="L16" s="4"/>
      <c r="M16" s="4">
        <v>46.64</v>
      </c>
      <c r="N16" s="4">
        <v>59.52</v>
      </c>
      <c r="O16" s="4"/>
      <c r="P16" s="4">
        <v>46.64</v>
      </c>
      <c r="Q16" s="4" t="s">
        <v>62</v>
      </c>
      <c r="R16" s="4"/>
      <c r="S16" s="4" t="s">
        <v>64</v>
      </c>
      <c r="T16" s="4" t="s">
        <v>62</v>
      </c>
      <c r="U16" s="4"/>
      <c r="V16" s="4"/>
      <c r="W16" s="4"/>
      <c r="X16" s="4"/>
    </row>
    <row r="17" spans="1:24" x14ac:dyDescent="0.2">
      <c r="A17" s="8" t="s">
        <v>43</v>
      </c>
      <c r="B17" s="8" t="s">
        <v>1365</v>
      </c>
      <c r="C17" s="8" t="s">
        <v>1366</v>
      </c>
      <c r="D17" s="4"/>
      <c r="E17" s="4">
        <v>48.39</v>
      </c>
      <c r="F17" s="4"/>
      <c r="G17" s="4">
        <v>46.68</v>
      </c>
      <c r="H17" s="4">
        <v>48.39</v>
      </c>
      <c r="I17" s="4"/>
      <c r="J17" s="4">
        <v>46.68</v>
      </c>
      <c r="K17" s="4">
        <v>48.39</v>
      </c>
      <c r="L17" s="4"/>
      <c r="M17" s="4">
        <v>46.68</v>
      </c>
      <c r="N17" s="4">
        <v>48.39</v>
      </c>
      <c r="O17" s="4"/>
      <c r="P17" s="4">
        <v>46.68</v>
      </c>
      <c r="Q17" s="4" t="s">
        <v>62</v>
      </c>
      <c r="R17" s="4"/>
      <c r="S17" s="4" t="s">
        <v>64</v>
      </c>
      <c r="T17" s="4" t="s">
        <v>62</v>
      </c>
      <c r="U17" s="4"/>
      <c r="V17" s="4"/>
      <c r="W17" s="4"/>
      <c r="X17" s="4"/>
    </row>
    <row r="18" spans="1:24" x14ac:dyDescent="0.2">
      <c r="A18" s="8" t="s">
        <v>43</v>
      </c>
      <c r="B18" s="8" t="s">
        <v>1367</v>
      </c>
      <c r="C18" s="8" t="s">
        <v>1368</v>
      </c>
      <c r="D18" s="4"/>
      <c r="E18" s="4">
        <v>44.36</v>
      </c>
      <c r="F18" s="4"/>
      <c r="G18" s="4">
        <v>46.83</v>
      </c>
      <c r="H18" s="4">
        <v>44.36</v>
      </c>
      <c r="I18" s="4"/>
      <c r="J18" s="4">
        <v>46.83</v>
      </c>
      <c r="K18" s="4">
        <v>44.36</v>
      </c>
      <c r="L18" s="4"/>
      <c r="M18" s="4">
        <v>46.83</v>
      </c>
      <c r="N18" s="4">
        <v>44.36</v>
      </c>
      <c r="O18" s="4"/>
      <c r="P18" s="4">
        <v>46.83</v>
      </c>
      <c r="Q18" s="4" t="s">
        <v>62</v>
      </c>
      <c r="R18" s="4"/>
      <c r="S18" s="4" t="s">
        <v>64</v>
      </c>
      <c r="T18" s="4" t="s">
        <v>62</v>
      </c>
      <c r="U18" s="4"/>
      <c r="V18" s="4"/>
      <c r="W18" s="4"/>
      <c r="X18" s="4"/>
    </row>
    <row r="19" spans="1:24" x14ac:dyDescent="0.2">
      <c r="A19" s="8" t="s">
        <v>43</v>
      </c>
      <c r="B19" s="8" t="s">
        <v>1369</v>
      </c>
      <c r="C19" s="8" t="s">
        <v>1370</v>
      </c>
      <c r="D19" s="4"/>
      <c r="E19" s="4">
        <v>63.95</v>
      </c>
      <c r="F19" s="4"/>
      <c r="G19" s="4">
        <v>64.010000000000005</v>
      </c>
      <c r="H19" s="4">
        <v>63.95</v>
      </c>
      <c r="I19" s="4"/>
      <c r="J19" s="4">
        <v>64.010000000000005</v>
      </c>
      <c r="K19" s="4">
        <v>63.95</v>
      </c>
      <c r="L19" s="4"/>
      <c r="M19" s="4">
        <v>64.010000000000005</v>
      </c>
      <c r="N19" s="4">
        <v>63.95</v>
      </c>
      <c r="O19" s="4"/>
      <c r="P19" s="4">
        <v>64.010000000000005</v>
      </c>
      <c r="Q19" s="4" t="s">
        <v>1775</v>
      </c>
      <c r="R19" s="4"/>
      <c r="S19" s="4" t="s">
        <v>64</v>
      </c>
      <c r="T19" s="4" t="s">
        <v>62</v>
      </c>
      <c r="U19" s="4"/>
      <c r="V19" s="4"/>
      <c r="W19" s="4"/>
      <c r="X19" s="4"/>
    </row>
    <row r="20" spans="1:24" x14ac:dyDescent="0.2">
      <c r="A20" s="8" t="s">
        <v>43</v>
      </c>
      <c r="B20" s="8" t="s">
        <v>1371</v>
      </c>
      <c r="C20" s="8" t="s">
        <v>1372</v>
      </c>
      <c r="D20" s="4"/>
      <c r="E20" s="4">
        <v>68.069999999999993</v>
      </c>
      <c r="F20" s="4"/>
      <c r="G20" s="4">
        <v>65.3</v>
      </c>
      <c r="H20" s="4">
        <v>68.069999999999993</v>
      </c>
      <c r="I20" s="4"/>
      <c r="J20" s="4">
        <v>65.3</v>
      </c>
      <c r="K20" s="4">
        <v>68.069999999999993</v>
      </c>
      <c r="L20" s="4"/>
      <c r="M20" s="4">
        <v>65.3</v>
      </c>
      <c r="N20" s="4">
        <v>68.069999999999993</v>
      </c>
      <c r="O20" s="4"/>
      <c r="P20" s="4">
        <v>65.3</v>
      </c>
      <c r="Q20" s="4" t="s">
        <v>1775</v>
      </c>
      <c r="R20" s="4"/>
      <c r="S20" s="4" t="s">
        <v>64</v>
      </c>
      <c r="T20" s="4" t="s">
        <v>62</v>
      </c>
      <c r="U20" s="4"/>
      <c r="V20" s="4"/>
      <c r="W20" s="4"/>
      <c r="X20" s="4"/>
    </row>
    <row r="21" spans="1:24" x14ac:dyDescent="0.2">
      <c r="A21" s="8" t="s">
        <v>43</v>
      </c>
      <c r="B21" s="8" t="s">
        <v>1373</v>
      </c>
      <c r="C21" s="8" t="s">
        <v>1374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">
      <c r="A22" s="8" t="s">
        <v>43</v>
      </c>
      <c r="B22" s="8" t="s">
        <v>1375</v>
      </c>
      <c r="C22" s="8" t="s">
        <v>1376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64</v>
      </c>
      <c r="U22" s="4"/>
      <c r="V22" s="4"/>
      <c r="W22" s="4"/>
      <c r="X22" s="4"/>
    </row>
    <row r="23" spans="1:24" x14ac:dyDescent="0.2">
      <c r="A23" s="8" t="s">
        <v>43</v>
      </c>
      <c r="B23" s="8" t="s">
        <v>1377</v>
      </c>
      <c r="C23" s="8" t="s">
        <v>1378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 t="s">
        <v>64</v>
      </c>
      <c r="U23" s="4"/>
      <c r="V23" s="4"/>
      <c r="W23" s="4"/>
      <c r="X23" s="4"/>
    </row>
    <row r="24" spans="1:24" x14ac:dyDescent="0.2">
      <c r="A24" s="8" t="s">
        <v>43</v>
      </c>
      <c r="B24" s="8" t="s">
        <v>1379</v>
      </c>
      <c r="C24" s="8" t="s">
        <v>1380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 t="s">
        <v>64</v>
      </c>
      <c r="U24" s="4"/>
      <c r="V24" s="4"/>
      <c r="W24" s="4"/>
      <c r="X24" s="4"/>
    </row>
    <row r="25" spans="1:24" x14ac:dyDescent="0.2">
      <c r="A25" s="8" t="s">
        <v>43</v>
      </c>
      <c r="B25" s="8" t="s">
        <v>1381</v>
      </c>
      <c r="C25" s="8" t="s">
        <v>1382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64</v>
      </c>
      <c r="U25" s="4"/>
      <c r="V25" s="4"/>
      <c r="W25" s="4"/>
      <c r="X25" s="4"/>
    </row>
    <row r="26" spans="1:24" x14ac:dyDescent="0.2">
      <c r="A26" s="8" t="s">
        <v>43</v>
      </c>
      <c r="B26" s="8" t="s">
        <v>1383</v>
      </c>
      <c r="C26" s="8" t="s">
        <v>1384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">
      <c r="A27" s="8" t="s">
        <v>43</v>
      </c>
      <c r="B27" s="8" t="s">
        <v>1385</v>
      </c>
      <c r="C27" s="8" t="s">
        <v>1386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64</v>
      </c>
      <c r="U27" s="4"/>
      <c r="V27" s="4"/>
      <c r="W27" s="4"/>
      <c r="X27" s="4"/>
    </row>
    <row r="28" spans="1:24" x14ac:dyDescent="0.2">
      <c r="A28" s="8" t="s">
        <v>43</v>
      </c>
      <c r="B28" s="8" t="s">
        <v>1387</v>
      </c>
      <c r="C28" s="8" t="s">
        <v>1388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64</v>
      </c>
      <c r="U28" s="4"/>
      <c r="V28" s="4"/>
      <c r="W28" s="4"/>
      <c r="X28" s="4"/>
    </row>
    <row r="29" spans="1:24" x14ac:dyDescent="0.2">
      <c r="A29" s="8" t="s">
        <v>43</v>
      </c>
      <c r="B29" s="8" t="s">
        <v>1269</v>
      </c>
      <c r="C29" s="8" t="s">
        <v>1389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64</v>
      </c>
      <c r="T29" s="4" t="s">
        <v>64</v>
      </c>
      <c r="U29" s="4"/>
      <c r="V29" s="4"/>
      <c r="W29" s="4"/>
      <c r="X29" s="4"/>
    </row>
    <row r="30" spans="1:24" x14ac:dyDescent="0.2">
      <c r="A30" s="8" t="s">
        <v>43</v>
      </c>
      <c r="B30" s="8" t="s">
        <v>1390</v>
      </c>
      <c r="C30" s="8" t="s">
        <v>1391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 t="s">
        <v>62</v>
      </c>
      <c r="R30" s="4"/>
      <c r="S30" s="4"/>
      <c r="T30" s="4" t="s">
        <v>64</v>
      </c>
      <c r="U30" s="4"/>
      <c r="V30" s="4"/>
      <c r="W30" s="4"/>
      <c r="X30" s="4"/>
    </row>
    <row r="31" spans="1:24" x14ac:dyDescent="0.2">
      <c r="A31" s="8" t="s">
        <v>43</v>
      </c>
      <c r="B31" s="8" t="s">
        <v>1392</v>
      </c>
      <c r="C31" s="8" t="s">
        <v>1393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 t="s">
        <v>62</v>
      </c>
      <c r="R31" s="4"/>
      <c r="S31" s="4"/>
      <c r="T31" s="4" t="s">
        <v>64</v>
      </c>
      <c r="U31" s="4"/>
      <c r="V31" s="4"/>
      <c r="W31" s="4"/>
      <c r="X31" s="4"/>
    </row>
    <row r="32" spans="1:24" x14ac:dyDescent="0.2">
      <c r="A32" s="8" t="s">
        <v>43</v>
      </c>
      <c r="B32" s="8" t="s">
        <v>1394</v>
      </c>
      <c r="C32" s="8" t="s">
        <v>1395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 t="s">
        <v>62</v>
      </c>
      <c r="R32" s="4"/>
      <c r="S32" s="4"/>
      <c r="T32" s="4" t="s">
        <v>64</v>
      </c>
      <c r="U32" s="4"/>
      <c r="V32" s="4"/>
      <c r="W32" s="4"/>
      <c r="X32" s="4"/>
    </row>
    <row r="33" spans="1:24" x14ac:dyDescent="0.2">
      <c r="A33" s="8" t="s">
        <v>43</v>
      </c>
      <c r="B33" s="8" t="s">
        <v>1396</v>
      </c>
      <c r="C33" s="8" t="s">
        <v>1397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62</v>
      </c>
      <c r="R33" s="4"/>
      <c r="S33" s="4"/>
      <c r="T33" s="4" t="s">
        <v>64</v>
      </c>
      <c r="U33" s="4"/>
      <c r="V33" s="4"/>
      <c r="W33" s="4"/>
      <c r="X33" s="4"/>
    </row>
    <row r="34" spans="1:24" x14ac:dyDescent="0.2">
      <c r="A34" s="8" t="s">
        <v>43</v>
      </c>
      <c r="B34" s="8" t="s">
        <v>1398</v>
      </c>
      <c r="C34" s="8" t="s">
        <v>1399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62</v>
      </c>
      <c r="U34" s="4"/>
      <c r="V34" s="4"/>
      <c r="W34" s="4"/>
      <c r="X34" s="4"/>
    </row>
    <row r="35" spans="1:24" x14ac:dyDescent="0.2">
      <c r="A35" s="8" t="s">
        <v>43</v>
      </c>
      <c r="B35" s="8" t="s">
        <v>1400</v>
      </c>
      <c r="C35" s="8" t="s">
        <v>1401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62</v>
      </c>
      <c r="U35" s="4"/>
      <c r="V35" s="4"/>
      <c r="W35" s="4"/>
      <c r="X35" s="4"/>
    </row>
    <row r="36" spans="1:24" x14ac:dyDescent="0.2">
      <c r="A36" s="8" t="s">
        <v>43</v>
      </c>
      <c r="B36" s="8" t="s">
        <v>1402</v>
      </c>
      <c r="C36" s="8" t="s">
        <v>1401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 t="s">
        <v>62</v>
      </c>
      <c r="U36" s="4"/>
      <c r="V36" s="4"/>
      <c r="W36" s="4"/>
      <c r="X36" s="4"/>
    </row>
    <row r="37" spans="1:24" x14ac:dyDescent="0.2">
      <c r="A37" s="8" t="s">
        <v>43</v>
      </c>
      <c r="B37" s="8" t="s">
        <v>1403</v>
      </c>
      <c r="C37" s="8" t="s">
        <v>1404</v>
      </c>
      <c r="D37" s="8" t="s">
        <v>1357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62</v>
      </c>
      <c r="R37" s="4"/>
      <c r="S37" s="4"/>
      <c r="T37" s="4"/>
      <c r="U37" s="4"/>
      <c r="V37" s="4"/>
      <c r="W37" s="4"/>
      <c r="X37" s="4"/>
    </row>
    <row r="38" spans="1:24" x14ac:dyDescent="0.2">
      <c r="A38" s="8" t="s">
        <v>43</v>
      </c>
      <c r="B38" s="8" t="s">
        <v>1405</v>
      </c>
      <c r="C38" s="8" t="s">
        <v>1406</v>
      </c>
      <c r="D38" s="8" t="s">
        <v>1359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62</v>
      </c>
      <c r="R38" s="4"/>
      <c r="S38" s="4"/>
      <c r="T38" s="4"/>
      <c r="U38" s="4"/>
      <c r="V38" s="4"/>
      <c r="W38" s="4"/>
      <c r="X38" s="4"/>
    </row>
    <row r="39" spans="1:24" x14ac:dyDescent="0.2">
      <c r="A39" s="8" t="s">
        <v>43</v>
      </c>
      <c r="B39" s="8" t="s">
        <v>1407</v>
      </c>
      <c r="C39" s="8" t="s">
        <v>1408</v>
      </c>
      <c r="D39" s="8" t="s">
        <v>1361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62</v>
      </c>
      <c r="R39" s="4"/>
      <c r="S39" s="4"/>
      <c r="T39" s="4"/>
      <c r="U39" s="4"/>
      <c r="V39" s="4"/>
      <c r="W39" s="4"/>
      <c r="X39" s="4"/>
    </row>
    <row r="40" spans="1:24" x14ac:dyDescent="0.2">
      <c r="A40" s="8" t="s">
        <v>43</v>
      </c>
      <c r="B40" s="8" t="s">
        <v>1409</v>
      </c>
      <c r="C40" s="8" t="s">
        <v>1410</v>
      </c>
      <c r="D40" s="8" t="s">
        <v>1363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 t="s">
        <v>62</v>
      </c>
      <c r="R40" s="4"/>
      <c r="S40" s="4"/>
      <c r="T40" s="4"/>
      <c r="U40" s="4"/>
      <c r="V40" s="4"/>
      <c r="W40" s="4"/>
      <c r="X40" s="4"/>
    </row>
    <row r="41" spans="1:24" x14ac:dyDescent="0.2">
      <c r="A41" s="8" t="s">
        <v>43</v>
      </c>
      <c r="B41" s="8" t="s">
        <v>1411</v>
      </c>
      <c r="C41" s="8" t="s">
        <v>1412</v>
      </c>
      <c r="D41" s="8" t="s">
        <v>1365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 t="s">
        <v>62</v>
      </c>
      <c r="R41" s="4"/>
      <c r="S41" s="4"/>
      <c r="T41" s="4"/>
      <c r="U41" s="4"/>
      <c r="V41" s="4"/>
      <c r="W41" s="4"/>
      <c r="X41" s="4"/>
    </row>
    <row r="42" spans="1:24" x14ac:dyDescent="0.2">
      <c r="A42" s="8" t="s">
        <v>43</v>
      </c>
      <c r="B42" s="8" t="s">
        <v>1413</v>
      </c>
      <c r="C42" s="8" t="s">
        <v>1414</v>
      </c>
      <c r="D42" s="8" t="s">
        <v>1367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s">
        <v>62</v>
      </c>
      <c r="R42" s="4"/>
      <c r="S42" s="4"/>
      <c r="T42" s="4"/>
      <c r="U42" s="4"/>
      <c r="V42" s="4"/>
      <c r="W42" s="4"/>
      <c r="X42" s="4"/>
    </row>
    <row r="43" spans="1:24" x14ac:dyDescent="0.2">
      <c r="A43" s="8" t="s">
        <v>43</v>
      </c>
      <c r="B43" s="8" t="s">
        <v>1415</v>
      </c>
      <c r="C43" s="8" t="s">
        <v>1416</v>
      </c>
      <c r="D43" s="8" t="s">
        <v>1369</v>
      </c>
      <c r="E43" s="4">
        <v>3264.43</v>
      </c>
      <c r="F43" s="4"/>
      <c r="G43" s="4"/>
      <c r="H43" s="4">
        <v>3264.43</v>
      </c>
      <c r="I43" s="4"/>
      <c r="J43" s="4"/>
      <c r="K43" s="4">
        <v>3264.43</v>
      </c>
      <c r="L43" s="4"/>
      <c r="M43" s="4"/>
      <c r="N43" s="4">
        <v>3264.43</v>
      </c>
      <c r="O43" s="4"/>
      <c r="P43" s="4"/>
      <c r="Q43" s="4" t="s">
        <v>62</v>
      </c>
      <c r="R43" s="4"/>
      <c r="S43" s="4"/>
      <c r="T43" s="4"/>
      <c r="U43" s="4"/>
      <c r="V43" s="4"/>
      <c r="W43" s="4"/>
      <c r="X43" s="4"/>
    </row>
    <row r="44" spans="1:24" x14ac:dyDescent="0.2">
      <c r="A44" s="8" t="s">
        <v>43</v>
      </c>
      <c r="B44" s="8" t="s">
        <v>1417</v>
      </c>
      <c r="C44" s="8" t="s">
        <v>1418</v>
      </c>
      <c r="D44" s="8" t="s">
        <v>1371</v>
      </c>
      <c r="E44" s="4">
        <v>3270.26</v>
      </c>
      <c r="F44" s="4"/>
      <c r="G44" s="4"/>
      <c r="H44" s="4">
        <v>3270.26</v>
      </c>
      <c r="I44" s="4"/>
      <c r="J44" s="4"/>
      <c r="K44" s="4">
        <v>3270.26</v>
      </c>
      <c r="L44" s="4"/>
      <c r="M44" s="4"/>
      <c r="N44" s="4">
        <v>3270.26</v>
      </c>
      <c r="O44" s="4"/>
      <c r="P44" s="4"/>
      <c r="Q44" s="4" t="s">
        <v>62</v>
      </c>
      <c r="R44" s="4"/>
      <c r="S44" s="4"/>
      <c r="T44" s="4"/>
      <c r="U44" s="4"/>
      <c r="V44" s="4"/>
      <c r="W44" s="4"/>
      <c r="X44" s="4"/>
    </row>
    <row r="45" spans="1:24" hidden="1" x14ac:dyDescent="0.2">
      <c r="A45" s="8" t="s">
        <v>43</v>
      </c>
      <c r="B45" s="8" t="s">
        <v>1313</v>
      </c>
      <c r="C45" s="8" t="s">
        <v>1419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idden="1" x14ac:dyDescent="0.2">
      <c r="A46" s="8" t="s">
        <v>43</v>
      </c>
      <c r="B46" s="8" t="s">
        <v>1315</v>
      </c>
      <c r="C46" s="8" t="s">
        <v>1419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idden="1" x14ac:dyDescent="0.2">
      <c r="A47" s="8" t="s">
        <v>43</v>
      </c>
      <c r="B47" s="8" t="s">
        <v>1316</v>
      </c>
      <c r="C47" s="8" t="s">
        <v>1419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idden="1" x14ac:dyDescent="0.2">
      <c r="A48" s="8" t="s">
        <v>43</v>
      </c>
      <c r="B48" s="8" t="s">
        <v>1317</v>
      </c>
      <c r="C48" s="8" t="s">
        <v>1419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idden="1" x14ac:dyDescent="0.2">
      <c r="A49" s="8" t="s">
        <v>43</v>
      </c>
      <c r="B49" s="8" t="s">
        <v>1420</v>
      </c>
      <c r="C49" s="8" t="s">
        <v>1419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idden="1" x14ac:dyDescent="0.2">
      <c r="A50" s="8" t="s">
        <v>43</v>
      </c>
      <c r="B50" s="8" t="s">
        <v>1318</v>
      </c>
      <c r="C50" s="8" t="s">
        <v>1421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idden="1" x14ac:dyDescent="0.2">
      <c r="A51" s="8" t="s">
        <v>43</v>
      </c>
      <c r="B51" s="8" t="s">
        <v>1320</v>
      </c>
      <c r="C51" s="8" t="s">
        <v>1421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idden="1" x14ac:dyDescent="0.2">
      <c r="A52" s="8" t="s">
        <v>43</v>
      </c>
      <c r="B52" s="8" t="s">
        <v>1321</v>
      </c>
      <c r="C52" s="8" t="s">
        <v>1421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idden="1" x14ac:dyDescent="0.2">
      <c r="A53" s="8" t="s">
        <v>43</v>
      </c>
      <c r="B53" s="8" t="s">
        <v>1322</v>
      </c>
      <c r="C53" s="8" t="s">
        <v>1421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idden="1" x14ac:dyDescent="0.2">
      <c r="A54" s="8" t="s">
        <v>43</v>
      </c>
      <c r="B54" s="8" t="s">
        <v>1422</v>
      </c>
      <c r="C54" s="8" t="s">
        <v>1421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idden="1" x14ac:dyDescent="0.2">
      <c r="A55" s="8" t="s">
        <v>43</v>
      </c>
      <c r="B55" s="8" t="s">
        <v>1323</v>
      </c>
      <c r="C55" s="8" t="s">
        <v>1423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idden="1" x14ac:dyDescent="0.2">
      <c r="A56" s="8" t="s">
        <v>43</v>
      </c>
      <c r="B56" s="8" t="s">
        <v>1325</v>
      </c>
      <c r="C56" s="8" t="s">
        <v>1423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idden="1" x14ac:dyDescent="0.2">
      <c r="A57" s="8" t="s">
        <v>43</v>
      </c>
      <c r="B57" s="8" t="s">
        <v>1326</v>
      </c>
      <c r="C57" s="8" t="s">
        <v>1423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idden="1" x14ac:dyDescent="0.2">
      <c r="A58" s="8" t="s">
        <v>43</v>
      </c>
      <c r="B58" s="8" t="s">
        <v>1327</v>
      </c>
      <c r="C58" s="8" t="s">
        <v>1423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idden="1" x14ac:dyDescent="0.2">
      <c r="A59" s="8" t="s">
        <v>43</v>
      </c>
      <c r="B59" s="8" t="s">
        <v>1424</v>
      </c>
      <c r="C59" s="8" t="s">
        <v>1423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idden="1" x14ac:dyDescent="0.2">
      <c r="A60" s="8" t="s">
        <v>43</v>
      </c>
      <c r="B60" s="8" t="s">
        <v>1425</v>
      </c>
      <c r="C60" s="8" t="s">
        <v>1426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idden="1" x14ac:dyDescent="0.2">
      <c r="A61" s="8" t="s">
        <v>43</v>
      </c>
      <c r="B61" s="8" t="s">
        <v>1427</v>
      </c>
      <c r="C61" s="8" t="s">
        <v>1428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">
      <c r="A62" s="8" t="s">
        <v>43</v>
      </c>
      <c r="B62" s="8" t="s">
        <v>1429</v>
      </c>
      <c r="C62" s="8" t="s">
        <v>1430</v>
      </c>
      <c r="D62" s="4"/>
      <c r="E62" s="4">
        <v>47.45</v>
      </c>
      <c r="F62" s="4"/>
      <c r="G62" s="4">
        <v>34.18</v>
      </c>
      <c r="H62" s="4">
        <v>47.45</v>
      </c>
      <c r="I62" s="4"/>
      <c r="J62" s="4">
        <v>34.18</v>
      </c>
      <c r="K62" s="4">
        <v>47.45</v>
      </c>
      <c r="L62" s="4"/>
      <c r="M62" s="4">
        <v>34.18</v>
      </c>
      <c r="N62" s="4">
        <v>47.45</v>
      </c>
      <c r="O62" s="4"/>
      <c r="P62" s="4">
        <v>34.18</v>
      </c>
      <c r="Q62" s="4" t="s">
        <v>62</v>
      </c>
      <c r="R62" s="4"/>
      <c r="S62" s="4" t="s">
        <v>64</v>
      </c>
      <c r="T62" s="4" t="s">
        <v>62</v>
      </c>
      <c r="U62" s="4"/>
      <c r="V62" s="4"/>
      <c r="W62" s="4"/>
      <c r="X62" s="4"/>
    </row>
    <row r="63" spans="1:24" x14ac:dyDescent="0.2">
      <c r="A63" s="8" t="s">
        <v>43</v>
      </c>
      <c r="B63" s="8" t="s">
        <v>1431</v>
      </c>
      <c r="C63" s="8" t="s">
        <v>1432</v>
      </c>
      <c r="D63" s="4"/>
      <c r="E63" s="4">
        <v>33.549999999999997</v>
      </c>
      <c r="F63" s="4"/>
      <c r="G63" s="4">
        <v>33.28</v>
      </c>
      <c r="H63" s="4">
        <v>33.549999999999997</v>
      </c>
      <c r="I63" s="4"/>
      <c r="J63" s="4">
        <v>33.28</v>
      </c>
      <c r="K63" s="4">
        <v>33.549999999999997</v>
      </c>
      <c r="L63" s="4"/>
      <c r="M63" s="4">
        <v>33.28</v>
      </c>
      <c r="N63" s="4">
        <v>33.549999999999997</v>
      </c>
      <c r="O63" s="4"/>
      <c r="P63" s="4">
        <v>33.28</v>
      </c>
      <c r="Q63" s="4" t="s">
        <v>62</v>
      </c>
      <c r="R63" s="4"/>
      <c r="S63" s="4" t="s">
        <v>64</v>
      </c>
      <c r="T63" s="4" t="s">
        <v>62</v>
      </c>
      <c r="U63" s="4"/>
      <c r="V63" s="4"/>
      <c r="W63" s="4"/>
      <c r="X63" s="4"/>
    </row>
    <row r="64" spans="1:24" x14ac:dyDescent="0.2">
      <c r="A64" s="8" t="s">
        <v>43</v>
      </c>
      <c r="B64" s="8" t="s">
        <v>1433</v>
      </c>
      <c r="C64" s="8" t="s">
        <v>1434</v>
      </c>
      <c r="D64" s="4"/>
      <c r="E64" s="4">
        <v>33.18</v>
      </c>
      <c r="F64" s="4"/>
      <c r="G64" s="4">
        <v>32.71</v>
      </c>
      <c r="H64" s="4">
        <v>33.18</v>
      </c>
      <c r="I64" s="4"/>
      <c r="J64" s="4">
        <v>32.71</v>
      </c>
      <c r="K64" s="4">
        <v>33.18</v>
      </c>
      <c r="L64" s="4"/>
      <c r="M64" s="4">
        <v>32.71</v>
      </c>
      <c r="N64" s="4">
        <v>33.18</v>
      </c>
      <c r="O64" s="4"/>
      <c r="P64" s="4">
        <v>32.71</v>
      </c>
      <c r="Q64" s="4" t="s">
        <v>62</v>
      </c>
      <c r="R64" s="4"/>
      <c r="S64" s="4" t="s">
        <v>64</v>
      </c>
      <c r="T64" s="4" t="s">
        <v>62</v>
      </c>
      <c r="U64" s="4"/>
      <c r="V64" s="4"/>
      <c r="W64" s="4"/>
      <c r="X64" s="4"/>
    </row>
    <row r="65" spans="1:24" x14ac:dyDescent="0.2">
      <c r="A65" s="8" t="s">
        <v>43</v>
      </c>
      <c r="B65" s="8" t="s">
        <v>1435</v>
      </c>
      <c r="C65" s="8" t="s">
        <v>1436</v>
      </c>
      <c r="D65" s="4"/>
      <c r="E65" s="4">
        <v>41.41</v>
      </c>
      <c r="F65" s="4"/>
      <c r="G65" s="4">
        <v>40.03</v>
      </c>
      <c r="H65" s="4">
        <v>41.41</v>
      </c>
      <c r="I65" s="4"/>
      <c r="J65" s="4">
        <v>40.03</v>
      </c>
      <c r="K65" s="4">
        <v>41.41</v>
      </c>
      <c r="L65" s="4"/>
      <c r="M65" s="4">
        <v>40.03</v>
      </c>
      <c r="N65" s="4">
        <v>41.41</v>
      </c>
      <c r="O65" s="4"/>
      <c r="P65" s="4">
        <v>40.03</v>
      </c>
      <c r="Q65" s="4" t="s">
        <v>1775</v>
      </c>
      <c r="R65" s="4"/>
      <c r="S65" s="4" t="s">
        <v>64</v>
      </c>
      <c r="T65" s="4" t="s">
        <v>62</v>
      </c>
      <c r="U65" s="4"/>
      <c r="V65" s="4"/>
      <c r="W65" s="4"/>
      <c r="X65" s="4"/>
    </row>
    <row r="66" spans="1:24" x14ac:dyDescent="0.2">
      <c r="A66" s="8" t="s">
        <v>43</v>
      </c>
      <c r="B66" s="8" t="s">
        <v>1437</v>
      </c>
      <c r="C66" s="8" t="s">
        <v>1438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64</v>
      </c>
      <c r="U66" s="4"/>
      <c r="V66" s="4"/>
      <c r="W66" s="4"/>
      <c r="X66" s="4"/>
    </row>
    <row r="67" spans="1:24" x14ac:dyDescent="0.2">
      <c r="A67" s="8" t="s">
        <v>43</v>
      </c>
      <c r="B67" s="8" t="s">
        <v>1439</v>
      </c>
      <c r="C67" s="8" t="s">
        <v>1440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64</v>
      </c>
      <c r="U67" s="4"/>
      <c r="V67" s="4"/>
      <c r="W67" s="4"/>
      <c r="X67" s="4"/>
    </row>
    <row r="68" spans="1:24" x14ac:dyDescent="0.2">
      <c r="A68" s="8" t="s">
        <v>43</v>
      </c>
      <c r="B68" s="8" t="s">
        <v>1441</v>
      </c>
      <c r="C68" s="8" t="s">
        <v>1442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64</v>
      </c>
      <c r="U68" s="4"/>
      <c r="V68" s="4"/>
      <c r="W68" s="4"/>
      <c r="X68" s="4"/>
    </row>
    <row r="69" spans="1:24" x14ac:dyDescent="0.2">
      <c r="A69" s="8" t="s">
        <v>43</v>
      </c>
      <c r="B69" s="8" t="s">
        <v>1443</v>
      </c>
      <c r="C69" s="8" t="s">
        <v>1444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64</v>
      </c>
      <c r="U69" s="4"/>
      <c r="V69" s="4"/>
      <c r="W69" s="4"/>
      <c r="X69" s="4"/>
    </row>
    <row r="70" spans="1:24" x14ac:dyDescent="0.2">
      <c r="A70" s="8" t="s">
        <v>43</v>
      </c>
      <c r="B70" s="8" t="s">
        <v>1445</v>
      </c>
      <c r="C70" s="8" t="s">
        <v>1446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s">
        <v>62</v>
      </c>
      <c r="R70" s="4"/>
      <c r="S70" s="4"/>
      <c r="T70" s="4" t="s">
        <v>64</v>
      </c>
      <c r="U70" s="4"/>
      <c r="V70" s="4"/>
      <c r="W70" s="4"/>
      <c r="X70" s="4"/>
    </row>
    <row r="71" spans="1:24" x14ac:dyDescent="0.2">
      <c r="A71" s="8" t="s">
        <v>43</v>
      </c>
      <c r="B71" s="8" t="s">
        <v>1447</v>
      </c>
      <c r="C71" s="8" t="s">
        <v>1448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 t="s">
        <v>62</v>
      </c>
      <c r="R71" s="4"/>
      <c r="S71" s="4"/>
      <c r="T71" s="4" t="s">
        <v>64</v>
      </c>
      <c r="U71" s="4"/>
      <c r="V71" s="4"/>
      <c r="W71" s="4"/>
      <c r="X71" s="4"/>
    </row>
    <row r="72" spans="1:24" x14ac:dyDescent="0.2">
      <c r="A72" s="8" t="s">
        <v>43</v>
      </c>
      <c r="B72" s="8" t="s">
        <v>1449</v>
      </c>
      <c r="C72" s="8" t="s">
        <v>1450</v>
      </c>
      <c r="D72" s="8" t="s">
        <v>1429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62</v>
      </c>
      <c r="R72" s="4"/>
      <c r="S72" s="4"/>
      <c r="T72" s="4"/>
      <c r="U72" s="4"/>
      <c r="V72" s="4"/>
      <c r="W72" s="4"/>
      <c r="X72" s="4"/>
    </row>
    <row r="73" spans="1:24" x14ac:dyDescent="0.2">
      <c r="A73" s="8" t="s">
        <v>43</v>
      </c>
      <c r="B73" s="8" t="s">
        <v>1451</v>
      </c>
      <c r="C73" s="8" t="s">
        <v>1452</v>
      </c>
      <c r="D73" s="8" t="s">
        <v>1431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 t="s">
        <v>62</v>
      </c>
      <c r="R73" s="4"/>
      <c r="S73" s="4"/>
      <c r="T73" s="4"/>
      <c r="U73" s="4"/>
      <c r="V73" s="4"/>
      <c r="W73" s="4"/>
      <c r="X73" s="4"/>
    </row>
    <row r="74" spans="1:24" x14ac:dyDescent="0.2">
      <c r="A74" s="8" t="s">
        <v>43</v>
      </c>
      <c r="B74" s="8" t="s">
        <v>1453</v>
      </c>
      <c r="C74" s="8" t="s">
        <v>1454</v>
      </c>
      <c r="D74" s="8" t="s">
        <v>1433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 t="s">
        <v>62</v>
      </c>
      <c r="R74" s="4"/>
      <c r="S74" s="4"/>
      <c r="T74" s="4"/>
      <c r="U74" s="4"/>
      <c r="V74" s="4"/>
      <c r="W74" s="4"/>
      <c r="X74" s="4"/>
    </row>
    <row r="75" spans="1:24" x14ac:dyDescent="0.2">
      <c r="A75" s="8" t="s">
        <v>43</v>
      </c>
      <c r="B75" s="8" t="s">
        <v>1455</v>
      </c>
      <c r="C75" s="8" t="s">
        <v>1456</v>
      </c>
      <c r="D75" s="8" t="s">
        <v>1435</v>
      </c>
      <c r="E75" s="4">
        <v>4332.21</v>
      </c>
      <c r="F75" s="4"/>
      <c r="G75" s="4"/>
      <c r="H75" s="4">
        <v>4332.21</v>
      </c>
      <c r="I75" s="4"/>
      <c r="J75" s="4"/>
      <c r="K75" s="4">
        <v>4332.21</v>
      </c>
      <c r="L75" s="4"/>
      <c r="M75" s="4"/>
      <c r="N75" s="4">
        <v>4332.21</v>
      </c>
      <c r="O75" s="4"/>
      <c r="P75" s="4"/>
      <c r="Q75" s="4" t="s">
        <v>62</v>
      </c>
      <c r="R75" s="4"/>
      <c r="S75" s="4"/>
      <c r="T75" s="4"/>
      <c r="U75" s="4"/>
      <c r="V75" s="4"/>
      <c r="W75" s="4"/>
      <c r="X75" s="4"/>
    </row>
    <row r="76" spans="1:24" x14ac:dyDescent="0.2">
      <c r="A76" s="8" t="s">
        <v>43</v>
      </c>
      <c r="B76" s="8" t="s">
        <v>1457</v>
      </c>
      <c r="C76" s="8" t="s">
        <v>1458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19"/>
  <sheetViews>
    <sheetView workbookViewId="0">
      <selection activeCell="T19" sqref="T19"/>
    </sheetView>
  </sheetViews>
  <sheetFormatPr baseColWidth="10" defaultColWidth="8.83203125" defaultRowHeight="15" x14ac:dyDescent="0.2"/>
  <cols>
    <col min="1" max="1" width="18" customWidth="1"/>
    <col min="2" max="2" width="31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SUM(E5:G19)</f>
        <v>1048.6399999999999</v>
      </c>
      <c r="G2" s="6"/>
      <c r="H2" s="6"/>
      <c r="I2" s="6">
        <f>SUM(H5:J19)</f>
        <v>1048.6399999999999</v>
      </c>
      <c r="J2" s="6"/>
      <c r="K2" s="6"/>
      <c r="L2" s="6">
        <f>SUM(K5:M19)</f>
        <v>1048.6399999999999</v>
      </c>
      <c r="M2" s="6"/>
      <c r="N2" s="6"/>
      <c r="O2" s="6">
        <f>SUM(N5:P19)</f>
        <v>1048.6399999999999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44</v>
      </c>
      <c r="B5" s="8" t="s">
        <v>1459</v>
      </c>
      <c r="C5" s="8" t="s">
        <v>1460</v>
      </c>
      <c r="D5" s="4"/>
      <c r="E5" s="4"/>
      <c r="F5" s="4">
        <v>598.23</v>
      </c>
      <c r="G5" s="4"/>
      <c r="H5" s="4"/>
      <c r="I5" s="4">
        <v>598.23</v>
      </c>
      <c r="J5" s="4"/>
      <c r="K5" s="4"/>
      <c r="L5" s="4">
        <v>598.23</v>
      </c>
      <c r="M5" s="4"/>
      <c r="N5" s="4"/>
      <c r="O5" s="4">
        <v>598.23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44</v>
      </c>
      <c r="B6" s="8" t="s">
        <v>101</v>
      </c>
      <c r="C6" s="8" t="s">
        <v>1461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10"/>
      <c r="U6" s="4"/>
      <c r="V6" s="4"/>
      <c r="W6" s="4"/>
      <c r="X6" s="4"/>
    </row>
    <row r="7" spans="1:24" x14ac:dyDescent="0.2">
      <c r="A7" s="8" t="s">
        <v>44</v>
      </c>
      <c r="B7" s="8" t="s">
        <v>101</v>
      </c>
      <c r="C7" s="8" t="s">
        <v>1462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">
      <c r="A8" s="8" t="s">
        <v>44</v>
      </c>
      <c r="B8" s="8" t="s">
        <v>1463</v>
      </c>
      <c r="C8" s="8" t="s">
        <v>1464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1790</v>
      </c>
      <c r="T8" s="4" t="s">
        <v>62</v>
      </c>
      <c r="U8" s="4"/>
      <c r="V8" s="4"/>
      <c r="W8" s="4"/>
      <c r="X8" s="4"/>
    </row>
    <row r="9" spans="1:24" x14ac:dyDescent="0.2">
      <c r="A9" s="8" t="s">
        <v>44</v>
      </c>
      <c r="B9" s="8" t="s">
        <v>1257</v>
      </c>
      <c r="C9" s="8" t="s">
        <v>1465</v>
      </c>
      <c r="D9" s="4"/>
      <c r="E9" s="4"/>
      <c r="F9" s="4">
        <v>34.51</v>
      </c>
      <c r="G9" s="4"/>
      <c r="H9" s="4"/>
      <c r="I9" s="4">
        <v>34.51</v>
      </c>
      <c r="J9" s="4"/>
      <c r="K9" s="4"/>
      <c r="L9" s="4">
        <v>34.51</v>
      </c>
      <c r="M9" s="4"/>
      <c r="N9" s="4"/>
      <c r="O9" s="4">
        <v>34.51</v>
      </c>
      <c r="P9" s="4"/>
      <c r="Q9" s="4"/>
      <c r="S9" s="4" t="s">
        <v>63</v>
      </c>
      <c r="T9" s="4"/>
      <c r="U9" s="4"/>
      <c r="V9" s="4"/>
      <c r="W9" s="4"/>
      <c r="X9" s="4"/>
    </row>
    <row r="10" spans="1:24" x14ac:dyDescent="0.2">
      <c r="A10" s="8" t="s">
        <v>44</v>
      </c>
      <c r="B10" s="8" t="s">
        <v>1259</v>
      </c>
      <c r="C10" s="8" t="s">
        <v>1466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">
      <c r="A11" s="8" t="s">
        <v>44</v>
      </c>
      <c r="B11" s="8" t="s">
        <v>1467</v>
      </c>
      <c r="C11" s="8" t="s">
        <v>1468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1790</v>
      </c>
      <c r="T11" s="4" t="s">
        <v>1790</v>
      </c>
      <c r="U11" s="4"/>
      <c r="V11" s="4"/>
      <c r="W11" s="4"/>
      <c r="X11" s="4"/>
    </row>
    <row r="12" spans="1:24" x14ac:dyDescent="0.2">
      <c r="A12" s="8" t="s">
        <v>44</v>
      </c>
      <c r="B12" s="8" t="s">
        <v>1469</v>
      </c>
      <c r="C12" s="8" t="s">
        <v>1470</v>
      </c>
      <c r="D12" s="4"/>
      <c r="E12" s="4">
        <v>15.7</v>
      </c>
      <c r="F12" s="4"/>
      <c r="G12" s="4">
        <v>15.89</v>
      </c>
      <c r="H12" s="4">
        <v>15.7</v>
      </c>
      <c r="I12" s="4"/>
      <c r="J12" s="4">
        <v>15.89</v>
      </c>
      <c r="K12" s="4">
        <v>15.7</v>
      </c>
      <c r="L12" s="4"/>
      <c r="M12" s="4">
        <v>15.89</v>
      </c>
      <c r="N12" s="4">
        <v>15.7</v>
      </c>
      <c r="O12" s="4"/>
      <c r="P12" s="4">
        <v>15.89</v>
      </c>
      <c r="Q12" s="4" t="s">
        <v>62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">
      <c r="A13" s="8" t="s">
        <v>44</v>
      </c>
      <c r="B13" s="8" t="s">
        <v>1471</v>
      </c>
      <c r="C13" s="8" t="s">
        <v>1472</v>
      </c>
      <c r="D13" s="4"/>
      <c r="E13" s="4">
        <v>72.680000000000007</v>
      </c>
      <c r="F13" s="4"/>
      <c r="G13" s="4">
        <v>53.58</v>
      </c>
      <c r="H13" s="4">
        <v>72.680000000000007</v>
      </c>
      <c r="I13" s="4"/>
      <c r="J13" s="4">
        <v>53.58</v>
      </c>
      <c r="K13" s="4">
        <v>72.680000000000007</v>
      </c>
      <c r="L13" s="4"/>
      <c r="M13" s="4">
        <v>53.58</v>
      </c>
      <c r="N13" s="4">
        <v>72.680000000000007</v>
      </c>
      <c r="O13" s="4"/>
      <c r="P13" s="4">
        <v>53.58</v>
      </c>
      <c r="Q13" s="4"/>
      <c r="R13" s="4"/>
      <c r="S13" s="4" t="s">
        <v>1790</v>
      </c>
      <c r="T13" s="4"/>
      <c r="U13" s="4"/>
      <c r="V13" s="4"/>
      <c r="W13" s="4"/>
      <c r="X13" s="4"/>
    </row>
    <row r="14" spans="1:24" x14ac:dyDescent="0.2">
      <c r="A14" s="8" t="s">
        <v>44</v>
      </c>
      <c r="B14" s="8" t="s">
        <v>1267</v>
      </c>
      <c r="C14" s="8" t="s">
        <v>1473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1790</v>
      </c>
      <c r="T14" s="4" t="s">
        <v>64</v>
      </c>
      <c r="U14" s="4"/>
      <c r="V14" s="4"/>
      <c r="W14" s="4"/>
      <c r="X14" s="4"/>
    </row>
    <row r="15" spans="1:24" x14ac:dyDescent="0.2">
      <c r="A15" s="8" t="s">
        <v>44</v>
      </c>
      <c r="B15" s="8" t="s">
        <v>1474</v>
      </c>
      <c r="C15" s="8" t="s">
        <v>1475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1790</v>
      </c>
      <c r="T15" s="4" t="s">
        <v>64</v>
      </c>
      <c r="U15" s="4"/>
      <c r="V15" s="4"/>
      <c r="W15" s="4"/>
      <c r="X15" s="4"/>
    </row>
    <row r="16" spans="1:24" x14ac:dyDescent="0.2">
      <c r="A16" s="8" t="s">
        <v>44</v>
      </c>
      <c r="B16" s="8" t="s">
        <v>1255</v>
      </c>
      <c r="C16" s="8" t="s">
        <v>1476</v>
      </c>
      <c r="D16" s="4"/>
      <c r="E16" s="4"/>
      <c r="F16" s="4">
        <v>138.69999999999999</v>
      </c>
      <c r="G16" s="4"/>
      <c r="H16" s="4"/>
      <c r="I16" s="4">
        <v>138.69999999999999</v>
      </c>
      <c r="J16" s="4"/>
      <c r="K16" s="4"/>
      <c r="L16" s="4">
        <v>138.69999999999999</v>
      </c>
      <c r="M16" s="4"/>
      <c r="N16" s="4"/>
      <c r="O16" s="4">
        <v>138.69999999999999</v>
      </c>
      <c r="P16" s="4"/>
      <c r="Q16" s="4"/>
      <c r="R16" s="4"/>
      <c r="S16" s="4" t="s">
        <v>1790</v>
      </c>
      <c r="T16" s="4" t="s">
        <v>64</v>
      </c>
      <c r="U16" s="4"/>
      <c r="V16" s="4"/>
      <c r="W16" s="4"/>
      <c r="X16" s="4"/>
    </row>
    <row r="17" spans="1:24" x14ac:dyDescent="0.2">
      <c r="A17" s="8" t="s">
        <v>44</v>
      </c>
      <c r="B17" s="8" t="s">
        <v>1477</v>
      </c>
      <c r="C17" s="9" t="s">
        <v>1478</v>
      </c>
      <c r="D17" s="4"/>
      <c r="E17" s="4">
        <v>21.43</v>
      </c>
      <c r="F17" s="4">
        <v>21.47</v>
      </c>
      <c r="G17" s="4">
        <v>20.85</v>
      </c>
      <c r="H17" s="4">
        <v>21.43</v>
      </c>
      <c r="I17" s="4">
        <v>21.47</v>
      </c>
      <c r="J17" s="4">
        <v>20.85</v>
      </c>
      <c r="K17" s="4">
        <v>21.43</v>
      </c>
      <c r="L17" s="4">
        <v>21.47</v>
      </c>
      <c r="M17" s="4">
        <v>20.85</v>
      </c>
      <c r="N17" s="4">
        <v>21.43</v>
      </c>
      <c r="O17" s="4">
        <v>21.47</v>
      </c>
      <c r="P17" s="4">
        <v>20.85</v>
      </c>
      <c r="Q17" s="4"/>
      <c r="R17" s="4"/>
      <c r="S17" s="4" t="s">
        <v>1790</v>
      </c>
      <c r="T17" s="4" t="s">
        <v>1790</v>
      </c>
      <c r="U17" s="4"/>
      <c r="V17" s="4"/>
      <c r="W17" s="4"/>
      <c r="X17" s="4"/>
    </row>
    <row r="18" spans="1:24" x14ac:dyDescent="0.2">
      <c r="A18" s="8" t="s">
        <v>44</v>
      </c>
      <c r="B18" s="8" t="s">
        <v>1479</v>
      </c>
      <c r="C18" s="9" t="s">
        <v>1478</v>
      </c>
      <c r="D18" s="4"/>
      <c r="E18" s="4">
        <v>18.149999999999999</v>
      </c>
      <c r="F18" s="4">
        <v>18.43</v>
      </c>
      <c r="G18" s="4">
        <v>19.02</v>
      </c>
      <c r="H18" s="4">
        <v>18.149999999999999</v>
      </c>
      <c r="I18" s="4">
        <v>18.43</v>
      </c>
      <c r="J18" s="4">
        <v>19.02</v>
      </c>
      <c r="K18" s="4">
        <v>18.149999999999999</v>
      </c>
      <c r="L18" s="4">
        <v>18.43</v>
      </c>
      <c r="M18" s="4">
        <v>19.02</v>
      </c>
      <c r="N18" s="4">
        <v>18.149999999999999</v>
      </c>
      <c r="O18" s="4">
        <v>18.43</v>
      </c>
      <c r="P18" s="4">
        <v>19.02</v>
      </c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8" t="s">
        <v>44</v>
      </c>
      <c r="B19" s="8" t="s">
        <v>1480</v>
      </c>
      <c r="C19" s="8" t="s">
        <v>1481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43"/>
  <sheetViews>
    <sheetView workbookViewId="0">
      <selection activeCell="AG31" sqref="AG31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59" customWidth="1"/>
    <col min="4" max="4" width="26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7.1640625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SUM(E5:G43)</f>
        <v>6996.2200000000012</v>
      </c>
      <c r="G2" s="6"/>
      <c r="H2" s="6"/>
      <c r="I2" s="6">
        <f>SUM(H5:J43)</f>
        <v>6996.2200000000012</v>
      </c>
      <c r="J2" s="6"/>
      <c r="K2" s="6"/>
      <c r="L2" s="6">
        <f>SUM(K5:M43)</f>
        <v>6996.2200000000012</v>
      </c>
      <c r="M2" s="6"/>
      <c r="N2" s="6"/>
      <c r="O2" s="6">
        <f>SUM(N5:P43)</f>
        <v>6996.2200000000012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12" t="s">
        <v>45</v>
      </c>
      <c r="B5" s="12" t="s">
        <v>1255</v>
      </c>
      <c r="C5" s="12" t="s">
        <v>1482</v>
      </c>
      <c r="D5" s="13"/>
      <c r="E5" s="13"/>
      <c r="F5" s="13">
        <v>1005.73</v>
      </c>
      <c r="G5" s="13"/>
      <c r="H5" s="13"/>
      <c r="I5" s="13">
        <v>1005.73</v>
      </c>
      <c r="J5" s="13"/>
      <c r="K5" s="13"/>
      <c r="L5" s="13">
        <v>1005.73</v>
      </c>
      <c r="M5" s="13"/>
      <c r="N5" s="13"/>
      <c r="O5" s="13">
        <v>1005.73</v>
      </c>
      <c r="P5" s="13"/>
      <c r="Q5" s="13"/>
      <c r="R5" s="13"/>
      <c r="S5" s="13" t="s">
        <v>63</v>
      </c>
      <c r="T5" s="13"/>
      <c r="U5" s="13"/>
      <c r="V5" s="13"/>
      <c r="W5" s="13"/>
      <c r="X5" s="13"/>
    </row>
    <row r="6" spans="1:24" x14ac:dyDescent="0.2">
      <c r="A6" s="12" t="s">
        <v>45</v>
      </c>
      <c r="B6" s="12" t="s">
        <v>1257</v>
      </c>
      <c r="C6" s="12" t="s">
        <v>1483</v>
      </c>
      <c r="D6" s="13"/>
      <c r="E6" s="13"/>
      <c r="F6" s="13">
        <v>89.4</v>
      </c>
      <c r="G6" s="13"/>
      <c r="H6" s="13"/>
      <c r="I6" s="13">
        <v>89.4</v>
      </c>
      <c r="J6" s="13"/>
      <c r="K6" s="13"/>
      <c r="L6" s="13">
        <v>89.4</v>
      </c>
      <c r="M6" s="13"/>
      <c r="N6" s="13"/>
      <c r="O6" s="13">
        <v>89.4</v>
      </c>
      <c r="P6" s="13"/>
      <c r="Q6" s="13"/>
      <c r="R6" s="13"/>
      <c r="S6" s="13" t="s">
        <v>63</v>
      </c>
      <c r="T6" s="13"/>
      <c r="U6" s="13"/>
      <c r="V6" s="13"/>
      <c r="W6" s="13"/>
      <c r="X6" s="13"/>
    </row>
    <row r="7" spans="1:24" x14ac:dyDescent="0.2">
      <c r="A7" s="12" t="s">
        <v>45</v>
      </c>
      <c r="B7" s="12" t="s">
        <v>1259</v>
      </c>
      <c r="C7" s="12" t="s">
        <v>1484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64</v>
      </c>
      <c r="U7" s="13"/>
      <c r="V7" s="13"/>
      <c r="W7" s="13"/>
      <c r="X7" s="13"/>
    </row>
    <row r="8" spans="1:24" x14ac:dyDescent="0.2">
      <c r="A8" s="12" t="s">
        <v>45</v>
      </c>
      <c r="B8" s="12" t="s">
        <v>1467</v>
      </c>
      <c r="C8" s="12" t="s">
        <v>1485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62</v>
      </c>
      <c r="T8" s="13"/>
      <c r="U8" s="13"/>
      <c r="V8" s="13"/>
      <c r="W8" s="13"/>
      <c r="X8" s="13"/>
    </row>
    <row r="9" spans="1:24" x14ac:dyDescent="0.2">
      <c r="A9" s="12" t="s">
        <v>45</v>
      </c>
      <c r="B9" s="12" t="s">
        <v>1471</v>
      </c>
      <c r="C9" s="12" t="s">
        <v>1486</v>
      </c>
      <c r="D9" s="13"/>
      <c r="E9" s="13">
        <v>64.290000000000006</v>
      </c>
      <c r="F9" s="13"/>
      <c r="G9" s="13">
        <v>72.77</v>
      </c>
      <c r="H9" s="13">
        <v>64.290000000000006</v>
      </c>
      <c r="I9" s="13"/>
      <c r="J9" s="13">
        <v>72.77</v>
      </c>
      <c r="K9" s="13">
        <v>64.290000000000006</v>
      </c>
      <c r="L9" s="13"/>
      <c r="M9" s="13">
        <v>72.77</v>
      </c>
      <c r="N9" s="13">
        <v>64.290000000000006</v>
      </c>
      <c r="O9" s="13"/>
      <c r="P9" s="13">
        <v>72.77</v>
      </c>
      <c r="Q9" s="13"/>
      <c r="R9" s="13"/>
      <c r="S9" s="13" t="s">
        <v>62</v>
      </c>
      <c r="T9" s="13"/>
      <c r="U9" s="13"/>
      <c r="V9" s="13"/>
      <c r="W9" s="13"/>
      <c r="X9" s="13"/>
    </row>
    <row r="10" spans="1:24" x14ac:dyDescent="0.2">
      <c r="A10" s="12" t="s">
        <v>45</v>
      </c>
      <c r="B10" s="12" t="s">
        <v>1265</v>
      </c>
      <c r="C10" s="12" t="s">
        <v>1487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4" t="s">
        <v>62</v>
      </c>
      <c r="T10" s="4" t="s">
        <v>64</v>
      </c>
      <c r="U10" s="13"/>
      <c r="V10" s="13"/>
      <c r="W10" s="13"/>
      <c r="X10" s="13"/>
    </row>
    <row r="11" spans="1:24" x14ac:dyDescent="0.2">
      <c r="A11" s="12" t="s">
        <v>45</v>
      </c>
      <c r="B11" s="12" t="s">
        <v>1267</v>
      </c>
      <c r="C11" s="12" t="s">
        <v>1488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4" t="s">
        <v>62</v>
      </c>
      <c r="T11" s="4" t="s">
        <v>64</v>
      </c>
      <c r="U11" s="13"/>
      <c r="V11" s="13"/>
      <c r="W11" s="13"/>
      <c r="X11" s="13"/>
    </row>
    <row r="12" spans="1:24" x14ac:dyDescent="0.2">
      <c r="A12" s="12" t="s">
        <v>45</v>
      </c>
      <c r="B12" s="12" t="s">
        <v>1269</v>
      </c>
      <c r="C12" s="12" t="s">
        <v>1489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4" t="s">
        <v>62</v>
      </c>
      <c r="T12" s="4" t="s">
        <v>64</v>
      </c>
      <c r="U12" s="13"/>
      <c r="V12" s="13"/>
      <c r="W12" s="13"/>
      <c r="X12" s="13"/>
    </row>
    <row r="13" spans="1:24" x14ac:dyDescent="0.2">
      <c r="A13" s="12" t="s">
        <v>45</v>
      </c>
      <c r="B13" s="12" t="s">
        <v>1271</v>
      </c>
      <c r="C13" s="12" t="s">
        <v>1490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" t="s">
        <v>62</v>
      </c>
      <c r="T13" s="4" t="s">
        <v>64</v>
      </c>
      <c r="U13" s="13"/>
      <c r="V13" s="13"/>
      <c r="W13" s="13"/>
      <c r="X13" s="13"/>
    </row>
    <row r="14" spans="1:24" x14ac:dyDescent="0.2">
      <c r="A14" s="12" t="s">
        <v>45</v>
      </c>
      <c r="B14" s="12" t="s">
        <v>1491</v>
      </c>
      <c r="C14" s="12" t="s">
        <v>1492</v>
      </c>
      <c r="D14" s="13"/>
      <c r="E14" s="13">
        <v>79.510000000000005</v>
      </c>
      <c r="F14" s="13"/>
      <c r="G14" s="13">
        <v>71.23</v>
      </c>
      <c r="H14" s="13">
        <v>79.510000000000005</v>
      </c>
      <c r="I14" s="13"/>
      <c r="J14" s="13">
        <v>71.23</v>
      </c>
      <c r="K14" s="13">
        <v>79.510000000000005</v>
      </c>
      <c r="L14" s="13"/>
      <c r="M14" s="13">
        <v>71.23</v>
      </c>
      <c r="N14" s="13">
        <v>79.510000000000005</v>
      </c>
      <c r="O14" s="13"/>
      <c r="P14" s="13">
        <v>71.23</v>
      </c>
      <c r="Q14" s="13" t="s">
        <v>62</v>
      </c>
      <c r="R14" s="13"/>
      <c r="S14" s="13" t="s">
        <v>64</v>
      </c>
      <c r="T14" s="13" t="s">
        <v>62</v>
      </c>
      <c r="U14" s="13"/>
      <c r="V14" s="13"/>
      <c r="W14" s="13"/>
      <c r="X14" s="13"/>
    </row>
    <row r="15" spans="1:24" x14ac:dyDescent="0.2">
      <c r="A15" s="12" t="s">
        <v>45</v>
      </c>
      <c r="B15" s="12" t="s">
        <v>1493</v>
      </c>
      <c r="C15" s="12" t="s">
        <v>1494</v>
      </c>
      <c r="D15" s="13"/>
      <c r="E15" s="13">
        <v>81.349999999999994</v>
      </c>
      <c r="F15" s="13"/>
      <c r="G15" s="13">
        <v>65.55</v>
      </c>
      <c r="H15" s="13">
        <v>81.349999999999994</v>
      </c>
      <c r="I15" s="13"/>
      <c r="J15" s="13">
        <v>65.55</v>
      </c>
      <c r="K15" s="13">
        <v>81.349999999999994</v>
      </c>
      <c r="L15" s="13"/>
      <c r="M15" s="13">
        <v>65.55</v>
      </c>
      <c r="N15" s="13">
        <v>81.349999999999994</v>
      </c>
      <c r="O15" s="13"/>
      <c r="P15" s="13">
        <v>65.55</v>
      </c>
      <c r="Q15" s="13" t="s">
        <v>62</v>
      </c>
      <c r="R15" s="13"/>
      <c r="S15" s="13" t="s">
        <v>64</v>
      </c>
      <c r="T15" s="13" t="s">
        <v>62</v>
      </c>
      <c r="U15" s="13"/>
      <c r="V15" s="13"/>
      <c r="W15" s="13"/>
      <c r="X15" s="13"/>
    </row>
    <row r="16" spans="1:24" x14ac:dyDescent="0.2">
      <c r="A16" s="12" t="s">
        <v>45</v>
      </c>
      <c r="B16" s="12" t="s">
        <v>1495</v>
      </c>
      <c r="C16" s="12" t="s">
        <v>1496</v>
      </c>
      <c r="D16" s="13"/>
      <c r="E16" s="13">
        <v>72.400000000000006</v>
      </c>
      <c r="F16" s="13"/>
      <c r="G16" s="13">
        <v>82.16</v>
      </c>
      <c r="H16" s="13">
        <v>72.400000000000006</v>
      </c>
      <c r="I16" s="13"/>
      <c r="J16" s="13">
        <v>82.16</v>
      </c>
      <c r="K16" s="13">
        <v>72.400000000000006</v>
      </c>
      <c r="L16" s="13"/>
      <c r="M16" s="13">
        <v>82.16</v>
      </c>
      <c r="N16" s="13">
        <v>72.400000000000006</v>
      </c>
      <c r="O16" s="13"/>
      <c r="P16" s="13">
        <v>82.16</v>
      </c>
      <c r="Q16" s="13" t="s">
        <v>62</v>
      </c>
      <c r="R16" s="13"/>
      <c r="S16" s="13" t="s">
        <v>64</v>
      </c>
      <c r="T16" s="13" t="s">
        <v>62</v>
      </c>
      <c r="U16" s="13"/>
      <c r="V16" s="13"/>
      <c r="W16" s="13"/>
      <c r="X16" s="13"/>
    </row>
    <row r="17" spans="1:24" x14ac:dyDescent="0.2">
      <c r="A17" s="12" t="s">
        <v>45</v>
      </c>
      <c r="B17" s="12" t="s">
        <v>1497</v>
      </c>
      <c r="C17" s="12" t="s">
        <v>1498</v>
      </c>
      <c r="D17" s="13"/>
      <c r="E17" s="13">
        <v>71.069999999999993</v>
      </c>
      <c r="F17" s="13"/>
      <c r="G17" s="13">
        <v>68.67</v>
      </c>
      <c r="H17" s="13">
        <v>71.069999999999993</v>
      </c>
      <c r="I17" s="13"/>
      <c r="J17" s="13">
        <v>68.67</v>
      </c>
      <c r="K17" s="13">
        <v>71.069999999999993</v>
      </c>
      <c r="L17" s="13"/>
      <c r="M17" s="13">
        <v>68.67</v>
      </c>
      <c r="N17" s="13">
        <v>71.069999999999993</v>
      </c>
      <c r="O17" s="13"/>
      <c r="P17" s="13">
        <v>68.67</v>
      </c>
      <c r="Q17" s="13" t="s">
        <v>62</v>
      </c>
      <c r="R17" s="13"/>
      <c r="S17" s="13" t="s">
        <v>64</v>
      </c>
      <c r="T17" s="13" t="s">
        <v>62</v>
      </c>
      <c r="U17" s="13"/>
      <c r="V17" s="13"/>
      <c r="W17" s="13"/>
      <c r="X17" s="13"/>
    </row>
    <row r="18" spans="1:24" x14ac:dyDescent="0.2">
      <c r="A18" s="12" t="s">
        <v>45</v>
      </c>
      <c r="B18" s="12" t="s">
        <v>1499</v>
      </c>
      <c r="C18" s="12" t="s">
        <v>1500</v>
      </c>
      <c r="D18" s="13"/>
      <c r="E18" s="13">
        <v>100.98</v>
      </c>
      <c r="F18" s="13"/>
      <c r="G18" s="13">
        <v>87.45</v>
      </c>
      <c r="H18" s="13">
        <v>100.98</v>
      </c>
      <c r="I18" s="13"/>
      <c r="J18" s="13">
        <v>87.45</v>
      </c>
      <c r="K18" s="13">
        <v>100.98</v>
      </c>
      <c r="L18" s="13"/>
      <c r="M18" s="13">
        <v>87.45</v>
      </c>
      <c r="N18" s="13">
        <v>100.98</v>
      </c>
      <c r="O18" s="13"/>
      <c r="P18" s="13">
        <v>87.45</v>
      </c>
      <c r="Q18" s="13" t="s">
        <v>62</v>
      </c>
      <c r="R18" s="13"/>
      <c r="S18" s="13" t="s">
        <v>64</v>
      </c>
      <c r="T18" s="13" t="s">
        <v>62</v>
      </c>
      <c r="U18" s="13"/>
      <c r="V18" s="13"/>
      <c r="W18" s="13"/>
      <c r="X18" s="13"/>
    </row>
    <row r="19" spans="1:24" x14ac:dyDescent="0.2">
      <c r="A19" s="12" t="s">
        <v>45</v>
      </c>
      <c r="B19" s="12" t="s">
        <v>1501</v>
      </c>
      <c r="C19" s="12" t="s">
        <v>1502</v>
      </c>
      <c r="D19" s="13"/>
      <c r="E19" s="13">
        <v>168</v>
      </c>
      <c r="F19" s="13"/>
      <c r="G19" s="13">
        <v>183.44</v>
      </c>
      <c r="H19" s="13">
        <v>168</v>
      </c>
      <c r="I19" s="13"/>
      <c r="J19" s="13">
        <v>183.44</v>
      </c>
      <c r="K19" s="13">
        <v>168</v>
      </c>
      <c r="L19" s="13"/>
      <c r="M19" s="13">
        <v>183.44</v>
      </c>
      <c r="N19" s="13">
        <v>168</v>
      </c>
      <c r="O19" s="13"/>
      <c r="P19" s="13">
        <v>183.44</v>
      </c>
      <c r="Q19" s="13" t="s">
        <v>62</v>
      </c>
      <c r="R19" s="13"/>
      <c r="S19" s="13" t="s">
        <v>64</v>
      </c>
      <c r="T19" s="13" t="s">
        <v>62</v>
      </c>
      <c r="U19" s="13"/>
      <c r="V19" s="13"/>
      <c r="W19" s="13"/>
      <c r="X19" s="13"/>
    </row>
    <row r="20" spans="1:24" x14ac:dyDescent="0.2">
      <c r="A20" s="12" t="s">
        <v>45</v>
      </c>
      <c r="B20" s="12" t="s">
        <v>1503</v>
      </c>
      <c r="C20" s="12" t="s">
        <v>1504</v>
      </c>
      <c r="D20" s="13"/>
      <c r="E20" s="13">
        <v>186.73</v>
      </c>
      <c r="F20" s="13"/>
      <c r="G20" s="13">
        <v>178.28</v>
      </c>
      <c r="H20" s="13">
        <v>186.73</v>
      </c>
      <c r="I20" s="13"/>
      <c r="J20" s="13">
        <v>178.28</v>
      </c>
      <c r="K20" s="13">
        <v>186.73</v>
      </c>
      <c r="L20" s="13"/>
      <c r="M20" s="13">
        <v>178.28</v>
      </c>
      <c r="N20" s="13">
        <v>186.73</v>
      </c>
      <c r="O20" s="13"/>
      <c r="P20" s="13">
        <v>178.28</v>
      </c>
      <c r="Q20" s="13" t="s">
        <v>1775</v>
      </c>
      <c r="R20" s="13"/>
      <c r="S20" s="13" t="s">
        <v>64</v>
      </c>
      <c r="T20" s="13" t="s">
        <v>62</v>
      </c>
      <c r="U20" s="13"/>
      <c r="V20" s="13"/>
      <c r="W20" s="13"/>
      <c r="X20" s="13"/>
    </row>
    <row r="21" spans="1:24" x14ac:dyDescent="0.2">
      <c r="A21" s="12" t="s">
        <v>45</v>
      </c>
      <c r="B21" s="12" t="s">
        <v>1505</v>
      </c>
      <c r="C21" s="12" t="s">
        <v>1506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 t="s">
        <v>64</v>
      </c>
      <c r="U21" s="13"/>
      <c r="V21" s="13"/>
      <c r="W21" s="13"/>
      <c r="X21" s="13"/>
    </row>
    <row r="22" spans="1:24" x14ac:dyDescent="0.2">
      <c r="A22" s="12" t="s">
        <v>45</v>
      </c>
      <c r="B22" s="12" t="s">
        <v>1507</v>
      </c>
      <c r="C22" s="12" t="s">
        <v>1508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 t="s">
        <v>64</v>
      </c>
      <c r="U22" s="13"/>
      <c r="V22" s="13"/>
      <c r="W22" s="13"/>
      <c r="X22" s="13"/>
    </row>
    <row r="23" spans="1:24" x14ac:dyDescent="0.2">
      <c r="A23" s="12" t="s">
        <v>45</v>
      </c>
      <c r="B23" s="12" t="s">
        <v>1509</v>
      </c>
      <c r="C23" s="12" t="s">
        <v>1510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 t="s">
        <v>64</v>
      </c>
      <c r="U23" s="13"/>
      <c r="V23" s="13"/>
      <c r="W23" s="13"/>
      <c r="X23" s="13"/>
    </row>
    <row r="24" spans="1:24" x14ac:dyDescent="0.2">
      <c r="A24" s="12" t="s">
        <v>45</v>
      </c>
      <c r="B24" s="12" t="s">
        <v>1511</v>
      </c>
      <c r="C24" s="12" t="s">
        <v>1512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 t="s">
        <v>64</v>
      </c>
      <c r="U24" s="13"/>
      <c r="V24" s="13"/>
      <c r="W24" s="13"/>
      <c r="X24" s="13"/>
    </row>
    <row r="25" spans="1:24" x14ac:dyDescent="0.2">
      <c r="A25" s="12" t="s">
        <v>45</v>
      </c>
      <c r="B25" s="12" t="s">
        <v>1513</v>
      </c>
      <c r="C25" s="12" t="s">
        <v>1514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 t="s">
        <v>64</v>
      </c>
      <c r="U25" s="13"/>
      <c r="V25" s="13"/>
      <c r="W25" s="13"/>
      <c r="X25" s="13"/>
    </row>
    <row r="26" spans="1:24" x14ac:dyDescent="0.2">
      <c r="A26" s="12" t="s">
        <v>45</v>
      </c>
      <c r="B26" s="12" t="s">
        <v>1309</v>
      </c>
      <c r="C26" s="12" t="s">
        <v>1515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 t="s">
        <v>64</v>
      </c>
      <c r="R26" s="13"/>
      <c r="S26" s="13"/>
      <c r="T26" s="13"/>
      <c r="U26" s="13"/>
      <c r="V26" s="13"/>
      <c r="W26" s="13"/>
      <c r="X26" s="13"/>
    </row>
    <row r="27" spans="1:24" x14ac:dyDescent="0.2">
      <c r="A27" s="12" t="s">
        <v>45</v>
      </c>
      <c r="B27" s="12" t="s">
        <v>1311</v>
      </c>
      <c r="C27" s="12" t="s">
        <v>1516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 t="s">
        <v>1775</v>
      </c>
      <c r="R27" s="13"/>
      <c r="S27" s="13"/>
      <c r="T27" s="13"/>
      <c r="U27" s="13"/>
      <c r="V27" s="13"/>
      <c r="W27" s="13"/>
      <c r="X27" s="13"/>
    </row>
    <row r="28" spans="1:24" x14ac:dyDescent="0.2">
      <c r="A28" s="12" t="s">
        <v>45</v>
      </c>
      <c r="B28" s="12" t="s">
        <v>1517</v>
      </c>
      <c r="C28" s="12" t="s">
        <v>1518</v>
      </c>
      <c r="D28" s="12" t="s">
        <v>1311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2">
      <c r="A29" s="12" t="s">
        <v>45</v>
      </c>
      <c r="B29" s="12" t="s">
        <v>1519</v>
      </c>
      <c r="C29" s="12" t="s">
        <v>1520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2">
      <c r="A30" s="12" t="s">
        <v>45</v>
      </c>
      <c r="B30" s="12" t="s">
        <v>1521</v>
      </c>
      <c r="C30" s="12" t="s">
        <v>1522</v>
      </c>
      <c r="D30" s="12" t="s">
        <v>1491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 t="s">
        <v>62</v>
      </c>
      <c r="R30" s="13"/>
      <c r="S30" s="13" t="s">
        <v>62</v>
      </c>
      <c r="T30" s="13" t="s">
        <v>62</v>
      </c>
      <c r="U30" s="13"/>
      <c r="V30" s="13"/>
      <c r="W30" s="13"/>
      <c r="X30" s="13"/>
    </row>
    <row r="31" spans="1:24" x14ac:dyDescent="0.2">
      <c r="A31" s="12" t="s">
        <v>45</v>
      </c>
      <c r="B31" s="12" t="s">
        <v>1523</v>
      </c>
      <c r="C31" s="12" t="s">
        <v>1524</v>
      </c>
      <c r="D31" s="12" t="s">
        <v>1495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 t="s">
        <v>62</v>
      </c>
      <c r="R31" s="13"/>
      <c r="S31" s="13" t="s">
        <v>62</v>
      </c>
      <c r="T31" s="13" t="s">
        <v>62</v>
      </c>
      <c r="U31" s="13"/>
      <c r="V31" s="13"/>
      <c r="W31" s="13"/>
      <c r="X31" s="13"/>
    </row>
    <row r="32" spans="1:24" x14ac:dyDescent="0.2">
      <c r="A32" s="12" t="s">
        <v>45</v>
      </c>
      <c r="B32" s="12" t="s">
        <v>1525</v>
      </c>
      <c r="C32" s="12" t="s">
        <v>1526</v>
      </c>
      <c r="D32" s="12" t="s">
        <v>1497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 t="s">
        <v>62</v>
      </c>
      <c r="R32" s="13"/>
      <c r="S32" s="13" t="s">
        <v>62</v>
      </c>
      <c r="T32" s="13" t="s">
        <v>62</v>
      </c>
      <c r="U32" s="13"/>
      <c r="V32" s="13"/>
      <c r="W32" s="13"/>
      <c r="X32" s="13"/>
    </row>
    <row r="33" spans="1:24" x14ac:dyDescent="0.2">
      <c r="A33" s="12" t="s">
        <v>45</v>
      </c>
      <c r="B33" s="12" t="s">
        <v>1527</v>
      </c>
      <c r="C33" s="12" t="s">
        <v>1528</v>
      </c>
      <c r="D33" s="12" t="s">
        <v>1501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 t="s">
        <v>62</v>
      </c>
      <c r="R33" s="13"/>
      <c r="S33" s="13" t="s">
        <v>62</v>
      </c>
      <c r="T33" s="13" t="s">
        <v>62</v>
      </c>
      <c r="U33" s="13"/>
      <c r="V33" s="13"/>
      <c r="W33" s="13"/>
      <c r="X33" s="13"/>
    </row>
    <row r="34" spans="1:24" x14ac:dyDescent="0.2">
      <c r="A34" s="12" t="s">
        <v>45</v>
      </c>
      <c r="B34" s="12" t="s">
        <v>1529</v>
      </c>
      <c r="C34" s="12" t="s">
        <v>1530</v>
      </c>
      <c r="D34" s="12" t="s">
        <v>1503</v>
      </c>
      <c r="E34" s="13">
        <v>4267.21</v>
      </c>
      <c r="F34" s="13"/>
      <c r="G34" s="13"/>
      <c r="H34" s="13">
        <v>4267.21</v>
      </c>
      <c r="I34" s="13"/>
      <c r="J34" s="13"/>
      <c r="K34" s="13">
        <v>4267.21</v>
      </c>
      <c r="L34" s="13"/>
      <c r="M34" s="13"/>
      <c r="N34" s="13">
        <v>4267.21</v>
      </c>
      <c r="O34" s="13"/>
      <c r="P34" s="13"/>
      <c r="Q34" s="13" t="s">
        <v>62</v>
      </c>
      <c r="R34" s="13"/>
      <c r="S34" s="13" t="s">
        <v>62</v>
      </c>
      <c r="T34" s="13" t="s">
        <v>62</v>
      </c>
      <c r="U34" s="13"/>
      <c r="V34" s="13"/>
      <c r="W34" s="13"/>
      <c r="X34" s="13"/>
    </row>
    <row r="35" spans="1:24" x14ac:dyDescent="0.2">
      <c r="A35" s="12" t="s">
        <v>45</v>
      </c>
      <c r="B35" s="12" t="s">
        <v>1313</v>
      </c>
      <c r="C35" s="12" t="s">
        <v>1531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2">
      <c r="A36" s="12" t="s">
        <v>45</v>
      </c>
      <c r="B36" s="12" t="s">
        <v>1315</v>
      </c>
      <c r="C36" s="12" t="s">
        <v>1531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2">
      <c r="A37" s="12" t="s">
        <v>45</v>
      </c>
      <c r="B37" s="12" t="s">
        <v>1316</v>
      </c>
      <c r="C37" s="12" t="s">
        <v>1531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2">
      <c r="A38" s="12" t="s">
        <v>45</v>
      </c>
      <c r="B38" s="12" t="s">
        <v>1318</v>
      </c>
      <c r="C38" s="12" t="s">
        <v>1532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2">
      <c r="A39" s="12" t="s">
        <v>45</v>
      </c>
      <c r="B39" s="12" t="s">
        <v>1320</v>
      </c>
      <c r="C39" s="12" t="s">
        <v>1532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2">
      <c r="A40" s="12" t="s">
        <v>45</v>
      </c>
      <c r="B40" s="12" t="s">
        <v>1321</v>
      </c>
      <c r="C40" s="12" t="s">
        <v>1532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2">
      <c r="A41" s="12" t="s">
        <v>45</v>
      </c>
      <c r="B41" s="12" t="s">
        <v>1323</v>
      </c>
      <c r="C41" s="12" t="s">
        <v>1533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2">
      <c r="A42" s="12" t="s">
        <v>45</v>
      </c>
      <c r="B42" s="12" t="s">
        <v>1325</v>
      </c>
      <c r="C42" s="12" t="s">
        <v>1533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2">
      <c r="A43" s="12" t="s">
        <v>45</v>
      </c>
      <c r="B43" s="12" t="s">
        <v>1326</v>
      </c>
      <c r="C43" s="12" t="s">
        <v>1533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X7"/>
  <sheetViews>
    <sheetView workbookViewId="0">
      <selection activeCell="M11" sqref="M11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4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SUM(E5:G7)</f>
        <v>90.81</v>
      </c>
      <c r="G2" s="6"/>
      <c r="H2" s="6"/>
      <c r="I2" s="6">
        <f>SUM(H5:J7)</f>
        <v>90.81</v>
      </c>
      <c r="J2" s="6"/>
      <c r="K2" s="6"/>
      <c r="L2" s="6">
        <f>SUM(K5:M7)</f>
        <v>90.81</v>
      </c>
      <c r="M2" s="6"/>
      <c r="N2" s="6"/>
      <c r="O2" s="6">
        <f>SUM(N5:P7)</f>
        <v>90.81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46</v>
      </c>
      <c r="B5" s="8" t="s">
        <v>1534</v>
      </c>
      <c r="C5" s="8" t="s">
        <v>1535</v>
      </c>
      <c r="D5" s="4"/>
      <c r="E5" s="4"/>
      <c r="F5" s="4">
        <v>90.81</v>
      </c>
      <c r="G5" s="4"/>
      <c r="H5" s="4"/>
      <c r="I5" s="4">
        <v>90.81</v>
      </c>
      <c r="J5" s="4"/>
      <c r="K5" s="4"/>
      <c r="L5" s="4">
        <v>90.81</v>
      </c>
      <c r="M5" s="4"/>
      <c r="N5" s="4"/>
      <c r="O5" s="4">
        <v>90.81</v>
      </c>
      <c r="P5" s="4"/>
      <c r="Q5" s="4" t="s">
        <v>63</v>
      </c>
      <c r="R5" s="14"/>
      <c r="S5" s="4" t="s">
        <v>63</v>
      </c>
      <c r="T5" s="4" t="s">
        <v>63</v>
      </c>
      <c r="U5" s="4"/>
      <c r="V5" s="4"/>
      <c r="W5" s="4"/>
      <c r="X5" s="4"/>
    </row>
    <row r="6" spans="1:24" x14ac:dyDescent="0.2">
      <c r="A6" s="8" t="s">
        <v>46</v>
      </c>
      <c r="B6" s="8" t="s">
        <v>101</v>
      </c>
      <c r="C6" s="8" t="s">
        <v>1536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14"/>
      <c r="S6" s="4"/>
      <c r="T6" s="4"/>
      <c r="U6" s="4"/>
      <c r="V6" s="4"/>
      <c r="W6" s="4"/>
      <c r="X6" s="4"/>
    </row>
    <row r="7" spans="1:24" x14ac:dyDescent="0.2">
      <c r="A7" s="8" t="s">
        <v>46</v>
      </c>
      <c r="B7" s="8" t="s">
        <v>101</v>
      </c>
      <c r="C7" s="8" t="s">
        <v>1537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4"/>
      <c r="S7" s="4" t="s">
        <v>63</v>
      </c>
      <c r="T7" s="4" t="s">
        <v>63</v>
      </c>
      <c r="U7" s="4"/>
      <c r="V7" s="4"/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X6"/>
  <sheetViews>
    <sheetView workbookViewId="0">
      <selection activeCell="Q5" sqref="Q5:Q6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SUM(E5:G6)</f>
        <v>84.43</v>
      </c>
      <c r="G2" s="6"/>
      <c r="H2" s="6"/>
      <c r="I2" s="6">
        <f>SUM(H5:J6)</f>
        <v>84.43</v>
      </c>
      <c r="J2" s="6"/>
      <c r="K2" s="6"/>
      <c r="L2" s="6">
        <f>SUM(K5:M6)</f>
        <v>84.43</v>
      </c>
      <c r="M2" s="6"/>
      <c r="N2" s="6"/>
      <c r="O2" s="6">
        <f>SUM(N5:P6)</f>
        <v>84.43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47</v>
      </c>
      <c r="B5" s="8" t="s">
        <v>1538</v>
      </c>
      <c r="C5" s="8" t="s">
        <v>1539</v>
      </c>
      <c r="D5" s="4"/>
      <c r="E5" s="4"/>
      <c r="F5" s="4">
        <v>44.44</v>
      </c>
      <c r="G5" s="4"/>
      <c r="H5" s="4"/>
      <c r="I5" s="4">
        <v>44.44</v>
      </c>
      <c r="J5" s="4"/>
      <c r="K5" s="4"/>
      <c r="L5" s="4">
        <v>44.44</v>
      </c>
      <c r="M5" s="4"/>
      <c r="N5" s="4"/>
      <c r="O5" s="4">
        <v>44.44</v>
      </c>
      <c r="P5" s="4"/>
      <c r="Q5" s="4"/>
      <c r="R5" s="4"/>
      <c r="S5" s="4" t="s">
        <v>63</v>
      </c>
      <c r="T5" s="4" t="s">
        <v>63</v>
      </c>
      <c r="U5" s="4"/>
      <c r="V5" s="4"/>
      <c r="W5" s="4"/>
      <c r="X5" s="4"/>
    </row>
    <row r="6" spans="1:24" x14ac:dyDescent="0.2">
      <c r="A6" s="8" t="s">
        <v>47</v>
      </c>
      <c r="B6" s="8" t="s">
        <v>1540</v>
      </c>
      <c r="C6" s="8" t="s">
        <v>1541</v>
      </c>
      <c r="D6" s="4"/>
      <c r="E6" s="4"/>
      <c r="F6" s="4">
        <v>39.99</v>
      </c>
      <c r="G6" s="4"/>
      <c r="H6" s="4"/>
      <c r="I6" s="4">
        <v>39.99</v>
      </c>
      <c r="J6" s="4"/>
      <c r="K6" s="4"/>
      <c r="L6" s="4">
        <v>39.99</v>
      </c>
      <c r="M6" s="4"/>
      <c r="N6" s="4"/>
      <c r="O6" s="4">
        <v>39.99</v>
      </c>
      <c r="P6" s="4"/>
      <c r="Q6" s="4"/>
      <c r="R6" s="4"/>
      <c r="S6" s="4" t="s">
        <v>63</v>
      </c>
      <c r="T6" s="4" t="s">
        <v>63</v>
      </c>
      <c r="U6" s="4"/>
      <c r="V6" s="4"/>
      <c r="W6" s="4"/>
      <c r="X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X34"/>
  <sheetViews>
    <sheetView workbookViewId="0">
      <selection activeCell="AB14" sqref="AB14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52</v>
      </c>
      <c r="B2" s="6"/>
      <c r="C2" s="6"/>
      <c r="D2" s="6" t="s">
        <v>53</v>
      </c>
      <c r="E2" s="6"/>
      <c r="F2" s="6">
        <f>SUM(E5:G34)</f>
        <v>110.76000000000002</v>
      </c>
      <c r="G2" s="6"/>
      <c r="H2" s="6"/>
      <c r="I2" s="6">
        <f>SUM(H5:J34)</f>
        <v>110.76000000000002</v>
      </c>
      <c r="J2" s="6"/>
      <c r="K2" s="6"/>
      <c r="L2" s="6">
        <f>SUM(K5:M34)</f>
        <v>110.76000000000002</v>
      </c>
      <c r="M2" s="6"/>
      <c r="N2" s="6"/>
      <c r="O2" s="6">
        <f>SUM(N5:P34)</f>
        <v>110.76000000000002</v>
      </c>
      <c r="P2" s="6"/>
    </row>
    <row r="3" spans="1:24" x14ac:dyDescent="0.2">
      <c r="A3" s="2"/>
      <c r="B3" s="2"/>
      <c r="C3" s="2"/>
      <c r="D3" s="2"/>
      <c r="E3" s="21" t="s">
        <v>54</v>
      </c>
      <c r="F3" s="21"/>
      <c r="G3" s="21"/>
      <c r="H3" s="21" t="s">
        <v>55</v>
      </c>
      <c r="I3" s="21"/>
      <c r="J3" s="21"/>
      <c r="K3" s="21" t="s">
        <v>56</v>
      </c>
      <c r="L3" s="21"/>
      <c r="M3" s="21"/>
      <c r="N3" s="21" t="s">
        <v>57</v>
      </c>
      <c r="O3" s="21"/>
      <c r="P3" s="21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58</v>
      </c>
      <c r="B4" s="2" t="s">
        <v>59</v>
      </c>
      <c r="C4" s="2" t="s">
        <v>60</v>
      </c>
      <c r="D4" s="2" t="s">
        <v>1789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">
      <c r="A5" s="8" t="s">
        <v>48</v>
      </c>
      <c r="B5" s="8" t="s">
        <v>1542</v>
      </c>
      <c r="C5" s="8" t="s">
        <v>1543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1776</v>
      </c>
      <c r="R5" s="14"/>
      <c r="S5" s="4" t="s">
        <v>1776</v>
      </c>
      <c r="T5" s="4" t="s">
        <v>64</v>
      </c>
      <c r="U5" s="4"/>
      <c r="V5" s="4"/>
      <c r="W5" s="4"/>
      <c r="X5" s="4"/>
    </row>
    <row r="6" spans="1:24" x14ac:dyDescent="0.2">
      <c r="A6" s="8" t="s">
        <v>48</v>
      </c>
      <c r="B6" s="8" t="s">
        <v>1544</v>
      </c>
      <c r="C6" s="8" t="s">
        <v>1545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1776</v>
      </c>
      <c r="R6" s="4" t="s">
        <v>62</v>
      </c>
      <c r="S6" s="4" t="s">
        <v>1776</v>
      </c>
      <c r="T6" s="4" t="s">
        <v>1776</v>
      </c>
      <c r="U6" s="4"/>
      <c r="V6" s="4"/>
      <c r="W6" s="4"/>
      <c r="X6" s="4"/>
    </row>
    <row r="7" spans="1:24" x14ac:dyDescent="0.2">
      <c r="A7" s="8" t="s">
        <v>48</v>
      </c>
      <c r="B7" s="8" t="s">
        <v>1546</v>
      </c>
      <c r="C7" s="8" t="s">
        <v>1547</v>
      </c>
      <c r="D7" s="4"/>
      <c r="E7" s="4">
        <v>24.39</v>
      </c>
      <c r="F7" s="4"/>
      <c r="G7" s="4">
        <v>24.62</v>
      </c>
      <c r="H7" s="4">
        <v>24.39</v>
      </c>
      <c r="I7" s="4"/>
      <c r="J7" s="4">
        <v>24.62</v>
      </c>
      <c r="K7" s="4">
        <v>24.39</v>
      </c>
      <c r="L7" s="4"/>
      <c r="M7" s="4">
        <v>24.62</v>
      </c>
      <c r="N7" s="4">
        <v>24.39</v>
      </c>
      <c r="O7" s="4"/>
      <c r="P7" s="4">
        <v>24.62</v>
      </c>
      <c r="Q7" s="4" t="s">
        <v>1775</v>
      </c>
      <c r="R7" s="4" t="s">
        <v>1775</v>
      </c>
      <c r="S7" s="4"/>
      <c r="T7" s="4"/>
      <c r="U7" s="4"/>
      <c r="V7" s="4"/>
      <c r="W7" s="4"/>
      <c r="X7" s="4"/>
    </row>
    <row r="8" spans="1:24" x14ac:dyDescent="0.2">
      <c r="A8" s="8" t="s">
        <v>48</v>
      </c>
      <c r="B8" s="8" t="s">
        <v>1548</v>
      </c>
      <c r="C8" s="8" t="s">
        <v>1549</v>
      </c>
      <c r="D8" s="4"/>
      <c r="E8" s="4">
        <v>31.35</v>
      </c>
      <c r="F8" s="4"/>
      <c r="G8" s="4">
        <v>30.4</v>
      </c>
      <c r="H8" s="4">
        <v>31.35</v>
      </c>
      <c r="I8" s="4"/>
      <c r="J8" s="4">
        <v>30.4</v>
      </c>
      <c r="K8" s="4">
        <v>31.35</v>
      </c>
      <c r="L8" s="4"/>
      <c r="M8" s="4">
        <v>30.4</v>
      </c>
      <c r="N8" s="4">
        <v>31.35</v>
      </c>
      <c r="O8" s="4"/>
      <c r="P8" s="4">
        <v>30.4</v>
      </c>
      <c r="Q8" s="4" t="s">
        <v>1775</v>
      </c>
      <c r="R8" s="4" t="s">
        <v>1775</v>
      </c>
      <c r="S8" s="4"/>
      <c r="T8" s="4"/>
      <c r="U8" s="4"/>
      <c r="V8" s="4"/>
      <c r="W8" s="4"/>
      <c r="X8" s="4"/>
    </row>
    <row r="9" spans="1:24" x14ac:dyDescent="0.2">
      <c r="A9" s="8" t="s">
        <v>48</v>
      </c>
      <c r="B9" s="8" t="s">
        <v>1550</v>
      </c>
      <c r="C9" s="8" t="s">
        <v>1551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62</v>
      </c>
      <c r="U9" s="4"/>
      <c r="V9" s="4"/>
      <c r="W9" s="4"/>
      <c r="X9" s="4"/>
    </row>
    <row r="10" spans="1:24" x14ac:dyDescent="0.2">
      <c r="A10" s="8" t="s">
        <v>48</v>
      </c>
      <c r="B10" s="8" t="s">
        <v>1552</v>
      </c>
      <c r="C10" s="8" t="s">
        <v>1551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62</v>
      </c>
      <c r="U10" s="4"/>
      <c r="V10" s="4"/>
      <c r="W10" s="4"/>
      <c r="X10" s="4"/>
    </row>
    <row r="11" spans="1:24" x14ac:dyDescent="0.2">
      <c r="A11" s="8" t="s">
        <v>48</v>
      </c>
      <c r="B11" s="8" t="s">
        <v>1553</v>
      </c>
      <c r="C11" s="8" t="s">
        <v>1554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62</v>
      </c>
      <c r="U11" s="4"/>
      <c r="V11" s="4"/>
      <c r="W11" s="4"/>
      <c r="X11" s="4"/>
    </row>
    <row r="12" spans="1:24" x14ac:dyDescent="0.2">
      <c r="A12" s="8" t="s">
        <v>48</v>
      </c>
      <c r="B12" s="8" t="s">
        <v>1555</v>
      </c>
      <c r="C12" s="8" t="s">
        <v>1554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62</v>
      </c>
      <c r="U12" s="4"/>
      <c r="V12" s="4"/>
      <c r="W12" s="4"/>
      <c r="X12" s="4"/>
    </row>
    <row r="13" spans="1:24" x14ac:dyDescent="0.2">
      <c r="A13" s="8" t="s">
        <v>48</v>
      </c>
      <c r="B13" s="8" t="s">
        <v>1556</v>
      </c>
      <c r="C13" s="8" t="s">
        <v>1557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64</v>
      </c>
      <c r="U13" s="4"/>
      <c r="V13" s="4"/>
      <c r="W13" s="4"/>
      <c r="X13" s="4"/>
    </row>
    <row r="14" spans="1:24" x14ac:dyDescent="0.2">
      <c r="A14" s="8" t="s">
        <v>48</v>
      </c>
      <c r="B14" s="8" t="s">
        <v>1558</v>
      </c>
      <c r="C14" s="8" t="s">
        <v>1559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62</v>
      </c>
      <c r="T14" s="4" t="s">
        <v>62</v>
      </c>
      <c r="U14" s="4"/>
      <c r="V14" s="4"/>
      <c r="W14" s="4"/>
      <c r="X14" s="4"/>
    </row>
    <row r="15" spans="1:24" x14ac:dyDescent="0.2">
      <c r="A15" s="8" t="s">
        <v>48</v>
      </c>
      <c r="B15" s="8" t="s">
        <v>1560</v>
      </c>
      <c r="C15" s="8" t="s">
        <v>1561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62</v>
      </c>
      <c r="T15" s="4" t="s">
        <v>62</v>
      </c>
      <c r="U15" s="4"/>
      <c r="V15" s="4"/>
      <c r="W15" s="4"/>
      <c r="X15" s="4"/>
    </row>
    <row r="16" spans="1:24" x14ac:dyDescent="0.2">
      <c r="A16" s="8" t="s">
        <v>48</v>
      </c>
      <c r="B16" s="8" t="s">
        <v>1562</v>
      </c>
      <c r="C16" s="8" t="s">
        <v>1563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62</v>
      </c>
      <c r="S16" s="4"/>
      <c r="T16" s="4"/>
      <c r="U16" s="4"/>
      <c r="V16" s="4"/>
      <c r="W16" s="4"/>
      <c r="X16" s="4"/>
    </row>
    <row r="17" spans="1:24" x14ac:dyDescent="0.2">
      <c r="A17" s="8" t="s">
        <v>48</v>
      </c>
      <c r="B17" s="8" t="s">
        <v>1564</v>
      </c>
      <c r="C17" s="8" t="s">
        <v>1565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62</v>
      </c>
      <c r="S17" s="4"/>
      <c r="T17" s="4"/>
      <c r="U17" s="4"/>
      <c r="V17" s="4"/>
      <c r="W17" s="4"/>
      <c r="X17" s="4"/>
    </row>
    <row r="18" spans="1:24" x14ac:dyDescent="0.2">
      <c r="A18" s="8" t="s">
        <v>48</v>
      </c>
      <c r="B18" s="8" t="s">
        <v>1566</v>
      </c>
      <c r="C18" s="8" t="s">
        <v>1567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62</v>
      </c>
      <c r="S18" s="4"/>
      <c r="T18" s="4"/>
      <c r="U18" s="4"/>
      <c r="V18" s="4"/>
      <c r="W18" s="4"/>
      <c r="X18" s="4"/>
    </row>
    <row r="19" spans="1:24" x14ac:dyDescent="0.2">
      <c r="A19" s="8" t="s">
        <v>48</v>
      </c>
      <c r="B19" s="8" t="s">
        <v>1568</v>
      </c>
      <c r="C19" s="8" t="s">
        <v>1569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62</v>
      </c>
      <c r="S19" s="4"/>
      <c r="T19" s="4"/>
      <c r="U19" s="4"/>
      <c r="V19" s="4"/>
      <c r="W19" s="4"/>
      <c r="X19" s="4"/>
    </row>
    <row r="20" spans="1:24" x14ac:dyDescent="0.2">
      <c r="A20" s="8" t="s">
        <v>48</v>
      </c>
      <c r="B20" s="8" t="s">
        <v>1570</v>
      </c>
      <c r="C20" s="8" t="s">
        <v>1571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62</v>
      </c>
      <c r="U20" s="4"/>
      <c r="V20" s="4"/>
      <c r="W20" s="4"/>
      <c r="X20" s="4"/>
    </row>
    <row r="21" spans="1:24" x14ac:dyDescent="0.2">
      <c r="A21" s="8" t="s">
        <v>48</v>
      </c>
      <c r="B21" s="8" t="s">
        <v>1572</v>
      </c>
      <c r="C21" s="8" t="s">
        <v>1573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 t="s">
        <v>62</v>
      </c>
      <c r="S21" s="4"/>
      <c r="T21" s="4"/>
      <c r="U21" s="4"/>
      <c r="V21" s="4"/>
      <c r="W21" s="4"/>
      <c r="X21" s="4"/>
    </row>
    <row r="22" spans="1:24" x14ac:dyDescent="0.2">
      <c r="A22" s="8" t="s">
        <v>48</v>
      </c>
      <c r="B22" s="8" t="s">
        <v>1574</v>
      </c>
      <c r="C22" s="8" t="s">
        <v>1575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s">
        <v>62</v>
      </c>
      <c r="S22" s="4"/>
      <c r="T22" s="4"/>
      <c r="U22" s="4"/>
      <c r="V22" s="4"/>
      <c r="W22" s="4"/>
      <c r="X22" s="4"/>
    </row>
    <row r="23" spans="1:24" x14ac:dyDescent="0.2">
      <c r="A23" s="8" t="s">
        <v>48</v>
      </c>
      <c r="B23" s="8" t="s">
        <v>1576</v>
      </c>
      <c r="C23" s="8" t="s">
        <v>1577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 t="s">
        <v>62</v>
      </c>
      <c r="S23" s="4"/>
      <c r="T23" s="4"/>
      <c r="U23" s="4"/>
      <c r="V23" s="4"/>
      <c r="W23" s="4"/>
      <c r="X23" s="4"/>
    </row>
    <row r="24" spans="1:24" x14ac:dyDescent="0.2">
      <c r="A24" s="8" t="s">
        <v>48</v>
      </c>
      <c r="B24" s="8" t="s">
        <v>1578</v>
      </c>
      <c r="C24" s="8" t="s">
        <v>1579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 t="s">
        <v>62</v>
      </c>
      <c r="S24" s="4"/>
      <c r="T24" s="4"/>
      <c r="U24" s="4"/>
      <c r="V24" s="4"/>
      <c r="W24" s="4"/>
      <c r="X24" s="4"/>
    </row>
    <row r="25" spans="1:24" x14ac:dyDescent="0.2">
      <c r="A25" s="8" t="s">
        <v>48</v>
      </c>
      <c r="B25" s="8" t="s">
        <v>1580</v>
      </c>
      <c r="C25" s="8" t="s">
        <v>1581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62</v>
      </c>
      <c r="U25" s="4"/>
      <c r="V25" s="4"/>
      <c r="W25" s="4"/>
      <c r="X25" s="4"/>
    </row>
    <row r="26" spans="1:24" x14ac:dyDescent="0.2">
      <c r="A26" s="8" t="s">
        <v>48</v>
      </c>
      <c r="B26" s="8" t="s">
        <v>1582</v>
      </c>
      <c r="C26" s="8" t="s">
        <v>1583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62</v>
      </c>
      <c r="U26" s="4"/>
      <c r="V26" s="4"/>
      <c r="W26" s="4"/>
      <c r="X26" s="4"/>
    </row>
    <row r="27" spans="1:24" x14ac:dyDescent="0.2">
      <c r="A27" s="8" t="s">
        <v>48</v>
      </c>
      <c r="B27" s="8" t="s">
        <v>1584</v>
      </c>
      <c r="C27" s="8" t="s">
        <v>1585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62</v>
      </c>
      <c r="U27" s="4"/>
      <c r="V27" s="4"/>
      <c r="W27" s="4"/>
      <c r="X27" s="4"/>
    </row>
    <row r="28" spans="1:24" x14ac:dyDescent="0.2">
      <c r="A28" s="8" t="s">
        <v>48</v>
      </c>
      <c r="B28" s="8" t="s">
        <v>1586</v>
      </c>
      <c r="C28" s="8" t="s">
        <v>1587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62</v>
      </c>
      <c r="U28" s="4"/>
      <c r="V28" s="4"/>
      <c r="W28" s="4"/>
      <c r="X28" s="4"/>
    </row>
    <row r="29" spans="1:24" x14ac:dyDescent="0.2">
      <c r="A29" s="8" t="s">
        <v>48</v>
      </c>
      <c r="B29" s="8" t="s">
        <v>1588</v>
      </c>
      <c r="C29" s="8" t="s">
        <v>1589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62</v>
      </c>
      <c r="U29" s="4"/>
      <c r="V29" s="4"/>
      <c r="W29" s="4"/>
      <c r="X29" s="4"/>
    </row>
    <row r="30" spans="1:24" x14ac:dyDescent="0.2">
      <c r="A30" s="8" t="s">
        <v>48</v>
      </c>
      <c r="B30" s="8" t="s">
        <v>1590</v>
      </c>
      <c r="C30" s="8" t="s">
        <v>1591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62</v>
      </c>
      <c r="U30" s="4"/>
      <c r="V30" s="4"/>
      <c r="W30" s="4"/>
      <c r="X30" s="4"/>
    </row>
    <row r="31" spans="1:24" x14ac:dyDescent="0.2">
      <c r="A31" s="8" t="s">
        <v>48</v>
      </c>
      <c r="B31" s="8" t="s">
        <v>1592</v>
      </c>
      <c r="C31" s="8" t="s">
        <v>1593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62</v>
      </c>
      <c r="U31" s="4"/>
      <c r="V31" s="4"/>
      <c r="W31" s="4"/>
      <c r="X31" s="4"/>
    </row>
    <row r="32" spans="1:24" x14ac:dyDescent="0.2">
      <c r="A32" s="8" t="s">
        <v>48</v>
      </c>
      <c r="B32" s="8" t="s">
        <v>1594</v>
      </c>
      <c r="C32" s="8" t="s">
        <v>1595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62</v>
      </c>
      <c r="U32" s="4"/>
      <c r="V32" s="4"/>
      <c r="W32" s="4"/>
      <c r="X32" s="4"/>
    </row>
    <row r="33" spans="1:24" x14ac:dyDescent="0.2">
      <c r="A33" s="8" t="s">
        <v>48</v>
      </c>
      <c r="B33" s="8" t="s">
        <v>1596</v>
      </c>
      <c r="C33" s="8" t="s">
        <v>1597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4"/>
      <c r="R33" s="14"/>
      <c r="S33" s="14"/>
      <c r="T33" s="14"/>
      <c r="U33" s="4"/>
      <c r="V33" s="4"/>
      <c r="W33" s="4"/>
      <c r="X33" s="4"/>
    </row>
    <row r="34" spans="1:24" x14ac:dyDescent="0.2">
      <c r="A34" s="8" t="s">
        <v>48</v>
      </c>
      <c r="B34" s="8" t="s">
        <v>1598</v>
      </c>
      <c r="C34" s="8" t="s">
        <v>1599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4"/>
      <c r="R34" s="14"/>
      <c r="S34" s="14"/>
      <c r="T34" s="14"/>
      <c r="U34" s="4"/>
      <c r="V34" s="4"/>
      <c r="W34" s="4"/>
      <c r="X3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X113"/>
  <sheetViews>
    <sheetView tabSelected="1" topLeftCell="A39" workbookViewId="0">
      <selection activeCell="Q49" sqref="Q49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74.5" customWidth="1"/>
    <col min="4" max="4" width="13" customWidth="1"/>
    <col min="5" max="5" width="10" hidden="1" customWidth="1"/>
    <col min="6" max="6" width="8" hidden="1" customWidth="1"/>
    <col min="7" max="7" width="9" hidden="1" customWidth="1"/>
    <col min="8" max="8" width="10" hidden="1" customWidth="1"/>
    <col min="9" max="9" width="8" hidden="1" customWidth="1"/>
    <col min="10" max="10" width="9" hidden="1" customWidth="1"/>
    <col min="11" max="11" width="10" hidden="1" customWidth="1"/>
    <col min="12" max="12" width="8" hidden="1" customWidth="1"/>
    <col min="13" max="13" width="9" hidden="1" customWidth="1"/>
    <col min="14" max="14" width="10" hidden="1" customWidth="1"/>
    <col min="15" max="15" width="8" hidden="1" customWidth="1"/>
    <col min="16" max="16" width="9" hidden="1" customWidth="1"/>
    <col min="17" max="17" width="16.33203125" customWidth="1"/>
    <col min="18" max="18" width="17.1640625" customWidth="1"/>
    <col min="19" max="20" width="16.33203125" bestFit="1" customWidth="1"/>
    <col min="21" max="22" width="8" customWidth="1"/>
    <col min="23" max="23" width="10" customWidth="1"/>
    <col min="24" max="24" width="9" customWidth="1"/>
  </cols>
  <sheetData>
    <row r="2" spans="1:24" x14ac:dyDescent="0.2">
      <c r="A2" s="16" t="s">
        <v>52</v>
      </c>
      <c r="B2" s="17"/>
      <c r="C2" s="17"/>
      <c r="D2" s="17" t="s">
        <v>53</v>
      </c>
      <c r="E2" s="17"/>
      <c r="F2" s="17">
        <f>SUM(E5:G113)</f>
        <v>8656.77</v>
      </c>
      <c r="G2" s="17"/>
      <c r="H2" s="17"/>
      <c r="I2" s="17">
        <f>SUM(H5:J113)</f>
        <v>8656.77</v>
      </c>
      <c r="J2" s="17"/>
      <c r="K2" s="17"/>
      <c r="L2" s="17">
        <f>SUM(K5:M113)</f>
        <v>8656.77</v>
      </c>
      <c r="M2" s="17"/>
      <c r="N2" s="17"/>
      <c r="O2" s="17">
        <f>SUM(N5:P113)</f>
        <v>8656.77</v>
      </c>
      <c r="P2" s="17"/>
      <c r="Q2" s="15"/>
      <c r="R2" s="15"/>
      <c r="S2" s="15"/>
      <c r="T2" s="15"/>
      <c r="U2" s="15"/>
      <c r="V2" s="15"/>
      <c r="W2" s="15"/>
      <c r="X2" s="15"/>
    </row>
    <row r="3" spans="1:24" x14ac:dyDescent="0.2">
      <c r="A3" s="18"/>
      <c r="B3" s="18"/>
      <c r="C3" s="18"/>
      <c r="D3" s="18"/>
      <c r="E3" s="22" t="s">
        <v>54</v>
      </c>
      <c r="F3" s="22"/>
      <c r="G3" s="22"/>
      <c r="H3" s="22" t="s">
        <v>55</v>
      </c>
      <c r="I3" s="22"/>
      <c r="J3" s="22"/>
      <c r="K3" s="22" t="s">
        <v>56</v>
      </c>
      <c r="L3" s="22"/>
      <c r="M3" s="22"/>
      <c r="N3" s="22" t="s">
        <v>57</v>
      </c>
      <c r="O3" s="22"/>
      <c r="P3" s="22"/>
      <c r="Q3" s="18"/>
      <c r="R3" s="18"/>
      <c r="S3" s="18"/>
      <c r="T3" s="18"/>
      <c r="U3" s="18"/>
      <c r="V3" s="18"/>
      <c r="W3" s="18"/>
      <c r="X3" s="18"/>
    </row>
    <row r="4" spans="1:24" x14ac:dyDescent="0.2">
      <c r="A4" s="18" t="s">
        <v>58</v>
      </c>
      <c r="B4" s="18" t="s">
        <v>59</v>
      </c>
      <c r="C4" s="18" t="s">
        <v>60</v>
      </c>
      <c r="D4" s="18" t="s">
        <v>1789</v>
      </c>
      <c r="E4" s="18" t="s">
        <v>62</v>
      </c>
      <c r="F4" s="18" t="s">
        <v>63</v>
      </c>
      <c r="G4" s="18" t="s">
        <v>64</v>
      </c>
      <c r="H4" s="18" t="s">
        <v>62</v>
      </c>
      <c r="I4" s="18" t="s">
        <v>63</v>
      </c>
      <c r="J4" s="18" t="s">
        <v>64</v>
      </c>
      <c r="K4" s="18" t="s">
        <v>62</v>
      </c>
      <c r="L4" s="18" t="s">
        <v>63</v>
      </c>
      <c r="M4" s="18" t="s">
        <v>64</v>
      </c>
      <c r="N4" s="18" t="s">
        <v>62</v>
      </c>
      <c r="O4" s="18" t="s">
        <v>63</v>
      </c>
      <c r="P4" s="18" t="s">
        <v>64</v>
      </c>
      <c r="Q4" s="18" t="s">
        <v>65</v>
      </c>
      <c r="R4" s="18" t="s">
        <v>66</v>
      </c>
      <c r="S4" s="18" t="s">
        <v>67</v>
      </c>
      <c r="T4" s="18" t="s">
        <v>68</v>
      </c>
      <c r="U4" s="18" t="s">
        <v>69</v>
      </c>
      <c r="V4" s="18" t="s">
        <v>70</v>
      </c>
      <c r="W4" s="18" t="s">
        <v>71</v>
      </c>
      <c r="X4" s="18" t="s">
        <v>72</v>
      </c>
    </row>
    <row r="5" spans="1:24" x14ac:dyDescent="0.2">
      <c r="A5" s="8" t="s">
        <v>50</v>
      </c>
      <c r="B5" s="8" t="s">
        <v>101</v>
      </c>
      <c r="C5" s="8" t="s">
        <v>1600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">
      <c r="A6" s="8" t="s">
        <v>50</v>
      </c>
      <c r="B6" s="8" t="s">
        <v>101</v>
      </c>
      <c r="C6" s="8" t="s">
        <v>1601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 t="s">
        <v>63</v>
      </c>
      <c r="S6" s="4" t="s">
        <v>63</v>
      </c>
      <c r="T6" s="4" t="s">
        <v>63</v>
      </c>
      <c r="U6" s="4"/>
      <c r="V6" s="4"/>
      <c r="W6" s="4"/>
      <c r="X6" s="4"/>
    </row>
    <row r="7" spans="1:24" x14ac:dyDescent="0.2">
      <c r="A7" s="8" t="s">
        <v>50</v>
      </c>
      <c r="B7" s="8" t="s">
        <v>101</v>
      </c>
      <c r="C7" s="19" t="s">
        <v>1787</v>
      </c>
      <c r="D7" s="4"/>
      <c r="E7" s="4"/>
      <c r="F7" s="4">
        <v>38.6</v>
      </c>
      <c r="G7" s="4"/>
      <c r="H7" s="4"/>
      <c r="I7" s="4">
        <v>38.6</v>
      </c>
      <c r="J7" s="4"/>
      <c r="K7" s="4"/>
      <c r="L7" s="4">
        <v>38.6</v>
      </c>
      <c r="M7" s="4"/>
      <c r="N7" s="4"/>
      <c r="O7" s="4">
        <v>38.6</v>
      </c>
      <c r="P7" s="4"/>
      <c r="Q7" s="4" t="s">
        <v>1785</v>
      </c>
      <c r="R7" s="4" t="s">
        <v>1785</v>
      </c>
      <c r="S7" s="4" t="s">
        <v>1785</v>
      </c>
      <c r="T7" s="4" t="s">
        <v>1785</v>
      </c>
      <c r="U7" s="4"/>
      <c r="V7" s="4"/>
      <c r="W7" s="4"/>
      <c r="X7" s="4"/>
    </row>
    <row r="8" spans="1:24" x14ac:dyDescent="0.2">
      <c r="A8" s="8" t="s">
        <v>50</v>
      </c>
      <c r="B8" s="8" t="s">
        <v>101</v>
      </c>
      <c r="C8" s="19" t="s">
        <v>1788</v>
      </c>
      <c r="D8" s="4"/>
      <c r="E8" s="4"/>
      <c r="F8" s="4">
        <v>39.020000000000003</v>
      </c>
      <c r="G8" s="4"/>
      <c r="H8" s="4"/>
      <c r="I8" s="4">
        <v>39.020000000000003</v>
      </c>
      <c r="J8" s="4"/>
      <c r="K8" s="4"/>
      <c r="L8" s="4">
        <v>39.020000000000003</v>
      </c>
      <c r="M8" s="4"/>
      <c r="N8" s="4"/>
      <c r="O8" s="4">
        <v>39.020000000000003</v>
      </c>
      <c r="P8" s="4"/>
      <c r="Q8" s="4" t="s">
        <v>1785</v>
      </c>
      <c r="R8" s="4" t="s">
        <v>1785</v>
      </c>
      <c r="S8" s="4" t="s">
        <v>1785</v>
      </c>
      <c r="T8" s="4" t="s">
        <v>1785</v>
      </c>
      <c r="U8" s="4"/>
      <c r="V8" s="4"/>
      <c r="W8" s="4"/>
      <c r="X8" s="4"/>
    </row>
    <row r="9" spans="1:24" x14ac:dyDescent="0.2">
      <c r="A9" s="8" t="s">
        <v>50</v>
      </c>
      <c r="B9" s="8" t="s">
        <v>1777</v>
      </c>
      <c r="C9" s="8" t="s">
        <v>1778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S9" s="4"/>
      <c r="T9" s="4"/>
      <c r="U9" s="4"/>
      <c r="V9" s="4"/>
      <c r="W9" s="4"/>
      <c r="X9" s="4"/>
    </row>
    <row r="10" spans="1:24" x14ac:dyDescent="0.2">
      <c r="A10" s="8" t="s">
        <v>50</v>
      </c>
      <c r="B10" s="8" t="s">
        <v>1602</v>
      </c>
      <c r="C10" s="8" t="s">
        <v>1603</v>
      </c>
      <c r="D10" s="4"/>
      <c r="E10" s="4"/>
      <c r="F10" s="4">
        <v>98</v>
      </c>
      <c r="G10" s="4"/>
      <c r="H10" s="4"/>
      <c r="I10" s="4">
        <v>98</v>
      </c>
      <c r="J10" s="4"/>
      <c r="K10" s="4"/>
      <c r="L10" s="4">
        <v>98</v>
      </c>
      <c r="M10" s="4"/>
      <c r="N10" s="4"/>
      <c r="O10" s="4">
        <v>98</v>
      </c>
      <c r="P10" s="4"/>
      <c r="Q10" s="4" t="s">
        <v>63</v>
      </c>
      <c r="R10" s="4"/>
      <c r="S10" s="4"/>
      <c r="T10" s="4"/>
      <c r="U10" s="4"/>
      <c r="V10" s="4"/>
      <c r="W10" s="4"/>
      <c r="X10" s="4"/>
    </row>
    <row r="11" spans="1:24" x14ac:dyDescent="0.2">
      <c r="A11" s="8" t="s">
        <v>50</v>
      </c>
      <c r="B11" s="8" t="s">
        <v>1604</v>
      </c>
      <c r="C11" s="8" t="s">
        <v>1605</v>
      </c>
      <c r="D11" s="4"/>
      <c r="E11" s="4"/>
      <c r="F11" s="4">
        <v>144.83000000000001</v>
      </c>
      <c r="G11" s="4"/>
      <c r="H11" s="4"/>
      <c r="I11" s="4">
        <v>144.83000000000001</v>
      </c>
      <c r="J11" s="4"/>
      <c r="K11" s="4"/>
      <c r="L11" s="4">
        <v>144.83000000000001</v>
      </c>
      <c r="M11" s="4"/>
      <c r="N11" s="4"/>
      <c r="O11" s="4">
        <v>144.83000000000001</v>
      </c>
      <c r="P11" s="4"/>
      <c r="Q11" s="4" t="s">
        <v>63</v>
      </c>
      <c r="R11" s="4"/>
      <c r="S11" s="4"/>
      <c r="T11" s="4"/>
      <c r="U11" s="4"/>
      <c r="V11" s="4"/>
      <c r="W11" s="4"/>
      <c r="X11" s="4"/>
    </row>
    <row r="12" spans="1:24" x14ac:dyDescent="0.2">
      <c r="A12" s="8" t="s">
        <v>50</v>
      </c>
      <c r="B12" s="8" t="s">
        <v>1606</v>
      </c>
      <c r="C12" s="8" t="s">
        <v>1607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1779</v>
      </c>
      <c r="R12" s="4" t="s">
        <v>1780</v>
      </c>
      <c r="S12" s="4" t="s">
        <v>1780</v>
      </c>
      <c r="T12" s="4" t="s">
        <v>1780</v>
      </c>
      <c r="U12" s="4"/>
      <c r="V12" s="4"/>
      <c r="W12" s="4"/>
      <c r="X12" s="4"/>
    </row>
    <row r="13" spans="1:24" x14ac:dyDescent="0.2">
      <c r="A13" s="8" t="s">
        <v>50</v>
      </c>
      <c r="B13" s="8" t="s">
        <v>1608</v>
      </c>
      <c r="C13" s="8" t="s">
        <v>1609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1779</v>
      </c>
      <c r="R13" s="4" t="s">
        <v>1780</v>
      </c>
      <c r="S13" s="4" t="s">
        <v>1780</v>
      </c>
      <c r="T13" s="4" t="s">
        <v>1780</v>
      </c>
      <c r="U13" s="4"/>
      <c r="V13" s="4"/>
      <c r="W13" s="4"/>
      <c r="X13" s="4"/>
    </row>
    <row r="14" spans="1:24" x14ac:dyDescent="0.2">
      <c r="A14" s="8" t="s">
        <v>50</v>
      </c>
      <c r="B14" s="8" t="s">
        <v>1610</v>
      </c>
      <c r="C14" s="8" t="s">
        <v>1611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1779</v>
      </c>
      <c r="R14" s="4" t="s">
        <v>1780</v>
      </c>
      <c r="S14" s="4" t="s">
        <v>1780</v>
      </c>
      <c r="T14" s="4" t="s">
        <v>1780</v>
      </c>
      <c r="U14" s="4"/>
      <c r="V14" s="4"/>
      <c r="W14" s="4"/>
      <c r="X14" s="4"/>
    </row>
    <row r="15" spans="1:24" x14ac:dyDescent="0.2">
      <c r="A15" s="8" t="s">
        <v>50</v>
      </c>
      <c r="B15" s="8" t="s">
        <v>1612</v>
      </c>
      <c r="C15" s="8" t="s">
        <v>1613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 t="s">
        <v>1779</v>
      </c>
      <c r="R15" s="4" t="s">
        <v>1780</v>
      </c>
      <c r="S15" s="4" t="s">
        <v>1780</v>
      </c>
      <c r="T15" s="4" t="s">
        <v>1780</v>
      </c>
      <c r="U15" s="4"/>
      <c r="V15" s="4"/>
      <c r="W15" s="4"/>
      <c r="X15" s="4"/>
    </row>
    <row r="16" spans="1:24" x14ac:dyDescent="0.2">
      <c r="A16" s="8" t="s">
        <v>50</v>
      </c>
      <c r="B16" s="8" t="s">
        <v>1614</v>
      </c>
      <c r="C16" s="8" t="s">
        <v>1615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 t="s">
        <v>1779</v>
      </c>
      <c r="R16" s="4" t="s">
        <v>1780</v>
      </c>
      <c r="S16" s="4" t="s">
        <v>1780</v>
      </c>
      <c r="T16" s="4" t="s">
        <v>1780</v>
      </c>
      <c r="U16" s="4"/>
      <c r="V16" s="4"/>
      <c r="W16" s="4"/>
      <c r="X16" s="4"/>
    </row>
    <row r="17" spans="1:24" x14ac:dyDescent="0.2">
      <c r="A17" s="8" t="s">
        <v>50</v>
      </c>
      <c r="B17" s="8" t="s">
        <v>1616</v>
      </c>
      <c r="C17" s="8" t="s">
        <v>1617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 t="s">
        <v>1779</v>
      </c>
      <c r="R17" s="4" t="s">
        <v>1780</v>
      </c>
      <c r="S17" s="4" t="s">
        <v>1780</v>
      </c>
      <c r="T17" s="4" t="s">
        <v>1780</v>
      </c>
      <c r="U17" s="4"/>
      <c r="V17" s="4"/>
      <c r="W17" s="4"/>
      <c r="X17" s="4"/>
    </row>
    <row r="18" spans="1:24" x14ac:dyDescent="0.2">
      <c r="A18" s="8" t="s">
        <v>50</v>
      </c>
      <c r="B18" s="8" t="s">
        <v>1618</v>
      </c>
      <c r="C18" s="8" t="s">
        <v>1619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 t="s">
        <v>1779</v>
      </c>
      <c r="R18" s="4" t="s">
        <v>1780</v>
      </c>
      <c r="S18" s="4" t="s">
        <v>1780</v>
      </c>
      <c r="T18" s="4" t="s">
        <v>1780</v>
      </c>
      <c r="U18" s="4"/>
      <c r="V18" s="4"/>
      <c r="W18" s="4"/>
      <c r="X18" s="4"/>
    </row>
    <row r="19" spans="1:24" x14ac:dyDescent="0.2">
      <c r="A19" s="8" t="s">
        <v>50</v>
      </c>
      <c r="B19" s="8" t="s">
        <v>1620</v>
      </c>
      <c r="C19" s="8" t="s">
        <v>1621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 t="s">
        <v>1779</v>
      </c>
      <c r="R19" s="4" t="s">
        <v>1780</v>
      </c>
      <c r="S19" s="4" t="s">
        <v>1780</v>
      </c>
      <c r="T19" s="4" t="s">
        <v>1780</v>
      </c>
      <c r="U19" s="4"/>
      <c r="V19" s="4"/>
      <c r="W19" s="4"/>
      <c r="X19" s="4"/>
    </row>
    <row r="20" spans="1:24" x14ac:dyDescent="0.2">
      <c r="A20" s="8" t="s">
        <v>50</v>
      </c>
      <c r="B20" s="8" t="s">
        <v>1622</v>
      </c>
      <c r="C20" s="8" t="s">
        <v>1623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 t="s">
        <v>1781</v>
      </c>
      <c r="R20" s="4" t="s">
        <v>1782</v>
      </c>
      <c r="S20" s="4" t="s">
        <v>1782</v>
      </c>
      <c r="T20" s="4" t="s">
        <v>1782</v>
      </c>
      <c r="U20" s="4"/>
      <c r="V20" s="4"/>
      <c r="W20" s="4"/>
      <c r="X20" s="4"/>
    </row>
    <row r="21" spans="1:24" x14ac:dyDescent="0.2">
      <c r="A21" s="8" t="s">
        <v>50</v>
      </c>
      <c r="B21" s="8" t="s">
        <v>1624</v>
      </c>
      <c r="C21" s="8" t="s">
        <v>1625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8" t="s">
        <v>50</v>
      </c>
      <c r="B22" s="8" t="s">
        <v>1626</v>
      </c>
      <c r="C22" s="8" t="s">
        <v>1627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 t="s">
        <v>1779</v>
      </c>
      <c r="R22" s="4" t="s">
        <v>1780</v>
      </c>
      <c r="S22" s="4" t="s">
        <v>1780</v>
      </c>
      <c r="T22" s="4" t="s">
        <v>1780</v>
      </c>
      <c r="U22" s="4"/>
      <c r="V22" s="4"/>
      <c r="W22" s="4"/>
      <c r="X22" s="4"/>
    </row>
    <row r="23" spans="1:24" x14ac:dyDescent="0.2">
      <c r="A23" s="8" t="s">
        <v>50</v>
      </c>
      <c r="B23" s="8" t="s">
        <v>1628</v>
      </c>
      <c r="C23" s="8" t="s">
        <v>1629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 t="s">
        <v>1779</v>
      </c>
      <c r="R23" s="4" t="s">
        <v>1780</v>
      </c>
      <c r="S23" s="4" t="s">
        <v>1780</v>
      </c>
      <c r="T23" s="4" t="s">
        <v>1780</v>
      </c>
      <c r="U23" s="4"/>
      <c r="V23" s="4"/>
      <c r="W23" s="4"/>
      <c r="X23" s="4"/>
    </row>
    <row r="24" spans="1:24" x14ac:dyDescent="0.2">
      <c r="A24" s="8" t="s">
        <v>50</v>
      </c>
      <c r="B24" s="8" t="s">
        <v>1630</v>
      </c>
      <c r="C24" s="8" t="s">
        <v>1631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 t="s">
        <v>1779</v>
      </c>
      <c r="R24" s="4" t="s">
        <v>1780</v>
      </c>
      <c r="S24" s="4" t="s">
        <v>1780</v>
      </c>
      <c r="T24" s="4" t="s">
        <v>1780</v>
      </c>
      <c r="U24" s="4"/>
      <c r="V24" s="4"/>
      <c r="W24" s="4"/>
      <c r="X24" s="4"/>
    </row>
    <row r="25" spans="1:24" x14ac:dyDescent="0.2">
      <c r="A25" s="8" t="s">
        <v>50</v>
      </c>
      <c r="B25" s="8" t="s">
        <v>1632</v>
      </c>
      <c r="C25" s="8" t="s">
        <v>1633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 t="s">
        <v>1779</v>
      </c>
      <c r="R25" s="4" t="s">
        <v>1780</v>
      </c>
      <c r="S25" s="4" t="s">
        <v>1780</v>
      </c>
      <c r="T25" s="4" t="s">
        <v>1780</v>
      </c>
      <c r="U25" s="4"/>
      <c r="V25" s="4"/>
      <c r="W25" s="4"/>
      <c r="X25" s="4"/>
    </row>
    <row r="26" spans="1:24" x14ac:dyDescent="0.2">
      <c r="A26" s="8" t="s">
        <v>50</v>
      </c>
      <c r="B26" s="8" t="s">
        <v>1634</v>
      </c>
      <c r="C26" s="8" t="s">
        <v>1635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 t="s">
        <v>1779</v>
      </c>
      <c r="R26" s="4" t="s">
        <v>1780</v>
      </c>
      <c r="S26" s="4" t="s">
        <v>1780</v>
      </c>
      <c r="T26" s="4" t="s">
        <v>1780</v>
      </c>
      <c r="U26" s="4"/>
      <c r="V26" s="4"/>
      <c r="W26" s="4"/>
      <c r="X26" s="4"/>
    </row>
    <row r="27" spans="1:24" x14ac:dyDescent="0.2">
      <c r="A27" s="8" t="s">
        <v>50</v>
      </c>
      <c r="B27" s="8" t="s">
        <v>1636</v>
      </c>
      <c r="C27" s="8" t="s">
        <v>1637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 t="s">
        <v>1779</v>
      </c>
      <c r="R27" s="4" t="s">
        <v>1780</v>
      </c>
      <c r="S27" s="4" t="s">
        <v>1780</v>
      </c>
      <c r="T27" s="4" t="s">
        <v>1780</v>
      </c>
      <c r="U27" s="4"/>
      <c r="V27" s="4"/>
      <c r="W27" s="4"/>
      <c r="X27" s="4"/>
    </row>
    <row r="28" spans="1:24" x14ac:dyDescent="0.2">
      <c r="A28" s="8" t="s">
        <v>50</v>
      </c>
      <c r="B28" s="8" t="s">
        <v>1638</v>
      </c>
      <c r="C28" s="8" t="s">
        <v>1639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 t="s">
        <v>1779</v>
      </c>
      <c r="R28" s="4" t="s">
        <v>1780</v>
      </c>
      <c r="S28" s="4" t="s">
        <v>1780</v>
      </c>
      <c r="T28" s="4" t="s">
        <v>1780</v>
      </c>
      <c r="U28" s="4"/>
      <c r="V28" s="4"/>
      <c r="W28" s="4"/>
      <c r="X28" s="4"/>
    </row>
    <row r="29" spans="1:24" x14ac:dyDescent="0.2">
      <c r="A29" s="8" t="s">
        <v>50</v>
      </c>
      <c r="B29" s="8" t="s">
        <v>1640</v>
      </c>
      <c r="C29" s="8" t="s">
        <v>1641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 t="s">
        <v>1779</v>
      </c>
      <c r="R29" s="4" t="s">
        <v>1780</v>
      </c>
      <c r="S29" s="4" t="s">
        <v>1780</v>
      </c>
      <c r="T29" s="4" t="s">
        <v>1780</v>
      </c>
      <c r="U29" s="4"/>
      <c r="V29" s="4"/>
      <c r="W29" s="4"/>
      <c r="X29" s="4"/>
    </row>
    <row r="30" spans="1:24" x14ac:dyDescent="0.2">
      <c r="A30" s="8" t="s">
        <v>50</v>
      </c>
      <c r="B30" s="8" t="s">
        <v>1642</v>
      </c>
      <c r="C30" s="8" t="s">
        <v>1643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 t="s">
        <v>1781</v>
      </c>
      <c r="R30" s="4" t="s">
        <v>1782</v>
      </c>
      <c r="S30" s="4" t="s">
        <v>1782</v>
      </c>
      <c r="T30" s="4" t="s">
        <v>1782</v>
      </c>
      <c r="U30" s="4"/>
      <c r="V30" s="4"/>
      <c r="W30" s="4"/>
      <c r="X30" s="4"/>
    </row>
    <row r="31" spans="1:24" x14ac:dyDescent="0.2">
      <c r="A31" s="8" t="s">
        <v>50</v>
      </c>
      <c r="B31" s="8" t="s">
        <v>1644</v>
      </c>
      <c r="C31" s="8" t="s">
        <v>1645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A32" s="8" t="s">
        <v>50</v>
      </c>
      <c r="B32" s="8" t="s">
        <v>1646</v>
      </c>
      <c r="C32" s="8" t="s">
        <v>1647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 t="s">
        <v>1779</v>
      </c>
      <c r="R32" s="4" t="s">
        <v>1780</v>
      </c>
      <c r="S32" s="4" t="s">
        <v>1780</v>
      </c>
      <c r="T32" s="4" t="s">
        <v>1780</v>
      </c>
      <c r="U32" s="4"/>
      <c r="V32" s="4"/>
      <c r="W32" s="4"/>
      <c r="X32" s="4"/>
    </row>
    <row r="33" spans="1:24" x14ac:dyDescent="0.2">
      <c r="A33" s="8" t="s">
        <v>50</v>
      </c>
      <c r="B33" s="8" t="s">
        <v>1648</v>
      </c>
      <c r="C33" s="8" t="s">
        <v>1649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1779</v>
      </c>
      <c r="R33" s="4" t="s">
        <v>1780</v>
      </c>
      <c r="S33" s="4" t="s">
        <v>1780</v>
      </c>
      <c r="T33" s="4" t="s">
        <v>1780</v>
      </c>
      <c r="U33" s="4"/>
      <c r="V33" s="4"/>
      <c r="W33" s="4"/>
      <c r="X33" s="4"/>
    </row>
    <row r="34" spans="1:24" x14ac:dyDescent="0.2">
      <c r="A34" s="8" t="s">
        <v>50</v>
      </c>
      <c r="B34" s="8" t="s">
        <v>1650</v>
      </c>
      <c r="C34" s="8" t="s">
        <v>1651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 t="s">
        <v>1779</v>
      </c>
      <c r="R34" s="4" t="s">
        <v>1780</v>
      </c>
      <c r="S34" s="4" t="s">
        <v>1780</v>
      </c>
      <c r="T34" s="4" t="s">
        <v>1780</v>
      </c>
      <c r="U34" s="4"/>
      <c r="V34" s="4"/>
      <c r="W34" s="4"/>
      <c r="X34" s="4"/>
    </row>
    <row r="35" spans="1:24" x14ac:dyDescent="0.2">
      <c r="A35" s="8" t="s">
        <v>50</v>
      </c>
      <c r="B35" s="8" t="s">
        <v>1652</v>
      </c>
      <c r="C35" s="8" t="s">
        <v>1653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1779</v>
      </c>
      <c r="R35" s="4" t="s">
        <v>1780</v>
      </c>
      <c r="S35" s="4" t="s">
        <v>1780</v>
      </c>
      <c r="T35" s="4" t="s">
        <v>1780</v>
      </c>
      <c r="U35" s="4"/>
      <c r="V35" s="4"/>
      <c r="W35" s="4"/>
      <c r="X35" s="4"/>
    </row>
    <row r="36" spans="1:24" x14ac:dyDescent="0.2">
      <c r="A36" s="8" t="s">
        <v>50</v>
      </c>
      <c r="B36" s="8" t="s">
        <v>1654</v>
      </c>
      <c r="C36" s="8" t="s">
        <v>1655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 t="s">
        <v>1779</v>
      </c>
      <c r="R36" s="4" t="s">
        <v>1780</v>
      </c>
      <c r="S36" s="4" t="s">
        <v>1780</v>
      </c>
      <c r="T36" s="4" t="s">
        <v>1780</v>
      </c>
      <c r="U36" s="4"/>
      <c r="V36" s="4"/>
      <c r="W36" s="4"/>
      <c r="X36" s="4"/>
    </row>
    <row r="37" spans="1:24" x14ac:dyDescent="0.2">
      <c r="A37" s="8" t="s">
        <v>50</v>
      </c>
      <c r="B37" s="8" t="s">
        <v>1656</v>
      </c>
      <c r="C37" s="8" t="s">
        <v>1657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1779</v>
      </c>
      <c r="R37" s="4" t="s">
        <v>1780</v>
      </c>
      <c r="S37" s="4" t="s">
        <v>1780</v>
      </c>
      <c r="T37" s="4" t="s">
        <v>1780</v>
      </c>
      <c r="U37" s="4"/>
      <c r="V37" s="4"/>
      <c r="W37" s="4"/>
      <c r="X37" s="4"/>
    </row>
    <row r="38" spans="1:24" x14ac:dyDescent="0.2">
      <c r="A38" s="8" t="s">
        <v>50</v>
      </c>
      <c r="B38" s="8" t="s">
        <v>1658</v>
      </c>
      <c r="C38" s="8" t="s">
        <v>1659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1779</v>
      </c>
      <c r="R38" s="4" t="s">
        <v>1780</v>
      </c>
      <c r="S38" s="4" t="s">
        <v>1780</v>
      </c>
      <c r="T38" s="4" t="s">
        <v>1780</v>
      </c>
      <c r="U38" s="4"/>
      <c r="V38" s="4"/>
      <c r="W38" s="4"/>
      <c r="X38" s="4"/>
    </row>
    <row r="39" spans="1:24" x14ac:dyDescent="0.2">
      <c r="A39" s="8" t="s">
        <v>50</v>
      </c>
      <c r="B39" s="8" t="s">
        <v>1660</v>
      </c>
      <c r="C39" s="8" t="s">
        <v>1661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1779</v>
      </c>
      <c r="R39" s="4" t="s">
        <v>1780</v>
      </c>
      <c r="S39" s="4" t="s">
        <v>1780</v>
      </c>
      <c r="T39" s="4" t="s">
        <v>1780</v>
      </c>
      <c r="U39" s="4"/>
      <c r="V39" s="4"/>
      <c r="W39" s="4"/>
      <c r="X39" s="4"/>
    </row>
    <row r="40" spans="1:24" x14ac:dyDescent="0.2">
      <c r="A40" s="8" t="s">
        <v>50</v>
      </c>
      <c r="B40" s="8" t="s">
        <v>1662</v>
      </c>
      <c r="C40" s="8" t="s">
        <v>1663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 t="s">
        <v>1781</v>
      </c>
      <c r="R40" s="4" t="s">
        <v>1782</v>
      </c>
      <c r="S40" s="4" t="s">
        <v>1782</v>
      </c>
      <c r="T40" s="4" t="s">
        <v>1782</v>
      </c>
      <c r="U40" s="4"/>
      <c r="V40" s="4"/>
      <c r="W40" s="4"/>
      <c r="X40" s="4"/>
    </row>
    <row r="41" spans="1:24" x14ac:dyDescent="0.2">
      <c r="A41" s="8" t="s">
        <v>50</v>
      </c>
      <c r="B41" s="8" t="s">
        <v>1664</v>
      </c>
      <c r="C41" s="8" t="s">
        <v>1665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">
      <c r="A42" s="8" t="s">
        <v>50</v>
      </c>
      <c r="B42" s="8" t="s">
        <v>1666</v>
      </c>
      <c r="C42" s="8" t="s">
        <v>1667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s">
        <v>1781</v>
      </c>
      <c r="R42" s="4" t="s">
        <v>1782</v>
      </c>
      <c r="S42" s="4" t="s">
        <v>1782</v>
      </c>
      <c r="T42" s="4" t="s">
        <v>1782</v>
      </c>
      <c r="U42" s="4"/>
      <c r="V42" s="4"/>
      <c r="W42" s="4"/>
      <c r="X42" s="4"/>
    </row>
    <row r="43" spans="1:24" x14ac:dyDescent="0.2">
      <c r="A43" s="8" t="s">
        <v>50</v>
      </c>
      <c r="B43" s="8" t="s">
        <v>1668</v>
      </c>
      <c r="C43" s="8" t="s">
        <v>1669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">
      <c r="A44" s="8" t="s">
        <v>50</v>
      </c>
      <c r="B44" s="8" t="s">
        <v>1670</v>
      </c>
      <c r="C44" s="8" t="s">
        <v>1671</v>
      </c>
      <c r="D44" s="4"/>
      <c r="E44" s="4">
        <v>65.78</v>
      </c>
      <c r="F44" s="4"/>
      <c r="G44" s="4">
        <v>63.48</v>
      </c>
      <c r="H44" s="4">
        <v>65.78</v>
      </c>
      <c r="I44" s="4"/>
      <c r="J44" s="4">
        <v>63.48</v>
      </c>
      <c r="K44" s="4">
        <v>65.78</v>
      </c>
      <c r="L44" s="4"/>
      <c r="M44" s="4">
        <v>63.48</v>
      </c>
      <c r="N44" s="4">
        <v>65.78</v>
      </c>
      <c r="O44" s="4"/>
      <c r="P44" s="4">
        <v>63.48</v>
      </c>
      <c r="Q44" s="4" t="s">
        <v>1775</v>
      </c>
      <c r="R44" s="4" t="s">
        <v>1775</v>
      </c>
      <c r="S44" s="4" t="s">
        <v>1775</v>
      </c>
      <c r="T44" s="4" t="s">
        <v>1775</v>
      </c>
      <c r="U44" s="4"/>
      <c r="V44" s="4"/>
      <c r="W44" s="4"/>
      <c r="X44" s="4"/>
    </row>
    <row r="45" spans="1:24" x14ac:dyDescent="0.2">
      <c r="A45" s="8" t="s">
        <v>50</v>
      </c>
      <c r="B45" s="8" t="s">
        <v>1672</v>
      </c>
      <c r="C45" s="8" t="s">
        <v>1673</v>
      </c>
      <c r="D45" s="4"/>
      <c r="E45" s="4">
        <v>50.87</v>
      </c>
      <c r="F45" s="4"/>
      <c r="G45" s="4">
        <v>51.86</v>
      </c>
      <c r="H45" s="4">
        <v>50.87</v>
      </c>
      <c r="I45" s="4"/>
      <c r="J45" s="4">
        <v>51.86</v>
      </c>
      <c r="K45" s="4">
        <v>50.87</v>
      </c>
      <c r="L45" s="4"/>
      <c r="M45" s="4">
        <v>51.86</v>
      </c>
      <c r="N45" s="4">
        <v>50.87</v>
      </c>
      <c r="O45" s="4"/>
      <c r="P45" s="4">
        <v>51.86</v>
      </c>
      <c r="Q45" s="4" t="s">
        <v>1775</v>
      </c>
      <c r="R45" s="4" t="s">
        <v>1775</v>
      </c>
      <c r="S45" s="4" t="s">
        <v>1775</v>
      </c>
      <c r="T45" s="4" t="s">
        <v>1775</v>
      </c>
      <c r="U45" s="4"/>
      <c r="V45" s="4"/>
      <c r="W45" s="4"/>
      <c r="X45" s="4"/>
    </row>
    <row r="46" spans="1:24" x14ac:dyDescent="0.2">
      <c r="A46" s="8" t="s">
        <v>50</v>
      </c>
      <c r="B46" s="8" t="s">
        <v>1674</v>
      </c>
      <c r="C46" s="8" t="s">
        <v>1675</v>
      </c>
      <c r="D46" s="4"/>
      <c r="E46" s="4">
        <v>69.61</v>
      </c>
      <c r="F46" s="4"/>
      <c r="G46" s="4">
        <v>66.91</v>
      </c>
      <c r="H46" s="4">
        <v>69.61</v>
      </c>
      <c r="I46" s="4"/>
      <c r="J46" s="4">
        <v>66.91</v>
      </c>
      <c r="K46" s="4">
        <v>69.61</v>
      </c>
      <c r="L46" s="4"/>
      <c r="M46" s="4">
        <v>66.91</v>
      </c>
      <c r="N46" s="4">
        <v>69.61</v>
      </c>
      <c r="O46" s="4"/>
      <c r="P46" s="4">
        <v>66.91</v>
      </c>
      <c r="Q46" s="4" t="s">
        <v>1775</v>
      </c>
      <c r="R46" s="4" t="s">
        <v>1775</v>
      </c>
      <c r="S46" s="4" t="s">
        <v>1775</v>
      </c>
      <c r="T46" s="4" t="s">
        <v>1775</v>
      </c>
      <c r="U46" s="4"/>
      <c r="V46" s="4"/>
      <c r="W46" s="4"/>
      <c r="X46" s="4"/>
    </row>
    <row r="47" spans="1:24" x14ac:dyDescent="0.2">
      <c r="A47" s="8" t="s">
        <v>50</v>
      </c>
      <c r="B47" s="8" t="s">
        <v>1676</v>
      </c>
      <c r="C47" s="8" t="s">
        <v>1677</v>
      </c>
      <c r="D47" s="4"/>
      <c r="E47" s="4">
        <v>78.5</v>
      </c>
      <c r="F47" s="4"/>
      <c r="G47" s="4">
        <v>62.74</v>
      </c>
      <c r="H47" s="4">
        <v>78.5</v>
      </c>
      <c r="I47" s="4"/>
      <c r="J47" s="4">
        <v>62.74</v>
      </c>
      <c r="K47" s="4">
        <v>78.5</v>
      </c>
      <c r="L47" s="4"/>
      <c r="M47" s="4">
        <v>62.74</v>
      </c>
      <c r="N47" s="4">
        <v>78.5</v>
      </c>
      <c r="O47" s="4"/>
      <c r="P47" s="4">
        <v>62.74</v>
      </c>
      <c r="Q47" s="4" t="s">
        <v>1775</v>
      </c>
      <c r="R47" s="4" t="s">
        <v>1775</v>
      </c>
      <c r="S47" s="4" t="s">
        <v>1775</v>
      </c>
      <c r="T47" s="4" t="s">
        <v>1775</v>
      </c>
      <c r="U47" s="4"/>
      <c r="V47" s="4"/>
      <c r="W47" s="4"/>
      <c r="X47" s="4"/>
    </row>
    <row r="48" spans="1:24" x14ac:dyDescent="0.2">
      <c r="A48" s="8" t="s">
        <v>50</v>
      </c>
      <c r="B48" s="8" t="s">
        <v>1678</v>
      </c>
      <c r="C48" s="8" t="s">
        <v>1679</v>
      </c>
      <c r="D48" s="4"/>
      <c r="E48" s="4">
        <v>62.41</v>
      </c>
      <c r="F48" s="4"/>
      <c r="G48" s="4">
        <v>78.489999999999995</v>
      </c>
      <c r="H48" s="4">
        <v>62.41</v>
      </c>
      <c r="I48" s="4"/>
      <c r="J48" s="4">
        <v>78.489999999999995</v>
      </c>
      <c r="K48" s="4">
        <v>62.41</v>
      </c>
      <c r="L48" s="4"/>
      <c r="M48" s="4">
        <v>78.489999999999995</v>
      </c>
      <c r="N48" s="4">
        <v>62.41</v>
      </c>
      <c r="O48" s="4"/>
      <c r="P48" s="4">
        <v>78.489999999999995</v>
      </c>
      <c r="Q48" s="4" t="s">
        <v>1775</v>
      </c>
      <c r="R48" s="4" t="s">
        <v>1775</v>
      </c>
      <c r="S48" s="4" t="s">
        <v>1775</v>
      </c>
      <c r="T48" s="4" t="s">
        <v>1775</v>
      </c>
      <c r="U48" s="4"/>
      <c r="V48" s="4"/>
      <c r="W48" s="4"/>
      <c r="X48" s="4"/>
    </row>
    <row r="49" spans="1:24" x14ac:dyDescent="0.2">
      <c r="A49" s="8" t="s">
        <v>50</v>
      </c>
      <c r="B49" s="8" t="s">
        <v>1680</v>
      </c>
      <c r="C49" s="8" t="s">
        <v>1681</v>
      </c>
      <c r="D49" s="4"/>
      <c r="E49" s="4">
        <v>76.25</v>
      </c>
      <c r="F49" s="4"/>
      <c r="G49" s="4">
        <v>75.31</v>
      </c>
      <c r="H49" s="4">
        <v>76.25</v>
      </c>
      <c r="I49" s="4"/>
      <c r="J49" s="4">
        <v>75.31</v>
      </c>
      <c r="K49" s="4">
        <v>76.25</v>
      </c>
      <c r="L49" s="4"/>
      <c r="M49" s="4">
        <v>75.31</v>
      </c>
      <c r="N49" s="4">
        <v>76.25</v>
      </c>
      <c r="O49" s="4"/>
      <c r="P49" s="4">
        <v>75.31</v>
      </c>
      <c r="Q49" s="4" t="s">
        <v>1775</v>
      </c>
      <c r="R49" s="4" t="s">
        <v>1775</v>
      </c>
      <c r="S49" s="4" t="s">
        <v>1775</v>
      </c>
      <c r="T49" s="4" t="s">
        <v>1775</v>
      </c>
      <c r="U49" s="4"/>
      <c r="V49" s="4"/>
      <c r="W49" s="4"/>
      <c r="X49" s="4"/>
    </row>
    <row r="50" spans="1:24" x14ac:dyDescent="0.2">
      <c r="A50" s="8" t="s">
        <v>50</v>
      </c>
      <c r="B50" s="8" t="s">
        <v>1682</v>
      </c>
      <c r="C50" s="8" t="s">
        <v>1683</v>
      </c>
      <c r="D50" s="4"/>
      <c r="E50" s="4">
        <v>62.89</v>
      </c>
      <c r="F50" s="4"/>
      <c r="G50" s="4">
        <v>62.33</v>
      </c>
      <c r="H50" s="4">
        <v>62.89</v>
      </c>
      <c r="I50" s="4"/>
      <c r="J50" s="4">
        <v>62.33</v>
      </c>
      <c r="K50" s="4">
        <v>62.89</v>
      </c>
      <c r="L50" s="4"/>
      <c r="M50" s="4">
        <v>62.33</v>
      </c>
      <c r="N50" s="4">
        <v>62.89</v>
      </c>
      <c r="O50" s="4"/>
      <c r="P50" s="4">
        <v>62.33</v>
      </c>
      <c r="Q50" s="4" t="s">
        <v>1775</v>
      </c>
      <c r="R50" s="4" t="s">
        <v>1775</v>
      </c>
      <c r="S50" s="4" t="s">
        <v>1775</v>
      </c>
      <c r="T50" s="4" t="s">
        <v>1775</v>
      </c>
      <c r="U50" s="4"/>
      <c r="V50" s="4"/>
      <c r="W50" s="4"/>
      <c r="X50" s="4"/>
    </row>
    <row r="51" spans="1:24" x14ac:dyDescent="0.2">
      <c r="A51" s="8" t="s">
        <v>50</v>
      </c>
      <c r="B51" s="8" t="s">
        <v>1684</v>
      </c>
      <c r="C51" s="8" t="s">
        <v>1685</v>
      </c>
      <c r="D51" s="4"/>
      <c r="E51" s="4">
        <v>81</v>
      </c>
      <c r="F51" s="4"/>
      <c r="G51" s="4">
        <v>75.540000000000006</v>
      </c>
      <c r="H51" s="4">
        <v>81</v>
      </c>
      <c r="I51" s="4"/>
      <c r="J51" s="4">
        <v>75.540000000000006</v>
      </c>
      <c r="K51" s="4">
        <v>81</v>
      </c>
      <c r="L51" s="4"/>
      <c r="M51" s="4">
        <v>75.540000000000006</v>
      </c>
      <c r="N51" s="4">
        <v>81</v>
      </c>
      <c r="O51" s="4"/>
      <c r="P51" s="4">
        <v>75.540000000000006</v>
      </c>
      <c r="Q51" s="4" t="s">
        <v>1775</v>
      </c>
      <c r="R51" s="4" t="s">
        <v>1775</v>
      </c>
      <c r="S51" s="4" t="s">
        <v>1775</v>
      </c>
      <c r="T51" s="4" t="s">
        <v>1775</v>
      </c>
      <c r="U51" s="4"/>
      <c r="V51" s="4"/>
      <c r="W51" s="4"/>
      <c r="X51" s="4"/>
    </row>
    <row r="52" spans="1:24" x14ac:dyDescent="0.2">
      <c r="A52" s="8" t="s">
        <v>50</v>
      </c>
      <c r="B52" s="8" t="s">
        <v>1686</v>
      </c>
      <c r="C52" s="8" t="s">
        <v>1687</v>
      </c>
      <c r="D52" s="4"/>
      <c r="E52" s="4">
        <v>74.62</v>
      </c>
      <c r="F52" s="4"/>
      <c r="G52" s="4">
        <v>74.81</v>
      </c>
      <c r="H52" s="4">
        <v>74.62</v>
      </c>
      <c r="I52" s="4"/>
      <c r="J52" s="4">
        <v>74.81</v>
      </c>
      <c r="K52" s="4">
        <v>74.62</v>
      </c>
      <c r="L52" s="4"/>
      <c r="M52" s="4">
        <v>74.81</v>
      </c>
      <c r="N52" s="4">
        <v>74.62</v>
      </c>
      <c r="O52" s="4"/>
      <c r="P52" s="4">
        <v>74.81</v>
      </c>
      <c r="Q52" s="4" t="s">
        <v>1775</v>
      </c>
      <c r="R52" s="4" t="s">
        <v>1775</v>
      </c>
      <c r="S52" s="4" t="s">
        <v>1775</v>
      </c>
      <c r="T52" s="4" t="s">
        <v>1775</v>
      </c>
      <c r="U52" s="4"/>
      <c r="V52" s="4"/>
      <c r="W52" s="4"/>
      <c r="X52" s="4"/>
    </row>
    <row r="53" spans="1:24" x14ac:dyDescent="0.2">
      <c r="A53" s="8" t="s">
        <v>50</v>
      </c>
      <c r="B53" s="8" t="s">
        <v>1688</v>
      </c>
      <c r="C53" s="8" t="s">
        <v>1689</v>
      </c>
      <c r="D53" s="4"/>
      <c r="E53" s="4">
        <v>35.32</v>
      </c>
      <c r="F53" s="4"/>
      <c r="G53" s="4">
        <v>35.47</v>
      </c>
      <c r="H53" s="4">
        <v>35.32</v>
      </c>
      <c r="I53" s="4"/>
      <c r="J53" s="4">
        <v>35.47</v>
      </c>
      <c r="K53" s="4">
        <v>35.32</v>
      </c>
      <c r="L53" s="4"/>
      <c r="M53" s="4">
        <v>35.47</v>
      </c>
      <c r="N53" s="4">
        <v>35.32</v>
      </c>
      <c r="O53" s="4"/>
      <c r="P53" s="4">
        <v>35.47</v>
      </c>
      <c r="Q53" s="4" t="s">
        <v>1775</v>
      </c>
      <c r="R53" s="4" t="s">
        <v>1775</v>
      </c>
      <c r="S53" s="4" t="s">
        <v>1775</v>
      </c>
      <c r="T53" s="4" t="s">
        <v>1775</v>
      </c>
      <c r="U53" s="4"/>
      <c r="V53" s="4"/>
      <c r="W53" s="4"/>
      <c r="X53" s="4"/>
    </row>
    <row r="54" spans="1:24" x14ac:dyDescent="0.2">
      <c r="A54" s="8" t="s">
        <v>50</v>
      </c>
      <c r="B54" s="8" t="s">
        <v>1690</v>
      </c>
      <c r="C54" s="8" t="s">
        <v>1691</v>
      </c>
      <c r="D54" s="4"/>
      <c r="E54" s="4">
        <v>43.34</v>
      </c>
      <c r="F54" s="4"/>
      <c r="G54" s="4">
        <v>48.75</v>
      </c>
      <c r="H54" s="4">
        <v>43.34</v>
      </c>
      <c r="I54" s="4"/>
      <c r="J54" s="4">
        <v>48.75</v>
      </c>
      <c r="K54" s="4">
        <v>43.34</v>
      </c>
      <c r="L54" s="4"/>
      <c r="M54" s="4">
        <v>48.75</v>
      </c>
      <c r="N54" s="4">
        <v>43.34</v>
      </c>
      <c r="O54" s="4"/>
      <c r="P54" s="4">
        <v>48.75</v>
      </c>
      <c r="Q54" s="4" t="s">
        <v>1775</v>
      </c>
      <c r="R54" s="4" t="s">
        <v>1775</v>
      </c>
      <c r="S54" s="4" t="s">
        <v>1775</v>
      </c>
      <c r="T54" s="4" t="s">
        <v>1775</v>
      </c>
      <c r="U54" s="4"/>
      <c r="V54" s="4"/>
      <c r="W54" s="4"/>
      <c r="X54" s="4"/>
    </row>
    <row r="55" spans="1:24" x14ac:dyDescent="0.2">
      <c r="A55" s="8" t="s">
        <v>50</v>
      </c>
      <c r="B55" s="8" t="s">
        <v>1692</v>
      </c>
      <c r="C55" s="8" t="s">
        <v>1693</v>
      </c>
      <c r="D55" s="4"/>
      <c r="E55" s="4">
        <v>56.22</v>
      </c>
      <c r="F55" s="4"/>
      <c r="G55" s="4">
        <v>37.19</v>
      </c>
      <c r="H55" s="4">
        <v>56.22</v>
      </c>
      <c r="I55" s="4"/>
      <c r="J55" s="4">
        <v>37.19</v>
      </c>
      <c r="K55" s="4">
        <v>56.22</v>
      </c>
      <c r="L55" s="4"/>
      <c r="M55" s="4">
        <v>37.19</v>
      </c>
      <c r="N55" s="4">
        <v>56.22</v>
      </c>
      <c r="O55" s="4"/>
      <c r="P55" s="4">
        <v>37.19</v>
      </c>
      <c r="Q55" s="4" t="s">
        <v>1775</v>
      </c>
      <c r="R55" s="4" t="s">
        <v>1775</v>
      </c>
      <c r="S55" s="4" t="s">
        <v>1775</v>
      </c>
      <c r="T55" s="4" t="s">
        <v>1775</v>
      </c>
      <c r="U55" s="4"/>
      <c r="V55" s="4"/>
      <c r="W55" s="4"/>
      <c r="X55" s="4"/>
    </row>
    <row r="56" spans="1:24" x14ac:dyDescent="0.2">
      <c r="A56" s="8" t="s">
        <v>50</v>
      </c>
      <c r="B56" s="8" t="s">
        <v>1694</v>
      </c>
      <c r="C56" s="8" t="s">
        <v>1695</v>
      </c>
      <c r="D56" s="4"/>
      <c r="E56" s="4">
        <v>48.68</v>
      </c>
      <c r="F56" s="4"/>
      <c r="G56" s="4">
        <v>61.41</v>
      </c>
      <c r="H56" s="4">
        <v>48.68</v>
      </c>
      <c r="I56" s="4"/>
      <c r="J56" s="4">
        <v>61.41</v>
      </c>
      <c r="K56" s="4">
        <v>48.68</v>
      </c>
      <c r="L56" s="4"/>
      <c r="M56" s="4">
        <v>61.41</v>
      </c>
      <c r="N56" s="4">
        <v>48.68</v>
      </c>
      <c r="O56" s="4"/>
      <c r="P56" s="4">
        <v>61.41</v>
      </c>
      <c r="Q56" s="4" t="s">
        <v>1775</v>
      </c>
      <c r="R56" s="4" t="s">
        <v>1775</v>
      </c>
      <c r="S56" s="4" t="s">
        <v>1775</v>
      </c>
      <c r="T56" s="4" t="s">
        <v>1775</v>
      </c>
      <c r="U56" s="4"/>
      <c r="V56" s="4"/>
      <c r="W56" s="4"/>
      <c r="X56" s="4"/>
    </row>
    <row r="57" spans="1:24" x14ac:dyDescent="0.2">
      <c r="A57" s="8" t="s">
        <v>50</v>
      </c>
      <c r="B57" s="8" t="s">
        <v>1696</v>
      </c>
      <c r="C57" s="8" t="s">
        <v>1697</v>
      </c>
      <c r="D57" s="4"/>
      <c r="E57" s="4">
        <v>48.35</v>
      </c>
      <c r="F57" s="4"/>
      <c r="G57" s="4">
        <v>49.37</v>
      </c>
      <c r="H57" s="4">
        <v>48.35</v>
      </c>
      <c r="I57" s="4"/>
      <c r="J57" s="4">
        <v>49.37</v>
      </c>
      <c r="K57" s="4">
        <v>48.35</v>
      </c>
      <c r="L57" s="4"/>
      <c r="M57" s="4">
        <v>49.37</v>
      </c>
      <c r="N57" s="4">
        <v>48.35</v>
      </c>
      <c r="O57" s="4"/>
      <c r="P57" s="4">
        <v>49.37</v>
      </c>
      <c r="Q57" s="4" t="s">
        <v>1775</v>
      </c>
      <c r="R57" s="4" t="s">
        <v>1775</v>
      </c>
      <c r="S57" s="4" t="s">
        <v>1775</v>
      </c>
      <c r="T57" s="4" t="s">
        <v>1775</v>
      </c>
      <c r="U57" s="4"/>
      <c r="V57" s="4"/>
      <c r="W57" s="4"/>
      <c r="X57" s="4"/>
    </row>
    <row r="58" spans="1:24" x14ac:dyDescent="0.2">
      <c r="A58" s="8" t="s">
        <v>50</v>
      </c>
      <c r="B58" s="8" t="s">
        <v>1698</v>
      </c>
      <c r="C58" s="8" t="s">
        <v>1699</v>
      </c>
      <c r="D58" s="4"/>
      <c r="E58" s="4">
        <v>61.62</v>
      </c>
      <c r="F58" s="4"/>
      <c r="G58" s="4">
        <v>65.010000000000005</v>
      </c>
      <c r="H58" s="4">
        <v>61.62</v>
      </c>
      <c r="I58" s="4"/>
      <c r="J58" s="4">
        <v>65.010000000000005</v>
      </c>
      <c r="K58" s="4">
        <v>61.62</v>
      </c>
      <c r="L58" s="4"/>
      <c r="M58" s="4">
        <v>65.010000000000005</v>
      </c>
      <c r="N58" s="4">
        <v>61.62</v>
      </c>
      <c r="O58" s="4"/>
      <c r="P58" s="4">
        <v>65.010000000000005</v>
      </c>
      <c r="Q58" s="4" t="s">
        <v>1775</v>
      </c>
      <c r="R58" s="4" t="s">
        <v>1775</v>
      </c>
      <c r="S58" s="4" t="s">
        <v>1775</v>
      </c>
      <c r="T58" s="4" t="s">
        <v>1775</v>
      </c>
      <c r="U58" s="4"/>
      <c r="V58" s="4"/>
      <c r="W58" s="4"/>
      <c r="X58" s="4"/>
    </row>
    <row r="59" spans="1:24" x14ac:dyDescent="0.2">
      <c r="A59" s="8" t="s">
        <v>50</v>
      </c>
      <c r="B59" s="8" t="s">
        <v>1700</v>
      </c>
      <c r="C59" s="8" t="s">
        <v>1701</v>
      </c>
      <c r="D59" s="4"/>
      <c r="E59" s="4">
        <v>52.28</v>
      </c>
      <c r="F59" s="4"/>
      <c r="G59" s="4">
        <v>48.71</v>
      </c>
      <c r="H59" s="4">
        <v>52.28</v>
      </c>
      <c r="I59" s="4"/>
      <c r="J59" s="4">
        <v>48.71</v>
      </c>
      <c r="K59" s="4">
        <v>52.28</v>
      </c>
      <c r="L59" s="4"/>
      <c r="M59" s="4">
        <v>48.71</v>
      </c>
      <c r="N59" s="4">
        <v>52.28</v>
      </c>
      <c r="O59" s="4"/>
      <c r="P59" s="4">
        <v>48.71</v>
      </c>
      <c r="Q59" s="4" t="s">
        <v>1775</v>
      </c>
      <c r="R59" s="4" t="s">
        <v>1775</v>
      </c>
      <c r="S59" s="4" t="s">
        <v>1775</v>
      </c>
      <c r="T59" s="4" t="s">
        <v>1775</v>
      </c>
      <c r="U59" s="4"/>
      <c r="V59" s="4"/>
      <c r="W59" s="4"/>
      <c r="X59" s="4"/>
    </row>
    <row r="60" spans="1:24" x14ac:dyDescent="0.2">
      <c r="A60" s="8" t="s">
        <v>50</v>
      </c>
      <c r="B60" s="8" t="s">
        <v>1702</v>
      </c>
      <c r="C60" s="8" t="s">
        <v>1703</v>
      </c>
      <c r="D60" s="4"/>
      <c r="E60" s="4">
        <v>49.26</v>
      </c>
      <c r="F60" s="4"/>
      <c r="G60" s="4">
        <v>62.29</v>
      </c>
      <c r="H60" s="4">
        <v>49.26</v>
      </c>
      <c r="I60" s="4"/>
      <c r="J60" s="4">
        <v>62.29</v>
      </c>
      <c r="K60" s="4">
        <v>49.26</v>
      </c>
      <c r="L60" s="4"/>
      <c r="M60" s="4">
        <v>62.29</v>
      </c>
      <c r="N60" s="4">
        <v>49.26</v>
      </c>
      <c r="O60" s="4"/>
      <c r="P60" s="4">
        <v>62.29</v>
      </c>
      <c r="Q60" s="4" t="s">
        <v>1775</v>
      </c>
      <c r="R60" s="4" t="s">
        <v>1775</v>
      </c>
      <c r="S60" s="4" t="s">
        <v>1775</v>
      </c>
      <c r="T60" s="4" t="s">
        <v>1775</v>
      </c>
      <c r="U60" s="4"/>
      <c r="V60" s="4"/>
      <c r="W60" s="4"/>
      <c r="X60" s="4"/>
    </row>
    <row r="61" spans="1:24" x14ac:dyDescent="0.2">
      <c r="A61" s="8" t="s">
        <v>50</v>
      </c>
      <c r="B61" s="8" t="s">
        <v>1704</v>
      </c>
      <c r="C61" s="8" t="s">
        <v>1705</v>
      </c>
      <c r="D61" s="4"/>
      <c r="E61" s="4">
        <v>67.31</v>
      </c>
      <c r="F61" s="4"/>
      <c r="G61" s="4">
        <v>49.34</v>
      </c>
      <c r="H61" s="4">
        <v>67.31</v>
      </c>
      <c r="I61" s="4"/>
      <c r="J61" s="4">
        <v>49.34</v>
      </c>
      <c r="K61" s="4">
        <v>67.31</v>
      </c>
      <c r="L61" s="4"/>
      <c r="M61" s="4">
        <v>49.34</v>
      </c>
      <c r="N61" s="4">
        <v>67.31</v>
      </c>
      <c r="O61" s="4"/>
      <c r="P61" s="4">
        <v>49.34</v>
      </c>
      <c r="Q61" s="4" t="s">
        <v>1775</v>
      </c>
      <c r="R61" s="4" t="s">
        <v>1775</v>
      </c>
      <c r="S61" s="4" t="s">
        <v>1775</v>
      </c>
      <c r="T61" s="4" t="s">
        <v>1775</v>
      </c>
      <c r="U61" s="4"/>
      <c r="V61" s="4"/>
      <c r="W61" s="4"/>
      <c r="X61" s="4"/>
    </row>
    <row r="62" spans="1:24" x14ac:dyDescent="0.2">
      <c r="A62" s="8" t="s">
        <v>50</v>
      </c>
      <c r="B62" s="8" t="s">
        <v>1706</v>
      </c>
      <c r="C62" s="8" t="s">
        <v>1707</v>
      </c>
      <c r="D62" s="4"/>
      <c r="E62" s="4">
        <v>113.55</v>
      </c>
      <c r="F62" s="4"/>
      <c r="G62" s="4">
        <v>119.85</v>
      </c>
      <c r="H62" s="4">
        <v>113.55</v>
      </c>
      <c r="I62" s="4"/>
      <c r="J62" s="4">
        <v>119.85</v>
      </c>
      <c r="K62" s="4">
        <v>113.55</v>
      </c>
      <c r="L62" s="4"/>
      <c r="M62" s="4">
        <v>119.85</v>
      </c>
      <c r="N62" s="4">
        <v>113.55</v>
      </c>
      <c r="O62" s="4"/>
      <c r="P62" s="4">
        <v>119.85</v>
      </c>
      <c r="Q62" s="4" t="s">
        <v>1775</v>
      </c>
      <c r="R62" s="4" t="s">
        <v>1775</v>
      </c>
      <c r="S62" s="4" t="s">
        <v>1775</v>
      </c>
      <c r="T62" s="4" t="s">
        <v>1775</v>
      </c>
      <c r="U62" s="4"/>
      <c r="V62" s="4"/>
      <c r="W62" s="4"/>
      <c r="X62" s="4"/>
    </row>
    <row r="63" spans="1:24" x14ac:dyDescent="0.2">
      <c r="A63" s="8" t="s">
        <v>50</v>
      </c>
      <c r="B63" s="8" t="s">
        <v>1708</v>
      </c>
      <c r="C63" s="8" t="s">
        <v>1709</v>
      </c>
      <c r="D63" s="4"/>
      <c r="E63" s="4">
        <v>36.24</v>
      </c>
      <c r="F63" s="4"/>
      <c r="G63" s="4">
        <v>36.049999999999997</v>
      </c>
      <c r="H63" s="4">
        <v>36.24</v>
      </c>
      <c r="I63" s="4"/>
      <c r="J63" s="4">
        <v>36.049999999999997</v>
      </c>
      <c r="K63" s="4">
        <v>36.24</v>
      </c>
      <c r="L63" s="4"/>
      <c r="M63" s="4">
        <v>36.049999999999997</v>
      </c>
      <c r="N63" s="4">
        <v>36.24</v>
      </c>
      <c r="O63" s="4"/>
      <c r="P63" s="4">
        <v>36.049999999999997</v>
      </c>
      <c r="Q63" s="4" t="s">
        <v>1775</v>
      </c>
      <c r="R63" s="4" t="s">
        <v>1775</v>
      </c>
      <c r="S63" s="4" t="s">
        <v>1775</v>
      </c>
      <c r="T63" s="4" t="s">
        <v>1775</v>
      </c>
      <c r="U63" s="4"/>
      <c r="V63" s="4"/>
      <c r="W63" s="4"/>
      <c r="X63" s="4"/>
    </row>
    <row r="64" spans="1:24" x14ac:dyDescent="0.2">
      <c r="A64" s="8" t="s">
        <v>50</v>
      </c>
      <c r="B64" s="8" t="s">
        <v>1710</v>
      </c>
      <c r="C64" s="8" t="s">
        <v>1711</v>
      </c>
      <c r="D64" s="4"/>
      <c r="E64" s="4">
        <v>51.79</v>
      </c>
      <c r="F64" s="4"/>
      <c r="G64" s="4">
        <v>35.21</v>
      </c>
      <c r="H64" s="4">
        <v>51.79</v>
      </c>
      <c r="I64" s="4"/>
      <c r="J64" s="4">
        <v>35.21</v>
      </c>
      <c r="K64" s="4">
        <v>51.79</v>
      </c>
      <c r="L64" s="4"/>
      <c r="M64" s="4">
        <v>35.21</v>
      </c>
      <c r="N64" s="4">
        <v>51.79</v>
      </c>
      <c r="O64" s="4"/>
      <c r="P64" s="4">
        <v>35.21</v>
      </c>
      <c r="Q64" s="4" t="s">
        <v>1775</v>
      </c>
      <c r="R64" s="4" t="s">
        <v>1775</v>
      </c>
      <c r="S64" s="4" t="s">
        <v>1775</v>
      </c>
      <c r="T64" s="4" t="s">
        <v>1775</v>
      </c>
      <c r="U64" s="4"/>
      <c r="V64" s="4"/>
      <c r="W64" s="4"/>
      <c r="X64" s="4"/>
    </row>
    <row r="65" spans="1:24" x14ac:dyDescent="0.2">
      <c r="A65" s="8" t="s">
        <v>50</v>
      </c>
      <c r="B65" s="8" t="s">
        <v>1712</v>
      </c>
      <c r="C65" s="8" t="s">
        <v>1713</v>
      </c>
      <c r="D65" s="4"/>
      <c r="E65" s="4">
        <v>174.65</v>
      </c>
      <c r="F65" s="4"/>
      <c r="G65" s="4">
        <v>190.38</v>
      </c>
      <c r="H65" s="4">
        <v>174.65</v>
      </c>
      <c r="I65" s="4"/>
      <c r="J65" s="4">
        <v>190.38</v>
      </c>
      <c r="K65" s="4">
        <v>174.65</v>
      </c>
      <c r="L65" s="4"/>
      <c r="M65" s="4">
        <v>190.38</v>
      </c>
      <c r="N65" s="4">
        <v>174.65</v>
      </c>
      <c r="O65" s="4"/>
      <c r="P65" s="4">
        <v>190.38</v>
      </c>
      <c r="Q65" s="4" t="s">
        <v>1775</v>
      </c>
      <c r="R65" s="4" t="s">
        <v>1775</v>
      </c>
      <c r="S65" s="4"/>
      <c r="T65" s="4"/>
      <c r="U65" s="4"/>
      <c r="V65" s="4"/>
      <c r="W65" s="4"/>
      <c r="X65" s="4"/>
    </row>
    <row r="66" spans="1:24" x14ac:dyDescent="0.2">
      <c r="A66" s="8" t="s">
        <v>50</v>
      </c>
      <c r="B66" s="8" t="s">
        <v>1714</v>
      </c>
      <c r="C66" s="8" t="s">
        <v>1715</v>
      </c>
      <c r="D66" s="4"/>
      <c r="E66" s="4">
        <v>54.3</v>
      </c>
      <c r="F66" s="4"/>
      <c r="G66" s="4">
        <v>37.590000000000003</v>
      </c>
      <c r="H66" s="4">
        <v>54.3</v>
      </c>
      <c r="I66" s="4"/>
      <c r="J66" s="4">
        <v>37.590000000000003</v>
      </c>
      <c r="K66" s="4">
        <v>54.3</v>
      </c>
      <c r="L66" s="4"/>
      <c r="M66" s="4">
        <v>37.590000000000003</v>
      </c>
      <c r="N66" s="4">
        <v>54.3</v>
      </c>
      <c r="O66" s="4"/>
      <c r="P66" s="4">
        <v>37.590000000000003</v>
      </c>
      <c r="Q66" s="4" t="s">
        <v>1775</v>
      </c>
      <c r="R66" s="4" t="s">
        <v>1775</v>
      </c>
      <c r="S66" s="4"/>
      <c r="T66" s="4"/>
      <c r="U66" s="4"/>
      <c r="V66" s="4"/>
      <c r="W66" s="4"/>
      <c r="X66" s="4"/>
    </row>
    <row r="67" spans="1:24" x14ac:dyDescent="0.2">
      <c r="A67" s="8" t="s">
        <v>50</v>
      </c>
      <c r="B67" s="8" t="s">
        <v>1716</v>
      </c>
      <c r="C67" s="8" t="s">
        <v>1717</v>
      </c>
      <c r="D67" s="4"/>
      <c r="E67" s="4">
        <v>38.96</v>
      </c>
      <c r="F67" s="4"/>
      <c r="G67" s="4">
        <v>38.99</v>
      </c>
      <c r="H67" s="4">
        <v>38.96</v>
      </c>
      <c r="I67" s="4"/>
      <c r="J67" s="4">
        <v>38.99</v>
      </c>
      <c r="K67" s="4">
        <v>38.96</v>
      </c>
      <c r="L67" s="4"/>
      <c r="M67" s="4">
        <v>38.99</v>
      </c>
      <c r="N67" s="4">
        <v>38.96</v>
      </c>
      <c r="O67" s="4"/>
      <c r="P67" s="4">
        <v>38.99</v>
      </c>
      <c r="Q67" s="4" t="s">
        <v>1775</v>
      </c>
      <c r="R67" s="4" t="s">
        <v>1775</v>
      </c>
      <c r="S67" s="4"/>
      <c r="T67" s="4"/>
      <c r="U67" s="4"/>
      <c r="V67" s="4"/>
      <c r="W67" s="4"/>
      <c r="X67" s="4"/>
    </row>
    <row r="68" spans="1:24" s="26" customFormat="1" x14ac:dyDescent="0.2">
      <c r="A68" s="23" t="s">
        <v>50</v>
      </c>
      <c r="B68" s="23" t="s">
        <v>1814</v>
      </c>
      <c r="C68" s="24" t="s">
        <v>1799</v>
      </c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 t="s">
        <v>1780</v>
      </c>
      <c r="R68" s="25" t="s">
        <v>1780</v>
      </c>
      <c r="S68" s="25"/>
      <c r="T68" s="25"/>
      <c r="U68" s="25"/>
      <c r="V68" s="25"/>
      <c r="W68" s="25"/>
      <c r="X68" s="25"/>
    </row>
    <row r="69" spans="1:24" x14ac:dyDescent="0.2">
      <c r="A69" s="8" t="s">
        <v>50</v>
      </c>
      <c r="B69" s="8" t="s">
        <v>1815</v>
      </c>
      <c r="C69" s="20" t="s">
        <v>1824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25" t="s">
        <v>1780</v>
      </c>
      <c r="R69" s="25" t="s">
        <v>1780</v>
      </c>
      <c r="S69" s="4"/>
      <c r="T69" s="4"/>
      <c r="U69" s="4"/>
      <c r="V69" s="4"/>
      <c r="W69" s="4"/>
      <c r="X69" s="4"/>
    </row>
    <row r="70" spans="1:24" x14ac:dyDescent="0.2">
      <c r="A70" s="8" t="s">
        <v>50</v>
      </c>
      <c r="B70" s="8" t="s">
        <v>1816</v>
      </c>
      <c r="C70" s="20" t="s">
        <v>1800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25" t="s">
        <v>1780</v>
      </c>
      <c r="R70" s="25" t="s">
        <v>1780</v>
      </c>
      <c r="S70" s="4"/>
      <c r="T70" s="4"/>
      <c r="U70" s="4"/>
      <c r="V70" s="4"/>
      <c r="W70" s="4"/>
      <c r="X70" s="4"/>
    </row>
    <row r="71" spans="1:24" x14ac:dyDescent="0.2">
      <c r="A71" s="8" t="s">
        <v>50</v>
      </c>
      <c r="B71" s="8" t="s">
        <v>1817</v>
      </c>
      <c r="C71" s="20" t="s">
        <v>1801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25" t="s">
        <v>1780</v>
      </c>
      <c r="R71" s="25" t="s">
        <v>1780</v>
      </c>
      <c r="S71" s="4"/>
      <c r="T71" s="4"/>
      <c r="U71" s="4"/>
      <c r="V71" s="4"/>
      <c r="W71" s="4"/>
      <c r="X71" s="4"/>
    </row>
    <row r="72" spans="1:24" x14ac:dyDescent="0.2">
      <c r="A72" s="8" t="s">
        <v>50</v>
      </c>
      <c r="B72" s="8" t="s">
        <v>1818</v>
      </c>
      <c r="C72" s="20" t="s">
        <v>1802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25" t="s">
        <v>1780</v>
      </c>
      <c r="R72" s="25" t="s">
        <v>1780</v>
      </c>
      <c r="S72" s="4"/>
      <c r="T72" s="4"/>
      <c r="U72" s="4"/>
      <c r="V72" s="4"/>
      <c r="W72" s="4"/>
      <c r="X72" s="4"/>
    </row>
    <row r="73" spans="1:24" x14ac:dyDescent="0.2">
      <c r="A73" s="8" t="s">
        <v>50</v>
      </c>
      <c r="B73" s="8" t="s">
        <v>1819</v>
      </c>
      <c r="C73" s="20" t="s">
        <v>1803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25" t="s">
        <v>1780</v>
      </c>
      <c r="R73" s="25" t="s">
        <v>1780</v>
      </c>
      <c r="S73" s="4"/>
      <c r="T73" s="4"/>
      <c r="U73" s="4"/>
      <c r="V73" s="4"/>
      <c r="W73" s="4"/>
      <c r="X73" s="4"/>
    </row>
    <row r="74" spans="1:24" x14ac:dyDescent="0.2">
      <c r="A74" s="8" t="s">
        <v>50</v>
      </c>
      <c r="B74" s="8" t="s">
        <v>1820</v>
      </c>
      <c r="C74" s="20" t="s">
        <v>1804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25" t="s">
        <v>1780</v>
      </c>
      <c r="R74" s="25" t="s">
        <v>1780</v>
      </c>
      <c r="S74" s="4"/>
      <c r="T74" s="4"/>
      <c r="U74" s="4"/>
      <c r="V74" s="4"/>
      <c r="W74" s="4"/>
      <c r="X74" s="4"/>
    </row>
    <row r="75" spans="1:24" x14ac:dyDescent="0.2">
      <c r="A75" s="8" t="s">
        <v>50</v>
      </c>
      <c r="B75" s="8" t="s">
        <v>1821</v>
      </c>
      <c r="C75" s="20" t="s">
        <v>1805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25" t="s">
        <v>1780</v>
      </c>
      <c r="R75" s="25" t="s">
        <v>1780</v>
      </c>
      <c r="S75" s="4"/>
      <c r="T75" s="4"/>
      <c r="U75" s="4"/>
      <c r="V75" s="4"/>
      <c r="W75" s="4"/>
      <c r="X75" s="4"/>
    </row>
    <row r="76" spans="1:24" x14ac:dyDescent="0.2">
      <c r="A76" s="8" t="s">
        <v>50</v>
      </c>
      <c r="B76" s="8"/>
      <c r="C76" s="20" t="s">
        <v>1806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">
      <c r="A77" s="8" t="s">
        <v>50</v>
      </c>
      <c r="B77" s="8"/>
      <c r="C77" s="20" t="s">
        <v>1807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">
      <c r="A78" s="8" t="s">
        <v>50</v>
      </c>
      <c r="B78" s="8"/>
      <c r="C78" s="20" t="s">
        <v>1808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">
      <c r="A79" s="8" t="s">
        <v>50</v>
      </c>
      <c r="B79" s="8"/>
      <c r="C79" s="20" t="s">
        <v>1809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">
      <c r="A80" s="8" t="s">
        <v>50</v>
      </c>
      <c r="B80" s="8"/>
      <c r="C80" s="20" t="s">
        <v>1810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">
      <c r="A81" s="8" t="s">
        <v>50</v>
      </c>
      <c r="B81" s="8"/>
      <c r="C81" s="20" t="s">
        <v>1811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">
      <c r="A82" s="8" t="s">
        <v>50</v>
      </c>
      <c r="B82" s="8" t="s">
        <v>1822</v>
      </c>
      <c r="C82" s="20" t="s">
        <v>1812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25" t="s">
        <v>1780</v>
      </c>
      <c r="R82" s="25" t="s">
        <v>1780</v>
      </c>
      <c r="S82" s="4"/>
      <c r="T82" s="4"/>
      <c r="U82" s="4"/>
      <c r="V82" s="4"/>
      <c r="W82" s="4"/>
      <c r="X82" s="4"/>
    </row>
    <row r="83" spans="1:24" s="26" customFormat="1" x14ac:dyDescent="0.2">
      <c r="A83" s="23" t="s">
        <v>50</v>
      </c>
      <c r="B83" s="23" t="s">
        <v>1823</v>
      </c>
      <c r="C83" s="24" t="s">
        <v>1813</v>
      </c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 t="s">
        <v>1780</v>
      </c>
      <c r="R83" s="25" t="s">
        <v>1780</v>
      </c>
      <c r="S83" s="25"/>
      <c r="T83" s="25"/>
      <c r="U83" s="25"/>
      <c r="V83" s="25"/>
      <c r="W83" s="25"/>
      <c r="X83" s="25"/>
    </row>
    <row r="84" spans="1:24" x14ac:dyDescent="0.2">
      <c r="A84" s="8" t="s">
        <v>50</v>
      </c>
      <c r="B84" s="8" t="s">
        <v>1718</v>
      </c>
      <c r="C84" s="8" t="s">
        <v>1791</v>
      </c>
      <c r="D84" s="4"/>
      <c r="E84" s="4">
        <v>65.040000000000006</v>
      </c>
      <c r="F84" s="4"/>
      <c r="G84" s="4">
        <v>82.87</v>
      </c>
      <c r="H84" s="4">
        <v>65.040000000000006</v>
      </c>
      <c r="I84" s="4"/>
      <c r="J84" s="4">
        <v>82.87</v>
      </c>
      <c r="K84" s="4">
        <v>65.040000000000006</v>
      </c>
      <c r="L84" s="4"/>
      <c r="M84" s="4">
        <v>82.87</v>
      </c>
      <c r="N84" s="4">
        <v>65.040000000000006</v>
      </c>
      <c r="O84" s="4"/>
      <c r="P84" s="4">
        <v>82.87</v>
      </c>
      <c r="Q84" s="4"/>
      <c r="R84" s="4"/>
      <c r="S84" s="4"/>
      <c r="T84" s="4"/>
      <c r="U84" s="4" t="s">
        <v>1775</v>
      </c>
      <c r="V84" s="4"/>
      <c r="W84" s="4"/>
      <c r="X84" s="4"/>
    </row>
    <row r="85" spans="1:24" x14ac:dyDescent="0.2">
      <c r="A85" s="8" t="s">
        <v>50</v>
      </c>
      <c r="B85" s="8" t="s">
        <v>1719</v>
      </c>
      <c r="C85" s="8" t="s">
        <v>1792</v>
      </c>
      <c r="D85" s="4"/>
      <c r="E85" s="4">
        <v>934.2</v>
      </c>
      <c r="F85" s="4"/>
      <c r="G85" s="4">
        <v>917.62</v>
      </c>
      <c r="H85" s="4">
        <v>934.2</v>
      </c>
      <c r="I85" s="4"/>
      <c r="J85" s="4">
        <v>917.62</v>
      </c>
      <c r="K85" s="4">
        <v>934.2</v>
      </c>
      <c r="L85" s="4"/>
      <c r="M85" s="4">
        <v>917.62</v>
      </c>
      <c r="N85" s="4">
        <v>934.2</v>
      </c>
      <c r="O85" s="4"/>
      <c r="P85" s="4">
        <v>917.62</v>
      </c>
      <c r="Q85" s="4"/>
      <c r="R85" s="4"/>
      <c r="S85" s="4"/>
      <c r="T85" s="4"/>
      <c r="U85" s="4" t="s">
        <v>1775</v>
      </c>
      <c r="V85" s="4"/>
      <c r="W85" s="4"/>
      <c r="X85" s="4"/>
    </row>
    <row r="86" spans="1:24" x14ac:dyDescent="0.2">
      <c r="A86" s="8" t="s">
        <v>50</v>
      </c>
      <c r="B86" s="8" t="s">
        <v>1720</v>
      </c>
      <c r="C86" s="8" t="s">
        <v>1793</v>
      </c>
      <c r="D86" s="4"/>
      <c r="E86" s="4">
        <v>1222.68</v>
      </c>
      <c r="F86" s="4"/>
      <c r="G86" s="4">
        <v>1198.74</v>
      </c>
      <c r="H86" s="4">
        <v>1222.68</v>
      </c>
      <c r="I86" s="4"/>
      <c r="J86" s="4">
        <v>1198.74</v>
      </c>
      <c r="K86" s="4">
        <v>1222.68</v>
      </c>
      <c r="L86" s="4"/>
      <c r="M86" s="4">
        <v>1198.74</v>
      </c>
      <c r="N86" s="4">
        <v>1222.68</v>
      </c>
      <c r="O86" s="4"/>
      <c r="P86" s="4">
        <v>1198.74</v>
      </c>
      <c r="Q86" s="4"/>
      <c r="R86" s="4"/>
      <c r="S86" s="4"/>
      <c r="T86" s="4"/>
      <c r="U86" s="4" t="s">
        <v>1775</v>
      </c>
      <c r="V86" s="4"/>
      <c r="W86" s="4"/>
      <c r="X86" s="4"/>
    </row>
    <row r="87" spans="1:24" x14ac:dyDescent="0.2">
      <c r="A87" s="8" t="s">
        <v>50</v>
      </c>
      <c r="B87" s="8" t="s">
        <v>1721</v>
      </c>
      <c r="C87" s="9" t="s">
        <v>1722</v>
      </c>
      <c r="D87" s="4"/>
      <c r="E87" s="4">
        <v>272.51</v>
      </c>
      <c r="F87" s="4">
        <v>274.44</v>
      </c>
      <c r="G87" s="4">
        <v>287.33999999999997</v>
      </c>
      <c r="H87" s="4">
        <v>272.51</v>
      </c>
      <c r="I87" s="4">
        <v>274.44</v>
      </c>
      <c r="J87" s="4">
        <v>287.33999999999997</v>
      </c>
      <c r="K87" s="4">
        <v>272.51</v>
      </c>
      <c r="L87" s="4">
        <v>274.44</v>
      </c>
      <c r="M87" s="4">
        <v>287.33999999999997</v>
      </c>
      <c r="N87" s="4">
        <v>272.51</v>
      </c>
      <c r="O87" s="4">
        <v>274.44</v>
      </c>
      <c r="P87" s="4">
        <v>287.33999999999997</v>
      </c>
      <c r="Q87" s="4" t="s">
        <v>63</v>
      </c>
      <c r="R87" s="4" t="s">
        <v>63</v>
      </c>
      <c r="S87" s="4" t="s">
        <v>63</v>
      </c>
      <c r="T87" s="4" t="s">
        <v>63</v>
      </c>
      <c r="U87" s="4"/>
      <c r="V87" s="4"/>
      <c r="W87" s="4"/>
      <c r="X87" s="4"/>
    </row>
    <row r="88" spans="1:24" x14ac:dyDescent="0.2">
      <c r="A88" s="8" t="s">
        <v>50</v>
      </c>
      <c r="B88" s="8" t="s">
        <v>1723</v>
      </c>
      <c r="C88" s="8" t="s">
        <v>1724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 t="s">
        <v>1775</v>
      </c>
      <c r="V88" s="4"/>
      <c r="W88" s="4"/>
      <c r="X88" s="4"/>
    </row>
    <row r="89" spans="1:24" x14ac:dyDescent="0.2">
      <c r="A89" s="8" t="s">
        <v>50</v>
      </c>
      <c r="B89" s="8" t="s">
        <v>1725</v>
      </c>
      <c r="C89" s="8" t="s">
        <v>1726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 t="s">
        <v>1775</v>
      </c>
      <c r="V89" s="4"/>
      <c r="W89" s="4"/>
      <c r="X89" s="4"/>
    </row>
    <row r="90" spans="1:24" x14ac:dyDescent="0.2">
      <c r="A90" s="8" t="s">
        <v>50</v>
      </c>
      <c r="B90" s="8" t="s">
        <v>1727</v>
      </c>
      <c r="C90" s="8" t="s">
        <v>1728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 t="s">
        <v>1775</v>
      </c>
      <c r="V90" s="4"/>
      <c r="W90" s="4"/>
      <c r="X90" s="4"/>
    </row>
    <row r="91" spans="1:24" x14ac:dyDescent="0.2">
      <c r="A91" s="8" t="s">
        <v>50</v>
      </c>
      <c r="B91" s="8" t="s">
        <v>1729</v>
      </c>
      <c r="C91" s="8" t="s">
        <v>1730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 t="s">
        <v>1775</v>
      </c>
      <c r="V91" s="4"/>
      <c r="W91" s="4"/>
      <c r="X91" s="4"/>
    </row>
    <row r="92" spans="1:24" x14ac:dyDescent="0.2">
      <c r="A92" s="8" t="s">
        <v>50</v>
      </c>
      <c r="B92" s="8" t="s">
        <v>1731</v>
      </c>
      <c r="C92" s="8" t="s">
        <v>1732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 t="s">
        <v>1775</v>
      </c>
      <c r="V92" s="4"/>
      <c r="W92" s="4"/>
      <c r="X92" s="4"/>
    </row>
    <row r="93" spans="1:24" x14ac:dyDescent="0.2">
      <c r="A93" s="8" t="s">
        <v>50</v>
      </c>
      <c r="B93" s="8" t="s">
        <v>1733</v>
      </c>
      <c r="C93" s="8" t="s">
        <v>1734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 t="s">
        <v>1775</v>
      </c>
      <c r="V93" s="4"/>
      <c r="W93" s="4"/>
      <c r="X93" s="4"/>
    </row>
    <row r="94" spans="1:24" x14ac:dyDescent="0.2">
      <c r="A94" s="8" t="s">
        <v>50</v>
      </c>
      <c r="B94" s="8" t="s">
        <v>1735</v>
      </c>
      <c r="C94" s="8" t="s">
        <v>1736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 t="s">
        <v>1775</v>
      </c>
      <c r="V94" s="4"/>
      <c r="W94" s="4"/>
      <c r="X94" s="4"/>
    </row>
    <row r="95" spans="1:24" x14ac:dyDescent="0.2">
      <c r="A95" s="8" t="s">
        <v>50</v>
      </c>
      <c r="B95" s="8" t="s">
        <v>1737</v>
      </c>
      <c r="C95" s="8" t="s">
        <v>1738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 t="s">
        <v>1775</v>
      </c>
      <c r="V95" s="4"/>
      <c r="W95" s="4"/>
      <c r="X95" s="4"/>
    </row>
    <row r="96" spans="1:24" x14ac:dyDescent="0.2">
      <c r="A96" s="8" t="s">
        <v>50</v>
      </c>
      <c r="B96" s="8" t="s">
        <v>1739</v>
      </c>
      <c r="C96" s="8" t="s">
        <v>1740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 t="s">
        <v>1775</v>
      </c>
      <c r="V96" s="4"/>
      <c r="W96" s="4"/>
      <c r="X96" s="4"/>
    </row>
    <row r="97" spans="1:24" x14ac:dyDescent="0.2">
      <c r="A97" s="8" t="s">
        <v>50</v>
      </c>
      <c r="B97" s="8" t="s">
        <v>1741</v>
      </c>
      <c r="C97" s="8" t="s">
        <v>1742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 t="s">
        <v>1775</v>
      </c>
      <c r="V97" s="4"/>
      <c r="W97" s="4"/>
      <c r="X97" s="4"/>
    </row>
    <row r="98" spans="1:24" x14ac:dyDescent="0.2">
      <c r="A98" s="8" t="s">
        <v>50</v>
      </c>
      <c r="B98" s="8" t="s">
        <v>1743</v>
      </c>
      <c r="C98" s="8" t="s">
        <v>1744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 t="s">
        <v>1775</v>
      </c>
      <c r="V98" s="4"/>
      <c r="W98" s="4"/>
      <c r="X98" s="4"/>
    </row>
    <row r="99" spans="1:24" x14ac:dyDescent="0.2">
      <c r="A99" s="8" t="s">
        <v>50</v>
      </c>
      <c r="B99" s="8" t="s">
        <v>1745</v>
      </c>
      <c r="C99" s="8" t="s">
        <v>1746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 t="s">
        <v>1775</v>
      </c>
      <c r="V99" s="4"/>
      <c r="W99" s="4"/>
      <c r="X99" s="4"/>
    </row>
    <row r="100" spans="1:24" x14ac:dyDescent="0.2">
      <c r="A100" s="8" t="s">
        <v>50</v>
      </c>
      <c r="B100" s="8" t="s">
        <v>1747</v>
      </c>
      <c r="C100" s="8" t="s">
        <v>1748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 t="s">
        <v>1775</v>
      </c>
      <c r="V100" s="4"/>
      <c r="W100" s="4"/>
      <c r="X100" s="4"/>
    </row>
    <row r="101" spans="1:24" x14ac:dyDescent="0.2">
      <c r="A101" s="8" t="s">
        <v>50</v>
      </c>
      <c r="B101" s="8" t="s">
        <v>1749</v>
      </c>
      <c r="C101" s="8" t="s">
        <v>1750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 t="s">
        <v>1775</v>
      </c>
      <c r="V101" s="4"/>
      <c r="W101" s="4"/>
      <c r="X101" s="4"/>
    </row>
    <row r="102" spans="1:24" x14ac:dyDescent="0.2">
      <c r="A102" s="8" t="s">
        <v>50</v>
      </c>
      <c r="B102" s="8" t="s">
        <v>1751</v>
      </c>
      <c r="C102" s="8" t="s">
        <v>1752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 t="s">
        <v>1775</v>
      </c>
      <c r="V102" s="4"/>
      <c r="W102" s="4"/>
      <c r="X102" s="4"/>
    </row>
    <row r="103" spans="1:24" x14ac:dyDescent="0.2">
      <c r="A103" s="8" t="s">
        <v>50</v>
      </c>
      <c r="B103" s="8" t="s">
        <v>1753</v>
      </c>
      <c r="C103" s="8" t="s">
        <v>1754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 t="s">
        <v>1775</v>
      </c>
      <c r="V103" s="4"/>
      <c r="W103" s="4"/>
      <c r="X103" s="4"/>
    </row>
    <row r="104" spans="1:24" x14ac:dyDescent="0.2">
      <c r="A104" s="8" t="s">
        <v>50</v>
      </c>
      <c r="B104" s="8" t="s">
        <v>1755</v>
      </c>
      <c r="C104" s="8" t="s">
        <v>1756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 t="s">
        <v>1775</v>
      </c>
      <c r="V104" s="4"/>
      <c r="W104" s="4"/>
      <c r="X104" s="4"/>
    </row>
    <row r="105" spans="1:24" x14ac:dyDescent="0.2">
      <c r="A105" s="8" t="s">
        <v>50</v>
      </c>
      <c r="B105" s="8" t="s">
        <v>1757</v>
      </c>
      <c r="C105" s="8" t="s">
        <v>1758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 t="s">
        <v>1775</v>
      </c>
      <c r="V105" s="4"/>
      <c r="W105" s="4"/>
      <c r="X105" s="4"/>
    </row>
    <row r="106" spans="1:24" x14ac:dyDescent="0.2">
      <c r="A106" s="8" t="s">
        <v>50</v>
      </c>
      <c r="B106" s="8" t="s">
        <v>1759</v>
      </c>
      <c r="C106" s="8" t="s">
        <v>1760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 t="s">
        <v>1775</v>
      </c>
      <c r="V106" s="4"/>
      <c r="W106" s="4"/>
      <c r="X106" s="4"/>
    </row>
    <row r="107" spans="1:24" x14ac:dyDescent="0.2">
      <c r="A107" s="8" t="s">
        <v>50</v>
      </c>
      <c r="B107" s="8" t="s">
        <v>1761</v>
      </c>
      <c r="C107" s="8" t="s">
        <v>1762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 t="s">
        <v>1775</v>
      </c>
      <c r="V107" s="4"/>
      <c r="W107" s="4"/>
      <c r="X107" s="4"/>
    </row>
    <row r="108" spans="1:24" x14ac:dyDescent="0.2">
      <c r="A108" s="8" t="s">
        <v>50</v>
      </c>
      <c r="B108" s="8" t="s">
        <v>1763</v>
      </c>
      <c r="C108" s="8" t="s">
        <v>1764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 t="s">
        <v>1775</v>
      </c>
      <c r="V108" s="4"/>
      <c r="W108" s="4"/>
      <c r="X108" s="4"/>
    </row>
    <row r="109" spans="1:24" x14ac:dyDescent="0.2">
      <c r="A109" s="8" t="s">
        <v>50</v>
      </c>
      <c r="B109" s="8" t="s">
        <v>1765</v>
      </c>
      <c r="C109" s="8" t="s">
        <v>1766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 t="s">
        <v>1775</v>
      </c>
      <c r="V109" s="4"/>
      <c r="W109" s="4"/>
      <c r="X109" s="4"/>
    </row>
    <row r="110" spans="1:24" x14ac:dyDescent="0.2">
      <c r="A110" s="8" t="s">
        <v>50</v>
      </c>
      <c r="B110" s="8" t="s">
        <v>1767</v>
      </c>
      <c r="C110" s="8" t="s">
        <v>1768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 t="s">
        <v>1775</v>
      </c>
      <c r="V110" s="4"/>
      <c r="W110" s="4"/>
      <c r="X110" s="4"/>
    </row>
    <row r="111" spans="1:24" x14ac:dyDescent="0.2">
      <c r="A111" s="8" t="s">
        <v>50</v>
      </c>
      <c r="B111" s="8" t="s">
        <v>1769</v>
      </c>
      <c r="C111" s="8" t="s">
        <v>1770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 t="s">
        <v>1775</v>
      </c>
      <c r="V111" s="4"/>
      <c r="W111" s="4"/>
      <c r="X111" s="4"/>
    </row>
    <row r="112" spans="1:24" x14ac:dyDescent="0.2">
      <c r="A112" s="8" t="s">
        <v>50</v>
      </c>
      <c r="B112" s="8" t="s">
        <v>1771</v>
      </c>
      <c r="C112" s="8" t="s">
        <v>1772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 t="s">
        <v>1775</v>
      </c>
      <c r="V112" s="4"/>
      <c r="W112" s="4"/>
      <c r="X112" s="4"/>
    </row>
    <row r="113" spans="1:24" x14ac:dyDescent="0.2">
      <c r="A113" s="8" t="s">
        <v>50</v>
      </c>
      <c r="B113" s="8" t="s">
        <v>1773</v>
      </c>
      <c r="C113" s="8" t="s">
        <v>1774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 t="s">
        <v>1775</v>
      </c>
      <c r="V113" s="4"/>
      <c r="W113" s="4"/>
      <c r="X11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TTR Summary</vt:lpstr>
      <vt:lpstr>IO_JTAG</vt:lpstr>
      <vt:lpstr>ADCDFT</vt:lpstr>
      <vt:lpstr>MTRICTS</vt:lpstr>
      <vt:lpstr>NTSE</vt:lpstr>
      <vt:lpstr>NTSR</vt:lpstr>
      <vt:lpstr>MISC</vt:lpstr>
      <vt:lpstr>FRO</vt:lpstr>
      <vt:lpstr>CPLL</vt:lpstr>
      <vt:lpstr>ADCLK</vt:lpstr>
      <vt:lpstr>LAPLL</vt:lpstr>
      <vt:lpstr>PCIEREFGEN</vt:lpstr>
      <vt:lpstr>PCIE5CMN</vt:lpstr>
      <vt:lpstr>ACIPHYCMN</vt:lpstr>
      <vt:lpstr>ACIOPHYCMN</vt:lpstr>
      <vt:lpstr>LPDPTXCMN</vt:lpstr>
      <vt:lpstr>AMPCMN</vt:lpstr>
      <vt:lpstr>PCIEREFPLL</vt:lpstr>
      <vt:lpstr>PCIEPLL</vt:lpstr>
      <vt:lpstr>CIOCIOPLL</vt:lpstr>
      <vt:lpstr>CIODPPLL</vt:lpstr>
      <vt:lpstr>LPDPDPPLL</vt:lpstr>
      <vt:lpstr>LPDDRPLL</vt:lpstr>
      <vt:lpstr>HSCSAROSC</vt:lpstr>
      <vt:lpstr>ULPPLL</vt:lpstr>
      <vt:lpstr>FLPPLL</vt:lpstr>
      <vt:lpstr>SEPVMC</vt:lpstr>
      <vt:lpstr>SEPF2M</vt:lpstr>
      <vt:lpstr>MIDBIASLDO</vt:lpstr>
      <vt:lpstr>VMADC</vt:lpstr>
      <vt:lpstr>ACIOPHY</vt:lpstr>
      <vt:lpstr>ACIPHY</vt:lpstr>
      <vt:lpstr>LPDPTX</vt:lpstr>
      <vt:lpstr>PCIE5</vt:lpstr>
      <vt:lpstr>NTSX</vt:lpstr>
      <vt:lpstr>PCIEREFBUF</vt:lpstr>
      <vt:lpstr>EUSB</vt:lpstr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(Yuanzhi) Lin</cp:lastModifiedBy>
  <dcterms:created xsi:type="dcterms:W3CDTF">2025-03-30T09:35:45Z</dcterms:created>
  <dcterms:modified xsi:type="dcterms:W3CDTF">2025-08-27T20:30:41Z</dcterms:modified>
</cp:coreProperties>
</file>