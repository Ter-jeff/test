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FA615242-8F3B-1549-B856-586C8BF12361}" xr6:coauthVersionLast="47" xr6:coauthVersionMax="47" xr10:uidLastSave="{00000000-0000-0000-0000-000000000000}"/>
  <bookViews>
    <workbookView xWindow="40300" yWindow="-740" windowWidth="34560" windowHeight="20420" tabRatio="800" activeTab="1" xr2:uid="{00000000-000D-0000-FFFF-FFFF00000000}"/>
  </bookViews>
  <sheets>
    <sheet name="Revision" sheetId="4" r:id="rId1"/>
    <sheet name="Flow_PostBincut" sheetId="16" r:id="rId2"/>
  </sheets>
  <definedNames>
    <definedName name="_xlnm._FilterDatabase" localSheetId="1" hidden="1">Flow_PostBincut!$A$3:$DH$31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31" i="16" l="1"/>
  <c r="AH31" i="16" s="1"/>
  <c r="AX31" i="16" s="1"/>
  <c r="BN31" i="16" s="1"/>
  <c r="CD31" i="16" s="1"/>
  <c r="CT31" i="16" s="1"/>
  <c r="R30" i="16"/>
  <c r="AH30" i="16" s="1"/>
  <c r="AX30" i="16" s="1"/>
  <c r="BN30" i="16" s="1"/>
  <c r="CD30" i="16" s="1"/>
  <c r="CT30" i="16" s="1"/>
  <c r="V17" i="16"/>
  <c r="AL17" i="16" s="1"/>
  <c r="V16" i="16"/>
  <c r="AL16" i="16" s="1"/>
  <c r="V15" i="16"/>
  <c r="AL15" i="16" s="1"/>
  <c r="V14" i="16"/>
  <c r="AL14" i="16" s="1"/>
  <c r="V12" i="16"/>
  <c r="AL12" i="16" s="1"/>
  <c r="V10" i="16"/>
  <c r="AL10" i="16" s="1"/>
  <c r="V8" i="16"/>
  <c r="AL8" i="16" s="1"/>
  <c r="Y15" i="16"/>
  <c r="Y7" i="16"/>
  <c r="T7" i="16"/>
  <c r="S15" i="16"/>
  <c r="AO15" i="16"/>
  <c r="AO7" i="16"/>
  <c r="AJ7" i="16"/>
  <c r="AI15" i="16"/>
  <c r="AO28" i="16"/>
  <c r="AO26" i="16"/>
  <c r="AO25" i="16"/>
  <c r="AO20" i="16"/>
  <c r="AO19" i="16"/>
  <c r="AO18" i="16"/>
  <c r="AO17" i="16"/>
  <c r="AO16" i="16"/>
  <c r="AO14" i="16"/>
  <c r="AO12" i="16"/>
  <c r="AO10" i="16"/>
  <c r="AO8" i="16"/>
  <c r="AO6" i="16"/>
  <c r="AO5" i="16"/>
  <c r="AO4" i="16"/>
  <c r="AN28" i="16"/>
  <c r="AN26" i="16"/>
  <c r="AN25" i="16"/>
  <c r="AN20" i="16"/>
  <c r="AN19" i="16"/>
  <c r="AN18" i="16"/>
  <c r="AN17" i="16"/>
  <c r="AN16" i="16"/>
  <c r="AN15" i="16"/>
  <c r="AN14" i="16"/>
  <c r="AN12" i="16"/>
  <c r="AN10" i="16"/>
  <c r="AN8" i="16"/>
  <c r="AN7" i="16"/>
  <c r="AN6" i="16"/>
  <c r="AN5" i="16"/>
  <c r="AN4" i="16"/>
  <c r="AM28" i="16"/>
  <c r="AM26" i="16"/>
  <c r="AM25" i="16"/>
  <c r="AM20" i="16"/>
  <c r="AM19" i="16"/>
  <c r="AM18" i="16"/>
  <c r="AM17" i="16"/>
  <c r="AM16" i="16"/>
  <c r="AM15" i="16"/>
  <c r="AM14" i="16"/>
  <c r="AM12" i="16"/>
  <c r="AM10" i="16"/>
  <c r="AM8" i="16"/>
  <c r="AM7" i="16"/>
  <c r="AM6" i="16"/>
  <c r="AM5" i="16"/>
  <c r="AM4" i="16"/>
  <c r="AL28" i="16"/>
  <c r="AL26" i="16"/>
  <c r="AL25" i="16"/>
  <c r="AL20" i="16"/>
  <c r="AL19" i="16"/>
  <c r="AL18" i="16"/>
  <c r="AL7" i="16"/>
  <c r="AL6" i="16"/>
  <c r="AL5" i="16"/>
  <c r="AL4" i="16"/>
  <c r="AK28" i="16"/>
  <c r="AK26" i="16"/>
  <c r="AK25" i="16"/>
  <c r="AK20" i="16"/>
  <c r="AK19" i="16"/>
  <c r="AK18" i="16"/>
  <c r="AK17" i="16"/>
  <c r="AK16" i="16"/>
  <c r="AK15" i="16"/>
  <c r="AK14" i="16"/>
  <c r="AK12" i="16"/>
  <c r="AK10" i="16"/>
  <c r="AK8" i="16"/>
  <c r="AK7" i="16"/>
  <c r="AK6" i="16"/>
  <c r="AK5" i="16"/>
  <c r="AK4" i="16"/>
  <c r="AJ28" i="16"/>
  <c r="AJ26" i="16"/>
  <c r="AJ25" i="16"/>
  <c r="AJ20" i="16"/>
  <c r="AJ19" i="16"/>
  <c r="AJ18" i="16"/>
  <c r="AJ17" i="16"/>
  <c r="AJ16" i="16"/>
  <c r="AJ15" i="16"/>
  <c r="AJ14" i="16"/>
  <c r="AJ12" i="16"/>
  <c r="AJ10" i="16"/>
  <c r="AJ8" i="16"/>
  <c r="AJ6" i="16"/>
  <c r="AJ5" i="16"/>
  <c r="AJ4" i="16"/>
  <c r="AI28" i="16"/>
  <c r="AI26" i="16"/>
  <c r="AI25" i="16"/>
  <c r="AI20" i="16"/>
  <c r="AI19" i="16"/>
  <c r="AI18" i="16"/>
  <c r="AI17" i="16"/>
  <c r="AI16" i="16"/>
  <c r="AI14" i="16"/>
  <c r="AI12" i="16"/>
  <c r="AI10" i="16"/>
  <c r="AI8" i="16"/>
  <c r="AI7" i="16"/>
  <c r="AI6" i="16"/>
  <c r="AI5" i="16"/>
  <c r="AI4" i="16"/>
  <c r="Y28" i="16" l="1"/>
  <c r="Y26" i="16"/>
  <c r="Y25" i="16"/>
  <c r="Y20" i="16"/>
  <c r="Y19" i="16"/>
  <c r="Y18" i="16"/>
  <c r="Y17" i="16"/>
  <c r="Y16" i="16"/>
  <c r="Y14" i="16"/>
  <c r="Y12" i="16"/>
  <c r="Y10" i="16"/>
  <c r="Y8" i="16"/>
  <c r="Y6" i="16"/>
  <c r="Y5" i="16"/>
  <c r="Y4" i="16"/>
  <c r="X28" i="16"/>
  <c r="X26" i="16"/>
  <c r="X25" i="16"/>
  <c r="X20" i="16"/>
  <c r="X19" i="16"/>
  <c r="X18" i="16"/>
  <c r="X17" i="16"/>
  <c r="X16" i="16"/>
  <c r="X15" i="16"/>
  <c r="X14" i="16"/>
  <c r="X12" i="16"/>
  <c r="X10" i="16"/>
  <c r="X8" i="16"/>
  <c r="X7" i="16"/>
  <c r="X6" i="16"/>
  <c r="X5" i="16"/>
  <c r="X4" i="16"/>
  <c r="W28" i="16"/>
  <c r="W26" i="16"/>
  <c r="W25" i="16"/>
  <c r="W20" i="16"/>
  <c r="W19" i="16"/>
  <c r="W18" i="16"/>
  <c r="W17" i="16"/>
  <c r="W16" i="16"/>
  <c r="W15" i="16"/>
  <c r="W14" i="16"/>
  <c r="W12" i="16"/>
  <c r="W10" i="16"/>
  <c r="W8" i="16"/>
  <c r="W7" i="16"/>
  <c r="W6" i="16"/>
  <c r="W5" i="16"/>
  <c r="W4" i="16"/>
  <c r="V28" i="16"/>
  <c r="V26" i="16"/>
  <c r="V25" i="16"/>
  <c r="V20" i="16"/>
  <c r="V19" i="16"/>
  <c r="V18" i="16"/>
  <c r="V7" i="16"/>
  <c r="V6" i="16"/>
  <c r="V5" i="16"/>
  <c r="V4" i="16"/>
  <c r="U28" i="16"/>
  <c r="U26" i="16"/>
  <c r="U25" i="16"/>
  <c r="U20" i="16"/>
  <c r="U19" i="16"/>
  <c r="U18" i="16"/>
  <c r="U17" i="16"/>
  <c r="U16" i="16"/>
  <c r="U15" i="16"/>
  <c r="U14" i="16"/>
  <c r="U12" i="16"/>
  <c r="U10" i="16"/>
  <c r="U8" i="16"/>
  <c r="U7" i="16"/>
  <c r="U6" i="16"/>
  <c r="U5" i="16"/>
  <c r="U4" i="16"/>
  <c r="T28" i="16"/>
  <c r="T26" i="16"/>
  <c r="T25" i="16"/>
  <c r="T20" i="16"/>
  <c r="T19" i="16"/>
  <c r="T18" i="16"/>
  <c r="T17" i="16"/>
  <c r="T16" i="16"/>
  <c r="T15" i="16"/>
  <c r="T14" i="16"/>
  <c r="T12" i="16"/>
  <c r="T10" i="16"/>
  <c r="T8" i="16"/>
  <c r="T6" i="16"/>
  <c r="T5" i="16"/>
  <c r="T4" i="16"/>
  <c r="S28" i="16"/>
  <c r="S26" i="16"/>
  <c r="S25" i="16"/>
  <c r="S20" i="16"/>
  <c r="S19" i="16"/>
  <c r="S18" i="16"/>
  <c r="S17" i="16"/>
  <c r="S16" i="16"/>
  <c r="S14" i="16"/>
  <c r="S12" i="16"/>
  <c r="S10" i="16"/>
  <c r="S8" i="16"/>
  <c r="S7" i="16"/>
  <c r="S6" i="16"/>
  <c r="S5" i="16"/>
  <c r="S4" i="16"/>
  <c r="CT28" i="16"/>
  <c r="CT26" i="16"/>
  <c r="CT25" i="16"/>
  <c r="CT20" i="16"/>
  <c r="CT19" i="16"/>
  <c r="CT18" i="16"/>
  <c r="CT17" i="16"/>
  <c r="CT16" i="16"/>
  <c r="CT15" i="16"/>
  <c r="CT14" i="16"/>
  <c r="CT12" i="16"/>
  <c r="CT10" i="16"/>
  <c r="CT8" i="16"/>
  <c r="CT7" i="16"/>
  <c r="CT6" i="16"/>
  <c r="CT5" i="16"/>
  <c r="CT4" i="16"/>
  <c r="CD28" i="16"/>
  <c r="CD26" i="16"/>
  <c r="CD25" i="16"/>
  <c r="CD20" i="16"/>
  <c r="CD19" i="16"/>
  <c r="CD18" i="16"/>
  <c r="CD17" i="16"/>
  <c r="CD16" i="16"/>
  <c r="CD15" i="16"/>
  <c r="CD14" i="16"/>
  <c r="CD12" i="16"/>
  <c r="CD10" i="16"/>
  <c r="CD8" i="16"/>
  <c r="CD7" i="16"/>
  <c r="CD6" i="16"/>
  <c r="CD5" i="16"/>
  <c r="CD4" i="16"/>
  <c r="BN28" i="16"/>
  <c r="BN26" i="16"/>
  <c r="BN25" i="16"/>
  <c r="BN20" i="16"/>
  <c r="BN19" i="16"/>
  <c r="BN18" i="16"/>
  <c r="BN17" i="16"/>
  <c r="BN16" i="16"/>
  <c r="BN15" i="16"/>
  <c r="BN14" i="16"/>
  <c r="BN12" i="16"/>
  <c r="BN10" i="16"/>
  <c r="BN8" i="16"/>
  <c r="BN7" i="16"/>
  <c r="BN6" i="16"/>
  <c r="BN5" i="16"/>
  <c r="BN4" i="16"/>
  <c r="AX28" i="16"/>
  <c r="AX26" i="16"/>
  <c r="AX25" i="16"/>
  <c r="AX20" i="16"/>
  <c r="AX19" i="16"/>
  <c r="AX18" i="16"/>
  <c r="AX17" i="16"/>
  <c r="AX16" i="16"/>
  <c r="AX15" i="16"/>
  <c r="AX14" i="16"/>
  <c r="AX12" i="16"/>
  <c r="AX10" i="16"/>
  <c r="AX8" i="16"/>
  <c r="AX7" i="16"/>
  <c r="AX6" i="16"/>
  <c r="AX5" i="16"/>
  <c r="AX4" i="16"/>
  <c r="AH28" i="16"/>
  <c r="AH26" i="16"/>
  <c r="AH25" i="16"/>
  <c r="AH20" i="16"/>
  <c r="AH19" i="16"/>
  <c r="AH18" i="16"/>
  <c r="AH17" i="16"/>
  <c r="AH16" i="16"/>
  <c r="AH15" i="16"/>
  <c r="AH14" i="16"/>
  <c r="AH12" i="16"/>
  <c r="AH10" i="16"/>
  <c r="AH8" i="16"/>
  <c r="AH7" i="16"/>
  <c r="AH6" i="16"/>
  <c r="AH5" i="16"/>
  <c r="AH4" i="16"/>
  <c r="R28" i="16"/>
  <c r="R26" i="16"/>
  <c r="R25" i="16"/>
  <c r="R20" i="16"/>
  <c r="R19" i="16"/>
  <c r="R18" i="16"/>
  <c r="R17" i="16"/>
  <c r="R16" i="16"/>
  <c r="R15" i="16"/>
  <c r="R14" i="16"/>
  <c r="R12" i="16"/>
  <c r="R10" i="16"/>
  <c r="R8" i="16"/>
  <c r="R7" i="16"/>
  <c r="R6" i="16"/>
  <c r="R5" i="16"/>
  <c r="R4" i="16"/>
  <c r="CR3" i="16" l="1"/>
  <c r="CB3" i="16"/>
  <c r="BL3" i="16"/>
  <c r="AV3" i="16"/>
  <c r="AF3" i="16"/>
  <c r="P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Y3" i="16"/>
  <c r="AZ3" i="16"/>
  <c r="BA3" i="16"/>
  <c r="BB3" i="16"/>
  <c r="BC3" i="16"/>
  <c r="BD3" i="16"/>
  <c r="BE3" i="16"/>
  <c r="BF3" i="16"/>
  <c r="BG3" i="16"/>
  <c r="BH3" i="16"/>
  <c r="BI3" i="16"/>
  <c r="BJ3" i="16"/>
  <c r="BK3" i="16"/>
  <c r="BO3" i="16"/>
  <c r="BP3" i="16"/>
  <c r="BQ3" i="16"/>
  <c r="BR3" i="16"/>
  <c r="BS3" i="16"/>
  <c r="BT3" i="16"/>
  <c r="BU3" i="16"/>
  <c r="BV3" i="16"/>
  <c r="BW3" i="16"/>
  <c r="BX3" i="16"/>
  <c r="BY3" i="16"/>
  <c r="BZ3" i="16"/>
  <c r="CA3" i="16"/>
</calcChain>
</file>

<file path=xl/sharedStrings.xml><?xml version="1.0" encoding="utf-8"?>
<sst xmlns="http://schemas.openxmlformats.org/spreadsheetml/2006/main" count="2672" uniqueCount="260">
  <si>
    <t>Date</t>
  </si>
  <si>
    <t>By</t>
  </si>
  <si>
    <t>Flow Tab</t>
  </si>
  <si>
    <t>Performance Mode</t>
  </si>
  <si>
    <t>VDD_ECPU</t>
  </si>
  <si>
    <t>VDD_GPU</t>
  </si>
  <si>
    <t>VDD_SOC</t>
  </si>
  <si>
    <t>All Others</t>
  </si>
  <si>
    <t>VDD_DCS_DDR</t>
  </si>
  <si>
    <t>VDD_PCPU</t>
  </si>
  <si>
    <t>PCPU</t>
  </si>
  <si>
    <t>VDD_DISP</t>
  </si>
  <si>
    <t>VDD_SRAM_GPU</t>
  </si>
  <si>
    <t>VDD_CPU_SRAM</t>
  </si>
  <si>
    <t>Bincut_X_X_X LV</t>
  </si>
  <si>
    <t>VDD_SRAM_SOC</t>
  </si>
  <si>
    <t>PerForce Revision</t>
  </si>
  <si>
    <t>Binning Domain</t>
  </si>
  <si>
    <t>VDD_CIO</t>
  </si>
  <si>
    <t>800mV</t>
  </si>
  <si>
    <t>Product-FT_GB_ROOM</t>
  </si>
  <si>
    <t>SOC</t>
  </si>
  <si>
    <t>MP001 Bin Result</t>
  </si>
  <si>
    <t>ME001 Bin Result</t>
  </si>
  <si>
    <t>MG001 Bin Result</t>
  </si>
  <si>
    <t>MS001 Bin Result</t>
  </si>
  <si>
    <t>MD001 Bin Result</t>
  </si>
  <si>
    <t>MI001 Bin Result</t>
  </si>
  <si>
    <t>MPS001 Product-FT_GB_HOT</t>
  </si>
  <si>
    <t>Product-FT_GB_HOT</t>
  </si>
  <si>
    <t>Product</t>
  </si>
  <si>
    <t>Bincut_X_X_X NV</t>
  </si>
  <si>
    <t>MS001_SRT_PBC</t>
  </si>
  <si>
    <t>ECPU</t>
  </si>
  <si>
    <t>MP00H Bin Result</t>
  </si>
  <si>
    <t>MPS001 BinningVmax</t>
  </si>
  <si>
    <t>BinningVmax</t>
  </si>
  <si>
    <t>Product-CP_GB_HOT</t>
  </si>
  <si>
    <t>MD005 Bin Result</t>
  </si>
  <si>
    <t>MI003 Bin Result</t>
  </si>
  <si>
    <t>MP007 Bin Result</t>
  </si>
  <si>
    <t>Program</t>
  </si>
  <si>
    <t>VDD_FIXED_ALL</t>
  </si>
  <si>
    <t>VDD_LOW_ALL</t>
  </si>
  <si>
    <r>
      <t>VDD_FIXED</t>
    </r>
    <r>
      <rPr>
        <b/>
        <sz val="14"/>
        <color rgb="FFFF0000"/>
        <rFont val="Calibri"/>
        <family val="2"/>
      </rPr>
      <t>_ALL</t>
    </r>
  </si>
  <si>
    <r>
      <t>VDD_LOW</t>
    </r>
    <r>
      <rPr>
        <b/>
        <sz val="14"/>
        <color rgb="FFFF0000"/>
        <rFont val="Calibri"/>
        <family val="2"/>
      </rPr>
      <t>_ALL</t>
    </r>
  </si>
  <si>
    <t>MS001_TD_PBC</t>
  </si>
  <si>
    <t>Silicon</t>
  </si>
  <si>
    <t>MP001_TD_PBC</t>
  </si>
  <si>
    <t>Product-HTOL_T0TX_GB_HOT</t>
  </si>
  <si>
    <t>Product-HTOL_T0TX_GB_ROOM</t>
  </si>
  <si>
    <t>IGNORE COLUMN</t>
  </si>
  <si>
    <t>ME009_WUS_PBC</t>
  </si>
  <si>
    <t>ME009 Bin Result</t>
  </si>
  <si>
    <t>MS005_SFT_PBC</t>
  </si>
  <si>
    <t>MS005 Bin Result</t>
  </si>
  <si>
    <t>950mV (MS005 Product)</t>
  </si>
  <si>
    <t>MS005_TD_PBC</t>
  </si>
  <si>
    <t>A0</t>
  </si>
  <si>
    <t>MPS00H E1 Product+10%</t>
  </si>
  <si>
    <t>ME009_24N_PBC</t>
  </si>
  <si>
    <t>ME009 E1 Product+10%</t>
  </si>
  <si>
    <t>MP00H E1 Product+10%</t>
  </si>
  <si>
    <t>MES008 E1 Product+10%</t>
  </si>
  <si>
    <t>MES009 BinningVmax</t>
  </si>
  <si>
    <t>CP1</t>
  </si>
  <si>
    <t>CP2</t>
  </si>
  <si>
    <t>FT_ROOM, RMA_ROOM</t>
  </si>
  <si>
    <t>FT_HOT, RMA_HOT</t>
  </si>
  <si>
    <t>FT1_FQA, FT2_FQA</t>
  </si>
  <si>
    <t>T0TX_ROOM</t>
  </si>
  <si>
    <t xml:space="preserve">T0TX_HOT												</t>
  </si>
  <si>
    <t>Comment_T0TX_HOT</t>
  </si>
  <si>
    <t>MPS00H BinningVmax</t>
  </si>
  <si>
    <t>MP001_CEXTEST_PBC</t>
  </si>
  <si>
    <t>ME001_CEXTEST_PBC</t>
  </si>
  <si>
    <t>MES001 BinningVmax</t>
  </si>
  <si>
    <t>Fred</t>
  </si>
  <si>
    <t>MP00H_CEXTEST_PBC</t>
  </si>
  <si>
    <t>ME009_CEXTEST_PBC</t>
  </si>
  <si>
    <t>CPU</t>
  </si>
  <si>
    <t>MS001_Domain_PBC</t>
  </si>
  <si>
    <t>MS005_Domain_PBC</t>
  </si>
  <si>
    <t>MP002 Bin Result</t>
  </si>
  <si>
    <t>ME003 Bin Result</t>
  </si>
  <si>
    <t>MES003 BinningVmax</t>
  </si>
  <si>
    <t>MS001_SSBI_PBC</t>
  </si>
  <si>
    <t>MS005_SSBI_PBC</t>
  </si>
  <si>
    <t>MD002 Bin Result</t>
  </si>
  <si>
    <t>MD007_SSBI_PBC</t>
  </si>
  <si>
    <t>MD007 Bin Result</t>
  </si>
  <si>
    <t>MP00J_TD_PBC</t>
  </si>
  <si>
    <t>MS001_CXT_PBC</t>
  </si>
  <si>
    <t>MS005_CXT_PBC</t>
  </si>
  <si>
    <t>MG00D_TD_PBC</t>
  </si>
  <si>
    <t>MD008_SSBI_PBC</t>
  </si>
  <si>
    <t>GPU</t>
  </si>
  <si>
    <t>MP00J Bin Result</t>
  </si>
  <si>
    <t>MPS00J BinningVmax</t>
  </si>
  <si>
    <t>MG00D Bin Result</t>
  </si>
  <si>
    <t>MP00J_WUS_PBC</t>
  </si>
  <si>
    <t>MPS00J Product-FT_GB_HOT</t>
  </si>
  <si>
    <t>MP00J_24N_PBC</t>
  </si>
  <si>
    <t>MP00J E1 Product+10%</t>
  </si>
  <si>
    <t>MPS00J E1 Product+10%</t>
  </si>
  <si>
    <t>MI001_TD_PBC</t>
  </si>
  <si>
    <t>MP001 Product-CP_GB_HOT</t>
  </si>
  <si>
    <t>ME001 Product-CP_GB_HOT</t>
  </si>
  <si>
    <t>MG001 Product-CP_GB_HOT</t>
  </si>
  <si>
    <t>MS004 Product-CP_GB_HOT</t>
  </si>
  <si>
    <t>MD001 Product-CP_GB_HOT</t>
  </si>
  <si>
    <t>MI001 Product-CP_GB_HOT</t>
  </si>
  <si>
    <t>MP001 Product-FT_GB_ROOM</t>
  </si>
  <si>
    <t>ME001 Product-FT_GB_ROOM</t>
  </si>
  <si>
    <t>MG001 Product-FT_GB_ROOM</t>
  </si>
  <si>
    <t>MS004 Product-FT_GB_ROOM</t>
  </si>
  <si>
    <t>MD001 Product-FT_GB_ROOM</t>
  </si>
  <si>
    <t>MI001 Product-FT_GB_ROOM</t>
  </si>
  <si>
    <t>MES001 Product-FT_GB_ROOM</t>
  </si>
  <si>
    <t>MP001 Product-FT_GB_HOT</t>
  </si>
  <si>
    <t>ME001 Product-FT_GB_HOT</t>
  </si>
  <si>
    <t>MG001 Product-FT_GB_HOT</t>
  </si>
  <si>
    <t>MS004 Product-FT_GB_HOT</t>
  </si>
  <si>
    <t>MD001 Product-FT_GB_HOT</t>
  </si>
  <si>
    <t>MI001 Product-FT_GB_HOT</t>
  </si>
  <si>
    <t>MES001 Product-FT_GB_HOT</t>
  </si>
  <si>
    <t>MP001 Product</t>
  </si>
  <si>
    <t>ME001 Product</t>
  </si>
  <si>
    <t>MG001 Product</t>
  </si>
  <si>
    <t>MS004 Product</t>
  </si>
  <si>
    <t>MD001 Product</t>
  </si>
  <si>
    <t>MI001 Product</t>
  </si>
  <si>
    <t>MES001 Product</t>
  </si>
  <si>
    <t>MP001 Product-HTOL_T0TX_GB_ROOM</t>
  </si>
  <si>
    <t>ME001 Product-HTOL_T0TX_GB_ROOM</t>
  </si>
  <si>
    <t>MG001 Product-HTOL_T0TX_GB_ROOM</t>
  </si>
  <si>
    <t>MS004 Product-HTOL_T0TX_GB_ROOM</t>
  </si>
  <si>
    <t>MD001 Product-HTOL_T0TX_GB_ROOM</t>
  </si>
  <si>
    <t>MI001 Product-HTOL_T0TX_GB_ROOM</t>
  </si>
  <si>
    <t>MES001 Product-HTOL_T0TX_GB_ROOM</t>
  </si>
  <si>
    <t>MP001 Product-HTOL_T0TX_GB_HOT</t>
  </si>
  <si>
    <t>ME001 Product-HTOL_T0TX_GB_HOT</t>
  </si>
  <si>
    <t>MG001 Product-HTOL_T0TX_GB_HOT</t>
  </si>
  <si>
    <t>MS004 Product-HTOL_T0TX_GB_HOT</t>
  </si>
  <si>
    <t>MD001 Product-HTOL_T0TX_GB_HOT</t>
  </si>
  <si>
    <t>MI001 Product-HTOL_T0TX_GB_HOT</t>
  </si>
  <si>
    <t>MES001 Product-HTOL_T0TX_GB_HOT</t>
  </si>
  <si>
    <t>MS001 Product-CP_GB_HOT</t>
  </si>
  <si>
    <t>MPS001 Product-CP_GB_HOT</t>
  </si>
  <si>
    <t>MS001 Product-FT_GB_ROOM</t>
  </si>
  <si>
    <t>MPS001 Product-FT_GB_ROOM</t>
  </si>
  <si>
    <t>MS001 Product-FT_GB_HOT</t>
  </si>
  <si>
    <t>MS001 Product</t>
  </si>
  <si>
    <t>MPS001 Product</t>
  </si>
  <si>
    <t>MS001 Product-HTOL_T0TX_GB_ROOM</t>
  </si>
  <si>
    <t>MPS001 Product-HTOL_T0TX_GB_ROOM</t>
  </si>
  <si>
    <t>MS001 Product-HTOL_T0TX_GB_HOT</t>
  </si>
  <si>
    <t>MPS001 Product-HTOL_T0TX_GB_HOT</t>
  </si>
  <si>
    <t>MS005 Product-CP_GB_HOT</t>
  </si>
  <si>
    <t>MS005 Product-FT_GB_ROOM</t>
  </si>
  <si>
    <t>MP00H Product-FT_GB_HOT</t>
  </si>
  <si>
    <t>MS005 Product-FT_GB_HOT</t>
  </si>
  <si>
    <t>MPS00H Product-FT_GB_HOT</t>
  </si>
  <si>
    <t>MP00H Product</t>
  </si>
  <si>
    <t>MS005 Product</t>
  </si>
  <si>
    <t>MPS00H Product</t>
  </si>
  <si>
    <t>MP00H Product-HTOL_T0TX_GB_ROOM</t>
  </si>
  <si>
    <t>MS005 Product-HTOL_T0TX_GB_ROOM</t>
  </si>
  <si>
    <t>MPS00H Product-HTOL_T0TX_GB_ROOM</t>
  </si>
  <si>
    <t>MP00H Product-HTOL_T0TX_GB_HOT</t>
  </si>
  <si>
    <t>MS005 Product-HTOL_T0TX_GB_HOT</t>
  </si>
  <si>
    <t>MPS00H Product-HTOL_T0TX_GB_HOT</t>
  </si>
  <si>
    <t>MP00J Product-CP_GB_HOT</t>
  </si>
  <si>
    <t>MPS00J Product-CP_GB_HOT</t>
  </si>
  <si>
    <t>MP00J Product-FT_GB_ROOM</t>
  </si>
  <si>
    <t>MPS00J Product-FT_GB_ROOM</t>
  </si>
  <si>
    <t>MP00J Product-FT_GB_HOT</t>
  </si>
  <si>
    <t>MP00J Product</t>
  </si>
  <si>
    <t>MPS00J Product</t>
  </si>
  <si>
    <t>MP00J Product-HTOL_T0TX_GB_ROOM</t>
  </si>
  <si>
    <t>MPS00J Product-HTOL_T0TX_GB_ROOM</t>
  </si>
  <si>
    <t>MP00J Product-HTOL_T0TX_GB_HOT</t>
  </si>
  <si>
    <t>MPS00J Product-HTOL_T0TX_GB_HOT</t>
  </si>
  <si>
    <t>ME009 Product-FT_GB_HOT</t>
  </si>
  <si>
    <t>MES009 Product-FT_GB_HOT</t>
  </si>
  <si>
    <t>ME009 Product</t>
  </si>
  <si>
    <t>MES009 Product</t>
  </si>
  <si>
    <t>ME009 Product-HTOL_T0TX_GB_ROOM</t>
  </si>
  <si>
    <t>MES009 Product-HTOL_T0TX_GB_ROOM</t>
  </si>
  <si>
    <t>ME009 Product-HTOL_T0TX_GB_HOT</t>
  </si>
  <si>
    <t>MES009 Product-HTOL_T0TX_GB_HOT</t>
  </si>
  <si>
    <t>MP007 Product-CP_GB_HOT</t>
  </si>
  <si>
    <t>MD005 Product-CP_GB_HOT</t>
  </si>
  <si>
    <t>MI003 Product-CP_GB_HOT</t>
  </si>
  <si>
    <t>MP007 Product-FT_GB_ROOM</t>
  </si>
  <si>
    <t>MD005 Product-FT_GB_ROOM</t>
  </si>
  <si>
    <t>MI003 Product-FT_GB_ROOM</t>
  </si>
  <si>
    <t>MP007 Product-FT_GB_HOT</t>
  </si>
  <si>
    <t>MD005 Product-FT_GB_HOT</t>
  </si>
  <si>
    <t>MI003 Product-FT_GB_HOT</t>
  </si>
  <si>
    <t>MP007 Product</t>
  </si>
  <si>
    <t>MD005 Product</t>
  </si>
  <si>
    <t>MI003 Product</t>
  </si>
  <si>
    <t>MP007 Product-HTOL_T0TX_GB_ROOM</t>
  </si>
  <si>
    <t>MD005 Product-HTOL_T0TX_GB_ROOM</t>
  </si>
  <si>
    <t>MI003 Product-HTOL_T0TX_GB_ROOM</t>
  </si>
  <si>
    <t>MP007 Product-HTOL_T0TX_GB_HOT</t>
  </si>
  <si>
    <t>MD005 Product-HTOL_T0TX_GB_HOT</t>
  </si>
  <si>
    <t>MI003 Product-HTOL_T0TX_GB_HOT</t>
  </si>
  <si>
    <t>MES008 Product</t>
  </si>
  <si>
    <t>MES008 Product-HTOL_T0TX_GB_ROOM</t>
  </si>
  <si>
    <t>MES008 Product-HTOL_T0TX_GB_HOT</t>
  </si>
  <si>
    <t>MES001 Product-CP_GB_HOT</t>
  </si>
  <si>
    <t>MP002 Product-FT_GB_HOT</t>
  </si>
  <si>
    <t>ME003 Product-FT_GB_HOT</t>
  </si>
  <si>
    <t>MES003 Product-FT_GB_HOT</t>
  </si>
  <si>
    <t>MP002 Product</t>
  </si>
  <si>
    <t>ME003 Product</t>
  </si>
  <si>
    <t>MES003 Product</t>
  </si>
  <si>
    <t>MP002 Product-HTOL_T0TX_GB_ROOM</t>
  </si>
  <si>
    <t>ME003 Product-HTOL_T0TX_GB_ROOM</t>
  </si>
  <si>
    <t>MES003 Product-HTOL_T0TX_GB_ROOM</t>
  </si>
  <si>
    <t>MP002 Product-HTOL_T0TX_GB_HOT</t>
  </si>
  <si>
    <t>ME003 Product-HTOL_T0TX_GB_HOT</t>
  </si>
  <si>
    <t>MES003 Product-HTOL_T0TX_GB_HOT</t>
  </si>
  <si>
    <t>MD002 Product-CP_GB_HOT</t>
  </si>
  <si>
    <t>MD002 Product-FT_GB_ROOM</t>
  </si>
  <si>
    <t>MD002 Product-FT_GB_HOT</t>
  </si>
  <si>
    <t>MD002 Product</t>
  </si>
  <si>
    <t>MD002 Product-HTOL_T0TX_GB_ROOM</t>
  </si>
  <si>
    <t>MD002 Product-HTOL_T0TX_GB_HOT</t>
  </si>
  <si>
    <t>MD007 Product-CP_GB_HOT</t>
  </si>
  <si>
    <t>MD007 Product-FT_GB_ROOM</t>
  </si>
  <si>
    <t>MD007 Product-FT_GB_HOT</t>
  </si>
  <si>
    <t>MD007 Product</t>
  </si>
  <si>
    <t>MD007 Product-HTOL_T0TX_GB_ROOM</t>
  </si>
  <si>
    <t>MD007 Product-HTOL_T0TX_GB_HOT</t>
  </si>
  <si>
    <t>MD008 Product-FT_GB_HOT</t>
  </si>
  <si>
    <t>MD008 Product</t>
  </si>
  <si>
    <t>MD008 Product-HTOL_T0TX_GB_ROOM</t>
  </si>
  <si>
    <t>MD008 Product-HTOL_T0TX_GB_HOT</t>
  </si>
  <si>
    <t>MG00D Product-CP_GB_HOT</t>
  </si>
  <si>
    <t>MG00D Product-FT_GB_ROOM</t>
  </si>
  <si>
    <t>MG00D Product-FT_GB_HOT</t>
  </si>
  <si>
    <t>MG00D Product</t>
  </si>
  <si>
    <t>MG00D Product-HTOL_T0TX_GB_ROOM</t>
  </si>
  <si>
    <t>MG00D Product-HTOL_T0TX_GB_HOT</t>
  </si>
  <si>
    <t>V01A</t>
  </si>
  <si>
    <t>Seeded from Hidra V07A</t>
  </si>
  <si>
    <t>MP00I_WUS_PBC</t>
  </si>
  <si>
    <t>MP00I_24N_PBC</t>
  </si>
  <si>
    <t>MES009 E1 Product+10%</t>
  </si>
  <si>
    <t>MD009 Bin Result</t>
  </si>
  <si>
    <t>Alan</t>
  </si>
  <si>
    <t>Removed duplicate MS001_SSBI_PBC pmode entry in row 30</t>
  </si>
  <si>
    <t>V06A</t>
  </si>
  <si>
    <t>added MG001/MG00D CMS condition</t>
  </si>
  <si>
    <t>MG001_CMS_PBC</t>
  </si>
  <si>
    <t>BinningVmax + 70mV</t>
  </si>
  <si>
    <t>MG00D_CMS_PBC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</si>
</sst>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6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sz val="14"/>
      <color theme="1"/>
      <name val="Calibri"/>
      <family val="2"/>
    </font>
    <font>
      <sz val="12"/>
      <name val="Calibri (Body)"/>
    </font>
    <font>
      <sz val="12"/>
      <color theme="1"/>
      <name val="Courier"/>
      <family val="1"/>
    </font>
    <font>
      <sz val="10"/>
      <name val="Courier New"/>
      <family val="1"/>
    </font>
    <font>
      <b/>
      <sz val="12"/>
      <color indexed="8"/>
      <name val="Calibri"/>
      <family val="2"/>
    </font>
    <font>
      <b/>
      <sz val="12"/>
      <color indexed="10"/>
      <name val="Calibri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12"/>
      <color theme="8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533">
    <xf numFmtId="0" fontId="0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</cellStyleXfs>
  <cellXfs count="73">
    <xf numFmtId="0" fontId="0" fillId="0" borderId="0" xfId="0"/>
    <xf numFmtId="0" fontId="8" fillId="0" borderId="0" xfId="5527" applyFont="1" applyAlignment="1">
      <alignment horizontal="center" vertical="center" wrapText="1"/>
    </xf>
    <xf numFmtId="0" fontId="11" fillId="2" borderId="1" xfId="5527" applyFont="1" applyFill="1" applyBorder="1" applyAlignment="1">
      <alignment horizontal="center" vertical="center" wrapText="1"/>
    </xf>
    <xf numFmtId="0" fontId="11" fillId="3" borderId="1" xfId="5527" applyFont="1" applyFill="1" applyBorder="1" applyAlignment="1">
      <alignment horizontal="center" vertical="center" wrapText="1"/>
    </xf>
    <xf numFmtId="0" fontId="11" fillId="4" borderId="1" xfId="5527" applyFont="1" applyFill="1" applyBorder="1" applyAlignment="1">
      <alignment horizontal="center" vertical="center" wrapText="1"/>
    </xf>
    <xf numFmtId="0" fontId="11" fillId="5" borderId="1" xfId="5527" applyFont="1" applyFill="1" applyBorder="1" applyAlignment="1">
      <alignment horizontal="center" vertical="center" wrapText="1"/>
    </xf>
    <xf numFmtId="0" fontId="11" fillId="6" borderId="1" xfId="5527" applyFont="1" applyFill="1" applyBorder="1" applyAlignment="1">
      <alignment horizontal="center" vertical="center" wrapText="1"/>
    </xf>
    <xf numFmtId="0" fontId="11" fillId="7" borderId="1" xfId="5527" applyFont="1" applyFill="1" applyBorder="1" applyAlignment="1">
      <alignment horizontal="center" vertical="center"/>
    </xf>
    <xf numFmtId="0" fontId="11" fillId="0" borderId="1" xfId="5527" applyFont="1" applyBorder="1" applyAlignment="1">
      <alignment horizontal="center" vertical="center"/>
    </xf>
    <xf numFmtId="0" fontId="13" fillId="0" borderId="0" xfId="5527" applyFont="1" applyAlignment="1">
      <alignment horizontal="center" vertical="center" wrapText="1"/>
    </xf>
    <xf numFmtId="0" fontId="8" fillId="0" borderId="0" xfId="5527" applyFont="1" applyAlignment="1">
      <alignment horizontal="center" vertical="center"/>
    </xf>
    <xf numFmtId="0" fontId="14" fillId="0" borderId="1" xfId="5527" applyFont="1" applyBorder="1" applyAlignment="1">
      <alignment horizontal="center" vertical="center" wrapText="1"/>
    </xf>
    <xf numFmtId="0" fontId="14" fillId="2" borderId="1" xfId="5527" applyFont="1" applyFill="1" applyBorder="1" applyAlignment="1">
      <alignment horizontal="center" vertical="center" wrapText="1"/>
    </xf>
    <xf numFmtId="0" fontId="14" fillId="3" borderId="1" xfId="5527" applyFont="1" applyFill="1" applyBorder="1" applyAlignment="1">
      <alignment horizontal="center" vertical="center" wrapText="1"/>
    </xf>
    <xf numFmtId="0" fontId="14" fillId="4" borderId="1" xfId="5527" applyFont="1" applyFill="1" applyBorder="1" applyAlignment="1">
      <alignment horizontal="center" vertical="center" wrapText="1"/>
    </xf>
    <xf numFmtId="0" fontId="14" fillId="5" borderId="1" xfId="5527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5527" applyFont="1" applyBorder="1" applyAlignment="1">
      <alignment horizontal="center" vertical="center" wrapTex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horizontal="left" vertical="top" wrapText="1"/>
    </xf>
    <xf numFmtId="0" fontId="17" fillId="0" borderId="0" xfId="0" applyFont="1" applyFill="1" applyAlignment="1">
      <alignment horizontal="left" vertical="top"/>
    </xf>
    <xf numFmtId="164" fontId="16" fillId="0" borderId="0" xfId="1" applyNumberFormat="1" applyFont="1" applyAlignment="1">
      <alignment horizontal="right" vertical="top" wrapText="1"/>
    </xf>
    <xf numFmtId="0" fontId="16" fillId="0" borderId="0" xfId="1" applyFont="1" applyAlignment="1">
      <alignment vertical="top"/>
    </xf>
    <xf numFmtId="0" fontId="18" fillId="0" borderId="2" xfId="802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4" fillId="0" borderId="2" xfId="5527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9" fillId="0" borderId="0" xfId="5527" applyFont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9" fillId="0" borderId="0" xfId="5527" applyFont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5" fillId="15" borderId="1" xfId="5532" applyBorder="1" applyAlignment="1">
      <alignment horizontal="center" vertical="center"/>
    </xf>
    <xf numFmtId="0" fontId="25" fillId="15" borderId="0" xfId="5532" applyAlignment="1">
      <alignment horizontal="center" vertical="center" wrapText="1"/>
    </xf>
    <xf numFmtId="0" fontId="8" fillId="0" borderId="1" xfId="5527" applyFont="1" applyBorder="1" applyAlignment="1">
      <alignment horizontal="center" vertical="center" wrapText="1"/>
    </xf>
    <xf numFmtId="0" fontId="25" fillId="15" borderId="1" xfId="5532" applyBorder="1" applyAlignment="1">
      <alignment horizontal="center" vertical="center" wrapText="1"/>
    </xf>
    <xf numFmtId="0" fontId="25" fillId="15" borderId="0" xfId="5532" applyBorder="1" applyAlignment="1">
      <alignment horizontal="center" vertical="center"/>
    </xf>
    <xf numFmtId="0" fontId="9" fillId="0" borderId="1" xfId="5527" applyFont="1" applyBorder="1" applyAlignment="1">
      <alignment horizontal="center" vertical="center" wrapText="1"/>
    </xf>
    <xf numFmtId="0" fontId="23" fillId="10" borderId="0" xfId="0" applyFont="1" applyFill="1" applyBorder="1" applyAlignment="1">
      <alignment horizontal="center" vertical="center"/>
    </xf>
    <xf numFmtId="0" fontId="8" fillId="0" borderId="2" xfId="5527" applyFont="1" applyBorder="1" applyAlignment="1">
      <alignment horizontal="center" vertical="center" wrapText="1"/>
    </xf>
    <xf numFmtId="0" fontId="25" fillId="15" borderId="0" xfId="5532" applyBorder="1" applyAlignment="1">
      <alignment horizontal="center" vertical="center" wrapText="1"/>
    </xf>
    <xf numFmtId="0" fontId="15" fillId="11" borderId="0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24" fillId="14" borderId="1" xfId="5531" applyBorder="1" applyAlignment="1">
      <alignment horizontal="center" vertical="center"/>
    </xf>
    <xf numFmtId="0" fontId="9" fillId="16" borderId="1" xfId="5527" applyFont="1" applyFill="1" applyBorder="1" applyAlignment="1">
      <alignment horizontal="center" vertical="center" wrapText="1"/>
    </xf>
    <xf numFmtId="0" fontId="11" fillId="0" borderId="5" xfId="5527" applyFont="1" applyBorder="1" applyAlignment="1">
      <alignment horizontal="center" vertical="center" wrapText="1"/>
    </xf>
    <xf numFmtId="0" fontId="11" fillId="0" borderId="6" xfId="5527" applyFont="1" applyBorder="1" applyAlignment="1">
      <alignment horizontal="center" vertical="center" wrapText="1"/>
    </xf>
    <xf numFmtId="0" fontId="14" fillId="0" borderId="5" xfId="5527" applyFont="1" applyBorder="1" applyAlignment="1">
      <alignment horizontal="center" vertical="center" wrapText="1"/>
    </xf>
    <xf numFmtId="0" fontId="14" fillId="0" borderId="6" xfId="5527" applyFont="1" applyBorder="1" applyAlignment="1">
      <alignment horizontal="center" vertical="center" wrapText="1"/>
    </xf>
    <xf numFmtId="0" fontId="18" fillId="4" borderId="2" xfId="802" applyFont="1" applyFill="1" applyBorder="1" applyAlignment="1">
      <alignment horizontal="center" vertical="center"/>
    </xf>
    <xf numFmtId="0" fontId="18" fillId="4" borderId="3" xfId="802" applyFont="1" applyFill="1" applyBorder="1" applyAlignment="1">
      <alignment horizontal="center" vertical="center"/>
    </xf>
    <xf numFmtId="0" fontId="14" fillId="3" borderId="2" xfId="5527" applyFont="1" applyFill="1" applyBorder="1" applyAlignment="1">
      <alignment horizontal="center" vertical="center" wrapText="1"/>
    </xf>
    <xf numFmtId="0" fontId="14" fillId="3" borderId="3" xfId="5527" applyFont="1" applyFill="1" applyBorder="1" applyAlignment="1">
      <alignment horizontal="center" vertical="center" wrapText="1"/>
    </xf>
    <xf numFmtId="0" fontId="14" fillId="3" borderId="4" xfId="5527" applyFont="1" applyFill="1" applyBorder="1" applyAlignment="1">
      <alignment horizontal="center" vertical="center" wrapText="1"/>
    </xf>
    <xf numFmtId="0" fontId="14" fillId="2" borderId="2" xfId="5527" applyFont="1" applyFill="1" applyBorder="1" applyAlignment="1">
      <alignment horizontal="center" vertical="center" wrapText="1"/>
    </xf>
    <xf numFmtId="0" fontId="14" fillId="2" borderId="3" xfId="5527" applyFont="1" applyFill="1" applyBorder="1" applyAlignment="1">
      <alignment horizontal="center" vertical="center" wrapText="1"/>
    </xf>
    <xf numFmtId="0" fontId="14" fillId="2" borderId="4" xfId="5527" applyFont="1" applyFill="1" applyBorder="1" applyAlignment="1">
      <alignment horizontal="center" vertical="center" wrapText="1"/>
    </xf>
    <xf numFmtId="0" fontId="9" fillId="8" borderId="1" xfId="802" applyFont="1" applyFill="1" applyBorder="1" applyAlignment="1">
      <alignment horizontal="center" vertical="center"/>
    </xf>
    <xf numFmtId="0" fontId="11" fillId="7" borderId="2" xfId="5527" applyFont="1" applyFill="1" applyBorder="1" applyAlignment="1">
      <alignment horizontal="center" vertical="center"/>
    </xf>
    <xf numFmtId="0" fontId="11" fillId="7" borderId="3" xfId="5527" applyFont="1" applyFill="1" applyBorder="1" applyAlignment="1">
      <alignment horizontal="center" vertical="center"/>
    </xf>
    <xf numFmtId="0" fontId="11" fillId="7" borderId="4" xfId="5527" applyFont="1" applyFill="1" applyBorder="1" applyAlignment="1">
      <alignment horizontal="center" vertical="center"/>
    </xf>
    <xf numFmtId="0" fontId="19" fillId="9" borderId="2" xfId="802" applyFont="1" applyFill="1" applyBorder="1" applyAlignment="1">
      <alignment horizontal="center" vertical="center"/>
    </xf>
    <xf numFmtId="0" fontId="19" fillId="9" borderId="3" xfId="802" applyFont="1" applyFill="1" applyBorder="1" applyAlignment="1">
      <alignment horizontal="center" vertical="center"/>
    </xf>
    <xf numFmtId="0" fontId="11" fillId="7" borderId="5" xfId="5527" applyFont="1" applyFill="1" applyBorder="1" applyAlignment="1">
      <alignment horizontal="center" vertical="center"/>
    </xf>
    <xf numFmtId="0" fontId="11" fillId="7" borderId="6" xfId="5527" applyFont="1" applyFill="1" applyBorder="1" applyAlignment="1">
      <alignment horizontal="center" vertical="center"/>
    </xf>
    <xf numFmtId="0" fontId="9" fillId="6" borderId="1" xfId="802" applyFont="1" applyFill="1" applyBorder="1" applyAlignment="1">
      <alignment horizontal="center" vertical="center"/>
    </xf>
  </cellXfs>
  <cellStyles count="5533"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41" builtinId="9" hidden="1"/>
    <cellStyle name="Followed Hyperlink" xfId="649" builtinId="9" hidden="1"/>
    <cellStyle name="Followed Hyperlink" xfId="657" builtinId="9" hidden="1"/>
    <cellStyle name="Followed Hyperlink" xfId="665" builtinId="9" hidden="1"/>
    <cellStyle name="Followed Hyperlink" xfId="673" builtinId="9" hidden="1"/>
    <cellStyle name="Followed Hyperlink" xfId="681" builtinId="9" hidden="1"/>
    <cellStyle name="Followed Hyperlink" xfId="689" builtinId="9" hidden="1"/>
    <cellStyle name="Followed Hyperlink" xfId="697" builtinId="9" hidden="1"/>
    <cellStyle name="Followed Hyperlink" xfId="705" builtinId="9" hidden="1"/>
    <cellStyle name="Followed Hyperlink" xfId="713" builtinId="9" hidden="1"/>
    <cellStyle name="Followed Hyperlink" xfId="721" builtinId="9" hidden="1"/>
    <cellStyle name="Followed Hyperlink" xfId="729" builtinId="9" hidden="1"/>
    <cellStyle name="Followed Hyperlink" xfId="737" builtinId="9" hidden="1"/>
    <cellStyle name="Followed Hyperlink" xfId="745" builtinId="9" hidden="1"/>
    <cellStyle name="Followed Hyperlink" xfId="753" builtinId="9" hidden="1"/>
    <cellStyle name="Followed Hyperlink" xfId="761" builtinId="9" hidden="1"/>
    <cellStyle name="Followed Hyperlink" xfId="769" builtinId="9" hidden="1"/>
    <cellStyle name="Followed Hyperlink" xfId="777" builtinId="9" hidden="1"/>
    <cellStyle name="Followed Hyperlink" xfId="785" builtinId="9" hidden="1"/>
    <cellStyle name="Followed Hyperlink" xfId="793" builtinId="9" hidden="1"/>
    <cellStyle name="Followed Hyperlink" xfId="801" builtinId="9" hidden="1"/>
    <cellStyle name="Followed Hyperlink" xfId="810" builtinId="9" hidden="1"/>
    <cellStyle name="Followed Hyperlink" xfId="818" builtinId="9" hidden="1"/>
    <cellStyle name="Followed Hyperlink" xfId="826" builtinId="9" hidden="1"/>
    <cellStyle name="Followed Hyperlink" xfId="834" builtinId="9" hidden="1"/>
    <cellStyle name="Followed Hyperlink" xfId="842" builtinId="9" hidden="1"/>
    <cellStyle name="Followed Hyperlink" xfId="850" builtinId="9" hidden="1"/>
    <cellStyle name="Followed Hyperlink" xfId="858" builtinId="9" hidden="1"/>
    <cellStyle name="Followed Hyperlink" xfId="866" builtinId="9" hidden="1"/>
    <cellStyle name="Followed Hyperlink" xfId="874" builtinId="9" hidden="1"/>
    <cellStyle name="Followed Hyperlink" xfId="882" builtinId="9" hidden="1"/>
    <cellStyle name="Followed Hyperlink" xfId="890" builtinId="9" hidden="1"/>
    <cellStyle name="Followed Hyperlink" xfId="898" builtinId="9" hidden="1"/>
    <cellStyle name="Followed Hyperlink" xfId="906" builtinId="9" hidden="1"/>
    <cellStyle name="Followed Hyperlink" xfId="914" builtinId="9" hidden="1"/>
    <cellStyle name="Followed Hyperlink" xfId="922" builtinId="9" hidden="1"/>
    <cellStyle name="Followed Hyperlink" xfId="930" builtinId="9" hidden="1"/>
    <cellStyle name="Followed Hyperlink" xfId="938" builtinId="9" hidden="1"/>
    <cellStyle name="Followed Hyperlink" xfId="946" builtinId="9" hidden="1"/>
    <cellStyle name="Followed Hyperlink" xfId="954" builtinId="9" hidden="1"/>
    <cellStyle name="Followed Hyperlink" xfId="962" builtinId="9" hidden="1"/>
    <cellStyle name="Followed Hyperlink" xfId="970" builtinId="9" hidden="1"/>
    <cellStyle name="Followed Hyperlink" xfId="978" builtinId="9" hidden="1"/>
    <cellStyle name="Followed Hyperlink" xfId="986" builtinId="9" hidden="1"/>
    <cellStyle name="Followed Hyperlink" xfId="994" builtinId="9" hidden="1"/>
    <cellStyle name="Followed Hyperlink" xfId="1002" builtinId="9" hidden="1"/>
    <cellStyle name="Followed Hyperlink" xfId="1010" builtinId="9" hidden="1"/>
    <cellStyle name="Followed Hyperlink" xfId="1018" builtinId="9" hidden="1"/>
    <cellStyle name="Followed Hyperlink" xfId="1026" builtinId="9" hidden="1"/>
    <cellStyle name="Followed Hyperlink" xfId="1034" builtinId="9" hidden="1"/>
    <cellStyle name="Followed Hyperlink" xfId="1042" builtinId="9" hidden="1"/>
    <cellStyle name="Followed Hyperlink" xfId="1050" builtinId="9" hidden="1"/>
    <cellStyle name="Followed Hyperlink" xfId="1058" builtinId="9" hidden="1"/>
    <cellStyle name="Followed Hyperlink" xfId="1066" builtinId="9" hidden="1"/>
    <cellStyle name="Followed Hyperlink" xfId="1074" builtinId="9" hidden="1"/>
    <cellStyle name="Followed Hyperlink" xfId="1082" builtinId="9" hidden="1"/>
    <cellStyle name="Followed Hyperlink" xfId="1090" builtinId="9" hidden="1"/>
    <cellStyle name="Followed Hyperlink" xfId="1098" builtinId="9" hidden="1"/>
    <cellStyle name="Followed Hyperlink" xfId="1106" builtinId="9" hidden="1"/>
    <cellStyle name="Followed Hyperlink" xfId="1114" builtinId="9" hidden="1"/>
    <cellStyle name="Followed Hyperlink" xfId="1122" builtinId="9" hidden="1"/>
    <cellStyle name="Followed Hyperlink" xfId="1130" builtinId="9" hidden="1"/>
    <cellStyle name="Followed Hyperlink" xfId="1138" builtinId="9" hidden="1"/>
    <cellStyle name="Followed Hyperlink" xfId="1146" builtinId="9" hidden="1"/>
    <cellStyle name="Followed Hyperlink" xfId="1154" builtinId="9" hidden="1"/>
    <cellStyle name="Followed Hyperlink" xfId="1162" builtinId="9" hidden="1"/>
    <cellStyle name="Followed Hyperlink" xfId="1170" builtinId="9" hidden="1"/>
    <cellStyle name="Followed Hyperlink" xfId="1178" builtinId="9" hidden="1"/>
    <cellStyle name="Followed Hyperlink" xfId="1186" builtinId="9" hidden="1"/>
    <cellStyle name="Followed Hyperlink" xfId="1194" builtinId="9" hidden="1"/>
    <cellStyle name="Followed Hyperlink" xfId="1202" builtinId="9" hidden="1"/>
    <cellStyle name="Followed Hyperlink" xfId="1210" builtinId="9" hidden="1"/>
    <cellStyle name="Followed Hyperlink" xfId="1218" builtinId="9" hidden="1"/>
    <cellStyle name="Followed Hyperlink" xfId="1226" builtinId="9" hidden="1"/>
    <cellStyle name="Followed Hyperlink" xfId="1234" builtinId="9" hidden="1"/>
    <cellStyle name="Followed Hyperlink" xfId="1242" builtinId="9" hidden="1"/>
    <cellStyle name="Followed Hyperlink" xfId="1250" builtinId="9" hidden="1"/>
    <cellStyle name="Followed Hyperlink" xfId="1258" builtinId="9" hidden="1"/>
    <cellStyle name="Followed Hyperlink" xfId="1266" builtinId="9" hidden="1"/>
    <cellStyle name="Followed Hyperlink" xfId="1274" builtinId="9" hidden="1"/>
    <cellStyle name="Followed Hyperlink" xfId="1282" builtinId="9" hidden="1"/>
    <cellStyle name="Followed Hyperlink" xfId="1290" builtinId="9" hidden="1"/>
    <cellStyle name="Followed Hyperlink" xfId="1298" builtinId="9" hidden="1"/>
    <cellStyle name="Followed Hyperlink" xfId="1306" builtinId="9" hidden="1"/>
    <cellStyle name="Followed Hyperlink" xfId="1314" builtinId="9" hidden="1"/>
    <cellStyle name="Followed Hyperlink" xfId="1322" builtinId="9" hidden="1"/>
    <cellStyle name="Followed Hyperlink" xfId="1330" builtinId="9" hidden="1"/>
    <cellStyle name="Followed Hyperlink" xfId="1338" builtinId="9" hidden="1"/>
    <cellStyle name="Followed Hyperlink" xfId="1346" builtinId="9" hidden="1"/>
    <cellStyle name="Followed Hyperlink" xfId="1354" builtinId="9" hidden="1"/>
    <cellStyle name="Followed Hyperlink" xfId="1362" builtinId="9" hidden="1"/>
    <cellStyle name="Followed Hyperlink" xfId="1370" builtinId="9" hidden="1"/>
    <cellStyle name="Followed Hyperlink" xfId="1378" builtinId="9" hidden="1"/>
    <cellStyle name="Followed Hyperlink" xfId="1386" builtinId="9" hidden="1"/>
    <cellStyle name="Followed Hyperlink" xfId="1394" builtinId="9" hidden="1"/>
    <cellStyle name="Followed Hyperlink" xfId="1402" builtinId="9" hidden="1"/>
    <cellStyle name="Followed Hyperlink" xfId="1410" builtinId="9" hidden="1"/>
    <cellStyle name="Followed Hyperlink" xfId="1418" builtinId="9" hidden="1"/>
    <cellStyle name="Followed Hyperlink" xfId="1426" builtinId="9" hidden="1"/>
    <cellStyle name="Followed Hyperlink" xfId="1434" builtinId="9" hidden="1"/>
    <cellStyle name="Followed Hyperlink" xfId="1442" builtinId="9" hidden="1"/>
    <cellStyle name="Followed Hyperlink" xfId="1450" builtinId="9" hidden="1"/>
    <cellStyle name="Followed Hyperlink" xfId="1458" builtinId="9" hidden="1"/>
    <cellStyle name="Followed Hyperlink" xfId="1466" builtinId="9" hidden="1"/>
    <cellStyle name="Followed Hyperlink" xfId="1474" builtinId="9" hidden="1"/>
    <cellStyle name="Followed Hyperlink" xfId="1482" builtinId="9" hidden="1"/>
    <cellStyle name="Followed Hyperlink" xfId="1490" builtinId="9" hidden="1"/>
    <cellStyle name="Followed Hyperlink" xfId="1498" builtinId="9" hidden="1"/>
    <cellStyle name="Followed Hyperlink" xfId="1506" builtinId="9" hidden="1"/>
    <cellStyle name="Followed Hyperlink" xfId="1514" builtinId="9" hidden="1"/>
    <cellStyle name="Followed Hyperlink" xfId="1522" builtinId="9" hidden="1"/>
    <cellStyle name="Followed Hyperlink" xfId="1530" builtinId="9" hidden="1"/>
    <cellStyle name="Followed Hyperlink" xfId="1538" builtinId="9" hidden="1"/>
    <cellStyle name="Followed Hyperlink" xfId="1546" builtinId="9" hidden="1"/>
    <cellStyle name="Followed Hyperlink" xfId="1554" builtinId="9" hidden="1"/>
    <cellStyle name="Followed Hyperlink" xfId="1562" builtinId="9" hidden="1"/>
    <cellStyle name="Followed Hyperlink" xfId="1570" builtinId="9" hidden="1"/>
    <cellStyle name="Followed Hyperlink" xfId="1578" builtinId="9" hidden="1"/>
    <cellStyle name="Followed Hyperlink" xfId="1586" builtinId="9" hidden="1"/>
    <cellStyle name="Followed Hyperlink" xfId="1594" builtinId="9" hidden="1"/>
    <cellStyle name="Followed Hyperlink" xfId="1602" builtinId="9" hidden="1"/>
    <cellStyle name="Followed Hyperlink" xfId="1610" builtinId="9" hidden="1"/>
    <cellStyle name="Followed Hyperlink" xfId="1618" builtinId="9" hidden="1"/>
    <cellStyle name="Followed Hyperlink" xfId="1626" builtinId="9" hidden="1"/>
    <cellStyle name="Followed Hyperlink" xfId="1634" builtinId="9" hidden="1"/>
    <cellStyle name="Followed Hyperlink" xfId="1642" builtinId="9" hidden="1"/>
    <cellStyle name="Followed Hyperlink" xfId="1650" builtinId="9" hidden="1"/>
    <cellStyle name="Followed Hyperlink" xfId="1658" builtinId="9" hidden="1"/>
    <cellStyle name="Followed Hyperlink" xfId="1666" builtinId="9" hidden="1"/>
    <cellStyle name="Followed Hyperlink" xfId="1674" builtinId="9" hidden="1"/>
    <cellStyle name="Followed Hyperlink" xfId="1682" builtinId="9" hidden="1"/>
    <cellStyle name="Followed Hyperlink" xfId="1690" builtinId="9" hidden="1"/>
    <cellStyle name="Followed Hyperlink" xfId="1698" builtinId="9" hidden="1"/>
    <cellStyle name="Followed Hyperlink" xfId="1706" builtinId="9" hidden="1"/>
    <cellStyle name="Followed Hyperlink" xfId="1714" builtinId="9" hidden="1"/>
    <cellStyle name="Followed Hyperlink" xfId="1722" builtinId="9" hidden="1"/>
    <cellStyle name="Followed Hyperlink" xfId="1730" builtinId="9" hidden="1"/>
    <cellStyle name="Followed Hyperlink" xfId="1738" builtinId="9" hidden="1"/>
    <cellStyle name="Followed Hyperlink" xfId="1746" builtinId="9" hidden="1"/>
    <cellStyle name="Followed Hyperlink" xfId="1754" builtinId="9" hidden="1"/>
    <cellStyle name="Followed Hyperlink" xfId="1762" builtinId="9" hidden="1"/>
    <cellStyle name="Followed Hyperlink" xfId="1770" builtinId="9" hidden="1"/>
    <cellStyle name="Followed Hyperlink" xfId="1778" builtinId="9" hidden="1"/>
    <cellStyle name="Followed Hyperlink" xfId="1786" builtinId="9" hidden="1"/>
    <cellStyle name="Followed Hyperlink" xfId="1794" builtinId="9" hidden="1"/>
    <cellStyle name="Followed Hyperlink" xfId="1802" builtinId="9" hidden="1"/>
    <cellStyle name="Followed Hyperlink" xfId="1810" builtinId="9" hidden="1"/>
    <cellStyle name="Followed Hyperlink" xfId="1818" builtinId="9" hidden="1"/>
    <cellStyle name="Followed Hyperlink" xfId="1826" builtinId="9" hidden="1"/>
    <cellStyle name="Followed Hyperlink" xfId="1834" builtinId="9" hidden="1"/>
    <cellStyle name="Followed Hyperlink" xfId="1842" builtinId="9" hidden="1"/>
    <cellStyle name="Followed Hyperlink" xfId="1850" builtinId="9" hidden="1"/>
    <cellStyle name="Followed Hyperlink" xfId="1858" builtinId="9" hidden="1"/>
    <cellStyle name="Followed Hyperlink" xfId="1866" builtinId="9" hidden="1"/>
    <cellStyle name="Followed Hyperlink" xfId="1874" builtinId="9" hidden="1"/>
    <cellStyle name="Followed Hyperlink" xfId="1882" builtinId="9" hidden="1"/>
    <cellStyle name="Followed Hyperlink" xfId="1890" builtinId="9" hidden="1"/>
    <cellStyle name="Followed Hyperlink" xfId="1898" builtinId="9" hidden="1"/>
    <cellStyle name="Followed Hyperlink" xfId="1906" builtinId="9" hidden="1"/>
    <cellStyle name="Followed Hyperlink" xfId="1914" builtinId="9" hidden="1"/>
    <cellStyle name="Followed Hyperlink" xfId="1922" builtinId="9" hidden="1"/>
    <cellStyle name="Followed Hyperlink" xfId="1930" builtinId="9" hidden="1"/>
    <cellStyle name="Followed Hyperlink" xfId="1938" builtinId="9" hidden="1"/>
    <cellStyle name="Followed Hyperlink" xfId="1946" builtinId="9" hidden="1"/>
    <cellStyle name="Followed Hyperlink" xfId="1954" builtinId="9" hidden="1"/>
    <cellStyle name="Followed Hyperlink" xfId="1962" builtinId="9" hidden="1"/>
    <cellStyle name="Followed Hyperlink" xfId="1970" builtinId="9" hidden="1"/>
    <cellStyle name="Followed Hyperlink" xfId="1978" builtinId="9" hidden="1"/>
    <cellStyle name="Followed Hyperlink" xfId="1986" builtinId="9" hidden="1"/>
    <cellStyle name="Followed Hyperlink" xfId="1994" builtinId="9" hidden="1"/>
    <cellStyle name="Followed Hyperlink" xfId="2002" builtinId="9" hidden="1"/>
    <cellStyle name="Followed Hyperlink" xfId="2010" builtinId="9" hidden="1"/>
    <cellStyle name="Followed Hyperlink" xfId="2018" builtinId="9" hidden="1"/>
    <cellStyle name="Followed Hyperlink" xfId="2026" builtinId="9" hidden="1"/>
    <cellStyle name="Followed Hyperlink" xfId="2034" builtinId="9" hidden="1"/>
    <cellStyle name="Followed Hyperlink" xfId="2042" builtinId="9" hidden="1"/>
    <cellStyle name="Followed Hyperlink" xfId="2050" builtinId="9" hidden="1"/>
    <cellStyle name="Followed Hyperlink" xfId="2058" builtinId="9" hidden="1"/>
    <cellStyle name="Followed Hyperlink" xfId="2066" builtinId="9" hidden="1"/>
    <cellStyle name="Followed Hyperlink" xfId="2074" builtinId="9" hidden="1"/>
    <cellStyle name="Followed Hyperlink" xfId="2082" builtinId="9" hidden="1"/>
    <cellStyle name="Followed Hyperlink" xfId="2090" builtinId="9" hidden="1"/>
    <cellStyle name="Followed Hyperlink" xfId="2098" builtinId="9" hidden="1"/>
    <cellStyle name="Followed Hyperlink" xfId="2106" builtinId="9" hidden="1"/>
    <cellStyle name="Followed Hyperlink" xfId="2114" builtinId="9" hidden="1"/>
    <cellStyle name="Followed Hyperlink" xfId="2122" builtinId="9" hidden="1"/>
    <cellStyle name="Followed Hyperlink" xfId="2130" builtinId="9" hidden="1"/>
    <cellStyle name="Followed Hyperlink" xfId="2138" builtinId="9" hidden="1"/>
    <cellStyle name="Followed Hyperlink" xfId="2146" builtinId="9" hidden="1"/>
    <cellStyle name="Followed Hyperlink" xfId="2154" builtinId="9" hidden="1"/>
    <cellStyle name="Followed Hyperlink" xfId="2162" builtinId="9" hidden="1"/>
    <cellStyle name="Followed Hyperlink" xfId="2170" builtinId="9" hidden="1"/>
    <cellStyle name="Followed Hyperlink" xfId="2178" builtinId="9" hidden="1"/>
    <cellStyle name="Followed Hyperlink" xfId="2186" builtinId="9" hidden="1"/>
    <cellStyle name="Followed Hyperlink" xfId="2194" builtinId="9" hidden="1"/>
    <cellStyle name="Followed Hyperlink" xfId="2202" builtinId="9" hidden="1"/>
    <cellStyle name="Followed Hyperlink" xfId="2210" builtinId="9" hidden="1"/>
    <cellStyle name="Followed Hyperlink" xfId="2218" builtinId="9" hidden="1"/>
    <cellStyle name="Followed Hyperlink" xfId="2226" builtinId="9" hidden="1"/>
    <cellStyle name="Followed Hyperlink" xfId="2234" builtinId="9" hidden="1"/>
    <cellStyle name="Followed Hyperlink" xfId="2242" builtinId="9" hidden="1"/>
    <cellStyle name="Followed Hyperlink" xfId="2250" builtinId="9" hidden="1"/>
    <cellStyle name="Followed Hyperlink" xfId="2258" builtinId="9" hidden="1"/>
    <cellStyle name="Followed Hyperlink" xfId="2266" builtinId="9" hidden="1"/>
    <cellStyle name="Followed Hyperlink" xfId="2274" builtinId="9" hidden="1"/>
    <cellStyle name="Followed Hyperlink" xfId="2282" builtinId="9" hidden="1"/>
    <cellStyle name="Followed Hyperlink" xfId="2290" builtinId="9" hidden="1"/>
    <cellStyle name="Followed Hyperlink" xfId="2298" builtinId="9" hidden="1"/>
    <cellStyle name="Followed Hyperlink" xfId="2306" builtinId="9" hidden="1"/>
    <cellStyle name="Followed Hyperlink" xfId="2314" builtinId="9" hidden="1"/>
    <cellStyle name="Followed Hyperlink" xfId="2322" builtinId="9" hidden="1"/>
    <cellStyle name="Followed Hyperlink" xfId="2330" builtinId="9" hidden="1"/>
    <cellStyle name="Followed Hyperlink" xfId="2338" builtinId="9" hidden="1"/>
    <cellStyle name="Followed Hyperlink" xfId="2346" builtinId="9" hidden="1"/>
    <cellStyle name="Followed Hyperlink" xfId="2354" builtinId="9" hidden="1"/>
    <cellStyle name="Followed Hyperlink" xfId="2362" builtinId="9" hidden="1"/>
    <cellStyle name="Followed Hyperlink" xfId="2370" builtinId="9" hidden="1"/>
    <cellStyle name="Followed Hyperlink" xfId="2378" builtinId="9" hidden="1"/>
    <cellStyle name="Followed Hyperlink" xfId="2386" builtinId="9" hidden="1"/>
    <cellStyle name="Followed Hyperlink" xfId="2394" builtinId="9" hidden="1"/>
    <cellStyle name="Followed Hyperlink" xfId="2402" builtinId="9" hidden="1"/>
    <cellStyle name="Followed Hyperlink" xfId="2410" builtinId="9" hidden="1"/>
    <cellStyle name="Followed Hyperlink" xfId="2418" builtinId="9" hidden="1"/>
    <cellStyle name="Followed Hyperlink" xfId="2426" builtinId="9" hidden="1"/>
    <cellStyle name="Followed Hyperlink" xfId="2434" builtinId="9" hidden="1"/>
    <cellStyle name="Followed Hyperlink" xfId="2442" builtinId="9" hidden="1"/>
    <cellStyle name="Followed Hyperlink" xfId="2450" builtinId="9" hidden="1"/>
    <cellStyle name="Followed Hyperlink" xfId="2458" builtinId="9" hidden="1"/>
    <cellStyle name="Followed Hyperlink" xfId="2466" builtinId="9" hidden="1"/>
    <cellStyle name="Followed Hyperlink" xfId="2474" builtinId="9" hidden="1"/>
    <cellStyle name="Followed Hyperlink" xfId="2482" builtinId="9" hidden="1"/>
    <cellStyle name="Followed Hyperlink" xfId="2490" builtinId="9" hidden="1"/>
    <cellStyle name="Followed Hyperlink" xfId="2498" builtinId="9" hidden="1"/>
    <cellStyle name="Followed Hyperlink" xfId="2506" builtinId="9" hidden="1"/>
    <cellStyle name="Followed Hyperlink" xfId="2514" builtinId="9" hidden="1"/>
    <cellStyle name="Followed Hyperlink" xfId="2522" builtinId="9" hidden="1"/>
    <cellStyle name="Followed Hyperlink" xfId="2530" builtinId="9" hidden="1"/>
    <cellStyle name="Followed Hyperlink" xfId="2538" builtinId="9" hidden="1"/>
    <cellStyle name="Followed Hyperlink" xfId="2546" builtinId="9" hidden="1"/>
    <cellStyle name="Followed Hyperlink" xfId="2554" builtinId="9" hidden="1"/>
    <cellStyle name="Followed Hyperlink" xfId="2562" builtinId="9" hidden="1"/>
    <cellStyle name="Followed Hyperlink" xfId="2570" builtinId="9" hidden="1"/>
    <cellStyle name="Followed Hyperlink" xfId="2578" builtinId="9" hidden="1"/>
    <cellStyle name="Followed Hyperlink" xfId="2586" builtinId="9" hidden="1"/>
    <cellStyle name="Followed Hyperlink" xfId="2594" builtinId="9" hidden="1"/>
    <cellStyle name="Followed Hyperlink" xfId="2602" builtinId="9" hidden="1"/>
    <cellStyle name="Followed Hyperlink" xfId="2610" builtinId="9" hidden="1"/>
    <cellStyle name="Followed Hyperlink" xfId="2618" builtinId="9" hidden="1"/>
    <cellStyle name="Followed Hyperlink" xfId="2626" builtinId="9" hidden="1"/>
    <cellStyle name="Followed Hyperlink" xfId="2634" builtinId="9" hidden="1"/>
    <cellStyle name="Followed Hyperlink" xfId="2642" builtinId="9" hidden="1"/>
    <cellStyle name="Followed Hyperlink" xfId="2650" builtinId="9" hidden="1"/>
    <cellStyle name="Followed Hyperlink" xfId="2658" builtinId="9" hidden="1"/>
    <cellStyle name="Followed Hyperlink" xfId="2666" builtinId="9" hidden="1"/>
    <cellStyle name="Followed Hyperlink" xfId="2674" builtinId="9" hidden="1"/>
    <cellStyle name="Followed Hyperlink" xfId="2682" builtinId="9" hidden="1"/>
    <cellStyle name="Followed Hyperlink" xfId="2690" builtinId="9" hidden="1"/>
    <cellStyle name="Followed Hyperlink" xfId="2698" builtinId="9" hidden="1"/>
    <cellStyle name="Followed Hyperlink" xfId="2706" builtinId="9" hidden="1"/>
    <cellStyle name="Followed Hyperlink" xfId="2714" builtinId="9" hidden="1"/>
    <cellStyle name="Followed Hyperlink" xfId="2722" builtinId="9" hidden="1"/>
    <cellStyle name="Followed Hyperlink" xfId="2730" builtinId="9" hidden="1"/>
    <cellStyle name="Followed Hyperlink" xfId="2738" builtinId="9" hidden="1"/>
    <cellStyle name="Followed Hyperlink" xfId="2746" builtinId="9" hidden="1"/>
    <cellStyle name="Followed Hyperlink" xfId="2754" builtinId="9" hidden="1"/>
    <cellStyle name="Followed Hyperlink" xfId="2762" builtinId="9" hidden="1"/>
    <cellStyle name="Followed Hyperlink" xfId="2770" builtinId="9" hidden="1"/>
    <cellStyle name="Followed Hyperlink" xfId="2778" builtinId="9" hidden="1"/>
    <cellStyle name="Followed Hyperlink" xfId="2786" builtinId="9" hidden="1"/>
    <cellStyle name="Followed Hyperlink" xfId="2794" builtinId="9" hidden="1"/>
    <cellStyle name="Followed Hyperlink" xfId="2802" builtinId="9" hidden="1"/>
    <cellStyle name="Followed Hyperlink" xfId="2810" builtinId="9" hidden="1"/>
    <cellStyle name="Followed Hyperlink" xfId="2818" builtinId="9" hidden="1"/>
    <cellStyle name="Followed Hyperlink" xfId="2826" builtinId="9" hidden="1"/>
    <cellStyle name="Followed Hyperlink" xfId="2834" builtinId="9" hidden="1"/>
    <cellStyle name="Followed Hyperlink" xfId="2842" builtinId="9" hidden="1"/>
    <cellStyle name="Followed Hyperlink" xfId="2850" builtinId="9" hidden="1"/>
    <cellStyle name="Followed Hyperlink" xfId="2858" builtinId="9" hidden="1"/>
    <cellStyle name="Followed Hyperlink" xfId="2866" builtinId="9" hidden="1"/>
    <cellStyle name="Followed Hyperlink" xfId="2874" builtinId="9" hidden="1"/>
    <cellStyle name="Followed Hyperlink" xfId="2882" builtinId="9" hidden="1"/>
    <cellStyle name="Followed Hyperlink" xfId="2890" builtinId="9" hidden="1"/>
    <cellStyle name="Followed Hyperlink" xfId="2898" builtinId="9" hidden="1"/>
    <cellStyle name="Followed Hyperlink" xfId="2906" builtinId="9" hidden="1"/>
    <cellStyle name="Followed Hyperlink" xfId="2914" builtinId="9" hidden="1"/>
    <cellStyle name="Followed Hyperlink" xfId="2922" builtinId="9" hidden="1"/>
    <cellStyle name="Followed Hyperlink" xfId="2930" builtinId="9" hidden="1"/>
    <cellStyle name="Followed Hyperlink" xfId="2938" builtinId="9" hidden="1"/>
    <cellStyle name="Followed Hyperlink" xfId="2946" builtinId="9" hidden="1"/>
    <cellStyle name="Followed Hyperlink" xfId="2954" builtinId="9" hidden="1"/>
    <cellStyle name="Followed Hyperlink" xfId="2962" builtinId="9" hidden="1"/>
    <cellStyle name="Followed Hyperlink" xfId="2970" builtinId="9" hidden="1"/>
    <cellStyle name="Followed Hyperlink" xfId="2978" builtinId="9" hidden="1"/>
    <cellStyle name="Followed Hyperlink" xfId="2986" builtinId="9" hidden="1"/>
    <cellStyle name="Followed Hyperlink" xfId="2994" builtinId="9" hidden="1"/>
    <cellStyle name="Followed Hyperlink" xfId="3002" builtinId="9" hidden="1"/>
    <cellStyle name="Followed Hyperlink" xfId="3010" builtinId="9" hidden="1"/>
    <cellStyle name="Followed Hyperlink" xfId="3018" builtinId="9" hidden="1"/>
    <cellStyle name="Followed Hyperlink" xfId="3026" builtinId="9" hidden="1"/>
    <cellStyle name="Followed Hyperlink" xfId="3034" builtinId="9" hidden="1"/>
    <cellStyle name="Followed Hyperlink" xfId="3042" builtinId="9" hidden="1"/>
    <cellStyle name="Followed Hyperlink" xfId="3050" builtinId="9" hidden="1"/>
    <cellStyle name="Followed Hyperlink" xfId="3058" builtinId="9" hidden="1"/>
    <cellStyle name="Followed Hyperlink" xfId="3066" builtinId="9" hidden="1"/>
    <cellStyle name="Followed Hyperlink" xfId="3074" builtinId="9" hidden="1"/>
    <cellStyle name="Followed Hyperlink" xfId="3082" builtinId="9" hidden="1"/>
    <cellStyle name="Followed Hyperlink" xfId="3090" builtinId="9" hidden="1"/>
    <cellStyle name="Followed Hyperlink" xfId="3098" builtinId="9" hidden="1"/>
    <cellStyle name="Followed Hyperlink" xfId="3106" builtinId="9" hidden="1"/>
    <cellStyle name="Followed Hyperlink" xfId="3114" builtinId="9" hidden="1"/>
    <cellStyle name="Followed Hyperlink" xfId="3122" builtinId="9" hidden="1"/>
    <cellStyle name="Followed Hyperlink" xfId="3130" builtinId="9" hidden="1"/>
    <cellStyle name="Followed Hyperlink" xfId="3138" builtinId="9" hidden="1"/>
    <cellStyle name="Followed Hyperlink" xfId="3146" builtinId="9" hidden="1"/>
    <cellStyle name="Followed Hyperlink" xfId="3154" builtinId="9" hidden="1"/>
    <cellStyle name="Followed Hyperlink" xfId="3162" builtinId="9" hidden="1"/>
    <cellStyle name="Followed Hyperlink" xfId="3170" builtinId="9" hidden="1"/>
    <cellStyle name="Followed Hyperlink" xfId="3178" builtinId="9" hidden="1"/>
    <cellStyle name="Followed Hyperlink" xfId="3186" builtinId="9" hidden="1"/>
    <cellStyle name="Followed Hyperlink" xfId="3194" builtinId="9" hidden="1"/>
    <cellStyle name="Followed Hyperlink" xfId="3202" builtinId="9" hidden="1"/>
    <cellStyle name="Followed Hyperlink" xfId="3210" builtinId="9" hidden="1"/>
    <cellStyle name="Followed Hyperlink" xfId="3218" builtinId="9" hidden="1"/>
    <cellStyle name="Followed Hyperlink" xfId="3226" builtinId="9" hidden="1"/>
    <cellStyle name="Followed Hyperlink" xfId="3234" builtinId="9" hidden="1"/>
    <cellStyle name="Followed Hyperlink" xfId="3242" builtinId="9" hidden="1"/>
    <cellStyle name="Followed Hyperlink" xfId="3250" builtinId="9" hidden="1"/>
    <cellStyle name="Followed Hyperlink" xfId="3258" builtinId="9" hidden="1"/>
    <cellStyle name="Followed Hyperlink" xfId="3266" builtinId="9" hidden="1"/>
    <cellStyle name="Followed Hyperlink" xfId="3274" builtinId="9" hidden="1"/>
    <cellStyle name="Followed Hyperlink" xfId="3282" builtinId="9" hidden="1"/>
    <cellStyle name="Followed Hyperlink" xfId="3290" builtinId="9" hidden="1"/>
    <cellStyle name="Followed Hyperlink" xfId="3298" builtinId="9" hidden="1"/>
    <cellStyle name="Followed Hyperlink" xfId="3306" builtinId="9" hidden="1"/>
    <cellStyle name="Followed Hyperlink" xfId="3314" builtinId="9" hidden="1"/>
    <cellStyle name="Followed Hyperlink" xfId="3322" builtinId="9" hidden="1"/>
    <cellStyle name="Followed Hyperlink" xfId="3330" builtinId="9" hidden="1"/>
    <cellStyle name="Followed Hyperlink" xfId="3338" builtinId="9" hidden="1"/>
    <cellStyle name="Followed Hyperlink" xfId="3346" builtinId="9" hidden="1"/>
    <cellStyle name="Followed Hyperlink" xfId="3354" builtinId="9" hidden="1"/>
    <cellStyle name="Followed Hyperlink" xfId="3362" builtinId="9" hidden="1"/>
    <cellStyle name="Followed Hyperlink" xfId="3370" builtinId="9" hidden="1"/>
    <cellStyle name="Followed Hyperlink" xfId="3378" builtinId="9" hidden="1"/>
    <cellStyle name="Followed Hyperlink" xfId="3386" builtinId="9" hidden="1"/>
    <cellStyle name="Followed Hyperlink" xfId="3394" builtinId="9" hidden="1"/>
    <cellStyle name="Followed Hyperlink" xfId="3402" builtinId="9" hidden="1"/>
    <cellStyle name="Followed Hyperlink" xfId="3410" builtinId="9" hidden="1"/>
    <cellStyle name="Followed Hyperlink" xfId="3418" builtinId="9" hidden="1"/>
    <cellStyle name="Followed Hyperlink" xfId="3426" builtinId="9" hidden="1"/>
    <cellStyle name="Followed Hyperlink" xfId="3434" builtinId="9" hidden="1"/>
    <cellStyle name="Followed Hyperlink" xfId="3442" builtinId="9" hidden="1"/>
    <cellStyle name="Followed Hyperlink" xfId="3450" builtinId="9" hidden="1"/>
    <cellStyle name="Followed Hyperlink" xfId="3458" builtinId="9" hidden="1"/>
    <cellStyle name="Followed Hyperlink" xfId="3466" builtinId="9" hidden="1"/>
    <cellStyle name="Followed Hyperlink" xfId="3474" builtinId="9" hidden="1"/>
    <cellStyle name="Followed Hyperlink" xfId="3482" builtinId="9" hidden="1"/>
    <cellStyle name="Followed Hyperlink" xfId="3490" builtinId="9" hidden="1"/>
    <cellStyle name="Followed Hyperlink" xfId="3498" builtinId="9" hidden="1"/>
    <cellStyle name="Followed Hyperlink" xfId="3506" builtinId="9" hidden="1"/>
    <cellStyle name="Followed Hyperlink" xfId="3514" builtinId="9" hidden="1"/>
    <cellStyle name="Followed Hyperlink" xfId="3522" builtinId="9" hidden="1"/>
    <cellStyle name="Followed Hyperlink" xfId="3530" builtinId="9" hidden="1"/>
    <cellStyle name="Followed Hyperlink" xfId="3538" builtinId="9" hidden="1"/>
    <cellStyle name="Followed Hyperlink" xfId="3546" builtinId="9" hidden="1"/>
    <cellStyle name="Followed Hyperlink" xfId="3554" builtinId="9" hidden="1"/>
    <cellStyle name="Followed Hyperlink" xfId="3562" builtinId="9" hidden="1"/>
    <cellStyle name="Followed Hyperlink" xfId="3570" builtinId="9" hidden="1"/>
    <cellStyle name="Followed Hyperlink" xfId="3578" builtinId="9" hidden="1"/>
    <cellStyle name="Followed Hyperlink" xfId="3586" builtinId="9" hidden="1"/>
    <cellStyle name="Followed Hyperlink" xfId="3594" builtinId="9" hidden="1"/>
    <cellStyle name="Followed Hyperlink" xfId="3602" builtinId="9" hidden="1"/>
    <cellStyle name="Followed Hyperlink" xfId="3610" builtinId="9" hidden="1"/>
    <cellStyle name="Followed Hyperlink" xfId="3618" builtinId="9" hidden="1"/>
    <cellStyle name="Followed Hyperlink" xfId="3626" builtinId="9" hidden="1"/>
    <cellStyle name="Followed Hyperlink" xfId="3634" builtinId="9" hidden="1"/>
    <cellStyle name="Followed Hyperlink" xfId="3642" builtinId="9" hidden="1"/>
    <cellStyle name="Followed Hyperlink" xfId="3650" builtinId="9" hidden="1"/>
    <cellStyle name="Followed Hyperlink" xfId="3658" builtinId="9" hidden="1"/>
    <cellStyle name="Followed Hyperlink" xfId="3666" builtinId="9" hidden="1"/>
    <cellStyle name="Followed Hyperlink" xfId="3674" builtinId="9" hidden="1"/>
    <cellStyle name="Followed Hyperlink" xfId="3682" builtinId="9" hidden="1"/>
    <cellStyle name="Followed Hyperlink" xfId="3690" builtinId="9" hidden="1"/>
    <cellStyle name="Followed Hyperlink" xfId="3698" builtinId="9" hidden="1"/>
    <cellStyle name="Followed Hyperlink" xfId="3706" builtinId="9" hidden="1"/>
    <cellStyle name="Followed Hyperlink" xfId="3714" builtinId="9" hidden="1"/>
    <cellStyle name="Followed Hyperlink" xfId="3722" builtinId="9" hidden="1"/>
    <cellStyle name="Followed Hyperlink" xfId="3730" builtinId="9" hidden="1"/>
    <cellStyle name="Followed Hyperlink" xfId="3738" builtinId="9" hidden="1"/>
    <cellStyle name="Followed Hyperlink" xfId="3746" builtinId="9" hidden="1"/>
    <cellStyle name="Followed Hyperlink" xfId="3754" builtinId="9" hidden="1"/>
    <cellStyle name="Followed Hyperlink" xfId="3762" builtinId="9" hidden="1"/>
    <cellStyle name="Followed Hyperlink" xfId="3770" builtinId="9" hidden="1"/>
    <cellStyle name="Followed Hyperlink" xfId="3778" builtinId="9" hidden="1"/>
    <cellStyle name="Followed Hyperlink" xfId="3786" builtinId="9" hidden="1"/>
    <cellStyle name="Followed Hyperlink" xfId="3794" builtinId="9" hidden="1"/>
    <cellStyle name="Followed Hyperlink" xfId="3802" builtinId="9" hidden="1"/>
    <cellStyle name="Followed Hyperlink" xfId="3810" builtinId="9" hidden="1"/>
    <cellStyle name="Followed Hyperlink" xfId="3818" builtinId="9" hidden="1"/>
    <cellStyle name="Followed Hyperlink" xfId="3826" builtinId="9" hidden="1"/>
    <cellStyle name="Followed Hyperlink" xfId="3834" builtinId="9" hidden="1"/>
    <cellStyle name="Followed Hyperlink" xfId="3842" builtinId="9" hidden="1"/>
    <cellStyle name="Followed Hyperlink" xfId="3850" builtinId="9" hidden="1"/>
    <cellStyle name="Followed Hyperlink" xfId="3858" builtinId="9" hidden="1"/>
    <cellStyle name="Followed Hyperlink" xfId="3866" builtinId="9" hidden="1"/>
    <cellStyle name="Followed Hyperlink" xfId="3874" builtinId="9" hidden="1"/>
    <cellStyle name="Followed Hyperlink" xfId="3882" builtinId="9" hidden="1"/>
    <cellStyle name="Followed Hyperlink" xfId="3890" builtinId="9" hidden="1"/>
    <cellStyle name="Followed Hyperlink" xfId="3898" builtinId="9" hidden="1"/>
    <cellStyle name="Followed Hyperlink" xfId="3906" builtinId="9" hidden="1"/>
    <cellStyle name="Followed Hyperlink" xfId="3914" builtinId="9" hidden="1"/>
    <cellStyle name="Followed Hyperlink" xfId="3922" builtinId="9" hidden="1"/>
    <cellStyle name="Followed Hyperlink" xfId="3930" builtinId="9" hidden="1"/>
    <cellStyle name="Followed Hyperlink" xfId="3938" builtinId="9" hidden="1"/>
    <cellStyle name="Followed Hyperlink" xfId="3946" builtinId="9" hidden="1"/>
    <cellStyle name="Followed Hyperlink" xfId="3954" builtinId="9" hidden="1"/>
    <cellStyle name="Followed Hyperlink" xfId="3962" builtinId="9" hidden="1"/>
    <cellStyle name="Followed Hyperlink" xfId="3970" builtinId="9" hidden="1"/>
    <cellStyle name="Followed Hyperlink" xfId="3978" builtinId="9" hidden="1"/>
    <cellStyle name="Followed Hyperlink" xfId="3986" builtinId="9" hidden="1"/>
    <cellStyle name="Followed Hyperlink" xfId="3994" builtinId="9" hidden="1"/>
    <cellStyle name="Followed Hyperlink" xfId="4002" builtinId="9" hidden="1"/>
    <cellStyle name="Followed Hyperlink" xfId="4010" builtinId="9" hidden="1"/>
    <cellStyle name="Followed Hyperlink" xfId="4018" builtinId="9" hidden="1"/>
    <cellStyle name="Followed Hyperlink" xfId="4026" builtinId="9" hidden="1"/>
    <cellStyle name="Followed Hyperlink" xfId="4034" builtinId="9" hidden="1"/>
    <cellStyle name="Followed Hyperlink" xfId="4042" builtinId="9" hidden="1"/>
    <cellStyle name="Followed Hyperlink" xfId="4050" builtinId="9" hidden="1"/>
    <cellStyle name="Followed Hyperlink" xfId="4058" builtinId="9" hidden="1"/>
    <cellStyle name="Followed Hyperlink" xfId="4066" builtinId="9" hidden="1"/>
    <cellStyle name="Followed Hyperlink" xfId="4074" builtinId="9" hidden="1"/>
    <cellStyle name="Followed Hyperlink" xfId="4082" builtinId="9" hidden="1"/>
    <cellStyle name="Followed Hyperlink" xfId="4090" builtinId="9" hidden="1"/>
    <cellStyle name="Followed Hyperlink" xfId="4098" builtinId="9" hidden="1"/>
    <cellStyle name="Followed Hyperlink" xfId="4106" builtinId="9" hidden="1"/>
    <cellStyle name="Followed Hyperlink" xfId="4114" builtinId="9" hidden="1"/>
    <cellStyle name="Followed Hyperlink" xfId="4122" builtinId="9" hidden="1"/>
    <cellStyle name="Followed Hyperlink" xfId="4130" builtinId="9" hidden="1"/>
    <cellStyle name="Followed Hyperlink" xfId="4138" builtinId="9" hidden="1"/>
    <cellStyle name="Followed Hyperlink" xfId="4146" builtinId="9" hidden="1"/>
    <cellStyle name="Followed Hyperlink" xfId="4154" builtinId="9" hidden="1"/>
    <cellStyle name="Followed Hyperlink" xfId="4162" builtinId="9" hidden="1"/>
    <cellStyle name="Followed Hyperlink" xfId="4170" builtinId="9" hidden="1"/>
    <cellStyle name="Followed Hyperlink" xfId="4178" builtinId="9" hidden="1"/>
    <cellStyle name="Followed Hyperlink" xfId="4186" builtinId="9" hidden="1"/>
    <cellStyle name="Followed Hyperlink" xfId="4194" builtinId="9" hidden="1"/>
    <cellStyle name="Followed Hyperlink" xfId="4202" builtinId="9" hidden="1"/>
    <cellStyle name="Followed Hyperlink" xfId="4210" builtinId="9" hidden="1"/>
    <cellStyle name="Followed Hyperlink" xfId="4218" builtinId="9" hidden="1"/>
    <cellStyle name="Followed Hyperlink" xfId="4226" builtinId="9" hidden="1"/>
    <cellStyle name="Followed Hyperlink" xfId="4234" builtinId="9" hidden="1"/>
    <cellStyle name="Followed Hyperlink" xfId="4242" builtinId="9" hidden="1"/>
    <cellStyle name="Followed Hyperlink" xfId="4250" builtinId="9" hidden="1"/>
    <cellStyle name="Followed Hyperlink" xfId="4258" builtinId="9" hidden="1"/>
    <cellStyle name="Followed Hyperlink" xfId="4266" builtinId="9" hidden="1"/>
    <cellStyle name="Followed Hyperlink" xfId="4274" builtinId="9" hidden="1"/>
    <cellStyle name="Followed Hyperlink" xfId="4282" builtinId="9" hidden="1"/>
    <cellStyle name="Followed Hyperlink" xfId="4290" builtinId="9" hidden="1"/>
    <cellStyle name="Followed Hyperlink" xfId="4298" builtinId="9" hidden="1"/>
    <cellStyle name="Followed Hyperlink" xfId="4306" builtinId="9" hidden="1"/>
    <cellStyle name="Followed Hyperlink" xfId="4314" builtinId="9" hidden="1"/>
    <cellStyle name="Followed Hyperlink" xfId="4322" builtinId="9" hidden="1"/>
    <cellStyle name="Followed Hyperlink" xfId="4330" builtinId="9" hidden="1"/>
    <cellStyle name="Followed Hyperlink" xfId="4338" builtinId="9" hidden="1"/>
    <cellStyle name="Followed Hyperlink" xfId="4346" builtinId="9" hidden="1"/>
    <cellStyle name="Followed Hyperlink" xfId="4354" builtinId="9" hidden="1"/>
    <cellStyle name="Followed Hyperlink" xfId="4362" builtinId="9" hidden="1"/>
    <cellStyle name="Followed Hyperlink" xfId="4370" builtinId="9" hidden="1"/>
    <cellStyle name="Followed Hyperlink" xfId="4378" builtinId="9" hidden="1"/>
    <cellStyle name="Followed Hyperlink" xfId="4386" builtinId="9" hidden="1"/>
    <cellStyle name="Followed Hyperlink" xfId="4394" builtinId="9" hidden="1"/>
    <cellStyle name="Followed Hyperlink" xfId="4402" builtinId="9" hidden="1"/>
    <cellStyle name="Followed Hyperlink" xfId="4410" builtinId="9" hidden="1"/>
    <cellStyle name="Followed Hyperlink" xfId="4418" builtinId="9" hidden="1"/>
    <cellStyle name="Followed Hyperlink" xfId="4426" builtinId="9" hidden="1"/>
    <cellStyle name="Followed Hyperlink" xfId="4434" builtinId="9" hidden="1"/>
    <cellStyle name="Followed Hyperlink" xfId="4442" builtinId="9" hidden="1"/>
    <cellStyle name="Followed Hyperlink" xfId="4450" builtinId="9" hidden="1"/>
    <cellStyle name="Followed Hyperlink" xfId="4458" builtinId="9" hidden="1"/>
    <cellStyle name="Followed Hyperlink" xfId="4466" builtinId="9" hidden="1"/>
    <cellStyle name="Followed Hyperlink" xfId="4474" builtinId="9" hidden="1"/>
    <cellStyle name="Followed Hyperlink" xfId="4482" builtinId="9" hidden="1"/>
    <cellStyle name="Followed Hyperlink" xfId="4490" builtinId="9" hidden="1"/>
    <cellStyle name="Followed Hyperlink" xfId="4498" builtinId="9" hidden="1"/>
    <cellStyle name="Followed Hyperlink" xfId="4506" builtinId="9" hidden="1"/>
    <cellStyle name="Followed Hyperlink" xfId="4514" builtinId="9" hidden="1"/>
    <cellStyle name="Followed Hyperlink" xfId="4522" builtinId="9" hidden="1"/>
    <cellStyle name="Followed Hyperlink" xfId="4530" builtinId="9" hidden="1"/>
    <cellStyle name="Followed Hyperlink" xfId="4538" builtinId="9" hidden="1"/>
    <cellStyle name="Followed Hyperlink" xfId="4546" builtinId="9" hidden="1"/>
    <cellStyle name="Followed Hyperlink" xfId="4554" builtinId="9" hidden="1"/>
    <cellStyle name="Followed Hyperlink" xfId="4562" builtinId="9" hidden="1"/>
    <cellStyle name="Followed Hyperlink" xfId="4570" builtinId="9" hidden="1"/>
    <cellStyle name="Followed Hyperlink" xfId="4578" builtinId="9" hidden="1"/>
    <cellStyle name="Followed Hyperlink" xfId="4586" builtinId="9" hidden="1"/>
    <cellStyle name="Followed Hyperlink" xfId="4594" builtinId="9" hidden="1"/>
    <cellStyle name="Followed Hyperlink" xfId="4602" builtinId="9" hidden="1"/>
    <cellStyle name="Followed Hyperlink" xfId="4610" builtinId="9" hidden="1"/>
    <cellStyle name="Followed Hyperlink" xfId="4618" builtinId="9" hidden="1"/>
    <cellStyle name="Followed Hyperlink" xfId="4626" builtinId="9" hidden="1"/>
    <cellStyle name="Followed Hyperlink" xfId="4634" builtinId="9" hidden="1"/>
    <cellStyle name="Followed Hyperlink" xfId="4642" builtinId="9" hidden="1"/>
    <cellStyle name="Followed Hyperlink" xfId="4650" builtinId="9" hidden="1"/>
    <cellStyle name="Followed Hyperlink" xfId="4658" builtinId="9" hidden="1"/>
    <cellStyle name="Followed Hyperlink" xfId="4666" builtinId="9" hidden="1"/>
    <cellStyle name="Followed Hyperlink" xfId="4674" builtinId="9" hidden="1"/>
    <cellStyle name="Followed Hyperlink" xfId="4682" builtinId="9" hidden="1"/>
    <cellStyle name="Followed Hyperlink" xfId="4690" builtinId="9" hidden="1"/>
    <cellStyle name="Followed Hyperlink" xfId="4698" builtinId="9" hidden="1"/>
    <cellStyle name="Followed Hyperlink" xfId="4706" builtinId="9" hidden="1"/>
    <cellStyle name="Followed Hyperlink" xfId="4714" builtinId="9" hidden="1"/>
    <cellStyle name="Followed Hyperlink" xfId="4722" builtinId="9" hidden="1"/>
    <cellStyle name="Followed Hyperlink" xfId="4730" builtinId="9" hidden="1"/>
    <cellStyle name="Followed Hyperlink" xfId="4738" builtinId="9" hidden="1"/>
    <cellStyle name="Followed Hyperlink" xfId="4746" builtinId="9" hidden="1"/>
    <cellStyle name="Followed Hyperlink" xfId="4754" builtinId="9" hidden="1"/>
    <cellStyle name="Followed Hyperlink" xfId="4762" builtinId="9" hidden="1"/>
    <cellStyle name="Followed Hyperlink" xfId="4770" builtinId="9" hidden="1"/>
    <cellStyle name="Followed Hyperlink" xfId="4778" builtinId="9" hidden="1"/>
    <cellStyle name="Followed Hyperlink" xfId="4786" builtinId="9" hidden="1"/>
    <cellStyle name="Followed Hyperlink" xfId="4794" builtinId="9" hidden="1"/>
    <cellStyle name="Followed Hyperlink" xfId="4802" builtinId="9" hidden="1"/>
    <cellStyle name="Followed Hyperlink" xfId="4810" builtinId="9" hidden="1"/>
    <cellStyle name="Followed Hyperlink" xfId="4818" builtinId="9" hidden="1"/>
    <cellStyle name="Followed Hyperlink" xfId="4826" builtinId="9" hidden="1"/>
    <cellStyle name="Followed Hyperlink" xfId="4834" builtinId="9" hidden="1"/>
    <cellStyle name="Followed Hyperlink" xfId="4842" builtinId="9" hidden="1"/>
    <cellStyle name="Followed Hyperlink" xfId="4850" builtinId="9" hidden="1"/>
    <cellStyle name="Followed Hyperlink" xfId="4858" builtinId="9" hidden="1"/>
    <cellStyle name="Followed Hyperlink" xfId="4866" builtinId="9" hidden="1"/>
    <cellStyle name="Followed Hyperlink" xfId="4874" builtinId="9" hidden="1"/>
    <cellStyle name="Followed Hyperlink" xfId="4882" builtinId="9" hidden="1"/>
    <cellStyle name="Followed Hyperlink" xfId="4890" builtinId="9" hidden="1"/>
    <cellStyle name="Followed Hyperlink" xfId="4898" builtinId="9" hidden="1"/>
    <cellStyle name="Followed Hyperlink" xfId="4906" builtinId="9" hidden="1"/>
    <cellStyle name="Followed Hyperlink" xfId="4914" builtinId="9" hidden="1"/>
    <cellStyle name="Followed Hyperlink" xfId="4922" builtinId="9" hidden="1"/>
    <cellStyle name="Followed Hyperlink" xfId="4930" builtinId="9" hidden="1"/>
    <cellStyle name="Followed Hyperlink" xfId="4938" builtinId="9" hidden="1"/>
    <cellStyle name="Followed Hyperlink" xfId="4946" builtinId="9" hidden="1"/>
    <cellStyle name="Followed Hyperlink" xfId="4954" builtinId="9" hidden="1"/>
    <cellStyle name="Followed Hyperlink" xfId="4962" builtinId="9" hidden="1"/>
    <cellStyle name="Followed Hyperlink" xfId="4970" builtinId="9" hidden="1"/>
    <cellStyle name="Followed Hyperlink" xfId="4978" builtinId="9" hidden="1"/>
    <cellStyle name="Followed Hyperlink" xfId="4986" builtinId="9" hidden="1"/>
    <cellStyle name="Followed Hyperlink" xfId="4994" builtinId="9" hidden="1"/>
    <cellStyle name="Followed Hyperlink" xfId="5002" builtinId="9" hidden="1"/>
    <cellStyle name="Followed Hyperlink" xfId="5010" builtinId="9" hidden="1"/>
    <cellStyle name="Followed Hyperlink" xfId="5018" builtinId="9" hidden="1"/>
    <cellStyle name="Followed Hyperlink" xfId="5026" builtinId="9" hidden="1"/>
    <cellStyle name="Followed Hyperlink" xfId="5034" builtinId="9" hidden="1"/>
    <cellStyle name="Followed Hyperlink" xfId="5042" builtinId="9" hidden="1"/>
    <cellStyle name="Followed Hyperlink" xfId="5050" builtinId="9" hidden="1"/>
    <cellStyle name="Followed Hyperlink" xfId="5058" builtinId="9" hidden="1"/>
    <cellStyle name="Followed Hyperlink" xfId="5052" builtinId="9" hidden="1"/>
    <cellStyle name="Followed Hyperlink" xfId="5044" builtinId="9" hidden="1"/>
    <cellStyle name="Followed Hyperlink" xfId="5036" builtinId="9" hidden="1"/>
    <cellStyle name="Followed Hyperlink" xfId="5028" builtinId="9" hidden="1"/>
    <cellStyle name="Followed Hyperlink" xfId="5020" builtinId="9" hidden="1"/>
    <cellStyle name="Followed Hyperlink" xfId="5012" builtinId="9" hidden="1"/>
    <cellStyle name="Followed Hyperlink" xfId="5004" builtinId="9" hidden="1"/>
    <cellStyle name="Followed Hyperlink" xfId="4996" builtinId="9" hidden="1"/>
    <cellStyle name="Followed Hyperlink" xfId="4988" builtinId="9" hidden="1"/>
    <cellStyle name="Followed Hyperlink" xfId="4980" builtinId="9" hidden="1"/>
    <cellStyle name="Followed Hyperlink" xfId="4972" builtinId="9" hidden="1"/>
    <cellStyle name="Followed Hyperlink" xfId="4964" builtinId="9" hidden="1"/>
    <cellStyle name="Followed Hyperlink" xfId="4956" builtinId="9" hidden="1"/>
    <cellStyle name="Followed Hyperlink" xfId="4948" builtinId="9" hidden="1"/>
    <cellStyle name="Followed Hyperlink" xfId="4940" builtinId="9" hidden="1"/>
    <cellStyle name="Followed Hyperlink" xfId="4932" builtinId="9" hidden="1"/>
    <cellStyle name="Followed Hyperlink" xfId="4924" builtinId="9" hidden="1"/>
    <cellStyle name="Followed Hyperlink" xfId="4916" builtinId="9" hidden="1"/>
    <cellStyle name="Followed Hyperlink" xfId="4908" builtinId="9" hidden="1"/>
    <cellStyle name="Followed Hyperlink" xfId="4900" builtinId="9" hidden="1"/>
    <cellStyle name="Followed Hyperlink" xfId="4892" builtinId="9" hidden="1"/>
    <cellStyle name="Followed Hyperlink" xfId="4884" builtinId="9" hidden="1"/>
    <cellStyle name="Followed Hyperlink" xfId="4876" builtinId="9" hidden="1"/>
    <cellStyle name="Followed Hyperlink" xfId="4868" builtinId="9" hidden="1"/>
    <cellStyle name="Followed Hyperlink" xfId="4860" builtinId="9" hidden="1"/>
    <cellStyle name="Followed Hyperlink" xfId="4852" builtinId="9" hidden="1"/>
    <cellStyle name="Followed Hyperlink" xfId="4844" builtinId="9" hidden="1"/>
    <cellStyle name="Followed Hyperlink" xfId="4836" builtinId="9" hidden="1"/>
    <cellStyle name="Followed Hyperlink" xfId="4828" builtinId="9" hidden="1"/>
    <cellStyle name="Followed Hyperlink" xfId="4820" builtinId="9" hidden="1"/>
    <cellStyle name="Followed Hyperlink" xfId="4812" builtinId="9" hidden="1"/>
    <cellStyle name="Followed Hyperlink" xfId="4804" builtinId="9" hidden="1"/>
    <cellStyle name="Followed Hyperlink" xfId="4796" builtinId="9" hidden="1"/>
    <cellStyle name="Followed Hyperlink" xfId="4788" builtinId="9" hidden="1"/>
    <cellStyle name="Followed Hyperlink" xfId="4780" builtinId="9" hidden="1"/>
    <cellStyle name="Followed Hyperlink" xfId="4772" builtinId="9" hidden="1"/>
    <cellStyle name="Followed Hyperlink" xfId="4764" builtinId="9" hidden="1"/>
    <cellStyle name="Followed Hyperlink" xfId="4756" builtinId="9" hidden="1"/>
    <cellStyle name="Followed Hyperlink" xfId="4748" builtinId="9" hidden="1"/>
    <cellStyle name="Followed Hyperlink" xfId="4740" builtinId="9" hidden="1"/>
    <cellStyle name="Followed Hyperlink" xfId="4732" builtinId="9" hidden="1"/>
    <cellStyle name="Followed Hyperlink" xfId="4724" builtinId="9" hidden="1"/>
    <cellStyle name="Followed Hyperlink" xfId="4716" builtinId="9" hidden="1"/>
    <cellStyle name="Followed Hyperlink" xfId="4708" builtinId="9" hidden="1"/>
    <cellStyle name="Followed Hyperlink" xfId="4700" builtinId="9" hidden="1"/>
    <cellStyle name="Followed Hyperlink" xfId="4692" builtinId="9" hidden="1"/>
    <cellStyle name="Followed Hyperlink" xfId="4684" builtinId="9" hidden="1"/>
    <cellStyle name="Followed Hyperlink" xfId="4676" builtinId="9" hidden="1"/>
    <cellStyle name="Followed Hyperlink" xfId="4668" builtinId="9" hidden="1"/>
    <cellStyle name="Followed Hyperlink" xfId="4660" builtinId="9" hidden="1"/>
    <cellStyle name="Followed Hyperlink" xfId="4652" builtinId="9" hidden="1"/>
    <cellStyle name="Followed Hyperlink" xfId="4644" builtinId="9" hidden="1"/>
    <cellStyle name="Followed Hyperlink" xfId="4636" builtinId="9" hidden="1"/>
    <cellStyle name="Followed Hyperlink" xfId="4628" builtinId="9" hidden="1"/>
    <cellStyle name="Followed Hyperlink" xfId="4620" builtinId="9" hidden="1"/>
    <cellStyle name="Followed Hyperlink" xfId="4612" builtinId="9" hidden="1"/>
    <cellStyle name="Followed Hyperlink" xfId="4604" builtinId="9" hidden="1"/>
    <cellStyle name="Followed Hyperlink" xfId="4596" builtinId="9" hidden="1"/>
    <cellStyle name="Followed Hyperlink" xfId="4588" builtinId="9" hidden="1"/>
    <cellStyle name="Followed Hyperlink" xfId="4580" builtinId="9" hidden="1"/>
    <cellStyle name="Followed Hyperlink" xfId="4572" builtinId="9" hidden="1"/>
    <cellStyle name="Followed Hyperlink" xfId="4564" builtinId="9" hidden="1"/>
    <cellStyle name="Followed Hyperlink" xfId="4556" builtinId="9" hidden="1"/>
    <cellStyle name="Followed Hyperlink" xfId="4548" builtinId="9" hidden="1"/>
    <cellStyle name="Followed Hyperlink" xfId="4540" builtinId="9" hidden="1"/>
    <cellStyle name="Followed Hyperlink" xfId="4532" builtinId="9" hidden="1"/>
    <cellStyle name="Followed Hyperlink" xfId="4524" builtinId="9" hidden="1"/>
    <cellStyle name="Followed Hyperlink" xfId="4516" builtinId="9" hidden="1"/>
    <cellStyle name="Followed Hyperlink" xfId="4508" builtinId="9" hidden="1"/>
    <cellStyle name="Followed Hyperlink" xfId="4500" builtinId="9" hidden="1"/>
    <cellStyle name="Followed Hyperlink" xfId="4492" builtinId="9" hidden="1"/>
    <cellStyle name="Followed Hyperlink" xfId="4484" builtinId="9" hidden="1"/>
    <cellStyle name="Followed Hyperlink" xfId="4476" builtinId="9" hidden="1"/>
    <cellStyle name="Followed Hyperlink" xfId="4468" builtinId="9" hidden="1"/>
    <cellStyle name="Followed Hyperlink" xfId="4460" builtinId="9" hidden="1"/>
    <cellStyle name="Followed Hyperlink" xfId="4452" builtinId="9" hidden="1"/>
    <cellStyle name="Followed Hyperlink" xfId="4444" builtinId="9" hidden="1"/>
    <cellStyle name="Followed Hyperlink" xfId="4436" builtinId="9" hidden="1"/>
    <cellStyle name="Followed Hyperlink" xfId="4428" builtinId="9" hidden="1"/>
    <cellStyle name="Followed Hyperlink" xfId="4420" builtinId="9" hidden="1"/>
    <cellStyle name="Followed Hyperlink" xfId="4412" builtinId="9" hidden="1"/>
    <cellStyle name="Followed Hyperlink" xfId="4404" builtinId="9" hidden="1"/>
    <cellStyle name="Followed Hyperlink" xfId="4396" builtinId="9" hidden="1"/>
    <cellStyle name="Followed Hyperlink" xfId="4388" builtinId="9" hidden="1"/>
    <cellStyle name="Followed Hyperlink" xfId="4380" builtinId="9" hidden="1"/>
    <cellStyle name="Followed Hyperlink" xfId="4372" builtinId="9" hidden="1"/>
    <cellStyle name="Followed Hyperlink" xfId="4364" builtinId="9" hidden="1"/>
    <cellStyle name="Followed Hyperlink" xfId="4356" builtinId="9" hidden="1"/>
    <cellStyle name="Followed Hyperlink" xfId="4348" builtinId="9" hidden="1"/>
    <cellStyle name="Followed Hyperlink" xfId="4340" builtinId="9" hidden="1"/>
    <cellStyle name="Followed Hyperlink" xfId="4332" builtinId="9" hidden="1"/>
    <cellStyle name="Followed Hyperlink" xfId="4324" builtinId="9" hidden="1"/>
    <cellStyle name="Followed Hyperlink" xfId="4316" builtinId="9" hidden="1"/>
    <cellStyle name="Followed Hyperlink" xfId="4308" builtinId="9" hidden="1"/>
    <cellStyle name="Followed Hyperlink" xfId="4300" builtinId="9" hidden="1"/>
    <cellStyle name="Followed Hyperlink" xfId="4292" builtinId="9" hidden="1"/>
    <cellStyle name="Followed Hyperlink" xfId="4284" builtinId="9" hidden="1"/>
    <cellStyle name="Followed Hyperlink" xfId="4276" builtinId="9" hidden="1"/>
    <cellStyle name="Followed Hyperlink" xfId="4268" builtinId="9" hidden="1"/>
    <cellStyle name="Followed Hyperlink" xfId="4260" builtinId="9" hidden="1"/>
    <cellStyle name="Followed Hyperlink" xfId="4252" builtinId="9" hidden="1"/>
    <cellStyle name="Followed Hyperlink" xfId="4244" builtinId="9" hidden="1"/>
    <cellStyle name="Followed Hyperlink" xfId="4236" builtinId="9" hidden="1"/>
    <cellStyle name="Followed Hyperlink" xfId="4228" builtinId="9" hidden="1"/>
    <cellStyle name="Followed Hyperlink" xfId="4220" builtinId="9" hidden="1"/>
    <cellStyle name="Followed Hyperlink" xfId="4212" builtinId="9" hidden="1"/>
    <cellStyle name="Followed Hyperlink" xfId="4204" builtinId="9" hidden="1"/>
    <cellStyle name="Followed Hyperlink" xfId="4196" builtinId="9" hidden="1"/>
    <cellStyle name="Followed Hyperlink" xfId="4188" builtinId="9" hidden="1"/>
    <cellStyle name="Followed Hyperlink" xfId="4180" builtinId="9" hidden="1"/>
    <cellStyle name="Followed Hyperlink" xfId="4172" builtinId="9" hidden="1"/>
    <cellStyle name="Followed Hyperlink" xfId="4164" builtinId="9" hidden="1"/>
    <cellStyle name="Followed Hyperlink" xfId="4156" builtinId="9" hidden="1"/>
    <cellStyle name="Followed Hyperlink" xfId="4148" builtinId="9" hidden="1"/>
    <cellStyle name="Followed Hyperlink" xfId="4140" builtinId="9" hidden="1"/>
    <cellStyle name="Followed Hyperlink" xfId="4132" builtinId="9" hidden="1"/>
    <cellStyle name="Followed Hyperlink" xfId="4124" builtinId="9" hidden="1"/>
    <cellStyle name="Followed Hyperlink" xfId="4116" builtinId="9" hidden="1"/>
    <cellStyle name="Followed Hyperlink" xfId="4108" builtinId="9" hidden="1"/>
    <cellStyle name="Followed Hyperlink" xfId="4100" builtinId="9" hidden="1"/>
    <cellStyle name="Followed Hyperlink" xfId="4092" builtinId="9" hidden="1"/>
    <cellStyle name="Followed Hyperlink" xfId="4084" builtinId="9" hidden="1"/>
    <cellStyle name="Followed Hyperlink" xfId="4076" builtinId="9" hidden="1"/>
    <cellStyle name="Followed Hyperlink" xfId="4068" builtinId="9" hidden="1"/>
    <cellStyle name="Followed Hyperlink" xfId="4060" builtinId="9" hidden="1"/>
    <cellStyle name="Followed Hyperlink" xfId="4052" builtinId="9" hidden="1"/>
    <cellStyle name="Followed Hyperlink" xfId="4044" builtinId="9" hidden="1"/>
    <cellStyle name="Followed Hyperlink" xfId="4036" builtinId="9" hidden="1"/>
    <cellStyle name="Followed Hyperlink" xfId="4028" builtinId="9" hidden="1"/>
    <cellStyle name="Followed Hyperlink" xfId="4020" builtinId="9" hidden="1"/>
    <cellStyle name="Followed Hyperlink" xfId="4012" builtinId="9" hidden="1"/>
    <cellStyle name="Followed Hyperlink" xfId="4004" builtinId="9" hidden="1"/>
    <cellStyle name="Followed Hyperlink" xfId="3996" builtinId="9" hidden="1"/>
    <cellStyle name="Followed Hyperlink" xfId="3988" builtinId="9" hidden="1"/>
    <cellStyle name="Followed Hyperlink" xfId="3980" builtinId="9" hidden="1"/>
    <cellStyle name="Followed Hyperlink" xfId="3972" builtinId="9" hidden="1"/>
    <cellStyle name="Followed Hyperlink" xfId="3964" builtinId="9" hidden="1"/>
    <cellStyle name="Followed Hyperlink" xfId="3956" builtinId="9" hidden="1"/>
    <cellStyle name="Followed Hyperlink" xfId="3948" builtinId="9" hidden="1"/>
    <cellStyle name="Followed Hyperlink" xfId="3940" builtinId="9" hidden="1"/>
    <cellStyle name="Followed Hyperlink" xfId="3932" builtinId="9" hidden="1"/>
    <cellStyle name="Followed Hyperlink" xfId="3924" builtinId="9" hidden="1"/>
    <cellStyle name="Followed Hyperlink" xfId="3916" builtinId="9" hidden="1"/>
    <cellStyle name="Followed Hyperlink" xfId="3908" builtinId="9" hidden="1"/>
    <cellStyle name="Followed Hyperlink" xfId="3900" builtinId="9" hidden="1"/>
    <cellStyle name="Followed Hyperlink" xfId="3892" builtinId="9" hidden="1"/>
    <cellStyle name="Followed Hyperlink" xfId="3884" builtinId="9" hidden="1"/>
    <cellStyle name="Followed Hyperlink" xfId="3876" builtinId="9" hidden="1"/>
    <cellStyle name="Followed Hyperlink" xfId="3868" builtinId="9" hidden="1"/>
    <cellStyle name="Followed Hyperlink" xfId="3860" builtinId="9" hidden="1"/>
    <cellStyle name="Followed Hyperlink" xfId="3852" builtinId="9" hidden="1"/>
    <cellStyle name="Followed Hyperlink" xfId="3844" builtinId="9" hidden="1"/>
    <cellStyle name="Followed Hyperlink" xfId="3836" builtinId="9" hidden="1"/>
    <cellStyle name="Followed Hyperlink" xfId="3828" builtinId="9" hidden="1"/>
    <cellStyle name="Followed Hyperlink" xfId="3820" builtinId="9" hidden="1"/>
    <cellStyle name="Followed Hyperlink" xfId="3812" builtinId="9" hidden="1"/>
    <cellStyle name="Followed Hyperlink" xfId="3804" builtinId="9" hidden="1"/>
    <cellStyle name="Followed Hyperlink" xfId="3796" builtinId="9" hidden="1"/>
    <cellStyle name="Followed Hyperlink" xfId="3788" builtinId="9" hidden="1"/>
    <cellStyle name="Followed Hyperlink" xfId="3780" builtinId="9" hidden="1"/>
    <cellStyle name="Followed Hyperlink" xfId="3772" builtinId="9" hidden="1"/>
    <cellStyle name="Followed Hyperlink" xfId="3764" builtinId="9" hidden="1"/>
    <cellStyle name="Followed Hyperlink" xfId="3756" builtinId="9" hidden="1"/>
    <cellStyle name="Followed Hyperlink" xfId="3748" builtinId="9" hidden="1"/>
    <cellStyle name="Followed Hyperlink" xfId="3740" builtinId="9" hidden="1"/>
    <cellStyle name="Followed Hyperlink" xfId="3732" builtinId="9" hidden="1"/>
    <cellStyle name="Followed Hyperlink" xfId="3724" builtinId="9" hidden="1"/>
    <cellStyle name="Followed Hyperlink" xfId="3716" builtinId="9" hidden="1"/>
    <cellStyle name="Followed Hyperlink" xfId="3708" builtinId="9" hidden="1"/>
    <cellStyle name="Followed Hyperlink" xfId="3700" builtinId="9" hidden="1"/>
    <cellStyle name="Followed Hyperlink" xfId="3692" builtinId="9" hidden="1"/>
    <cellStyle name="Followed Hyperlink" xfId="3684" builtinId="9" hidden="1"/>
    <cellStyle name="Followed Hyperlink" xfId="3676" builtinId="9" hidden="1"/>
    <cellStyle name="Followed Hyperlink" xfId="3668" builtinId="9" hidden="1"/>
    <cellStyle name="Followed Hyperlink" xfId="3660" builtinId="9" hidden="1"/>
    <cellStyle name="Followed Hyperlink" xfId="3652" builtinId="9" hidden="1"/>
    <cellStyle name="Followed Hyperlink" xfId="3644" builtinId="9" hidden="1"/>
    <cellStyle name="Followed Hyperlink" xfId="3636" builtinId="9" hidden="1"/>
    <cellStyle name="Followed Hyperlink" xfId="3628" builtinId="9" hidden="1"/>
    <cellStyle name="Followed Hyperlink" xfId="3620" builtinId="9" hidden="1"/>
    <cellStyle name="Followed Hyperlink" xfId="3612" builtinId="9" hidden="1"/>
    <cellStyle name="Followed Hyperlink" xfId="3604" builtinId="9" hidden="1"/>
    <cellStyle name="Followed Hyperlink" xfId="3596" builtinId="9" hidden="1"/>
    <cellStyle name="Followed Hyperlink" xfId="3588" builtinId="9" hidden="1"/>
    <cellStyle name="Followed Hyperlink" xfId="3580" builtinId="9" hidden="1"/>
    <cellStyle name="Followed Hyperlink" xfId="3572" builtinId="9" hidden="1"/>
    <cellStyle name="Followed Hyperlink" xfId="3564" builtinId="9" hidden="1"/>
    <cellStyle name="Followed Hyperlink" xfId="3556" builtinId="9" hidden="1"/>
    <cellStyle name="Followed Hyperlink" xfId="3548" builtinId="9" hidden="1"/>
    <cellStyle name="Followed Hyperlink" xfId="3540" builtinId="9" hidden="1"/>
    <cellStyle name="Followed Hyperlink" xfId="3532" builtinId="9" hidden="1"/>
    <cellStyle name="Followed Hyperlink" xfId="3524" builtinId="9" hidden="1"/>
    <cellStyle name="Followed Hyperlink" xfId="3516" builtinId="9" hidden="1"/>
    <cellStyle name="Followed Hyperlink" xfId="3508" builtinId="9" hidden="1"/>
    <cellStyle name="Followed Hyperlink" xfId="3500" builtinId="9" hidden="1"/>
    <cellStyle name="Followed Hyperlink" xfId="3492" builtinId="9" hidden="1"/>
    <cellStyle name="Followed Hyperlink" xfId="3484" builtinId="9" hidden="1"/>
    <cellStyle name="Followed Hyperlink" xfId="3476" builtinId="9" hidden="1"/>
    <cellStyle name="Followed Hyperlink" xfId="3468" builtinId="9" hidden="1"/>
    <cellStyle name="Followed Hyperlink" xfId="3460" builtinId="9" hidden="1"/>
    <cellStyle name="Followed Hyperlink" xfId="3452" builtinId="9" hidden="1"/>
    <cellStyle name="Followed Hyperlink" xfId="3444" builtinId="9" hidden="1"/>
    <cellStyle name="Followed Hyperlink" xfId="3436" builtinId="9" hidden="1"/>
    <cellStyle name="Followed Hyperlink" xfId="3428" builtinId="9" hidden="1"/>
    <cellStyle name="Followed Hyperlink" xfId="3420" builtinId="9" hidden="1"/>
    <cellStyle name="Followed Hyperlink" xfId="3412" builtinId="9" hidden="1"/>
    <cellStyle name="Followed Hyperlink" xfId="3404" builtinId="9" hidden="1"/>
    <cellStyle name="Followed Hyperlink" xfId="3396" builtinId="9" hidden="1"/>
    <cellStyle name="Followed Hyperlink" xfId="3388" builtinId="9" hidden="1"/>
    <cellStyle name="Followed Hyperlink" xfId="3380" builtinId="9" hidden="1"/>
    <cellStyle name="Followed Hyperlink" xfId="3372" builtinId="9" hidden="1"/>
    <cellStyle name="Followed Hyperlink" xfId="3364" builtinId="9" hidden="1"/>
    <cellStyle name="Followed Hyperlink" xfId="3356" builtinId="9" hidden="1"/>
    <cellStyle name="Followed Hyperlink" xfId="3348" builtinId="9" hidden="1"/>
    <cellStyle name="Followed Hyperlink" xfId="3340" builtinId="9" hidden="1"/>
    <cellStyle name="Followed Hyperlink" xfId="3332" builtinId="9" hidden="1"/>
    <cellStyle name="Followed Hyperlink" xfId="3324" builtinId="9" hidden="1"/>
    <cellStyle name="Followed Hyperlink" xfId="3316" builtinId="9" hidden="1"/>
    <cellStyle name="Followed Hyperlink" xfId="3308" builtinId="9" hidden="1"/>
    <cellStyle name="Followed Hyperlink" xfId="3300" builtinId="9" hidden="1"/>
    <cellStyle name="Followed Hyperlink" xfId="3292" builtinId="9" hidden="1"/>
    <cellStyle name="Followed Hyperlink" xfId="3284" builtinId="9" hidden="1"/>
    <cellStyle name="Followed Hyperlink" xfId="3276" builtinId="9" hidden="1"/>
    <cellStyle name="Followed Hyperlink" xfId="3268" builtinId="9" hidden="1"/>
    <cellStyle name="Followed Hyperlink" xfId="3260" builtinId="9" hidden="1"/>
    <cellStyle name="Followed Hyperlink" xfId="3252" builtinId="9" hidden="1"/>
    <cellStyle name="Followed Hyperlink" xfId="3244" builtinId="9" hidden="1"/>
    <cellStyle name="Followed Hyperlink" xfId="3236" builtinId="9" hidden="1"/>
    <cellStyle name="Followed Hyperlink" xfId="3228" builtinId="9" hidden="1"/>
    <cellStyle name="Followed Hyperlink" xfId="3220" builtinId="9" hidden="1"/>
    <cellStyle name="Followed Hyperlink" xfId="3212" builtinId="9" hidden="1"/>
    <cellStyle name="Followed Hyperlink" xfId="3204" builtinId="9" hidden="1"/>
    <cellStyle name="Followed Hyperlink" xfId="3196" builtinId="9" hidden="1"/>
    <cellStyle name="Followed Hyperlink" xfId="3188" builtinId="9" hidden="1"/>
    <cellStyle name="Followed Hyperlink" xfId="3180" builtinId="9" hidden="1"/>
    <cellStyle name="Followed Hyperlink" xfId="3172" builtinId="9" hidden="1"/>
    <cellStyle name="Followed Hyperlink" xfId="3164" builtinId="9" hidden="1"/>
    <cellStyle name="Followed Hyperlink" xfId="3156" builtinId="9" hidden="1"/>
    <cellStyle name="Followed Hyperlink" xfId="3148" builtinId="9" hidden="1"/>
    <cellStyle name="Followed Hyperlink" xfId="3140" builtinId="9" hidden="1"/>
    <cellStyle name="Followed Hyperlink" xfId="3132" builtinId="9" hidden="1"/>
    <cellStyle name="Followed Hyperlink" xfId="3124" builtinId="9" hidden="1"/>
    <cellStyle name="Followed Hyperlink" xfId="3116" builtinId="9" hidden="1"/>
    <cellStyle name="Followed Hyperlink" xfId="3108" builtinId="9" hidden="1"/>
    <cellStyle name="Followed Hyperlink" xfId="3100" builtinId="9" hidden="1"/>
    <cellStyle name="Followed Hyperlink" xfId="3092" builtinId="9" hidden="1"/>
    <cellStyle name="Followed Hyperlink" xfId="3084" builtinId="9" hidden="1"/>
    <cellStyle name="Followed Hyperlink" xfId="3076" builtinId="9" hidden="1"/>
    <cellStyle name="Followed Hyperlink" xfId="3068" builtinId="9" hidden="1"/>
    <cellStyle name="Followed Hyperlink" xfId="3060" builtinId="9" hidden="1"/>
    <cellStyle name="Followed Hyperlink" xfId="3052" builtinId="9" hidden="1"/>
    <cellStyle name="Followed Hyperlink" xfId="3044" builtinId="9" hidden="1"/>
    <cellStyle name="Followed Hyperlink" xfId="3036" builtinId="9" hidden="1"/>
    <cellStyle name="Followed Hyperlink" xfId="3028" builtinId="9" hidden="1"/>
    <cellStyle name="Followed Hyperlink" xfId="3020" builtinId="9" hidden="1"/>
    <cellStyle name="Followed Hyperlink" xfId="3012" builtinId="9" hidden="1"/>
    <cellStyle name="Followed Hyperlink" xfId="3004" builtinId="9" hidden="1"/>
    <cellStyle name="Followed Hyperlink" xfId="2996" builtinId="9" hidden="1"/>
    <cellStyle name="Followed Hyperlink" xfId="2988" builtinId="9" hidden="1"/>
    <cellStyle name="Followed Hyperlink" xfId="2980" builtinId="9" hidden="1"/>
    <cellStyle name="Followed Hyperlink" xfId="2972" builtinId="9" hidden="1"/>
    <cellStyle name="Followed Hyperlink" xfId="2964" builtinId="9" hidden="1"/>
    <cellStyle name="Followed Hyperlink" xfId="2956" builtinId="9" hidden="1"/>
    <cellStyle name="Followed Hyperlink" xfId="2948" builtinId="9" hidden="1"/>
    <cellStyle name="Followed Hyperlink" xfId="2940" builtinId="9" hidden="1"/>
    <cellStyle name="Followed Hyperlink" xfId="2932" builtinId="9" hidden="1"/>
    <cellStyle name="Followed Hyperlink" xfId="2924" builtinId="9" hidden="1"/>
    <cellStyle name="Followed Hyperlink" xfId="2916" builtinId="9" hidden="1"/>
    <cellStyle name="Followed Hyperlink" xfId="2908" builtinId="9" hidden="1"/>
    <cellStyle name="Followed Hyperlink" xfId="2900" builtinId="9" hidden="1"/>
    <cellStyle name="Followed Hyperlink" xfId="2892" builtinId="9" hidden="1"/>
    <cellStyle name="Followed Hyperlink" xfId="2884" builtinId="9" hidden="1"/>
    <cellStyle name="Followed Hyperlink" xfId="2876" builtinId="9" hidden="1"/>
    <cellStyle name="Followed Hyperlink" xfId="2868" builtinId="9" hidden="1"/>
    <cellStyle name="Followed Hyperlink" xfId="2860" builtinId="9" hidden="1"/>
    <cellStyle name="Followed Hyperlink" xfId="2852" builtinId="9" hidden="1"/>
    <cellStyle name="Followed Hyperlink" xfId="2844" builtinId="9" hidden="1"/>
    <cellStyle name="Followed Hyperlink" xfId="2836" builtinId="9" hidden="1"/>
    <cellStyle name="Followed Hyperlink" xfId="2828" builtinId="9" hidden="1"/>
    <cellStyle name="Followed Hyperlink" xfId="2820" builtinId="9" hidden="1"/>
    <cellStyle name="Followed Hyperlink" xfId="2812" builtinId="9" hidden="1"/>
    <cellStyle name="Followed Hyperlink" xfId="2804" builtinId="9" hidden="1"/>
    <cellStyle name="Followed Hyperlink" xfId="2796" builtinId="9" hidden="1"/>
    <cellStyle name="Followed Hyperlink" xfId="2788" builtinId="9" hidden="1"/>
    <cellStyle name="Followed Hyperlink" xfId="2780" builtinId="9" hidden="1"/>
    <cellStyle name="Followed Hyperlink" xfId="2772" builtinId="9" hidden="1"/>
    <cellStyle name="Followed Hyperlink" xfId="2764" builtinId="9" hidden="1"/>
    <cellStyle name="Followed Hyperlink" xfId="2756" builtinId="9" hidden="1"/>
    <cellStyle name="Followed Hyperlink" xfId="2748" builtinId="9" hidden="1"/>
    <cellStyle name="Followed Hyperlink" xfId="2740" builtinId="9" hidden="1"/>
    <cellStyle name="Followed Hyperlink" xfId="2732" builtinId="9" hidden="1"/>
    <cellStyle name="Followed Hyperlink" xfId="2724" builtinId="9" hidden="1"/>
    <cellStyle name="Followed Hyperlink" xfId="2716" builtinId="9" hidden="1"/>
    <cellStyle name="Followed Hyperlink" xfId="2708" builtinId="9" hidden="1"/>
    <cellStyle name="Followed Hyperlink" xfId="2700" builtinId="9" hidden="1"/>
    <cellStyle name="Followed Hyperlink" xfId="2692" builtinId="9" hidden="1"/>
    <cellStyle name="Followed Hyperlink" xfId="2684" builtinId="9" hidden="1"/>
    <cellStyle name="Followed Hyperlink" xfId="2676" builtinId="9" hidden="1"/>
    <cellStyle name="Followed Hyperlink" xfId="2668" builtinId="9" hidden="1"/>
    <cellStyle name="Followed Hyperlink" xfId="2660" builtinId="9" hidden="1"/>
    <cellStyle name="Followed Hyperlink" xfId="2652" builtinId="9" hidden="1"/>
    <cellStyle name="Followed Hyperlink" xfId="2644" builtinId="9" hidden="1"/>
    <cellStyle name="Followed Hyperlink" xfId="2636" builtinId="9" hidden="1"/>
    <cellStyle name="Followed Hyperlink" xfId="2628" builtinId="9" hidden="1"/>
    <cellStyle name="Followed Hyperlink" xfId="2620" builtinId="9" hidden="1"/>
    <cellStyle name="Followed Hyperlink" xfId="2612" builtinId="9" hidden="1"/>
    <cellStyle name="Followed Hyperlink" xfId="2604" builtinId="9" hidden="1"/>
    <cellStyle name="Followed Hyperlink" xfId="2596" builtinId="9" hidden="1"/>
    <cellStyle name="Followed Hyperlink" xfId="2588" builtinId="9" hidden="1"/>
    <cellStyle name="Followed Hyperlink" xfId="2580" builtinId="9" hidden="1"/>
    <cellStyle name="Followed Hyperlink" xfId="2572" builtinId="9" hidden="1"/>
    <cellStyle name="Followed Hyperlink" xfId="2564" builtinId="9" hidden="1"/>
    <cellStyle name="Followed Hyperlink" xfId="2556" builtinId="9" hidden="1"/>
    <cellStyle name="Followed Hyperlink" xfId="2548" builtinId="9" hidden="1"/>
    <cellStyle name="Followed Hyperlink" xfId="2540" builtinId="9" hidden="1"/>
    <cellStyle name="Followed Hyperlink" xfId="2532" builtinId="9" hidden="1"/>
    <cellStyle name="Followed Hyperlink" xfId="2524" builtinId="9" hidden="1"/>
    <cellStyle name="Followed Hyperlink" xfId="2516" builtinId="9" hidden="1"/>
    <cellStyle name="Followed Hyperlink" xfId="2508" builtinId="9" hidden="1"/>
    <cellStyle name="Followed Hyperlink" xfId="2500" builtinId="9" hidden="1"/>
    <cellStyle name="Followed Hyperlink" xfId="2492" builtinId="9" hidden="1"/>
    <cellStyle name="Followed Hyperlink" xfId="2484" builtinId="9" hidden="1"/>
    <cellStyle name="Followed Hyperlink" xfId="2476" builtinId="9" hidden="1"/>
    <cellStyle name="Followed Hyperlink" xfId="2468" builtinId="9" hidden="1"/>
    <cellStyle name="Followed Hyperlink" xfId="2460" builtinId="9" hidden="1"/>
    <cellStyle name="Followed Hyperlink" xfId="2452" builtinId="9" hidden="1"/>
    <cellStyle name="Followed Hyperlink" xfId="2444" builtinId="9" hidden="1"/>
    <cellStyle name="Followed Hyperlink" xfId="2436" builtinId="9" hidden="1"/>
    <cellStyle name="Followed Hyperlink" xfId="2428" builtinId="9" hidden="1"/>
    <cellStyle name="Followed Hyperlink" xfId="2420" builtinId="9" hidden="1"/>
    <cellStyle name="Followed Hyperlink" xfId="2412" builtinId="9" hidden="1"/>
    <cellStyle name="Followed Hyperlink" xfId="2404" builtinId="9" hidden="1"/>
    <cellStyle name="Followed Hyperlink" xfId="2396" builtinId="9" hidden="1"/>
    <cellStyle name="Followed Hyperlink" xfId="2388" builtinId="9" hidden="1"/>
    <cellStyle name="Followed Hyperlink" xfId="2380" builtinId="9" hidden="1"/>
    <cellStyle name="Followed Hyperlink" xfId="2372" builtinId="9" hidden="1"/>
    <cellStyle name="Followed Hyperlink" xfId="2364" builtinId="9" hidden="1"/>
    <cellStyle name="Followed Hyperlink" xfId="2356" builtinId="9" hidden="1"/>
    <cellStyle name="Followed Hyperlink" xfId="2348" builtinId="9" hidden="1"/>
    <cellStyle name="Followed Hyperlink" xfId="2340" builtinId="9" hidden="1"/>
    <cellStyle name="Followed Hyperlink" xfId="2332" builtinId="9" hidden="1"/>
    <cellStyle name="Followed Hyperlink" xfId="2324" builtinId="9" hidden="1"/>
    <cellStyle name="Followed Hyperlink" xfId="2316" builtinId="9" hidden="1"/>
    <cellStyle name="Followed Hyperlink" xfId="2308" builtinId="9" hidden="1"/>
    <cellStyle name="Followed Hyperlink" xfId="2300" builtinId="9" hidden="1"/>
    <cellStyle name="Followed Hyperlink" xfId="2292" builtinId="9" hidden="1"/>
    <cellStyle name="Followed Hyperlink" xfId="2284" builtinId="9" hidden="1"/>
    <cellStyle name="Followed Hyperlink" xfId="2276" builtinId="9" hidden="1"/>
    <cellStyle name="Followed Hyperlink" xfId="2268" builtinId="9" hidden="1"/>
    <cellStyle name="Followed Hyperlink" xfId="2260" builtinId="9" hidden="1"/>
    <cellStyle name="Followed Hyperlink" xfId="2252" builtinId="9" hidden="1"/>
    <cellStyle name="Followed Hyperlink" xfId="2244" builtinId="9" hidden="1"/>
    <cellStyle name="Followed Hyperlink" xfId="2236" builtinId="9" hidden="1"/>
    <cellStyle name="Followed Hyperlink" xfId="2228" builtinId="9" hidden="1"/>
    <cellStyle name="Followed Hyperlink" xfId="2220" builtinId="9" hidden="1"/>
    <cellStyle name="Followed Hyperlink" xfId="2212" builtinId="9" hidden="1"/>
    <cellStyle name="Followed Hyperlink" xfId="2204" builtinId="9" hidden="1"/>
    <cellStyle name="Followed Hyperlink" xfId="2196" builtinId="9" hidden="1"/>
    <cellStyle name="Followed Hyperlink" xfId="2188" builtinId="9" hidden="1"/>
    <cellStyle name="Followed Hyperlink" xfId="2180" builtinId="9" hidden="1"/>
    <cellStyle name="Followed Hyperlink" xfId="2172" builtinId="9" hidden="1"/>
    <cellStyle name="Followed Hyperlink" xfId="2164" builtinId="9" hidden="1"/>
    <cellStyle name="Followed Hyperlink" xfId="2156" builtinId="9" hidden="1"/>
    <cellStyle name="Followed Hyperlink" xfId="2148" builtinId="9" hidden="1"/>
    <cellStyle name="Followed Hyperlink" xfId="2140" builtinId="9" hidden="1"/>
    <cellStyle name="Followed Hyperlink" xfId="2132" builtinId="9" hidden="1"/>
    <cellStyle name="Followed Hyperlink" xfId="2124" builtinId="9" hidden="1"/>
    <cellStyle name="Followed Hyperlink" xfId="2116" builtinId="9" hidden="1"/>
    <cellStyle name="Followed Hyperlink" xfId="2108" builtinId="9" hidden="1"/>
    <cellStyle name="Followed Hyperlink" xfId="2100" builtinId="9" hidden="1"/>
    <cellStyle name="Followed Hyperlink" xfId="2092" builtinId="9" hidden="1"/>
    <cellStyle name="Followed Hyperlink" xfId="2084" builtinId="9" hidden="1"/>
    <cellStyle name="Followed Hyperlink" xfId="2076" builtinId="9" hidden="1"/>
    <cellStyle name="Followed Hyperlink" xfId="2068" builtinId="9" hidden="1"/>
    <cellStyle name="Followed Hyperlink" xfId="2060" builtinId="9" hidden="1"/>
    <cellStyle name="Followed Hyperlink" xfId="2052" builtinId="9" hidden="1"/>
    <cellStyle name="Followed Hyperlink" xfId="2044" builtinId="9" hidden="1"/>
    <cellStyle name="Followed Hyperlink" xfId="2036" builtinId="9" hidden="1"/>
    <cellStyle name="Followed Hyperlink" xfId="2028" builtinId="9" hidden="1"/>
    <cellStyle name="Followed Hyperlink" xfId="2020" builtinId="9" hidden="1"/>
    <cellStyle name="Followed Hyperlink" xfId="2012" builtinId="9" hidden="1"/>
    <cellStyle name="Followed Hyperlink" xfId="2004" builtinId="9" hidden="1"/>
    <cellStyle name="Followed Hyperlink" xfId="1996" builtinId="9" hidden="1"/>
    <cellStyle name="Followed Hyperlink" xfId="1988" builtinId="9" hidden="1"/>
    <cellStyle name="Followed Hyperlink" xfId="1980" builtinId="9" hidden="1"/>
    <cellStyle name="Followed Hyperlink" xfId="1972" builtinId="9" hidden="1"/>
    <cellStyle name="Followed Hyperlink" xfId="1964" builtinId="9" hidden="1"/>
    <cellStyle name="Followed Hyperlink" xfId="1956" builtinId="9" hidden="1"/>
    <cellStyle name="Followed Hyperlink" xfId="1948" builtinId="9" hidden="1"/>
    <cellStyle name="Followed Hyperlink" xfId="1940" builtinId="9" hidden="1"/>
    <cellStyle name="Followed Hyperlink" xfId="1932" builtinId="9" hidden="1"/>
    <cellStyle name="Followed Hyperlink" xfId="1924" builtinId="9" hidden="1"/>
    <cellStyle name="Followed Hyperlink" xfId="1916" builtinId="9" hidden="1"/>
    <cellStyle name="Followed Hyperlink" xfId="1908" builtinId="9" hidden="1"/>
    <cellStyle name="Followed Hyperlink" xfId="1900" builtinId="9" hidden="1"/>
    <cellStyle name="Followed Hyperlink" xfId="1892" builtinId="9" hidden="1"/>
    <cellStyle name="Followed Hyperlink" xfId="1884" builtinId="9" hidden="1"/>
    <cellStyle name="Followed Hyperlink" xfId="1876" builtinId="9" hidden="1"/>
    <cellStyle name="Followed Hyperlink" xfId="1868" builtinId="9" hidden="1"/>
    <cellStyle name="Followed Hyperlink" xfId="1860" builtinId="9" hidden="1"/>
    <cellStyle name="Followed Hyperlink" xfId="1852" builtinId="9" hidden="1"/>
    <cellStyle name="Followed Hyperlink" xfId="1844" builtinId="9" hidden="1"/>
    <cellStyle name="Followed Hyperlink" xfId="1836" builtinId="9" hidden="1"/>
    <cellStyle name="Followed Hyperlink" xfId="1828" builtinId="9" hidden="1"/>
    <cellStyle name="Followed Hyperlink" xfId="1820" builtinId="9" hidden="1"/>
    <cellStyle name="Followed Hyperlink" xfId="1812" builtinId="9" hidden="1"/>
    <cellStyle name="Followed Hyperlink" xfId="1804" builtinId="9" hidden="1"/>
    <cellStyle name="Followed Hyperlink" xfId="1796" builtinId="9" hidden="1"/>
    <cellStyle name="Followed Hyperlink" xfId="1788" builtinId="9" hidden="1"/>
    <cellStyle name="Followed Hyperlink" xfId="1780" builtinId="9" hidden="1"/>
    <cellStyle name="Followed Hyperlink" xfId="1772" builtinId="9" hidden="1"/>
    <cellStyle name="Followed Hyperlink" xfId="1764" builtinId="9" hidden="1"/>
    <cellStyle name="Followed Hyperlink" xfId="1756" builtinId="9" hidden="1"/>
    <cellStyle name="Followed Hyperlink" xfId="1748" builtinId="9" hidden="1"/>
    <cellStyle name="Followed Hyperlink" xfId="1740" builtinId="9" hidden="1"/>
    <cellStyle name="Followed Hyperlink" xfId="1732" builtinId="9" hidden="1"/>
    <cellStyle name="Followed Hyperlink" xfId="1724" builtinId="9" hidden="1"/>
    <cellStyle name="Followed Hyperlink" xfId="1716" builtinId="9" hidden="1"/>
    <cellStyle name="Followed Hyperlink" xfId="1708" builtinId="9" hidden="1"/>
    <cellStyle name="Followed Hyperlink" xfId="1700" builtinId="9" hidden="1"/>
    <cellStyle name="Followed Hyperlink" xfId="1692" builtinId="9" hidden="1"/>
    <cellStyle name="Followed Hyperlink" xfId="1684" builtinId="9" hidden="1"/>
    <cellStyle name="Followed Hyperlink" xfId="1676" builtinId="9" hidden="1"/>
    <cellStyle name="Followed Hyperlink" xfId="1668" builtinId="9" hidden="1"/>
    <cellStyle name="Followed Hyperlink" xfId="1660" builtinId="9" hidden="1"/>
    <cellStyle name="Followed Hyperlink" xfId="1652" builtinId="9" hidden="1"/>
    <cellStyle name="Followed Hyperlink" xfId="1644" builtinId="9" hidden="1"/>
    <cellStyle name="Followed Hyperlink" xfId="1636" builtinId="9" hidden="1"/>
    <cellStyle name="Followed Hyperlink" xfId="1628" builtinId="9" hidden="1"/>
    <cellStyle name="Followed Hyperlink" xfId="1620" builtinId="9" hidden="1"/>
    <cellStyle name="Followed Hyperlink" xfId="1612" builtinId="9" hidden="1"/>
    <cellStyle name="Followed Hyperlink" xfId="1604" builtinId="9" hidden="1"/>
    <cellStyle name="Followed Hyperlink" xfId="1596" builtinId="9" hidden="1"/>
    <cellStyle name="Followed Hyperlink" xfId="1588" builtinId="9" hidden="1"/>
    <cellStyle name="Followed Hyperlink" xfId="1580" builtinId="9" hidden="1"/>
    <cellStyle name="Followed Hyperlink" xfId="1572" builtinId="9" hidden="1"/>
    <cellStyle name="Followed Hyperlink" xfId="1564" builtinId="9" hidden="1"/>
    <cellStyle name="Followed Hyperlink" xfId="1556" builtinId="9" hidden="1"/>
    <cellStyle name="Followed Hyperlink" xfId="1548" builtinId="9" hidden="1"/>
    <cellStyle name="Followed Hyperlink" xfId="1540" builtinId="9" hidden="1"/>
    <cellStyle name="Followed Hyperlink" xfId="1532" builtinId="9" hidden="1"/>
    <cellStyle name="Followed Hyperlink" xfId="1524" builtinId="9" hidden="1"/>
    <cellStyle name="Followed Hyperlink" xfId="1516" builtinId="9" hidden="1"/>
    <cellStyle name="Followed Hyperlink" xfId="1508" builtinId="9" hidden="1"/>
    <cellStyle name="Followed Hyperlink" xfId="1500" builtinId="9" hidden="1"/>
    <cellStyle name="Followed Hyperlink" xfId="1492" builtinId="9" hidden="1"/>
    <cellStyle name="Followed Hyperlink" xfId="1484" builtinId="9" hidden="1"/>
    <cellStyle name="Followed Hyperlink" xfId="1476" builtinId="9" hidden="1"/>
    <cellStyle name="Followed Hyperlink" xfId="1468" builtinId="9" hidden="1"/>
    <cellStyle name="Followed Hyperlink" xfId="1460" builtinId="9" hidden="1"/>
    <cellStyle name="Followed Hyperlink" xfId="1452" builtinId="9" hidden="1"/>
    <cellStyle name="Followed Hyperlink" xfId="1444" builtinId="9" hidden="1"/>
    <cellStyle name="Followed Hyperlink" xfId="1436" builtinId="9" hidden="1"/>
    <cellStyle name="Followed Hyperlink" xfId="1428" builtinId="9" hidden="1"/>
    <cellStyle name="Followed Hyperlink" xfId="1420" builtinId="9" hidden="1"/>
    <cellStyle name="Followed Hyperlink" xfId="1412" builtinId="9" hidden="1"/>
    <cellStyle name="Followed Hyperlink" xfId="1404" builtinId="9" hidden="1"/>
    <cellStyle name="Followed Hyperlink" xfId="1396" builtinId="9" hidden="1"/>
    <cellStyle name="Followed Hyperlink" xfId="1388" builtinId="9" hidden="1"/>
    <cellStyle name="Followed Hyperlink" xfId="1380" builtinId="9" hidden="1"/>
    <cellStyle name="Followed Hyperlink" xfId="1372" builtinId="9" hidden="1"/>
    <cellStyle name="Followed Hyperlink" xfId="1364" builtinId="9" hidden="1"/>
    <cellStyle name="Followed Hyperlink" xfId="1356" builtinId="9" hidden="1"/>
    <cellStyle name="Followed Hyperlink" xfId="1348" builtinId="9" hidden="1"/>
    <cellStyle name="Followed Hyperlink" xfId="1340" builtinId="9" hidden="1"/>
    <cellStyle name="Followed Hyperlink" xfId="1332" builtinId="9" hidden="1"/>
    <cellStyle name="Followed Hyperlink" xfId="1324" builtinId="9" hidden="1"/>
    <cellStyle name="Followed Hyperlink" xfId="1316" builtinId="9" hidden="1"/>
    <cellStyle name="Followed Hyperlink" xfId="1308" builtinId="9" hidden="1"/>
    <cellStyle name="Followed Hyperlink" xfId="1300" builtinId="9" hidden="1"/>
    <cellStyle name="Followed Hyperlink" xfId="1292" builtinId="9" hidden="1"/>
    <cellStyle name="Followed Hyperlink" xfId="1284" builtinId="9" hidden="1"/>
    <cellStyle name="Followed Hyperlink" xfId="1276" builtinId="9" hidden="1"/>
    <cellStyle name="Followed Hyperlink" xfId="1268" builtinId="9" hidden="1"/>
    <cellStyle name="Followed Hyperlink" xfId="1260" builtinId="9" hidden="1"/>
    <cellStyle name="Followed Hyperlink" xfId="1252" builtinId="9" hidden="1"/>
    <cellStyle name="Followed Hyperlink" xfId="1244" builtinId="9" hidden="1"/>
    <cellStyle name="Followed Hyperlink" xfId="1236" builtinId="9" hidden="1"/>
    <cellStyle name="Followed Hyperlink" xfId="1228" builtinId="9" hidden="1"/>
    <cellStyle name="Followed Hyperlink" xfId="1220" builtinId="9" hidden="1"/>
    <cellStyle name="Followed Hyperlink" xfId="1212" builtinId="9" hidden="1"/>
    <cellStyle name="Followed Hyperlink" xfId="1204" builtinId="9" hidden="1"/>
    <cellStyle name="Followed Hyperlink" xfId="1196" builtinId="9" hidden="1"/>
    <cellStyle name="Followed Hyperlink" xfId="1188" builtinId="9" hidden="1"/>
    <cellStyle name="Followed Hyperlink" xfId="1180" builtinId="9" hidden="1"/>
    <cellStyle name="Followed Hyperlink" xfId="1172" builtinId="9" hidden="1"/>
    <cellStyle name="Followed Hyperlink" xfId="1164" builtinId="9" hidden="1"/>
    <cellStyle name="Followed Hyperlink" xfId="1156" builtinId="9" hidden="1"/>
    <cellStyle name="Followed Hyperlink" xfId="1148" builtinId="9" hidden="1"/>
    <cellStyle name="Followed Hyperlink" xfId="1140" builtinId="9" hidden="1"/>
    <cellStyle name="Followed Hyperlink" xfId="1132" builtinId="9" hidden="1"/>
    <cellStyle name="Followed Hyperlink" xfId="1124" builtinId="9" hidden="1"/>
    <cellStyle name="Followed Hyperlink" xfId="1116" builtinId="9" hidden="1"/>
    <cellStyle name="Followed Hyperlink" xfId="1108" builtinId="9" hidden="1"/>
    <cellStyle name="Followed Hyperlink" xfId="1100" builtinId="9" hidden="1"/>
    <cellStyle name="Followed Hyperlink" xfId="1092" builtinId="9" hidden="1"/>
    <cellStyle name="Followed Hyperlink" xfId="1084" builtinId="9" hidden="1"/>
    <cellStyle name="Followed Hyperlink" xfId="1076" builtinId="9" hidden="1"/>
    <cellStyle name="Followed Hyperlink" xfId="1068" builtinId="9" hidden="1"/>
    <cellStyle name="Followed Hyperlink" xfId="1060" builtinId="9" hidden="1"/>
    <cellStyle name="Followed Hyperlink" xfId="1052" builtinId="9" hidden="1"/>
    <cellStyle name="Followed Hyperlink" xfId="1044" builtinId="9" hidden="1"/>
    <cellStyle name="Followed Hyperlink" xfId="1036" builtinId="9" hidden="1"/>
    <cellStyle name="Followed Hyperlink" xfId="1028" builtinId="9" hidden="1"/>
    <cellStyle name="Followed Hyperlink" xfId="1020" builtinId="9" hidden="1"/>
    <cellStyle name="Followed Hyperlink" xfId="1012" builtinId="9" hidden="1"/>
    <cellStyle name="Followed Hyperlink" xfId="1004" builtinId="9" hidden="1"/>
    <cellStyle name="Followed Hyperlink" xfId="996" builtinId="9" hidden="1"/>
    <cellStyle name="Followed Hyperlink" xfId="988" builtinId="9" hidden="1"/>
    <cellStyle name="Followed Hyperlink" xfId="980" builtinId="9" hidden="1"/>
    <cellStyle name="Followed Hyperlink" xfId="972" builtinId="9" hidden="1"/>
    <cellStyle name="Followed Hyperlink" xfId="964" builtinId="9" hidden="1"/>
    <cellStyle name="Followed Hyperlink" xfId="956" builtinId="9" hidden="1"/>
    <cellStyle name="Followed Hyperlink" xfId="948" builtinId="9" hidden="1"/>
    <cellStyle name="Followed Hyperlink" xfId="940" builtinId="9" hidden="1"/>
    <cellStyle name="Followed Hyperlink" xfId="932" builtinId="9" hidden="1"/>
    <cellStyle name="Followed Hyperlink" xfId="924" builtinId="9" hidden="1"/>
    <cellStyle name="Followed Hyperlink" xfId="916" builtinId="9" hidden="1"/>
    <cellStyle name="Followed Hyperlink" xfId="908" builtinId="9" hidden="1"/>
    <cellStyle name="Followed Hyperlink" xfId="900" builtinId="9" hidden="1"/>
    <cellStyle name="Followed Hyperlink" xfId="892" builtinId="9" hidden="1"/>
    <cellStyle name="Followed Hyperlink" xfId="884" builtinId="9" hidden="1"/>
    <cellStyle name="Followed Hyperlink" xfId="876" builtinId="9" hidden="1"/>
    <cellStyle name="Followed Hyperlink" xfId="868" builtinId="9" hidden="1"/>
    <cellStyle name="Followed Hyperlink" xfId="860" builtinId="9" hidden="1"/>
    <cellStyle name="Followed Hyperlink" xfId="852" builtinId="9" hidden="1"/>
    <cellStyle name="Followed Hyperlink" xfId="844" builtinId="9" hidden="1"/>
    <cellStyle name="Followed Hyperlink" xfId="836" builtinId="9" hidden="1"/>
    <cellStyle name="Followed Hyperlink" xfId="828" builtinId="9" hidden="1"/>
    <cellStyle name="Followed Hyperlink" xfId="820" builtinId="9" hidden="1"/>
    <cellStyle name="Followed Hyperlink" xfId="812" builtinId="9" hidden="1"/>
    <cellStyle name="Followed Hyperlink" xfId="804" builtinId="9" hidden="1"/>
    <cellStyle name="Followed Hyperlink" xfId="795" builtinId="9" hidden="1"/>
    <cellStyle name="Followed Hyperlink" xfId="787" builtinId="9" hidden="1"/>
    <cellStyle name="Followed Hyperlink" xfId="779" builtinId="9" hidden="1"/>
    <cellStyle name="Followed Hyperlink" xfId="771" builtinId="9" hidden="1"/>
    <cellStyle name="Followed Hyperlink" xfId="763" builtinId="9" hidden="1"/>
    <cellStyle name="Followed Hyperlink" xfId="755" builtinId="9" hidden="1"/>
    <cellStyle name="Followed Hyperlink" xfId="747" builtinId="9" hidden="1"/>
    <cellStyle name="Followed Hyperlink" xfId="739" builtinId="9" hidden="1"/>
    <cellStyle name="Followed Hyperlink" xfId="731" builtinId="9" hidden="1"/>
    <cellStyle name="Followed Hyperlink" xfId="723" builtinId="9" hidden="1"/>
    <cellStyle name="Followed Hyperlink" xfId="715" builtinId="9" hidden="1"/>
    <cellStyle name="Followed Hyperlink" xfId="707" builtinId="9" hidden="1"/>
    <cellStyle name="Followed Hyperlink" xfId="699" builtinId="9" hidden="1"/>
    <cellStyle name="Followed Hyperlink" xfId="691" builtinId="9" hidden="1"/>
    <cellStyle name="Followed Hyperlink" xfId="683" builtinId="9" hidden="1"/>
    <cellStyle name="Followed Hyperlink" xfId="675" builtinId="9" hidden="1"/>
    <cellStyle name="Followed Hyperlink" xfId="667" builtinId="9" hidden="1"/>
    <cellStyle name="Followed Hyperlink" xfId="659" builtinId="9" hidden="1"/>
    <cellStyle name="Followed Hyperlink" xfId="651" builtinId="9" hidden="1"/>
    <cellStyle name="Followed Hyperlink" xfId="643" builtinId="9" hidden="1"/>
    <cellStyle name="Followed Hyperlink" xfId="635" builtinId="9" hidden="1"/>
    <cellStyle name="Followed Hyperlink" xfId="627" builtinId="9" hidden="1"/>
    <cellStyle name="Followed Hyperlink" xfId="619" builtinId="9" hidden="1"/>
    <cellStyle name="Followed Hyperlink" xfId="611" builtinId="9" hidden="1"/>
    <cellStyle name="Followed Hyperlink" xfId="603" builtinId="9" hidden="1"/>
    <cellStyle name="Followed Hyperlink" xfId="595" builtinId="9" hidden="1"/>
    <cellStyle name="Followed Hyperlink" xfId="587" builtinId="9" hidden="1"/>
    <cellStyle name="Followed Hyperlink" xfId="579" builtinId="9" hidden="1"/>
    <cellStyle name="Followed Hyperlink" xfId="571" builtinId="9" hidden="1"/>
    <cellStyle name="Followed Hyperlink" xfId="563" builtinId="9" hidden="1"/>
    <cellStyle name="Followed Hyperlink" xfId="555" builtinId="9" hidden="1"/>
    <cellStyle name="Followed Hyperlink" xfId="547" builtinId="9" hidden="1"/>
    <cellStyle name="Followed Hyperlink" xfId="539" builtinId="9" hidden="1"/>
    <cellStyle name="Followed Hyperlink" xfId="531" builtinId="9" hidden="1"/>
    <cellStyle name="Followed Hyperlink" xfId="523" builtinId="9" hidden="1"/>
    <cellStyle name="Followed Hyperlink" xfId="515" builtinId="9" hidden="1"/>
    <cellStyle name="Followed Hyperlink" xfId="507" builtinId="9" hidden="1"/>
    <cellStyle name="Followed Hyperlink" xfId="499" builtinId="9" hidden="1"/>
    <cellStyle name="Followed Hyperlink" xfId="491" builtinId="9" hidden="1"/>
    <cellStyle name="Followed Hyperlink" xfId="483" builtinId="9" hidden="1"/>
    <cellStyle name="Followed Hyperlink" xfId="475" builtinId="9" hidden="1"/>
    <cellStyle name="Followed Hyperlink" xfId="467" builtinId="9" hidden="1"/>
    <cellStyle name="Followed Hyperlink" xfId="459" builtinId="9" hidden="1"/>
    <cellStyle name="Followed Hyperlink" xfId="451" builtinId="9" hidden="1"/>
    <cellStyle name="Followed Hyperlink" xfId="443" builtinId="9" hidden="1"/>
    <cellStyle name="Followed Hyperlink" xfId="435" builtinId="9" hidden="1"/>
    <cellStyle name="Followed Hyperlink" xfId="427" builtinId="9" hidden="1"/>
    <cellStyle name="Followed Hyperlink" xfId="419" builtinId="9" hidden="1"/>
    <cellStyle name="Followed Hyperlink" xfId="411" builtinId="9" hidden="1"/>
    <cellStyle name="Followed Hyperlink" xfId="403" builtinId="9" hidden="1"/>
    <cellStyle name="Followed Hyperlink" xfId="395" builtinId="9" hidden="1"/>
    <cellStyle name="Followed Hyperlink" xfId="387" builtinId="9" hidden="1"/>
    <cellStyle name="Followed Hyperlink" xfId="379" builtinId="9" hidden="1"/>
    <cellStyle name="Followed Hyperlink" xfId="371" builtinId="9" hidden="1"/>
    <cellStyle name="Followed Hyperlink" xfId="363" builtinId="9" hidden="1"/>
    <cellStyle name="Followed Hyperlink" xfId="355" builtinId="9" hidden="1"/>
    <cellStyle name="Followed Hyperlink" xfId="347" builtinId="9" hidden="1"/>
    <cellStyle name="Followed Hyperlink" xfId="339" builtinId="9" hidden="1"/>
    <cellStyle name="Followed Hyperlink" xfId="331" builtinId="9" hidden="1"/>
    <cellStyle name="Followed Hyperlink" xfId="323" builtinId="9" hidden="1"/>
    <cellStyle name="Followed Hyperlink" xfId="315" builtinId="9" hidden="1"/>
    <cellStyle name="Followed Hyperlink" xfId="307" builtinId="9" hidden="1"/>
    <cellStyle name="Followed Hyperlink" xfId="299" builtinId="9" hidden="1"/>
    <cellStyle name="Followed Hyperlink" xfId="291" builtinId="9" hidden="1"/>
    <cellStyle name="Followed Hyperlink" xfId="283" builtinId="9" hidden="1"/>
    <cellStyle name="Followed Hyperlink" xfId="275" builtinId="9" hidden="1"/>
    <cellStyle name="Followed Hyperlink" xfId="267" builtinId="9" hidden="1"/>
    <cellStyle name="Followed Hyperlink" xfId="259" builtinId="9" hidden="1"/>
    <cellStyle name="Followed Hyperlink" xfId="251" builtinId="9" hidden="1"/>
    <cellStyle name="Followed Hyperlink" xfId="243" builtinId="9" hidden="1"/>
    <cellStyle name="Followed Hyperlink" xfId="235" builtinId="9" hidden="1"/>
    <cellStyle name="Followed Hyperlink" xfId="227" builtinId="9" hidden="1"/>
    <cellStyle name="Followed Hyperlink" xfId="219" builtinId="9" hidden="1"/>
    <cellStyle name="Followed Hyperlink" xfId="211" builtinId="9" hidden="1"/>
    <cellStyle name="Followed Hyperlink" xfId="203" builtinId="9" hidden="1"/>
    <cellStyle name="Followed Hyperlink" xfId="195" builtinId="9" hidden="1"/>
    <cellStyle name="Followed Hyperlink" xfId="187" builtinId="9" hidden="1"/>
    <cellStyle name="Followed Hyperlink" xfId="179" builtinId="9" hidden="1"/>
    <cellStyle name="Followed Hyperlink" xfId="171" builtinId="9" hidden="1"/>
    <cellStyle name="Followed Hyperlink" xfId="163" builtinId="9" hidden="1"/>
    <cellStyle name="Followed Hyperlink" xfId="155" builtinId="9" hidden="1"/>
    <cellStyle name="Followed Hyperlink" xfId="147" builtinId="9" hidden="1"/>
    <cellStyle name="Followed Hyperlink" xfId="139" builtinId="9" hidden="1"/>
    <cellStyle name="Followed Hyperlink" xfId="131" builtinId="9" hidden="1"/>
    <cellStyle name="Followed Hyperlink" xfId="123" builtinId="9" hidden="1"/>
    <cellStyle name="Followed Hyperlink" xfId="115" builtinId="9" hidden="1"/>
    <cellStyle name="Followed Hyperlink" xfId="107" builtinId="9" hidden="1"/>
    <cellStyle name="Followed Hyperlink" xfId="99" builtinId="9" hidden="1"/>
    <cellStyle name="Followed Hyperlink" xfId="91" builtinId="9" hidden="1"/>
    <cellStyle name="Followed Hyperlink" xfId="83" builtinId="9" hidden="1"/>
    <cellStyle name="Followed Hyperlink" xfId="75" builtinId="9" hidden="1"/>
    <cellStyle name="Followed Hyperlink" xfId="67" builtinId="9" hidden="1"/>
    <cellStyle name="Followed Hyperlink" xfId="27" builtinId="9" hidden="1"/>
    <cellStyle name="Followed Hyperlink" xfId="33" builtinId="9" hidden="1"/>
    <cellStyle name="Followed Hyperlink" xfId="37" builtinId="9" hidden="1"/>
    <cellStyle name="Followed Hyperlink" xfId="43" builtinId="9" hidden="1"/>
    <cellStyle name="Followed Hyperlink" xfId="49" builtinId="9" hidden="1"/>
    <cellStyle name="Followed Hyperlink" xfId="53" builtinId="9" hidden="1"/>
    <cellStyle name="Followed Hyperlink" xfId="59" builtinId="9" hidden="1"/>
    <cellStyle name="Followed Hyperlink" xfId="65" builtinId="9" hidden="1"/>
    <cellStyle name="Followed Hyperlink" xfId="55" builtinId="9" hidden="1"/>
    <cellStyle name="Followed Hyperlink" xfId="39" builtinId="9" hidden="1"/>
    <cellStyle name="Followed Hyperlink" xfId="23" builtinId="9" hidden="1"/>
    <cellStyle name="Followed Hyperlink" xfId="13" builtinId="9" hidden="1"/>
    <cellStyle name="Followed Hyperlink" xfId="19" builtinId="9" hidden="1"/>
    <cellStyle name="Followed Hyperlink" xfId="15" builtinId="9" hidden="1"/>
    <cellStyle name="Followed Hyperlink" xfId="9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21" builtinId="9" hidden="1"/>
    <cellStyle name="Followed Hyperlink" xfId="17" builtinId="9" hidden="1"/>
    <cellStyle name="Followed Hyperlink" xfId="11" builtinId="9" hidden="1"/>
    <cellStyle name="Followed Hyperlink" xfId="31" builtinId="9" hidden="1"/>
    <cellStyle name="Followed Hyperlink" xfId="47" builtinId="9" hidden="1"/>
    <cellStyle name="Followed Hyperlink" xfId="63" builtinId="9" hidden="1"/>
    <cellStyle name="Followed Hyperlink" xfId="61" builtinId="9" hidden="1"/>
    <cellStyle name="Followed Hyperlink" xfId="57" builtinId="9" hidden="1"/>
    <cellStyle name="Followed Hyperlink" xfId="51" builtinId="9" hidden="1"/>
    <cellStyle name="Followed Hyperlink" xfId="45" builtinId="9" hidden="1"/>
    <cellStyle name="Followed Hyperlink" xfId="41" builtinId="9" hidden="1"/>
    <cellStyle name="Followed Hyperlink" xfId="35" builtinId="9" hidden="1"/>
    <cellStyle name="Followed Hyperlink" xfId="29" builtinId="9" hidden="1"/>
    <cellStyle name="Followed Hyperlink" xfId="25" builtinId="9" hidden="1"/>
    <cellStyle name="Followed Hyperlink" xfId="71" builtinId="9" hidden="1"/>
    <cellStyle name="Followed Hyperlink" xfId="79" builtinId="9" hidden="1"/>
    <cellStyle name="Followed Hyperlink" xfId="87" builtinId="9" hidden="1"/>
    <cellStyle name="Followed Hyperlink" xfId="95" builtinId="9" hidden="1"/>
    <cellStyle name="Followed Hyperlink" xfId="103" builtinId="9" hidden="1"/>
    <cellStyle name="Followed Hyperlink" xfId="111" builtinId="9" hidden="1"/>
    <cellStyle name="Followed Hyperlink" xfId="119" builtinId="9" hidden="1"/>
    <cellStyle name="Followed Hyperlink" xfId="127" builtinId="9" hidden="1"/>
    <cellStyle name="Followed Hyperlink" xfId="135" builtinId="9" hidden="1"/>
    <cellStyle name="Followed Hyperlink" xfId="143" builtinId="9" hidden="1"/>
    <cellStyle name="Followed Hyperlink" xfId="151" builtinId="9" hidden="1"/>
    <cellStyle name="Followed Hyperlink" xfId="159" builtinId="9" hidden="1"/>
    <cellStyle name="Followed Hyperlink" xfId="167" builtinId="9" hidden="1"/>
    <cellStyle name="Followed Hyperlink" xfId="175" builtinId="9" hidden="1"/>
    <cellStyle name="Followed Hyperlink" xfId="183" builtinId="9" hidden="1"/>
    <cellStyle name="Followed Hyperlink" xfId="191" builtinId="9" hidden="1"/>
    <cellStyle name="Followed Hyperlink" xfId="199" builtinId="9" hidden="1"/>
    <cellStyle name="Followed Hyperlink" xfId="207" builtinId="9" hidden="1"/>
    <cellStyle name="Followed Hyperlink" xfId="215" builtinId="9" hidden="1"/>
    <cellStyle name="Followed Hyperlink" xfId="223" builtinId="9" hidden="1"/>
    <cellStyle name="Followed Hyperlink" xfId="231" builtinId="9" hidden="1"/>
    <cellStyle name="Followed Hyperlink" xfId="239" builtinId="9" hidden="1"/>
    <cellStyle name="Followed Hyperlink" xfId="247" builtinId="9" hidden="1"/>
    <cellStyle name="Followed Hyperlink" xfId="255" builtinId="9" hidden="1"/>
    <cellStyle name="Followed Hyperlink" xfId="263" builtinId="9" hidden="1"/>
    <cellStyle name="Followed Hyperlink" xfId="271" builtinId="9" hidden="1"/>
    <cellStyle name="Followed Hyperlink" xfId="279" builtinId="9" hidden="1"/>
    <cellStyle name="Followed Hyperlink" xfId="287" builtinId="9" hidden="1"/>
    <cellStyle name="Followed Hyperlink" xfId="295" builtinId="9" hidden="1"/>
    <cellStyle name="Followed Hyperlink" xfId="303" builtinId="9" hidden="1"/>
    <cellStyle name="Followed Hyperlink" xfId="311" builtinId="9" hidden="1"/>
    <cellStyle name="Followed Hyperlink" xfId="319" builtinId="9" hidden="1"/>
    <cellStyle name="Followed Hyperlink" xfId="327" builtinId="9" hidden="1"/>
    <cellStyle name="Followed Hyperlink" xfId="335" builtinId="9" hidden="1"/>
    <cellStyle name="Followed Hyperlink" xfId="343" builtinId="9" hidden="1"/>
    <cellStyle name="Followed Hyperlink" xfId="351" builtinId="9" hidden="1"/>
    <cellStyle name="Followed Hyperlink" xfId="359" builtinId="9" hidden="1"/>
    <cellStyle name="Followed Hyperlink" xfId="367" builtinId="9" hidden="1"/>
    <cellStyle name="Followed Hyperlink" xfId="375" builtinId="9" hidden="1"/>
    <cellStyle name="Followed Hyperlink" xfId="383" builtinId="9" hidden="1"/>
    <cellStyle name="Followed Hyperlink" xfId="391" builtinId="9" hidden="1"/>
    <cellStyle name="Followed Hyperlink" xfId="399" builtinId="9" hidden="1"/>
    <cellStyle name="Followed Hyperlink" xfId="407" builtinId="9" hidden="1"/>
    <cellStyle name="Followed Hyperlink" xfId="415" builtinId="9" hidden="1"/>
    <cellStyle name="Followed Hyperlink" xfId="423" builtinId="9" hidden="1"/>
    <cellStyle name="Followed Hyperlink" xfId="431" builtinId="9" hidden="1"/>
    <cellStyle name="Followed Hyperlink" xfId="439" builtinId="9" hidden="1"/>
    <cellStyle name="Followed Hyperlink" xfId="447" builtinId="9" hidden="1"/>
    <cellStyle name="Followed Hyperlink" xfId="455" builtinId="9" hidden="1"/>
    <cellStyle name="Followed Hyperlink" xfId="463" builtinId="9" hidden="1"/>
    <cellStyle name="Followed Hyperlink" xfId="471" builtinId="9" hidden="1"/>
    <cellStyle name="Followed Hyperlink" xfId="479" builtinId="9" hidden="1"/>
    <cellStyle name="Followed Hyperlink" xfId="487" builtinId="9" hidden="1"/>
    <cellStyle name="Followed Hyperlink" xfId="495" builtinId="9" hidden="1"/>
    <cellStyle name="Followed Hyperlink" xfId="503" builtinId="9" hidden="1"/>
    <cellStyle name="Followed Hyperlink" xfId="511" builtinId="9" hidden="1"/>
    <cellStyle name="Followed Hyperlink" xfId="519" builtinId="9" hidden="1"/>
    <cellStyle name="Followed Hyperlink" xfId="527" builtinId="9" hidden="1"/>
    <cellStyle name="Followed Hyperlink" xfId="535" builtinId="9" hidden="1"/>
    <cellStyle name="Followed Hyperlink" xfId="543" builtinId="9" hidden="1"/>
    <cellStyle name="Followed Hyperlink" xfId="551" builtinId="9" hidden="1"/>
    <cellStyle name="Followed Hyperlink" xfId="559" builtinId="9" hidden="1"/>
    <cellStyle name="Followed Hyperlink" xfId="567" builtinId="9" hidden="1"/>
    <cellStyle name="Followed Hyperlink" xfId="575" builtinId="9" hidden="1"/>
    <cellStyle name="Followed Hyperlink" xfId="583" builtinId="9" hidden="1"/>
    <cellStyle name="Followed Hyperlink" xfId="591" builtinId="9" hidden="1"/>
    <cellStyle name="Followed Hyperlink" xfId="599" builtinId="9" hidden="1"/>
    <cellStyle name="Followed Hyperlink" xfId="607" builtinId="9" hidden="1"/>
    <cellStyle name="Followed Hyperlink" xfId="615" builtinId="9" hidden="1"/>
    <cellStyle name="Followed Hyperlink" xfId="623" builtinId="9" hidden="1"/>
    <cellStyle name="Followed Hyperlink" xfId="631" builtinId="9" hidden="1"/>
    <cellStyle name="Followed Hyperlink" xfId="639" builtinId="9" hidden="1"/>
    <cellStyle name="Followed Hyperlink" xfId="647" builtinId="9" hidden="1"/>
    <cellStyle name="Followed Hyperlink" xfId="655" builtinId="9" hidden="1"/>
    <cellStyle name="Followed Hyperlink" xfId="663" builtinId="9" hidden="1"/>
    <cellStyle name="Followed Hyperlink" xfId="671" builtinId="9" hidden="1"/>
    <cellStyle name="Followed Hyperlink" xfId="679" builtinId="9" hidden="1"/>
    <cellStyle name="Followed Hyperlink" xfId="687" builtinId="9" hidden="1"/>
    <cellStyle name="Followed Hyperlink" xfId="695" builtinId="9" hidden="1"/>
    <cellStyle name="Followed Hyperlink" xfId="703" builtinId="9" hidden="1"/>
    <cellStyle name="Followed Hyperlink" xfId="711" builtinId="9" hidden="1"/>
    <cellStyle name="Followed Hyperlink" xfId="719" builtinId="9" hidden="1"/>
    <cellStyle name="Followed Hyperlink" xfId="727" builtinId="9" hidden="1"/>
    <cellStyle name="Followed Hyperlink" xfId="735" builtinId="9" hidden="1"/>
    <cellStyle name="Followed Hyperlink" xfId="743" builtinId="9" hidden="1"/>
    <cellStyle name="Followed Hyperlink" xfId="751" builtinId="9" hidden="1"/>
    <cellStyle name="Followed Hyperlink" xfId="759" builtinId="9" hidden="1"/>
    <cellStyle name="Followed Hyperlink" xfId="767" builtinId="9" hidden="1"/>
    <cellStyle name="Followed Hyperlink" xfId="775" builtinId="9" hidden="1"/>
    <cellStyle name="Followed Hyperlink" xfId="783" builtinId="9" hidden="1"/>
    <cellStyle name="Followed Hyperlink" xfId="791" builtinId="9" hidden="1"/>
    <cellStyle name="Followed Hyperlink" xfId="799" builtinId="9" hidden="1"/>
    <cellStyle name="Followed Hyperlink" xfId="808" builtinId="9" hidden="1"/>
    <cellStyle name="Followed Hyperlink" xfId="816" builtinId="9" hidden="1"/>
    <cellStyle name="Followed Hyperlink" xfId="824" builtinId="9" hidden="1"/>
    <cellStyle name="Followed Hyperlink" xfId="832" builtinId="9" hidden="1"/>
    <cellStyle name="Followed Hyperlink" xfId="840" builtinId="9" hidden="1"/>
    <cellStyle name="Followed Hyperlink" xfId="848" builtinId="9" hidden="1"/>
    <cellStyle name="Followed Hyperlink" xfId="856" builtinId="9" hidden="1"/>
    <cellStyle name="Followed Hyperlink" xfId="864" builtinId="9" hidden="1"/>
    <cellStyle name="Followed Hyperlink" xfId="872" builtinId="9" hidden="1"/>
    <cellStyle name="Followed Hyperlink" xfId="880" builtinId="9" hidden="1"/>
    <cellStyle name="Followed Hyperlink" xfId="888" builtinId="9" hidden="1"/>
    <cellStyle name="Followed Hyperlink" xfId="896" builtinId="9" hidden="1"/>
    <cellStyle name="Followed Hyperlink" xfId="904" builtinId="9" hidden="1"/>
    <cellStyle name="Followed Hyperlink" xfId="912" builtinId="9" hidden="1"/>
    <cellStyle name="Followed Hyperlink" xfId="920" builtinId="9" hidden="1"/>
    <cellStyle name="Followed Hyperlink" xfId="928" builtinId="9" hidden="1"/>
    <cellStyle name="Followed Hyperlink" xfId="936" builtinId="9" hidden="1"/>
    <cellStyle name="Followed Hyperlink" xfId="944" builtinId="9" hidden="1"/>
    <cellStyle name="Followed Hyperlink" xfId="952" builtinId="9" hidden="1"/>
    <cellStyle name="Followed Hyperlink" xfId="960" builtinId="9" hidden="1"/>
    <cellStyle name="Followed Hyperlink" xfId="968" builtinId="9" hidden="1"/>
    <cellStyle name="Followed Hyperlink" xfId="976" builtinId="9" hidden="1"/>
    <cellStyle name="Followed Hyperlink" xfId="984" builtinId="9" hidden="1"/>
    <cellStyle name="Followed Hyperlink" xfId="992" builtinId="9" hidden="1"/>
    <cellStyle name="Followed Hyperlink" xfId="1000" builtinId="9" hidden="1"/>
    <cellStyle name="Followed Hyperlink" xfId="1008" builtinId="9" hidden="1"/>
    <cellStyle name="Followed Hyperlink" xfId="1016" builtinId="9" hidden="1"/>
    <cellStyle name="Followed Hyperlink" xfId="1024" builtinId="9" hidden="1"/>
    <cellStyle name="Followed Hyperlink" xfId="1032" builtinId="9" hidden="1"/>
    <cellStyle name="Followed Hyperlink" xfId="1040" builtinId="9" hidden="1"/>
    <cellStyle name="Followed Hyperlink" xfId="1048" builtinId="9" hidden="1"/>
    <cellStyle name="Followed Hyperlink" xfId="1056" builtinId="9" hidden="1"/>
    <cellStyle name="Followed Hyperlink" xfId="1064" builtinId="9" hidden="1"/>
    <cellStyle name="Followed Hyperlink" xfId="1072" builtinId="9" hidden="1"/>
    <cellStyle name="Followed Hyperlink" xfId="1080" builtinId="9" hidden="1"/>
    <cellStyle name="Followed Hyperlink" xfId="1088" builtinId="9" hidden="1"/>
    <cellStyle name="Followed Hyperlink" xfId="1096" builtinId="9" hidden="1"/>
    <cellStyle name="Followed Hyperlink" xfId="1104" builtinId="9" hidden="1"/>
    <cellStyle name="Followed Hyperlink" xfId="1112" builtinId="9" hidden="1"/>
    <cellStyle name="Followed Hyperlink" xfId="1120" builtinId="9" hidden="1"/>
    <cellStyle name="Followed Hyperlink" xfId="1128" builtinId="9" hidden="1"/>
    <cellStyle name="Followed Hyperlink" xfId="1136" builtinId="9" hidden="1"/>
    <cellStyle name="Followed Hyperlink" xfId="1144" builtinId="9" hidden="1"/>
    <cellStyle name="Followed Hyperlink" xfId="1152" builtinId="9" hidden="1"/>
    <cellStyle name="Followed Hyperlink" xfId="1160" builtinId="9" hidden="1"/>
    <cellStyle name="Followed Hyperlink" xfId="1168" builtinId="9" hidden="1"/>
    <cellStyle name="Followed Hyperlink" xfId="1176" builtinId="9" hidden="1"/>
    <cellStyle name="Followed Hyperlink" xfId="1184" builtinId="9" hidden="1"/>
    <cellStyle name="Followed Hyperlink" xfId="1192" builtinId="9" hidden="1"/>
    <cellStyle name="Followed Hyperlink" xfId="1200" builtinId="9" hidden="1"/>
    <cellStyle name="Followed Hyperlink" xfId="1208" builtinId="9" hidden="1"/>
    <cellStyle name="Followed Hyperlink" xfId="1216" builtinId="9" hidden="1"/>
    <cellStyle name="Followed Hyperlink" xfId="1224" builtinId="9" hidden="1"/>
    <cellStyle name="Followed Hyperlink" xfId="1232" builtinId="9" hidden="1"/>
    <cellStyle name="Followed Hyperlink" xfId="1240" builtinId="9" hidden="1"/>
    <cellStyle name="Followed Hyperlink" xfId="1248" builtinId="9" hidden="1"/>
    <cellStyle name="Followed Hyperlink" xfId="1256" builtinId="9" hidden="1"/>
    <cellStyle name="Followed Hyperlink" xfId="1264" builtinId="9" hidden="1"/>
    <cellStyle name="Followed Hyperlink" xfId="1272" builtinId="9" hidden="1"/>
    <cellStyle name="Followed Hyperlink" xfId="1280" builtinId="9" hidden="1"/>
    <cellStyle name="Followed Hyperlink" xfId="1288" builtinId="9" hidden="1"/>
    <cellStyle name="Followed Hyperlink" xfId="1296" builtinId="9" hidden="1"/>
    <cellStyle name="Followed Hyperlink" xfId="1304" builtinId="9" hidden="1"/>
    <cellStyle name="Followed Hyperlink" xfId="1312" builtinId="9" hidden="1"/>
    <cellStyle name="Followed Hyperlink" xfId="1320" builtinId="9" hidden="1"/>
    <cellStyle name="Followed Hyperlink" xfId="1328" builtinId="9" hidden="1"/>
    <cellStyle name="Followed Hyperlink" xfId="1336" builtinId="9" hidden="1"/>
    <cellStyle name="Followed Hyperlink" xfId="1344" builtinId="9" hidden="1"/>
    <cellStyle name="Followed Hyperlink" xfId="1352" builtinId="9" hidden="1"/>
    <cellStyle name="Followed Hyperlink" xfId="1360" builtinId="9" hidden="1"/>
    <cellStyle name="Followed Hyperlink" xfId="1368" builtinId="9" hidden="1"/>
    <cellStyle name="Followed Hyperlink" xfId="1376" builtinId="9" hidden="1"/>
    <cellStyle name="Followed Hyperlink" xfId="1384" builtinId="9" hidden="1"/>
    <cellStyle name="Followed Hyperlink" xfId="1392" builtinId="9" hidden="1"/>
    <cellStyle name="Followed Hyperlink" xfId="1400" builtinId="9" hidden="1"/>
    <cellStyle name="Followed Hyperlink" xfId="1408" builtinId="9" hidden="1"/>
    <cellStyle name="Followed Hyperlink" xfId="1416" builtinId="9" hidden="1"/>
    <cellStyle name="Followed Hyperlink" xfId="1424" builtinId="9" hidden="1"/>
    <cellStyle name="Followed Hyperlink" xfId="1432" builtinId="9" hidden="1"/>
    <cellStyle name="Followed Hyperlink" xfId="1440" builtinId="9" hidden="1"/>
    <cellStyle name="Followed Hyperlink" xfId="1448" builtinId="9" hidden="1"/>
    <cellStyle name="Followed Hyperlink" xfId="1456" builtinId="9" hidden="1"/>
    <cellStyle name="Followed Hyperlink" xfId="1464" builtinId="9" hidden="1"/>
    <cellStyle name="Followed Hyperlink" xfId="1472" builtinId="9" hidden="1"/>
    <cellStyle name="Followed Hyperlink" xfId="1480" builtinId="9" hidden="1"/>
    <cellStyle name="Followed Hyperlink" xfId="1488" builtinId="9" hidden="1"/>
    <cellStyle name="Followed Hyperlink" xfId="1496" builtinId="9" hidden="1"/>
    <cellStyle name="Followed Hyperlink" xfId="1504" builtinId="9" hidden="1"/>
    <cellStyle name="Followed Hyperlink" xfId="1512" builtinId="9" hidden="1"/>
    <cellStyle name="Followed Hyperlink" xfId="1520" builtinId="9" hidden="1"/>
    <cellStyle name="Followed Hyperlink" xfId="1528" builtinId="9" hidden="1"/>
    <cellStyle name="Followed Hyperlink" xfId="1536" builtinId="9" hidden="1"/>
    <cellStyle name="Followed Hyperlink" xfId="1544" builtinId="9" hidden="1"/>
    <cellStyle name="Followed Hyperlink" xfId="1552" builtinId="9" hidden="1"/>
    <cellStyle name="Followed Hyperlink" xfId="1560" builtinId="9" hidden="1"/>
    <cellStyle name="Followed Hyperlink" xfId="1568" builtinId="9" hidden="1"/>
    <cellStyle name="Followed Hyperlink" xfId="1576" builtinId="9" hidden="1"/>
    <cellStyle name="Followed Hyperlink" xfId="1584" builtinId="9" hidden="1"/>
    <cellStyle name="Followed Hyperlink" xfId="1592" builtinId="9" hidden="1"/>
    <cellStyle name="Followed Hyperlink" xfId="1600" builtinId="9" hidden="1"/>
    <cellStyle name="Followed Hyperlink" xfId="1608" builtinId="9" hidden="1"/>
    <cellStyle name="Followed Hyperlink" xfId="1616" builtinId="9" hidden="1"/>
    <cellStyle name="Followed Hyperlink" xfId="1624" builtinId="9" hidden="1"/>
    <cellStyle name="Followed Hyperlink" xfId="1632" builtinId="9" hidden="1"/>
    <cellStyle name="Followed Hyperlink" xfId="1640" builtinId="9" hidden="1"/>
    <cellStyle name="Followed Hyperlink" xfId="1648" builtinId="9" hidden="1"/>
    <cellStyle name="Followed Hyperlink" xfId="1656" builtinId="9" hidden="1"/>
    <cellStyle name="Followed Hyperlink" xfId="1664" builtinId="9" hidden="1"/>
    <cellStyle name="Followed Hyperlink" xfId="1672" builtinId="9" hidden="1"/>
    <cellStyle name="Followed Hyperlink" xfId="1680" builtinId="9" hidden="1"/>
    <cellStyle name="Followed Hyperlink" xfId="1688" builtinId="9" hidden="1"/>
    <cellStyle name="Followed Hyperlink" xfId="1696" builtinId="9" hidden="1"/>
    <cellStyle name="Followed Hyperlink" xfId="1704" builtinId="9" hidden="1"/>
    <cellStyle name="Followed Hyperlink" xfId="1712" builtinId="9" hidden="1"/>
    <cellStyle name="Followed Hyperlink" xfId="1720" builtinId="9" hidden="1"/>
    <cellStyle name="Followed Hyperlink" xfId="1728" builtinId="9" hidden="1"/>
    <cellStyle name="Followed Hyperlink" xfId="1736" builtinId="9" hidden="1"/>
    <cellStyle name="Followed Hyperlink" xfId="1744" builtinId="9" hidden="1"/>
    <cellStyle name="Followed Hyperlink" xfId="1752" builtinId="9" hidden="1"/>
    <cellStyle name="Followed Hyperlink" xfId="1760" builtinId="9" hidden="1"/>
    <cellStyle name="Followed Hyperlink" xfId="1768" builtinId="9" hidden="1"/>
    <cellStyle name="Followed Hyperlink" xfId="1776" builtinId="9" hidden="1"/>
    <cellStyle name="Followed Hyperlink" xfId="1784" builtinId="9" hidden="1"/>
    <cellStyle name="Followed Hyperlink" xfId="1792" builtinId="9" hidden="1"/>
    <cellStyle name="Followed Hyperlink" xfId="1800" builtinId="9" hidden="1"/>
    <cellStyle name="Followed Hyperlink" xfId="1808" builtinId="9" hidden="1"/>
    <cellStyle name="Followed Hyperlink" xfId="1816" builtinId="9" hidden="1"/>
    <cellStyle name="Followed Hyperlink" xfId="1824" builtinId="9" hidden="1"/>
    <cellStyle name="Followed Hyperlink" xfId="1832" builtinId="9" hidden="1"/>
    <cellStyle name="Followed Hyperlink" xfId="1840" builtinId="9" hidden="1"/>
    <cellStyle name="Followed Hyperlink" xfId="1848" builtinId="9" hidden="1"/>
    <cellStyle name="Followed Hyperlink" xfId="1856" builtinId="9" hidden="1"/>
    <cellStyle name="Followed Hyperlink" xfId="1864" builtinId="9" hidden="1"/>
    <cellStyle name="Followed Hyperlink" xfId="1872" builtinId="9" hidden="1"/>
    <cellStyle name="Followed Hyperlink" xfId="1880" builtinId="9" hidden="1"/>
    <cellStyle name="Followed Hyperlink" xfId="1888" builtinId="9" hidden="1"/>
    <cellStyle name="Followed Hyperlink" xfId="1896" builtinId="9" hidden="1"/>
    <cellStyle name="Followed Hyperlink" xfId="1904" builtinId="9" hidden="1"/>
    <cellStyle name="Followed Hyperlink" xfId="1912" builtinId="9" hidden="1"/>
    <cellStyle name="Followed Hyperlink" xfId="1920" builtinId="9" hidden="1"/>
    <cellStyle name="Followed Hyperlink" xfId="1928" builtinId="9" hidden="1"/>
    <cellStyle name="Followed Hyperlink" xfId="1936" builtinId="9" hidden="1"/>
    <cellStyle name="Followed Hyperlink" xfId="1944" builtinId="9" hidden="1"/>
    <cellStyle name="Followed Hyperlink" xfId="1952" builtinId="9" hidden="1"/>
    <cellStyle name="Followed Hyperlink" xfId="1960" builtinId="9" hidden="1"/>
    <cellStyle name="Followed Hyperlink" xfId="1968" builtinId="9" hidden="1"/>
    <cellStyle name="Followed Hyperlink" xfId="1976" builtinId="9" hidden="1"/>
    <cellStyle name="Followed Hyperlink" xfId="1984" builtinId="9" hidden="1"/>
    <cellStyle name="Followed Hyperlink" xfId="1992" builtinId="9" hidden="1"/>
    <cellStyle name="Followed Hyperlink" xfId="2000" builtinId="9" hidden="1"/>
    <cellStyle name="Followed Hyperlink" xfId="2008" builtinId="9" hidden="1"/>
    <cellStyle name="Followed Hyperlink" xfId="2016" builtinId="9" hidden="1"/>
    <cellStyle name="Followed Hyperlink" xfId="2024" builtinId="9" hidden="1"/>
    <cellStyle name="Followed Hyperlink" xfId="2032" builtinId="9" hidden="1"/>
    <cellStyle name="Followed Hyperlink" xfId="2040" builtinId="9" hidden="1"/>
    <cellStyle name="Followed Hyperlink" xfId="2048" builtinId="9" hidden="1"/>
    <cellStyle name="Followed Hyperlink" xfId="2056" builtinId="9" hidden="1"/>
    <cellStyle name="Followed Hyperlink" xfId="2064" builtinId="9" hidden="1"/>
    <cellStyle name="Followed Hyperlink" xfId="2072" builtinId="9" hidden="1"/>
    <cellStyle name="Followed Hyperlink" xfId="2080" builtinId="9" hidden="1"/>
    <cellStyle name="Followed Hyperlink" xfId="2088" builtinId="9" hidden="1"/>
    <cellStyle name="Followed Hyperlink" xfId="2096" builtinId="9" hidden="1"/>
    <cellStyle name="Followed Hyperlink" xfId="2104" builtinId="9" hidden="1"/>
    <cellStyle name="Followed Hyperlink" xfId="2112" builtinId="9" hidden="1"/>
    <cellStyle name="Followed Hyperlink" xfId="2120" builtinId="9" hidden="1"/>
    <cellStyle name="Followed Hyperlink" xfId="2128" builtinId="9" hidden="1"/>
    <cellStyle name="Followed Hyperlink" xfId="2136" builtinId="9" hidden="1"/>
    <cellStyle name="Followed Hyperlink" xfId="2144" builtinId="9" hidden="1"/>
    <cellStyle name="Followed Hyperlink" xfId="2152" builtinId="9" hidden="1"/>
    <cellStyle name="Followed Hyperlink" xfId="2160" builtinId="9" hidden="1"/>
    <cellStyle name="Followed Hyperlink" xfId="2168" builtinId="9" hidden="1"/>
    <cellStyle name="Followed Hyperlink" xfId="2176" builtinId="9" hidden="1"/>
    <cellStyle name="Followed Hyperlink" xfId="2184" builtinId="9" hidden="1"/>
    <cellStyle name="Followed Hyperlink" xfId="2192" builtinId="9" hidden="1"/>
    <cellStyle name="Followed Hyperlink" xfId="2200" builtinId="9" hidden="1"/>
    <cellStyle name="Followed Hyperlink" xfId="2208" builtinId="9" hidden="1"/>
    <cellStyle name="Followed Hyperlink" xfId="2216" builtinId="9" hidden="1"/>
    <cellStyle name="Followed Hyperlink" xfId="2224" builtinId="9" hidden="1"/>
    <cellStyle name="Followed Hyperlink" xfId="2232" builtinId="9" hidden="1"/>
    <cellStyle name="Followed Hyperlink" xfId="2240" builtinId="9" hidden="1"/>
    <cellStyle name="Followed Hyperlink" xfId="2248" builtinId="9" hidden="1"/>
    <cellStyle name="Followed Hyperlink" xfId="2256" builtinId="9" hidden="1"/>
    <cellStyle name="Followed Hyperlink" xfId="2264" builtinId="9" hidden="1"/>
    <cellStyle name="Followed Hyperlink" xfId="2272" builtinId="9" hidden="1"/>
    <cellStyle name="Followed Hyperlink" xfId="2280" builtinId="9" hidden="1"/>
    <cellStyle name="Followed Hyperlink" xfId="2288" builtinId="9" hidden="1"/>
    <cellStyle name="Followed Hyperlink" xfId="2296" builtinId="9" hidden="1"/>
    <cellStyle name="Followed Hyperlink" xfId="2304" builtinId="9" hidden="1"/>
    <cellStyle name="Followed Hyperlink" xfId="2312" builtinId="9" hidden="1"/>
    <cellStyle name="Followed Hyperlink" xfId="2320" builtinId="9" hidden="1"/>
    <cellStyle name="Followed Hyperlink" xfId="2328" builtinId="9" hidden="1"/>
    <cellStyle name="Followed Hyperlink" xfId="2336" builtinId="9" hidden="1"/>
    <cellStyle name="Followed Hyperlink" xfId="2344" builtinId="9" hidden="1"/>
    <cellStyle name="Followed Hyperlink" xfId="2352" builtinId="9" hidden="1"/>
    <cellStyle name="Followed Hyperlink" xfId="2360" builtinId="9" hidden="1"/>
    <cellStyle name="Followed Hyperlink" xfId="2368" builtinId="9" hidden="1"/>
    <cellStyle name="Followed Hyperlink" xfId="2376" builtinId="9" hidden="1"/>
    <cellStyle name="Followed Hyperlink" xfId="2384" builtinId="9" hidden="1"/>
    <cellStyle name="Followed Hyperlink" xfId="2392" builtinId="9" hidden="1"/>
    <cellStyle name="Followed Hyperlink" xfId="2400" builtinId="9" hidden="1"/>
    <cellStyle name="Followed Hyperlink" xfId="2408" builtinId="9" hidden="1"/>
    <cellStyle name="Followed Hyperlink" xfId="2416" builtinId="9" hidden="1"/>
    <cellStyle name="Followed Hyperlink" xfId="2424" builtinId="9" hidden="1"/>
    <cellStyle name="Followed Hyperlink" xfId="2432" builtinId="9" hidden="1"/>
    <cellStyle name="Followed Hyperlink" xfId="2440" builtinId="9" hidden="1"/>
    <cellStyle name="Followed Hyperlink" xfId="2448" builtinId="9" hidden="1"/>
    <cellStyle name="Followed Hyperlink" xfId="2456" builtinId="9" hidden="1"/>
    <cellStyle name="Followed Hyperlink" xfId="2464" builtinId="9" hidden="1"/>
    <cellStyle name="Followed Hyperlink" xfId="2472" builtinId="9" hidden="1"/>
    <cellStyle name="Followed Hyperlink" xfId="2480" builtinId="9" hidden="1"/>
    <cellStyle name="Followed Hyperlink" xfId="2488" builtinId="9" hidden="1"/>
    <cellStyle name="Followed Hyperlink" xfId="2496" builtinId="9" hidden="1"/>
    <cellStyle name="Followed Hyperlink" xfId="2504" builtinId="9" hidden="1"/>
    <cellStyle name="Followed Hyperlink" xfId="2512" builtinId="9" hidden="1"/>
    <cellStyle name="Followed Hyperlink" xfId="2520" builtinId="9" hidden="1"/>
    <cellStyle name="Followed Hyperlink" xfId="2528" builtinId="9" hidden="1"/>
    <cellStyle name="Followed Hyperlink" xfId="2536" builtinId="9" hidden="1"/>
    <cellStyle name="Followed Hyperlink" xfId="2544" builtinId="9" hidden="1"/>
    <cellStyle name="Followed Hyperlink" xfId="2552" builtinId="9" hidden="1"/>
    <cellStyle name="Followed Hyperlink" xfId="2560" builtinId="9" hidden="1"/>
    <cellStyle name="Followed Hyperlink" xfId="2568" builtinId="9" hidden="1"/>
    <cellStyle name="Followed Hyperlink" xfId="2576" builtinId="9" hidden="1"/>
    <cellStyle name="Followed Hyperlink" xfId="2584" builtinId="9" hidden="1"/>
    <cellStyle name="Followed Hyperlink" xfId="2592" builtinId="9" hidden="1"/>
    <cellStyle name="Followed Hyperlink" xfId="2600" builtinId="9" hidden="1"/>
    <cellStyle name="Followed Hyperlink" xfId="2608" builtinId="9" hidden="1"/>
    <cellStyle name="Followed Hyperlink" xfId="2616" builtinId="9" hidden="1"/>
    <cellStyle name="Followed Hyperlink" xfId="2624" builtinId="9" hidden="1"/>
    <cellStyle name="Followed Hyperlink" xfId="2632" builtinId="9" hidden="1"/>
    <cellStyle name="Followed Hyperlink" xfId="2640" builtinId="9" hidden="1"/>
    <cellStyle name="Followed Hyperlink" xfId="2648" builtinId="9" hidden="1"/>
    <cellStyle name="Followed Hyperlink" xfId="2656" builtinId="9" hidden="1"/>
    <cellStyle name="Followed Hyperlink" xfId="2664" builtinId="9" hidden="1"/>
    <cellStyle name="Followed Hyperlink" xfId="2672" builtinId="9" hidden="1"/>
    <cellStyle name="Followed Hyperlink" xfId="2680" builtinId="9" hidden="1"/>
    <cellStyle name="Followed Hyperlink" xfId="2688" builtinId="9" hidden="1"/>
    <cellStyle name="Followed Hyperlink" xfId="2696" builtinId="9" hidden="1"/>
    <cellStyle name="Followed Hyperlink" xfId="2704" builtinId="9" hidden="1"/>
    <cellStyle name="Followed Hyperlink" xfId="2712" builtinId="9" hidden="1"/>
    <cellStyle name="Followed Hyperlink" xfId="2720" builtinId="9" hidden="1"/>
    <cellStyle name="Followed Hyperlink" xfId="2728" builtinId="9" hidden="1"/>
    <cellStyle name="Followed Hyperlink" xfId="2736" builtinId="9" hidden="1"/>
    <cellStyle name="Followed Hyperlink" xfId="2744" builtinId="9" hidden="1"/>
    <cellStyle name="Followed Hyperlink" xfId="2752" builtinId="9" hidden="1"/>
    <cellStyle name="Followed Hyperlink" xfId="2760" builtinId="9" hidden="1"/>
    <cellStyle name="Followed Hyperlink" xfId="2768" builtinId="9" hidden="1"/>
    <cellStyle name="Followed Hyperlink" xfId="2776" builtinId="9" hidden="1"/>
    <cellStyle name="Followed Hyperlink" xfId="2784" builtinId="9" hidden="1"/>
    <cellStyle name="Followed Hyperlink" xfId="2792" builtinId="9" hidden="1"/>
    <cellStyle name="Followed Hyperlink" xfId="2800" builtinId="9" hidden="1"/>
    <cellStyle name="Followed Hyperlink" xfId="2808" builtinId="9" hidden="1"/>
    <cellStyle name="Followed Hyperlink" xfId="2816" builtinId="9" hidden="1"/>
    <cellStyle name="Followed Hyperlink" xfId="2824" builtinId="9" hidden="1"/>
    <cellStyle name="Followed Hyperlink" xfId="2832" builtinId="9" hidden="1"/>
    <cellStyle name="Followed Hyperlink" xfId="2840" builtinId="9" hidden="1"/>
    <cellStyle name="Followed Hyperlink" xfId="2848" builtinId="9" hidden="1"/>
    <cellStyle name="Followed Hyperlink" xfId="2856" builtinId="9" hidden="1"/>
    <cellStyle name="Followed Hyperlink" xfId="2864" builtinId="9" hidden="1"/>
    <cellStyle name="Followed Hyperlink" xfId="2872" builtinId="9" hidden="1"/>
    <cellStyle name="Followed Hyperlink" xfId="2880" builtinId="9" hidden="1"/>
    <cellStyle name="Followed Hyperlink" xfId="2888" builtinId="9" hidden="1"/>
    <cellStyle name="Followed Hyperlink" xfId="2896" builtinId="9" hidden="1"/>
    <cellStyle name="Followed Hyperlink" xfId="2904" builtinId="9" hidden="1"/>
    <cellStyle name="Followed Hyperlink" xfId="2912" builtinId="9" hidden="1"/>
    <cellStyle name="Followed Hyperlink" xfId="2920" builtinId="9" hidden="1"/>
    <cellStyle name="Followed Hyperlink" xfId="2928" builtinId="9" hidden="1"/>
    <cellStyle name="Followed Hyperlink" xfId="2936" builtinId="9" hidden="1"/>
    <cellStyle name="Followed Hyperlink" xfId="2944" builtinId="9" hidden="1"/>
    <cellStyle name="Followed Hyperlink" xfId="2952" builtinId="9" hidden="1"/>
    <cellStyle name="Followed Hyperlink" xfId="2960" builtinId="9" hidden="1"/>
    <cellStyle name="Followed Hyperlink" xfId="2968" builtinId="9" hidden="1"/>
    <cellStyle name="Followed Hyperlink" xfId="2976" builtinId="9" hidden="1"/>
    <cellStyle name="Followed Hyperlink" xfId="2984" builtinId="9" hidden="1"/>
    <cellStyle name="Followed Hyperlink" xfId="2992" builtinId="9" hidden="1"/>
    <cellStyle name="Followed Hyperlink" xfId="3000" builtinId="9" hidden="1"/>
    <cellStyle name="Followed Hyperlink" xfId="3008" builtinId="9" hidden="1"/>
    <cellStyle name="Followed Hyperlink" xfId="3016" builtinId="9" hidden="1"/>
    <cellStyle name="Followed Hyperlink" xfId="3024" builtinId="9" hidden="1"/>
    <cellStyle name="Followed Hyperlink" xfId="3032" builtinId="9" hidden="1"/>
    <cellStyle name="Followed Hyperlink" xfId="3040" builtinId="9" hidden="1"/>
    <cellStyle name="Followed Hyperlink" xfId="3048" builtinId="9" hidden="1"/>
    <cellStyle name="Followed Hyperlink" xfId="3056" builtinId="9" hidden="1"/>
    <cellStyle name="Followed Hyperlink" xfId="3064" builtinId="9" hidden="1"/>
    <cellStyle name="Followed Hyperlink" xfId="3072" builtinId="9" hidden="1"/>
    <cellStyle name="Followed Hyperlink" xfId="3080" builtinId="9" hidden="1"/>
    <cellStyle name="Followed Hyperlink" xfId="3088" builtinId="9" hidden="1"/>
    <cellStyle name="Followed Hyperlink" xfId="3096" builtinId="9" hidden="1"/>
    <cellStyle name="Followed Hyperlink" xfId="3104" builtinId="9" hidden="1"/>
    <cellStyle name="Followed Hyperlink" xfId="3112" builtinId="9" hidden="1"/>
    <cellStyle name="Followed Hyperlink" xfId="3120" builtinId="9" hidden="1"/>
    <cellStyle name="Followed Hyperlink" xfId="3128" builtinId="9" hidden="1"/>
    <cellStyle name="Followed Hyperlink" xfId="3136" builtinId="9" hidden="1"/>
    <cellStyle name="Followed Hyperlink" xfId="3144" builtinId="9" hidden="1"/>
    <cellStyle name="Followed Hyperlink" xfId="3152" builtinId="9" hidden="1"/>
    <cellStyle name="Followed Hyperlink" xfId="3160" builtinId="9" hidden="1"/>
    <cellStyle name="Followed Hyperlink" xfId="3168" builtinId="9" hidden="1"/>
    <cellStyle name="Followed Hyperlink" xfId="3176" builtinId="9" hidden="1"/>
    <cellStyle name="Followed Hyperlink" xfId="3184" builtinId="9" hidden="1"/>
    <cellStyle name="Followed Hyperlink" xfId="3192" builtinId="9" hidden="1"/>
    <cellStyle name="Followed Hyperlink" xfId="3200" builtinId="9" hidden="1"/>
    <cellStyle name="Followed Hyperlink" xfId="3208" builtinId="9" hidden="1"/>
    <cellStyle name="Followed Hyperlink" xfId="3216" builtinId="9" hidden="1"/>
    <cellStyle name="Followed Hyperlink" xfId="3224" builtinId="9" hidden="1"/>
    <cellStyle name="Followed Hyperlink" xfId="3232" builtinId="9" hidden="1"/>
    <cellStyle name="Followed Hyperlink" xfId="3240" builtinId="9" hidden="1"/>
    <cellStyle name="Followed Hyperlink" xfId="3248" builtinId="9" hidden="1"/>
    <cellStyle name="Followed Hyperlink" xfId="3256" builtinId="9" hidden="1"/>
    <cellStyle name="Followed Hyperlink" xfId="3264" builtinId="9" hidden="1"/>
    <cellStyle name="Followed Hyperlink" xfId="3272" builtinId="9" hidden="1"/>
    <cellStyle name="Followed Hyperlink" xfId="3280" builtinId="9" hidden="1"/>
    <cellStyle name="Followed Hyperlink" xfId="3288" builtinId="9" hidden="1"/>
    <cellStyle name="Followed Hyperlink" xfId="3296" builtinId="9" hidden="1"/>
    <cellStyle name="Followed Hyperlink" xfId="3304" builtinId="9" hidden="1"/>
    <cellStyle name="Followed Hyperlink" xfId="3312" builtinId="9" hidden="1"/>
    <cellStyle name="Followed Hyperlink" xfId="3320" builtinId="9" hidden="1"/>
    <cellStyle name="Followed Hyperlink" xfId="3328" builtinId="9" hidden="1"/>
    <cellStyle name="Followed Hyperlink" xfId="3336" builtinId="9" hidden="1"/>
    <cellStyle name="Followed Hyperlink" xfId="3344" builtinId="9" hidden="1"/>
    <cellStyle name="Followed Hyperlink" xfId="3352" builtinId="9" hidden="1"/>
    <cellStyle name="Followed Hyperlink" xfId="3360" builtinId="9" hidden="1"/>
    <cellStyle name="Followed Hyperlink" xfId="3368" builtinId="9" hidden="1"/>
    <cellStyle name="Followed Hyperlink" xfId="3376" builtinId="9" hidden="1"/>
    <cellStyle name="Followed Hyperlink" xfId="3384" builtinId="9" hidden="1"/>
    <cellStyle name="Followed Hyperlink" xfId="3392" builtinId="9" hidden="1"/>
    <cellStyle name="Followed Hyperlink" xfId="3400" builtinId="9" hidden="1"/>
    <cellStyle name="Followed Hyperlink" xfId="3408" builtinId="9" hidden="1"/>
    <cellStyle name="Followed Hyperlink" xfId="3416" builtinId="9" hidden="1"/>
    <cellStyle name="Followed Hyperlink" xfId="3424" builtinId="9" hidden="1"/>
    <cellStyle name="Followed Hyperlink" xfId="3432" builtinId="9" hidden="1"/>
    <cellStyle name="Followed Hyperlink" xfId="3440" builtinId="9" hidden="1"/>
    <cellStyle name="Followed Hyperlink" xfId="3448" builtinId="9" hidden="1"/>
    <cellStyle name="Followed Hyperlink" xfId="3456" builtinId="9" hidden="1"/>
    <cellStyle name="Followed Hyperlink" xfId="3464" builtinId="9" hidden="1"/>
    <cellStyle name="Followed Hyperlink" xfId="3472" builtinId="9" hidden="1"/>
    <cellStyle name="Followed Hyperlink" xfId="3480" builtinId="9" hidden="1"/>
    <cellStyle name="Followed Hyperlink" xfId="3488" builtinId="9" hidden="1"/>
    <cellStyle name="Followed Hyperlink" xfId="3496" builtinId="9" hidden="1"/>
    <cellStyle name="Followed Hyperlink" xfId="3504" builtinId="9" hidden="1"/>
    <cellStyle name="Followed Hyperlink" xfId="3512" builtinId="9" hidden="1"/>
    <cellStyle name="Followed Hyperlink" xfId="3520" builtinId="9" hidden="1"/>
    <cellStyle name="Followed Hyperlink" xfId="3528" builtinId="9" hidden="1"/>
    <cellStyle name="Followed Hyperlink" xfId="3536" builtinId="9" hidden="1"/>
    <cellStyle name="Followed Hyperlink" xfId="3544" builtinId="9" hidden="1"/>
    <cellStyle name="Followed Hyperlink" xfId="3552" builtinId="9" hidden="1"/>
    <cellStyle name="Followed Hyperlink" xfId="3560" builtinId="9" hidden="1"/>
    <cellStyle name="Followed Hyperlink" xfId="3568" builtinId="9" hidden="1"/>
    <cellStyle name="Followed Hyperlink" xfId="3576" builtinId="9" hidden="1"/>
    <cellStyle name="Followed Hyperlink" xfId="3584" builtinId="9" hidden="1"/>
    <cellStyle name="Followed Hyperlink" xfId="3592" builtinId="9" hidden="1"/>
    <cellStyle name="Followed Hyperlink" xfId="3600" builtinId="9" hidden="1"/>
    <cellStyle name="Followed Hyperlink" xfId="3608" builtinId="9" hidden="1"/>
    <cellStyle name="Followed Hyperlink" xfId="3616" builtinId="9" hidden="1"/>
    <cellStyle name="Followed Hyperlink" xfId="3624" builtinId="9" hidden="1"/>
    <cellStyle name="Followed Hyperlink" xfId="3632" builtinId="9" hidden="1"/>
    <cellStyle name="Followed Hyperlink" xfId="3640" builtinId="9" hidden="1"/>
    <cellStyle name="Followed Hyperlink" xfId="3648" builtinId="9" hidden="1"/>
    <cellStyle name="Followed Hyperlink" xfId="3656" builtinId="9" hidden="1"/>
    <cellStyle name="Followed Hyperlink" xfId="3664" builtinId="9" hidden="1"/>
    <cellStyle name="Followed Hyperlink" xfId="3672" builtinId="9" hidden="1"/>
    <cellStyle name="Followed Hyperlink" xfId="3680" builtinId="9" hidden="1"/>
    <cellStyle name="Followed Hyperlink" xfId="3688" builtinId="9" hidden="1"/>
    <cellStyle name="Followed Hyperlink" xfId="3696" builtinId="9" hidden="1"/>
    <cellStyle name="Followed Hyperlink" xfId="3704" builtinId="9" hidden="1"/>
    <cellStyle name="Followed Hyperlink" xfId="3712" builtinId="9" hidden="1"/>
    <cellStyle name="Followed Hyperlink" xfId="3720" builtinId="9" hidden="1"/>
    <cellStyle name="Followed Hyperlink" xfId="3728" builtinId="9" hidden="1"/>
    <cellStyle name="Followed Hyperlink" xfId="3736" builtinId="9" hidden="1"/>
    <cellStyle name="Followed Hyperlink" xfId="3744" builtinId="9" hidden="1"/>
    <cellStyle name="Followed Hyperlink" xfId="3752" builtinId="9" hidden="1"/>
    <cellStyle name="Followed Hyperlink" xfId="3760" builtinId="9" hidden="1"/>
    <cellStyle name="Followed Hyperlink" xfId="3768" builtinId="9" hidden="1"/>
    <cellStyle name="Followed Hyperlink" xfId="3776" builtinId="9" hidden="1"/>
    <cellStyle name="Followed Hyperlink" xfId="3784" builtinId="9" hidden="1"/>
    <cellStyle name="Followed Hyperlink" xfId="3792" builtinId="9" hidden="1"/>
    <cellStyle name="Followed Hyperlink" xfId="3800" builtinId="9" hidden="1"/>
    <cellStyle name="Followed Hyperlink" xfId="3808" builtinId="9" hidden="1"/>
    <cellStyle name="Followed Hyperlink" xfId="3816" builtinId="9" hidden="1"/>
    <cellStyle name="Followed Hyperlink" xfId="3824" builtinId="9" hidden="1"/>
    <cellStyle name="Followed Hyperlink" xfId="3832" builtinId="9" hidden="1"/>
    <cellStyle name="Followed Hyperlink" xfId="3840" builtinId="9" hidden="1"/>
    <cellStyle name="Followed Hyperlink" xfId="3848" builtinId="9" hidden="1"/>
    <cellStyle name="Followed Hyperlink" xfId="3856" builtinId="9" hidden="1"/>
    <cellStyle name="Followed Hyperlink" xfId="3864" builtinId="9" hidden="1"/>
    <cellStyle name="Followed Hyperlink" xfId="3872" builtinId="9" hidden="1"/>
    <cellStyle name="Followed Hyperlink" xfId="3880" builtinId="9" hidden="1"/>
    <cellStyle name="Followed Hyperlink" xfId="3888" builtinId="9" hidden="1"/>
    <cellStyle name="Followed Hyperlink" xfId="3896" builtinId="9" hidden="1"/>
    <cellStyle name="Followed Hyperlink" xfId="3904" builtinId="9" hidden="1"/>
    <cellStyle name="Followed Hyperlink" xfId="3912" builtinId="9" hidden="1"/>
    <cellStyle name="Followed Hyperlink" xfId="3920" builtinId="9" hidden="1"/>
    <cellStyle name="Followed Hyperlink" xfId="3928" builtinId="9" hidden="1"/>
    <cellStyle name="Followed Hyperlink" xfId="3936" builtinId="9" hidden="1"/>
    <cellStyle name="Followed Hyperlink" xfId="3944" builtinId="9" hidden="1"/>
    <cellStyle name="Followed Hyperlink" xfId="3952" builtinId="9" hidden="1"/>
    <cellStyle name="Followed Hyperlink" xfId="3960" builtinId="9" hidden="1"/>
    <cellStyle name="Followed Hyperlink" xfId="3968" builtinId="9" hidden="1"/>
    <cellStyle name="Followed Hyperlink" xfId="3976" builtinId="9" hidden="1"/>
    <cellStyle name="Followed Hyperlink" xfId="3984" builtinId="9" hidden="1"/>
    <cellStyle name="Followed Hyperlink" xfId="3992" builtinId="9" hidden="1"/>
    <cellStyle name="Followed Hyperlink" xfId="4000" builtinId="9" hidden="1"/>
    <cellStyle name="Followed Hyperlink" xfId="4008" builtinId="9" hidden="1"/>
    <cellStyle name="Followed Hyperlink" xfId="4016" builtinId="9" hidden="1"/>
    <cellStyle name="Followed Hyperlink" xfId="4024" builtinId="9" hidden="1"/>
    <cellStyle name="Followed Hyperlink" xfId="4032" builtinId="9" hidden="1"/>
    <cellStyle name="Followed Hyperlink" xfId="4040" builtinId="9" hidden="1"/>
    <cellStyle name="Followed Hyperlink" xfId="4048" builtinId="9" hidden="1"/>
    <cellStyle name="Followed Hyperlink" xfId="4056" builtinId="9" hidden="1"/>
    <cellStyle name="Followed Hyperlink" xfId="4064" builtinId="9" hidden="1"/>
    <cellStyle name="Followed Hyperlink" xfId="4072" builtinId="9" hidden="1"/>
    <cellStyle name="Followed Hyperlink" xfId="4080" builtinId="9" hidden="1"/>
    <cellStyle name="Followed Hyperlink" xfId="4088" builtinId="9" hidden="1"/>
    <cellStyle name="Followed Hyperlink" xfId="4096" builtinId="9" hidden="1"/>
    <cellStyle name="Followed Hyperlink" xfId="4104" builtinId="9" hidden="1"/>
    <cellStyle name="Followed Hyperlink" xfId="4112" builtinId="9" hidden="1"/>
    <cellStyle name="Followed Hyperlink" xfId="4120" builtinId="9" hidden="1"/>
    <cellStyle name="Followed Hyperlink" xfId="4128" builtinId="9" hidden="1"/>
    <cellStyle name="Followed Hyperlink" xfId="4136" builtinId="9" hidden="1"/>
    <cellStyle name="Followed Hyperlink" xfId="4144" builtinId="9" hidden="1"/>
    <cellStyle name="Followed Hyperlink" xfId="4152" builtinId="9" hidden="1"/>
    <cellStyle name="Followed Hyperlink" xfId="4160" builtinId="9" hidden="1"/>
    <cellStyle name="Followed Hyperlink" xfId="4168" builtinId="9" hidden="1"/>
    <cellStyle name="Followed Hyperlink" xfId="4176" builtinId="9" hidden="1"/>
    <cellStyle name="Followed Hyperlink" xfId="4184" builtinId="9" hidden="1"/>
    <cellStyle name="Followed Hyperlink" xfId="4192" builtinId="9" hidden="1"/>
    <cellStyle name="Followed Hyperlink" xfId="4200" builtinId="9" hidden="1"/>
    <cellStyle name="Followed Hyperlink" xfId="4208" builtinId="9" hidden="1"/>
    <cellStyle name="Followed Hyperlink" xfId="4216" builtinId="9" hidden="1"/>
    <cellStyle name="Followed Hyperlink" xfId="4224" builtinId="9" hidden="1"/>
    <cellStyle name="Followed Hyperlink" xfId="4232" builtinId="9" hidden="1"/>
    <cellStyle name="Followed Hyperlink" xfId="4240" builtinId="9" hidden="1"/>
    <cellStyle name="Followed Hyperlink" xfId="4248" builtinId="9" hidden="1"/>
    <cellStyle name="Followed Hyperlink" xfId="4256" builtinId="9" hidden="1"/>
    <cellStyle name="Followed Hyperlink" xfId="4264" builtinId="9" hidden="1"/>
    <cellStyle name="Followed Hyperlink" xfId="4272" builtinId="9" hidden="1"/>
    <cellStyle name="Followed Hyperlink" xfId="4280" builtinId="9" hidden="1"/>
    <cellStyle name="Followed Hyperlink" xfId="4288" builtinId="9" hidden="1"/>
    <cellStyle name="Followed Hyperlink" xfId="4296" builtinId="9" hidden="1"/>
    <cellStyle name="Followed Hyperlink" xfId="4304" builtinId="9" hidden="1"/>
    <cellStyle name="Followed Hyperlink" xfId="4312" builtinId="9" hidden="1"/>
    <cellStyle name="Followed Hyperlink" xfId="4320" builtinId="9" hidden="1"/>
    <cellStyle name="Followed Hyperlink" xfId="4328" builtinId="9" hidden="1"/>
    <cellStyle name="Followed Hyperlink" xfId="4336" builtinId="9" hidden="1"/>
    <cellStyle name="Followed Hyperlink" xfId="4344" builtinId="9" hidden="1"/>
    <cellStyle name="Followed Hyperlink" xfId="4352" builtinId="9" hidden="1"/>
    <cellStyle name="Followed Hyperlink" xfId="4360" builtinId="9" hidden="1"/>
    <cellStyle name="Followed Hyperlink" xfId="4368" builtinId="9" hidden="1"/>
    <cellStyle name="Followed Hyperlink" xfId="4376" builtinId="9" hidden="1"/>
    <cellStyle name="Followed Hyperlink" xfId="4384" builtinId="9" hidden="1"/>
    <cellStyle name="Followed Hyperlink" xfId="4392" builtinId="9" hidden="1"/>
    <cellStyle name="Followed Hyperlink" xfId="4400" builtinId="9" hidden="1"/>
    <cellStyle name="Followed Hyperlink" xfId="4408" builtinId="9" hidden="1"/>
    <cellStyle name="Followed Hyperlink" xfId="4416" builtinId="9" hidden="1"/>
    <cellStyle name="Followed Hyperlink" xfId="4424" builtinId="9" hidden="1"/>
    <cellStyle name="Followed Hyperlink" xfId="4432" builtinId="9" hidden="1"/>
    <cellStyle name="Followed Hyperlink" xfId="4440" builtinId="9" hidden="1"/>
    <cellStyle name="Followed Hyperlink" xfId="4448" builtinId="9" hidden="1"/>
    <cellStyle name="Followed Hyperlink" xfId="4456" builtinId="9" hidden="1"/>
    <cellStyle name="Followed Hyperlink" xfId="4464" builtinId="9" hidden="1"/>
    <cellStyle name="Followed Hyperlink" xfId="4472" builtinId="9" hidden="1"/>
    <cellStyle name="Followed Hyperlink" xfId="4480" builtinId="9" hidden="1"/>
    <cellStyle name="Followed Hyperlink" xfId="4488" builtinId="9" hidden="1"/>
    <cellStyle name="Followed Hyperlink" xfId="4496" builtinId="9" hidden="1"/>
    <cellStyle name="Followed Hyperlink" xfId="4504" builtinId="9" hidden="1"/>
    <cellStyle name="Followed Hyperlink" xfId="4512" builtinId="9" hidden="1"/>
    <cellStyle name="Followed Hyperlink" xfId="4520" builtinId="9" hidden="1"/>
    <cellStyle name="Followed Hyperlink" xfId="4528" builtinId="9" hidden="1"/>
    <cellStyle name="Followed Hyperlink" xfId="4536" builtinId="9" hidden="1"/>
    <cellStyle name="Followed Hyperlink" xfId="4544" builtinId="9" hidden="1"/>
    <cellStyle name="Followed Hyperlink" xfId="4552" builtinId="9" hidden="1"/>
    <cellStyle name="Followed Hyperlink" xfId="4560" builtinId="9" hidden="1"/>
    <cellStyle name="Followed Hyperlink" xfId="4568" builtinId="9" hidden="1"/>
    <cellStyle name="Followed Hyperlink" xfId="4576" builtinId="9" hidden="1"/>
    <cellStyle name="Followed Hyperlink" xfId="4584" builtinId="9" hidden="1"/>
    <cellStyle name="Followed Hyperlink" xfId="4592" builtinId="9" hidden="1"/>
    <cellStyle name="Followed Hyperlink" xfId="4600" builtinId="9" hidden="1"/>
    <cellStyle name="Followed Hyperlink" xfId="4608" builtinId="9" hidden="1"/>
    <cellStyle name="Followed Hyperlink" xfId="4616" builtinId="9" hidden="1"/>
    <cellStyle name="Followed Hyperlink" xfId="4624" builtinId="9" hidden="1"/>
    <cellStyle name="Followed Hyperlink" xfId="4632" builtinId="9" hidden="1"/>
    <cellStyle name="Followed Hyperlink" xfId="4640" builtinId="9" hidden="1"/>
    <cellStyle name="Followed Hyperlink" xfId="4648" builtinId="9" hidden="1"/>
    <cellStyle name="Followed Hyperlink" xfId="4656" builtinId="9" hidden="1"/>
    <cellStyle name="Followed Hyperlink" xfId="4664" builtinId="9" hidden="1"/>
    <cellStyle name="Followed Hyperlink" xfId="4672" builtinId="9" hidden="1"/>
    <cellStyle name="Followed Hyperlink" xfId="4680" builtinId="9" hidden="1"/>
    <cellStyle name="Followed Hyperlink" xfId="4688" builtinId="9" hidden="1"/>
    <cellStyle name="Followed Hyperlink" xfId="4696" builtinId="9" hidden="1"/>
    <cellStyle name="Followed Hyperlink" xfId="4704" builtinId="9" hidden="1"/>
    <cellStyle name="Followed Hyperlink" xfId="4712" builtinId="9" hidden="1"/>
    <cellStyle name="Followed Hyperlink" xfId="4720" builtinId="9" hidden="1"/>
    <cellStyle name="Followed Hyperlink" xfId="4728" builtinId="9" hidden="1"/>
    <cellStyle name="Followed Hyperlink" xfId="4736" builtinId="9" hidden="1"/>
    <cellStyle name="Followed Hyperlink" xfId="4744" builtinId="9" hidden="1"/>
    <cellStyle name="Followed Hyperlink" xfId="4752" builtinId="9" hidden="1"/>
    <cellStyle name="Followed Hyperlink" xfId="4760" builtinId="9" hidden="1"/>
    <cellStyle name="Followed Hyperlink" xfId="4768" builtinId="9" hidden="1"/>
    <cellStyle name="Followed Hyperlink" xfId="4776" builtinId="9" hidden="1"/>
    <cellStyle name="Followed Hyperlink" xfId="4784" builtinId="9" hidden="1"/>
    <cellStyle name="Followed Hyperlink" xfId="4792" builtinId="9" hidden="1"/>
    <cellStyle name="Followed Hyperlink" xfId="4800" builtinId="9" hidden="1"/>
    <cellStyle name="Followed Hyperlink" xfId="4808" builtinId="9" hidden="1"/>
    <cellStyle name="Followed Hyperlink" xfId="4816" builtinId="9" hidden="1"/>
    <cellStyle name="Followed Hyperlink" xfId="4824" builtinId="9" hidden="1"/>
    <cellStyle name="Followed Hyperlink" xfId="4832" builtinId="9" hidden="1"/>
    <cellStyle name="Followed Hyperlink" xfId="4840" builtinId="9" hidden="1"/>
    <cellStyle name="Followed Hyperlink" xfId="4848" builtinId="9" hidden="1"/>
    <cellStyle name="Followed Hyperlink" xfId="4856" builtinId="9" hidden="1"/>
    <cellStyle name="Followed Hyperlink" xfId="4864" builtinId="9" hidden="1"/>
    <cellStyle name="Followed Hyperlink" xfId="4872" builtinId="9" hidden="1"/>
    <cellStyle name="Followed Hyperlink" xfId="4880" builtinId="9" hidden="1"/>
    <cellStyle name="Followed Hyperlink" xfId="4888" builtinId="9" hidden="1"/>
    <cellStyle name="Followed Hyperlink" xfId="4896" builtinId="9" hidden="1"/>
    <cellStyle name="Followed Hyperlink" xfId="4904" builtinId="9" hidden="1"/>
    <cellStyle name="Followed Hyperlink" xfId="4912" builtinId="9" hidden="1"/>
    <cellStyle name="Followed Hyperlink" xfId="4920" builtinId="9" hidden="1"/>
    <cellStyle name="Followed Hyperlink" xfId="4928" builtinId="9" hidden="1"/>
    <cellStyle name="Followed Hyperlink" xfId="4936" builtinId="9" hidden="1"/>
    <cellStyle name="Followed Hyperlink" xfId="4944" builtinId="9" hidden="1"/>
    <cellStyle name="Followed Hyperlink" xfId="4952" builtinId="9" hidden="1"/>
    <cellStyle name="Followed Hyperlink" xfId="4960" builtinId="9" hidden="1"/>
    <cellStyle name="Followed Hyperlink" xfId="4968" builtinId="9" hidden="1"/>
    <cellStyle name="Followed Hyperlink" xfId="4976" builtinId="9" hidden="1"/>
    <cellStyle name="Followed Hyperlink" xfId="4984" builtinId="9" hidden="1"/>
    <cellStyle name="Followed Hyperlink" xfId="4992" builtinId="9" hidden="1"/>
    <cellStyle name="Followed Hyperlink" xfId="5000" builtinId="9" hidden="1"/>
    <cellStyle name="Followed Hyperlink" xfId="5008" builtinId="9" hidden="1"/>
    <cellStyle name="Followed Hyperlink" xfId="5016" builtinId="9" hidden="1"/>
    <cellStyle name="Followed Hyperlink" xfId="5024" builtinId="9" hidden="1"/>
    <cellStyle name="Followed Hyperlink" xfId="5032" builtinId="9" hidden="1"/>
    <cellStyle name="Followed Hyperlink" xfId="5040" builtinId="9" hidden="1"/>
    <cellStyle name="Followed Hyperlink" xfId="5048" builtinId="9" hidden="1"/>
    <cellStyle name="Followed Hyperlink" xfId="5056" builtinId="9" hidden="1"/>
    <cellStyle name="Followed Hyperlink" xfId="5054" builtinId="9" hidden="1"/>
    <cellStyle name="Followed Hyperlink" xfId="5046" builtinId="9" hidden="1"/>
    <cellStyle name="Followed Hyperlink" xfId="5038" builtinId="9" hidden="1"/>
    <cellStyle name="Followed Hyperlink" xfId="5030" builtinId="9" hidden="1"/>
    <cellStyle name="Followed Hyperlink" xfId="5022" builtinId="9" hidden="1"/>
    <cellStyle name="Followed Hyperlink" xfId="5014" builtinId="9" hidden="1"/>
    <cellStyle name="Followed Hyperlink" xfId="5006" builtinId="9" hidden="1"/>
    <cellStyle name="Followed Hyperlink" xfId="4998" builtinId="9" hidden="1"/>
    <cellStyle name="Followed Hyperlink" xfId="4990" builtinId="9" hidden="1"/>
    <cellStyle name="Followed Hyperlink" xfId="4982" builtinId="9" hidden="1"/>
    <cellStyle name="Followed Hyperlink" xfId="4974" builtinId="9" hidden="1"/>
    <cellStyle name="Followed Hyperlink" xfId="4966" builtinId="9" hidden="1"/>
    <cellStyle name="Followed Hyperlink" xfId="4958" builtinId="9" hidden="1"/>
    <cellStyle name="Followed Hyperlink" xfId="4950" builtinId="9" hidden="1"/>
    <cellStyle name="Followed Hyperlink" xfId="4942" builtinId="9" hidden="1"/>
    <cellStyle name="Followed Hyperlink" xfId="4934" builtinId="9" hidden="1"/>
    <cellStyle name="Followed Hyperlink" xfId="4926" builtinId="9" hidden="1"/>
    <cellStyle name="Followed Hyperlink" xfId="4918" builtinId="9" hidden="1"/>
    <cellStyle name="Followed Hyperlink" xfId="4910" builtinId="9" hidden="1"/>
    <cellStyle name="Followed Hyperlink" xfId="4902" builtinId="9" hidden="1"/>
    <cellStyle name="Followed Hyperlink" xfId="4894" builtinId="9" hidden="1"/>
    <cellStyle name="Followed Hyperlink" xfId="4886" builtinId="9" hidden="1"/>
    <cellStyle name="Followed Hyperlink" xfId="4878" builtinId="9" hidden="1"/>
    <cellStyle name="Followed Hyperlink" xfId="4870" builtinId="9" hidden="1"/>
    <cellStyle name="Followed Hyperlink" xfId="4862" builtinId="9" hidden="1"/>
    <cellStyle name="Followed Hyperlink" xfId="4854" builtinId="9" hidden="1"/>
    <cellStyle name="Followed Hyperlink" xfId="4846" builtinId="9" hidden="1"/>
    <cellStyle name="Followed Hyperlink" xfId="4838" builtinId="9" hidden="1"/>
    <cellStyle name="Followed Hyperlink" xfId="4830" builtinId="9" hidden="1"/>
    <cellStyle name="Followed Hyperlink" xfId="4822" builtinId="9" hidden="1"/>
    <cellStyle name="Followed Hyperlink" xfId="4814" builtinId="9" hidden="1"/>
    <cellStyle name="Followed Hyperlink" xfId="4806" builtinId="9" hidden="1"/>
    <cellStyle name="Followed Hyperlink" xfId="4798" builtinId="9" hidden="1"/>
    <cellStyle name="Followed Hyperlink" xfId="4790" builtinId="9" hidden="1"/>
    <cellStyle name="Followed Hyperlink" xfId="4782" builtinId="9" hidden="1"/>
    <cellStyle name="Followed Hyperlink" xfId="4774" builtinId="9" hidden="1"/>
    <cellStyle name="Followed Hyperlink" xfId="4766" builtinId="9" hidden="1"/>
    <cellStyle name="Followed Hyperlink" xfId="4758" builtinId="9" hidden="1"/>
    <cellStyle name="Followed Hyperlink" xfId="4750" builtinId="9" hidden="1"/>
    <cellStyle name="Followed Hyperlink" xfId="4742" builtinId="9" hidden="1"/>
    <cellStyle name="Followed Hyperlink" xfId="4734" builtinId="9" hidden="1"/>
    <cellStyle name="Followed Hyperlink" xfId="4726" builtinId="9" hidden="1"/>
    <cellStyle name="Followed Hyperlink" xfId="4718" builtinId="9" hidden="1"/>
    <cellStyle name="Followed Hyperlink" xfId="4710" builtinId="9" hidden="1"/>
    <cellStyle name="Followed Hyperlink" xfId="4702" builtinId="9" hidden="1"/>
    <cellStyle name="Followed Hyperlink" xfId="4694" builtinId="9" hidden="1"/>
    <cellStyle name="Followed Hyperlink" xfId="4686" builtinId="9" hidden="1"/>
    <cellStyle name="Followed Hyperlink" xfId="4678" builtinId="9" hidden="1"/>
    <cellStyle name="Followed Hyperlink" xfId="4670" builtinId="9" hidden="1"/>
    <cellStyle name="Followed Hyperlink" xfId="4662" builtinId="9" hidden="1"/>
    <cellStyle name="Followed Hyperlink" xfId="4654" builtinId="9" hidden="1"/>
    <cellStyle name="Followed Hyperlink" xfId="4646" builtinId="9" hidden="1"/>
    <cellStyle name="Followed Hyperlink" xfId="4638" builtinId="9" hidden="1"/>
    <cellStyle name="Followed Hyperlink" xfId="4630" builtinId="9" hidden="1"/>
    <cellStyle name="Followed Hyperlink" xfId="4622" builtinId="9" hidden="1"/>
    <cellStyle name="Followed Hyperlink" xfId="4614" builtinId="9" hidden="1"/>
    <cellStyle name="Followed Hyperlink" xfId="4606" builtinId="9" hidden="1"/>
    <cellStyle name="Followed Hyperlink" xfId="4598" builtinId="9" hidden="1"/>
    <cellStyle name="Followed Hyperlink" xfId="4590" builtinId="9" hidden="1"/>
    <cellStyle name="Followed Hyperlink" xfId="4582" builtinId="9" hidden="1"/>
    <cellStyle name="Followed Hyperlink" xfId="4574" builtinId="9" hidden="1"/>
    <cellStyle name="Followed Hyperlink" xfId="4566" builtinId="9" hidden="1"/>
    <cellStyle name="Followed Hyperlink" xfId="4558" builtinId="9" hidden="1"/>
    <cellStyle name="Followed Hyperlink" xfId="4550" builtinId="9" hidden="1"/>
    <cellStyle name="Followed Hyperlink" xfId="4542" builtinId="9" hidden="1"/>
    <cellStyle name="Followed Hyperlink" xfId="4534" builtinId="9" hidden="1"/>
    <cellStyle name="Followed Hyperlink" xfId="4526" builtinId="9" hidden="1"/>
    <cellStyle name="Followed Hyperlink" xfId="4518" builtinId="9" hidden="1"/>
    <cellStyle name="Followed Hyperlink" xfId="4510" builtinId="9" hidden="1"/>
    <cellStyle name="Followed Hyperlink" xfId="4502" builtinId="9" hidden="1"/>
    <cellStyle name="Followed Hyperlink" xfId="4494" builtinId="9" hidden="1"/>
    <cellStyle name="Followed Hyperlink" xfId="4486" builtinId="9" hidden="1"/>
    <cellStyle name="Followed Hyperlink" xfId="4478" builtinId="9" hidden="1"/>
    <cellStyle name="Followed Hyperlink" xfId="4470" builtinId="9" hidden="1"/>
    <cellStyle name="Followed Hyperlink" xfId="4462" builtinId="9" hidden="1"/>
    <cellStyle name="Followed Hyperlink" xfId="4454" builtinId="9" hidden="1"/>
    <cellStyle name="Followed Hyperlink" xfId="4446" builtinId="9" hidden="1"/>
    <cellStyle name="Followed Hyperlink" xfId="4438" builtinId="9" hidden="1"/>
    <cellStyle name="Followed Hyperlink" xfId="4430" builtinId="9" hidden="1"/>
    <cellStyle name="Followed Hyperlink" xfId="4422" builtinId="9" hidden="1"/>
    <cellStyle name="Followed Hyperlink" xfId="4414" builtinId="9" hidden="1"/>
    <cellStyle name="Followed Hyperlink" xfId="4406" builtinId="9" hidden="1"/>
    <cellStyle name="Followed Hyperlink" xfId="4398" builtinId="9" hidden="1"/>
    <cellStyle name="Followed Hyperlink" xfId="4390" builtinId="9" hidden="1"/>
    <cellStyle name="Followed Hyperlink" xfId="4382" builtinId="9" hidden="1"/>
    <cellStyle name="Followed Hyperlink" xfId="4374" builtinId="9" hidden="1"/>
    <cellStyle name="Followed Hyperlink" xfId="4366" builtinId="9" hidden="1"/>
    <cellStyle name="Followed Hyperlink" xfId="4358" builtinId="9" hidden="1"/>
    <cellStyle name="Followed Hyperlink" xfId="4350" builtinId="9" hidden="1"/>
    <cellStyle name="Followed Hyperlink" xfId="4342" builtinId="9" hidden="1"/>
    <cellStyle name="Followed Hyperlink" xfId="4334" builtinId="9" hidden="1"/>
    <cellStyle name="Followed Hyperlink" xfId="4326" builtinId="9" hidden="1"/>
    <cellStyle name="Followed Hyperlink" xfId="4318" builtinId="9" hidden="1"/>
    <cellStyle name="Followed Hyperlink" xfId="4310" builtinId="9" hidden="1"/>
    <cellStyle name="Followed Hyperlink" xfId="4302" builtinId="9" hidden="1"/>
    <cellStyle name="Followed Hyperlink" xfId="4294" builtinId="9" hidden="1"/>
    <cellStyle name="Followed Hyperlink" xfId="4286" builtinId="9" hidden="1"/>
    <cellStyle name="Followed Hyperlink" xfId="4278" builtinId="9" hidden="1"/>
    <cellStyle name="Followed Hyperlink" xfId="4270" builtinId="9" hidden="1"/>
    <cellStyle name="Followed Hyperlink" xfId="4262" builtinId="9" hidden="1"/>
    <cellStyle name="Followed Hyperlink" xfId="4254" builtinId="9" hidden="1"/>
    <cellStyle name="Followed Hyperlink" xfId="4246" builtinId="9" hidden="1"/>
    <cellStyle name="Followed Hyperlink" xfId="4238" builtinId="9" hidden="1"/>
    <cellStyle name="Followed Hyperlink" xfId="4230" builtinId="9" hidden="1"/>
    <cellStyle name="Followed Hyperlink" xfId="4222" builtinId="9" hidden="1"/>
    <cellStyle name="Followed Hyperlink" xfId="4214" builtinId="9" hidden="1"/>
    <cellStyle name="Followed Hyperlink" xfId="4206" builtinId="9" hidden="1"/>
    <cellStyle name="Followed Hyperlink" xfId="4198" builtinId="9" hidden="1"/>
    <cellStyle name="Followed Hyperlink" xfId="4190" builtinId="9" hidden="1"/>
    <cellStyle name="Followed Hyperlink" xfId="4182" builtinId="9" hidden="1"/>
    <cellStyle name="Followed Hyperlink" xfId="4174" builtinId="9" hidden="1"/>
    <cellStyle name="Followed Hyperlink" xfId="4166" builtinId="9" hidden="1"/>
    <cellStyle name="Followed Hyperlink" xfId="4158" builtinId="9" hidden="1"/>
    <cellStyle name="Followed Hyperlink" xfId="4150" builtinId="9" hidden="1"/>
    <cellStyle name="Followed Hyperlink" xfId="4142" builtinId="9" hidden="1"/>
    <cellStyle name="Followed Hyperlink" xfId="4134" builtinId="9" hidden="1"/>
    <cellStyle name="Followed Hyperlink" xfId="4126" builtinId="9" hidden="1"/>
    <cellStyle name="Followed Hyperlink" xfId="4118" builtinId="9" hidden="1"/>
    <cellStyle name="Followed Hyperlink" xfId="4110" builtinId="9" hidden="1"/>
    <cellStyle name="Followed Hyperlink" xfId="4102" builtinId="9" hidden="1"/>
    <cellStyle name="Followed Hyperlink" xfId="4094" builtinId="9" hidden="1"/>
    <cellStyle name="Followed Hyperlink" xfId="4086" builtinId="9" hidden="1"/>
    <cellStyle name="Followed Hyperlink" xfId="4078" builtinId="9" hidden="1"/>
    <cellStyle name="Followed Hyperlink" xfId="4070" builtinId="9" hidden="1"/>
    <cellStyle name="Followed Hyperlink" xfId="4062" builtinId="9" hidden="1"/>
    <cellStyle name="Followed Hyperlink" xfId="4054" builtinId="9" hidden="1"/>
    <cellStyle name="Followed Hyperlink" xfId="4046" builtinId="9" hidden="1"/>
    <cellStyle name="Followed Hyperlink" xfId="4038" builtinId="9" hidden="1"/>
    <cellStyle name="Followed Hyperlink" xfId="4030" builtinId="9" hidden="1"/>
    <cellStyle name="Followed Hyperlink" xfId="4022" builtinId="9" hidden="1"/>
    <cellStyle name="Followed Hyperlink" xfId="4014" builtinId="9" hidden="1"/>
    <cellStyle name="Followed Hyperlink" xfId="4006" builtinId="9" hidden="1"/>
    <cellStyle name="Followed Hyperlink" xfId="3998" builtinId="9" hidden="1"/>
    <cellStyle name="Followed Hyperlink" xfId="3990" builtinId="9" hidden="1"/>
    <cellStyle name="Followed Hyperlink" xfId="3982" builtinId="9" hidden="1"/>
    <cellStyle name="Followed Hyperlink" xfId="3974" builtinId="9" hidden="1"/>
    <cellStyle name="Followed Hyperlink" xfId="3966" builtinId="9" hidden="1"/>
    <cellStyle name="Followed Hyperlink" xfId="3958" builtinId="9" hidden="1"/>
    <cellStyle name="Followed Hyperlink" xfId="3950" builtinId="9" hidden="1"/>
    <cellStyle name="Followed Hyperlink" xfId="3942" builtinId="9" hidden="1"/>
    <cellStyle name="Followed Hyperlink" xfId="3934" builtinId="9" hidden="1"/>
    <cellStyle name="Followed Hyperlink" xfId="3926" builtinId="9" hidden="1"/>
    <cellStyle name="Followed Hyperlink" xfId="3918" builtinId="9" hidden="1"/>
    <cellStyle name="Followed Hyperlink" xfId="3910" builtinId="9" hidden="1"/>
    <cellStyle name="Followed Hyperlink" xfId="3902" builtinId="9" hidden="1"/>
    <cellStyle name="Followed Hyperlink" xfId="3894" builtinId="9" hidden="1"/>
    <cellStyle name="Followed Hyperlink" xfId="3886" builtinId="9" hidden="1"/>
    <cellStyle name="Followed Hyperlink" xfId="3878" builtinId="9" hidden="1"/>
    <cellStyle name="Followed Hyperlink" xfId="3870" builtinId="9" hidden="1"/>
    <cellStyle name="Followed Hyperlink" xfId="3862" builtinId="9" hidden="1"/>
    <cellStyle name="Followed Hyperlink" xfId="3854" builtinId="9" hidden="1"/>
    <cellStyle name="Followed Hyperlink" xfId="3846" builtinId="9" hidden="1"/>
    <cellStyle name="Followed Hyperlink" xfId="3838" builtinId="9" hidden="1"/>
    <cellStyle name="Followed Hyperlink" xfId="3830" builtinId="9" hidden="1"/>
    <cellStyle name="Followed Hyperlink" xfId="3822" builtinId="9" hidden="1"/>
    <cellStyle name="Followed Hyperlink" xfId="3814" builtinId="9" hidden="1"/>
    <cellStyle name="Followed Hyperlink" xfId="3806" builtinId="9" hidden="1"/>
    <cellStyle name="Followed Hyperlink" xfId="3798" builtinId="9" hidden="1"/>
    <cellStyle name="Followed Hyperlink" xfId="3790" builtinId="9" hidden="1"/>
    <cellStyle name="Followed Hyperlink" xfId="3782" builtinId="9" hidden="1"/>
    <cellStyle name="Followed Hyperlink" xfId="3774" builtinId="9" hidden="1"/>
    <cellStyle name="Followed Hyperlink" xfId="3766" builtinId="9" hidden="1"/>
    <cellStyle name="Followed Hyperlink" xfId="3758" builtinId="9" hidden="1"/>
    <cellStyle name="Followed Hyperlink" xfId="3750" builtinId="9" hidden="1"/>
    <cellStyle name="Followed Hyperlink" xfId="3742" builtinId="9" hidden="1"/>
    <cellStyle name="Followed Hyperlink" xfId="3734" builtinId="9" hidden="1"/>
    <cellStyle name="Followed Hyperlink" xfId="3726" builtinId="9" hidden="1"/>
    <cellStyle name="Followed Hyperlink" xfId="3718" builtinId="9" hidden="1"/>
    <cellStyle name="Followed Hyperlink" xfId="3710" builtinId="9" hidden="1"/>
    <cellStyle name="Followed Hyperlink" xfId="3702" builtinId="9" hidden="1"/>
    <cellStyle name="Followed Hyperlink" xfId="3694" builtinId="9" hidden="1"/>
    <cellStyle name="Followed Hyperlink" xfId="3686" builtinId="9" hidden="1"/>
    <cellStyle name="Followed Hyperlink" xfId="3678" builtinId="9" hidden="1"/>
    <cellStyle name="Followed Hyperlink" xfId="3670" builtinId="9" hidden="1"/>
    <cellStyle name="Followed Hyperlink" xfId="3662" builtinId="9" hidden="1"/>
    <cellStyle name="Followed Hyperlink" xfId="3654" builtinId="9" hidden="1"/>
    <cellStyle name="Followed Hyperlink" xfId="3646" builtinId="9" hidden="1"/>
    <cellStyle name="Followed Hyperlink" xfId="3638" builtinId="9" hidden="1"/>
    <cellStyle name="Followed Hyperlink" xfId="3630" builtinId="9" hidden="1"/>
    <cellStyle name="Followed Hyperlink" xfId="3622" builtinId="9" hidden="1"/>
    <cellStyle name="Followed Hyperlink" xfId="3614" builtinId="9" hidden="1"/>
    <cellStyle name="Followed Hyperlink" xfId="3606" builtinId="9" hidden="1"/>
    <cellStyle name="Followed Hyperlink" xfId="3598" builtinId="9" hidden="1"/>
    <cellStyle name="Followed Hyperlink" xfId="3590" builtinId="9" hidden="1"/>
    <cellStyle name="Followed Hyperlink" xfId="3582" builtinId="9" hidden="1"/>
    <cellStyle name="Followed Hyperlink" xfId="3574" builtinId="9" hidden="1"/>
    <cellStyle name="Followed Hyperlink" xfId="3566" builtinId="9" hidden="1"/>
    <cellStyle name="Followed Hyperlink" xfId="3558" builtinId="9" hidden="1"/>
    <cellStyle name="Followed Hyperlink" xfId="3550" builtinId="9" hidden="1"/>
    <cellStyle name="Followed Hyperlink" xfId="3542" builtinId="9" hidden="1"/>
    <cellStyle name="Followed Hyperlink" xfId="3534" builtinId="9" hidden="1"/>
    <cellStyle name="Followed Hyperlink" xfId="3526" builtinId="9" hidden="1"/>
    <cellStyle name="Followed Hyperlink" xfId="3518" builtinId="9" hidden="1"/>
    <cellStyle name="Followed Hyperlink" xfId="3510" builtinId="9" hidden="1"/>
    <cellStyle name="Followed Hyperlink" xfId="3502" builtinId="9" hidden="1"/>
    <cellStyle name="Followed Hyperlink" xfId="3494" builtinId="9" hidden="1"/>
    <cellStyle name="Followed Hyperlink" xfId="3486" builtinId="9" hidden="1"/>
    <cellStyle name="Followed Hyperlink" xfId="3478" builtinId="9" hidden="1"/>
    <cellStyle name="Followed Hyperlink" xfId="3470" builtinId="9" hidden="1"/>
    <cellStyle name="Followed Hyperlink" xfId="3462" builtinId="9" hidden="1"/>
    <cellStyle name="Followed Hyperlink" xfId="3454" builtinId="9" hidden="1"/>
    <cellStyle name="Followed Hyperlink" xfId="3446" builtinId="9" hidden="1"/>
    <cellStyle name="Followed Hyperlink" xfId="3438" builtinId="9" hidden="1"/>
    <cellStyle name="Followed Hyperlink" xfId="3430" builtinId="9" hidden="1"/>
    <cellStyle name="Followed Hyperlink" xfId="3422" builtinId="9" hidden="1"/>
    <cellStyle name="Followed Hyperlink" xfId="3414" builtinId="9" hidden="1"/>
    <cellStyle name="Followed Hyperlink" xfId="3406" builtinId="9" hidden="1"/>
    <cellStyle name="Followed Hyperlink" xfId="3398" builtinId="9" hidden="1"/>
    <cellStyle name="Followed Hyperlink" xfId="3390" builtinId="9" hidden="1"/>
    <cellStyle name="Followed Hyperlink" xfId="3382" builtinId="9" hidden="1"/>
    <cellStyle name="Followed Hyperlink" xfId="3374" builtinId="9" hidden="1"/>
    <cellStyle name="Followed Hyperlink" xfId="3366" builtinId="9" hidden="1"/>
    <cellStyle name="Followed Hyperlink" xfId="3358" builtinId="9" hidden="1"/>
    <cellStyle name="Followed Hyperlink" xfId="3350" builtinId="9" hidden="1"/>
    <cellStyle name="Followed Hyperlink" xfId="3342" builtinId="9" hidden="1"/>
    <cellStyle name="Followed Hyperlink" xfId="3334" builtinId="9" hidden="1"/>
    <cellStyle name="Followed Hyperlink" xfId="3326" builtinId="9" hidden="1"/>
    <cellStyle name="Followed Hyperlink" xfId="3318" builtinId="9" hidden="1"/>
    <cellStyle name="Followed Hyperlink" xfId="3310" builtinId="9" hidden="1"/>
    <cellStyle name="Followed Hyperlink" xfId="3302" builtinId="9" hidden="1"/>
    <cellStyle name="Followed Hyperlink" xfId="3294" builtinId="9" hidden="1"/>
    <cellStyle name="Followed Hyperlink" xfId="3286" builtinId="9" hidden="1"/>
    <cellStyle name="Followed Hyperlink" xfId="3278" builtinId="9" hidden="1"/>
    <cellStyle name="Followed Hyperlink" xfId="3270" builtinId="9" hidden="1"/>
    <cellStyle name="Followed Hyperlink" xfId="3262" builtinId="9" hidden="1"/>
    <cellStyle name="Followed Hyperlink" xfId="3254" builtinId="9" hidden="1"/>
    <cellStyle name="Followed Hyperlink" xfId="3246" builtinId="9" hidden="1"/>
    <cellStyle name="Followed Hyperlink" xfId="3238" builtinId="9" hidden="1"/>
    <cellStyle name="Followed Hyperlink" xfId="3230" builtinId="9" hidden="1"/>
    <cellStyle name="Followed Hyperlink" xfId="3222" builtinId="9" hidden="1"/>
    <cellStyle name="Followed Hyperlink" xfId="3214" builtinId="9" hidden="1"/>
    <cellStyle name="Followed Hyperlink" xfId="3206" builtinId="9" hidden="1"/>
    <cellStyle name="Followed Hyperlink" xfId="3198" builtinId="9" hidden="1"/>
    <cellStyle name="Followed Hyperlink" xfId="3190" builtinId="9" hidden="1"/>
    <cellStyle name="Followed Hyperlink" xfId="3182" builtinId="9" hidden="1"/>
    <cellStyle name="Followed Hyperlink" xfId="3174" builtinId="9" hidden="1"/>
    <cellStyle name="Followed Hyperlink" xfId="3166" builtinId="9" hidden="1"/>
    <cellStyle name="Followed Hyperlink" xfId="3158" builtinId="9" hidden="1"/>
    <cellStyle name="Followed Hyperlink" xfId="3150" builtinId="9" hidden="1"/>
    <cellStyle name="Followed Hyperlink" xfId="3142" builtinId="9" hidden="1"/>
    <cellStyle name="Followed Hyperlink" xfId="3134" builtinId="9" hidden="1"/>
    <cellStyle name="Followed Hyperlink" xfId="3126" builtinId="9" hidden="1"/>
    <cellStyle name="Followed Hyperlink" xfId="3118" builtinId="9" hidden="1"/>
    <cellStyle name="Followed Hyperlink" xfId="3110" builtinId="9" hidden="1"/>
    <cellStyle name="Followed Hyperlink" xfId="3102" builtinId="9" hidden="1"/>
    <cellStyle name="Followed Hyperlink" xfId="3094" builtinId="9" hidden="1"/>
    <cellStyle name="Followed Hyperlink" xfId="3086" builtinId="9" hidden="1"/>
    <cellStyle name="Followed Hyperlink" xfId="3078" builtinId="9" hidden="1"/>
    <cellStyle name="Followed Hyperlink" xfId="3070" builtinId="9" hidden="1"/>
    <cellStyle name="Followed Hyperlink" xfId="3062" builtinId="9" hidden="1"/>
    <cellStyle name="Followed Hyperlink" xfId="3054" builtinId="9" hidden="1"/>
    <cellStyle name="Followed Hyperlink" xfId="3046" builtinId="9" hidden="1"/>
    <cellStyle name="Followed Hyperlink" xfId="3038" builtinId="9" hidden="1"/>
    <cellStyle name="Followed Hyperlink" xfId="3030" builtinId="9" hidden="1"/>
    <cellStyle name="Followed Hyperlink" xfId="3022" builtinId="9" hidden="1"/>
    <cellStyle name="Followed Hyperlink" xfId="3014" builtinId="9" hidden="1"/>
    <cellStyle name="Followed Hyperlink" xfId="3006" builtinId="9" hidden="1"/>
    <cellStyle name="Followed Hyperlink" xfId="2998" builtinId="9" hidden="1"/>
    <cellStyle name="Followed Hyperlink" xfId="2990" builtinId="9" hidden="1"/>
    <cellStyle name="Followed Hyperlink" xfId="2982" builtinId="9" hidden="1"/>
    <cellStyle name="Followed Hyperlink" xfId="2974" builtinId="9" hidden="1"/>
    <cellStyle name="Followed Hyperlink" xfId="2966" builtinId="9" hidden="1"/>
    <cellStyle name="Followed Hyperlink" xfId="2958" builtinId="9" hidden="1"/>
    <cellStyle name="Followed Hyperlink" xfId="2950" builtinId="9" hidden="1"/>
    <cellStyle name="Followed Hyperlink" xfId="2942" builtinId="9" hidden="1"/>
    <cellStyle name="Followed Hyperlink" xfId="2934" builtinId="9" hidden="1"/>
    <cellStyle name="Followed Hyperlink" xfId="2926" builtinId="9" hidden="1"/>
    <cellStyle name="Followed Hyperlink" xfId="2918" builtinId="9" hidden="1"/>
    <cellStyle name="Followed Hyperlink" xfId="2910" builtinId="9" hidden="1"/>
    <cellStyle name="Followed Hyperlink" xfId="2902" builtinId="9" hidden="1"/>
    <cellStyle name="Followed Hyperlink" xfId="2894" builtinId="9" hidden="1"/>
    <cellStyle name="Followed Hyperlink" xfId="2886" builtinId="9" hidden="1"/>
    <cellStyle name="Followed Hyperlink" xfId="2878" builtinId="9" hidden="1"/>
    <cellStyle name="Followed Hyperlink" xfId="2870" builtinId="9" hidden="1"/>
    <cellStyle name="Followed Hyperlink" xfId="2862" builtinId="9" hidden="1"/>
    <cellStyle name="Followed Hyperlink" xfId="2854" builtinId="9" hidden="1"/>
    <cellStyle name="Followed Hyperlink" xfId="2846" builtinId="9" hidden="1"/>
    <cellStyle name="Followed Hyperlink" xfId="2838" builtinId="9" hidden="1"/>
    <cellStyle name="Followed Hyperlink" xfId="2830" builtinId="9" hidden="1"/>
    <cellStyle name="Followed Hyperlink" xfId="2822" builtinId="9" hidden="1"/>
    <cellStyle name="Followed Hyperlink" xfId="2814" builtinId="9" hidden="1"/>
    <cellStyle name="Followed Hyperlink" xfId="2806" builtinId="9" hidden="1"/>
    <cellStyle name="Followed Hyperlink" xfId="2798" builtinId="9" hidden="1"/>
    <cellStyle name="Followed Hyperlink" xfId="2790" builtinId="9" hidden="1"/>
    <cellStyle name="Followed Hyperlink" xfId="2782" builtinId="9" hidden="1"/>
    <cellStyle name="Followed Hyperlink" xfId="2774" builtinId="9" hidden="1"/>
    <cellStyle name="Followed Hyperlink" xfId="2766" builtinId="9" hidden="1"/>
    <cellStyle name="Followed Hyperlink" xfId="2758" builtinId="9" hidden="1"/>
    <cellStyle name="Followed Hyperlink" xfId="2750" builtinId="9" hidden="1"/>
    <cellStyle name="Followed Hyperlink" xfId="2742" builtinId="9" hidden="1"/>
    <cellStyle name="Followed Hyperlink" xfId="2734" builtinId="9" hidden="1"/>
    <cellStyle name="Followed Hyperlink" xfId="2726" builtinId="9" hidden="1"/>
    <cellStyle name="Followed Hyperlink" xfId="2718" builtinId="9" hidden="1"/>
    <cellStyle name="Followed Hyperlink" xfId="2710" builtinId="9" hidden="1"/>
    <cellStyle name="Followed Hyperlink" xfId="2702" builtinId="9" hidden="1"/>
    <cellStyle name="Followed Hyperlink" xfId="2694" builtinId="9" hidden="1"/>
    <cellStyle name="Followed Hyperlink" xfId="2686" builtinId="9" hidden="1"/>
    <cellStyle name="Followed Hyperlink" xfId="2678" builtinId="9" hidden="1"/>
    <cellStyle name="Followed Hyperlink" xfId="2670" builtinId="9" hidden="1"/>
    <cellStyle name="Followed Hyperlink" xfId="2662" builtinId="9" hidden="1"/>
    <cellStyle name="Followed Hyperlink" xfId="2654" builtinId="9" hidden="1"/>
    <cellStyle name="Followed Hyperlink" xfId="2646" builtinId="9" hidden="1"/>
    <cellStyle name="Followed Hyperlink" xfId="2638" builtinId="9" hidden="1"/>
    <cellStyle name="Followed Hyperlink" xfId="2630" builtinId="9" hidden="1"/>
    <cellStyle name="Followed Hyperlink" xfId="2622" builtinId="9" hidden="1"/>
    <cellStyle name="Followed Hyperlink" xfId="2614" builtinId="9" hidden="1"/>
    <cellStyle name="Followed Hyperlink" xfId="2606" builtinId="9" hidden="1"/>
    <cellStyle name="Followed Hyperlink" xfId="2598" builtinId="9" hidden="1"/>
    <cellStyle name="Followed Hyperlink" xfId="2590" builtinId="9" hidden="1"/>
    <cellStyle name="Followed Hyperlink" xfId="2582" builtinId="9" hidden="1"/>
    <cellStyle name="Followed Hyperlink" xfId="2574" builtinId="9" hidden="1"/>
    <cellStyle name="Followed Hyperlink" xfId="2566" builtinId="9" hidden="1"/>
    <cellStyle name="Followed Hyperlink" xfId="2558" builtinId="9" hidden="1"/>
    <cellStyle name="Followed Hyperlink" xfId="2550" builtinId="9" hidden="1"/>
    <cellStyle name="Followed Hyperlink" xfId="2542" builtinId="9" hidden="1"/>
    <cellStyle name="Followed Hyperlink" xfId="2534" builtinId="9" hidden="1"/>
    <cellStyle name="Followed Hyperlink" xfId="2526" builtinId="9" hidden="1"/>
    <cellStyle name="Followed Hyperlink" xfId="2518" builtinId="9" hidden="1"/>
    <cellStyle name="Followed Hyperlink" xfId="2510" builtinId="9" hidden="1"/>
    <cellStyle name="Followed Hyperlink" xfId="2502" builtinId="9" hidden="1"/>
    <cellStyle name="Followed Hyperlink" xfId="2494" builtinId="9" hidden="1"/>
    <cellStyle name="Followed Hyperlink" xfId="2486" builtinId="9" hidden="1"/>
    <cellStyle name="Followed Hyperlink" xfId="2478" builtinId="9" hidden="1"/>
    <cellStyle name="Followed Hyperlink" xfId="2470" builtinId="9" hidden="1"/>
    <cellStyle name="Followed Hyperlink" xfId="2462" builtinId="9" hidden="1"/>
    <cellStyle name="Followed Hyperlink" xfId="2454" builtinId="9" hidden="1"/>
    <cellStyle name="Followed Hyperlink" xfId="2446" builtinId="9" hidden="1"/>
    <cellStyle name="Followed Hyperlink" xfId="2438" builtinId="9" hidden="1"/>
    <cellStyle name="Followed Hyperlink" xfId="2430" builtinId="9" hidden="1"/>
    <cellStyle name="Followed Hyperlink" xfId="2422" builtinId="9" hidden="1"/>
    <cellStyle name="Followed Hyperlink" xfId="2414" builtinId="9" hidden="1"/>
    <cellStyle name="Followed Hyperlink" xfId="2406" builtinId="9" hidden="1"/>
    <cellStyle name="Followed Hyperlink" xfId="2398" builtinId="9" hidden="1"/>
    <cellStyle name="Followed Hyperlink" xfId="2390" builtinId="9" hidden="1"/>
    <cellStyle name="Followed Hyperlink" xfId="2382" builtinId="9" hidden="1"/>
    <cellStyle name="Followed Hyperlink" xfId="2374" builtinId="9" hidden="1"/>
    <cellStyle name="Followed Hyperlink" xfId="2366" builtinId="9" hidden="1"/>
    <cellStyle name="Followed Hyperlink" xfId="2358" builtinId="9" hidden="1"/>
    <cellStyle name="Followed Hyperlink" xfId="2350" builtinId="9" hidden="1"/>
    <cellStyle name="Followed Hyperlink" xfId="2342" builtinId="9" hidden="1"/>
    <cellStyle name="Followed Hyperlink" xfId="2334" builtinId="9" hidden="1"/>
    <cellStyle name="Followed Hyperlink" xfId="2326" builtinId="9" hidden="1"/>
    <cellStyle name="Followed Hyperlink" xfId="2318" builtinId="9" hidden="1"/>
    <cellStyle name="Followed Hyperlink" xfId="2310" builtinId="9" hidden="1"/>
    <cellStyle name="Followed Hyperlink" xfId="2302" builtinId="9" hidden="1"/>
    <cellStyle name="Followed Hyperlink" xfId="2294" builtinId="9" hidden="1"/>
    <cellStyle name="Followed Hyperlink" xfId="2286" builtinId="9" hidden="1"/>
    <cellStyle name="Followed Hyperlink" xfId="2278" builtinId="9" hidden="1"/>
    <cellStyle name="Followed Hyperlink" xfId="2270" builtinId="9" hidden="1"/>
    <cellStyle name="Followed Hyperlink" xfId="2262" builtinId="9" hidden="1"/>
    <cellStyle name="Followed Hyperlink" xfId="2254" builtinId="9" hidden="1"/>
    <cellStyle name="Followed Hyperlink" xfId="2246" builtinId="9" hidden="1"/>
    <cellStyle name="Followed Hyperlink" xfId="2238" builtinId="9" hidden="1"/>
    <cellStyle name="Followed Hyperlink" xfId="2230" builtinId="9" hidden="1"/>
    <cellStyle name="Followed Hyperlink" xfId="2222" builtinId="9" hidden="1"/>
    <cellStyle name="Followed Hyperlink" xfId="2214" builtinId="9" hidden="1"/>
    <cellStyle name="Followed Hyperlink" xfId="2206" builtinId="9" hidden="1"/>
    <cellStyle name="Followed Hyperlink" xfId="2198" builtinId="9" hidden="1"/>
    <cellStyle name="Followed Hyperlink" xfId="2190" builtinId="9" hidden="1"/>
    <cellStyle name="Followed Hyperlink" xfId="2182" builtinId="9" hidden="1"/>
    <cellStyle name="Followed Hyperlink" xfId="2174" builtinId="9" hidden="1"/>
    <cellStyle name="Followed Hyperlink" xfId="2166" builtinId="9" hidden="1"/>
    <cellStyle name="Followed Hyperlink" xfId="2158" builtinId="9" hidden="1"/>
    <cellStyle name="Followed Hyperlink" xfId="2150" builtinId="9" hidden="1"/>
    <cellStyle name="Followed Hyperlink" xfId="2142" builtinId="9" hidden="1"/>
    <cellStyle name="Followed Hyperlink" xfId="2134" builtinId="9" hidden="1"/>
    <cellStyle name="Followed Hyperlink" xfId="2126" builtinId="9" hidden="1"/>
    <cellStyle name="Followed Hyperlink" xfId="2118" builtinId="9" hidden="1"/>
    <cellStyle name="Followed Hyperlink" xfId="2110" builtinId="9" hidden="1"/>
    <cellStyle name="Followed Hyperlink" xfId="2102" builtinId="9" hidden="1"/>
    <cellStyle name="Followed Hyperlink" xfId="2094" builtinId="9" hidden="1"/>
    <cellStyle name="Followed Hyperlink" xfId="2086" builtinId="9" hidden="1"/>
    <cellStyle name="Followed Hyperlink" xfId="2078" builtinId="9" hidden="1"/>
    <cellStyle name="Followed Hyperlink" xfId="2070" builtinId="9" hidden="1"/>
    <cellStyle name="Followed Hyperlink" xfId="2062" builtinId="9" hidden="1"/>
    <cellStyle name="Followed Hyperlink" xfId="2054" builtinId="9" hidden="1"/>
    <cellStyle name="Followed Hyperlink" xfId="2046" builtinId="9" hidden="1"/>
    <cellStyle name="Followed Hyperlink" xfId="2038" builtinId="9" hidden="1"/>
    <cellStyle name="Followed Hyperlink" xfId="2030" builtinId="9" hidden="1"/>
    <cellStyle name="Followed Hyperlink" xfId="2022" builtinId="9" hidden="1"/>
    <cellStyle name="Followed Hyperlink" xfId="2014" builtinId="9" hidden="1"/>
    <cellStyle name="Followed Hyperlink" xfId="2006" builtinId="9" hidden="1"/>
    <cellStyle name="Followed Hyperlink" xfId="1998" builtinId="9" hidden="1"/>
    <cellStyle name="Followed Hyperlink" xfId="1990" builtinId="9" hidden="1"/>
    <cellStyle name="Followed Hyperlink" xfId="1982" builtinId="9" hidden="1"/>
    <cellStyle name="Followed Hyperlink" xfId="1974" builtinId="9" hidden="1"/>
    <cellStyle name="Followed Hyperlink" xfId="1966" builtinId="9" hidden="1"/>
    <cellStyle name="Followed Hyperlink" xfId="1958" builtinId="9" hidden="1"/>
    <cellStyle name="Followed Hyperlink" xfId="1950" builtinId="9" hidden="1"/>
    <cellStyle name="Followed Hyperlink" xfId="1942" builtinId="9" hidden="1"/>
    <cellStyle name="Followed Hyperlink" xfId="1934" builtinId="9" hidden="1"/>
    <cellStyle name="Followed Hyperlink" xfId="1926" builtinId="9" hidden="1"/>
    <cellStyle name="Followed Hyperlink" xfId="1918" builtinId="9" hidden="1"/>
    <cellStyle name="Followed Hyperlink" xfId="1910" builtinId="9" hidden="1"/>
    <cellStyle name="Followed Hyperlink" xfId="1902" builtinId="9" hidden="1"/>
    <cellStyle name="Followed Hyperlink" xfId="1894" builtinId="9" hidden="1"/>
    <cellStyle name="Followed Hyperlink" xfId="1886" builtinId="9" hidden="1"/>
    <cellStyle name="Followed Hyperlink" xfId="1878" builtinId="9" hidden="1"/>
    <cellStyle name="Followed Hyperlink" xfId="1870" builtinId="9" hidden="1"/>
    <cellStyle name="Followed Hyperlink" xfId="1862" builtinId="9" hidden="1"/>
    <cellStyle name="Followed Hyperlink" xfId="1854" builtinId="9" hidden="1"/>
    <cellStyle name="Followed Hyperlink" xfId="1846" builtinId="9" hidden="1"/>
    <cellStyle name="Followed Hyperlink" xfId="1838" builtinId="9" hidden="1"/>
    <cellStyle name="Followed Hyperlink" xfId="1830" builtinId="9" hidden="1"/>
    <cellStyle name="Followed Hyperlink" xfId="1822" builtinId="9" hidden="1"/>
    <cellStyle name="Followed Hyperlink" xfId="1814" builtinId="9" hidden="1"/>
    <cellStyle name="Followed Hyperlink" xfId="1806" builtinId="9" hidden="1"/>
    <cellStyle name="Followed Hyperlink" xfId="1798" builtinId="9" hidden="1"/>
    <cellStyle name="Followed Hyperlink" xfId="1790" builtinId="9" hidden="1"/>
    <cellStyle name="Followed Hyperlink" xfId="1782" builtinId="9" hidden="1"/>
    <cellStyle name="Followed Hyperlink" xfId="1774" builtinId="9" hidden="1"/>
    <cellStyle name="Followed Hyperlink" xfId="1766" builtinId="9" hidden="1"/>
    <cellStyle name="Followed Hyperlink" xfId="1758" builtinId="9" hidden="1"/>
    <cellStyle name="Followed Hyperlink" xfId="1750" builtinId="9" hidden="1"/>
    <cellStyle name="Followed Hyperlink" xfId="1742" builtinId="9" hidden="1"/>
    <cellStyle name="Followed Hyperlink" xfId="1734" builtinId="9" hidden="1"/>
    <cellStyle name="Followed Hyperlink" xfId="1726" builtinId="9" hidden="1"/>
    <cellStyle name="Followed Hyperlink" xfId="1718" builtinId="9" hidden="1"/>
    <cellStyle name="Followed Hyperlink" xfId="1710" builtinId="9" hidden="1"/>
    <cellStyle name="Followed Hyperlink" xfId="1702" builtinId="9" hidden="1"/>
    <cellStyle name="Followed Hyperlink" xfId="1694" builtinId="9" hidden="1"/>
    <cellStyle name="Followed Hyperlink" xfId="1686" builtinId="9" hidden="1"/>
    <cellStyle name="Followed Hyperlink" xfId="1678" builtinId="9" hidden="1"/>
    <cellStyle name="Followed Hyperlink" xfId="1670" builtinId="9" hidden="1"/>
    <cellStyle name="Followed Hyperlink" xfId="1662" builtinId="9" hidden="1"/>
    <cellStyle name="Followed Hyperlink" xfId="1654" builtinId="9" hidden="1"/>
    <cellStyle name="Followed Hyperlink" xfId="1646" builtinId="9" hidden="1"/>
    <cellStyle name="Followed Hyperlink" xfId="1638" builtinId="9" hidden="1"/>
    <cellStyle name="Followed Hyperlink" xfId="1630" builtinId="9" hidden="1"/>
    <cellStyle name="Followed Hyperlink" xfId="1622" builtinId="9" hidden="1"/>
    <cellStyle name="Followed Hyperlink" xfId="1614" builtinId="9" hidden="1"/>
    <cellStyle name="Followed Hyperlink" xfId="1606" builtinId="9" hidden="1"/>
    <cellStyle name="Followed Hyperlink" xfId="1598" builtinId="9" hidden="1"/>
    <cellStyle name="Followed Hyperlink" xfId="1590" builtinId="9" hidden="1"/>
    <cellStyle name="Followed Hyperlink" xfId="1582" builtinId="9" hidden="1"/>
    <cellStyle name="Followed Hyperlink" xfId="1574" builtinId="9" hidden="1"/>
    <cellStyle name="Followed Hyperlink" xfId="1566" builtinId="9" hidden="1"/>
    <cellStyle name="Followed Hyperlink" xfId="1558" builtinId="9" hidden="1"/>
    <cellStyle name="Followed Hyperlink" xfId="1550" builtinId="9" hidden="1"/>
    <cellStyle name="Followed Hyperlink" xfId="1542" builtinId="9" hidden="1"/>
    <cellStyle name="Followed Hyperlink" xfId="1534" builtinId="9" hidden="1"/>
    <cellStyle name="Followed Hyperlink" xfId="1526" builtinId="9" hidden="1"/>
    <cellStyle name="Followed Hyperlink" xfId="1518" builtinId="9" hidden="1"/>
    <cellStyle name="Followed Hyperlink" xfId="1510" builtinId="9" hidden="1"/>
    <cellStyle name="Followed Hyperlink" xfId="1502" builtinId="9" hidden="1"/>
    <cellStyle name="Followed Hyperlink" xfId="1494" builtinId="9" hidden="1"/>
    <cellStyle name="Followed Hyperlink" xfId="1486" builtinId="9" hidden="1"/>
    <cellStyle name="Followed Hyperlink" xfId="1478" builtinId="9" hidden="1"/>
    <cellStyle name="Followed Hyperlink" xfId="1470" builtinId="9" hidden="1"/>
    <cellStyle name="Followed Hyperlink" xfId="1462" builtinId="9" hidden="1"/>
    <cellStyle name="Followed Hyperlink" xfId="1454" builtinId="9" hidden="1"/>
    <cellStyle name="Followed Hyperlink" xfId="1446" builtinId="9" hidden="1"/>
    <cellStyle name="Followed Hyperlink" xfId="1438" builtinId="9" hidden="1"/>
    <cellStyle name="Followed Hyperlink" xfId="1430" builtinId="9" hidden="1"/>
    <cellStyle name="Followed Hyperlink" xfId="1422" builtinId="9" hidden="1"/>
    <cellStyle name="Followed Hyperlink" xfId="1414" builtinId="9" hidden="1"/>
    <cellStyle name="Followed Hyperlink" xfId="1406" builtinId="9" hidden="1"/>
    <cellStyle name="Followed Hyperlink" xfId="1398" builtinId="9" hidden="1"/>
    <cellStyle name="Followed Hyperlink" xfId="1390" builtinId="9" hidden="1"/>
    <cellStyle name="Followed Hyperlink" xfId="1382" builtinId="9" hidden="1"/>
    <cellStyle name="Followed Hyperlink" xfId="1374" builtinId="9" hidden="1"/>
    <cellStyle name="Followed Hyperlink" xfId="1366" builtinId="9" hidden="1"/>
    <cellStyle name="Followed Hyperlink" xfId="1358" builtinId="9" hidden="1"/>
    <cellStyle name="Followed Hyperlink" xfId="1350" builtinId="9" hidden="1"/>
    <cellStyle name="Followed Hyperlink" xfId="1342" builtinId="9" hidden="1"/>
    <cellStyle name="Followed Hyperlink" xfId="1334" builtinId="9" hidden="1"/>
    <cellStyle name="Followed Hyperlink" xfId="1326" builtinId="9" hidden="1"/>
    <cellStyle name="Followed Hyperlink" xfId="1318" builtinId="9" hidden="1"/>
    <cellStyle name="Followed Hyperlink" xfId="1310" builtinId="9" hidden="1"/>
    <cellStyle name="Followed Hyperlink" xfId="1302" builtinId="9" hidden="1"/>
    <cellStyle name="Followed Hyperlink" xfId="1294" builtinId="9" hidden="1"/>
    <cellStyle name="Followed Hyperlink" xfId="1286" builtinId="9" hidden="1"/>
    <cellStyle name="Followed Hyperlink" xfId="1278" builtinId="9" hidden="1"/>
    <cellStyle name="Followed Hyperlink" xfId="1270" builtinId="9" hidden="1"/>
    <cellStyle name="Followed Hyperlink" xfId="1262" builtinId="9" hidden="1"/>
    <cellStyle name="Followed Hyperlink" xfId="1254" builtinId="9" hidden="1"/>
    <cellStyle name="Followed Hyperlink" xfId="1246" builtinId="9" hidden="1"/>
    <cellStyle name="Followed Hyperlink" xfId="1238" builtinId="9" hidden="1"/>
    <cellStyle name="Followed Hyperlink" xfId="1230" builtinId="9" hidden="1"/>
    <cellStyle name="Followed Hyperlink" xfId="1222" builtinId="9" hidden="1"/>
    <cellStyle name="Followed Hyperlink" xfId="1214" builtinId="9" hidden="1"/>
    <cellStyle name="Followed Hyperlink" xfId="1206" builtinId="9" hidden="1"/>
    <cellStyle name="Followed Hyperlink" xfId="1198" builtinId="9" hidden="1"/>
    <cellStyle name="Followed Hyperlink" xfId="1190" builtinId="9" hidden="1"/>
    <cellStyle name="Followed Hyperlink" xfId="1182" builtinId="9" hidden="1"/>
    <cellStyle name="Followed Hyperlink" xfId="1174" builtinId="9" hidden="1"/>
    <cellStyle name="Followed Hyperlink" xfId="1166" builtinId="9" hidden="1"/>
    <cellStyle name="Followed Hyperlink" xfId="1158" builtinId="9" hidden="1"/>
    <cellStyle name="Followed Hyperlink" xfId="1150" builtinId="9" hidden="1"/>
    <cellStyle name="Followed Hyperlink" xfId="1142" builtinId="9" hidden="1"/>
    <cellStyle name="Followed Hyperlink" xfId="1134" builtinId="9" hidden="1"/>
    <cellStyle name="Followed Hyperlink" xfId="1126" builtinId="9" hidden="1"/>
    <cellStyle name="Followed Hyperlink" xfId="1118" builtinId="9" hidden="1"/>
    <cellStyle name="Followed Hyperlink" xfId="1110" builtinId="9" hidden="1"/>
    <cellStyle name="Followed Hyperlink" xfId="1102" builtinId="9" hidden="1"/>
    <cellStyle name="Followed Hyperlink" xfId="1094" builtinId="9" hidden="1"/>
    <cellStyle name="Followed Hyperlink" xfId="1086" builtinId="9" hidden="1"/>
    <cellStyle name="Followed Hyperlink" xfId="1078" builtinId="9" hidden="1"/>
    <cellStyle name="Followed Hyperlink" xfId="1070" builtinId="9" hidden="1"/>
    <cellStyle name="Followed Hyperlink" xfId="1062" builtinId="9" hidden="1"/>
    <cellStyle name="Followed Hyperlink" xfId="1054" builtinId="9" hidden="1"/>
    <cellStyle name="Followed Hyperlink" xfId="1046" builtinId="9" hidden="1"/>
    <cellStyle name="Followed Hyperlink" xfId="1038" builtinId="9" hidden="1"/>
    <cellStyle name="Followed Hyperlink" xfId="1030" builtinId="9" hidden="1"/>
    <cellStyle name="Followed Hyperlink" xfId="1022" builtinId="9" hidden="1"/>
    <cellStyle name="Followed Hyperlink" xfId="1014" builtinId="9" hidden="1"/>
    <cellStyle name="Followed Hyperlink" xfId="1006" builtinId="9" hidden="1"/>
    <cellStyle name="Followed Hyperlink" xfId="998" builtinId="9" hidden="1"/>
    <cellStyle name="Followed Hyperlink" xfId="990" builtinId="9" hidden="1"/>
    <cellStyle name="Followed Hyperlink" xfId="982" builtinId="9" hidden="1"/>
    <cellStyle name="Followed Hyperlink" xfId="974" builtinId="9" hidden="1"/>
    <cellStyle name="Followed Hyperlink" xfId="966" builtinId="9" hidden="1"/>
    <cellStyle name="Followed Hyperlink" xfId="958" builtinId="9" hidden="1"/>
    <cellStyle name="Followed Hyperlink" xfId="950" builtinId="9" hidden="1"/>
    <cellStyle name="Followed Hyperlink" xfId="942" builtinId="9" hidden="1"/>
    <cellStyle name="Followed Hyperlink" xfId="934" builtinId="9" hidden="1"/>
    <cellStyle name="Followed Hyperlink" xfId="926" builtinId="9" hidden="1"/>
    <cellStyle name="Followed Hyperlink" xfId="918" builtinId="9" hidden="1"/>
    <cellStyle name="Followed Hyperlink" xfId="910" builtinId="9" hidden="1"/>
    <cellStyle name="Followed Hyperlink" xfId="902" builtinId="9" hidden="1"/>
    <cellStyle name="Followed Hyperlink" xfId="894" builtinId="9" hidden="1"/>
    <cellStyle name="Followed Hyperlink" xfId="886" builtinId="9" hidden="1"/>
    <cellStyle name="Followed Hyperlink" xfId="878" builtinId="9" hidden="1"/>
    <cellStyle name="Followed Hyperlink" xfId="870" builtinId="9" hidden="1"/>
    <cellStyle name="Followed Hyperlink" xfId="862" builtinId="9" hidden="1"/>
    <cellStyle name="Followed Hyperlink" xfId="854" builtinId="9" hidden="1"/>
    <cellStyle name="Followed Hyperlink" xfId="846" builtinId="9" hidden="1"/>
    <cellStyle name="Followed Hyperlink" xfId="838" builtinId="9" hidden="1"/>
    <cellStyle name="Followed Hyperlink" xfId="830" builtinId="9" hidden="1"/>
    <cellStyle name="Followed Hyperlink" xfId="822" builtinId="9" hidden="1"/>
    <cellStyle name="Followed Hyperlink" xfId="814" builtinId="9" hidden="1"/>
    <cellStyle name="Followed Hyperlink" xfId="806" builtinId="9" hidden="1"/>
    <cellStyle name="Followed Hyperlink" xfId="797" builtinId="9" hidden="1"/>
    <cellStyle name="Followed Hyperlink" xfId="789" builtinId="9" hidden="1"/>
    <cellStyle name="Followed Hyperlink" xfId="781" builtinId="9" hidden="1"/>
    <cellStyle name="Followed Hyperlink" xfId="773" builtinId="9" hidden="1"/>
    <cellStyle name="Followed Hyperlink" xfId="765" builtinId="9" hidden="1"/>
    <cellStyle name="Followed Hyperlink" xfId="757" builtinId="9" hidden="1"/>
    <cellStyle name="Followed Hyperlink" xfId="749" builtinId="9" hidden="1"/>
    <cellStyle name="Followed Hyperlink" xfId="741" builtinId="9" hidden="1"/>
    <cellStyle name="Followed Hyperlink" xfId="733" builtinId="9" hidden="1"/>
    <cellStyle name="Followed Hyperlink" xfId="725" builtinId="9" hidden="1"/>
    <cellStyle name="Followed Hyperlink" xfId="717" builtinId="9" hidden="1"/>
    <cellStyle name="Followed Hyperlink" xfId="709" builtinId="9" hidden="1"/>
    <cellStyle name="Followed Hyperlink" xfId="701" builtinId="9" hidden="1"/>
    <cellStyle name="Followed Hyperlink" xfId="693" builtinId="9" hidden="1"/>
    <cellStyle name="Followed Hyperlink" xfId="685" builtinId="9" hidden="1"/>
    <cellStyle name="Followed Hyperlink" xfId="677" builtinId="9" hidden="1"/>
    <cellStyle name="Followed Hyperlink" xfId="669" builtinId="9" hidden="1"/>
    <cellStyle name="Followed Hyperlink" xfId="661" builtinId="9" hidden="1"/>
    <cellStyle name="Followed Hyperlink" xfId="653" builtinId="9" hidden="1"/>
    <cellStyle name="Followed Hyperlink" xfId="645" builtinId="9" hidden="1"/>
    <cellStyle name="Followed Hyperlink" xfId="637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Good" xfId="5531" builtinId="26"/>
    <cellStyle name="Hyperlink" xfId="3993" builtinId="8" hidden="1"/>
    <cellStyle name="Hyperlink" xfId="3995" builtinId="8" hidden="1"/>
    <cellStyle name="Hyperlink" xfId="4001" builtinId="8" hidden="1"/>
    <cellStyle name="Hyperlink" xfId="4003" builtinId="8" hidden="1"/>
    <cellStyle name="Hyperlink" xfId="4007" builtinId="8" hidden="1"/>
    <cellStyle name="Hyperlink" xfId="4011" builtinId="8" hidden="1"/>
    <cellStyle name="Hyperlink" xfId="4015" builtinId="8" hidden="1"/>
    <cellStyle name="Hyperlink" xfId="4017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33" builtinId="8" hidden="1"/>
    <cellStyle name="Hyperlink" xfId="4035" builtinId="8" hidden="1"/>
    <cellStyle name="Hyperlink" xfId="4039" builtinId="8" hidden="1"/>
    <cellStyle name="Hyperlink" xfId="4043" builtinId="8" hidden="1"/>
    <cellStyle name="Hyperlink" xfId="4047" builtinId="8" hidden="1"/>
    <cellStyle name="Hyperlink" xfId="4049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5" builtinId="8" hidden="1"/>
    <cellStyle name="Hyperlink" xfId="4067" builtinId="8" hidden="1"/>
    <cellStyle name="Hyperlink" xfId="4071" builtinId="8" hidden="1"/>
    <cellStyle name="Hyperlink" xfId="4075" builtinId="8" hidden="1"/>
    <cellStyle name="Hyperlink" xfId="4079" builtinId="8" hidden="1"/>
    <cellStyle name="Hyperlink" xfId="4081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7" builtinId="8" hidden="1"/>
    <cellStyle name="Hyperlink" xfId="4099" builtinId="8" hidden="1"/>
    <cellStyle name="Hyperlink" xfId="4103" builtinId="8" hidden="1"/>
    <cellStyle name="Hyperlink" xfId="4107" builtinId="8" hidden="1"/>
    <cellStyle name="Hyperlink" xfId="4111" builtinId="8" hidden="1"/>
    <cellStyle name="Hyperlink" xfId="4113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9" builtinId="8" hidden="1"/>
    <cellStyle name="Hyperlink" xfId="4131" builtinId="8" hidden="1"/>
    <cellStyle name="Hyperlink" xfId="4135" builtinId="8" hidden="1"/>
    <cellStyle name="Hyperlink" xfId="4139" builtinId="8" hidden="1"/>
    <cellStyle name="Hyperlink" xfId="4143" builtinId="8" hidden="1"/>
    <cellStyle name="Hyperlink" xfId="4145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61" builtinId="8" hidden="1"/>
    <cellStyle name="Hyperlink" xfId="4163" builtinId="8" hidden="1"/>
    <cellStyle name="Hyperlink" xfId="4167" builtinId="8" hidden="1"/>
    <cellStyle name="Hyperlink" xfId="4171" builtinId="8" hidden="1"/>
    <cellStyle name="Hyperlink" xfId="4175" builtinId="8" hidden="1"/>
    <cellStyle name="Hyperlink" xfId="4177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93" builtinId="8" hidden="1"/>
    <cellStyle name="Hyperlink" xfId="4195" builtinId="8" hidden="1"/>
    <cellStyle name="Hyperlink" xfId="4199" builtinId="8" hidden="1"/>
    <cellStyle name="Hyperlink" xfId="4203" builtinId="8" hidden="1"/>
    <cellStyle name="Hyperlink" xfId="4207" builtinId="8" hidden="1"/>
    <cellStyle name="Hyperlink" xfId="4209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5" builtinId="8" hidden="1"/>
    <cellStyle name="Hyperlink" xfId="4227" builtinId="8" hidden="1"/>
    <cellStyle name="Hyperlink" xfId="4231" builtinId="8" hidden="1"/>
    <cellStyle name="Hyperlink" xfId="4235" builtinId="8" hidden="1"/>
    <cellStyle name="Hyperlink" xfId="4239" builtinId="8" hidden="1"/>
    <cellStyle name="Hyperlink" xfId="4241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7" builtinId="8" hidden="1"/>
    <cellStyle name="Hyperlink" xfId="4259" builtinId="8" hidden="1"/>
    <cellStyle name="Hyperlink" xfId="4263" builtinId="8" hidden="1"/>
    <cellStyle name="Hyperlink" xfId="4267" builtinId="8" hidden="1"/>
    <cellStyle name="Hyperlink" xfId="4271" builtinId="8" hidden="1"/>
    <cellStyle name="Hyperlink" xfId="4273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9" builtinId="8" hidden="1"/>
    <cellStyle name="Hyperlink" xfId="4291" builtinId="8" hidden="1"/>
    <cellStyle name="Hyperlink" xfId="4295" builtinId="8" hidden="1"/>
    <cellStyle name="Hyperlink" xfId="4299" builtinId="8" hidden="1"/>
    <cellStyle name="Hyperlink" xfId="4303" builtinId="8" hidden="1"/>
    <cellStyle name="Hyperlink" xfId="4305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21" builtinId="8" hidden="1"/>
    <cellStyle name="Hyperlink" xfId="4323" builtinId="8" hidden="1"/>
    <cellStyle name="Hyperlink" xfId="4327" builtinId="8" hidden="1"/>
    <cellStyle name="Hyperlink" xfId="4331" builtinId="8" hidden="1"/>
    <cellStyle name="Hyperlink" xfId="4335" builtinId="8" hidden="1"/>
    <cellStyle name="Hyperlink" xfId="4337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53" builtinId="8" hidden="1"/>
    <cellStyle name="Hyperlink" xfId="4355" builtinId="8" hidden="1"/>
    <cellStyle name="Hyperlink" xfId="4359" builtinId="8" hidden="1"/>
    <cellStyle name="Hyperlink" xfId="4363" builtinId="8" hidden="1"/>
    <cellStyle name="Hyperlink" xfId="4367" builtinId="8" hidden="1"/>
    <cellStyle name="Hyperlink" xfId="4369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5" builtinId="8" hidden="1"/>
    <cellStyle name="Hyperlink" xfId="4387" builtinId="8" hidden="1"/>
    <cellStyle name="Hyperlink" xfId="4391" builtinId="8" hidden="1"/>
    <cellStyle name="Hyperlink" xfId="4395" builtinId="8" hidden="1"/>
    <cellStyle name="Hyperlink" xfId="4399" builtinId="8" hidden="1"/>
    <cellStyle name="Hyperlink" xfId="4401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7" builtinId="8" hidden="1"/>
    <cellStyle name="Hyperlink" xfId="4419" builtinId="8" hidden="1"/>
    <cellStyle name="Hyperlink" xfId="4423" builtinId="8" hidden="1"/>
    <cellStyle name="Hyperlink" xfId="4427" builtinId="8" hidden="1"/>
    <cellStyle name="Hyperlink" xfId="4431" builtinId="8" hidden="1"/>
    <cellStyle name="Hyperlink" xfId="4433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9" builtinId="8" hidden="1"/>
    <cellStyle name="Hyperlink" xfId="4451" builtinId="8" hidden="1"/>
    <cellStyle name="Hyperlink" xfId="4455" builtinId="8" hidden="1"/>
    <cellStyle name="Hyperlink" xfId="4459" builtinId="8" hidden="1"/>
    <cellStyle name="Hyperlink" xfId="4463" builtinId="8" hidden="1"/>
    <cellStyle name="Hyperlink" xfId="4465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81" builtinId="8" hidden="1"/>
    <cellStyle name="Hyperlink" xfId="4483" builtinId="8" hidden="1"/>
    <cellStyle name="Hyperlink" xfId="4487" builtinId="8" hidden="1"/>
    <cellStyle name="Hyperlink" xfId="4491" builtinId="8" hidden="1"/>
    <cellStyle name="Hyperlink" xfId="4495" builtinId="8" hidden="1"/>
    <cellStyle name="Hyperlink" xfId="4497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13" builtinId="8" hidden="1"/>
    <cellStyle name="Hyperlink" xfId="4515" builtinId="8" hidden="1"/>
    <cellStyle name="Hyperlink" xfId="4519" builtinId="8" hidden="1"/>
    <cellStyle name="Hyperlink" xfId="4523" builtinId="8" hidden="1"/>
    <cellStyle name="Hyperlink" xfId="4527" builtinId="8" hidden="1"/>
    <cellStyle name="Hyperlink" xfId="4529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5" builtinId="8" hidden="1"/>
    <cellStyle name="Hyperlink" xfId="4547" builtinId="8" hidden="1"/>
    <cellStyle name="Hyperlink" xfId="4551" builtinId="8" hidden="1"/>
    <cellStyle name="Hyperlink" xfId="4555" builtinId="8" hidden="1"/>
    <cellStyle name="Hyperlink" xfId="4559" builtinId="8" hidden="1"/>
    <cellStyle name="Hyperlink" xfId="4561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7" builtinId="8" hidden="1"/>
    <cellStyle name="Hyperlink" xfId="4579" builtinId="8" hidden="1"/>
    <cellStyle name="Hyperlink" xfId="4583" builtinId="8" hidden="1"/>
    <cellStyle name="Hyperlink" xfId="4587" builtinId="8" hidden="1"/>
    <cellStyle name="Hyperlink" xfId="4591" builtinId="8" hidden="1"/>
    <cellStyle name="Hyperlink" xfId="4593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9" builtinId="8" hidden="1"/>
    <cellStyle name="Hyperlink" xfId="4611" builtinId="8" hidden="1"/>
    <cellStyle name="Hyperlink" xfId="4615" builtinId="8" hidden="1"/>
    <cellStyle name="Hyperlink" xfId="4619" builtinId="8" hidden="1"/>
    <cellStyle name="Hyperlink" xfId="4623" builtinId="8" hidden="1"/>
    <cellStyle name="Hyperlink" xfId="4625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41" builtinId="8" hidden="1"/>
    <cellStyle name="Hyperlink" xfId="4643" builtinId="8" hidden="1"/>
    <cellStyle name="Hyperlink" xfId="4647" builtinId="8" hidden="1"/>
    <cellStyle name="Hyperlink" xfId="4651" builtinId="8" hidden="1"/>
    <cellStyle name="Hyperlink" xfId="4655" builtinId="8" hidden="1"/>
    <cellStyle name="Hyperlink" xfId="4657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73" builtinId="8" hidden="1"/>
    <cellStyle name="Hyperlink" xfId="4675" builtinId="8" hidden="1"/>
    <cellStyle name="Hyperlink" xfId="4679" builtinId="8" hidden="1"/>
    <cellStyle name="Hyperlink" xfId="4683" builtinId="8" hidden="1"/>
    <cellStyle name="Hyperlink" xfId="4687" builtinId="8" hidden="1"/>
    <cellStyle name="Hyperlink" xfId="4689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5" builtinId="8" hidden="1"/>
    <cellStyle name="Hyperlink" xfId="4707" builtinId="8" hidden="1"/>
    <cellStyle name="Hyperlink" xfId="4711" builtinId="8" hidden="1"/>
    <cellStyle name="Hyperlink" xfId="4715" builtinId="8" hidden="1"/>
    <cellStyle name="Hyperlink" xfId="4719" builtinId="8" hidden="1"/>
    <cellStyle name="Hyperlink" xfId="4721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7" builtinId="8" hidden="1"/>
    <cellStyle name="Hyperlink" xfId="4739" builtinId="8" hidden="1"/>
    <cellStyle name="Hyperlink" xfId="4743" builtinId="8" hidden="1"/>
    <cellStyle name="Hyperlink" xfId="4747" builtinId="8" hidden="1"/>
    <cellStyle name="Hyperlink" xfId="4751" builtinId="8" hidden="1"/>
    <cellStyle name="Hyperlink" xfId="4753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9" builtinId="8" hidden="1"/>
    <cellStyle name="Hyperlink" xfId="4771" builtinId="8" hidden="1"/>
    <cellStyle name="Hyperlink" xfId="4775" builtinId="8" hidden="1"/>
    <cellStyle name="Hyperlink" xfId="4779" builtinId="8" hidden="1"/>
    <cellStyle name="Hyperlink" xfId="4783" builtinId="8" hidden="1"/>
    <cellStyle name="Hyperlink" xfId="4785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801" builtinId="8" hidden="1"/>
    <cellStyle name="Hyperlink" xfId="4803" builtinId="8" hidden="1"/>
    <cellStyle name="Hyperlink" xfId="4807" builtinId="8" hidden="1"/>
    <cellStyle name="Hyperlink" xfId="4811" builtinId="8" hidden="1"/>
    <cellStyle name="Hyperlink" xfId="4815" builtinId="8" hidden="1"/>
    <cellStyle name="Hyperlink" xfId="4817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33" builtinId="8" hidden="1"/>
    <cellStyle name="Hyperlink" xfId="4835" builtinId="8" hidden="1"/>
    <cellStyle name="Hyperlink" xfId="4839" builtinId="8" hidden="1"/>
    <cellStyle name="Hyperlink" xfId="4843" builtinId="8" hidden="1"/>
    <cellStyle name="Hyperlink" xfId="4847" builtinId="8" hidden="1"/>
    <cellStyle name="Hyperlink" xfId="4849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5" builtinId="8" hidden="1"/>
    <cellStyle name="Hyperlink" xfId="4867" builtinId="8" hidden="1"/>
    <cellStyle name="Hyperlink" xfId="4871" builtinId="8" hidden="1"/>
    <cellStyle name="Hyperlink" xfId="4875" builtinId="8" hidden="1"/>
    <cellStyle name="Hyperlink" xfId="4879" builtinId="8" hidden="1"/>
    <cellStyle name="Hyperlink" xfId="4881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7" builtinId="8" hidden="1"/>
    <cellStyle name="Hyperlink" xfId="4899" builtinId="8" hidden="1"/>
    <cellStyle name="Hyperlink" xfId="4903" builtinId="8" hidden="1"/>
    <cellStyle name="Hyperlink" xfId="4907" builtinId="8" hidden="1"/>
    <cellStyle name="Hyperlink" xfId="4911" builtinId="8" hidden="1"/>
    <cellStyle name="Hyperlink" xfId="4913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9" builtinId="8" hidden="1"/>
    <cellStyle name="Hyperlink" xfId="4931" builtinId="8" hidden="1"/>
    <cellStyle name="Hyperlink" xfId="4935" builtinId="8" hidden="1"/>
    <cellStyle name="Hyperlink" xfId="4939" builtinId="8" hidden="1"/>
    <cellStyle name="Hyperlink" xfId="4943" builtinId="8" hidden="1"/>
    <cellStyle name="Hyperlink" xfId="4945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61" builtinId="8" hidden="1"/>
    <cellStyle name="Hyperlink" xfId="4963" builtinId="8" hidden="1"/>
    <cellStyle name="Hyperlink" xfId="4967" builtinId="8" hidden="1"/>
    <cellStyle name="Hyperlink" xfId="4971" builtinId="8" hidden="1"/>
    <cellStyle name="Hyperlink" xfId="4975" builtinId="8" hidden="1"/>
    <cellStyle name="Hyperlink" xfId="4977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93" builtinId="8" hidden="1"/>
    <cellStyle name="Hyperlink" xfId="4995" builtinId="8" hidden="1"/>
    <cellStyle name="Hyperlink" xfId="4999" builtinId="8" hidden="1"/>
    <cellStyle name="Hyperlink" xfId="5003" builtinId="8" hidden="1"/>
    <cellStyle name="Hyperlink" xfId="5007" builtinId="8" hidden="1"/>
    <cellStyle name="Hyperlink" xfId="5009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5" builtinId="8" hidden="1"/>
    <cellStyle name="Hyperlink" xfId="5027" builtinId="8" hidden="1"/>
    <cellStyle name="Hyperlink" xfId="5031" builtinId="8" hidden="1"/>
    <cellStyle name="Hyperlink" xfId="5035" builtinId="8" hidden="1"/>
    <cellStyle name="Hyperlink" xfId="5039" builtinId="8" hidden="1"/>
    <cellStyle name="Hyperlink" xfId="5041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7" builtinId="8" hidden="1"/>
    <cellStyle name="Hyperlink" xfId="5053" builtinId="8" hidden="1"/>
    <cellStyle name="Hyperlink" xfId="5045" builtinId="8" hidden="1"/>
    <cellStyle name="Hyperlink" xfId="5029" builtinId="8" hidden="1"/>
    <cellStyle name="Hyperlink" xfId="5021" builtinId="8" hidden="1"/>
    <cellStyle name="Hyperlink" xfId="5013" builtinId="8" hidden="1"/>
    <cellStyle name="Hyperlink" xfId="4997" builtinId="8" hidden="1"/>
    <cellStyle name="Hyperlink" xfId="4989" builtinId="8" hidden="1"/>
    <cellStyle name="Hyperlink" xfId="4981" builtinId="8" hidden="1"/>
    <cellStyle name="Hyperlink" xfId="4965" builtinId="8" hidden="1"/>
    <cellStyle name="Hyperlink" xfId="4957" builtinId="8" hidden="1"/>
    <cellStyle name="Hyperlink" xfId="4949" builtinId="8" hidden="1"/>
    <cellStyle name="Hyperlink" xfId="4933" builtinId="8" hidden="1"/>
    <cellStyle name="Hyperlink" xfId="4925" builtinId="8" hidden="1"/>
    <cellStyle name="Hyperlink" xfId="4917" builtinId="8" hidden="1"/>
    <cellStyle name="Hyperlink" xfId="4901" builtinId="8" hidden="1"/>
    <cellStyle name="Hyperlink" xfId="4893" builtinId="8" hidden="1"/>
    <cellStyle name="Hyperlink" xfId="4885" builtinId="8" hidden="1"/>
    <cellStyle name="Hyperlink" xfId="4869" builtinId="8" hidden="1"/>
    <cellStyle name="Hyperlink" xfId="4861" builtinId="8" hidden="1"/>
    <cellStyle name="Hyperlink" xfId="4853" builtinId="8" hidden="1"/>
    <cellStyle name="Hyperlink" xfId="4837" builtinId="8" hidden="1"/>
    <cellStyle name="Hyperlink" xfId="4829" builtinId="8" hidden="1"/>
    <cellStyle name="Hyperlink" xfId="4821" builtinId="8" hidden="1"/>
    <cellStyle name="Hyperlink" xfId="4805" builtinId="8" hidden="1"/>
    <cellStyle name="Hyperlink" xfId="4797" builtinId="8" hidden="1"/>
    <cellStyle name="Hyperlink" xfId="4789" builtinId="8" hidden="1"/>
    <cellStyle name="Hyperlink" xfId="4773" builtinId="8" hidden="1"/>
    <cellStyle name="Hyperlink" xfId="4765" builtinId="8" hidden="1"/>
    <cellStyle name="Hyperlink" xfId="4757" builtinId="8" hidden="1"/>
    <cellStyle name="Hyperlink" xfId="4741" builtinId="8" hidden="1"/>
    <cellStyle name="Hyperlink" xfId="4733" builtinId="8" hidden="1"/>
    <cellStyle name="Hyperlink" xfId="4725" builtinId="8" hidden="1"/>
    <cellStyle name="Hyperlink" xfId="4709" builtinId="8" hidden="1"/>
    <cellStyle name="Hyperlink" xfId="4701" builtinId="8" hidden="1"/>
    <cellStyle name="Hyperlink" xfId="4693" builtinId="8" hidden="1"/>
    <cellStyle name="Hyperlink" xfId="4677" builtinId="8" hidden="1"/>
    <cellStyle name="Hyperlink" xfId="4669" builtinId="8" hidden="1"/>
    <cellStyle name="Hyperlink" xfId="4661" builtinId="8" hidden="1"/>
    <cellStyle name="Hyperlink" xfId="4645" builtinId="8" hidden="1"/>
    <cellStyle name="Hyperlink" xfId="4637" builtinId="8" hidden="1"/>
    <cellStyle name="Hyperlink" xfId="4629" builtinId="8" hidden="1"/>
    <cellStyle name="Hyperlink" xfId="4613" builtinId="8" hidden="1"/>
    <cellStyle name="Hyperlink" xfId="4605" builtinId="8" hidden="1"/>
    <cellStyle name="Hyperlink" xfId="4597" builtinId="8" hidden="1"/>
    <cellStyle name="Hyperlink" xfId="4581" builtinId="8" hidden="1"/>
    <cellStyle name="Hyperlink" xfId="4573" builtinId="8" hidden="1"/>
    <cellStyle name="Hyperlink" xfId="4565" builtinId="8" hidden="1"/>
    <cellStyle name="Hyperlink" xfId="4549" builtinId="8" hidden="1"/>
    <cellStyle name="Hyperlink" xfId="4541" builtinId="8" hidden="1"/>
    <cellStyle name="Hyperlink" xfId="4533" builtinId="8" hidden="1"/>
    <cellStyle name="Hyperlink" xfId="4517" builtinId="8" hidden="1"/>
    <cellStyle name="Hyperlink" xfId="4509" builtinId="8" hidden="1"/>
    <cellStyle name="Hyperlink" xfId="4501" builtinId="8" hidden="1"/>
    <cellStyle name="Hyperlink" xfId="4485" builtinId="8" hidden="1"/>
    <cellStyle name="Hyperlink" xfId="4477" builtinId="8" hidden="1"/>
    <cellStyle name="Hyperlink" xfId="4469" builtinId="8" hidden="1"/>
    <cellStyle name="Hyperlink" xfId="4453" builtinId="8" hidden="1"/>
    <cellStyle name="Hyperlink" xfId="4445" builtinId="8" hidden="1"/>
    <cellStyle name="Hyperlink" xfId="4437" builtinId="8" hidden="1"/>
    <cellStyle name="Hyperlink" xfId="4421" builtinId="8" hidden="1"/>
    <cellStyle name="Hyperlink" xfId="4413" builtinId="8" hidden="1"/>
    <cellStyle name="Hyperlink" xfId="4405" builtinId="8" hidden="1"/>
    <cellStyle name="Hyperlink" xfId="4389" builtinId="8" hidden="1"/>
    <cellStyle name="Hyperlink" xfId="4381" builtinId="8" hidden="1"/>
    <cellStyle name="Hyperlink" xfId="4373" builtinId="8" hidden="1"/>
    <cellStyle name="Hyperlink" xfId="4357" builtinId="8" hidden="1"/>
    <cellStyle name="Hyperlink" xfId="4349" builtinId="8" hidden="1"/>
    <cellStyle name="Hyperlink" xfId="4341" builtinId="8" hidden="1"/>
    <cellStyle name="Hyperlink" xfId="4325" builtinId="8" hidden="1"/>
    <cellStyle name="Hyperlink" xfId="4317" builtinId="8" hidden="1"/>
    <cellStyle name="Hyperlink" xfId="4309" builtinId="8" hidden="1"/>
    <cellStyle name="Hyperlink" xfId="4293" builtinId="8" hidden="1"/>
    <cellStyle name="Hyperlink" xfId="4285" builtinId="8" hidden="1"/>
    <cellStyle name="Hyperlink" xfId="4277" builtinId="8" hidden="1"/>
    <cellStyle name="Hyperlink" xfId="4261" builtinId="8" hidden="1"/>
    <cellStyle name="Hyperlink" xfId="4253" builtinId="8" hidden="1"/>
    <cellStyle name="Hyperlink" xfId="4245" builtinId="8" hidden="1"/>
    <cellStyle name="Hyperlink" xfId="4229" builtinId="8" hidden="1"/>
    <cellStyle name="Hyperlink" xfId="4221" builtinId="8" hidden="1"/>
    <cellStyle name="Hyperlink" xfId="4213" builtinId="8" hidden="1"/>
    <cellStyle name="Hyperlink" xfId="4197" builtinId="8" hidden="1"/>
    <cellStyle name="Hyperlink" xfId="4189" builtinId="8" hidden="1"/>
    <cellStyle name="Hyperlink" xfId="4181" builtinId="8" hidden="1"/>
    <cellStyle name="Hyperlink" xfId="4165" builtinId="8" hidden="1"/>
    <cellStyle name="Hyperlink" xfId="4157" builtinId="8" hidden="1"/>
    <cellStyle name="Hyperlink" xfId="4149" builtinId="8" hidden="1"/>
    <cellStyle name="Hyperlink" xfId="4133" builtinId="8" hidden="1"/>
    <cellStyle name="Hyperlink" xfId="4125" builtinId="8" hidden="1"/>
    <cellStyle name="Hyperlink" xfId="4117" builtinId="8" hidden="1"/>
    <cellStyle name="Hyperlink" xfId="4101" builtinId="8" hidden="1"/>
    <cellStyle name="Hyperlink" xfId="4093" builtinId="8" hidden="1"/>
    <cellStyle name="Hyperlink" xfId="4085" builtinId="8" hidden="1"/>
    <cellStyle name="Hyperlink" xfId="4069" builtinId="8" hidden="1"/>
    <cellStyle name="Hyperlink" xfId="4061" builtinId="8" hidden="1"/>
    <cellStyle name="Hyperlink" xfId="4053" builtinId="8" hidden="1"/>
    <cellStyle name="Hyperlink" xfId="4037" builtinId="8" hidden="1"/>
    <cellStyle name="Hyperlink" xfId="4029" builtinId="8" hidden="1"/>
    <cellStyle name="Hyperlink" xfId="4021" builtinId="8" hidden="1"/>
    <cellStyle name="Hyperlink" xfId="4005" builtinId="8" hidden="1"/>
    <cellStyle name="Hyperlink" xfId="3997" builtinId="8" hidden="1"/>
    <cellStyle name="Hyperlink" xfId="3989" builtinId="8" hidden="1"/>
    <cellStyle name="Hyperlink" xfId="3973" builtinId="8" hidden="1"/>
    <cellStyle name="Hyperlink" xfId="3965" builtinId="8" hidden="1"/>
    <cellStyle name="Hyperlink" xfId="3957" builtinId="8" hidden="1"/>
    <cellStyle name="Hyperlink" xfId="3941" builtinId="8" hidden="1"/>
    <cellStyle name="Hyperlink" xfId="3933" builtinId="8" hidden="1"/>
    <cellStyle name="Hyperlink" xfId="3925" builtinId="8" hidden="1"/>
    <cellStyle name="Hyperlink" xfId="3909" builtinId="8" hidden="1"/>
    <cellStyle name="Hyperlink" xfId="3901" builtinId="8" hidden="1"/>
    <cellStyle name="Hyperlink" xfId="3893" builtinId="8" hidden="1"/>
    <cellStyle name="Hyperlink" xfId="3877" builtinId="8" hidden="1"/>
    <cellStyle name="Hyperlink" xfId="3869" builtinId="8" hidden="1"/>
    <cellStyle name="Hyperlink" xfId="3861" builtinId="8" hidden="1"/>
    <cellStyle name="Hyperlink" xfId="3845" builtinId="8" hidden="1"/>
    <cellStyle name="Hyperlink" xfId="3837" builtinId="8" hidden="1"/>
    <cellStyle name="Hyperlink" xfId="3829" builtinId="8" hidden="1"/>
    <cellStyle name="Hyperlink" xfId="3813" builtinId="8" hidden="1"/>
    <cellStyle name="Hyperlink" xfId="3805" builtinId="8" hidden="1"/>
    <cellStyle name="Hyperlink" xfId="3797" builtinId="8" hidden="1"/>
    <cellStyle name="Hyperlink" xfId="3781" builtinId="8" hidden="1"/>
    <cellStyle name="Hyperlink" xfId="3773" builtinId="8" hidden="1"/>
    <cellStyle name="Hyperlink" xfId="3765" builtinId="8" hidden="1"/>
    <cellStyle name="Hyperlink" xfId="3749" builtinId="8" hidden="1"/>
    <cellStyle name="Hyperlink" xfId="3741" builtinId="8" hidden="1"/>
    <cellStyle name="Hyperlink" xfId="3733" builtinId="8" hidden="1"/>
    <cellStyle name="Hyperlink" xfId="3717" builtinId="8" hidden="1"/>
    <cellStyle name="Hyperlink" xfId="3709" builtinId="8" hidden="1"/>
    <cellStyle name="Hyperlink" xfId="3701" builtinId="8" hidden="1"/>
    <cellStyle name="Hyperlink" xfId="3685" builtinId="8" hidden="1"/>
    <cellStyle name="Hyperlink" xfId="3677" builtinId="8" hidden="1"/>
    <cellStyle name="Hyperlink" xfId="3669" builtinId="8" hidden="1"/>
    <cellStyle name="Hyperlink" xfId="3653" builtinId="8" hidden="1"/>
    <cellStyle name="Hyperlink" xfId="3645" builtinId="8" hidden="1"/>
    <cellStyle name="Hyperlink" xfId="3637" builtinId="8" hidden="1"/>
    <cellStyle name="Hyperlink" xfId="3621" builtinId="8" hidden="1"/>
    <cellStyle name="Hyperlink" xfId="3613" builtinId="8" hidden="1"/>
    <cellStyle name="Hyperlink" xfId="3605" builtinId="8" hidden="1"/>
    <cellStyle name="Hyperlink" xfId="3589" builtinId="8" hidden="1"/>
    <cellStyle name="Hyperlink" xfId="3581" builtinId="8" hidden="1"/>
    <cellStyle name="Hyperlink" xfId="3573" builtinId="8" hidden="1"/>
    <cellStyle name="Hyperlink" xfId="3557" builtinId="8" hidden="1"/>
    <cellStyle name="Hyperlink" xfId="3549" builtinId="8" hidden="1"/>
    <cellStyle name="Hyperlink" xfId="3541" builtinId="8" hidden="1"/>
    <cellStyle name="Hyperlink" xfId="3525" builtinId="8" hidden="1"/>
    <cellStyle name="Hyperlink" xfId="3517" builtinId="8" hidden="1"/>
    <cellStyle name="Hyperlink" xfId="3509" builtinId="8" hidden="1"/>
    <cellStyle name="Hyperlink" xfId="3493" builtinId="8" hidden="1"/>
    <cellStyle name="Hyperlink" xfId="3485" builtinId="8" hidden="1"/>
    <cellStyle name="Hyperlink" xfId="3477" builtinId="8" hidden="1"/>
    <cellStyle name="Hyperlink" xfId="3461" builtinId="8" hidden="1"/>
    <cellStyle name="Hyperlink" xfId="3453" builtinId="8" hidden="1"/>
    <cellStyle name="Hyperlink" xfId="3445" builtinId="8" hidden="1"/>
    <cellStyle name="Hyperlink" xfId="3429" builtinId="8" hidden="1"/>
    <cellStyle name="Hyperlink" xfId="3421" builtinId="8" hidden="1"/>
    <cellStyle name="Hyperlink" xfId="3413" builtinId="8" hidden="1"/>
    <cellStyle name="Hyperlink" xfId="3397" builtinId="8" hidden="1"/>
    <cellStyle name="Hyperlink" xfId="3389" builtinId="8" hidden="1"/>
    <cellStyle name="Hyperlink" xfId="3381" builtinId="8" hidden="1"/>
    <cellStyle name="Hyperlink" xfId="3365" builtinId="8" hidden="1"/>
    <cellStyle name="Hyperlink" xfId="3357" builtinId="8" hidden="1"/>
    <cellStyle name="Hyperlink" xfId="3349" builtinId="8" hidden="1"/>
    <cellStyle name="Hyperlink" xfId="3333" builtinId="8" hidden="1"/>
    <cellStyle name="Hyperlink" xfId="3325" builtinId="8" hidden="1"/>
    <cellStyle name="Hyperlink" xfId="3317" builtinId="8" hidden="1"/>
    <cellStyle name="Hyperlink" xfId="3301" builtinId="8" hidden="1"/>
    <cellStyle name="Hyperlink" xfId="3293" builtinId="8" hidden="1"/>
    <cellStyle name="Hyperlink" xfId="3285" builtinId="8" hidden="1"/>
    <cellStyle name="Hyperlink" xfId="3269" builtinId="8" hidden="1"/>
    <cellStyle name="Hyperlink" xfId="3261" builtinId="8" hidden="1"/>
    <cellStyle name="Hyperlink" xfId="3253" builtinId="8" hidden="1"/>
    <cellStyle name="Hyperlink" xfId="3237" builtinId="8" hidden="1"/>
    <cellStyle name="Hyperlink" xfId="3229" builtinId="8" hidden="1"/>
    <cellStyle name="Hyperlink" xfId="3221" builtinId="8" hidden="1"/>
    <cellStyle name="Hyperlink" xfId="3205" builtinId="8" hidden="1"/>
    <cellStyle name="Hyperlink" xfId="3197" builtinId="8" hidden="1"/>
    <cellStyle name="Hyperlink" xfId="3189" builtinId="8" hidden="1"/>
    <cellStyle name="Hyperlink" xfId="3173" builtinId="8" hidden="1"/>
    <cellStyle name="Hyperlink" xfId="3165" builtinId="8" hidden="1"/>
    <cellStyle name="Hyperlink" xfId="3157" builtinId="8" hidden="1"/>
    <cellStyle name="Hyperlink" xfId="3141" builtinId="8" hidden="1"/>
    <cellStyle name="Hyperlink" xfId="3133" builtinId="8" hidden="1"/>
    <cellStyle name="Hyperlink" xfId="3125" builtinId="8" hidden="1"/>
    <cellStyle name="Hyperlink" xfId="3109" builtinId="8" hidden="1"/>
    <cellStyle name="Hyperlink" xfId="3101" builtinId="8" hidden="1"/>
    <cellStyle name="Hyperlink" xfId="3093" builtinId="8" hidden="1"/>
    <cellStyle name="Hyperlink" xfId="3077" builtinId="8" hidden="1"/>
    <cellStyle name="Hyperlink" xfId="3069" builtinId="8" hidden="1"/>
    <cellStyle name="Hyperlink" xfId="3061" builtinId="8" hidden="1"/>
    <cellStyle name="Hyperlink" xfId="3045" builtinId="8" hidden="1"/>
    <cellStyle name="Hyperlink" xfId="3037" builtinId="8" hidden="1"/>
    <cellStyle name="Hyperlink" xfId="3029" builtinId="8" hidden="1"/>
    <cellStyle name="Hyperlink" xfId="3013" builtinId="8" hidden="1"/>
    <cellStyle name="Hyperlink" xfId="3005" builtinId="8" hidden="1"/>
    <cellStyle name="Hyperlink" xfId="2997" builtinId="8" hidden="1"/>
    <cellStyle name="Hyperlink" xfId="2981" builtinId="8" hidden="1"/>
    <cellStyle name="Hyperlink" xfId="2973" builtinId="8" hidden="1"/>
    <cellStyle name="Hyperlink" xfId="2965" builtinId="8" hidden="1"/>
    <cellStyle name="Hyperlink" xfId="2949" builtinId="8" hidden="1"/>
    <cellStyle name="Hyperlink" xfId="2941" builtinId="8" hidden="1"/>
    <cellStyle name="Hyperlink" xfId="2933" builtinId="8" hidden="1"/>
    <cellStyle name="Hyperlink" xfId="2917" builtinId="8" hidden="1"/>
    <cellStyle name="Hyperlink" xfId="2909" builtinId="8" hidden="1"/>
    <cellStyle name="Hyperlink" xfId="2901" builtinId="8" hidden="1"/>
    <cellStyle name="Hyperlink" xfId="2885" builtinId="8" hidden="1"/>
    <cellStyle name="Hyperlink" xfId="2877" builtinId="8" hidden="1"/>
    <cellStyle name="Hyperlink" xfId="2869" builtinId="8" hidden="1"/>
    <cellStyle name="Hyperlink" xfId="2853" builtinId="8" hidden="1"/>
    <cellStyle name="Hyperlink" xfId="2845" builtinId="8" hidden="1"/>
    <cellStyle name="Hyperlink" xfId="2837" builtinId="8" hidden="1"/>
    <cellStyle name="Hyperlink" xfId="2821" builtinId="8" hidden="1"/>
    <cellStyle name="Hyperlink" xfId="2813" builtinId="8" hidden="1"/>
    <cellStyle name="Hyperlink" xfId="2805" builtinId="8" hidden="1"/>
    <cellStyle name="Hyperlink" xfId="2789" builtinId="8" hidden="1"/>
    <cellStyle name="Hyperlink" xfId="2781" builtinId="8" hidden="1"/>
    <cellStyle name="Hyperlink" xfId="2773" builtinId="8" hidden="1"/>
    <cellStyle name="Hyperlink" xfId="2757" builtinId="8" hidden="1"/>
    <cellStyle name="Hyperlink" xfId="2749" builtinId="8" hidden="1"/>
    <cellStyle name="Hyperlink" xfId="2741" builtinId="8" hidden="1"/>
    <cellStyle name="Hyperlink" xfId="2725" builtinId="8" hidden="1"/>
    <cellStyle name="Hyperlink" xfId="2717" builtinId="8" hidden="1"/>
    <cellStyle name="Hyperlink" xfId="2709" builtinId="8" hidden="1"/>
    <cellStyle name="Hyperlink" xfId="2693" builtinId="8" hidden="1"/>
    <cellStyle name="Hyperlink" xfId="2685" builtinId="8" hidden="1"/>
    <cellStyle name="Hyperlink" xfId="2677" builtinId="8" hidden="1"/>
    <cellStyle name="Hyperlink" xfId="2661" builtinId="8" hidden="1"/>
    <cellStyle name="Hyperlink" xfId="2653" builtinId="8" hidden="1"/>
    <cellStyle name="Hyperlink" xfId="2645" builtinId="8" hidden="1"/>
    <cellStyle name="Hyperlink" xfId="2629" builtinId="8" hidden="1"/>
    <cellStyle name="Hyperlink" xfId="2621" builtinId="8" hidden="1"/>
    <cellStyle name="Hyperlink" xfId="2613" builtinId="8" hidden="1"/>
    <cellStyle name="Hyperlink" xfId="2597" builtinId="8" hidden="1"/>
    <cellStyle name="Hyperlink" xfId="2589" builtinId="8" hidden="1"/>
    <cellStyle name="Hyperlink" xfId="2581" builtinId="8" hidden="1"/>
    <cellStyle name="Hyperlink" xfId="2565" builtinId="8" hidden="1"/>
    <cellStyle name="Hyperlink" xfId="2557" builtinId="8" hidden="1"/>
    <cellStyle name="Hyperlink" xfId="2549" builtinId="8" hidden="1"/>
    <cellStyle name="Hyperlink" xfId="2533" builtinId="8" hidden="1"/>
    <cellStyle name="Hyperlink" xfId="2525" builtinId="8" hidden="1"/>
    <cellStyle name="Hyperlink" xfId="2517" builtinId="8" hidden="1"/>
    <cellStyle name="Hyperlink" xfId="2501" builtinId="8" hidden="1"/>
    <cellStyle name="Hyperlink" xfId="2493" builtinId="8" hidden="1"/>
    <cellStyle name="Hyperlink" xfId="2485" builtinId="8" hidden="1"/>
    <cellStyle name="Hyperlink" xfId="2469" builtinId="8" hidden="1"/>
    <cellStyle name="Hyperlink" xfId="2461" builtinId="8" hidden="1"/>
    <cellStyle name="Hyperlink" xfId="2453" builtinId="8" hidden="1"/>
    <cellStyle name="Hyperlink" xfId="2437" builtinId="8" hidden="1"/>
    <cellStyle name="Hyperlink" xfId="2429" builtinId="8" hidden="1"/>
    <cellStyle name="Hyperlink" xfId="2421" builtinId="8" hidden="1"/>
    <cellStyle name="Hyperlink" xfId="2405" builtinId="8" hidden="1"/>
    <cellStyle name="Hyperlink" xfId="2397" builtinId="8" hidden="1"/>
    <cellStyle name="Hyperlink" xfId="2389" builtinId="8" hidden="1"/>
    <cellStyle name="Hyperlink" xfId="2373" builtinId="8" hidden="1"/>
    <cellStyle name="Hyperlink" xfId="2365" builtinId="8" hidden="1"/>
    <cellStyle name="Hyperlink" xfId="2357" builtinId="8" hidden="1"/>
    <cellStyle name="Hyperlink" xfId="2341" builtinId="8" hidden="1"/>
    <cellStyle name="Hyperlink" xfId="2333" builtinId="8" hidden="1"/>
    <cellStyle name="Hyperlink" xfId="2325" builtinId="8" hidden="1"/>
    <cellStyle name="Hyperlink" xfId="2309" builtinId="8" hidden="1"/>
    <cellStyle name="Hyperlink" xfId="2301" builtinId="8" hidden="1"/>
    <cellStyle name="Hyperlink" xfId="2293" builtinId="8" hidden="1"/>
    <cellStyle name="Hyperlink" xfId="2277" builtinId="8" hidden="1"/>
    <cellStyle name="Hyperlink" xfId="2269" builtinId="8" hidden="1"/>
    <cellStyle name="Hyperlink" xfId="2261" builtinId="8" hidden="1"/>
    <cellStyle name="Hyperlink" xfId="2245" builtinId="8" hidden="1"/>
    <cellStyle name="Hyperlink" xfId="2237" builtinId="8" hidden="1"/>
    <cellStyle name="Hyperlink" xfId="2229" builtinId="8" hidden="1"/>
    <cellStyle name="Hyperlink" xfId="2213" builtinId="8" hidden="1"/>
    <cellStyle name="Hyperlink" xfId="2205" builtinId="8" hidden="1"/>
    <cellStyle name="Hyperlink" xfId="2197" builtinId="8" hidden="1"/>
    <cellStyle name="Hyperlink" xfId="2181" builtinId="8" hidden="1"/>
    <cellStyle name="Hyperlink" xfId="2173" builtinId="8" hidden="1"/>
    <cellStyle name="Hyperlink" xfId="2165" builtinId="8" hidden="1"/>
    <cellStyle name="Hyperlink" xfId="2149" builtinId="8" hidden="1"/>
    <cellStyle name="Hyperlink" xfId="2141" builtinId="8" hidden="1"/>
    <cellStyle name="Hyperlink" xfId="2133" builtinId="8" hidden="1"/>
    <cellStyle name="Hyperlink" xfId="2117" builtinId="8" hidden="1"/>
    <cellStyle name="Hyperlink" xfId="2109" builtinId="8" hidden="1"/>
    <cellStyle name="Hyperlink" xfId="2101" builtinId="8" hidden="1"/>
    <cellStyle name="Hyperlink" xfId="2085" builtinId="8" hidden="1"/>
    <cellStyle name="Hyperlink" xfId="2077" builtinId="8" hidden="1"/>
    <cellStyle name="Hyperlink" xfId="2069" builtinId="8" hidden="1"/>
    <cellStyle name="Hyperlink" xfId="2053" builtinId="8" hidden="1"/>
    <cellStyle name="Hyperlink" xfId="2045" builtinId="8" hidden="1"/>
    <cellStyle name="Hyperlink" xfId="2037" builtinId="8" hidden="1"/>
    <cellStyle name="Hyperlink" xfId="2021" builtinId="8" hidden="1"/>
    <cellStyle name="Hyperlink" xfId="2013" builtinId="8" hidden="1"/>
    <cellStyle name="Hyperlink" xfId="2005" builtinId="8" hidden="1"/>
    <cellStyle name="Hyperlink" xfId="1989" builtinId="8" hidden="1"/>
    <cellStyle name="Hyperlink" xfId="1981" builtinId="8" hidden="1"/>
    <cellStyle name="Hyperlink" xfId="1973" builtinId="8" hidden="1"/>
    <cellStyle name="Hyperlink" xfId="1957" builtinId="8" hidden="1"/>
    <cellStyle name="Hyperlink" xfId="1949" builtinId="8" hidden="1"/>
    <cellStyle name="Hyperlink" xfId="1941" builtinId="8" hidden="1"/>
    <cellStyle name="Hyperlink" xfId="1925" builtinId="8" hidden="1"/>
    <cellStyle name="Hyperlink" xfId="1917" builtinId="8" hidden="1"/>
    <cellStyle name="Hyperlink" xfId="1909" builtinId="8" hidden="1"/>
    <cellStyle name="Hyperlink" xfId="1893" builtinId="8" hidden="1"/>
    <cellStyle name="Hyperlink" xfId="1885" builtinId="8" hidden="1"/>
    <cellStyle name="Hyperlink" xfId="1877" builtinId="8" hidden="1"/>
    <cellStyle name="Hyperlink" xfId="1861" builtinId="8" hidden="1"/>
    <cellStyle name="Hyperlink" xfId="1853" builtinId="8" hidden="1"/>
    <cellStyle name="Hyperlink" xfId="1845" builtinId="8" hidden="1"/>
    <cellStyle name="Hyperlink" xfId="1829" builtinId="8" hidden="1"/>
    <cellStyle name="Hyperlink" xfId="1821" builtinId="8" hidden="1"/>
    <cellStyle name="Hyperlink" xfId="1813" builtinId="8" hidden="1"/>
    <cellStyle name="Hyperlink" xfId="1797" builtinId="8" hidden="1"/>
    <cellStyle name="Hyperlink" xfId="1789" builtinId="8" hidden="1"/>
    <cellStyle name="Hyperlink" xfId="1781" builtinId="8" hidden="1"/>
    <cellStyle name="Hyperlink" xfId="1765" builtinId="8" hidden="1"/>
    <cellStyle name="Hyperlink" xfId="1757" builtinId="8" hidden="1"/>
    <cellStyle name="Hyperlink" xfId="1749" builtinId="8" hidden="1"/>
    <cellStyle name="Hyperlink" xfId="1733" builtinId="8" hidden="1"/>
    <cellStyle name="Hyperlink" xfId="1725" builtinId="8" hidden="1"/>
    <cellStyle name="Hyperlink" xfId="1717" builtinId="8" hidden="1"/>
    <cellStyle name="Hyperlink" xfId="736" builtinId="8" hidden="1"/>
    <cellStyle name="Hyperlink" xfId="738" builtinId="8" hidden="1"/>
    <cellStyle name="Hyperlink" xfId="742" builtinId="8" hidden="1"/>
    <cellStyle name="Hyperlink" xfId="746" builtinId="8" hidden="1"/>
    <cellStyle name="Hyperlink" xfId="748" builtinId="8" hidden="1"/>
    <cellStyle name="Hyperlink" xfId="750" builtinId="8" hidden="1"/>
    <cellStyle name="Hyperlink" xfId="754" builtinId="8" hidden="1"/>
    <cellStyle name="Hyperlink" xfId="758" builtinId="8" hidden="1"/>
    <cellStyle name="Hyperlink" xfId="760" builtinId="8" hidden="1"/>
    <cellStyle name="Hyperlink" xfId="764" builtinId="8" hidden="1"/>
    <cellStyle name="Hyperlink" xfId="766" builtinId="8" hidden="1"/>
    <cellStyle name="Hyperlink" xfId="768" builtinId="8" hidden="1"/>
    <cellStyle name="Hyperlink" xfId="774" builtinId="8" hidden="1"/>
    <cellStyle name="Hyperlink" xfId="776" builtinId="8" hidden="1"/>
    <cellStyle name="Hyperlink" xfId="778" builtinId="8" hidden="1"/>
    <cellStyle name="Hyperlink" xfId="782" builtinId="8" hidden="1"/>
    <cellStyle name="Hyperlink" xfId="784" builtinId="8" hidden="1"/>
    <cellStyle name="Hyperlink" xfId="786" builtinId="8" hidden="1"/>
    <cellStyle name="Hyperlink" xfId="792" builtinId="8" hidden="1"/>
    <cellStyle name="Hyperlink" xfId="794" builtinId="8" hidden="1"/>
    <cellStyle name="Hyperlink" xfId="796" builtinId="8" hidden="1"/>
    <cellStyle name="Hyperlink" xfId="800" builtinId="8" hidden="1"/>
    <cellStyle name="Hyperlink" xfId="803" builtinId="8" hidden="1"/>
    <cellStyle name="Hyperlink" xfId="807" builtinId="8" hidden="1"/>
    <cellStyle name="Hyperlink" xfId="811" builtinId="8" hidden="1"/>
    <cellStyle name="Hyperlink" xfId="813" builtinId="8" hidden="1"/>
    <cellStyle name="Hyperlink" xfId="815" builtinId="8" hidden="1"/>
    <cellStyle name="Hyperlink" xfId="819" builtinId="8" hidden="1"/>
    <cellStyle name="Hyperlink" xfId="823" builtinId="8" hidden="1"/>
    <cellStyle name="Hyperlink" xfId="825" builtinId="8" hidden="1"/>
    <cellStyle name="Hyperlink" xfId="829" builtinId="8" hidden="1"/>
    <cellStyle name="Hyperlink" xfId="831" builtinId="8" hidden="1"/>
    <cellStyle name="Hyperlink" xfId="833" builtinId="8" hidden="1"/>
    <cellStyle name="Hyperlink" xfId="839" builtinId="8" hidden="1"/>
    <cellStyle name="Hyperlink" xfId="841" builtinId="8" hidden="1"/>
    <cellStyle name="Hyperlink" xfId="843" builtinId="8" hidden="1"/>
    <cellStyle name="Hyperlink" xfId="847" builtinId="8" hidden="1"/>
    <cellStyle name="Hyperlink" xfId="849" builtinId="8" hidden="1"/>
    <cellStyle name="Hyperlink" xfId="851" builtinId="8" hidden="1"/>
    <cellStyle name="Hyperlink" xfId="857" builtinId="8" hidden="1"/>
    <cellStyle name="Hyperlink" xfId="859" builtinId="8" hidden="1"/>
    <cellStyle name="Hyperlink" xfId="861" builtinId="8" hidden="1"/>
    <cellStyle name="Hyperlink" xfId="865" builtinId="8" hidden="1"/>
    <cellStyle name="Hyperlink" xfId="867" builtinId="8" hidden="1"/>
    <cellStyle name="Hyperlink" xfId="871" builtinId="8" hidden="1"/>
    <cellStyle name="Hyperlink" xfId="875" builtinId="8" hidden="1"/>
    <cellStyle name="Hyperlink" xfId="877" builtinId="8" hidden="1"/>
    <cellStyle name="Hyperlink" xfId="879" builtinId="8" hidden="1"/>
    <cellStyle name="Hyperlink" xfId="883" builtinId="8" hidden="1"/>
    <cellStyle name="Hyperlink" xfId="887" builtinId="8" hidden="1"/>
    <cellStyle name="Hyperlink" xfId="889" builtinId="8" hidden="1"/>
    <cellStyle name="Hyperlink" xfId="893" builtinId="8" hidden="1"/>
    <cellStyle name="Hyperlink" xfId="895" builtinId="8" hidden="1"/>
    <cellStyle name="Hyperlink" xfId="897" builtinId="8" hidden="1"/>
    <cellStyle name="Hyperlink" xfId="903" builtinId="8" hidden="1"/>
    <cellStyle name="Hyperlink" xfId="905" builtinId="8" hidden="1"/>
    <cellStyle name="Hyperlink" xfId="907" builtinId="8" hidden="1"/>
    <cellStyle name="Hyperlink" xfId="911" builtinId="8" hidden="1"/>
    <cellStyle name="Hyperlink" xfId="913" builtinId="8" hidden="1"/>
    <cellStyle name="Hyperlink" xfId="915" builtinId="8" hidden="1"/>
    <cellStyle name="Hyperlink" xfId="921" builtinId="8" hidden="1"/>
    <cellStyle name="Hyperlink" xfId="923" builtinId="8" hidden="1"/>
    <cellStyle name="Hyperlink" xfId="925" builtinId="8" hidden="1"/>
    <cellStyle name="Hyperlink" xfId="929" builtinId="8" hidden="1"/>
    <cellStyle name="Hyperlink" xfId="931" builtinId="8" hidden="1"/>
    <cellStyle name="Hyperlink" xfId="935" builtinId="8" hidden="1"/>
    <cellStyle name="Hyperlink" xfId="939" builtinId="8" hidden="1"/>
    <cellStyle name="Hyperlink" xfId="941" builtinId="8" hidden="1"/>
    <cellStyle name="Hyperlink" xfId="943" builtinId="8" hidden="1"/>
    <cellStyle name="Hyperlink" xfId="947" builtinId="8" hidden="1"/>
    <cellStyle name="Hyperlink" xfId="951" builtinId="8" hidden="1"/>
    <cellStyle name="Hyperlink" xfId="953" builtinId="8" hidden="1"/>
    <cellStyle name="Hyperlink" xfId="957" builtinId="8" hidden="1"/>
    <cellStyle name="Hyperlink" xfId="959" builtinId="8" hidden="1"/>
    <cellStyle name="Hyperlink" xfId="961" builtinId="8" hidden="1"/>
    <cellStyle name="Hyperlink" xfId="967" builtinId="8" hidden="1"/>
    <cellStyle name="Hyperlink" xfId="969" builtinId="8" hidden="1"/>
    <cellStyle name="Hyperlink" xfId="971" builtinId="8" hidden="1"/>
    <cellStyle name="Hyperlink" xfId="975" builtinId="8" hidden="1"/>
    <cellStyle name="Hyperlink" xfId="977" builtinId="8" hidden="1"/>
    <cellStyle name="Hyperlink" xfId="979" builtinId="8" hidden="1"/>
    <cellStyle name="Hyperlink" xfId="985" builtinId="8" hidden="1"/>
    <cellStyle name="Hyperlink" xfId="987" builtinId="8" hidden="1"/>
    <cellStyle name="Hyperlink" xfId="989" builtinId="8" hidden="1"/>
    <cellStyle name="Hyperlink" xfId="993" builtinId="8" hidden="1"/>
    <cellStyle name="Hyperlink" xfId="995" builtinId="8" hidden="1"/>
    <cellStyle name="Hyperlink" xfId="999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11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7" builtinId="8" hidden="1"/>
    <cellStyle name="Hyperlink" xfId="1059" builtinId="8" hidden="1"/>
    <cellStyle name="Hyperlink" xfId="1063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5" builtinId="8" hidden="1"/>
    <cellStyle name="Hyperlink" xfId="1079" builtinId="8" hidden="1"/>
    <cellStyle name="Hyperlink" xfId="1081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21" builtinId="8" hidden="1"/>
    <cellStyle name="Hyperlink" xfId="1123" builtinId="8" hidden="1"/>
    <cellStyle name="Hyperlink" xfId="1127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9" builtinId="8" hidden="1"/>
    <cellStyle name="Hyperlink" xfId="1143" builtinId="8" hidden="1"/>
    <cellStyle name="Hyperlink" xfId="1145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5" builtinId="8" hidden="1"/>
    <cellStyle name="Hyperlink" xfId="1187" builtinId="8" hidden="1"/>
    <cellStyle name="Hyperlink" xfId="1191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3" builtinId="8" hidden="1"/>
    <cellStyle name="Hyperlink" xfId="1207" builtinId="8" hidden="1"/>
    <cellStyle name="Hyperlink" xfId="1209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9" builtinId="8" hidden="1"/>
    <cellStyle name="Hyperlink" xfId="1251" builtinId="8" hidden="1"/>
    <cellStyle name="Hyperlink" xfId="1255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7" builtinId="8" hidden="1"/>
    <cellStyle name="Hyperlink" xfId="1271" builtinId="8" hidden="1"/>
    <cellStyle name="Hyperlink" xfId="1273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3" builtinId="8" hidden="1"/>
    <cellStyle name="Hyperlink" xfId="1315" builtinId="8" hidden="1"/>
    <cellStyle name="Hyperlink" xfId="1319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31" builtinId="8" hidden="1"/>
    <cellStyle name="Hyperlink" xfId="1335" builtinId="8" hidden="1"/>
    <cellStyle name="Hyperlink" xfId="1337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7" builtinId="8" hidden="1"/>
    <cellStyle name="Hyperlink" xfId="1379" builtinId="8" hidden="1"/>
    <cellStyle name="Hyperlink" xfId="1383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5" builtinId="8" hidden="1"/>
    <cellStyle name="Hyperlink" xfId="1399" builtinId="8" hidden="1"/>
    <cellStyle name="Hyperlink" xfId="1401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41" builtinId="8" hidden="1"/>
    <cellStyle name="Hyperlink" xfId="1443" builtinId="8" hidden="1"/>
    <cellStyle name="Hyperlink" xfId="1447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9" builtinId="8" hidden="1"/>
    <cellStyle name="Hyperlink" xfId="1463" builtinId="8" hidden="1"/>
    <cellStyle name="Hyperlink" xfId="1465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5" builtinId="8" hidden="1"/>
    <cellStyle name="Hyperlink" xfId="1507" builtinId="8" hidden="1"/>
    <cellStyle name="Hyperlink" xfId="1511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3" builtinId="8" hidden="1"/>
    <cellStyle name="Hyperlink" xfId="1527" builtinId="8" hidden="1"/>
    <cellStyle name="Hyperlink" xfId="1529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9" builtinId="8" hidden="1"/>
    <cellStyle name="Hyperlink" xfId="1571" builtinId="8" hidden="1"/>
    <cellStyle name="Hyperlink" xfId="1575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7" builtinId="8" hidden="1"/>
    <cellStyle name="Hyperlink" xfId="1591" builtinId="8" hidden="1"/>
    <cellStyle name="Hyperlink" xfId="1593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3" builtinId="8" hidden="1"/>
    <cellStyle name="Hyperlink" xfId="1635" builtinId="8" hidden="1"/>
    <cellStyle name="Hyperlink" xfId="1639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51" builtinId="8" hidden="1"/>
    <cellStyle name="Hyperlink" xfId="1655" builtinId="8" hidden="1"/>
    <cellStyle name="Hyperlink" xfId="1657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7" builtinId="8" hidden="1"/>
    <cellStyle name="Hyperlink" xfId="1699" builtinId="8" hidden="1"/>
    <cellStyle name="Hyperlink" xfId="1703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685" builtinId="8" hidden="1"/>
    <cellStyle name="Hyperlink" xfId="1669" builtinId="8" hidden="1"/>
    <cellStyle name="Hyperlink" xfId="1653" builtinId="8" hidden="1"/>
    <cellStyle name="Hyperlink" xfId="1621" builtinId="8" hidden="1"/>
    <cellStyle name="Hyperlink" xfId="1605" builtinId="8" hidden="1"/>
    <cellStyle name="Hyperlink" xfId="1589" builtinId="8" hidden="1"/>
    <cellStyle name="Hyperlink" xfId="1557" builtinId="8" hidden="1"/>
    <cellStyle name="Hyperlink" xfId="1541" builtinId="8" hidden="1"/>
    <cellStyle name="Hyperlink" xfId="1525" builtinId="8" hidden="1"/>
    <cellStyle name="Hyperlink" xfId="1493" builtinId="8" hidden="1"/>
    <cellStyle name="Hyperlink" xfId="1477" builtinId="8" hidden="1"/>
    <cellStyle name="Hyperlink" xfId="1461" builtinId="8" hidden="1"/>
    <cellStyle name="Hyperlink" xfId="1429" builtinId="8" hidden="1"/>
    <cellStyle name="Hyperlink" xfId="1413" builtinId="8" hidden="1"/>
    <cellStyle name="Hyperlink" xfId="1397" builtinId="8" hidden="1"/>
    <cellStyle name="Hyperlink" xfId="1365" builtinId="8" hidden="1"/>
    <cellStyle name="Hyperlink" xfId="1349" builtinId="8" hidden="1"/>
    <cellStyle name="Hyperlink" xfId="1333" builtinId="8" hidden="1"/>
    <cellStyle name="Hyperlink" xfId="1301" builtinId="8" hidden="1"/>
    <cellStyle name="Hyperlink" xfId="1285" builtinId="8" hidden="1"/>
    <cellStyle name="Hyperlink" xfId="1269" builtinId="8" hidden="1"/>
    <cellStyle name="Hyperlink" xfId="1237" builtinId="8" hidden="1"/>
    <cellStyle name="Hyperlink" xfId="1221" builtinId="8" hidden="1"/>
    <cellStyle name="Hyperlink" xfId="1205" builtinId="8" hidden="1"/>
    <cellStyle name="Hyperlink" xfId="1173" builtinId="8" hidden="1"/>
    <cellStyle name="Hyperlink" xfId="1157" builtinId="8" hidden="1"/>
    <cellStyle name="Hyperlink" xfId="1141" builtinId="8" hidden="1"/>
    <cellStyle name="Hyperlink" xfId="1109" builtinId="8" hidden="1"/>
    <cellStyle name="Hyperlink" xfId="1093" builtinId="8" hidden="1"/>
    <cellStyle name="Hyperlink" xfId="1077" builtinId="8" hidden="1"/>
    <cellStyle name="Hyperlink" xfId="1045" builtinId="8" hidden="1"/>
    <cellStyle name="Hyperlink" xfId="1029" builtinId="8" hidden="1"/>
    <cellStyle name="Hyperlink" xfId="1013" builtinId="8" hidden="1"/>
    <cellStyle name="Hyperlink" xfId="981" builtinId="8" hidden="1"/>
    <cellStyle name="Hyperlink" xfId="965" builtinId="8" hidden="1"/>
    <cellStyle name="Hyperlink" xfId="949" builtinId="8" hidden="1"/>
    <cellStyle name="Hyperlink" xfId="917" builtinId="8" hidden="1"/>
    <cellStyle name="Hyperlink" xfId="901" builtinId="8" hidden="1"/>
    <cellStyle name="Hyperlink" xfId="885" builtinId="8" hidden="1"/>
    <cellStyle name="Hyperlink" xfId="853" builtinId="8" hidden="1"/>
    <cellStyle name="Hyperlink" xfId="837" builtinId="8" hidden="1"/>
    <cellStyle name="Hyperlink" xfId="821" builtinId="8" hidden="1"/>
    <cellStyle name="Hyperlink" xfId="788" builtinId="8" hidden="1"/>
    <cellStyle name="Hyperlink" xfId="772" builtinId="8" hidden="1"/>
    <cellStyle name="Hyperlink" xfId="756" builtinId="8" hidden="1"/>
    <cellStyle name="Hyperlink" xfId="344" builtinId="8" hidden="1"/>
    <cellStyle name="Hyperlink" xfId="346" builtinId="8" hidden="1"/>
    <cellStyle name="Hyperlink" xfId="348" builtinId="8" hidden="1"/>
    <cellStyle name="Hyperlink" xfId="352" builtinId="8" hidden="1"/>
    <cellStyle name="Hyperlink" xfId="354" builtinId="8" hidden="1"/>
    <cellStyle name="Hyperlink" xfId="356" builtinId="8" hidden="1"/>
    <cellStyle name="Hyperlink" xfId="360" builtinId="8" hidden="1"/>
    <cellStyle name="Hyperlink" xfId="362" builtinId="8" hidden="1"/>
    <cellStyle name="Hyperlink" xfId="364" builtinId="8" hidden="1"/>
    <cellStyle name="Hyperlink" xfId="368" builtinId="8" hidden="1"/>
    <cellStyle name="Hyperlink" xfId="370" builtinId="8" hidden="1"/>
    <cellStyle name="Hyperlink" xfId="374" builtinId="8" hidden="1"/>
    <cellStyle name="Hyperlink" xfId="378" builtinId="8" hidden="1"/>
    <cellStyle name="Hyperlink" xfId="380" builtinId="8" hidden="1"/>
    <cellStyle name="Hyperlink" xfId="382" builtinId="8" hidden="1"/>
    <cellStyle name="Hyperlink" xfId="386" builtinId="8" hidden="1"/>
    <cellStyle name="Hyperlink" xfId="388" builtinId="8" hidden="1"/>
    <cellStyle name="Hyperlink" xfId="390" builtinId="8" hidden="1"/>
    <cellStyle name="Hyperlink" xfId="394" builtinId="8" hidden="1"/>
    <cellStyle name="Hyperlink" xfId="396" builtinId="8" hidden="1"/>
    <cellStyle name="Hyperlink" xfId="398" builtinId="8" hidden="1"/>
    <cellStyle name="Hyperlink" xfId="402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0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8" builtinId="8" hidden="1"/>
    <cellStyle name="Hyperlink" xfId="440" builtinId="8" hidden="1"/>
    <cellStyle name="Hyperlink" xfId="442" builtinId="8" hidden="1"/>
    <cellStyle name="Hyperlink" xfId="446" builtinId="8" hidden="1"/>
    <cellStyle name="Hyperlink" xfId="448" builtinId="8" hidden="1"/>
    <cellStyle name="Hyperlink" xfId="450" builtinId="8" hidden="1"/>
    <cellStyle name="Hyperlink" xfId="454" builtinId="8" hidden="1"/>
    <cellStyle name="Hyperlink" xfId="456" builtinId="8" hidden="1"/>
    <cellStyle name="Hyperlink" xfId="458" builtinId="8" hidden="1"/>
    <cellStyle name="Hyperlink" xfId="462" builtinId="8" hidden="1"/>
    <cellStyle name="Hyperlink" xfId="464" builtinId="8" hidden="1"/>
    <cellStyle name="Hyperlink" xfId="466" builtinId="8" hidden="1"/>
    <cellStyle name="Hyperlink" xfId="472" builtinId="8" hidden="1"/>
    <cellStyle name="Hyperlink" xfId="474" builtinId="8" hidden="1"/>
    <cellStyle name="Hyperlink" xfId="476" builtinId="8" hidden="1"/>
    <cellStyle name="Hyperlink" xfId="480" builtinId="8" hidden="1"/>
    <cellStyle name="Hyperlink" xfId="482" builtinId="8" hidden="1"/>
    <cellStyle name="Hyperlink" xfId="484" builtinId="8" hidden="1"/>
    <cellStyle name="Hyperlink" xfId="488" builtinId="8" hidden="1"/>
    <cellStyle name="Hyperlink" xfId="490" builtinId="8" hidden="1"/>
    <cellStyle name="Hyperlink" xfId="492" builtinId="8" hidden="1"/>
    <cellStyle name="Hyperlink" xfId="496" builtinId="8" hidden="1"/>
    <cellStyle name="Hyperlink" xfId="498" builtinId="8" hidden="1"/>
    <cellStyle name="Hyperlink" xfId="502" builtinId="8" hidden="1"/>
    <cellStyle name="Hyperlink" xfId="506" builtinId="8" hidden="1"/>
    <cellStyle name="Hyperlink" xfId="508" builtinId="8" hidden="1"/>
    <cellStyle name="Hyperlink" xfId="510" builtinId="8" hidden="1"/>
    <cellStyle name="Hyperlink" xfId="514" builtinId="8" hidden="1"/>
    <cellStyle name="Hyperlink" xfId="516" builtinId="8" hidden="1"/>
    <cellStyle name="Hyperlink" xfId="518" builtinId="8" hidden="1"/>
    <cellStyle name="Hyperlink" xfId="522" builtinId="8" hidden="1"/>
    <cellStyle name="Hyperlink" xfId="524" builtinId="8" hidden="1"/>
    <cellStyle name="Hyperlink" xfId="526" builtinId="8" hidden="1"/>
    <cellStyle name="Hyperlink" xfId="530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48" builtinId="8" hidden="1"/>
    <cellStyle name="Hyperlink" xfId="550" builtinId="8" hidden="1"/>
    <cellStyle name="Hyperlink" xfId="552" builtinId="8" hidden="1"/>
    <cellStyle name="Hyperlink" xfId="556" builtinId="8" hidden="1"/>
    <cellStyle name="Hyperlink" xfId="558" builtinId="8" hidden="1"/>
    <cellStyle name="Hyperlink" xfId="560" builtinId="8" hidden="1"/>
    <cellStyle name="Hyperlink" xfId="566" builtinId="8" hidden="1"/>
    <cellStyle name="Hyperlink" xfId="568" builtinId="8" hidden="1"/>
    <cellStyle name="Hyperlink" xfId="570" builtinId="8" hidden="1"/>
    <cellStyle name="Hyperlink" xfId="574" builtinId="8" hidden="1"/>
    <cellStyle name="Hyperlink" xfId="576" builtinId="8" hidden="1"/>
    <cellStyle name="Hyperlink" xfId="578" builtinId="8" hidden="1"/>
    <cellStyle name="Hyperlink" xfId="582" builtinId="8" hidden="1"/>
    <cellStyle name="Hyperlink" xfId="584" builtinId="8" hidden="1"/>
    <cellStyle name="Hyperlink" xfId="586" builtinId="8" hidden="1"/>
    <cellStyle name="Hyperlink" xfId="590" builtinId="8" hidden="1"/>
    <cellStyle name="Hyperlink" xfId="592" builtinId="8" hidden="1"/>
    <cellStyle name="Hyperlink" xfId="594" builtinId="8" hidden="1"/>
    <cellStyle name="Hyperlink" xfId="600" builtinId="8" hidden="1"/>
    <cellStyle name="Hyperlink" xfId="602" builtinId="8" hidden="1"/>
    <cellStyle name="Hyperlink" xfId="604" builtinId="8" hidden="1"/>
    <cellStyle name="Hyperlink" xfId="608" builtinId="8" hidden="1"/>
    <cellStyle name="Hyperlink" xfId="610" builtinId="8" hidden="1"/>
    <cellStyle name="Hyperlink" xfId="612" builtinId="8" hidden="1"/>
    <cellStyle name="Hyperlink" xfId="616" builtinId="8" hidden="1"/>
    <cellStyle name="Hyperlink" xfId="618" builtinId="8" hidden="1"/>
    <cellStyle name="Hyperlink" xfId="620" builtinId="8" hidden="1"/>
    <cellStyle name="Hyperlink" xfId="624" builtinId="8" hidden="1"/>
    <cellStyle name="Hyperlink" xfId="626" builtinId="8" hidden="1"/>
    <cellStyle name="Hyperlink" xfId="630" builtinId="8" hidden="1"/>
    <cellStyle name="Hyperlink" xfId="634" builtinId="8" hidden="1"/>
    <cellStyle name="Hyperlink" xfId="636" builtinId="8" hidden="1"/>
    <cellStyle name="Hyperlink" xfId="638" builtinId="8" hidden="1"/>
    <cellStyle name="Hyperlink" xfId="642" builtinId="8" hidden="1"/>
    <cellStyle name="Hyperlink" xfId="644" builtinId="8" hidden="1"/>
    <cellStyle name="Hyperlink" xfId="646" builtinId="8" hidden="1"/>
    <cellStyle name="Hyperlink" xfId="650" builtinId="8" hidden="1"/>
    <cellStyle name="Hyperlink" xfId="652" builtinId="8" hidden="1"/>
    <cellStyle name="Hyperlink" xfId="654" builtinId="8" hidden="1"/>
    <cellStyle name="Hyperlink" xfId="658" builtinId="8" hidden="1"/>
    <cellStyle name="Hyperlink" xfId="662" builtinId="8" hidden="1"/>
    <cellStyle name="Hyperlink" xfId="664" builtinId="8" hidden="1"/>
    <cellStyle name="Hyperlink" xfId="668" builtinId="8" hidden="1"/>
    <cellStyle name="Hyperlink" xfId="670" builtinId="8" hidden="1"/>
    <cellStyle name="Hyperlink" xfId="672" builtinId="8" hidden="1"/>
    <cellStyle name="Hyperlink" xfId="676" builtinId="8" hidden="1"/>
    <cellStyle name="Hyperlink" xfId="678" builtinId="8" hidden="1"/>
    <cellStyle name="Hyperlink" xfId="680" builtinId="8" hidden="1"/>
    <cellStyle name="Hyperlink" xfId="684" builtinId="8" hidden="1"/>
    <cellStyle name="Hyperlink" xfId="686" builtinId="8" hidden="1"/>
    <cellStyle name="Hyperlink" xfId="688" builtinId="8" hidden="1"/>
    <cellStyle name="Hyperlink" xfId="694" builtinId="8" hidden="1"/>
    <cellStyle name="Hyperlink" xfId="696" builtinId="8" hidden="1"/>
    <cellStyle name="Hyperlink" xfId="698" builtinId="8" hidden="1"/>
    <cellStyle name="Hyperlink" xfId="702" builtinId="8" hidden="1"/>
    <cellStyle name="Hyperlink" xfId="704" builtinId="8" hidden="1"/>
    <cellStyle name="Hyperlink" xfId="706" builtinId="8" hidden="1"/>
    <cellStyle name="Hyperlink" xfId="710" builtinId="8" hidden="1"/>
    <cellStyle name="Hyperlink" xfId="712" builtinId="8" hidden="1"/>
    <cellStyle name="Hyperlink" xfId="714" builtinId="8" hidden="1"/>
    <cellStyle name="Hyperlink" xfId="718" builtinId="8" hidden="1"/>
    <cellStyle name="Hyperlink" xfId="720" builtinId="8" hidden="1"/>
    <cellStyle name="Hyperlink" xfId="722" builtinId="8" hidden="1"/>
    <cellStyle name="Hyperlink" xfId="728" builtinId="8" hidden="1"/>
    <cellStyle name="Hyperlink" xfId="730" builtinId="8" hidden="1"/>
    <cellStyle name="Hyperlink" xfId="732" builtinId="8" hidden="1"/>
    <cellStyle name="Hyperlink" xfId="692" builtinId="8" hidden="1"/>
    <cellStyle name="Hyperlink" xfId="660" builtinId="8" hidden="1"/>
    <cellStyle name="Hyperlink" xfId="628" builtinId="8" hidden="1"/>
    <cellStyle name="Hyperlink" xfId="564" builtinId="8" hidden="1"/>
    <cellStyle name="Hyperlink" xfId="532" builtinId="8" hidden="1"/>
    <cellStyle name="Hyperlink" xfId="500" builtinId="8" hidden="1"/>
    <cellStyle name="Hyperlink" xfId="436" builtinId="8" hidden="1"/>
    <cellStyle name="Hyperlink" xfId="404" builtinId="8" hidden="1"/>
    <cellStyle name="Hyperlink" xfId="372" builtinId="8" hidden="1"/>
    <cellStyle name="Hyperlink" xfId="168" builtinId="8" hidden="1"/>
    <cellStyle name="Hyperlink" xfId="170" builtinId="8" hidden="1"/>
    <cellStyle name="Hyperlink" xfId="172" builtinId="8" hidden="1"/>
    <cellStyle name="Hyperlink" xfId="176" builtinId="8" hidden="1"/>
    <cellStyle name="Hyperlink" xfId="178" builtinId="8" hidden="1"/>
    <cellStyle name="Hyperlink" xfId="182" builtinId="8" hidden="1"/>
    <cellStyle name="Hyperlink" xfId="186" builtinId="8" hidden="1"/>
    <cellStyle name="Hyperlink" xfId="188" builtinId="8" hidden="1"/>
    <cellStyle name="Hyperlink" xfId="190" builtinId="8" hidden="1"/>
    <cellStyle name="Hyperlink" xfId="194" builtinId="8" hidden="1"/>
    <cellStyle name="Hyperlink" xfId="196" builtinId="8" hidden="1"/>
    <cellStyle name="Hyperlink" xfId="198" builtinId="8" hidden="1"/>
    <cellStyle name="Hyperlink" xfId="202" builtinId="8" hidden="1"/>
    <cellStyle name="Hyperlink" xfId="204" builtinId="8" hidden="1"/>
    <cellStyle name="Hyperlink" xfId="206" builtinId="8" hidden="1"/>
    <cellStyle name="Hyperlink" xfId="210" builtinId="8" hidden="1"/>
    <cellStyle name="Hyperlink" xfId="212" builtinId="8" hidden="1"/>
    <cellStyle name="Hyperlink" xfId="214" builtinId="8" hidden="1"/>
    <cellStyle name="Hyperlink" xfId="218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4" builtinId="8" hidden="1"/>
    <cellStyle name="Hyperlink" xfId="236" builtinId="8" hidden="1"/>
    <cellStyle name="Hyperlink" xfId="238" builtinId="8" hidden="1"/>
    <cellStyle name="Hyperlink" xfId="242" builtinId="8" hidden="1"/>
    <cellStyle name="Hyperlink" xfId="246" builtinId="8" hidden="1"/>
    <cellStyle name="Hyperlink" xfId="248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300" builtinId="8" hidden="1"/>
    <cellStyle name="Hyperlink" xfId="302" builtinId="8" hidden="1"/>
    <cellStyle name="Hyperlink" xfId="304" builtinId="8" hidden="1"/>
    <cellStyle name="Hyperlink" xfId="310" builtinId="8" hidden="1"/>
    <cellStyle name="Hyperlink" xfId="312" builtinId="8" hidden="1"/>
    <cellStyle name="Hyperlink" xfId="314" builtinId="8" hidden="1"/>
    <cellStyle name="Hyperlink" xfId="318" builtinId="8" hidden="1"/>
    <cellStyle name="Hyperlink" xfId="320" builtinId="8" hidden="1"/>
    <cellStyle name="Hyperlink" xfId="322" builtinId="8" hidden="1"/>
    <cellStyle name="Hyperlink" xfId="326" builtinId="8" hidden="1"/>
    <cellStyle name="Hyperlink" xfId="328" builtinId="8" hidden="1"/>
    <cellStyle name="Hyperlink" xfId="330" builtinId="8" hidden="1"/>
    <cellStyle name="Hyperlink" xfId="334" builtinId="8" hidden="1"/>
    <cellStyle name="Hyperlink" xfId="336" builtinId="8" hidden="1"/>
    <cellStyle name="Hyperlink" xfId="338" builtinId="8" hidden="1"/>
    <cellStyle name="Hyperlink" xfId="342" builtinId="8" hidden="1"/>
    <cellStyle name="Hyperlink" xfId="308" builtinId="8" hidden="1"/>
    <cellStyle name="Hyperlink" xfId="244" builtinId="8" hidden="1"/>
    <cellStyle name="Hyperlink" xfId="82" builtinId="8" hidden="1"/>
    <cellStyle name="Hyperlink" xfId="84" builtinId="8" hidden="1"/>
    <cellStyle name="Hyperlink" xfId="86" builtinId="8" hidden="1"/>
    <cellStyle name="Hyperlink" xfId="90" builtinId="8" hidden="1"/>
    <cellStyle name="Hyperlink" xfId="92" builtinId="8" hidden="1"/>
    <cellStyle name="Hyperlink" xfId="94" builtinId="8" hidden="1"/>
    <cellStyle name="Hyperlink" xfId="98" builtinId="8" hidden="1"/>
    <cellStyle name="Hyperlink" xfId="100" builtinId="8" hidden="1"/>
    <cellStyle name="Hyperlink" xfId="102" builtinId="8" hidden="1"/>
    <cellStyle name="Hyperlink" xfId="106" builtinId="8" hidden="1"/>
    <cellStyle name="Hyperlink" xfId="108" builtinId="8" hidden="1"/>
    <cellStyle name="Hyperlink" xfId="110" builtinId="8" hidden="1"/>
    <cellStyle name="Hyperlink" xfId="114" builtinId="8" hidden="1"/>
    <cellStyle name="Hyperlink" xfId="118" builtinId="8" hidden="1"/>
    <cellStyle name="Hyperlink" xfId="120" builtinId="8" hidden="1"/>
    <cellStyle name="Hyperlink" xfId="124" builtinId="8" hidden="1"/>
    <cellStyle name="Hyperlink" xfId="126" builtinId="8" hidden="1"/>
    <cellStyle name="Hyperlink" xfId="128" builtinId="8" hidden="1"/>
    <cellStyle name="Hyperlink" xfId="132" builtinId="8" hidden="1"/>
    <cellStyle name="Hyperlink" xfId="134" builtinId="8" hidden="1"/>
    <cellStyle name="Hyperlink" xfId="136" builtinId="8" hidden="1"/>
    <cellStyle name="Hyperlink" xfId="140" builtinId="8" hidden="1"/>
    <cellStyle name="Hyperlink" xfId="142" builtinId="8" hidden="1"/>
    <cellStyle name="Hyperlink" xfId="144" builtinId="8" hidden="1"/>
    <cellStyle name="Hyperlink" xfId="148" builtinId="8" hidden="1"/>
    <cellStyle name="Hyperlink" xfId="150" builtinId="8" hidden="1"/>
    <cellStyle name="Hyperlink" xfId="152" builtinId="8" hidden="1"/>
    <cellStyle name="Hyperlink" xfId="156" builtinId="8" hidden="1"/>
    <cellStyle name="Hyperlink" xfId="158" builtinId="8" hidden="1"/>
    <cellStyle name="Hyperlink" xfId="160" builtinId="8" hidden="1"/>
    <cellStyle name="Hyperlink" xfId="164" builtinId="8" hidden="1"/>
    <cellStyle name="Hyperlink" xfId="116" builtinId="8" hidden="1"/>
    <cellStyle name="Hyperlink" xfId="42" builtinId="8" hidden="1"/>
    <cellStyle name="Hyperlink" xfId="46" builtinId="8" hidden="1"/>
    <cellStyle name="Hyperlink" xfId="48" builtinId="8" hidden="1"/>
    <cellStyle name="Hyperlink" xfId="50" builtinId="8" hidden="1"/>
    <cellStyle name="Hyperlink" xfId="54" builtinId="8" hidden="1"/>
    <cellStyle name="Hyperlink" xfId="56" builtinId="8" hidden="1"/>
    <cellStyle name="Hyperlink" xfId="58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22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12" builtinId="8" hidden="1"/>
    <cellStyle name="Hyperlink" xfId="14" builtinId="8" hidden="1"/>
    <cellStyle name="Hyperlink" xfId="16" builtinId="8" hidden="1"/>
    <cellStyle name="Hyperlink" xfId="20" builtinId="8" hidden="1"/>
    <cellStyle name="Hyperlink" xfId="6" builtinId="8" hidden="1"/>
    <cellStyle name="Hyperlink" xfId="8" builtinId="8" hidden="1"/>
    <cellStyle name="Hyperlink" xfId="4" builtinId="8" hidden="1"/>
    <cellStyle name="Hyperlink" xfId="2" builtinId="8" hidden="1"/>
    <cellStyle name="Hyperlink" xfId="10" builtinId="8" hidden="1"/>
    <cellStyle name="Hyperlink" xfId="18" builtinId="8" hidden="1"/>
    <cellStyle name="Hyperlink" xfId="40" builtinId="8" hidden="1"/>
    <cellStyle name="Hyperlink" xfId="32" builtinId="8" hidden="1"/>
    <cellStyle name="Hyperlink" xfId="24" builtinId="8" hidden="1"/>
    <cellStyle name="Hyperlink" xfId="76" builtinId="8" hidden="1"/>
    <cellStyle name="Hyperlink" xfId="68" builtinId="8" hidden="1"/>
    <cellStyle name="Hyperlink" xfId="60" builtinId="8" hidden="1"/>
    <cellStyle name="Hyperlink" xfId="52" builtinId="8" hidden="1"/>
    <cellStyle name="Hyperlink" xfId="44" builtinId="8" hidden="1"/>
    <cellStyle name="Hyperlink" xfId="162" builtinId="8" hidden="1"/>
    <cellStyle name="Hyperlink" xfId="154" builtinId="8" hidden="1"/>
    <cellStyle name="Hyperlink" xfId="146" builtinId="8" hidden="1"/>
    <cellStyle name="Hyperlink" xfId="138" builtinId="8" hidden="1"/>
    <cellStyle name="Hyperlink" xfId="130" builtinId="8" hidden="1"/>
    <cellStyle name="Hyperlink" xfId="122" builtinId="8" hidden="1"/>
    <cellStyle name="Hyperlink" xfId="112" builtinId="8" hidden="1"/>
    <cellStyle name="Hyperlink" xfId="104" builtinId="8" hidden="1"/>
    <cellStyle name="Hyperlink" xfId="96" builtinId="8" hidden="1"/>
    <cellStyle name="Hyperlink" xfId="88" builtinId="8" hidden="1"/>
    <cellStyle name="Hyperlink" xfId="180" builtinId="8" hidden="1"/>
    <cellStyle name="Hyperlink" xfId="340" builtinId="8" hidden="1"/>
    <cellStyle name="Hyperlink" xfId="332" builtinId="8" hidden="1"/>
    <cellStyle name="Hyperlink" xfId="324" builtinId="8" hidden="1"/>
    <cellStyle name="Hyperlink" xfId="316" builtinId="8" hidden="1"/>
    <cellStyle name="Hyperlink" xfId="306" builtinId="8" hidden="1"/>
    <cellStyle name="Hyperlink" xfId="298" builtinId="8" hidden="1"/>
    <cellStyle name="Hyperlink" xfId="290" builtinId="8" hidden="1"/>
    <cellStyle name="Hyperlink" xfId="282" builtinId="8" hidden="1"/>
    <cellStyle name="Hyperlink" xfId="274" builtinId="8" hidden="1"/>
    <cellStyle name="Hyperlink" xfId="266" builtinId="8" hidden="1"/>
    <cellStyle name="Hyperlink" xfId="258" builtinId="8" hidden="1"/>
    <cellStyle name="Hyperlink" xfId="250" builtinId="8" hidden="1"/>
    <cellStyle name="Hyperlink" xfId="240" builtinId="8" hidden="1"/>
    <cellStyle name="Hyperlink" xfId="232" builtinId="8" hidden="1"/>
    <cellStyle name="Hyperlink" xfId="224" builtinId="8" hidden="1"/>
    <cellStyle name="Hyperlink" xfId="216" builtinId="8" hidden="1"/>
    <cellStyle name="Hyperlink" xfId="208" builtinId="8" hidden="1"/>
    <cellStyle name="Hyperlink" xfId="200" builtinId="8" hidden="1"/>
    <cellStyle name="Hyperlink" xfId="192" builtinId="8" hidden="1"/>
    <cellStyle name="Hyperlink" xfId="184" builtinId="8" hidden="1"/>
    <cellStyle name="Hyperlink" xfId="174" builtinId="8" hidden="1"/>
    <cellStyle name="Hyperlink" xfId="166" builtinId="8" hidden="1"/>
    <cellStyle name="Hyperlink" xfId="468" builtinId="8" hidden="1"/>
    <cellStyle name="Hyperlink" xfId="596" builtinId="8" hidden="1"/>
    <cellStyle name="Hyperlink" xfId="724" builtinId="8" hidden="1"/>
    <cellStyle name="Hyperlink" xfId="726" builtinId="8" hidden="1"/>
    <cellStyle name="Hyperlink" xfId="716" builtinId="8" hidden="1"/>
    <cellStyle name="Hyperlink" xfId="708" builtinId="8" hidden="1"/>
    <cellStyle name="Hyperlink" xfId="700" builtinId="8" hidden="1"/>
    <cellStyle name="Hyperlink" xfId="690" builtinId="8" hidden="1"/>
    <cellStyle name="Hyperlink" xfId="682" builtinId="8" hidden="1"/>
    <cellStyle name="Hyperlink" xfId="674" builtinId="8" hidden="1"/>
    <cellStyle name="Hyperlink" xfId="666" builtinId="8" hidden="1"/>
    <cellStyle name="Hyperlink" xfId="656" builtinId="8" hidden="1"/>
    <cellStyle name="Hyperlink" xfId="648" builtinId="8" hidden="1"/>
    <cellStyle name="Hyperlink" xfId="640" builtinId="8" hidden="1"/>
    <cellStyle name="Hyperlink" xfId="632" builtinId="8" hidden="1"/>
    <cellStyle name="Hyperlink" xfId="622" builtinId="8" hidden="1"/>
    <cellStyle name="Hyperlink" xfId="614" builtinId="8" hidden="1"/>
    <cellStyle name="Hyperlink" xfId="606" builtinId="8" hidden="1"/>
    <cellStyle name="Hyperlink" xfId="598" builtinId="8" hidden="1"/>
    <cellStyle name="Hyperlink" xfId="588" builtinId="8" hidden="1"/>
    <cellStyle name="Hyperlink" xfId="580" builtinId="8" hidden="1"/>
    <cellStyle name="Hyperlink" xfId="572" builtinId="8" hidden="1"/>
    <cellStyle name="Hyperlink" xfId="562" builtinId="8" hidden="1"/>
    <cellStyle name="Hyperlink" xfId="554" builtinId="8" hidden="1"/>
    <cellStyle name="Hyperlink" xfId="546" builtinId="8" hidden="1"/>
    <cellStyle name="Hyperlink" xfId="538" builtinId="8" hidden="1"/>
    <cellStyle name="Hyperlink" xfId="528" builtinId="8" hidden="1"/>
    <cellStyle name="Hyperlink" xfId="520" builtinId="8" hidden="1"/>
    <cellStyle name="Hyperlink" xfId="512" builtinId="8" hidden="1"/>
    <cellStyle name="Hyperlink" xfId="504" builtinId="8" hidden="1"/>
    <cellStyle name="Hyperlink" xfId="494" builtinId="8" hidden="1"/>
    <cellStyle name="Hyperlink" xfId="486" builtinId="8" hidden="1"/>
    <cellStyle name="Hyperlink" xfId="478" builtinId="8" hidden="1"/>
    <cellStyle name="Hyperlink" xfId="470" builtinId="8" hidden="1"/>
    <cellStyle name="Hyperlink" xfId="460" builtinId="8" hidden="1"/>
    <cellStyle name="Hyperlink" xfId="452" builtinId="8" hidden="1"/>
    <cellStyle name="Hyperlink" xfId="444" builtinId="8" hidden="1"/>
    <cellStyle name="Hyperlink" xfId="434" builtinId="8" hidden="1"/>
    <cellStyle name="Hyperlink" xfId="426" builtinId="8" hidden="1"/>
    <cellStyle name="Hyperlink" xfId="418" builtinId="8" hidden="1"/>
    <cellStyle name="Hyperlink" xfId="410" builtinId="8" hidden="1"/>
    <cellStyle name="Hyperlink" xfId="400" builtinId="8" hidden="1"/>
    <cellStyle name="Hyperlink" xfId="392" builtinId="8" hidden="1"/>
    <cellStyle name="Hyperlink" xfId="384" builtinId="8" hidden="1"/>
    <cellStyle name="Hyperlink" xfId="376" builtinId="8" hidden="1"/>
    <cellStyle name="Hyperlink" xfId="366" builtinId="8" hidden="1"/>
    <cellStyle name="Hyperlink" xfId="358" builtinId="8" hidden="1"/>
    <cellStyle name="Hyperlink" xfId="350" builtinId="8" hidden="1"/>
    <cellStyle name="Hyperlink" xfId="740" builtinId="8" hidden="1"/>
    <cellStyle name="Hyperlink" xfId="805" builtinId="8" hidden="1"/>
    <cellStyle name="Hyperlink" xfId="869" builtinId="8" hidden="1"/>
    <cellStyle name="Hyperlink" xfId="933" builtinId="8" hidden="1"/>
    <cellStyle name="Hyperlink" xfId="997" builtinId="8" hidden="1"/>
    <cellStyle name="Hyperlink" xfId="1061" builtinId="8" hidden="1"/>
    <cellStyle name="Hyperlink" xfId="1125" builtinId="8" hidden="1"/>
    <cellStyle name="Hyperlink" xfId="1189" builtinId="8" hidden="1"/>
    <cellStyle name="Hyperlink" xfId="1253" builtinId="8" hidden="1"/>
    <cellStyle name="Hyperlink" xfId="1317" builtinId="8" hidden="1"/>
    <cellStyle name="Hyperlink" xfId="1381" builtinId="8" hidden="1"/>
    <cellStyle name="Hyperlink" xfId="1445" builtinId="8" hidden="1"/>
    <cellStyle name="Hyperlink" xfId="1509" builtinId="8" hidden="1"/>
    <cellStyle name="Hyperlink" xfId="1573" builtinId="8" hidden="1"/>
    <cellStyle name="Hyperlink" xfId="1637" builtinId="8" hidden="1"/>
    <cellStyle name="Hyperlink" xfId="1701" builtinId="8" hidden="1"/>
    <cellStyle name="Hyperlink" xfId="1705" builtinId="8" hidden="1"/>
    <cellStyle name="Hyperlink" xfId="1695" builtinId="8" hidden="1"/>
    <cellStyle name="Hyperlink" xfId="1687" builtinId="8" hidden="1"/>
    <cellStyle name="Hyperlink" xfId="1677" builtinId="8" hidden="1"/>
    <cellStyle name="Hyperlink" xfId="1667" builtinId="8" hidden="1"/>
    <cellStyle name="Hyperlink" xfId="1659" builtinId="8" hidden="1"/>
    <cellStyle name="Hyperlink" xfId="1649" builtinId="8" hidden="1"/>
    <cellStyle name="Hyperlink" xfId="1641" builtinId="8" hidden="1"/>
    <cellStyle name="Hyperlink" xfId="1631" builtinId="8" hidden="1"/>
    <cellStyle name="Hyperlink" xfId="1623" builtinId="8" hidden="1"/>
    <cellStyle name="Hyperlink" xfId="1613" builtinId="8" hidden="1"/>
    <cellStyle name="Hyperlink" xfId="1603" builtinId="8" hidden="1"/>
    <cellStyle name="Hyperlink" xfId="1595" builtinId="8" hidden="1"/>
    <cellStyle name="Hyperlink" xfId="1585" builtinId="8" hidden="1"/>
    <cellStyle name="Hyperlink" xfId="1577" builtinId="8" hidden="1"/>
    <cellStyle name="Hyperlink" xfId="1567" builtinId="8" hidden="1"/>
    <cellStyle name="Hyperlink" xfId="1559" builtinId="8" hidden="1"/>
    <cellStyle name="Hyperlink" xfId="1549" builtinId="8" hidden="1"/>
    <cellStyle name="Hyperlink" xfId="1539" builtinId="8" hidden="1"/>
    <cellStyle name="Hyperlink" xfId="1531" builtinId="8" hidden="1"/>
    <cellStyle name="Hyperlink" xfId="1521" builtinId="8" hidden="1"/>
    <cellStyle name="Hyperlink" xfId="1513" builtinId="8" hidden="1"/>
    <cellStyle name="Hyperlink" xfId="1503" builtinId="8" hidden="1"/>
    <cellStyle name="Hyperlink" xfId="1495" builtinId="8" hidden="1"/>
    <cellStyle name="Hyperlink" xfId="1485" builtinId="8" hidden="1"/>
    <cellStyle name="Hyperlink" xfId="1475" builtinId="8" hidden="1"/>
    <cellStyle name="Hyperlink" xfId="1467" builtinId="8" hidden="1"/>
    <cellStyle name="Hyperlink" xfId="1457" builtinId="8" hidden="1"/>
    <cellStyle name="Hyperlink" xfId="1449" builtinId="8" hidden="1"/>
    <cellStyle name="Hyperlink" xfId="1439" builtinId="8" hidden="1"/>
    <cellStyle name="Hyperlink" xfId="1431" builtinId="8" hidden="1"/>
    <cellStyle name="Hyperlink" xfId="1421" builtinId="8" hidden="1"/>
    <cellStyle name="Hyperlink" xfId="1411" builtinId="8" hidden="1"/>
    <cellStyle name="Hyperlink" xfId="1403" builtinId="8" hidden="1"/>
    <cellStyle name="Hyperlink" xfId="1393" builtinId="8" hidden="1"/>
    <cellStyle name="Hyperlink" xfId="1385" builtinId="8" hidden="1"/>
    <cellStyle name="Hyperlink" xfId="1375" builtinId="8" hidden="1"/>
    <cellStyle name="Hyperlink" xfId="1367" builtinId="8" hidden="1"/>
    <cellStyle name="Hyperlink" xfId="1357" builtinId="8" hidden="1"/>
    <cellStyle name="Hyperlink" xfId="1347" builtinId="8" hidden="1"/>
    <cellStyle name="Hyperlink" xfId="1339" builtinId="8" hidden="1"/>
    <cellStyle name="Hyperlink" xfId="1329" builtinId="8" hidden="1"/>
    <cellStyle name="Hyperlink" xfId="1321" builtinId="8" hidden="1"/>
    <cellStyle name="Hyperlink" xfId="1311" builtinId="8" hidden="1"/>
    <cellStyle name="Hyperlink" xfId="1303" builtinId="8" hidden="1"/>
    <cellStyle name="Hyperlink" xfId="1293" builtinId="8" hidden="1"/>
    <cellStyle name="Hyperlink" xfId="1283" builtinId="8" hidden="1"/>
    <cellStyle name="Hyperlink" xfId="1275" builtinId="8" hidden="1"/>
    <cellStyle name="Hyperlink" xfId="1265" builtinId="8" hidden="1"/>
    <cellStyle name="Hyperlink" xfId="1257" builtinId="8" hidden="1"/>
    <cellStyle name="Hyperlink" xfId="1247" builtinId="8" hidden="1"/>
    <cellStyle name="Hyperlink" xfId="1239" builtinId="8" hidden="1"/>
    <cellStyle name="Hyperlink" xfId="1229" builtinId="8" hidden="1"/>
    <cellStyle name="Hyperlink" xfId="1219" builtinId="8" hidden="1"/>
    <cellStyle name="Hyperlink" xfId="1211" builtinId="8" hidden="1"/>
    <cellStyle name="Hyperlink" xfId="1201" builtinId="8" hidden="1"/>
    <cellStyle name="Hyperlink" xfId="1193" builtinId="8" hidden="1"/>
    <cellStyle name="Hyperlink" xfId="1183" builtinId="8" hidden="1"/>
    <cellStyle name="Hyperlink" xfId="1175" builtinId="8" hidden="1"/>
    <cellStyle name="Hyperlink" xfId="1165" builtinId="8" hidden="1"/>
    <cellStyle name="Hyperlink" xfId="1155" builtinId="8" hidden="1"/>
    <cellStyle name="Hyperlink" xfId="1147" builtinId="8" hidden="1"/>
    <cellStyle name="Hyperlink" xfId="1137" builtinId="8" hidden="1"/>
    <cellStyle name="Hyperlink" xfId="1129" builtinId="8" hidden="1"/>
    <cellStyle name="Hyperlink" xfId="1119" builtinId="8" hidden="1"/>
    <cellStyle name="Hyperlink" xfId="1111" builtinId="8" hidden="1"/>
    <cellStyle name="Hyperlink" xfId="1101" builtinId="8" hidden="1"/>
    <cellStyle name="Hyperlink" xfId="1091" builtinId="8" hidden="1"/>
    <cellStyle name="Hyperlink" xfId="1083" builtinId="8" hidden="1"/>
    <cellStyle name="Hyperlink" xfId="1073" builtinId="8" hidden="1"/>
    <cellStyle name="Hyperlink" xfId="1065" builtinId="8" hidden="1"/>
    <cellStyle name="Hyperlink" xfId="1055" builtinId="8" hidden="1"/>
    <cellStyle name="Hyperlink" xfId="1047" builtinId="8" hidden="1"/>
    <cellStyle name="Hyperlink" xfId="1037" builtinId="8" hidden="1"/>
    <cellStyle name="Hyperlink" xfId="1027" builtinId="8" hidden="1"/>
    <cellStyle name="Hyperlink" xfId="1019" builtinId="8" hidden="1"/>
    <cellStyle name="Hyperlink" xfId="1009" builtinId="8" hidden="1"/>
    <cellStyle name="Hyperlink" xfId="1001" builtinId="8" hidden="1"/>
    <cellStyle name="Hyperlink" xfId="991" builtinId="8" hidden="1"/>
    <cellStyle name="Hyperlink" xfId="983" builtinId="8" hidden="1"/>
    <cellStyle name="Hyperlink" xfId="973" builtinId="8" hidden="1"/>
    <cellStyle name="Hyperlink" xfId="963" builtinId="8" hidden="1"/>
    <cellStyle name="Hyperlink" xfId="955" builtinId="8" hidden="1"/>
    <cellStyle name="Hyperlink" xfId="945" builtinId="8" hidden="1"/>
    <cellStyle name="Hyperlink" xfId="937" builtinId="8" hidden="1"/>
    <cellStyle name="Hyperlink" xfId="927" builtinId="8" hidden="1"/>
    <cellStyle name="Hyperlink" xfId="919" builtinId="8" hidden="1"/>
    <cellStyle name="Hyperlink" xfId="909" builtinId="8" hidden="1"/>
    <cellStyle name="Hyperlink" xfId="899" builtinId="8" hidden="1"/>
    <cellStyle name="Hyperlink" xfId="891" builtinId="8" hidden="1"/>
    <cellStyle name="Hyperlink" xfId="881" builtinId="8" hidden="1"/>
    <cellStyle name="Hyperlink" xfId="873" builtinId="8" hidden="1"/>
    <cellStyle name="Hyperlink" xfId="863" builtinId="8" hidden="1"/>
    <cellStyle name="Hyperlink" xfId="855" builtinId="8" hidden="1"/>
    <cellStyle name="Hyperlink" xfId="845" builtinId="8" hidden="1"/>
    <cellStyle name="Hyperlink" xfId="835" builtinId="8" hidden="1"/>
    <cellStyle name="Hyperlink" xfId="827" builtinId="8" hidden="1"/>
    <cellStyle name="Hyperlink" xfId="817" builtinId="8" hidden="1"/>
    <cellStyle name="Hyperlink" xfId="809" builtinId="8" hidden="1"/>
    <cellStyle name="Hyperlink" xfId="798" builtinId="8" hidden="1"/>
    <cellStyle name="Hyperlink" xfId="790" builtinId="8" hidden="1"/>
    <cellStyle name="Hyperlink" xfId="780" builtinId="8" hidden="1"/>
    <cellStyle name="Hyperlink" xfId="770" builtinId="8" hidden="1"/>
    <cellStyle name="Hyperlink" xfId="762" builtinId="8" hidden="1"/>
    <cellStyle name="Hyperlink" xfId="752" builtinId="8" hidden="1"/>
    <cellStyle name="Hyperlink" xfId="744" builtinId="8" hidden="1"/>
    <cellStyle name="Hyperlink" xfId="734" builtinId="8" hidden="1"/>
    <cellStyle name="Hyperlink" xfId="1741" builtinId="8" hidden="1"/>
    <cellStyle name="Hyperlink" xfId="1773" builtinId="8" hidden="1"/>
    <cellStyle name="Hyperlink" xfId="1805" builtinId="8" hidden="1"/>
    <cellStyle name="Hyperlink" xfId="1837" builtinId="8" hidden="1"/>
    <cellStyle name="Hyperlink" xfId="1869" builtinId="8" hidden="1"/>
    <cellStyle name="Hyperlink" xfId="1901" builtinId="8" hidden="1"/>
    <cellStyle name="Hyperlink" xfId="1933" builtinId="8" hidden="1"/>
    <cellStyle name="Hyperlink" xfId="1965" builtinId="8" hidden="1"/>
    <cellStyle name="Hyperlink" xfId="1997" builtinId="8" hidden="1"/>
    <cellStyle name="Hyperlink" xfId="2029" builtinId="8" hidden="1"/>
    <cellStyle name="Hyperlink" xfId="2061" builtinId="8" hidden="1"/>
    <cellStyle name="Hyperlink" xfId="2093" builtinId="8" hidden="1"/>
    <cellStyle name="Hyperlink" xfId="2125" builtinId="8" hidden="1"/>
    <cellStyle name="Hyperlink" xfId="2157" builtinId="8" hidden="1"/>
    <cellStyle name="Hyperlink" xfId="2189" builtinId="8" hidden="1"/>
    <cellStyle name="Hyperlink" xfId="2221" builtinId="8" hidden="1"/>
    <cellStyle name="Hyperlink" xfId="2253" builtinId="8" hidden="1"/>
    <cellStyle name="Hyperlink" xfId="2285" builtinId="8" hidden="1"/>
    <cellStyle name="Hyperlink" xfId="2317" builtinId="8" hidden="1"/>
    <cellStyle name="Hyperlink" xfId="2349" builtinId="8" hidden="1"/>
    <cellStyle name="Hyperlink" xfId="2381" builtinId="8" hidden="1"/>
    <cellStyle name="Hyperlink" xfId="2413" builtinId="8" hidden="1"/>
    <cellStyle name="Hyperlink" xfId="2445" builtinId="8" hidden="1"/>
    <cellStyle name="Hyperlink" xfId="2477" builtinId="8" hidden="1"/>
    <cellStyle name="Hyperlink" xfId="2509" builtinId="8" hidden="1"/>
    <cellStyle name="Hyperlink" xfId="2541" builtinId="8" hidden="1"/>
    <cellStyle name="Hyperlink" xfId="2573" builtinId="8" hidden="1"/>
    <cellStyle name="Hyperlink" xfId="2605" builtinId="8" hidden="1"/>
    <cellStyle name="Hyperlink" xfId="2637" builtinId="8" hidden="1"/>
    <cellStyle name="Hyperlink" xfId="2669" builtinId="8" hidden="1"/>
    <cellStyle name="Hyperlink" xfId="2701" builtinId="8" hidden="1"/>
    <cellStyle name="Hyperlink" xfId="2733" builtinId="8" hidden="1"/>
    <cellStyle name="Hyperlink" xfId="2765" builtinId="8" hidden="1"/>
    <cellStyle name="Hyperlink" xfId="2797" builtinId="8" hidden="1"/>
    <cellStyle name="Hyperlink" xfId="2829" builtinId="8" hidden="1"/>
    <cellStyle name="Hyperlink" xfId="2861" builtinId="8" hidden="1"/>
    <cellStyle name="Hyperlink" xfId="2893" builtinId="8" hidden="1"/>
    <cellStyle name="Hyperlink" xfId="2925" builtinId="8" hidden="1"/>
    <cellStyle name="Hyperlink" xfId="2957" builtinId="8" hidden="1"/>
    <cellStyle name="Hyperlink" xfId="2989" builtinId="8" hidden="1"/>
    <cellStyle name="Hyperlink" xfId="3021" builtinId="8" hidden="1"/>
    <cellStyle name="Hyperlink" xfId="3053" builtinId="8" hidden="1"/>
    <cellStyle name="Hyperlink" xfId="3085" builtinId="8" hidden="1"/>
    <cellStyle name="Hyperlink" xfId="3117" builtinId="8" hidden="1"/>
    <cellStyle name="Hyperlink" xfId="3149" builtinId="8" hidden="1"/>
    <cellStyle name="Hyperlink" xfId="3181" builtinId="8" hidden="1"/>
    <cellStyle name="Hyperlink" xfId="3213" builtinId="8" hidden="1"/>
    <cellStyle name="Hyperlink" xfId="3245" builtinId="8" hidden="1"/>
    <cellStyle name="Hyperlink" xfId="3277" builtinId="8" hidden="1"/>
    <cellStyle name="Hyperlink" xfId="3309" builtinId="8" hidden="1"/>
    <cellStyle name="Hyperlink" xfId="3341" builtinId="8" hidden="1"/>
    <cellStyle name="Hyperlink" xfId="3373" builtinId="8" hidden="1"/>
    <cellStyle name="Hyperlink" xfId="3405" builtinId="8" hidden="1"/>
    <cellStyle name="Hyperlink" xfId="3437" builtinId="8" hidden="1"/>
    <cellStyle name="Hyperlink" xfId="3469" builtinId="8" hidden="1"/>
    <cellStyle name="Hyperlink" xfId="3501" builtinId="8" hidden="1"/>
    <cellStyle name="Hyperlink" xfId="3533" builtinId="8" hidden="1"/>
    <cellStyle name="Hyperlink" xfId="3565" builtinId="8" hidden="1"/>
    <cellStyle name="Hyperlink" xfId="3597" builtinId="8" hidden="1"/>
    <cellStyle name="Hyperlink" xfId="3629" builtinId="8" hidden="1"/>
    <cellStyle name="Hyperlink" xfId="3661" builtinId="8" hidden="1"/>
    <cellStyle name="Hyperlink" xfId="3693" builtinId="8" hidden="1"/>
    <cellStyle name="Hyperlink" xfId="3725" builtinId="8" hidden="1"/>
    <cellStyle name="Hyperlink" xfId="3757" builtinId="8" hidden="1"/>
    <cellStyle name="Hyperlink" xfId="3789" builtinId="8" hidden="1"/>
    <cellStyle name="Hyperlink" xfId="3821" builtinId="8" hidden="1"/>
    <cellStyle name="Hyperlink" xfId="3853" builtinId="8" hidden="1"/>
    <cellStyle name="Hyperlink" xfId="3885" builtinId="8" hidden="1"/>
    <cellStyle name="Hyperlink" xfId="3917" builtinId="8" hidden="1"/>
    <cellStyle name="Hyperlink" xfId="3949" builtinId="8" hidden="1"/>
    <cellStyle name="Hyperlink" xfId="3981" builtinId="8" hidden="1"/>
    <cellStyle name="Hyperlink" xfId="4013" builtinId="8" hidden="1"/>
    <cellStyle name="Hyperlink" xfId="4045" builtinId="8" hidden="1"/>
    <cellStyle name="Hyperlink" xfId="4077" builtinId="8" hidden="1"/>
    <cellStyle name="Hyperlink" xfId="4109" builtinId="8" hidden="1"/>
    <cellStyle name="Hyperlink" xfId="4141" builtinId="8" hidden="1"/>
    <cellStyle name="Hyperlink" xfId="4173" builtinId="8" hidden="1"/>
    <cellStyle name="Hyperlink" xfId="4205" builtinId="8" hidden="1"/>
    <cellStyle name="Hyperlink" xfId="4237" builtinId="8" hidden="1"/>
    <cellStyle name="Hyperlink" xfId="4269" builtinId="8" hidden="1"/>
    <cellStyle name="Hyperlink" xfId="4301" builtinId="8" hidden="1"/>
    <cellStyle name="Hyperlink" xfId="4333" builtinId="8" hidden="1"/>
    <cellStyle name="Hyperlink" xfId="4365" builtinId="8" hidden="1"/>
    <cellStyle name="Hyperlink" xfId="4397" builtinId="8" hidden="1"/>
    <cellStyle name="Hyperlink" xfId="4429" builtinId="8" hidden="1"/>
    <cellStyle name="Hyperlink" xfId="4461" builtinId="8" hidden="1"/>
    <cellStyle name="Hyperlink" xfId="4493" builtinId="8" hidden="1"/>
    <cellStyle name="Hyperlink" xfId="4525" builtinId="8" hidden="1"/>
    <cellStyle name="Hyperlink" xfId="4557" builtinId="8" hidden="1"/>
    <cellStyle name="Hyperlink" xfId="4589" builtinId="8" hidden="1"/>
    <cellStyle name="Hyperlink" xfId="4621" builtinId="8" hidden="1"/>
    <cellStyle name="Hyperlink" xfId="4653" builtinId="8" hidden="1"/>
    <cellStyle name="Hyperlink" xfId="4685" builtinId="8" hidden="1"/>
    <cellStyle name="Hyperlink" xfId="4717" builtinId="8" hidden="1"/>
    <cellStyle name="Hyperlink" xfId="4749" builtinId="8" hidden="1"/>
    <cellStyle name="Hyperlink" xfId="4781" builtinId="8" hidden="1"/>
    <cellStyle name="Hyperlink" xfId="4813" builtinId="8" hidden="1"/>
    <cellStyle name="Hyperlink" xfId="4845" builtinId="8" hidden="1"/>
    <cellStyle name="Hyperlink" xfId="4877" builtinId="8" hidden="1"/>
    <cellStyle name="Hyperlink" xfId="4909" builtinId="8" hidden="1"/>
    <cellStyle name="Hyperlink" xfId="4941" builtinId="8" hidden="1"/>
    <cellStyle name="Hyperlink" xfId="4973" builtinId="8" hidden="1"/>
    <cellStyle name="Hyperlink" xfId="5005" builtinId="8" hidden="1"/>
    <cellStyle name="Hyperlink" xfId="5037" builtinId="8" hidden="1"/>
    <cellStyle name="Hyperlink" xfId="5055" builtinId="8" hidden="1"/>
    <cellStyle name="Hyperlink" xfId="5043" builtinId="8" hidden="1"/>
    <cellStyle name="Hyperlink" xfId="5033" builtinId="8" hidden="1"/>
    <cellStyle name="Hyperlink" xfId="5023" builtinId="8" hidden="1"/>
    <cellStyle name="Hyperlink" xfId="5011" builtinId="8" hidden="1"/>
    <cellStyle name="Hyperlink" xfId="5001" builtinId="8" hidden="1"/>
    <cellStyle name="Hyperlink" xfId="4991" builtinId="8" hidden="1"/>
    <cellStyle name="Hyperlink" xfId="4979" builtinId="8" hidden="1"/>
    <cellStyle name="Hyperlink" xfId="4969" builtinId="8" hidden="1"/>
    <cellStyle name="Hyperlink" xfId="4959" builtinId="8" hidden="1"/>
    <cellStyle name="Hyperlink" xfId="4947" builtinId="8" hidden="1"/>
    <cellStyle name="Hyperlink" xfId="4937" builtinId="8" hidden="1"/>
    <cellStyle name="Hyperlink" xfId="4927" builtinId="8" hidden="1"/>
    <cellStyle name="Hyperlink" xfId="4915" builtinId="8" hidden="1"/>
    <cellStyle name="Hyperlink" xfId="4905" builtinId="8" hidden="1"/>
    <cellStyle name="Hyperlink" xfId="4895" builtinId="8" hidden="1"/>
    <cellStyle name="Hyperlink" xfId="4883" builtinId="8" hidden="1"/>
    <cellStyle name="Hyperlink" xfId="4873" builtinId="8" hidden="1"/>
    <cellStyle name="Hyperlink" xfId="4863" builtinId="8" hidden="1"/>
    <cellStyle name="Hyperlink" xfId="4851" builtinId="8" hidden="1"/>
    <cellStyle name="Hyperlink" xfId="4841" builtinId="8" hidden="1"/>
    <cellStyle name="Hyperlink" xfId="4831" builtinId="8" hidden="1"/>
    <cellStyle name="Hyperlink" xfId="4819" builtinId="8" hidden="1"/>
    <cellStyle name="Hyperlink" xfId="4809" builtinId="8" hidden="1"/>
    <cellStyle name="Hyperlink" xfId="4799" builtinId="8" hidden="1"/>
    <cellStyle name="Hyperlink" xfId="4787" builtinId="8" hidden="1"/>
    <cellStyle name="Hyperlink" xfId="4777" builtinId="8" hidden="1"/>
    <cellStyle name="Hyperlink" xfId="4767" builtinId="8" hidden="1"/>
    <cellStyle name="Hyperlink" xfId="4755" builtinId="8" hidden="1"/>
    <cellStyle name="Hyperlink" xfId="4745" builtinId="8" hidden="1"/>
    <cellStyle name="Hyperlink" xfId="4735" builtinId="8" hidden="1"/>
    <cellStyle name="Hyperlink" xfId="4723" builtinId="8" hidden="1"/>
    <cellStyle name="Hyperlink" xfId="4713" builtinId="8" hidden="1"/>
    <cellStyle name="Hyperlink" xfId="4703" builtinId="8" hidden="1"/>
    <cellStyle name="Hyperlink" xfId="4691" builtinId="8" hidden="1"/>
    <cellStyle name="Hyperlink" xfId="4681" builtinId="8" hidden="1"/>
    <cellStyle name="Hyperlink" xfId="4671" builtinId="8" hidden="1"/>
    <cellStyle name="Hyperlink" xfId="4659" builtinId="8" hidden="1"/>
    <cellStyle name="Hyperlink" xfId="4649" builtinId="8" hidden="1"/>
    <cellStyle name="Hyperlink" xfId="4639" builtinId="8" hidden="1"/>
    <cellStyle name="Hyperlink" xfId="4627" builtinId="8" hidden="1"/>
    <cellStyle name="Hyperlink" xfId="4617" builtinId="8" hidden="1"/>
    <cellStyle name="Hyperlink" xfId="4607" builtinId="8" hidden="1"/>
    <cellStyle name="Hyperlink" xfId="4595" builtinId="8" hidden="1"/>
    <cellStyle name="Hyperlink" xfId="4585" builtinId="8" hidden="1"/>
    <cellStyle name="Hyperlink" xfId="4575" builtinId="8" hidden="1"/>
    <cellStyle name="Hyperlink" xfId="4563" builtinId="8" hidden="1"/>
    <cellStyle name="Hyperlink" xfId="4553" builtinId="8" hidden="1"/>
    <cellStyle name="Hyperlink" xfId="4543" builtinId="8" hidden="1"/>
    <cellStyle name="Hyperlink" xfId="4531" builtinId="8" hidden="1"/>
    <cellStyle name="Hyperlink" xfId="4521" builtinId="8" hidden="1"/>
    <cellStyle name="Hyperlink" xfId="4511" builtinId="8" hidden="1"/>
    <cellStyle name="Hyperlink" xfId="4499" builtinId="8" hidden="1"/>
    <cellStyle name="Hyperlink" xfId="4489" builtinId="8" hidden="1"/>
    <cellStyle name="Hyperlink" xfId="4479" builtinId="8" hidden="1"/>
    <cellStyle name="Hyperlink" xfId="4467" builtinId="8" hidden="1"/>
    <cellStyle name="Hyperlink" xfId="4457" builtinId="8" hidden="1"/>
    <cellStyle name="Hyperlink" xfId="4447" builtinId="8" hidden="1"/>
    <cellStyle name="Hyperlink" xfId="4435" builtinId="8" hidden="1"/>
    <cellStyle name="Hyperlink" xfId="4425" builtinId="8" hidden="1"/>
    <cellStyle name="Hyperlink" xfId="4415" builtinId="8" hidden="1"/>
    <cellStyle name="Hyperlink" xfId="4403" builtinId="8" hidden="1"/>
    <cellStyle name="Hyperlink" xfId="4393" builtinId="8" hidden="1"/>
    <cellStyle name="Hyperlink" xfId="4383" builtinId="8" hidden="1"/>
    <cellStyle name="Hyperlink" xfId="4371" builtinId="8" hidden="1"/>
    <cellStyle name="Hyperlink" xfId="4361" builtinId="8" hidden="1"/>
    <cellStyle name="Hyperlink" xfId="4351" builtinId="8" hidden="1"/>
    <cellStyle name="Hyperlink" xfId="4339" builtinId="8" hidden="1"/>
    <cellStyle name="Hyperlink" xfId="4329" builtinId="8" hidden="1"/>
    <cellStyle name="Hyperlink" xfId="4319" builtinId="8" hidden="1"/>
    <cellStyle name="Hyperlink" xfId="4307" builtinId="8" hidden="1"/>
    <cellStyle name="Hyperlink" xfId="4297" builtinId="8" hidden="1"/>
    <cellStyle name="Hyperlink" xfId="4287" builtinId="8" hidden="1"/>
    <cellStyle name="Hyperlink" xfId="4275" builtinId="8" hidden="1"/>
    <cellStyle name="Hyperlink" xfId="4265" builtinId="8" hidden="1"/>
    <cellStyle name="Hyperlink" xfId="4255" builtinId="8" hidden="1"/>
    <cellStyle name="Hyperlink" xfId="4243" builtinId="8" hidden="1"/>
    <cellStyle name="Hyperlink" xfId="4233" builtinId="8" hidden="1"/>
    <cellStyle name="Hyperlink" xfId="4223" builtinId="8" hidden="1"/>
    <cellStyle name="Hyperlink" xfId="4211" builtinId="8" hidden="1"/>
    <cellStyle name="Hyperlink" xfId="4201" builtinId="8" hidden="1"/>
    <cellStyle name="Hyperlink" xfId="4191" builtinId="8" hidden="1"/>
    <cellStyle name="Hyperlink" xfId="4179" builtinId="8" hidden="1"/>
    <cellStyle name="Hyperlink" xfId="4169" builtinId="8" hidden="1"/>
    <cellStyle name="Hyperlink" xfId="4159" builtinId="8" hidden="1"/>
    <cellStyle name="Hyperlink" xfId="4147" builtinId="8" hidden="1"/>
    <cellStyle name="Hyperlink" xfId="4137" builtinId="8" hidden="1"/>
    <cellStyle name="Hyperlink" xfId="4127" builtinId="8" hidden="1"/>
    <cellStyle name="Hyperlink" xfId="4115" builtinId="8" hidden="1"/>
    <cellStyle name="Hyperlink" xfId="4105" builtinId="8" hidden="1"/>
    <cellStyle name="Hyperlink" xfId="4095" builtinId="8" hidden="1"/>
    <cellStyle name="Hyperlink" xfId="4083" builtinId="8" hidden="1"/>
    <cellStyle name="Hyperlink" xfId="4073" builtinId="8" hidden="1"/>
    <cellStyle name="Hyperlink" xfId="4063" builtinId="8" hidden="1"/>
    <cellStyle name="Hyperlink" xfId="4051" builtinId="8" hidden="1"/>
    <cellStyle name="Hyperlink" xfId="4041" builtinId="8" hidden="1"/>
    <cellStyle name="Hyperlink" xfId="4031" builtinId="8" hidden="1"/>
    <cellStyle name="Hyperlink" xfId="4019" builtinId="8" hidden="1"/>
    <cellStyle name="Hyperlink" xfId="4009" builtinId="8" hidden="1"/>
    <cellStyle name="Hyperlink" xfId="3999" builtinId="8" hidden="1"/>
    <cellStyle name="Hyperlink" xfId="2689" builtinId="8" hidden="1"/>
    <cellStyle name="Hyperlink" xfId="2691" builtinId="8" hidden="1"/>
    <cellStyle name="Hyperlink" xfId="2695" builtinId="8" hidden="1"/>
    <cellStyle name="Hyperlink" xfId="2699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21" builtinId="8" hidden="1"/>
    <cellStyle name="Hyperlink" xfId="2723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5" builtinId="8" hidden="1"/>
    <cellStyle name="Hyperlink" xfId="2737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9" builtinId="8" hidden="1"/>
    <cellStyle name="Hyperlink" xfId="2763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5" builtinId="8" hidden="1"/>
    <cellStyle name="Hyperlink" xfId="2787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9" builtinId="8" hidden="1"/>
    <cellStyle name="Hyperlink" xfId="2801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3" builtinId="8" hidden="1"/>
    <cellStyle name="Hyperlink" xfId="2827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9" builtinId="8" hidden="1"/>
    <cellStyle name="Hyperlink" xfId="2851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3" builtinId="8" hidden="1"/>
    <cellStyle name="Hyperlink" xfId="2865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7" builtinId="8" hidden="1"/>
    <cellStyle name="Hyperlink" xfId="2891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13" builtinId="8" hidden="1"/>
    <cellStyle name="Hyperlink" xfId="2915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7" builtinId="8" hidden="1"/>
    <cellStyle name="Hyperlink" xfId="2929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51" builtinId="8" hidden="1"/>
    <cellStyle name="Hyperlink" xfId="2955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7" builtinId="8" hidden="1"/>
    <cellStyle name="Hyperlink" xfId="2979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91" builtinId="8" hidden="1"/>
    <cellStyle name="Hyperlink" xfId="2993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5" builtinId="8" hidden="1"/>
    <cellStyle name="Hyperlink" xfId="3019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41" builtinId="8" hidden="1"/>
    <cellStyle name="Hyperlink" xfId="3043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5" builtinId="8" hidden="1"/>
    <cellStyle name="Hyperlink" xfId="3057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9" builtinId="8" hidden="1"/>
    <cellStyle name="Hyperlink" xfId="3083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5" builtinId="8" hidden="1"/>
    <cellStyle name="Hyperlink" xfId="3107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9" builtinId="8" hidden="1"/>
    <cellStyle name="Hyperlink" xfId="3121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3" builtinId="8" hidden="1"/>
    <cellStyle name="Hyperlink" xfId="3147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9" builtinId="8" hidden="1"/>
    <cellStyle name="Hyperlink" xfId="3171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3" builtinId="8" hidden="1"/>
    <cellStyle name="Hyperlink" xfId="3185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7" builtinId="8" hidden="1"/>
    <cellStyle name="Hyperlink" xfId="3211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33" builtinId="8" hidden="1"/>
    <cellStyle name="Hyperlink" xfId="3235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7" builtinId="8" hidden="1"/>
    <cellStyle name="Hyperlink" xfId="3249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71" builtinId="8" hidden="1"/>
    <cellStyle name="Hyperlink" xfId="3275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7" builtinId="8" hidden="1"/>
    <cellStyle name="Hyperlink" xfId="3299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11" builtinId="8" hidden="1"/>
    <cellStyle name="Hyperlink" xfId="3313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5" builtinId="8" hidden="1"/>
    <cellStyle name="Hyperlink" xfId="3339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61" builtinId="8" hidden="1"/>
    <cellStyle name="Hyperlink" xfId="3363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5" builtinId="8" hidden="1"/>
    <cellStyle name="Hyperlink" xfId="3377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9" builtinId="8" hidden="1"/>
    <cellStyle name="Hyperlink" xfId="3403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5" builtinId="8" hidden="1"/>
    <cellStyle name="Hyperlink" xfId="3427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9" builtinId="8" hidden="1"/>
    <cellStyle name="Hyperlink" xfId="3441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3" builtinId="8" hidden="1"/>
    <cellStyle name="Hyperlink" xfId="3467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9" builtinId="8" hidden="1"/>
    <cellStyle name="Hyperlink" xfId="3491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3" builtinId="8" hidden="1"/>
    <cellStyle name="Hyperlink" xfId="3505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7" builtinId="8" hidden="1"/>
    <cellStyle name="Hyperlink" xfId="3531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53" builtinId="8" hidden="1"/>
    <cellStyle name="Hyperlink" xfId="3555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7" builtinId="8" hidden="1"/>
    <cellStyle name="Hyperlink" xfId="3569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91" builtinId="8" hidden="1"/>
    <cellStyle name="Hyperlink" xfId="3595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7" builtinId="8" hidden="1"/>
    <cellStyle name="Hyperlink" xfId="3619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31" builtinId="8" hidden="1"/>
    <cellStyle name="Hyperlink" xfId="3633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5" builtinId="8" hidden="1"/>
    <cellStyle name="Hyperlink" xfId="3659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81" builtinId="8" hidden="1"/>
    <cellStyle name="Hyperlink" xfId="3683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5" builtinId="8" hidden="1"/>
    <cellStyle name="Hyperlink" xfId="3697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9" builtinId="8" hidden="1"/>
    <cellStyle name="Hyperlink" xfId="3723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5" builtinId="8" hidden="1"/>
    <cellStyle name="Hyperlink" xfId="3747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9" builtinId="8" hidden="1"/>
    <cellStyle name="Hyperlink" xfId="3761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3" builtinId="8" hidden="1"/>
    <cellStyle name="Hyperlink" xfId="3787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9" builtinId="8" hidden="1"/>
    <cellStyle name="Hyperlink" xfId="3811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3" builtinId="8" hidden="1"/>
    <cellStyle name="Hyperlink" xfId="3825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7" builtinId="8" hidden="1"/>
    <cellStyle name="Hyperlink" xfId="3851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73" builtinId="8" hidden="1"/>
    <cellStyle name="Hyperlink" xfId="3875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7" builtinId="8" hidden="1"/>
    <cellStyle name="Hyperlink" xfId="3889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11" builtinId="8" hidden="1"/>
    <cellStyle name="Hyperlink" xfId="3915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7" builtinId="8" hidden="1"/>
    <cellStyle name="Hyperlink" xfId="3939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51" builtinId="8" hidden="1"/>
    <cellStyle name="Hyperlink" xfId="3953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5" builtinId="8" hidden="1"/>
    <cellStyle name="Hyperlink" xfId="3979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91" builtinId="8" hidden="1"/>
    <cellStyle name="Hyperlink" xfId="3977" builtinId="8" hidden="1"/>
    <cellStyle name="Hyperlink" xfId="3955" builtinId="8" hidden="1"/>
    <cellStyle name="Hyperlink" xfId="3935" builtinId="8" hidden="1"/>
    <cellStyle name="Hyperlink" xfId="3913" builtinId="8" hidden="1"/>
    <cellStyle name="Hyperlink" xfId="3891" builtinId="8" hidden="1"/>
    <cellStyle name="Hyperlink" xfId="3871" builtinId="8" hidden="1"/>
    <cellStyle name="Hyperlink" xfId="3849" builtinId="8" hidden="1"/>
    <cellStyle name="Hyperlink" xfId="3827" builtinId="8" hidden="1"/>
    <cellStyle name="Hyperlink" xfId="3807" builtinId="8" hidden="1"/>
    <cellStyle name="Hyperlink" xfId="3785" builtinId="8" hidden="1"/>
    <cellStyle name="Hyperlink" xfId="3763" builtinId="8" hidden="1"/>
    <cellStyle name="Hyperlink" xfId="3743" builtinId="8" hidden="1"/>
    <cellStyle name="Hyperlink" xfId="3721" builtinId="8" hidden="1"/>
    <cellStyle name="Hyperlink" xfId="3699" builtinId="8" hidden="1"/>
    <cellStyle name="Hyperlink" xfId="3679" builtinId="8" hidden="1"/>
    <cellStyle name="Hyperlink" xfId="3657" builtinId="8" hidden="1"/>
    <cellStyle name="Hyperlink" xfId="3635" builtinId="8" hidden="1"/>
    <cellStyle name="Hyperlink" xfId="3615" builtinId="8" hidden="1"/>
    <cellStyle name="Hyperlink" xfId="3593" builtinId="8" hidden="1"/>
    <cellStyle name="Hyperlink" xfId="3571" builtinId="8" hidden="1"/>
    <cellStyle name="Hyperlink" xfId="3551" builtinId="8" hidden="1"/>
    <cellStyle name="Hyperlink" xfId="3529" builtinId="8" hidden="1"/>
    <cellStyle name="Hyperlink" xfId="3507" builtinId="8" hidden="1"/>
    <cellStyle name="Hyperlink" xfId="3487" builtinId="8" hidden="1"/>
    <cellStyle name="Hyperlink" xfId="3465" builtinId="8" hidden="1"/>
    <cellStyle name="Hyperlink" xfId="3443" builtinId="8" hidden="1"/>
    <cellStyle name="Hyperlink" xfId="3423" builtinId="8" hidden="1"/>
    <cellStyle name="Hyperlink" xfId="3401" builtinId="8" hidden="1"/>
    <cellStyle name="Hyperlink" xfId="3379" builtinId="8" hidden="1"/>
    <cellStyle name="Hyperlink" xfId="3359" builtinId="8" hidden="1"/>
    <cellStyle name="Hyperlink" xfId="3337" builtinId="8" hidden="1"/>
    <cellStyle name="Hyperlink" xfId="3315" builtinId="8" hidden="1"/>
    <cellStyle name="Hyperlink" xfId="3295" builtinId="8" hidden="1"/>
    <cellStyle name="Hyperlink" xfId="3273" builtinId="8" hidden="1"/>
    <cellStyle name="Hyperlink" xfId="3251" builtinId="8" hidden="1"/>
    <cellStyle name="Hyperlink" xfId="3231" builtinId="8" hidden="1"/>
    <cellStyle name="Hyperlink" xfId="3209" builtinId="8" hidden="1"/>
    <cellStyle name="Hyperlink" xfId="3187" builtinId="8" hidden="1"/>
    <cellStyle name="Hyperlink" xfId="3167" builtinId="8" hidden="1"/>
    <cellStyle name="Hyperlink" xfId="3145" builtinId="8" hidden="1"/>
    <cellStyle name="Hyperlink" xfId="3123" builtinId="8" hidden="1"/>
    <cellStyle name="Hyperlink" xfId="3103" builtinId="8" hidden="1"/>
    <cellStyle name="Hyperlink" xfId="3081" builtinId="8" hidden="1"/>
    <cellStyle name="Hyperlink" xfId="3059" builtinId="8" hidden="1"/>
    <cellStyle name="Hyperlink" xfId="3039" builtinId="8" hidden="1"/>
    <cellStyle name="Hyperlink" xfId="3017" builtinId="8" hidden="1"/>
    <cellStyle name="Hyperlink" xfId="2995" builtinId="8" hidden="1"/>
    <cellStyle name="Hyperlink" xfId="2975" builtinId="8" hidden="1"/>
    <cellStyle name="Hyperlink" xfId="2953" builtinId="8" hidden="1"/>
    <cellStyle name="Hyperlink" xfId="2931" builtinId="8" hidden="1"/>
    <cellStyle name="Hyperlink" xfId="2911" builtinId="8" hidden="1"/>
    <cellStyle name="Hyperlink" xfId="2889" builtinId="8" hidden="1"/>
    <cellStyle name="Hyperlink" xfId="2867" builtinId="8" hidden="1"/>
    <cellStyle name="Hyperlink" xfId="2847" builtinId="8" hidden="1"/>
    <cellStyle name="Hyperlink" xfId="2825" builtinId="8" hidden="1"/>
    <cellStyle name="Hyperlink" xfId="2803" builtinId="8" hidden="1"/>
    <cellStyle name="Hyperlink" xfId="2783" builtinId="8" hidden="1"/>
    <cellStyle name="Hyperlink" xfId="2761" builtinId="8" hidden="1"/>
    <cellStyle name="Hyperlink" xfId="2739" builtinId="8" hidden="1"/>
    <cellStyle name="Hyperlink" xfId="2719" builtinId="8" hidden="1"/>
    <cellStyle name="Hyperlink" xfId="2697" builtinId="8" hidden="1"/>
    <cellStyle name="Hyperlink" xfId="2169" builtinId="8" hidden="1"/>
    <cellStyle name="Hyperlink" xfId="2171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9" builtinId="8" hidden="1"/>
    <cellStyle name="Hyperlink" xfId="2211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7" builtinId="8" hidden="1"/>
    <cellStyle name="Hyperlink" xfId="2251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7" builtinId="8" hidden="1"/>
    <cellStyle name="Hyperlink" xfId="2289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7" builtinId="8" hidden="1"/>
    <cellStyle name="Hyperlink" xfId="2339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5" builtinId="8" hidden="1"/>
    <cellStyle name="Hyperlink" xfId="2379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5" builtinId="8" hidden="1"/>
    <cellStyle name="Hyperlink" xfId="2417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5" builtinId="8" hidden="1"/>
    <cellStyle name="Hyperlink" xfId="2467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3" builtinId="8" hidden="1"/>
    <cellStyle name="Hyperlink" xfId="2507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3" builtinId="8" hidden="1"/>
    <cellStyle name="Hyperlink" xfId="2545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93" builtinId="8" hidden="1"/>
    <cellStyle name="Hyperlink" xfId="2595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31" builtinId="8" hidden="1"/>
    <cellStyle name="Hyperlink" xfId="2635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71" builtinId="8" hidden="1"/>
    <cellStyle name="Hyperlink" xfId="2673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7" builtinId="8" hidden="1"/>
    <cellStyle name="Hyperlink" xfId="2675" builtinId="8" hidden="1"/>
    <cellStyle name="Hyperlink" xfId="2633" builtinId="8" hidden="1"/>
    <cellStyle name="Hyperlink" xfId="2591" builtinId="8" hidden="1"/>
    <cellStyle name="Hyperlink" xfId="2547" builtinId="8" hidden="1"/>
    <cellStyle name="Hyperlink" xfId="2505" builtinId="8" hidden="1"/>
    <cellStyle name="Hyperlink" xfId="2463" builtinId="8" hidden="1"/>
    <cellStyle name="Hyperlink" xfId="2419" builtinId="8" hidden="1"/>
    <cellStyle name="Hyperlink" xfId="2377" builtinId="8" hidden="1"/>
    <cellStyle name="Hyperlink" xfId="2335" builtinId="8" hidden="1"/>
    <cellStyle name="Hyperlink" xfId="2291" builtinId="8" hidden="1"/>
    <cellStyle name="Hyperlink" xfId="2249" builtinId="8" hidden="1"/>
    <cellStyle name="Hyperlink" xfId="2207" builtinId="8" hidden="1"/>
    <cellStyle name="Hyperlink" xfId="1931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53" builtinId="8" hidden="1"/>
    <cellStyle name="Hyperlink" xfId="1955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31" builtinId="8" hidden="1"/>
    <cellStyle name="Hyperlink" xfId="2033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9" builtinId="8" hidden="1"/>
    <cellStyle name="Hyperlink" xfId="2123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7" builtinId="8" hidden="1"/>
    <cellStyle name="Hyperlink" xfId="2121" builtinId="8" hidden="1"/>
    <cellStyle name="Hyperlink" xfId="2035" builtinId="8" hidden="1"/>
    <cellStyle name="Hyperlink" xfId="1951" builtinId="8" hidden="1"/>
    <cellStyle name="Hyperlink" xfId="1819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3" builtinId="8" hidden="1"/>
    <cellStyle name="Hyperlink" xfId="1867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7" builtinId="8" hidden="1"/>
    <cellStyle name="Hyperlink" xfId="1929" builtinId="8" hidden="1"/>
    <cellStyle name="Hyperlink" xfId="18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5" builtinId="8" hidden="1"/>
    <cellStyle name="Hyperlink" xfId="1817" builtinId="8" hidden="1"/>
    <cellStyle name="Hyperlink" xfId="1739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5" builtinId="8" hidden="1"/>
    <cellStyle name="Hyperlink" xfId="173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15" builtinId="8" hidden="1"/>
    <cellStyle name="Hyperlink" xfId="1713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Neutral" xfId="5532" builtinId="28"/>
    <cellStyle name="Normal" xfId="0" builtinId="0"/>
    <cellStyle name="Normal 2" xfId="1" xr:uid="{00000000-0005-0000-0000-000096150000}"/>
    <cellStyle name="Normal 2 2" xfId="802" xr:uid="{00000000-0005-0000-0000-000097150000}"/>
    <cellStyle name="Normal 2 2 2" xfId="5527" xr:uid="{F26B8B92-E87F-4745-9A1D-013AA7459C0B}"/>
    <cellStyle name="Normal 2 2 3" xfId="5528" xr:uid="{CC6B6E75-9201-8149-906F-E32D8F330EB0}"/>
    <cellStyle name="Normal 2 2 4" xfId="5530" xr:uid="{13CBDBF9-DDC4-B642-A848-F20894F891E7}"/>
    <cellStyle name="Normal 3" xfId="5529" xr:uid="{CFF60B2F-26B0-974B-9C04-D4F1CE3665BD}"/>
  </cellStyles>
  <dxfs count="8"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ourier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0AC7CC-1E76-7F48-A5F9-2E9FD09925B7}" name="Table13" displayName="Table13" ref="A1:F17" totalsRowShown="0" headerRowDxfId="7" dataDxfId="6" headerRowCellStyle="Normal 2" dataCellStyle="Normal 2">
  <tableColumns count="6">
    <tableColumn id="1" xr3:uid="{F5A37326-05E2-CA47-9E56-572F23E8D895}" name="Date" dataDxfId="5" dataCellStyle="Normal 2"/>
    <tableColumn id="2" xr3:uid="{57D2A21C-1AA1-9040-9B4A-FB4B133B3E51}" name="Silicon" dataDxfId="4" dataCellStyle="Normal 2"/>
    <tableColumn id="3" xr3:uid="{AAD06E72-8408-F44F-8964-A2E1ADE8527A}" name="Program" dataDxfId="3" dataCellStyle="Normal 2"/>
    <tableColumn id="4" xr3:uid="{88B65310-321C-234F-A995-36B7FBA1C3B7}" name="PerForce Revision" dataDxfId="2" dataCellStyle="Normal 2"/>
    <tableColumn id="5" xr3:uid="{06AEAEE3-4172-3B40-A89A-1A6A1AF6D7E5}" name="By" dataDxfId="1" dataCellStyle="Normal 2"/>
    <tableColumn id="6" xr3:uid="{F13C9011-8FE7-D746-A395-D5C47879F368}" name="Flow Tab" dataDxfId="0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F32"/>
  <sheetViews>
    <sheetView zoomScale="110" zoomScaleNormal="110" zoomScalePageLayoutView="90" workbookViewId="0">
      <selection activeCell="A5" sqref="A5"/>
    </sheetView>
  </sheetViews>
  <sheetFormatPr baseColWidth="10" defaultColWidth="10.83203125" defaultRowHeight="17"/>
  <cols>
    <col min="1" max="1" width="34.5" style="21" bestFit="1" customWidth="1"/>
    <col min="2" max="3" width="9.33203125" style="18" bestFit="1" customWidth="1"/>
    <col min="4" max="4" width="22" style="18" customWidth="1"/>
    <col min="5" max="5" width="17.1640625" style="18" customWidth="1"/>
    <col min="6" max="6" width="84.83203125" style="19" customWidth="1"/>
    <col min="7" max="16384" width="10.83203125" style="22"/>
  </cols>
  <sheetData>
    <row r="1" spans="1:6" ht="18">
      <c r="A1" s="21" t="s">
        <v>0</v>
      </c>
      <c r="B1" s="18" t="s">
        <v>47</v>
      </c>
      <c r="C1" s="18" t="s">
        <v>41</v>
      </c>
      <c r="D1" s="18" t="s">
        <v>16</v>
      </c>
      <c r="E1" s="18" t="s">
        <v>1</v>
      </c>
      <c r="F1" s="19" t="s">
        <v>2</v>
      </c>
    </row>
    <row r="2" spans="1:6" ht="18">
      <c r="A2" s="21">
        <v>45727</v>
      </c>
      <c r="B2" s="18" t="s">
        <v>58</v>
      </c>
      <c r="C2" s="18" t="s">
        <v>247</v>
      </c>
      <c r="D2" s="18">
        <v>1</v>
      </c>
      <c r="E2" s="18" t="s">
        <v>77</v>
      </c>
      <c r="F2" s="19" t="s">
        <v>248</v>
      </c>
    </row>
    <row r="3" spans="1:6" ht="18">
      <c r="A3" s="21">
        <v>45736</v>
      </c>
      <c r="B3" s="18" t="s">
        <v>58</v>
      </c>
      <c r="C3" s="18" t="s">
        <v>247</v>
      </c>
      <c r="D3" s="18">
        <v>2</v>
      </c>
      <c r="E3" s="18" t="s">
        <v>253</v>
      </c>
      <c r="F3" s="20" t="s">
        <v>254</v>
      </c>
    </row>
    <row r="4" spans="1:6" ht="18">
      <c r="A4" s="21">
        <v>45862</v>
      </c>
      <c r="B4" s="18" t="s">
        <v>58</v>
      </c>
      <c r="C4" s="18" t="s">
        <v>255</v>
      </c>
      <c r="D4" s="18">
        <v>1</v>
      </c>
      <c r="E4" s="18" t="s">
        <v>77</v>
      </c>
      <c r="F4" s="19" t="s">
        <v>256</v>
      </c>
    </row>
    <row r="32" spans="6:6">
      <c r="F32" s="18"/>
    </row>
  </sheetData>
  <phoneticPr fontId="21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6159-EE8F-A046-905F-5814AC6E09D3}">
  <sheetPr>
    <tabColor rgb="FF008000"/>
  </sheetPr>
  <dimension ref="A1:DH31"/>
  <sheetViews>
    <sheetView tabSelected="1" zoomScale="140" zoomScaleNormal="140" workbookViewId="0">
      <pane xSplit="2" ySplit="3" topLeftCell="C16" activePane="bottomRight" state="frozen"/>
      <selection pane="topRight" activeCell="C1" sqref="C1"/>
      <selection pane="bottomLeft" activeCell="A3" sqref="A3"/>
      <selection pane="bottomRight" activeCell="I34" sqref="I34"/>
    </sheetView>
  </sheetViews>
  <sheetFormatPr baseColWidth="10" defaultColWidth="9.6640625" defaultRowHeight="16" outlineLevelCol="1"/>
  <cols>
    <col min="1" max="1" width="17.1640625" style="1" bestFit="1" customWidth="1"/>
    <col min="2" max="2" width="20.5" style="1" bestFit="1" customWidth="1"/>
    <col min="3" max="3" width="21.6640625" style="1" bestFit="1" customWidth="1"/>
    <col min="4" max="4" width="21.33203125" style="1" bestFit="1" customWidth="1"/>
    <col min="5" max="5" width="16.1640625" style="1" bestFit="1" customWidth="1"/>
    <col min="6" max="6" width="22" style="1" bestFit="1" customWidth="1"/>
    <col min="7" max="7" width="16.5" style="1" bestFit="1" customWidth="1"/>
    <col min="8" max="8" width="15.33203125" style="1" bestFit="1" customWidth="1"/>
    <col min="9" max="9" width="22.6640625" style="1" bestFit="1" customWidth="1"/>
    <col min="10" max="10" width="18.33203125" style="1" bestFit="1" customWidth="1"/>
    <col min="11" max="11" width="18" style="1" bestFit="1" customWidth="1"/>
    <col min="12" max="12" width="17.1640625" style="1" bestFit="1" customWidth="1"/>
    <col min="13" max="13" width="16.1640625" style="1" bestFit="1" customWidth="1"/>
    <col min="14" max="14" width="12" style="1" bestFit="1" customWidth="1"/>
    <col min="15" max="15" width="15" style="1" bestFit="1" customWidth="1"/>
    <col min="16" max="16" width="13.6640625" style="1" customWidth="1" outlineLevel="1"/>
    <col min="17" max="17" width="17.1640625" style="1" customWidth="1" outlineLevel="1"/>
    <col min="18" max="18" width="20.5" style="1" customWidth="1" outlineLevel="1"/>
    <col min="19" max="19" width="25.33203125" style="1" bestFit="1" customWidth="1"/>
    <col min="20" max="20" width="25" style="1" bestFit="1" customWidth="1"/>
    <col min="21" max="21" width="25.33203125" style="1" bestFit="1" customWidth="1"/>
    <col min="22" max="22" width="25" style="1" bestFit="1" customWidth="1"/>
    <col min="23" max="23" width="25.33203125" style="1" bestFit="1" customWidth="1"/>
    <col min="24" max="24" width="24.5" style="1" bestFit="1" customWidth="1"/>
    <col min="25" max="25" width="26.33203125" style="1" bestFit="1" customWidth="1"/>
    <col min="26" max="30" width="18.33203125" style="1" bestFit="1" customWidth="1"/>
    <col min="31" max="31" width="15" style="1" bestFit="1" customWidth="1"/>
    <col min="32" max="32" width="13.6640625" style="1" customWidth="1" outlineLevel="1"/>
    <col min="33" max="33" width="17.1640625" style="1" customWidth="1" outlineLevel="1"/>
    <col min="34" max="34" width="20.5" style="1" customWidth="1" outlineLevel="1"/>
    <col min="35" max="35" width="27" style="1" bestFit="1" customWidth="1"/>
    <col min="36" max="36" width="28.33203125" style="1" customWidth="1"/>
    <col min="37" max="37" width="27" style="1" bestFit="1" customWidth="1"/>
    <col min="38" max="38" width="26.6640625" style="1" bestFit="1" customWidth="1"/>
    <col min="39" max="39" width="27" style="1" bestFit="1" customWidth="1"/>
    <col min="40" max="40" width="26.1640625" style="1" bestFit="1" customWidth="1"/>
    <col min="41" max="41" width="28" style="1" bestFit="1" customWidth="1"/>
    <col min="42" max="46" width="20.1640625" style="1" bestFit="1" customWidth="1"/>
    <col min="47" max="47" width="15" style="1" bestFit="1" customWidth="1"/>
    <col min="48" max="48" width="31" style="1" customWidth="1" outlineLevel="1"/>
    <col min="49" max="49" width="17.1640625" style="1" customWidth="1" outlineLevel="1"/>
    <col min="50" max="50" width="20.5" style="1" customWidth="1" outlineLevel="1"/>
    <col min="51" max="51" width="25" style="1" bestFit="1" customWidth="1"/>
    <col min="52" max="52" width="26.33203125" style="1" customWidth="1"/>
    <col min="53" max="53" width="25" style="1" bestFit="1" customWidth="1"/>
    <col min="54" max="54" width="24.6640625" style="1" bestFit="1" customWidth="1"/>
    <col min="55" max="55" width="25" style="1" bestFit="1" customWidth="1"/>
    <col min="56" max="56" width="24.1640625" style="1" bestFit="1" customWidth="1"/>
    <col min="57" max="57" width="26.1640625" style="1" bestFit="1" customWidth="1"/>
    <col min="58" max="58" width="18.33203125" style="1" bestFit="1" customWidth="1"/>
    <col min="59" max="62" width="18.1640625" style="1" bestFit="1" customWidth="1"/>
    <col min="63" max="63" width="15" style="1" bestFit="1" customWidth="1"/>
    <col min="64" max="64" width="27" style="1" customWidth="1" outlineLevel="1"/>
    <col min="65" max="65" width="17.1640625" style="1" customWidth="1" outlineLevel="1"/>
    <col min="66" max="66" width="20.5" style="1" customWidth="1" outlineLevel="1"/>
    <col min="67" max="67" width="21.6640625" style="1" bestFit="1" customWidth="1"/>
    <col min="68" max="68" width="20.33203125" style="1" customWidth="1"/>
    <col min="69" max="69" width="14.5" style="1" bestFit="1" customWidth="1"/>
    <col min="70" max="70" width="22" style="1" bestFit="1" customWidth="1"/>
    <col min="71" max="71" width="16.5" style="1" bestFit="1" customWidth="1"/>
    <col min="72" max="72" width="13.6640625" style="1" bestFit="1" customWidth="1"/>
    <col min="73" max="73" width="22.6640625" style="1" bestFit="1" customWidth="1"/>
    <col min="74" max="74" width="18.33203125" style="1" bestFit="1" customWidth="1"/>
    <col min="75" max="75" width="18" style="1" bestFit="1" customWidth="1"/>
    <col min="76" max="76" width="17.1640625" style="1" bestFit="1" customWidth="1"/>
    <col min="77" max="77" width="16.1640625" style="1" bestFit="1" customWidth="1"/>
    <col min="78" max="78" width="10.33203125" style="1" bestFit="1" customWidth="1"/>
    <col min="79" max="79" width="15.5" style="1" bestFit="1" customWidth="1"/>
    <col min="80" max="80" width="26.6640625" style="1" customWidth="1" outlineLevel="1"/>
    <col min="81" max="81" width="17.1640625" style="10" customWidth="1" outlineLevel="1"/>
    <col min="82" max="82" width="20.5" style="1" customWidth="1" outlineLevel="1"/>
    <col min="83" max="84" width="38.83203125" style="10" customWidth="1"/>
    <col min="85" max="85" width="34.6640625" style="10" bestFit="1" customWidth="1"/>
    <col min="86" max="86" width="34.33203125" style="10" bestFit="1" customWidth="1"/>
    <col min="87" max="87" width="34.5" style="10" bestFit="1" customWidth="1"/>
    <col min="88" max="88" width="33.83203125" style="10" bestFit="1" customWidth="1"/>
    <col min="89" max="89" width="45.6640625" style="10" customWidth="1"/>
    <col min="90" max="94" width="27.83203125" style="10" bestFit="1" customWidth="1"/>
    <col min="95" max="95" width="15" style="10" bestFit="1" customWidth="1"/>
    <col min="96" max="96" width="21.1640625" style="1" customWidth="1" outlineLevel="1"/>
    <col min="97" max="97" width="17.1640625" style="10" customWidth="1" outlineLevel="1"/>
    <col min="98" max="98" width="20.5" style="1" customWidth="1" outlineLevel="1"/>
    <col min="99" max="99" width="42" style="10" customWidth="1"/>
    <col min="100" max="100" width="42.83203125" style="10" customWidth="1"/>
    <col min="101" max="101" width="32.83203125" style="10" bestFit="1" customWidth="1"/>
    <col min="102" max="102" width="32.5" style="10" bestFit="1" customWidth="1"/>
    <col min="103" max="103" width="32.6640625" style="10" bestFit="1" customWidth="1"/>
    <col min="104" max="104" width="32" style="10" bestFit="1" customWidth="1"/>
    <col min="105" max="105" width="39.83203125" style="10" customWidth="1"/>
    <col min="106" max="110" width="25.83203125" style="10" bestFit="1" customWidth="1"/>
    <col min="111" max="111" width="15" style="10" bestFit="1" customWidth="1"/>
    <col min="112" max="112" width="19.1640625" style="1" customWidth="1" outlineLevel="1"/>
    <col min="113" max="16384" width="9.6640625" style="10"/>
  </cols>
  <sheetData>
    <row r="1" spans="1:112" ht="17">
      <c r="AP1" s="9" t="s">
        <v>51</v>
      </c>
      <c r="BF1" s="9" t="s">
        <v>51</v>
      </c>
      <c r="BV1" s="9" t="s">
        <v>51</v>
      </c>
      <c r="CL1" s="9" t="s">
        <v>51</v>
      </c>
      <c r="DB1" s="9" t="s">
        <v>51</v>
      </c>
    </row>
    <row r="2" spans="1:112" s="27" customFormat="1" ht="19" customHeight="1">
      <c r="A2" s="54" t="s">
        <v>17</v>
      </c>
      <c r="B2" s="54" t="s">
        <v>3</v>
      </c>
      <c r="C2" s="61" t="s">
        <v>65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3"/>
      <c r="P2" s="11"/>
      <c r="Q2" s="52" t="s">
        <v>17</v>
      </c>
      <c r="R2" s="54" t="s">
        <v>3</v>
      </c>
      <c r="S2" s="58" t="s">
        <v>66</v>
      </c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60"/>
      <c r="AF2" s="11"/>
      <c r="AG2" s="52" t="s">
        <v>17</v>
      </c>
      <c r="AH2" s="54" t="s">
        <v>3</v>
      </c>
      <c r="AI2" s="56" t="s">
        <v>67</v>
      </c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11"/>
      <c r="AW2" s="52" t="s">
        <v>17</v>
      </c>
      <c r="AX2" s="54" t="s">
        <v>3</v>
      </c>
      <c r="AY2" s="68" t="s">
        <v>68</v>
      </c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11"/>
      <c r="BM2" s="52" t="s">
        <v>17</v>
      </c>
      <c r="BN2" s="54" t="s">
        <v>3</v>
      </c>
      <c r="BO2" s="72" t="s">
        <v>69</v>
      </c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11"/>
      <c r="CC2" s="70" t="s">
        <v>17</v>
      </c>
      <c r="CD2" s="70" t="s">
        <v>3</v>
      </c>
      <c r="CE2" s="64" t="s">
        <v>70</v>
      </c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11"/>
      <c r="CS2" s="8" t="s">
        <v>17</v>
      </c>
      <c r="CT2" s="54" t="s">
        <v>3</v>
      </c>
      <c r="CU2" s="65" t="s">
        <v>71</v>
      </c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7"/>
      <c r="DH2" s="25"/>
    </row>
    <row r="3" spans="1:112" s="27" customFormat="1" ht="20" customHeight="1">
      <c r="A3" s="55"/>
      <c r="B3" s="55"/>
      <c r="C3" s="2" t="s">
        <v>9</v>
      </c>
      <c r="D3" s="12" t="s">
        <v>4</v>
      </c>
      <c r="E3" s="12" t="s">
        <v>5</v>
      </c>
      <c r="F3" s="12" t="s">
        <v>6</v>
      </c>
      <c r="G3" s="12" t="s">
        <v>8</v>
      </c>
      <c r="H3" s="12" t="s">
        <v>11</v>
      </c>
      <c r="I3" s="2" t="s">
        <v>13</v>
      </c>
      <c r="J3" s="2" t="s">
        <v>12</v>
      </c>
      <c r="K3" s="2" t="s">
        <v>15</v>
      </c>
      <c r="L3" s="2" t="s">
        <v>44</v>
      </c>
      <c r="M3" s="2" t="s">
        <v>45</v>
      </c>
      <c r="N3" s="2" t="s">
        <v>18</v>
      </c>
      <c r="O3" s="2" t="s">
        <v>7</v>
      </c>
      <c r="P3" s="23" t="str">
        <f>CONCATENATE("Comment_",C2)</f>
        <v>Comment_CP1</v>
      </c>
      <c r="Q3" s="53"/>
      <c r="R3" s="55"/>
      <c r="S3" s="3" t="str">
        <f t="shared" ref="S3:AE3" si="0">C3</f>
        <v>VDD_PCPU</v>
      </c>
      <c r="T3" s="13" t="str">
        <f t="shared" si="0"/>
        <v>VDD_ECPU</v>
      </c>
      <c r="U3" s="13" t="str">
        <f t="shared" si="0"/>
        <v>VDD_GPU</v>
      </c>
      <c r="V3" s="13" t="str">
        <f t="shared" si="0"/>
        <v>VDD_SOC</v>
      </c>
      <c r="W3" s="13" t="str">
        <f t="shared" si="0"/>
        <v>VDD_DCS_DDR</v>
      </c>
      <c r="X3" s="13" t="str">
        <f t="shared" si="0"/>
        <v>VDD_DISP</v>
      </c>
      <c r="Y3" s="3" t="str">
        <f t="shared" si="0"/>
        <v>VDD_CPU_SRAM</v>
      </c>
      <c r="Z3" s="3" t="str">
        <f t="shared" si="0"/>
        <v>VDD_SRAM_GPU</v>
      </c>
      <c r="AA3" s="3" t="str">
        <f t="shared" si="0"/>
        <v>VDD_SRAM_SOC</v>
      </c>
      <c r="AB3" s="3" t="str">
        <f t="shared" si="0"/>
        <v>VDD_FIXED_ALL</v>
      </c>
      <c r="AC3" s="3" t="str">
        <f t="shared" si="0"/>
        <v>VDD_LOW_ALL</v>
      </c>
      <c r="AD3" s="3" t="str">
        <f t="shared" si="0"/>
        <v>VDD_CIO</v>
      </c>
      <c r="AE3" s="13" t="str">
        <f t="shared" si="0"/>
        <v>All Others</v>
      </c>
      <c r="AF3" s="23" t="str">
        <f>CONCATENATE("Comment_",S2)</f>
        <v>Comment_CP2</v>
      </c>
      <c r="AG3" s="53"/>
      <c r="AH3" s="55"/>
      <c r="AI3" s="4" t="str">
        <f t="shared" ref="AI3:AU3" si="1">C3</f>
        <v>VDD_PCPU</v>
      </c>
      <c r="AJ3" s="14" t="str">
        <f t="shared" si="1"/>
        <v>VDD_ECPU</v>
      </c>
      <c r="AK3" s="14" t="str">
        <f t="shared" si="1"/>
        <v>VDD_GPU</v>
      </c>
      <c r="AL3" s="14" t="str">
        <f t="shared" si="1"/>
        <v>VDD_SOC</v>
      </c>
      <c r="AM3" s="14" t="str">
        <f t="shared" si="1"/>
        <v>VDD_DCS_DDR</v>
      </c>
      <c r="AN3" s="14" t="str">
        <f t="shared" si="1"/>
        <v>VDD_DISP</v>
      </c>
      <c r="AO3" s="4" t="str">
        <f t="shared" si="1"/>
        <v>VDD_CPU_SRAM</v>
      </c>
      <c r="AP3" s="4" t="str">
        <f t="shared" si="1"/>
        <v>VDD_SRAM_GPU</v>
      </c>
      <c r="AQ3" s="4" t="str">
        <f t="shared" si="1"/>
        <v>VDD_SRAM_SOC</v>
      </c>
      <c r="AR3" s="4" t="str">
        <f t="shared" si="1"/>
        <v>VDD_FIXED_ALL</v>
      </c>
      <c r="AS3" s="4" t="str">
        <f t="shared" si="1"/>
        <v>VDD_LOW_ALL</v>
      </c>
      <c r="AT3" s="4" t="str">
        <f t="shared" si="1"/>
        <v>VDD_CIO</v>
      </c>
      <c r="AU3" s="14" t="str">
        <f t="shared" si="1"/>
        <v>All Others</v>
      </c>
      <c r="AV3" s="23" t="str">
        <f>CONCATENATE("Comment_",AI2)</f>
        <v>Comment_FT_ROOM, RMA_ROOM</v>
      </c>
      <c r="AW3" s="53"/>
      <c r="AX3" s="55"/>
      <c r="AY3" s="5" t="str">
        <f t="shared" ref="AY3:BK3" si="2">C3</f>
        <v>VDD_PCPU</v>
      </c>
      <c r="AZ3" s="15" t="str">
        <f t="shared" si="2"/>
        <v>VDD_ECPU</v>
      </c>
      <c r="BA3" s="15" t="str">
        <f t="shared" si="2"/>
        <v>VDD_GPU</v>
      </c>
      <c r="BB3" s="15" t="str">
        <f t="shared" si="2"/>
        <v>VDD_SOC</v>
      </c>
      <c r="BC3" s="15" t="str">
        <f t="shared" si="2"/>
        <v>VDD_DCS_DDR</v>
      </c>
      <c r="BD3" s="15" t="str">
        <f t="shared" si="2"/>
        <v>VDD_DISP</v>
      </c>
      <c r="BE3" s="5" t="str">
        <f t="shared" si="2"/>
        <v>VDD_CPU_SRAM</v>
      </c>
      <c r="BF3" s="5" t="str">
        <f t="shared" si="2"/>
        <v>VDD_SRAM_GPU</v>
      </c>
      <c r="BG3" s="5" t="str">
        <f t="shared" si="2"/>
        <v>VDD_SRAM_SOC</v>
      </c>
      <c r="BH3" s="5" t="str">
        <f t="shared" si="2"/>
        <v>VDD_FIXED_ALL</v>
      </c>
      <c r="BI3" s="5" t="str">
        <f t="shared" si="2"/>
        <v>VDD_LOW_ALL</v>
      </c>
      <c r="BJ3" s="5" t="str">
        <f t="shared" si="2"/>
        <v>VDD_CIO</v>
      </c>
      <c r="BK3" s="15" t="str">
        <f t="shared" si="2"/>
        <v>All Others</v>
      </c>
      <c r="BL3" s="23" t="str">
        <f>CONCATENATE("Comment_",AY2)</f>
        <v>Comment_FT_HOT, RMA_HOT</v>
      </c>
      <c r="BM3" s="53"/>
      <c r="BN3" s="55"/>
      <c r="BO3" s="6" t="str">
        <f t="shared" ref="BO3:CA3" si="3">C3</f>
        <v>VDD_PCPU</v>
      </c>
      <c r="BP3" s="6" t="str">
        <f t="shared" si="3"/>
        <v>VDD_ECPU</v>
      </c>
      <c r="BQ3" s="6" t="str">
        <f t="shared" si="3"/>
        <v>VDD_GPU</v>
      </c>
      <c r="BR3" s="6" t="str">
        <f t="shared" si="3"/>
        <v>VDD_SOC</v>
      </c>
      <c r="BS3" s="6" t="str">
        <f t="shared" si="3"/>
        <v>VDD_DCS_DDR</v>
      </c>
      <c r="BT3" s="6" t="str">
        <f t="shared" si="3"/>
        <v>VDD_DISP</v>
      </c>
      <c r="BU3" s="6" t="str">
        <f t="shared" si="3"/>
        <v>VDD_CPU_SRAM</v>
      </c>
      <c r="BV3" s="6" t="str">
        <f t="shared" si="3"/>
        <v>VDD_SRAM_GPU</v>
      </c>
      <c r="BW3" s="6" t="str">
        <f t="shared" si="3"/>
        <v>VDD_SRAM_SOC</v>
      </c>
      <c r="BX3" s="6" t="str">
        <f t="shared" si="3"/>
        <v>VDD_FIXED_ALL</v>
      </c>
      <c r="BY3" s="6" t="str">
        <f t="shared" si="3"/>
        <v>VDD_LOW_ALL</v>
      </c>
      <c r="BZ3" s="6" t="str">
        <f t="shared" si="3"/>
        <v>VDD_CIO</v>
      </c>
      <c r="CA3" s="6" t="str">
        <f t="shared" si="3"/>
        <v>All Others</v>
      </c>
      <c r="CB3" s="23" t="str">
        <f>CONCATENATE("Comment_",BO2)</f>
        <v>Comment_FT1_FQA, FT2_FQA</v>
      </c>
      <c r="CC3" s="71"/>
      <c r="CD3" s="71"/>
      <c r="CE3" s="7" t="s">
        <v>9</v>
      </c>
      <c r="CF3" s="7" t="s">
        <v>4</v>
      </c>
      <c r="CG3" s="7" t="s">
        <v>5</v>
      </c>
      <c r="CH3" s="7" t="s">
        <v>6</v>
      </c>
      <c r="CI3" s="7" t="s">
        <v>8</v>
      </c>
      <c r="CJ3" s="7" t="s">
        <v>11</v>
      </c>
      <c r="CK3" s="7" t="s">
        <v>13</v>
      </c>
      <c r="CL3" s="7" t="s">
        <v>12</v>
      </c>
      <c r="CM3" s="7" t="s">
        <v>15</v>
      </c>
      <c r="CN3" s="7" t="s">
        <v>42</v>
      </c>
      <c r="CO3" s="7" t="s">
        <v>43</v>
      </c>
      <c r="CP3" s="7" t="s">
        <v>18</v>
      </c>
      <c r="CQ3" s="7" t="s">
        <v>7</v>
      </c>
      <c r="CR3" s="23" t="str">
        <f>CONCATENATE("Comment_",CE2)</f>
        <v>Comment_T0TX_ROOM</v>
      </c>
      <c r="CS3" s="8"/>
      <c r="CT3" s="55"/>
      <c r="CU3" s="7" t="s">
        <v>9</v>
      </c>
      <c r="CV3" s="7" t="s">
        <v>4</v>
      </c>
      <c r="CW3" s="7" t="s">
        <v>5</v>
      </c>
      <c r="CX3" s="7" t="s">
        <v>6</v>
      </c>
      <c r="CY3" s="7" t="s">
        <v>8</v>
      </c>
      <c r="CZ3" s="7" t="s">
        <v>11</v>
      </c>
      <c r="DA3" s="7" t="s">
        <v>13</v>
      </c>
      <c r="DB3" s="7" t="s">
        <v>12</v>
      </c>
      <c r="DC3" s="7" t="s">
        <v>15</v>
      </c>
      <c r="DD3" s="7" t="s">
        <v>42</v>
      </c>
      <c r="DE3" s="7" t="s">
        <v>43</v>
      </c>
      <c r="DF3" s="7" t="s">
        <v>18</v>
      </c>
      <c r="DG3" s="7" t="s">
        <v>7</v>
      </c>
      <c r="DH3" s="24" t="s">
        <v>72</v>
      </c>
    </row>
    <row r="4" spans="1:112" s="28" customFormat="1" ht="17">
      <c r="A4" s="16" t="s">
        <v>80</v>
      </c>
      <c r="B4" s="39" t="s">
        <v>81</v>
      </c>
      <c r="C4" s="30" t="s">
        <v>22</v>
      </c>
      <c r="D4" s="30" t="s">
        <v>23</v>
      </c>
      <c r="E4" s="30" t="s">
        <v>24</v>
      </c>
      <c r="F4" s="30" t="s">
        <v>25</v>
      </c>
      <c r="G4" s="30" t="s">
        <v>26</v>
      </c>
      <c r="H4" s="30" t="s">
        <v>27</v>
      </c>
      <c r="I4" s="33" t="s">
        <v>76</v>
      </c>
      <c r="J4" s="30" t="s">
        <v>36</v>
      </c>
      <c r="K4" s="30" t="s">
        <v>36</v>
      </c>
      <c r="L4" s="30" t="s">
        <v>36</v>
      </c>
      <c r="M4" s="30" t="s">
        <v>19</v>
      </c>
      <c r="N4" s="30" t="s">
        <v>36</v>
      </c>
      <c r="O4" s="30" t="s">
        <v>14</v>
      </c>
      <c r="P4" s="16"/>
      <c r="Q4" s="16" t="s">
        <v>80</v>
      </c>
      <c r="R4" s="16" t="str">
        <f>B4</f>
        <v>MS001_Domain_PBC</v>
      </c>
      <c r="S4" s="49" t="str">
        <f>LEFT(C4,5)&amp;" Product-CP_GB_HOT"</f>
        <v>MP001 Product-CP_GB_HOT</v>
      </c>
      <c r="T4" s="49" t="str">
        <f t="shared" ref="T4:T6" si="4">LEFT(D4,5)&amp;" Product-CP_GB_HOT"</f>
        <v>ME001 Product-CP_GB_HOT</v>
      </c>
      <c r="U4" s="49" t="str">
        <f t="shared" ref="U4:U8" si="5">LEFT(E4,5)&amp;" Product-CP_GB_HOT"</f>
        <v>MG001 Product-CP_GB_HOT</v>
      </c>
      <c r="V4" s="49" t="str">
        <f t="shared" ref="V4:V7" si="6">LEFT(F4,5)&amp;" Product-CP_GB_HOT"</f>
        <v>MS001 Product-CP_GB_HOT</v>
      </c>
      <c r="W4" s="49" t="str">
        <f t="shared" ref="W4:W8" si="7">LEFT(G4,5)&amp;" Product-CP_GB_HOT"</f>
        <v>MD001 Product-CP_GB_HOT</v>
      </c>
      <c r="X4" s="49" t="str">
        <f t="shared" ref="X4:X8" si="8">LEFT(H4,5)&amp;" Product-CP_GB_HOT"</f>
        <v>MI001 Product-CP_GB_HOT</v>
      </c>
      <c r="Y4" s="49" t="str">
        <f>LEFT(I4,6)&amp;" Product-CP_GB_HOT"</f>
        <v>MES001 Product-CP_GB_HOT</v>
      </c>
      <c r="Z4" s="50" t="s">
        <v>37</v>
      </c>
      <c r="AA4" s="50" t="s">
        <v>37</v>
      </c>
      <c r="AB4" s="50" t="s">
        <v>37</v>
      </c>
      <c r="AC4" s="50" t="s">
        <v>19</v>
      </c>
      <c r="AD4" s="50" t="s">
        <v>37</v>
      </c>
      <c r="AE4" s="30" t="s">
        <v>14</v>
      </c>
      <c r="AF4" s="16"/>
      <c r="AG4" s="16" t="s">
        <v>80</v>
      </c>
      <c r="AH4" s="16" t="str">
        <f>B4</f>
        <v>MS001_Domain_PBC</v>
      </c>
      <c r="AI4" s="49" t="str">
        <f>LEFT(C4,5)&amp;" Product-FT_GB_ROOM"</f>
        <v>MP001 Product-FT_GB_ROOM</v>
      </c>
      <c r="AJ4" s="49" t="str">
        <f t="shared" ref="AJ4:AJ6" si="9">LEFT(D4,5)&amp;" Product-FT_GB_ROOM"</f>
        <v>ME001 Product-FT_GB_ROOM</v>
      </c>
      <c r="AK4" s="49" t="str">
        <f t="shared" ref="AK4:AK8" si="10">LEFT(E4,5)&amp;" Product-FT_GB_ROOM"</f>
        <v>MG001 Product-FT_GB_ROOM</v>
      </c>
      <c r="AL4" s="49" t="str">
        <f t="shared" ref="AL4:AL7" si="11">LEFT(F4,5)&amp;" Product-FT_GB_ROOM"</f>
        <v>MS001 Product-FT_GB_ROOM</v>
      </c>
      <c r="AM4" s="49" t="str">
        <f t="shared" ref="AM4:AM8" si="12">LEFT(G4,5)&amp;" Product-FT_GB_ROOM"</f>
        <v>MD001 Product-FT_GB_ROOM</v>
      </c>
      <c r="AN4" s="49" t="str">
        <f t="shared" ref="AN4:AN8" si="13">LEFT(H4,5)&amp;" Product-FT_GB_ROOM"</f>
        <v>MI001 Product-FT_GB_ROOM</v>
      </c>
      <c r="AO4" s="49" t="str">
        <f>LEFT(I4,6)&amp;" Product-FT_GB_ROOM"</f>
        <v>MES001 Product-FT_GB_ROOM</v>
      </c>
      <c r="AP4" s="50" t="s">
        <v>20</v>
      </c>
      <c r="AQ4" s="50" t="s">
        <v>20</v>
      </c>
      <c r="AR4" s="50" t="s">
        <v>20</v>
      </c>
      <c r="AS4" s="50" t="s">
        <v>19</v>
      </c>
      <c r="AT4" s="50" t="s">
        <v>20</v>
      </c>
      <c r="AU4" s="30" t="s">
        <v>14</v>
      </c>
      <c r="AV4" s="16"/>
      <c r="AW4" s="16" t="s">
        <v>80</v>
      </c>
      <c r="AX4" s="1" t="str">
        <f>B4</f>
        <v>MS001_Domain_PBC</v>
      </c>
      <c r="AY4" s="30" t="s">
        <v>119</v>
      </c>
      <c r="AZ4" s="30" t="s">
        <v>120</v>
      </c>
      <c r="BA4" s="30" t="s">
        <v>121</v>
      </c>
      <c r="BB4" s="30" t="s">
        <v>151</v>
      </c>
      <c r="BC4" s="30" t="s">
        <v>123</v>
      </c>
      <c r="BD4" s="30" t="s">
        <v>124</v>
      </c>
      <c r="BE4" s="38" t="s">
        <v>125</v>
      </c>
      <c r="BF4" s="30" t="s">
        <v>29</v>
      </c>
      <c r="BG4" s="30" t="s">
        <v>29</v>
      </c>
      <c r="BH4" s="30" t="s">
        <v>29</v>
      </c>
      <c r="BI4" s="30" t="s">
        <v>19</v>
      </c>
      <c r="BJ4" s="30" t="s">
        <v>29</v>
      </c>
      <c r="BK4" s="30" t="s">
        <v>14</v>
      </c>
      <c r="BL4" s="16"/>
      <c r="BM4" s="16" t="s">
        <v>80</v>
      </c>
      <c r="BN4" s="1" t="str">
        <f>B4</f>
        <v>MS001_Domain_PBC</v>
      </c>
      <c r="BO4" s="30" t="s">
        <v>126</v>
      </c>
      <c r="BP4" s="30" t="s">
        <v>127</v>
      </c>
      <c r="BQ4" s="30" t="s">
        <v>128</v>
      </c>
      <c r="BR4" s="30" t="s">
        <v>152</v>
      </c>
      <c r="BS4" s="30" t="s">
        <v>130</v>
      </c>
      <c r="BT4" s="30" t="s">
        <v>131</v>
      </c>
      <c r="BU4" s="33" t="s">
        <v>132</v>
      </c>
      <c r="BV4" s="30" t="s">
        <v>30</v>
      </c>
      <c r="BW4" s="30" t="s">
        <v>30</v>
      </c>
      <c r="BX4" s="30" t="s">
        <v>30</v>
      </c>
      <c r="BY4" s="30" t="s">
        <v>19</v>
      </c>
      <c r="BZ4" s="30" t="s">
        <v>30</v>
      </c>
      <c r="CA4" s="30" t="s">
        <v>31</v>
      </c>
      <c r="CB4" s="16"/>
      <c r="CC4" s="16" t="s">
        <v>80</v>
      </c>
      <c r="CD4" s="1" t="str">
        <f>B4</f>
        <v>MS001_Domain_PBC</v>
      </c>
      <c r="CE4" s="30" t="s">
        <v>133</v>
      </c>
      <c r="CF4" s="30" t="s">
        <v>134</v>
      </c>
      <c r="CG4" s="30" t="s">
        <v>135</v>
      </c>
      <c r="CH4" s="30" t="s">
        <v>154</v>
      </c>
      <c r="CI4" s="30" t="s">
        <v>137</v>
      </c>
      <c r="CJ4" s="30" t="s">
        <v>138</v>
      </c>
      <c r="CK4" s="33" t="s">
        <v>139</v>
      </c>
      <c r="CL4" s="30" t="s">
        <v>50</v>
      </c>
      <c r="CM4" s="30" t="s">
        <v>50</v>
      </c>
      <c r="CN4" s="30" t="s">
        <v>50</v>
      </c>
      <c r="CO4" s="30" t="s">
        <v>19</v>
      </c>
      <c r="CP4" s="30" t="s">
        <v>50</v>
      </c>
      <c r="CQ4" s="30" t="s">
        <v>14</v>
      </c>
      <c r="CR4" s="16"/>
      <c r="CS4" s="16" t="s">
        <v>80</v>
      </c>
      <c r="CT4" s="16" t="str">
        <f>B4</f>
        <v>MS001_Domain_PBC</v>
      </c>
      <c r="CU4" s="30" t="s">
        <v>140</v>
      </c>
      <c r="CV4" s="30" t="s">
        <v>141</v>
      </c>
      <c r="CW4" s="30" t="s">
        <v>142</v>
      </c>
      <c r="CX4" s="30" t="s">
        <v>156</v>
      </c>
      <c r="CY4" s="30" t="s">
        <v>144</v>
      </c>
      <c r="CZ4" s="30" t="s">
        <v>145</v>
      </c>
      <c r="DA4" s="33" t="s">
        <v>146</v>
      </c>
      <c r="DB4" s="30" t="s">
        <v>49</v>
      </c>
      <c r="DC4" s="30" t="s">
        <v>49</v>
      </c>
      <c r="DD4" s="30" t="s">
        <v>49</v>
      </c>
      <c r="DE4" s="30" t="s">
        <v>19</v>
      </c>
      <c r="DF4" s="30" t="s">
        <v>49</v>
      </c>
      <c r="DG4" s="30" t="s">
        <v>14</v>
      </c>
      <c r="DH4" s="26"/>
    </row>
    <row r="5" spans="1:112" s="28" customFormat="1" ht="17">
      <c r="A5" s="16" t="s">
        <v>80</v>
      </c>
      <c r="B5" s="39" t="s">
        <v>82</v>
      </c>
      <c r="C5" s="16" t="s">
        <v>83</v>
      </c>
      <c r="D5" s="17" t="s">
        <v>84</v>
      </c>
      <c r="E5" s="30" t="s">
        <v>24</v>
      </c>
      <c r="F5" s="32" t="s">
        <v>55</v>
      </c>
      <c r="G5" s="30" t="s">
        <v>26</v>
      </c>
      <c r="H5" s="30" t="s">
        <v>27</v>
      </c>
      <c r="I5" s="16" t="s">
        <v>85</v>
      </c>
      <c r="J5" s="30" t="s">
        <v>36</v>
      </c>
      <c r="K5" s="30" t="s">
        <v>36</v>
      </c>
      <c r="L5" s="30" t="s">
        <v>36</v>
      </c>
      <c r="M5" s="30" t="s">
        <v>19</v>
      </c>
      <c r="N5" s="30" t="s">
        <v>36</v>
      </c>
      <c r="O5" s="30" t="s">
        <v>14</v>
      </c>
      <c r="P5" s="16"/>
      <c r="Q5" s="16" t="s">
        <v>80</v>
      </c>
      <c r="R5" s="16" t="str">
        <f t="shared" ref="R5:R8" si="14">B5</f>
        <v>MS005_Domain_PBC</v>
      </c>
      <c r="S5" s="49" t="str">
        <f t="shared" ref="S5:S8" si="15">LEFT(C5,5)&amp;" Product-CP_GB_HOT"</f>
        <v>MP002 Product-CP_GB_HOT</v>
      </c>
      <c r="T5" s="49" t="str">
        <f t="shared" si="4"/>
        <v>ME003 Product-CP_GB_HOT</v>
      </c>
      <c r="U5" s="49" t="str">
        <f t="shared" si="5"/>
        <v>MG001 Product-CP_GB_HOT</v>
      </c>
      <c r="V5" s="49" t="str">
        <f t="shared" si="6"/>
        <v>MS005 Product-CP_GB_HOT</v>
      </c>
      <c r="W5" s="49" t="str">
        <f t="shared" si="7"/>
        <v>MD001 Product-CP_GB_HOT</v>
      </c>
      <c r="X5" s="49" t="str">
        <f t="shared" si="8"/>
        <v>MI001 Product-CP_GB_HOT</v>
      </c>
      <c r="Y5" s="49" t="str">
        <f t="shared" ref="Y5:Y6" si="16">LEFT(I5,6)&amp;" Product-CP_GB_HOT"</f>
        <v>MES003 Product-CP_GB_HOT</v>
      </c>
      <c r="Z5" s="50" t="s">
        <v>37</v>
      </c>
      <c r="AA5" s="50" t="s">
        <v>37</v>
      </c>
      <c r="AB5" s="50" t="s">
        <v>37</v>
      </c>
      <c r="AC5" s="50" t="s">
        <v>19</v>
      </c>
      <c r="AD5" s="50" t="s">
        <v>37</v>
      </c>
      <c r="AE5" s="30" t="s">
        <v>14</v>
      </c>
      <c r="AF5" s="16"/>
      <c r="AG5" s="16" t="s">
        <v>80</v>
      </c>
      <c r="AH5" s="16" t="str">
        <f t="shared" ref="AH5:AH8" si="17">B5</f>
        <v>MS005_Domain_PBC</v>
      </c>
      <c r="AI5" s="49" t="str">
        <f t="shared" ref="AI5:AI8" si="18">LEFT(C5,5)&amp;" Product-FT_GB_ROOM"</f>
        <v>MP002 Product-FT_GB_ROOM</v>
      </c>
      <c r="AJ5" s="49" t="str">
        <f t="shared" si="9"/>
        <v>ME003 Product-FT_GB_ROOM</v>
      </c>
      <c r="AK5" s="49" t="str">
        <f t="shared" si="10"/>
        <v>MG001 Product-FT_GB_ROOM</v>
      </c>
      <c r="AL5" s="49" t="str">
        <f t="shared" si="11"/>
        <v>MS005 Product-FT_GB_ROOM</v>
      </c>
      <c r="AM5" s="49" t="str">
        <f t="shared" si="12"/>
        <v>MD001 Product-FT_GB_ROOM</v>
      </c>
      <c r="AN5" s="49" t="str">
        <f t="shared" si="13"/>
        <v>MI001 Product-FT_GB_ROOM</v>
      </c>
      <c r="AO5" s="49" t="str">
        <f t="shared" ref="AO5:AO6" si="19">LEFT(I5,6)&amp;" Product-FT_GB_ROOM"</f>
        <v>MES003 Product-FT_GB_ROOM</v>
      </c>
      <c r="AP5" s="50" t="s">
        <v>20</v>
      </c>
      <c r="AQ5" s="50" t="s">
        <v>20</v>
      </c>
      <c r="AR5" s="50" t="s">
        <v>20</v>
      </c>
      <c r="AS5" s="50" t="s">
        <v>19</v>
      </c>
      <c r="AT5" s="50" t="s">
        <v>20</v>
      </c>
      <c r="AU5" s="30" t="s">
        <v>14</v>
      </c>
      <c r="AV5" s="16"/>
      <c r="AW5" s="16" t="s">
        <v>80</v>
      </c>
      <c r="AX5" s="1" t="str">
        <f t="shared" ref="AX5:AX8" si="20">B5</f>
        <v>MS005_Domain_PBC</v>
      </c>
      <c r="AY5" s="16" t="s">
        <v>213</v>
      </c>
      <c r="AZ5" s="17" t="s">
        <v>214</v>
      </c>
      <c r="BA5" s="30" t="s">
        <v>121</v>
      </c>
      <c r="BB5" s="32" t="s">
        <v>161</v>
      </c>
      <c r="BC5" s="30" t="s">
        <v>123</v>
      </c>
      <c r="BD5" s="30" t="s">
        <v>124</v>
      </c>
      <c r="BE5" s="38" t="s">
        <v>215</v>
      </c>
      <c r="BF5" s="30" t="s">
        <v>29</v>
      </c>
      <c r="BG5" s="30" t="s">
        <v>29</v>
      </c>
      <c r="BH5" s="30" t="s">
        <v>29</v>
      </c>
      <c r="BI5" s="30" t="s">
        <v>19</v>
      </c>
      <c r="BJ5" s="30" t="s">
        <v>29</v>
      </c>
      <c r="BK5" s="30" t="s">
        <v>14</v>
      </c>
      <c r="BL5" s="16"/>
      <c r="BM5" s="16" t="s">
        <v>80</v>
      </c>
      <c r="BN5" s="1" t="str">
        <f t="shared" ref="BN5:BN8" si="21">B5</f>
        <v>MS005_Domain_PBC</v>
      </c>
      <c r="BO5" s="16" t="s">
        <v>216</v>
      </c>
      <c r="BP5" s="17" t="s">
        <v>217</v>
      </c>
      <c r="BQ5" s="30" t="s">
        <v>128</v>
      </c>
      <c r="BR5" s="32" t="s">
        <v>164</v>
      </c>
      <c r="BS5" s="30" t="s">
        <v>130</v>
      </c>
      <c r="BT5" s="30" t="s">
        <v>131</v>
      </c>
      <c r="BU5" s="16" t="s">
        <v>218</v>
      </c>
      <c r="BV5" s="30" t="s">
        <v>30</v>
      </c>
      <c r="BW5" s="30" t="s">
        <v>30</v>
      </c>
      <c r="BX5" s="30" t="s">
        <v>30</v>
      </c>
      <c r="BY5" s="30" t="s">
        <v>19</v>
      </c>
      <c r="BZ5" s="30" t="s">
        <v>30</v>
      </c>
      <c r="CA5" s="30" t="s">
        <v>31</v>
      </c>
      <c r="CB5" s="16"/>
      <c r="CC5" s="16" t="s">
        <v>80</v>
      </c>
      <c r="CD5" s="1" t="str">
        <f t="shared" ref="CD5:CD8" si="22">B5</f>
        <v>MS005_Domain_PBC</v>
      </c>
      <c r="CE5" s="16" t="s">
        <v>219</v>
      </c>
      <c r="CF5" s="17" t="s">
        <v>220</v>
      </c>
      <c r="CG5" s="30" t="s">
        <v>135</v>
      </c>
      <c r="CH5" s="32" t="s">
        <v>167</v>
      </c>
      <c r="CI5" s="30" t="s">
        <v>137</v>
      </c>
      <c r="CJ5" s="30" t="s">
        <v>138</v>
      </c>
      <c r="CK5" s="16" t="s">
        <v>221</v>
      </c>
      <c r="CL5" s="30" t="s">
        <v>50</v>
      </c>
      <c r="CM5" s="30" t="s">
        <v>50</v>
      </c>
      <c r="CN5" s="30" t="s">
        <v>50</v>
      </c>
      <c r="CO5" s="30" t="s">
        <v>19</v>
      </c>
      <c r="CP5" s="30" t="s">
        <v>50</v>
      </c>
      <c r="CQ5" s="30" t="s">
        <v>14</v>
      </c>
      <c r="CR5" s="16"/>
      <c r="CS5" s="16" t="s">
        <v>80</v>
      </c>
      <c r="CT5" s="16" t="str">
        <f t="shared" ref="CT5:CT8" si="23">B5</f>
        <v>MS005_Domain_PBC</v>
      </c>
      <c r="CU5" s="16" t="s">
        <v>222</v>
      </c>
      <c r="CV5" s="17" t="s">
        <v>223</v>
      </c>
      <c r="CW5" s="30" t="s">
        <v>142</v>
      </c>
      <c r="CX5" s="32" t="s">
        <v>170</v>
      </c>
      <c r="CY5" s="30" t="s">
        <v>144</v>
      </c>
      <c r="CZ5" s="30" t="s">
        <v>145</v>
      </c>
      <c r="DA5" s="16" t="s">
        <v>224</v>
      </c>
      <c r="DB5" s="30" t="s">
        <v>49</v>
      </c>
      <c r="DC5" s="30" t="s">
        <v>49</v>
      </c>
      <c r="DD5" s="30" t="s">
        <v>49</v>
      </c>
      <c r="DE5" s="30" t="s">
        <v>19</v>
      </c>
      <c r="DF5" s="30" t="s">
        <v>49</v>
      </c>
      <c r="DG5" s="30" t="s">
        <v>14</v>
      </c>
      <c r="DH5" s="26"/>
    </row>
    <row r="6" spans="1:112" s="28" customFormat="1" ht="17">
      <c r="A6" s="16" t="s">
        <v>33</v>
      </c>
      <c r="B6" s="39" t="s">
        <v>52</v>
      </c>
      <c r="C6" s="32" t="s">
        <v>34</v>
      </c>
      <c r="D6" s="32" t="s">
        <v>53</v>
      </c>
      <c r="E6" s="30" t="s">
        <v>24</v>
      </c>
      <c r="F6" s="32" t="s">
        <v>55</v>
      </c>
      <c r="G6" s="30" t="s">
        <v>26</v>
      </c>
      <c r="H6" s="30" t="s">
        <v>27</v>
      </c>
      <c r="I6" s="34" t="s">
        <v>64</v>
      </c>
      <c r="J6" s="30" t="s">
        <v>36</v>
      </c>
      <c r="K6" s="30" t="s">
        <v>36</v>
      </c>
      <c r="L6" s="30" t="s">
        <v>36</v>
      </c>
      <c r="M6" s="30" t="s">
        <v>19</v>
      </c>
      <c r="N6" s="30" t="s">
        <v>36</v>
      </c>
      <c r="O6" s="30" t="s">
        <v>14</v>
      </c>
      <c r="P6" s="16"/>
      <c r="Q6" s="16" t="s">
        <v>33</v>
      </c>
      <c r="R6" s="16" t="str">
        <f t="shared" si="14"/>
        <v>ME009_WUS_PBC</v>
      </c>
      <c r="S6" s="49" t="str">
        <f t="shared" si="15"/>
        <v>MP00H Product-CP_GB_HOT</v>
      </c>
      <c r="T6" s="49" t="str">
        <f t="shared" si="4"/>
        <v>ME009 Product-CP_GB_HOT</v>
      </c>
      <c r="U6" s="49" t="str">
        <f t="shared" si="5"/>
        <v>MG001 Product-CP_GB_HOT</v>
      </c>
      <c r="V6" s="49" t="str">
        <f t="shared" si="6"/>
        <v>MS005 Product-CP_GB_HOT</v>
      </c>
      <c r="W6" s="49" t="str">
        <f t="shared" si="7"/>
        <v>MD001 Product-CP_GB_HOT</v>
      </c>
      <c r="X6" s="49" t="str">
        <f t="shared" si="8"/>
        <v>MI001 Product-CP_GB_HOT</v>
      </c>
      <c r="Y6" s="49" t="str">
        <f t="shared" si="16"/>
        <v>MES009 Product-CP_GB_HOT</v>
      </c>
      <c r="Z6" s="50" t="s">
        <v>37</v>
      </c>
      <c r="AA6" s="50" t="s">
        <v>37</v>
      </c>
      <c r="AB6" s="50" t="s">
        <v>37</v>
      </c>
      <c r="AC6" s="50" t="s">
        <v>19</v>
      </c>
      <c r="AD6" s="50" t="s">
        <v>37</v>
      </c>
      <c r="AE6" s="30" t="s">
        <v>14</v>
      </c>
      <c r="AF6" s="16"/>
      <c r="AG6" s="16" t="s">
        <v>33</v>
      </c>
      <c r="AH6" s="16" t="str">
        <f t="shared" si="17"/>
        <v>ME009_WUS_PBC</v>
      </c>
      <c r="AI6" s="49" t="str">
        <f t="shared" si="18"/>
        <v>MP00H Product-FT_GB_ROOM</v>
      </c>
      <c r="AJ6" s="49" t="str">
        <f t="shared" si="9"/>
        <v>ME009 Product-FT_GB_ROOM</v>
      </c>
      <c r="AK6" s="49" t="str">
        <f t="shared" si="10"/>
        <v>MG001 Product-FT_GB_ROOM</v>
      </c>
      <c r="AL6" s="49" t="str">
        <f t="shared" si="11"/>
        <v>MS005 Product-FT_GB_ROOM</v>
      </c>
      <c r="AM6" s="49" t="str">
        <f t="shared" si="12"/>
        <v>MD001 Product-FT_GB_ROOM</v>
      </c>
      <c r="AN6" s="49" t="str">
        <f t="shared" si="13"/>
        <v>MI001 Product-FT_GB_ROOM</v>
      </c>
      <c r="AO6" s="49" t="str">
        <f t="shared" si="19"/>
        <v>MES009 Product-FT_GB_ROOM</v>
      </c>
      <c r="AP6" s="50" t="s">
        <v>20</v>
      </c>
      <c r="AQ6" s="50" t="s">
        <v>20</v>
      </c>
      <c r="AR6" s="50" t="s">
        <v>20</v>
      </c>
      <c r="AS6" s="50" t="s">
        <v>19</v>
      </c>
      <c r="AT6" s="50" t="s">
        <v>20</v>
      </c>
      <c r="AU6" s="30" t="s">
        <v>14</v>
      </c>
      <c r="AV6" s="16"/>
      <c r="AW6" s="16" t="s">
        <v>33</v>
      </c>
      <c r="AX6" s="1" t="str">
        <f t="shared" si="20"/>
        <v>ME009_WUS_PBC</v>
      </c>
      <c r="AY6" s="32" t="s">
        <v>160</v>
      </c>
      <c r="AZ6" s="32" t="s">
        <v>183</v>
      </c>
      <c r="BA6" s="30" t="s">
        <v>121</v>
      </c>
      <c r="BB6" s="37" t="s">
        <v>161</v>
      </c>
      <c r="BC6" s="30" t="s">
        <v>123</v>
      </c>
      <c r="BD6" s="30" t="s">
        <v>124</v>
      </c>
      <c r="BE6" s="38" t="s">
        <v>184</v>
      </c>
      <c r="BF6" s="30" t="s">
        <v>29</v>
      </c>
      <c r="BG6" s="30" t="s">
        <v>29</v>
      </c>
      <c r="BH6" s="30" t="s">
        <v>29</v>
      </c>
      <c r="BI6" s="30" t="s">
        <v>19</v>
      </c>
      <c r="BJ6" s="30" t="s">
        <v>29</v>
      </c>
      <c r="BK6" s="30" t="s">
        <v>14</v>
      </c>
      <c r="BL6" s="16"/>
      <c r="BM6" s="16" t="s">
        <v>33</v>
      </c>
      <c r="BN6" s="1" t="str">
        <f t="shared" si="21"/>
        <v>ME009_WUS_PBC</v>
      </c>
      <c r="BO6" s="32" t="s">
        <v>163</v>
      </c>
      <c r="BP6" s="32" t="s">
        <v>185</v>
      </c>
      <c r="BQ6" s="30" t="s">
        <v>128</v>
      </c>
      <c r="BR6" s="37" t="s">
        <v>164</v>
      </c>
      <c r="BS6" s="30" t="s">
        <v>130</v>
      </c>
      <c r="BT6" s="30" t="s">
        <v>131</v>
      </c>
      <c r="BU6" s="34" t="s">
        <v>186</v>
      </c>
      <c r="BV6" s="30" t="s">
        <v>30</v>
      </c>
      <c r="BW6" s="30" t="s">
        <v>30</v>
      </c>
      <c r="BX6" s="30" t="s">
        <v>30</v>
      </c>
      <c r="BY6" s="30" t="s">
        <v>19</v>
      </c>
      <c r="BZ6" s="30" t="s">
        <v>30</v>
      </c>
      <c r="CA6" s="30" t="s">
        <v>31</v>
      </c>
      <c r="CB6" s="16"/>
      <c r="CC6" s="16" t="s">
        <v>33</v>
      </c>
      <c r="CD6" s="1" t="str">
        <f t="shared" si="22"/>
        <v>ME009_WUS_PBC</v>
      </c>
      <c r="CE6" s="32" t="s">
        <v>166</v>
      </c>
      <c r="CF6" s="32" t="s">
        <v>187</v>
      </c>
      <c r="CG6" s="30" t="s">
        <v>135</v>
      </c>
      <c r="CH6" s="37" t="s">
        <v>167</v>
      </c>
      <c r="CI6" s="30" t="s">
        <v>137</v>
      </c>
      <c r="CJ6" s="30" t="s">
        <v>138</v>
      </c>
      <c r="CK6" s="34" t="s">
        <v>188</v>
      </c>
      <c r="CL6" s="30" t="s">
        <v>50</v>
      </c>
      <c r="CM6" s="30" t="s">
        <v>50</v>
      </c>
      <c r="CN6" s="30" t="s">
        <v>50</v>
      </c>
      <c r="CO6" s="30" t="s">
        <v>19</v>
      </c>
      <c r="CP6" s="30" t="s">
        <v>50</v>
      </c>
      <c r="CQ6" s="30" t="s">
        <v>14</v>
      </c>
      <c r="CR6" s="16"/>
      <c r="CS6" s="16" t="s">
        <v>33</v>
      </c>
      <c r="CT6" s="16" t="str">
        <f t="shared" si="23"/>
        <v>ME009_WUS_PBC</v>
      </c>
      <c r="CU6" s="32" t="s">
        <v>169</v>
      </c>
      <c r="CV6" s="32" t="s">
        <v>189</v>
      </c>
      <c r="CW6" s="30" t="s">
        <v>142</v>
      </c>
      <c r="CX6" s="37" t="s">
        <v>170</v>
      </c>
      <c r="CY6" s="30" t="s">
        <v>144</v>
      </c>
      <c r="CZ6" s="30" t="s">
        <v>145</v>
      </c>
      <c r="DA6" s="34" t="s">
        <v>190</v>
      </c>
      <c r="DB6" s="30" t="s">
        <v>49</v>
      </c>
      <c r="DC6" s="30" t="s">
        <v>49</v>
      </c>
      <c r="DD6" s="30" t="s">
        <v>49</v>
      </c>
      <c r="DE6" s="30" t="s">
        <v>19</v>
      </c>
      <c r="DF6" s="30" t="s">
        <v>49</v>
      </c>
      <c r="DG6" s="30" t="s">
        <v>14</v>
      </c>
      <c r="DH6" s="26"/>
    </row>
    <row r="7" spans="1:112" s="28" customFormat="1" ht="17">
      <c r="A7" s="41" t="s">
        <v>33</v>
      </c>
      <c r="B7" s="42" t="s">
        <v>60</v>
      </c>
      <c r="C7" s="32" t="s">
        <v>34</v>
      </c>
      <c r="D7" s="41" t="s">
        <v>61</v>
      </c>
      <c r="E7" s="30" t="s">
        <v>24</v>
      </c>
      <c r="F7" s="32" t="s">
        <v>55</v>
      </c>
      <c r="G7" s="30" t="s">
        <v>26</v>
      </c>
      <c r="H7" s="30" t="s">
        <v>27</v>
      </c>
      <c r="I7" s="41" t="s">
        <v>251</v>
      </c>
      <c r="J7" s="30" t="s">
        <v>36</v>
      </c>
      <c r="K7" s="30" t="s">
        <v>36</v>
      </c>
      <c r="L7" s="30" t="s">
        <v>36</v>
      </c>
      <c r="M7" s="30" t="s">
        <v>19</v>
      </c>
      <c r="N7" s="30" t="s">
        <v>36</v>
      </c>
      <c r="O7" s="30" t="s">
        <v>14</v>
      </c>
      <c r="P7" s="41"/>
      <c r="Q7" s="41" t="s">
        <v>33</v>
      </c>
      <c r="R7" s="16" t="str">
        <f t="shared" si="14"/>
        <v>ME009_24N_PBC</v>
      </c>
      <c r="S7" s="49" t="str">
        <f t="shared" si="15"/>
        <v>MP00H Product-CP_GB_HOT</v>
      </c>
      <c r="T7" s="49" t="str">
        <f>LEFT(D7,5)&amp;" E1 Product+10%"</f>
        <v>ME009 E1 Product+10%</v>
      </c>
      <c r="U7" s="49" t="str">
        <f t="shared" si="5"/>
        <v>MG001 Product-CP_GB_HOT</v>
      </c>
      <c r="V7" s="49" t="str">
        <f t="shared" si="6"/>
        <v>MS005 Product-CP_GB_HOT</v>
      </c>
      <c r="W7" s="49" t="str">
        <f t="shared" si="7"/>
        <v>MD001 Product-CP_GB_HOT</v>
      </c>
      <c r="X7" s="49" t="str">
        <f t="shared" si="8"/>
        <v>MI001 Product-CP_GB_HOT</v>
      </c>
      <c r="Y7" s="49" t="str">
        <f>LEFT(I7,6)&amp;" E1 Product+10%"</f>
        <v>MES009 E1 Product+10%</v>
      </c>
      <c r="Z7" s="50" t="s">
        <v>37</v>
      </c>
      <c r="AA7" s="50" t="s">
        <v>37</v>
      </c>
      <c r="AB7" s="50" t="s">
        <v>37</v>
      </c>
      <c r="AC7" s="50" t="s">
        <v>19</v>
      </c>
      <c r="AD7" s="50" t="s">
        <v>37</v>
      </c>
      <c r="AE7" s="30" t="s">
        <v>14</v>
      </c>
      <c r="AF7" s="41"/>
      <c r="AG7" s="41" t="s">
        <v>33</v>
      </c>
      <c r="AH7" s="16" t="str">
        <f t="shared" si="17"/>
        <v>ME009_24N_PBC</v>
      </c>
      <c r="AI7" s="49" t="str">
        <f t="shared" si="18"/>
        <v>MP00H Product-FT_GB_ROOM</v>
      </c>
      <c r="AJ7" s="49" t="str">
        <f>LEFT(D7,5)&amp;" E1 Product+10%"</f>
        <v>ME009 E1 Product+10%</v>
      </c>
      <c r="AK7" s="49" t="str">
        <f t="shared" si="10"/>
        <v>MG001 Product-FT_GB_ROOM</v>
      </c>
      <c r="AL7" s="49" t="str">
        <f t="shared" si="11"/>
        <v>MS005 Product-FT_GB_ROOM</v>
      </c>
      <c r="AM7" s="49" t="str">
        <f t="shared" si="12"/>
        <v>MD001 Product-FT_GB_ROOM</v>
      </c>
      <c r="AN7" s="49" t="str">
        <f t="shared" si="13"/>
        <v>MI001 Product-FT_GB_ROOM</v>
      </c>
      <c r="AO7" s="49" t="str">
        <f>LEFT(I7,6)&amp;" E1 Product+10%"</f>
        <v>MES009 E1 Product+10%</v>
      </c>
      <c r="AP7" s="50" t="s">
        <v>20</v>
      </c>
      <c r="AQ7" s="50" t="s">
        <v>20</v>
      </c>
      <c r="AR7" s="50" t="s">
        <v>20</v>
      </c>
      <c r="AS7" s="50" t="s">
        <v>19</v>
      </c>
      <c r="AT7" s="50" t="s">
        <v>20</v>
      </c>
      <c r="AU7" s="30" t="s">
        <v>14</v>
      </c>
      <c r="AV7" s="41"/>
      <c r="AW7" s="41" t="s">
        <v>33</v>
      </c>
      <c r="AX7" s="1" t="str">
        <f t="shared" si="20"/>
        <v>ME009_24N_PBC</v>
      </c>
      <c r="AY7" s="32" t="s">
        <v>160</v>
      </c>
      <c r="AZ7" s="44" t="s">
        <v>61</v>
      </c>
      <c r="BA7" s="30" t="s">
        <v>121</v>
      </c>
      <c r="BB7" s="37" t="s">
        <v>161</v>
      </c>
      <c r="BC7" s="30" t="s">
        <v>123</v>
      </c>
      <c r="BD7" s="30" t="s">
        <v>124</v>
      </c>
      <c r="BE7" s="44" t="s">
        <v>63</v>
      </c>
      <c r="BF7" s="30" t="s">
        <v>29</v>
      </c>
      <c r="BG7" s="30" t="s">
        <v>29</v>
      </c>
      <c r="BH7" s="30" t="s">
        <v>29</v>
      </c>
      <c r="BI7" s="30" t="s">
        <v>19</v>
      </c>
      <c r="BJ7" s="30" t="s">
        <v>29</v>
      </c>
      <c r="BK7" s="30" t="s">
        <v>14</v>
      </c>
      <c r="BL7" s="41"/>
      <c r="BM7" s="41" t="s">
        <v>33</v>
      </c>
      <c r="BN7" s="1" t="str">
        <f t="shared" si="21"/>
        <v>ME009_24N_PBC</v>
      </c>
      <c r="BO7" s="32" t="s">
        <v>163</v>
      </c>
      <c r="BP7" s="44" t="s">
        <v>185</v>
      </c>
      <c r="BQ7" s="30" t="s">
        <v>128</v>
      </c>
      <c r="BR7" s="37" t="s">
        <v>164</v>
      </c>
      <c r="BS7" s="30" t="s">
        <v>130</v>
      </c>
      <c r="BT7" s="30" t="s">
        <v>131</v>
      </c>
      <c r="BU7" s="44" t="s">
        <v>209</v>
      </c>
      <c r="BV7" s="30" t="s">
        <v>30</v>
      </c>
      <c r="BW7" s="30" t="s">
        <v>30</v>
      </c>
      <c r="BX7" s="30" t="s">
        <v>30</v>
      </c>
      <c r="BY7" s="30" t="s">
        <v>19</v>
      </c>
      <c r="BZ7" s="30" t="s">
        <v>30</v>
      </c>
      <c r="CA7" s="30" t="s">
        <v>31</v>
      </c>
      <c r="CB7" s="41"/>
      <c r="CC7" s="16" t="s">
        <v>33</v>
      </c>
      <c r="CD7" s="1" t="str">
        <f t="shared" si="22"/>
        <v>ME009_24N_PBC</v>
      </c>
      <c r="CE7" s="32" t="s">
        <v>166</v>
      </c>
      <c r="CF7" s="44" t="s">
        <v>187</v>
      </c>
      <c r="CG7" s="30" t="s">
        <v>135</v>
      </c>
      <c r="CH7" s="37" t="s">
        <v>167</v>
      </c>
      <c r="CI7" s="30" t="s">
        <v>137</v>
      </c>
      <c r="CJ7" s="30" t="s">
        <v>138</v>
      </c>
      <c r="CK7" s="44" t="s">
        <v>210</v>
      </c>
      <c r="CL7" s="30" t="s">
        <v>50</v>
      </c>
      <c r="CM7" s="30" t="s">
        <v>50</v>
      </c>
      <c r="CN7" s="30" t="s">
        <v>50</v>
      </c>
      <c r="CO7" s="30" t="s">
        <v>19</v>
      </c>
      <c r="CP7" s="30" t="s">
        <v>50</v>
      </c>
      <c r="CQ7" s="30" t="s">
        <v>14</v>
      </c>
      <c r="CR7" s="41"/>
      <c r="CS7" s="16" t="s">
        <v>33</v>
      </c>
      <c r="CT7" s="16" t="str">
        <f t="shared" si="23"/>
        <v>ME009_24N_PBC</v>
      </c>
      <c r="CU7" s="32" t="s">
        <v>169</v>
      </c>
      <c r="CV7" s="44" t="s">
        <v>189</v>
      </c>
      <c r="CW7" s="30" t="s">
        <v>142</v>
      </c>
      <c r="CX7" s="37" t="s">
        <v>170</v>
      </c>
      <c r="CY7" s="30" t="s">
        <v>144</v>
      </c>
      <c r="CZ7" s="30" t="s">
        <v>145</v>
      </c>
      <c r="DA7" s="44" t="s">
        <v>211</v>
      </c>
      <c r="DB7" s="30" t="s">
        <v>49</v>
      </c>
      <c r="DC7" s="30" t="s">
        <v>49</v>
      </c>
      <c r="DD7" s="30" t="s">
        <v>49</v>
      </c>
      <c r="DE7" s="30" t="s">
        <v>19</v>
      </c>
      <c r="DF7" s="30" t="s">
        <v>49</v>
      </c>
      <c r="DG7" s="30" t="s">
        <v>14</v>
      </c>
      <c r="DH7" s="46"/>
    </row>
    <row r="8" spans="1:112" s="28" customFormat="1" ht="17">
      <c r="A8" s="16" t="s">
        <v>33</v>
      </c>
      <c r="B8" s="39" t="s">
        <v>75</v>
      </c>
      <c r="C8" s="30" t="s">
        <v>22</v>
      </c>
      <c r="D8" s="30" t="s">
        <v>23</v>
      </c>
      <c r="E8" s="30" t="s">
        <v>24</v>
      </c>
      <c r="F8" s="31" t="s">
        <v>56</v>
      </c>
      <c r="G8" s="30" t="s">
        <v>26</v>
      </c>
      <c r="H8" s="30" t="s">
        <v>27</v>
      </c>
      <c r="I8" s="33" t="s">
        <v>76</v>
      </c>
      <c r="J8" s="30" t="s">
        <v>36</v>
      </c>
      <c r="K8" s="30" t="s">
        <v>36</v>
      </c>
      <c r="L8" s="30" t="s">
        <v>36</v>
      </c>
      <c r="M8" s="30" t="s">
        <v>19</v>
      </c>
      <c r="N8" s="30" t="s">
        <v>36</v>
      </c>
      <c r="O8" s="49" t="s">
        <v>14</v>
      </c>
      <c r="P8" s="16"/>
      <c r="Q8" s="16" t="s">
        <v>33</v>
      </c>
      <c r="R8" s="16" t="str">
        <f t="shared" si="14"/>
        <v>ME001_CEXTEST_PBC</v>
      </c>
      <c r="S8" s="49" t="str">
        <f t="shared" si="15"/>
        <v>MP001 Product-CP_GB_HOT</v>
      </c>
      <c r="T8" s="49" t="str">
        <f>LEFT(D8,5)&amp;" Product-CP_GB_HOT"</f>
        <v>ME001 Product-CP_GB_HOT</v>
      </c>
      <c r="U8" s="49" t="str">
        <f t="shared" si="5"/>
        <v>MG001 Product-CP_GB_HOT</v>
      </c>
      <c r="V8" s="51" t="str">
        <f>F8</f>
        <v>950mV (MS005 Product)</v>
      </c>
      <c r="W8" s="49" t="str">
        <f t="shared" si="7"/>
        <v>MD001 Product-CP_GB_HOT</v>
      </c>
      <c r="X8" s="49" t="str">
        <f t="shared" si="8"/>
        <v>MI001 Product-CP_GB_HOT</v>
      </c>
      <c r="Y8" s="49" t="str">
        <f>LEFT(I8,6)&amp;" Product-CP_GB_HOT"</f>
        <v>MES001 Product-CP_GB_HOT</v>
      </c>
      <c r="Z8" s="50" t="s">
        <v>37</v>
      </c>
      <c r="AA8" s="50" t="s">
        <v>37</v>
      </c>
      <c r="AB8" s="50" t="s">
        <v>37</v>
      </c>
      <c r="AC8" s="50" t="s">
        <v>19</v>
      </c>
      <c r="AD8" s="50" t="s">
        <v>37</v>
      </c>
      <c r="AE8" s="30" t="s">
        <v>14</v>
      </c>
      <c r="AF8" s="16"/>
      <c r="AG8" s="16" t="s">
        <v>33</v>
      </c>
      <c r="AH8" s="16" t="str">
        <f t="shared" si="17"/>
        <v>ME001_CEXTEST_PBC</v>
      </c>
      <c r="AI8" s="49" t="str">
        <f t="shared" si="18"/>
        <v>MP001 Product-FT_GB_ROOM</v>
      </c>
      <c r="AJ8" s="49" t="str">
        <f>LEFT(D8,5)&amp;" Product-FT_GB_ROOM"</f>
        <v>ME001 Product-FT_GB_ROOM</v>
      </c>
      <c r="AK8" s="49" t="str">
        <f t="shared" si="10"/>
        <v>MG001 Product-FT_GB_ROOM</v>
      </c>
      <c r="AL8" s="51" t="str">
        <f>V8</f>
        <v>950mV (MS005 Product)</v>
      </c>
      <c r="AM8" s="49" t="str">
        <f t="shared" si="12"/>
        <v>MD001 Product-FT_GB_ROOM</v>
      </c>
      <c r="AN8" s="49" t="str">
        <f t="shared" si="13"/>
        <v>MI001 Product-FT_GB_ROOM</v>
      </c>
      <c r="AO8" s="49" t="str">
        <f>LEFT(I8,6)&amp;" Product-FT_GB_ROOM"</f>
        <v>MES001 Product-FT_GB_ROOM</v>
      </c>
      <c r="AP8" s="50" t="s">
        <v>20</v>
      </c>
      <c r="AQ8" s="50" t="s">
        <v>20</v>
      </c>
      <c r="AR8" s="50" t="s">
        <v>20</v>
      </c>
      <c r="AS8" s="50" t="s">
        <v>19</v>
      </c>
      <c r="AT8" s="50" t="s">
        <v>20</v>
      </c>
      <c r="AU8" s="30" t="s">
        <v>14</v>
      </c>
      <c r="AV8" s="16"/>
      <c r="AW8" s="16" t="s">
        <v>33</v>
      </c>
      <c r="AX8" s="1" t="str">
        <f t="shared" si="20"/>
        <v>ME001_CEXTEST_PBC</v>
      </c>
      <c r="AY8" s="30" t="s">
        <v>119</v>
      </c>
      <c r="AZ8" s="30" t="s">
        <v>120</v>
      </c>
      <c r="BA8" s="30" t="s">
        <v>121</v>
      </c>
      <c r="BB8" s="44" t="s">
        <v>56</v>
      </c>
      <c r="BC8" s="30" t="s">
        <v>123</v>
      </c>
      <c r="BD8" s="30" t="s">
        <v>124</v>
      </c>
      <c r="BE8" s="38" t="s">
        <v>125</v>
      </c>
      <c r="BF8" s="30" t="s">
        <v>29</v>
      </c>
      <c r="BG8" s="30" t="s">
        <v>29</v>
      </c>
      <c r="BH8" s="30" t="s">
        <v>29</v>
      </c>
      <c r="BI8" s="30" t="s">
        <v>19</v>
      </c>
      <c r="BJ8" s="30" t="s">
        <v>29</v>
      </c>
      <c r="BK8" s="30" t="s">
        <v>14</v>
      </c>
      <c r="BL8" s="16"/>
      <c r="BM8" s="16" t="s">
        <v>33</v>
      </c>
      <c r="BN8" s="1" t="str">
        <f t="shared" si="21"/>
        <v>ME001_CEXTEST_PBC</v>
      </c>
      <c r="BO8" s="30" t="s">
        <v>126</v>
      </c>
      <c r="BP8" s="30" t="s">
        <v>127</v>
      </c>
      <c r="BQ8" s="30" t="s">
        <v>128</v>
      </c>
      <c r="BR8" s="44" t="s">
        <v>56</v>
      </c>
      <c r="BS8" s="30" t="s">
        <v>130</v>
      </c>
      <c r="BT8" s="30" t="s">
        <v>131</v>
      </c>
      <c r="BU8" s="33" t="s">
        <v>132</v>
      </c>
      <c r="BV8" s="30" t="s">
        <v>30</v>
      </c>
      <c r="BW8" s="30" t="s">
        <v>30</v>
      </c>
      <c r="BX8" s="30" t="s">
        <v>30</v>
      </c>
      <c r="BY8" s="30" t="s">
        <v>19</v>
      </c>
      <c r="BZ8" s="30" t="s">
        <v>30</v>
      </c>
      <c r="CA8" s="30" t="s">
        <v>31</v>
      </c>
      <c r="CB8" s="16"/>
      <c r="CC8" s="16" t="s">
        <v>33</v>
      </c>
      <c r="CD8" s="1" t="str">
        <f t="shared" si="22"/>
        <v>ME001_CEXTEST_PBC</v>
      </c>
      <c r="CE8" s="30" t="s">
        <v>133</v>
      </c>
      <c r="CF8" s="30" t="s">
        <v>134</v>
      </c>
      <c r="CG8" s="30" t="s">
        <v>135</v>
      </c>
      <c r="CH8" s="44" t="s">
        <v>56</v>
      </c>
      <c r="CI8" s="30" t="s">
        <v>137</v>
      </c>
      <c r="CJ8" s="30" t="s">
        <v>138</v>
      </c>
      <c r="CK8" s="33" t="s">
        <v>139</v>
      </c>
      <c r="CL8" s="30" t="s">
        <v>50</v>
      </c>
      <c r="CM8" s="30" t="s">
        <v>50</v>
      </c>
      <c r="CN8" s="30" t="s">
        <v>50</v>
      </c>
      <c r="CO8" s="30" t="s">
        <v>19</v>
      </c>
      <c r="CP8" s="30" t="s">
        <v>50</v>
      </c>
      <c r="CQ8" s="30" t="s">
        <v>14</v>
      </c>
      <c r="CR8" s="16"/>
      <c r="CS8" s="16" t="s">
        <v>33</v>
      </c>
      <c r="CT8" s="16" t="str">
        <f t="shared" si="23"/>
        <v>ME001_CEXTEST_PBC</v>
      </c>
      <c r="CU8" s="30" t="s">
        <v>140</v>
      </c>
      <c r="CV8" s="30" t="s">
        <v>141</v>
      </c>
      <c r="CW8" s="30" t="s">
        <v>142</v>
      </c>
      <c r="CX8" s="44" t="s">
        <v>56</v>
      </c>
      <c r="CY8" s="30" t="s">
        <v>144</v>
      </c>
      <c r="CZ8" s="30" t="s">
        <v>145</v>
      </c>
      <c r="DA8" s="33" t="s">
        <v>146</v>
      </c>
      <c r="DB8" s="30" t="s">
        <v>49</v>
      </c>
      <c r="DC8" s="30" t="s">
        <v>49</v>
      </c>
      <c r="DD8" s="30" t="s">
        <v>49</v>
      </c>
      <c r="DE8" s="30" t="s">
        <v>19</v>
      </c>
      <c r="DF8" s="30" t="s">
        <v>49</v>
      </c>
      <c r="DG8" s="30" t="s">
        <v>14</v>
      </c>
      <c r="DH8" s="26"/>
    </row>
    <row r="9" spans="1:112" s="28" customFormat="1" ht="17">
      <c r="A9" s="16" t="s">
        <v>21</v>
      </c>
      <c r="B9" s="16" t="s">
        <v>46</v>
      </c>
      <c r="C9" s="16" t="s">
        <v>40</v>
      </c>
      <c r="D9" s="30" t="s">
        <v>23</v>
      </c>
      <c r="E9" s="30" t="s">
        <v>24</v>
      </c>
      <c r="F9" s="30" t="s">
        <v>25</v>
      </c>
      <c r="G9" s="31" t="s">
        <v>38</v>
      </c>
      <c r="H9" s="32" t="s">
        <v>39</v>
      </c>
      <c r="I9" s="30" t="s">
        <v>35</v>
      </c>
      <c r="J9" s="30" t="s">
        <v>36</v>
      </c>
      <c r="K9" s="30" t="s">
        <v>36</v>
      </c>
      <c r="L9" s="30" t="s">
        <v>36</v>
      </c>
      <c r="M9" s="32" t="s">
        <v>36</v>
      </c>
      <c r="N9" s="30" t="s">
        <v>36</v>
      </c>
      <c r="O9" s="30" t="s">
        <v>14</v>
      </c>
      <c r="P9" s="16"/>
      <c r="Q9" s="16" t="s">
        <v>21</v>
      </c>
      <c r="R9" s="16" t="s">
        <v>46</v>
      </c>
      <c r="S9" s="16" t="s">
        <v>191</v>
      </c>
      <c r="T9" s="30" t="s">
        <v>107</v>
      </c>
      <c r="U9" s="30" t="s">
        <v>108</v>
      </c>
      <c r="V9" s="30" t="s">
        <v>147</v>
      </c>
      <c r="W9" s="31" t="s">
        <v>192</v>
      </c>
      <c r="X9" s="32" t="s">
        <v>193</v>
      </c>
      <c r="Y9" s="30" t="s">
        <v>148</v>
      </c>
      <c r="Z9" s="30" t="s">
        <v>37</v>
      </c>
      <c r="AA9" s="30" t="s">
        <v>37</v>
      </c>
      <c r="AB9" s="30" t="s">
        <v>37</v>
      </c>
      <c r="AC9" s="50" t="s">
        <v>37</v>
      </c>
      <c r="AD9" s="50" t="s">
        <v>37</v>
      </c>
      <c r="AE9" s="30" t="s">
        <v>14</v>
      </c>
      <c r="AF9" s="16"/>
      <c r="AG9" s="16" t="s">
        <v>21</v>
      </c>
      <c r="AH9" s="16" t="s">
        <v>46</v>
      </c>
      <c r="AI9" s="16" t="s">
        <v>194</v>
      </c>
      <c r="AJ9" s="30" t="s">
        <v>113</v>
      </c>
      <c r="AK9" s="30" t="s">
        <v>114</v>
      </c>
      <c r="AL9" s="30" t="s">
        <v>149</v>
      </c>
      <c r="AM9" s="31" t="s">
        <v>195</v>
      </c>
      <c r="AN9" s="32" t="s">
        <v>196</v>
      </c>
      <c r="AO9" s="30" t="s">
        <v>150</v>
      </c>
      <c r="AP9" s="30" t="s">
        <v>20</v>
      </c>
      <c r="AQ9" s="30" t="s">
        <v>20</v>
      </c>
      <c r="AR9" s="30" t="s">
        <v>20</v>
      </c>
      <c r="AS9" s="32" t="s">
        <v>20</v>
      </c>
      <c r="AT9" s="30" t="s">
        <v>20</v>
      </c>
      <c r="AU9" s="30" t="s">
        <v>14</v>
      </c>
      <c r="AV9" s="16"/>
      <c r="AW9" s="16" t="s">
        <v>21</v>
      </c>
      <c r="AX9" s="1" t="s">
        <v>46</v>
      </c>
      <c r="AY9" s="16" t="s">
        <v>197</v>
      </c>
      <c r="AZ9" s="30" t="s">
        <v>120</v>
      </c>
      <c r="BA9" s="30" t="s">
        <v>121</v>
      </c>
      <c r="BB9" s="30" t="s">
        <v>151</v>
      </c>
      <c r="BC9" s="31" t="s">
        <v>198</v>
      </c>
      <c r="BD9" s="32" t="s">
        <v>199</v>
      </c>
      <c r="BE9" s="38" t="s">
        <v>28</v>
      </c>
      <c r="BF9" s="30" t="s">
        <v>29</v>
      </c>
      <c r="BG9" s="30" t="s">
        <v>29</v>
      </c>
      <c r="BH9" s="30" t="s">
        <v>29</v>
      </c>
      <c r="BI9" s="32" t="s">
        <v>29</v>
      </c>
      <c r="BJ9" s="30" t="s">
        <v>29</v>
      </c>
      <c r="BK9" s="30" t="s">
        <v>14</v>
      </c>
      <c r="BL9" s="16"/>
      <c r="BM9" s="16" t="s">
        <v>21</v>
      </c>
      <c r="BN9" s="1" t="s">
        <v>46</v>
      </c>
      <c r="BO9" s="16" t="s">
        <v>200</v>
      </c>
      <c r="BP9" s="30" t="s">
        <v>127</v>
      </c>
      <c r="BQ9" s="30" t="s">
        <v>128</v>
      </c>
      <c r="BR9" s="30" t="s">
        <v>152</v>
      </c>
      <c r="BS9" s="31" t="s">
        <v>201</v>
      </c>
      <c r="BT9" s="32" t="s">
        <v>202</v>
      </c>
      <c r="BU9" s="30" t="s">
        <v>153</v>
      </c>
      <c r="BV9" s="30" t="s">
        <v>30</v>
      </c>
      <c r="BW9" s="30" t="s">
        <v>30</v>
      </c>
      <c r="BX9" s="30" t="s">
        <v>30</v>
      </c>
      <c r="BY9" s="32" t="s">
        <v>30</v>
      </c>
      <c r="BZ9" s="30" t="s">
        <v>30</v>
      </c>
      <c r="CA9" s="30" t="s">
        <v>31</v>
      </c>
      <c r="CB9" s="16"/>
      <c r="CC9" s="16" t="s">
        <v>21</v>
      </c>
      <c r="CD9" s="1" t="s">
        <v>46</v>
      </c>
      <c r="CE9" s="16" t="s">
        <v>203</v>
      </c>
      <c r="CF9" s="30" t="s">
        <v>134</v>
      </c>
      <c r="CG9" s="30" t="s">
        <v>135</v>
      </c>
      <c r="CH9" s="30" t="s">
        <v>154</v>
      </c>
      <c r="CI9" s="31" t="s">
        <v>204</v>
      </c>
      <c r="CJ9" s="32" t="s">
        <v>205</v>
      </c>
      <c r="CK9" s="30" t="s">
        <v>155</v>
      </c>
      <c r="CL9" s="30" t="s">
        <v>50</v>
      </c>
      <c r="CM9" s="30" t="s">
        <v>50</v>
      </c>
      <c r="CN9" s="30" t="s">
        <v>50</v>
      </c>
      <c r="CO9" s="32" t="s">
        <v>50</v>
      </c>
      <c r="CP9" s="30" t="s">
        <v>50</v>
      </c>
      <c r="CQ9" s="30" t="s">
        <v>14</v>
      </c>
      <c r="CR9" s="16"/>
      <c r="CS9" s="16" t="s">
        <v>21</v>
      </c>
      <c r="CT9" s="16" t="s">
        <v>46</v>
      </c>
      <c r="CU9" s="16" t="s">
        <v>206</v>
      </c>
      <c r="CV9" s="30" t="s">
        <v>141</v>
      </c>
      <c r="CW9" s="30" t="s">
        <v>142</v>
      </c>
      <c r="CX9" s="30" t="s">
        <v>156</v>
      </c>
      <c r="CY9" s="31" t="s">
        <v>207</v>
      </c>
      <c r="CZ9" s="32" t="s">
        <v>208</v>
      </c>
      <c r="DA9" s="30" t="s">
        <v>157</v>
      </c>
      <c r="DB9" s="30" t="s">
        <v>49</v>
      </c>
      <c r="DC9" s="30" t="s">
        <v>49</v>
      </c>
      <c r="DD9" s="30" t="s">
        <v>49</v>
      </c>
      <c r="DE9" s="32" t="s">
        <v>49</v>
      </c>
      <c r="DF9" s="30" t="s">
        <v>49</v>
      </c>
      <c r="DG9" s="30" t="s">
        <v>14</v>
      </c>
      <c r="DH9" s="26"/>
    </row>
    <row r="10" spans="1:112" s="28" customFormat="1" ht="17">
      <c r="A10" s="16" t="s">
        <v>33</v>
      </c>
      <c r="B10" s="39" t="s">
        <v>79</v>
      </c>
      <c r="C10" s="30" t="s">
        <v>22</v>
      </c>
      <c r="D10" s="32" t="s">
        <v>53</v>
      </c>
      <c r="E10" s="30" t="s">
        <v>24</v>
      </c>
      <c r="F10" s="31" t="s">
        <v>56</v>
      </c>
      <c r="G10" s="30" t="s">
        <v>26</v>
      </c>
      <c r="H10" s="30" t="s">
        <v>27</v>
      </c>
      <c r="I10" s="34" t="s">
        <v>64</v>
      </c>
      <c r="J10" s="30" t="s">
        <v>36</v>
      </c>
      <c r="K10" s="30" t="s">
        <v>36</v>
      </c>
      <c r="L10" s="30" t="s">
        <v>36</v>
      </c>
      <c r="M10" s="30" t="s">
        <v>19</v>
      </c>
      <c r="N10" s="30" t="s">
        <v>36</v>
      </c>
      <c r="O10" s="30" t="s">
        <v>14</v>
      </c>
      <c r="P10" s="16"/>
      <c r="Q10" s="16" t="s">
        <v>33</v>
      </c>
      <c r="R10" s="16" t="str">
        <f>B10</f>
        <v>ME009_CEXTEST_PBC</v>
      </c>
      <c r="S10" s="49" t="str">
        <f>LEFT(C10,5)&amp;" Product-CP_GB_HOT"</f>
        <v>MP001 Product-CP_GB_HOT</v>
      </c>
      <c r="T10" s="49" t="str">
        <f>LEFT(D10,5)&amp;" Product-CP_GB_HOT"</f>
        <v>ME009 Product-CP_GB_HOT</v>
      </c>
      <c r="U10" s="49" t="str">
        <f>LEFT(E10,5)&amp;" Product-CP_GB_HOT"</f>
        <v>MG001 Product-CP_GB_HOT</v>
      </c>
      <c r="V10" s="51" t="str">
        <f>F10</f>
        <v>950mV (MS005 Product)</v>
      </c>
      <c r="W10" s="49" t="str">
        <f>LEFT(G10,5)&amp;" Product-CP_GB_HOT"</f>
        <v>MD001 Product-CP_GB_HOT</v>
      </c>
      <c r="X10" s="49" t="str">
        <f>LEFT(H10,5)&amp;" Product-CP_GB_HOT"</f>
        <v>MI001 Product-CP_GB_HOT</v>
      </c>
      <c r="Y10" s="49" t="str">
        <f>LEFT(I10,6)&amp;" Product-CP_GB_HOT"</f>
        <v>MES009 Product-CP_GB_HOT</v>
      </c>
      <c r="Z10" s="50" t="s">
        <v>37</v>
      </c>
      <c r="AA10" s="50" t="s">
        <v>37</v>
      </c>
      <c r="AB10" s="50" t="s">
        <v>37</v>
      </c>
      <c r="AC10" s="50" t="s">
        <v>19</v>
      </c>
      <c r="AD10" s="50" t="s">
        <v>37</v>
      </c>
      <c r="AE10" s="30" t="s">
        <v>14</v>
      </c>
      <c r="AF10" s="16"/>
      <c r="AG10" s="16" t="s">
        <v>33</v>
      </c>
      <c r="AH10" s="16" t="str">
        <f>B10</f>
        <v>ME009_CEXTEST_PBC</v>
      </c>
      <c r="AI10" s="49" t="str">
        <f>LEFT(C10,5)&amp;" Product-FT_GB_ROOM"</f>
        <v>MP001 Product-FT_GB_ROOM</v>
      </c>
      <c r="AJ10" s="49" t="str">
        <f>LEFT(D10,5)&amp;" Product-FT_GB_ROOM"</f>
        <v>ME009 Product-FT_GB_ROOM</v>
      </c>
      <c r="AK10" s="49" t="str">
        <f>LEFT(E10,5)&amp;" Product-FT_GB_ROOM"</f>
        <v>MG001 Product-FT_GB_ROOM</v>
      </c>
      <c r="AL10" s="51" t="str">
        <f>V10</f>
        <v>950mV (MS005 Product)</v>
      </c>
      <c r="AM10" s="49" t="str">
        <f>LEFT(G10,5)&amp;" Product-FT_GB_ROOM"</f>
        <v>MD001 Product-FT_GB_ROOM</v>
      </c>
      <c r="AN10" s="49" t="str">
        <f>LEFT(H10,5)&amp;" Product-FT_GB_ROOM"</f>
        <v>MI001 Product-FT_GB_ROOM</v>
      </c>
      <c r="AO10" s="49" t="str">
        <f>LEFT(I10,6)&amp;" Product-FT_GB_ROOM"</f>
        <v>MES009 Product-FT_GB_ROOM</v>
      </c>
      <c r="AP10" s="50" t="s">
        <v>20</v>
      </c>
      <c r="AQ10" s="50" t="s">
        <v>20</v>
      </c>
      <c r="AR10" s="50" t="s">
        <v>20</v>
      </c>
      <c r="AS10" s="50" t="s">
        <v>19</v>
      </c>
      <c r="AT10" s="50" t="s">
        <v>20</v>
      </c>
      <c r="AU10" s="30" t="s">
        <v>14</v>
      </c>
      <c r="AV10" s="16"/>
      <c r="AW10" s="16" t="s">
        <v>33</v>
      </c>
      <c r="AX10" s="1" t="str">
        <f>B10</f>
        <v>ME009_CEXTEST_PBC</v>
      </c>
      <c r="AY10" s="30" t="s">
        <v>119</v>
      </c>
      <c r="AZ10" s="32" t="s">
        <v>183</v>
      </c>
      <c r="BA10" s="30" t="s">
        <v>121</v>
      </c>
      <c r="BB10" s="44" t="s">
        <v>56</v>
      </c>
      <c r="BC10" s="30" t="s">
        <v>123</v>
      </c>
      <c r="BD10" s="30" t="s">
        <v>124</v>
      </c>
      <c r="BE10" s="38" t="s">
        <v>184</v>
      </c>
      <c r="BF10" s="30" t="s">
        <v>29</v>
      </c>
      <c r="BG10" s="30" t="s">
        <v>29</v>
      </c>
      <c r="BH10" s="30" t="s">
        <v>29</v>
      </c>
      <c r="BI10" s="30" t="s">
        <v>19</v>
      </c>
      <c r="BJ10" s="30" t="s">
        <v>29</v>
      </c>
      <c r="BK10" s="30" t="s">
        <v>14</v>
      </c>
      <c r="BL10" s="16"/>
      <c r="BM10" s="16" t="s">
        <v>33</v>
      </c>
      <c r="BN10" s="1" t="str">
        <f>B10</f>
        <v>ME009_CEXTEST_PBC</v>
      </c>
      <c r="BO10" s="30" t="s">
        <v>126</v>
      </c>
      <c r="BP10" s="32" t="s">
        <v>185</v>
      </c>
      <c r="BQ10" s="30" t="s">
        <v>128</v>
      </c>
      <c r="BR10" s="44" t="s">
        <v>56</v>
      </c>
      <c r="BS10" s="30" t="s">
        <v>130</v>
      </c>
      <c r="BT10" s="30" t="s">
        <v>131</v>
      </c>
      <c r="BU10" s="34" t="s">
        <v>186</v>
      </c>
      <c r="BV10" s="30" t="s">
        <v>30</v>
      </c>
      <c r="BW10" s="30" t="s">
        <v>30</v>
      </c>
      <c r="BX10" s="30" t="s">
        <v>30</v>
      </c>
      <c r="BY10" s="30" t="s">
        <v>19</v>
      </c>
      <c r="BZ10" s="30" t="s">
        <v>30</v>
      </c>
      <c r="CA10" s="30" t="s">
        <v>31</v>
      </c>
      <c r="CB10" s="16"/>
      <c r="CC10" s="16" t="s">
        <v>33</v>
      </c>
      <c r="CD10" s="1" t="str">
        <f>B10</f>
        <v>ME009_CEXTEST_PBC</v>
      </c>
      <c r="CE10" s="30" t="s">
        <v>133</v>
      </c>
      <c r="CF10" s="32" t="s">
        <v>187</v>
      </c>
      <c r="CG10" s="30" t="s">
        <v>135</v>
      </c>
      <c r="CH10" s="44" t="s">
        <v>56</v>
      </c>
      <c r="CI10" s="30" t="s">
        <v>137</v>
      </c>
      <c r="CJ10" s="30" t="s">
        <v>138</v>
      </c>
      <c r="CK10" s="34" t="s">
        <v>188</v>
      </c>
      <c r="CL10" s="30" t="s">
        <v>50</v>
      </c>
      <c r="CM10" s="30" t="s">
        <v>50</v>
      </c>
      <c r="CN10" s="30" t="s">
        <v>50</v>
      </c>
      <c r="CO10" s="30" t="s">
        <v>19</v>
      </c>
      <c r="CP10" s="30" t="s">
        <v>50</v>
      </c>
      <c r="CQ10" s="30" t="s">
        <v>14</v>
      </c>
      <c r="CR10" s="16"/>
      <c r="CS10" s="16" t="s">
        <v>33</v>
      </c>
      <c r="CT10" s="16" t="str">
        <f>B10</f>
        <v>ME009_CEXTEST_PBC</v>
      </c>
      <c r="CU10" s="30" t="s">
        <v>140</v>
      </c>
      <c r="CV10" s="32" t="s">
        <v>189</v>
      </c>
      <c r="CW10" s="30" t="s">
        <v>142</v>
      </c>
      <c r="CX10" s="44" t="s">
        <v>56</v>
      </c>
      <c r="CY10" s="30" t="s">
        <v>144</v>
      </c>
      <c r="CZ10" s="30" t="s">
        <v>145</v>
      </c>
      <c r="DA10" s="34" t="s">
        <v>190</v>
      </c>
      <c r="DB10" s="30" t="s">
        <v>49</v>
      </c>
      <c r="DC10" s="30" t="s">
        <v>49</v>
      </c>
      <c r="DD10" s="30" t="s">
        <v>49</v>
      </c>
      <c r="DE10" s="30" t="s">
        <v>19</v>
      </c>
      <c r="DF10" s="30" t="s">
        <v>49</v>
      </c>
      <c r="DG10" s="30" t="s">
        <v>14</v>
      </c>
      <c r="DH10" s="26"/>
    </row>
    <row r="11" spans="1:112" s="28" customFormat="1" ht="17">
      <c r="A11" s="16" t="s">
        <v>21</v>
      </c>
      <c r="B11" s="16" t="s">
        <v>48</v>
      </c>
      <c r="C11" s="30" t="s">
        <v>22</v>
      </c>
      <c r="D11" s="30" t="s">
        <v>23</v>
      </c>
      <c r="E11" s="30" t="s">
        <v>24</v>
      </c>
      <c r="F11" s="32" t="s">
        <v>55</v>
      </c>
      <c r="G11" s="31" t="s">
        <v>38</v>
      </c>
      <c r="H11" s="32" t="s">
        <v>39</v>
      </c>
      <c r="I11" s="30" t="s">
        <v>35</v>
      </c>
      <c r="J11" s="30" t="s">
        <v>36</v>
      </c>
      <c r="K11" s="30" t="s">
        <v>36</v>
      </c>
      <c r="L11" s="30" t="s">
        <v>36</v>
      </c>
      <c r="M11" s="30" t="s">
        <v>19</v>
      </c>
      <c r="N11" s="30" t="s">
        <v>36</v>
      </c>
      <c r="O11" s="30" t="s">
        <v>14</v>
      </c>
      <c r="P11" s="16"/>
      <c r="Q11" s="16" t="s">
        <v>21</v>
      </c>
      <c r="R11" s="16" t="s">
        <v>48</v>
      </c>
      <c r="S11" s="30" t="s">
        <v>106</v>
      </c>
      <c r="T11" s="30" t="s">
        <v>107</v>
      </c>
      <c r="U11" s="30" t="s">
        <v>108</v>
      </c>
      <c r="V11" s="32" t="s">
        <v>158</v>
      </c>
      <c r="W11" s="31" t="s">
        <v>192</v>
      </c>
      <c r="X11" s="32" t="s">
        <v>193</v>
      </c>
      <c r="Y11" s="30" t="s">
        <v>148</v>
      </c>
      <c r="Z11" s="30" t="s">
        <v>37</v>
      </c>
      <c r="AA11" s="30" t="s">
        <v>37</v>
      </c>
      <c r="AB11" s="30" t="s">
        <v>37</v>
      </c>
      <c r="AC11" s="50" t="s">
        <v>19</v>
      </c>
      <c r="AD11" s="50" t="s">
        <v>37</v>
      </c>
      <c r="AE11" s="30" t="s">
        <v>14</v>
      </c>
      <c r="AF11" s="16"/>
      <c r="AG11" s="16" t="s">
        <v>21</v>
      </c>
      <c r="AH11" s="16" t="s">
        <v>48</v>
      </c>
      <c r="AI11" s="30" t="s">
        <v>112</v>
      </c>
      <c r="AJ11" s="30" t="s">
        <v>113</v>
      </c>
      <c r="AK11" s="30" t="s">
        <v>114</v>
      </c>
      <c r="AL11" s="32" t="s">
        <v>159</v>
      </c>
      <c r="AM11" s="31" t="s">
        <v>195</v>
      </c>
      <c r="AN11" s="32" t="s">
        <v>196</v>
      </c>
      <c r="AO11" s="30" t="s">
        <v>150</v>
      </c>
      <c r="AP11" s="30" t="s">
        <v>20</v>
      </c>
      <c r="AQ11" s="30" t="s">
        <v>20</v>
      </c>
      <c r="AR11" s="30" t="s">
        <v>20</v>
      </c>
      <c r="AS11" s="30" t="s">
        <v>19</v>
      </c>
      <c r="AT11" s="30" t="s">
        <v>20</v>
      </c>
      <c r="AU11" s="30" t="s">
        <v>14</v>
      </c>
      <c r="AV11" s="16"/>
      <c r="AW11" s="16" t="s">
        <v>21</v>
      </c>
      <c r="AX11" s="1" t="s">
        <v>48</v>
      </c>
      <c r="AY11" s="30" t="s">
        <v>119</v>
      </c>
      <c r="AZ11" s="30" t="s">
        <v>120</v>
      </c>
      <c r="BA11" s="30" t="s">
        <v>121</v>
      </c>
      <c r="BB11" s="32" t="s">
        <v>161</v>
      </c>
      <c r="BC11" s="31" t="s">
        <v>198</v>
      </c>
      <c r="BD11" s="32" t="s">
        <v>199</v>
      </c>
      <c r="BE11" s="38" t="s">
        <v>28</v>
      </c>
      <c r="BF11" s="30" t="s">
        <v>29</v>
      </c>
      <c r="BG11" s="30" t="s">
        <v>29</v>
      </c>
      <c r="BH11" s="30" t="s">
        <v>29</v>
      </c>
      <c r="BI11" s="30" t="s">
        <v>19</v>
      </c>
      <c r="BJ11" s="30" t="s">
        <v>29</v>
      </c>
      <c r="BK11" s="30" t="s">
        <v>14</v>
      </c>
      <c r="BL11" s="16"/>
      <c r="BM11" s="16" t="s">
        <v>21</v>
      </c>
      <c r="BN11" s="1" t="s">
        <v>48</v>
      </c>
      <c r="BO11" s="30" t="s">
        <v>126</v>
      </c>
      <c r="BP11" s="30" t="s">
        <v>127</v>
      </c>
      <c r="BQ11" s="30" t="s">
        <v>128</v>
      </c>
      <c r="BR11" s="32" t="s">
        <v>164</v>
      </c>
      <c r="BS11" s="31" t="s">
        <v>201</v>
      </c>
      <c r="BT11" s="32" t="s">
        <v>202</v>
      </c>
      <c r="BU11" s="30" t="s">
        <v>153</v>
      </c>
      <c r="BV11" s="30" t="s">
        <v>30</v>
      </c>
      <c r="BW11" s="30" t="s">
        <v>30</v>
      </c>
      <c r="BX11" s="30" t="s">
        <v>30</v>
      </c>
      <c r="BY11" s="30" t="s">
        <v>19</v>
      </c>
      <c r="BZ11" s="30" t="s">
        <v>30</v>
      </c>
      <c r="CA11" s="30" t="s">
        <v>31</v>
      </c>
      <c r="CB11" s="16"/>
      <c r="CC11" s="16" t="s">
        <v>21</v>
      </c>
      <c r="CD11" s="1" t="s">
        <v>48</v>
      </c>
      <c r="CE11" s="30" t="s">
        <v>133</v>
      </c>
      <c r="CF11" s="30" t="s">
        <v>134</v>
      </c>
      <c r="CG11" s="30" t="s">
        <v>135</v>
      </c>
      <c r="CH11" s="32" t="s">
        <v>167</v>
      </c>
      <c r="CI11" s="31" t="s">
        <v>204</v>
      </c>
      <c r="CJ11" s="32" t="s">
        <v>205</v>
      </c>
      <c r="CK11" s="30" t="s">
        <v>155</v>
      </c>
      <c r="CL11" s="30" t="s">
        <v>50</v>
      </c>
      <c r="CM11" s="30" t="s">
        <v>50</v>
      </c>
      <c r="CN11" s="30" t="s">
        <v>50</v>
      </c>
      <c r="CO11" s="30" t="s">
        <v>19</v>
      </c>
      <c r="CP11" s="30" t="s">
        <v>50</v>
      </c>
      <c r="CQ11" s="30" t="s">
        <v>14</v>
      </c>
      <c r="CR11" s="16"/>
      <c r="CS11" s="16" t="s">
        <v>21</v>
      </c>
      <c r="CT11" s="16" t="s">
        <v>48</v>
      </c>
      <c r="CU11" s="30" t="s">
        <v>140</v>
      </c>
      <c r="CV11" s="30" t="s">
        <v>141</v>
      </c>
      <c r="CW11" s="30" t="s">
        <v>142</v>
      </c>
      <c r="CX11" s="32" t="s">
        <v>170</v>
      </c>
      <c r="CY11" s="31" t="s">
        <v>207</v>
      </c>
      <c r="CZ11" s="32" t="s">
        <v>208</v>
      </c>
      <c r="DA11" s="30" t="s">
        <v>157</v>
      </c>
      <c r="DB11" s="30" t="s">
        <v>49</v>
      </c>
      <c r="DC11" s="30" t="s">
        <v>49</v>
      </c>
      <c r="DD11" s="30" t="s">
        <v>49</v>
      </c>
      <c r="DE11" s="30" t="s">
        <v>19</v>
      </c>
      <c r="DF11" s="30" t="s">
        <v>49</v>
      </c>
      <c r="DG11" s="30" t="s">
        <v>14</v>
      </c>
      <c r="DH11" s="26"/>
    </row>
    <row r="12" spans="1:112" ht="17">
      <c r="A12" s="28" t="s">
        <v>10</v>
      </c>
      <c r="B12" s="43" t="s">
        <v>249</v>
      </c>
      <c r="C12" s="37" t="s">
        <v>34</v>
      </c>
      <c r="D12" s="30" t="s">
        <v>23</v>
      </c>
      <c r="E12" s="30" t="s">
        <v>24</v>
      </c>
      <c r="F12" s="31" t="s">
        <v>56</v>
      </c>
      <c r="G12" s="30" t="s">
        <v>26</v>
      </c>
      <c r="H12" s="30" t="s">
        <v>27</v>
      </c>
      <c r="I12" s="32" t="s">
        <v>73</v>
      </c>
      <c r="J12" s="30" t="s">
        <v>36</v>
      </c>
      <c r="K12" s="30" t="s">
        <v>36</v>
      </c>
      <c r="L12" s="30" t="s">
        <v>36</v>
      </c>
      <c r="M12" s="30" t="s">
        <v>19</v>
      </c>
      <c r="N12" s="30" t="s">
        <v>36</v>
      </c>
      <c r="O12" s="30" t="s">
        <v>14</v>
      </c>
      <c r="P12" s="28"/>
      <c r="Q12" s="16" t="s">
        <v>10</v>
      </c>
      <c r="R12" s="16" t="str">
        <f>B12</f>
        <v>MP00I_WUS_PBC</v>
      </c>
      <c r="S12" s="49" t="str">
        <f>LEFT(C12,5)&amp;" Product-CP_GB_HOT"</f>
        <v>MP00H Product-CP_GB_HOT</v>
      </c>
      <c r="T12" s="49" t="str">
        <f>LEFT(D12,5)&amp;" Product-CP_GB_HOT"</f>
        <v>ME001 Product-CP_GB_HOT</v>
      </c>
      <c r="U12" s="49" t="str">
        <f>LEFT(E12,5)&amp;" Product-CP_GB_HOT"</f>
        <v>MG001 Product-CP_GB_HOT</v>
      </c>
      <c r="V12" s="51" t="str">
        <f>F12</f>
        <v>950mV (MS005 Product)</v>
      </c>
      <c r="W12" s="49" t="str">
        <f>LEFT(G12,5)&amp;" Product-CP_GB_HOT"</f>
        <v>MD001 Product-CP_GB_HOT</v>
      </c>
      <c r="X12" s="49" t="str">
        <f>LEFT(H12,5)&amp;" Product-CP_GB_HOT"</f>
        <v>MI001 Product-CP_GB_HOT</v>
      </c>
      <c r="Y12" s="49" t="str">
        <f>LEFT(I12,6)&amp;" Product-CP_GB_HOT"</f>
        <v>MPS00H Product-CP_GB_HOT</v>
      </c>
      <c r="Z12" s="50" t="s">
        <v>37</v>
      </c>
      <c r="AA12" s="50" t="s">
        <v>37</v>
      </c>
      <c r="AB12" s="50" t="s">
        <v>37</v>
      </c>
      <c r="AC12" s="50" t="s">
        <v>19</v>
      </c>
      <c r="AD12" s="50" t="s">
        <v>37</v>
      </c>
      <c r="AE12" s="30" t="s">
        <v>14</v>
      </c>
      <c r="AF12" s="28"/>
      <c r="AG12" s="16" t="s">
        <v>10</v>
      </c>
      <c r="AH12" s="16" t="str">
        <f>B12</f>
        <v>MP00I_WUS_PBC</v>
      </c>
      <c r="AI12" s="49" t="str">
        <f>LEFT(C12,5)&amp;" Product-FT_GB_ROOM"</f>
        <v>MP00H Product-FT_GB_ROOM</v>
      </c>
      <c r="AJ12" s="49" t="str">
        <f>LEFT(D12,5)&amp;" Product-FT_GB_ROOM"</f>
        <v>ME001 Product-FT_GB_ROOM</v>
      </c>
      <c r="AK12" s="49" t="str">
        <f>LEFT(E12,5)&amp;" Product-FT_GB_ROOM"</f>
        <v>MG001 Product-FT_GB_ROOM</v>
      </c>
      <c r="AL12" s="51" t="str">
        <f>V12</f>
        <v>950mV (MS005 Product)</v>
      </c>
      <c r="AM12" s="49" t="str">
        <f>LEFT(G12,5)&amp;" Product-FT_GB_ROOM"</f>
        <v>MD001 Product-FT_GB_ROOM</v>
      </c>
      <c r="AN12" s="49" t="str">
        <f>LEFT(H12,5)&amp;" Product-FT_GB_ROOM"</f>
        <v>MI001 Product-FT_GB_ROOM</v>
      </c>
      <c r="AO12" s="49" t="str">
        <f>LEFT(I12,6)&amp;" Product-FT_GB_ROOM"</f>
        <v>MPS00H Product-FT_GB_ROOM</v>
      </c>
      <c r="AP12" s="50" t="s">
        <v>20</v>
      </c>
      <c r="AQ12" s="50" t="s">
        <v>20</v>
      </c>
      <c r="AR12" s="50" t="s">
        <v>20</v>
      </c>
      <c r="AS12" s="50" t="s">
        <v>19</v>
      </c>
      <c r="AT12" s="50" t="s">
        <v>20</v>
      </c>
      <c r="AU12" s="30" t="s">
        <v>14</v>
      </c>
      <c r="AV12" s="28"/>
      <c r="AW12" s="16" t="s">
        <v>10</v>
      </c>
      <c r="AX12" s="1" t="str">
        <f>B12</f>
        <v>MP00I_WUS_PBC</v>
      </c>
      <c r="AY12" s="37" t="s">
        <v>160</v>
      </c>
      <c r="AZ12" s="30" t="s">
        <v>120</v>
      </c>
      <c r="BA12" s="30" t="s">
        <v>121</v>
      </c>
      <c r="BB12" s="35" t="s">
        <v>56</v>
      </c>
      <c r="BC12" s="30" t="s">
        <v>123</v>
      </c>
      <c r="BD12" s="30" t="s">
        <v>124</v>
      </c>
      <c r="BE12" s="45" t="s">
        <v>162</v>
      </c>
      <c r="BF12" s="30" t="s">
        <v>29</v>
      </c>
      <c r="BG12" s="30" t="s">
        <v>29</v>
      </c>
      <c r="BH12" s="30" t="s">
        <v>29</v>
      </c>
      <c r="BI12" s="30" t="s">
        <v>19</v>
      </c>
      <c r="BJ12" s="30" t="s">
        <v>29</v>
      </c>
      <c r="BK12" s="30" t="s">
        <v>14</v>
      </c>
      <c r="BL12" s="28"/>
      <c r="BM12" s="16" t="s">
        <v>10</v>
      </c>
      <c r="BN12" s="1" t="str">
        <f>B12</f>
        <v>MP00I_WUS_PBC</v>
      </c>
      <c r="BO12" s="37" t="s">
        <v>163</v>
      </c>
      <c r="BP12" s="30" t="s">
        <v>127</v>
      </c>
      <c r="BQ12" s="30" t="s">
        <v>128</v>
      </c>
      <c r="BR12" s="35" t="s">
        <v>56</v>
      </c>
      <c r="BS12" s="30" t="s">
        <v>130</v>
      </c>
      <c r="BT12" s="30" t="s">
        <v>131</v>
      </c>
      <c r="BU12" s="37" t="s">
        <v>165</v>
      </c>
      <c r="BV12" s="30" t="s">
        <v>30</v>
      </c>
      <c r="BW12" s="30" t="s">
        <v>30</v>
      </c>
      <c r="BX12" s="30" t="s">
        <v>30</v>
      </c>
      <c r="BY12" s="30" t="s">
        <v>19</v>
      </c>
      <c r="BZ12" s="30" t="s">
        <v>30</v>
      </c>
      <c r="CA12" s="30" t="s">
        <v>31</v>
      </c>
      <c r="CB12" s="28"/>
      <c r="CC12" s="16" t="s">
        <v>10</v>
      </c>
      <c r="CD12" s="1" t="str">
        <f>B12</f>
        <v>MP00I_WUS_PBC</v>
      </c>
      <c r="CE12" s="37" t="s">
        <v>166</v>
      </c>
      <c r="CF12" s="30" t="s">
        <v>134</v>
      </c>
      <c r="CG12" s="30" t="s">
        <v>135</v>
      </c>
      <c r="CH12" s="35" t="s">
        <v>56</v>
      </c>
      <c r="CI12" s="30" t="s">
        <v>137</v>
      </c>
      <c r="CJ12" s="30" t="s">
        <v>138</v>
      </c>
      <c r="CK12" s="37" t="s">
        <v>168</v>
      </c>
      <c r="CL12" s="30" t="s">
        <v>50</v>
      </c>
      <c r="CM12" s="30" t="s">
        <v>50</v>
      </c>
      <c r="CN12" s="30" t="s">
        <v>50</v>
      </c>
      <c r="CO12" s="30" t="s">
        <v>19</v>
      </c>
      <c r="CP12" s="30" t="s">
        <v>50</v>
      </c>
      <c r="CQ12" s="30" t="s">
        <v>14</v>
      </c>
      <c r="CR12" s="28"/>
      <c r="CS12" s="16" t="s">
        <v>10</v>
      </c>
      <c r="CT12" s="16" t="str">
        <f>B12</f>
        <v>MP00I_WUS_PBC</v>
      </c>
      <c r="CU12" s="37" t="s">
        <v>169</v>
      </c>
      <c r="CV12" s="30" t="s">
        <v>141</v>
      </c>
      <c r="CW12" s="30" t="s">
        <v>142</v>
      </c>
      <c r="CX12" s="35" t="s">
        <v>56</v>
      </c>
      <c r="CY12" s="30" t="s">
        <v>144</v>
      </c>
      <c r="CZ12" s="30" t="s">
        <v>145</v>
      </c>
      <c r="DA12" s="37" t="s">
        <v>171</v>
      </c>
      <c r="DB12" s="30" t="s">
        <v>49</v>
      </c>
      <c r="DC12" s="30" t="s">
        <v>49</v>
      </c>
      <c r="DD12" s="30" t="s">
        <v>49</v>
      </c>
      <c r="DE12" s="30" t="s">
        <v>19</v>
      </c>
      <c r="DF12" s="30" t="s">
        <v>49</v>
      </c>
      <c r="DG12" s="30" t="s">
        <v>14</v>
      </c>
      <c r="DH12" s="28"/>
    </row>
    <row r="13" spans="1:112" ht="17">
      <c r="A13" s="1" t="s">
        <v>10</v>
      </c>
      <c r="B13" s="1" t="s">
        <v>102</v>
      </c>
      <c r="C13" s="1" t="s">
        <v>103</v>
      </c>
      <c r="D13" s="30" t="s">
        <v>23</v>
      </c>
      <c r="E13" s="30" t="s">
        <v>24</v>
      </c>
      <c r="F13" s="31" t="s">
        <v>56</v>
      </c>
      <c r="G13" s="30" t="s">
        <v>26</v>
      </c>
      <c r="H13" s="30" t="s">
        <v>27</v>
      </c>
      <c r="I13" s="16" t="s">
        <v>104</v>
      </c>
      <c r="J13" s="30" t="s">
        <v>36</v>
      </c>
      <c r="K13" s="30" t="s">
        <v>36</v>
      </c>
      <c r="L13" s="30" t="s">
        <v>36</v>
      </c>
      <c r="M13" s="30" t="s">
        <v>19</v>
      </c>
      <c r="N13" s="30" t="s">
        <v>36</v>
      </c>
      <c r="O13" s="30" t="s">
        <v>14</v>
      </c>
      <c r="Q13" s="16" t="s">
        <v>10</v>
      </c>
      <c r="R13" s="16" t="s">
        <v>102</v>
      </c>
      <c r="S13" s="35" t="s">
        <v>103</v>
      </c>
      <c r="T13" s="30" t="s">
        <v>107</v>
      </c>
      <c r="U13" s="30" t="s">
        <v>108</v>
      </c>
      <c r="V13" s="35" t="s">
        <v>56</v>
      </c>
      <c r="W13" s="30" t="s">
        <v>110</v>
      </c>
      <c r="X13" s="30" t="s">
        <v>111</v>
      </c>
      <c r="Y13" s="35" t="s">
        <v>104</v>
      </c>
      <c r="Z13" s="30" t="s">
        <v>37</v>
      </c>
      <c r="AA13" s="30" t="s">
        <v>37</v>
      </c>
      <c r="AB13" s="30" t="s">
        <v>37</v>
      </c>
      <c r="AC13" s="50" t="s">
        <v>19</v>
      </c>
      <c r="AD13" s="50" t="s">
        <v>37</v>
      </c>
      <c r="AE13" s="30" t="s">
        <v>14</v>
      </c>
      <c r="AG13" s="16" t="s">
        <v>10</v>
      </c>
      <c r="AH13" s="16" t="s">
        <v>102</v>
      </c>
      <c r="AI13" s="35" t="s">
        <v>103</v>
      </c>
      <c r="AJ13" s="30" t="s">
        <v>113</v>
      </c>
      <c r="AK13" s="30" t="s">
        <v>114</v>
      </c>
      <c r="AL13" s="35" t="s">
        <v>56</v>
      </c>
      <c r="AM13" s="30" t="s">
        <v>116</v>
      </c>
      <c r="AN13" s="30" t="s">
        <v>117</v>
      </c>
      <c r="AO13" s="35" t="s">
        <v>104</v>
      </c>
      <c r="AP13" s="30" t="s">
        <v>20</v>
      </c>
      <c r="AQ13" s="30" t="s">
        <v>20</v>
      </c>
      <c r="AR13" s="30" t="s">
        <v>20</v>
      </c>
      <c r="AS13" s="30" t="s">
        <v>19</v>
      </c>
      <c r="AT13" s="30" t="s">
        <v>20</v>
      </c>
      <c r="AU13" s="30" t="s">
        <v>14</v>
      </c>
      <c r="AW13" s="16" t="s">
        <v>10</v>
      </c>
      <c r="AX13" s="1" t="s">
        <v>102</v>
      </c>
      <c r="AY13" s="35" t="s">
        <v>103</v>
      </c>
      <c r="AZ13" s="30" t="s">
        <v>120</v>
      </c>
      <c r="BA13" s="30" t="s">
        <v>121</v>
      </c>
      <c r="BB13" s="35" t="s">
        <v>56</v>
      </c>
      <c r="BC13" s="30" t="s">
        <v>123</v>
      </c>
      <c r="BD13" s="30" t="s">
        <v>124</v>
      </c>
      <c r="BE13" s="35" t="s">
        <v>104</v>
      </c>
      <c r="BF13" s="30" t="s">
        <v>29</v>
      </c>
      <c r="BG13" s="30" t="s">
        <v>29</v>
      </c>
      <c r="BH13" s="30" t="s">
        <v>29</v>
      </c>
      <c r="BI13" s="30" t="s">
        <v>19</v>
      </c>
      <c r="BJ13" s="30" t="s">
        <v>29</v>
      </c>
      <c r="BK13" s="30" t="s">
        <v>14</v>
      </c>
      <c r="BM13" s="16" t="s">
        <v>10</v>
      </c>
      <c r="BN13" s="1" t="s">
        <v>102</v>
      </c>
      <c r="BO13" s="35" t="s">
        <v>177</v>
      </c>
      <c r="BP13" s="30" t="s">
        <v>127</v>
      </c>
      <c r="BQ13" s="30" t="s">
        <v>128</v>
      </c>
      <c r="BR13" s="35" t="s">
        <v>56</v>
      </c>
      <c r="BS13" s="30" t="s">
        <v>130</v>
      </c>
      <c r="BT13" s="30" t="s">
        <v>131</v>
      </c>
      <c r="BU13" s="35" t="s">
        <v>178</v>
      </c>
      <c r="BV13" s="30" t="s">
        <v>30</v>
      </c>
      <c r="BW13" s="30" t="s">
        <v>30</v>
      </c>
      <c r="BX13" s="30" t="s">
        <v>30</v>
      </c>
      <c r="BY13" s="30" t="s">
        <v>19</v>
      </c>
      <c r="BZ13" s="30" t="s">
        <v>30</v>
      </c>
      <c r="CA13" s="30" t="s">
        <v>31</v>
      </c>
      <c r="CC13" s="16" t="s">
        <v>10</v>
      </c>
      <c r="CD13" s="1" t="s">
        <v>102</v>
      </c>
      <c r="CE13" s="35" t="s">
        <v>179</v>
      </c>
      <c r="CF13" s="30" t="s">
        <v>134</v>
      </c>
      <c r="CG13" s="30" t="s">
        <v>135</v>
      </c>
      <c r="CH13" s="35" t="s">
        <v>56</v>
      </c>
      <c r="CI13" s="30" t="s">
        <v>137</v>
      </c>
      <c r="CJ13" s="30" t="s">
        <v>138</v>
      </c>
      <c r="CK13" s="35" t="s">
        <v>180</v>
      </c>
      <c r="CL13" s="30" t="s">
        <v>50</v>
      </c>
      <c r="CM13" s="30" t="s">
        <v>50</v>
      </c>
      <c r="CN13" s="30" t="s">
        <v>50</v>
      </c>
      <c r="CO13" s="30" t="s">
        <v>19</v>
      </c>
      <c r="CP13" s="30" t="s">
        <v>50</v>
      </c>
      <c r="CQ13" s="30" t="s">
        <v>14</v>
      </c>
      <c r="CS13" s="16" t="s">
        <v>10</v>
      </c>
      <c r="CT13" s="16" t="s">
        <v>102</v>
      </c>
      <c r="CU13" s="35" t="s">
        <v>181</v>
      </c>
      <c r="CV13" s="30" t="s">
        <v>141</v>
      </c>
      <c r="CW13" s="30" t="s">
        <v>142</v>
      </c>
      <c r="CX13" s="35" t="s">
        <v>56</v>
      </c>
      <c r="CY13" s="30" t="s">
        <v>144</v>
      </c>
      <c r="CZ13" s="30" t="s">
        <v>145</v>
      </c>
      <c r="DA13" s="35" t="s">
        <v>182</v>
      </c>
      <c r="DB13" s="30" t="s">
        <v>49</v>
      </c>
      <c r="DC13" s="30" t="s">
        <v>49</v>
      </c>
      <c r="DD13" s="30" t="s">
        <v>49</v>
      </c>
      <c r="DE13" s="30" t="s">
        <v>19</v>
      </c>
      <c r="DF13" s="30" t="s">
        <v>49</v>
      </c>
      <c r="DG13" s="30" t="s">
        <v>14</v>
      </c>
    </row>
    <row r="14" spans="1:112" ht="17">
      <c r="A14" s="28" t="s">
        <v>10</v>
      </c>
      <c r="B14" s="43" t="s">
        <v>100</v>
      </c>
      <c r="C14" s="31" t="s">
        <v>97</v>
      </c>
      <c r="D14" s="36" t="s">
        <v>23</v>
      </c>
      <c r="E14" s="30" t="s">
        <v>24</v>
      </c>
      <c r="F14" s="31" t="s">
        <v>56</v>
      </c>
      <c r="G14" s="30" t="s">
        <v>26</v>
      </c>
      <c r="H14" s="30" t="s">
        <v>27</v>
      </c>
      <c r="I14" s="48" t="s">
        <v>98</v>
      </c>
      <c r="J14" s="30" t="s">
        <v>36</v>
      </c>
      <c r="K14" s="30" t="s">
        <v>36</v>
      </c>
      <c r="L14" s="30" t="s">
        <v>36</v>
      </c>
      <c r="M14" s="30" t="s">
        <v>19</v>
      </c>
      <c r="N14" s="30" t="s">
        <v>36</v>
      </c>
      <c r="O14" s="30" t="s">
        <v>14</v>
      </c>
      <c r="P14" s="28"/>
      <c r="Q14" s="28" t="s">
        <v>10</v>
      </c>
      <c r="R14" s="16" t="str">
        <f t="shared" ref="R14:R20" si="24">B14</f>
        <v>MP00J_WUS_PBC</v>
      </c>
      <c r="S14" s="49" t="str">
        <f>LEFT(C14,5)&amp;" Product-CP_GB_HOT"</f>
        <v>MP00J Product-CP_GB_HOT</v>
      </c>
      <c r="T14" s="49" t="str">
        <f t="shared" ref="T14:T20" si="25">LEFT(D14,5)&amp;" Product-CP_GB_HOT"</f>
        <v>ME001 Product-CP_GB_HOT</v>
      </c>
      <c r="U14" s="49" t="str">
        <f t="shared" ref="U14:U20" si="26">LEFT(E14,5)&amp;" Product-CP_GB_HOT"</f>
        <v>MG001 Product-CP_GB_HOT</v>
      </c>
      <c r="V14" s="51" t="str">
        <f t="shared" ref="V14:V17" si="27">F14</f>
        <v>950mV (MS005 Product)</v>
      </c>
      <c r="W14" s="49" t="str">
        <f t="shared" ref="W14:W20" si="28">LEFT(G14,5)&amp;" Product-CP_GB_HOT"</f>
        <v>MD001 Product-CP_GB_HOT</v>
      </c>
      <c r="X14" s="49" t="str">
        <f t="shared" ref="X14:X20" si="29">LEFT(H14,5)&amp;" Product-CP_GB_HOT"</f>
        <v>MI001 Product-CP_GB_HOT</v>
      </c>
      <c r="Y14" s="49" t="str">
        <f>LEFT(I14,6)&amp;" Product-CP_GB_HOT"</f>
        <v>MPS00J Product-CP_GB_HOT</v>
      </c>
      <c r="Z14" s="50" t="s">
        <v>37</v>
      </c>
      <c r="AA14" s="50" t="s">
        <v>37</v>
      </c>
      <c r="AB14" s="50" t="s">
        <v>37</v>
      </c>
      <c r="AC14" s="50" t="s">
        <v>19</v>
      </c>
      <c r="AD14" s="50" t="s">
        <v>37</v>
      </c>
      <c r="AE14" s="30" t="s">
        <v>14</v>
      </c>
      <c r="AF14" s="28"/>
      <c r="AG14" s="28" t="s">
        <v>10</v>
      </c>
      <c r="AH14" s="16" t="str">
        <f t="shared" ref="AH14:AH20" si="30">B14</f>
        <v>MP00J_WUS_PBC</v>
      </c>
      <c r="AI14" s="49" t="str">
        <f>LEFT(C14,5)&amp;" Product-FT_GB_ROOM"</f>
        <v>MP00J Product-FT_GB_ROOM</v>
      </c>
      <c r="AJ14" s="49" t="str">
        <f t="shared" ref="AJ14:AJ20" si="31">LEFT(D14,5)&amp;" Product-FT_GB_ROOM"</f>
        <v>ME001 Product-FT_GB_ROOM</v>
      </c>
      <c r="AK14" s="49" t="str">
        <f t="shared" ref="AK14:AK20" si="32">LEFT(E14,5)&amp;" Product-FT_GB_ROOM"</f>
        <v>MG001 Product-FT_GB_ROOM</v>
      </c>
      <c r="AL14" s="51" t="str">
        <f t="shared" ref="AL14:AL17" si="33">V14</f>
        <v>950mV (MS005 Product)</v>
      </c>
      <c r="AM14" s="49" t="str">
        <f t="shared" ref="AM14:AM20" si="34">LEFT(G14,5)&amp;" Product-FT_GB_ROOM"</f>
        <v>MD001 Product-FT_GB_ROOM</v>
      </c>
      <c r="AN14" s="49" t="str">
        <f t="shared" ref="AN14:AN20" si="35">LEFT(H14,5)&amp;" Product-FT_GB_ROOM"</f>
        <v>MI001 Product-FT_GB_ROOM</v>
      </c>
      <c r="AO14" s="49" t="str">
        <f>LEFT(I14,6)&amp;" Product-FT_GB_ROOM"</f>
        <v>MPS00J Product-FT_GB_ROOM</v>
      </c>
      <c r="AP14" s="50" t="s">
        <v>20</v>
      </c>
      <c r="AQ14" s="50" t="s">
        <v>20</v>
      </c>
      <c r="AR14" s="50" t="s">
        <v>20</v>
      </c>
      <c r="AS14" s="50" t="s">
        <v>19</v>
      </c>
      <c r="AT14" s="50" t="s">
        <v>20</v>
      </c>
      <c r="AU14" s="30" t="s">
        <v>14</v>
      </c>
      <c r="AV14" s="28"/>
      <c r="AW14" s="28" t="s">
        <v>10</v>
      </c>
      <c r="AX14" s="1" t="str">
        <f t="shared" ref="AX14:AX20" si="36">B14</f>
        <v>MP00J_WUS_PBC</v>
      </c>
      <c r="AY14" s="31" t="s">
        <v>176</v>
      </c>
      <c r="AZ14" s="36" t="s">
        <v>120</v>
      </c>
      <c r="BA14" s="30" t="s">
        <v>121</v>
      </c>
      <c r="BB14" s="44" t="s">
        <v>56</v>
      </c>
      <c r="BC14" s="30" t="s">
        <v>123</v>
      </c>
      <c r="BD14" s="30" t="s">
        <v>124</v>
      </c>
      <c r="BE14" s="45" t="s">
        <v>101</v>
      </c>
      <c r="BF14" s="30" t="s">
        <v>29</v>
      </c>
      <c r="BG14" s="30" t="s">
        <v>29</v>
      </c>
      <c r="BH14" s="30" t="s">
        <v>29</v>
      </c>
      <c r="BI14" s="30" t="s">
        <v>19</v>
      </c>
      <c r="BJ14" s="30" t="s">
        <v>29</v>
      </c>
      <c r="BK14" s="30" t="s">
        <v>14</v>
      </c>
      <c r="BL14" s="28"/>
      <c r="BM14" s="28" t="s">
        <v>10</v>
      </c>
      <c r="BN14" s="1" t="str">
        <f t="shared" ref="BN14:BN20" si="37">B14</f>
        <v>MP00J_WUS_PBC</v>
      </c>
      <c r="BO14" s="31" t="s">
        <v>177</v>
      </c>
      <c r="BP14" s="36" t="s">
        <v>127</v>
      </c>
      <c r="BQ14" s="30" t="s">
        <v>128</v>
      </c>
      <c r="BR14" s="44" t="s">
        <v>56</v>
      </c>
      <c r="BS14" s="30" t="s">
        <v>130</v>
      </c>
      <c r="BT14" s="30" t="s">
        <v>131</v>
      </c>
      <c r="BU14" s="48" t="s">
        <v>178</v>
      </c>
      <c r="BV14" s="30" t="s">
        <v>30</v>
      </c>
      <c r="BW14" s="30" t="s">
        <v>30</v>
      </c>
      <c r="BX14" s="30" t="s">
        <v>30</v>
      </c>
      <c r="BY14" s="30" t="s">
        <v>19</v>
      </c>
      <c r="BZ14" s="30" t="s">
        <v>30</v>
      </c>
      <c r="CA14" s="30" t="s">
        <v>31</v>
      </c>
      <c r="CB14" s="28"/>
      <c r="CC14" s="16" t="s">
        <v>10</v>
      </c>
      <c r="CD14" s="1" t="str">
        <f t="shared" ref="CD14:CD20" si="38">B14</f>
        <v>MP00J_WUS_PBC</v>
      </c>
      <c r="CE14" s="31" t="s">
        <v>179</v>
      </c>
      <c r="CF14" s="36" t="s">
        <v>134</v>
      </c>
      <c r="CG14" s="30" t="s">
        <v>135</v>
      </c>
      <c r="CH14" s="44" t="s">
        <v>56</v>
      </c>
      <c r="CI14" s="30" t="s">
        <v>137</v>
      </c>
      <c r="CJ14" s="30" t="s">
        <v>138</v>
      </c>
      <c r="CK14" s="48" t="s">
        <v>180</v>
      </c>
      <c r="CL14" s="30" t="s">
        <v>50</v>
      </c>
      <c r="CM14" s="30" t="s">
        <v>50</v>
      </c>
      <c r="CN14" s="30" t="s">
        <v>50</v>
      </c>
      <c r="CO14" s="30" t="s">
        <v>19</v>
      </c>
      <c r="CP14" s="30" t="s">
        <v>50</v>
      </c>
      <c r="CQ14" s="30" t="s">
        <v>14</v>
      </c>
      <c r="CR14" s="28"/>
      <c r="CS14" s="16" t="s">
        <v>10</v>
      </c>
      <c r="CT14" s="16" t="str">
        <f t="shared" ref="CT14:CT20" si="39">B14</f>
        <v>MP00J_WUS_PBC</v>
      </c>
      <c r="CU14" s="31" t="s">
        <v>181</v>
      </c>
      <c r="CV14" s="36" t="s">
        <v>141</v>
      </c>
      <c r="CW14" s="30" t="s">
        <v>142</v>
      </c>
      <c r="CX14" s="44" t="s">
        <v>56</v>
      </c>
      <c r="CY14" s="30" t="s">
        <v>144</v>
      </c>
      <c r="CZ14" s="30" t="s">
        <v>145</v>
      </c>
      <c r="DA14" s="48" t="s">
        <v>182</v>
      </c>
      <c r="DB14" s="30" t="s">
        <v>49</v>
      </c>
      <c r="DC14" s="30" t="s">
        <v>49</v>
      </c>
      <c r="DD14" s="30" t="s">
        <v>49</v>
      </c>
      <c r="DE14" s="30" t="s">
        <v>19</v>
      </c>
      <c r="DF14" s="30" t="s">
        <v>49</v>
      </c>
      <c r="DG14" s="30" t="s">
        <v>14</v>
      </c>
      <c r="DH14" s="28"/>
    </row>
    <row r="15" spans="1:112" s="28" customFormat="1" ht="17">
      <c r="A15" s="41" t="s">
        <v>10</v>
      </c>
      <c r="B15" s="42" t="s">
        <v>250</v>
      </c>
      <c r="C15" s="41" t="s">
        <v>62</v>
      </c>
      <c r="D15" s="30" t="s">
        <v>23</v>
      </c>
      <c r="E15" s="30" t="s">
        <v>24</v>
      </c>
      <c r="F15" s="31" t="s">
        <v>56</v>
      </c>
      <c r="G15" s="30" t="s">
        <v>26</v>
      </c>
      <c r="H15" s="30" t="s">
        <v>27</v>
      </c>
      <c r="I15" s="16" t="s">
        <v>59</v>
      </c>
      <c r="J15" s="30" t="s">
        <v>36</v>
      </c>
      <c r="K15" s="30" t="s">
        <v>36</v>
      </c>
      <c r="L15" s="30" t="s">
        <v>36</v>
      </c>
      <c r="M15" s="30" t="s">
        <v>19</v>
      </c>
      <c r="N15" s="30" t="s">
        <v>36</v>
      </c>
      <c r="O15" s="30" t="s">
        <v>14</v>
      </c>
      <c r="P15" s="41"/>
      <c r="Q15" s="16" t="s">
        <v>10</v>
      </c>
      <c r="R15" s="16" t="str">
        <f t="shared" si="24"/>
        <v>MP00I_24N_PBC</v>
      </c>
      <c r="S15" s="49" t="str">
        <f>LEFT(C15,5)&amp;" E1 Product+10%"</f>
        <v>MP00H E1 Product+10%</v>
      </c>
      <c r="T15" s="49" t="str">
        <f t="shared" si="25"/>
        <v>ME001 Product-CP_GB_HOT</v>
      </c>
      <c r="U15" s="49" t="str">
        <f t="shared" si="26"/>
        <v>MG001 Product-CP_GB_HOT</v>
      </c>
      <c r="V15" s="51" t="str">
        <f t="shared" si="27"/>
        <v>950mV (MS005 Product)</v>
      </c>
      <c r="W15" s="49" t="str">
        <f t="shared" si="28"/>
        <v>MD001 Product-CP_GB_HOT</v>
      </c>
      <c r="X15" s="49" t="str">
        <f t="shared" si="29"/>
        <v>MI001 Product-CP_GB_HOT</v>
      </c>
      <c r="Y15" s="49" t="str">
        <f>LEFT(I15,6)&amp;" E1 Product+10%"</f>
        <v>MPS00H E1 Product+10%</v>
      </c>
      <c r="Z15" s="50" t="s">
        <v>37</v>
      </c>
      <c r="AA15" s="50" t="s">
        <v>37</v>
      </c>
      <c r="AB15" s="50" t="s">
        <v>37</v>
      </c>
      <c r="AC15" s="50" t="s">
        <v>19</v>
      </c>
      <c r="AD15" s="50" t="s">
        <v>37</v>
      </c>
      <c r="AE15" s="30" t="s">
        <v>14</v>
      </c>
      <c r="AF15" s="41"/>
      <c r="AG15" s="16" t="s">
        <v>10</v>
      </c>
      <c r="AH15" s="16" t="str">
        <f t="shared" si="30"/>
        <v>MP00I_24N_PBC</v>
      </c>
      <c r="AI15" s="49" t="str">
        <f>LEFT(C15,5)&amp;" E1 Product+10%"</f>
        <v>MP00H E1 Product+10%</v>
      </c>
      <c r="AJ15" s="49" t="str">
        <f t="shared" si="31"/>
        <v>ME001 Product-FT_GB_ROOM</v>
      </c>
      <c r="AK15" s="49" t="str">
        <f t="shared" si="32"/>
        <v>MG001 Product-FT_GB_ROOM</v>
      </c>
      <c r="AL15" s="51" t="str">
        <f t="shared" si="33"/>
        <v>950mV (MS005 Product)</v>
      </c>
      <c r="AM15" s="49" t="str">
        <f t="shared" si="34"/>
        <v>MD001 Product-FT_GB_ROOM</v>
      </c>
      <c r="AN15" s="49" t="str">
        <f t="shared" si="35"/>
        <v>MI001 Product-FT_GB_ROOM</v>
      </c>
      <c r="AO15" s="49" t="str">
        <f>LEFT(I15,6)&amp;" E1 Product+10%"</f>
        <v>MPS00H E1 Product+10%</v>
      </c>
      <c r="AP15" s="50" t="s">
        <v>20</v>
      </c>
      <c r="AQ15" s="50" t="s">
        <v>20</v>
      </c>
      <c r="AR15" s="50" t="s">
        <v>20</v>
      </c>
      <c r="AS15" s="50" t="s">
        <v>19</v>
      </c>
      <c r="AT15" s="50" t="s">
        <v>20</v>
      </c>
      <c r="AU15" s="30" t="s">
        <v>14</v>
      </c>
      <c r="AV15" s="41"/>
      <c r="AW15" s="16" t="s">
        <v>10</v>
      </c>
      <c r="AX15" s="1" t="str">
        <f t="shared" si="36"/>
        <v>MP00I_24N_PBC</v>
      </c>
      <c r="AY15" s="44" t="s">
        <v>62</v>
      </c>
      <c r="AZ15" s="30" t="s">
        <v>120</v>
      </c>
      <c r="BA15" s="30" t="s">
        <v>121</v>
      </c>
      <c r="BB15" s="35" t="s">
        <v>56</v>
      </c>
      <c r="BC15" s="30" t="s">
        <v>123</v>
      </c>
      <c r="BD15" s="30" t="s">
        <v>124</v>
      </c>
      <c r="BE15" s="44" t="s">
        <v>59</v>
      </c>
      <c r="BF15" s="30" t="s">
        <v>29</v>
      </c>
      <c r="BG15" s="30" t="s">
        <v>29</v>
      </c>
      <c r="BH15" s="30" t="s">
        <v>29</v>
      </c>
      <c r="BI15" s="30" t="s">
        <v>19</v>
      </c>
      <c r="BJ15" s="30" t="s">
        <v>29</v>
      </c>
      <c r="BK15" s="30" t="s">
        <v>14</v>
      </c>
      <c r="BL15" s="41"/>
      <c r="BM15" s="16" t="s">
        <v>10</v>
      </c>
      <c r="BN15" s="1" t="str">
        <f t="shared" si="37"/>
        <v>MP00I_24N_PBC</v>
      </c>
      <c r="BO15" s="44" t="s">
        <v>163</v>
      </c>
      <c r="BP15" s="30" t="s">
        <v>127</v>
      </c>
      <c r="BQ15" s="30" t="s">
        <v>128</v>
      </c>
      <c r="BR15" s="35" t="s">
        <v>56</v>
      </c>
      <c r="BS15" s="30" t="s">
        <v>130</v>
      </c>
      <c r="BT15" s="30" t="s">
        <v>131</v>
      </c>
      <c r="BU15" s="44" t="s">
        <v>165</v>
      </c>
      <c r="BV15" s="30" t="s">
        <v>30</v>
      </c>
      <c r="BW15" s="30" t="s">
        <v>30</v>
      </c>
      <c r="BX15" s="30" t="s">
        <v>30</v>
      </c>
      <c r="BY15" s="30" t="s">
        <v>19</v>
      </c>
      <c r="BZ15" s="30" t="s">
        <v>30</v>
      </c>
      <c r="CA15" s="30" t="s">
        <v>31</v>
      </c>
      <c r="CB15" s="41"/>
      <c r="CC15" s="16" t="s">
        <v>10</v>
      </c>
      <c r="CD15" s="1" t="str">
        <f t="shared" si="38"/>
        <v>MP00I_24N_PBC</v>
      </c>
      <c r="CE15" s="44" t="s">
        <v>166</v>
      </c>
      <c r="CF15" s="30" t="s">
        <v>134</v>
      </c>
      <c r="CG15" s="30" t="s">
        <v>135</v>
      </c>
      <c r="CH15" s="35" t="s">
        <v>56</v>
      </c>
      <c r="CI15" s="30" t="s">
        <v>137</v>
      </c>
      <c r="CJ15" s="30" t="s">
        <v>138</v>
      </c>
      <c r="CK15" s="44" t="s">
        <v>168</v>
      </c>
      <c r="CL15" s="30" t="s">
        <v>50</v>
      </c>
      <c r="CM15" s="30" t="s">
        <v>50</v>
      </c>
      <c r="CN15" s="30" t="s">
        <v>50</v>
      </c>
      <c r="CO15" s="30" t="s">
        <v>19</v>
      </c>
      <c r="CP15" s="30" t="s">
        <v>50</v>
      </c>
      <c r="CQ15" s="30" t="s">
        <v>14</v>
      </c>
      <c r="CR15" s="41"/>
      <c r="CS15" s="16" t="s">
        <v>10</v>
      </c>
      <c r="CT15" s="16" t="str">
        <f t="shared" si="39"/>
        <v>MP00I_24N_PBC</v>
      </c>
      <c r="CU15" s="44" t="s">
        <v>169</v>
      </c>
      <c r="CV15" s="30" t="s">
        <v>141</v>
      </c>
      <c r="CW15" s="30" t="s">
        <v>142</v>
      </c>
      <c r="CX15" s="35" t="s">
        <v>56</v>
      </c>
      <c r="CY15" s="30" t="s">
        <v>144</v>
      </c>
      <c r="CZ15" s="30" t="s">
        <v>145</v>
      </c>
      <c r="DA15" s="44" t="s">
        <v>171</v>
      </c>
      <c r="DB15" s="30" t="s">
        <v>49</v>
      </c>
      <c r="DC15" s="30" t="s">
        <v>49</v>
      </c>
      <c r="DD15" s="30" t="s">
        <v>49</v>
      </c>
      <c r="DE15" s="30" t="s">
        <v>19</v>
      </c>
      <c r="DF15" s="30" t="s">
        <v>49</v>
      </c>
      <c r="DG15" s="30" t="s">
        <v>14</v>
      </c>
      <c r="DH15" s="46"/>
    </row>
    <row r="16" spans="1:112" s="28" customFormat="1" ht="17">
      <c r="A16" s="16" t="s">
        <v>10</v>
      </c>
      <c r="B16" s="39" t="s">
        <v>74</v>
      </c>
      <c r="C16" s="30" t="s">
        <v>22</v>
      </c>
      <c r="D16" s="30" t="s">
        <v>23</v>
      </c>
      <c r="E16" s="30" t="s">
        <v>24</v>
      </c>
      <c r="F16" s="31" t="s">
        <v>56</v>
      </c>
      <c r="G16" s="30" t="s">
        <v>26</v>
      </c>
      <c r="H16" s="30" t="s">
        <v>27</v>
      </c>
      <c r="I16" s="33" t="s">
        <v>76</v>
      </c>
      <c r="J16" s="30" t="s">
        <v>36</v>
      </c>
      <c r="K16" s="30" t="s">
        <v>36</v>
      </c>
      <c r="L16" s="30" t="s">
        <v>36</v>
      </c>
      <c r="M16" s="30" t="s">
        <v>19</v>
      </c>
      <c r="N16" s="30" t="s">
        <v>36</v>
      </c>
      <c r="O16" s="30" t="s">
        <v>14</v>
      </c>
      <c r="P16" s="16"/>
      <c r="Q16" s="16" t="s">
        <v>10</v>
      </c>
      <c r="R16" s="16" t="str">
        <f t="shared" si="24"/>
        <v>MP001_CEXTEST_PBC</v>
      </c>
      <c r="S16" s="49" t="str">
        <f t="shared" ref="S16:S20" si="40">LEFT(C16,5)&amp;" Product-CP_GB_HOT"</f>
        <v>MP001 Product-CP_GB_HOT</v>
      </c>
      <c r="T16" s="49" t="str">
        <f t="shared" si="25"/>
        <v>ME001 Product-CP_GB_HOT</v>
      </c>
      <c r="U16" s="49" t="str">
        <f t="shared" si="26"/>
        <v>MG001 Product-CP_GB_HOT</v>
      </c>
      <c r="V16" s="51" t="str">
        <f t="shared" si="27"/>
        <v>950mV (MS005 Product)</v>
      </c>
      <c r="W16" s="49" t="str">
        <f t="shared" si="28"/>
        <v>MD001 Product-CP_GB_HOT</v>
      </c>
      <c r="X16" s="49" t="str">
        <f t="shared" si="29"/>
        <v>MI001 Product-CP_GB_HOT</v>
      </c>
      <c r="Y16" s="49" t="str">
        <f t="shared" ref="Y16:Y20" si="41">LEFT(I16,6)&amp;" Product-CP_GB_HOT"</f>
        <v>MES001 Product-CP_GB_HOT</v>
      </c>
      <c r="Z16" s="50" t="s">
        <v>37</v>
      </c>
      <c r="AA16" s="50" t="s">
        <v>37</v>
      </c>
      <c r="AB16" s="50" t="s">
        <v>37</v>
      </c>
      <c r="AC16" s="50" t="s">
        <v>19</v>
      </c>
      <c r="AD16" s="50" t="s">
        <v>37</v>
      </c>
      <c r="AE16" s="30" t="s">
        <v>14</v>
      </c>
      <c r="AF16" s="16"/>
      <c r="AG16" s="16" t="s">
        <v>10</v>
      </c>
      <c r="AH16" s="16" t="str">
        <f t="shared" si="30"/>
        <v>MP001_CEXTEST_PBC</v>
      </c>
      <c r="AI16" s="49" t="str">
        <f t="shared" ref="AI16:AI20" si="42">LEFT(C16,5)&amp;" Product-FT_GB_ROOM"</f>
        <v>MP001 Product-FT_GB_ROOM</v>
      </c>
      <c r="AJ16" s="49" t="str">
        <f t="shared" si="31"/>
        <v>ME001 Product-FT_GB_ROOM</v>
      </c>
      <c r="AK16" s="49" t="str">
        <f t="shared" si="32"/>
        <v>MG001 Product-FT_GB_ROOM</v>
      </c>
      <c r="AL16" s="51" t="str">
        <f t="shared" si="33"/>
        <v>950mV (MS005 Product)</v>
      </c>
      <c r="AM16" s="49" t="str">
        <f t="shared" si="34"/>
        <v>MD001 Product-FT_GB_ROOM</v>
      </c>
      <c r="AN16" s="49" t="str">
        <f t="shared" si="35"/>
        <v>MI001 Product-FT_GB_ROOM</v>
      </c>
      <c r="AO16" s="49" t="str">
        <f t="shared" ref="AO16:AO20" si="43">LEFT(I16,6)&amp;" Product-FT_GB_ROOM"</f>
        <v>MES001 Product-FT_GB_ROOM</v>
      </c>
      <c r="AP16" s="50" t="s">
        <v>20</v>
      </c>
      <c r="AQ16" s="50" t="s">
        <v>20</v>
      </c>
      <c r="AR16" s="50" t="s">
        <v>20</v>
      </c>
      <c r="AS16" s="50" t="s">
        <v>19</v>
      </c>
      <c r="AT16" s="50" t="s">
        <v>20</v>
      </c>
      <c r="AU16" s="30" t="s">
        <v>14</v>
      </c>
      <c r="AV16" s="16"/>
      <c r="AW16" s="16" t="s">
        <v>10</v>
      </c>
      <c r="AX16" s="1" t="str">
        <f t="shared" si="36"/>
        <v>MP001_CEXTEST_PBC</v>
      </c>
      <c r="AY16" s="30" t="s">
        <v>119</v>
      </c>
      <c r="AZ16" s="30" t="s">
        <v>120</v>
      </c>
      <c r="BA16" s="30" t="s">
        <v>121</v>
      </c>
      <c r="BB16" s="35" t="s">
        <v>56</v>
      </c>
      <c r="BC16" s="30" t="s">
        <v>123</v>
      </c>
      <c r="BD16" s="30" t="s">
        <v>124</v>
      </c>
      <c r="BE16" s="38" t="s">
        <v>125</v>
      </c>
      <c r="BF16" s="30" t="s">
        <v>29</v>
      </c>
      <c r="BG16" s="30" t="s">
        <v>29</v>
      </c>
      <c r="BH16" s="30" t="s">
        <v>29</v>
      </c>
      <c r="BI16" s="30" t="s">
        <v>19</v>
      </c>
      <c r="BJ16" s="30" t="s">
        <v>29</v>
      </c>
      <c r="BK16" s="30" t="s">
        <v>14</v>
      </c>
      <c r="BL16" s="16"/>
      <c r="BM16" s="16" t="s">
        <v>10</v>
      </c>
      <c r="BN16" s="1" t="str">
        <f t="shared" si="37"/>
        <v>MP001_CEXTEST_PBC</v>
      </c>
      <c r="BO16" s="30" t="s">
        <v>126</v>
      </c>
      <c r="BP16" s="30" t="s">
        <v>127</v>
      </c>
      <c r="BQ16" s="30" t="s">
        <v>128</v>
      </c>
      <c r="BR16" s="35" t="s">
        <v>56</v>
      </c>
      <c r="BS16" s="30" t="s">
        <v>130</v>
      </c>
      <c r="BT16" s="30" t="s">
        <v>131</v>
      </c>
      <c r="BU16" s="33" t="s">
        <v>132</v>
      </c>
      <c r="BV16" s="30" t="s">
        <v>30</v>
      </c>
      <c r="BW16" s="30" t="s">
        <v>30</v>
      </c>
      <c r="BX16" s="30" t="s">
        <v>30</v>
      </c>
      <c r="BY16" s="30" t="s">
        <v>19</v>
      </c>
      <c r="BZ16" s="30" t="s">
        <v>30</v>
      </c>
      <c r="CA16" s="30" t="s">
        <v>31</v>
      </c>
      <c r="CB16" s="16"/>
      <c r="CC16" s="16" t="s">
        <v>10</v>
      </c>
      <c r="CD16" s="1" t="str">
        <f t="shared" si="38"/>
        <v>MP001_CEXTEST_PBC</v>
      </c>
      <c r="CE16" s="30" t="s">
        <v>133</v>
      </c>
      <c r="CF16" s="30" t="s">
        <v>134</v>
      </c>
      <c r="CG16" s="30" t="s">
        <v>135</v>
      </c>
      <c r="CH16" s="35" t="s">
        <v>56</v>
      </c>
      <c r="CI16" s="30" t="s">
        <v>137</v>
      </c>
      <c r="CJ16" s="30" t="s">
        <v>138</v>
      </c>
      <c r="CK16" s="33" t="s">
        <v>139</v>
      </c>
      <c r="CL16" s="30" t="s">
        <v>50</v>
      </c>
      <c r="CM16" s="30" t="s">
        <v>50</v>
      </c>
      <c r="CN16" s="30" t="s">
        <v>50</v>
      </c>
      <c r="CO16" s="30" t="s">
        <v>19</v>
      </c>
      <c r="CP16" s="30" t="s">
        <v>50</v>
      </c>
      <c r="CQ16" s="30" t="s">
        <v>14</v>
      </c>
      <c r="CR16" s="16"/>
      <c r="CS16" s="16" t="s">
        <v>10</v>
      </c>
      <c r="CT16" s="16" t="str">
        <f t="shared" si="39"/>
        <v>MP001_CEXTEST_PBC</v>
      </c>
      <c r="CU16" s="30" t="s">
        <v>140</v>
      </c>
      <c r="CV16" s="30" t="s">
        <v>141</v>
      </c>
      <c r="CW16" s="30" t="s">
        <v>142</v>
      </c>
      <c r="CX16" s="35" t="s">
        <v>56</v>
      </c>
      <c r="CY16" s="30" t="s">
        <v>144</v>
      </c>
      <c r="CZ16" s="30" t="s">
        <v>145</v>
      </c>
      <c r="DA16" s="33" t="s">
        <v>146</v>
      </c>
      <c r="DB16" s="30" t="s">
        <v>49</v>
      </c>
      <c r="DC16" s="30" t="s">
        <v>49</v>
      </c>
      <c r="DD16" s="30" t="s">
        <v>49</v>
      </c>
      <c r="DE16" s="30" t="s">
        <v>19</v>
      </c>
      <c r="DF16" s="30" t="s">
        <v>49</v>
      </c>
      <c r="DG16" s="30" t="s">
        <v>14</v>
      </c>
      <c r="DH16" s="26"/>
    </row>
    <row r="17" spans="1:112" s="28" customFormat="1" ht="17">
      <c r="A17" s="16" t="s">
        <v>10</v>
      </c>
      <c r="B17" s="39" t="s">
        <v>78</v>
      </c>
      <c r="C17" s="32" t="s">
        <v>34</v>
      </c>
      <c r="D17" s="30" t="s">
        <v>23</v>
      </c>
      <c r="E17" s="30" t="s">
        <v>24</v>
      </c>
      <c r="F17" s="31" t="s">
        <v>56</v>
      </c>
      <c r="G17" s="30" t="s">
        <v>26</v>
      </c>
      <c r="H17" s="30" t="s">
        <v>27</v>
      </c>
      <c r="I17" s="32" t="s">
        <v>73</v>
      </c>
      <c r="J17" s="30" t="s">
        <v>36</v>
      </c>
      <c r="K17" s="30" t="s">
        <v>36</v>
      </c>
      <c r="L17" s="30" t="s">
        <v>36</v>
      </c>
      <c r="M17" s="30" t="s">
        <v>19</v>
      </c>
      <c r="N17" s="30" t="s">
        <v>36</v>
      </c>
      <c r="O17" s="30" t="s">
        <v>14</v>
      </c>
      <c r="P17" s="16"/>
      <c r="Q17" s="16" t="s">
        <v>10</v>
      </c>
      <c r="R17" s="16" t="str">
        <f t="shared" si="24"/>
        <v>MP00H_CEXTEST_PBC</v>
      </c>
      <c r="S17" s="49" t="str">
        <f t="shared" si="40"/>
        <v>MP00H Product-CP_GB_HOT</v>
      </c>
      <c r="T17" s="49" t="str">
        <f t="shared" si="25"/>
        <v>ME001 Product-CP_GB_HOT</v>
      </c>
      <c r="U17" s="49" t="str">
        <f t="shared" si="26"/>
        <v>MG001 Product-CP_GB_HOT</v>
      </c>
      <c r="V17" s="51" t="str">
        <f t="shared" si="27"/>
        <v>950mV (MS005 Product)</v>
      </c>
      <c r="W17" s="49" t="str">
        <f t="shared" si="28"/>
        <v>MD001 Product-CP_GB_HOT</v>
      </c>
      <c r="X17" s="49" t="str">
        <f t="shared" si="29"/>
        <v>MI001 Product-CP_GB_HOT</v>
      </c>
      <c r="Y17" s="49" t="str">
        <f t="shared" si="41"/>
        <v>MPS00H Product-CP_GB_HOT</v>
      </c>
      <c r="Z17" s="50" t="s">
        <v>37</v>
      </c>
      <c r="AA17" s="50" t="s">
        <v>37</v>
      </c>
      <c r="AB17" s="50" t="s">
        <v>37</v>
      </c>
      <c r="AC17" s="50" t="s">
        <v>19</v>
      </c>
      <c r="AD17" s="50" t="s">
        <v>37</v>
      </c>
      <c r="AE17" s="30" t="s">
        <v>14</v>
      </c>
      <c r="AF17" s="16"/>
      <c r="AG17" s="16" t="s">
        <v>10</v>
      </c>
      <c r="AH17" s="16" t="str">
        <f t="shared" si="30"/>
        <v>MP00H_CEXTEST_PBC</v>
      </c>
      <c r="AI17" s="49" t="str">
        <f t="shared" si="42"/>
        <v>MP00H Product-FT_GB_ROOM</v>
      </c>
      <c r="AJ17" s="49" t="str">
        <f t="shared" si="31"/>
        <v>ME001 Product-FT_GB_ROOM</v>
      </c>
      <c r="AK17" s="49" t="str">
        <f t="shared" si="32"/>
        <v>MG001 Product-FT_GB_ROOM</v>
      </c>
      <c r="AL17" s="51" t="str">
        <f t="shared" si="33"/>
        <v>950mV (MS005 Product)</v>
      </c>
      <c r="AM17" s="49" t="str">
        <f t="shared" si="34"/>
        <v>MD001 Product-FT_GB_ROOM</v>
      </c>
      <c r="AN17" s="49" t="str">
        <f t="shared" si="35"/>
        <v>MI001 Product-FT_GB_ROOM</v>
      </c>
      <c r="AO17" s="49" t="str">
        <f t="shared" si="43"/>
        <v>MPS00H Product-FT_GB_ROOM</v>
      </c>
      <c r="AP17" s="50" t="s">
        <v>20</v>
      </c>
      <c r="AQ17" s="50" t="s">
        <v>20</v>
      </c>
      <c r="AR17" s="50" t="s">
        <v>20</v>
      </c>
      <c r="AS17" s="50" t="s">
        <v>19</v>
      </c>
      <c r="AT17" s="50" t="s">
        <v>20</v>
      </c>
      <c r="AU17" s="30" t="s">
        <v>14</v>
      </c>
      <c r="AV17" s="16"/>
      <c r="AW17" s="16" t="s">
        <v>10</v>
      </c>
      <c r="AX17" s="1" t="str">
        <f t="shared" si="36"/>
        <v>MP00H_CEXTEST_PBC</v>
      </c>
      <c r="AY17" s="32" t="s">
        <v>160</v>
      </c>
      <c r="AZ17" s="30" t="s">
        <v>120</v>
      </c>
      <c r="BA17" s="30" t="s">
        <v>121</v>
      </c>
      <c r="BB17" s="35" t="s">
        <v>56</v>
      </c>
      <c r="BC17" s="30" t="s">
        <v>123</v>
      </c>
      <c r="BD17" s="30" t="s">
        <v>124</v>
      </c>
      <c r="BE17" s="38" t="s">
        <v>162</v>
      </c>
      <c r="BF17" s="30" t="s">
        <v>29</v>
      </c>
      <c r="BG17" s="30" t="s">
        <v>29</v>
      </c>
      <c r="BH17" s="30" t="s">
        <v>29</v>
      </c>
      <c r="BI17" s="30" t="s">
        <v>19</v>
      </c>
      <c r="BJ17" s="30" t="s">
        <v>29</v>
      </c>
      <c r="BK17" s="30" t="s">
        <v>14</v>
      </c>
      <c r="BL17" s="16"/>
      <c r="BM17" s="16" t="s">
        <v>10</v>
      </c>
      <c r="BN17" s="1" t="str">
        <f t="shared" si="37"/>
        <v>MP00H_CEXTEST_PBC</v>
      </c>
      <c r="BO17" s="32" t="s">
        <v>163</v>
      </c>
      <c r="BP17" s="30" t="s">
        <v>127</v>
      </c>
      <c r="BQ17" s="30" t="s">
        <v>128</v>
      </c>
      <c r="BR17" s="35" t="s">
        <v>56</v>
      </c>
      <c r="BS17" s="30" t="s">
        <v>130</v>
      </c>
      <c r="BT17" s="30" t="s">
        <v>131</v>
      </c>
      <c r="BU17" s="32" t="s">
        <v>165</v>
      </c>
      <c r="BV17" s="30" t="s">
        <v>30</v>
      </c>
      <c r="BW17" s="30" t="s">
        <v>30</v>
      </c>
      <c r="BX17" s="30" t="s">
        <v>30</v>
      </c>
      <c r="BY17" s="30" t="s">
        <v>19</v>
      </c>
      <c r="BZ17" s="30" t="s">
        <v>30</v>
      </c>
      <c r="CA17" s="30" t="s">
        <v>31</v>
      </c>
      <c r="CB17" s="16"/>
      <c r="CC17" s="16" t="s">
        <v>10</v>
      </c>
      <c r="CD17" s="1" t="str">
        <f t="shared" si="38"/>
        <v>MP00H_CEXTEST_PBC</v>
      </c>
      <c r="CE17" s="32" t="s">
        <v>166</v>
      </c>
      <c r="CF17" s="30" t="s">
        <v>134</v>
      </c>
      <c r="CG17" s="30" t="s">
        <v>135</v>
      </c>
      <c r="CH17" s="35" t="s">
        <v>56</v>
      </c>
      <c r="CI17" s="30" t="s">
        <v>137</v>
      </c>
      <c r="CJ17" s="30" t="s">
        <v>138</v>
      </c>
      <c r="CK17" s="32" t="s">
        <v>168</v>
      </c>
      <c r="CL17" s="30" t="s">
        <v>50</v>
      </c>
      <c r="CM17" s="30" t="s">
        <v>50</v>
      </c>
      <c r="CN17" s="30" t="s">
        <v>50</v>
      </c>
      <c r="CO17" s="30" t="s">
        <v>19</v>
      </c>
      <c r="CP17" s="30" t="s">
        <v>50</v>
      </c>
      <c r="CQ17" s="30" t="s">
        <v>14</v>
      </c>
      <c r="CR17" s="16"/>
      <c r="CS17" s="16" t="s">
        <v>10</v>
      </c>
      <c r="CT17" s="16" t="str">
        <f t="shared" si="39"/>
        <v>MP00H_CEXTEST_PBC</v>
      </c>
      <c r="CU17" s="32" t="s">
        <v>169</v>
      </c>
      <c r="CV17" s="30" t="s">
        <v>141</v>
      </c>
      <c r="CW17" s="30" t="s">
        <v>142</v>
      </c>
      <c r="CX17" s="35" t="s">
        <v>56</v>
      </c>
      <c r="CY17" s="30" t="s">
        <v>144</v>
      </c>
      <c r="CZ17" s="30" t="s">
        <v>145</v>
      </c>
      <c r="DA17" s="32" t="s">
        <v>171</v>
      </c>
      <c r="DB17" s="30" t="s">
        <v>49</v>
      </c>
      <c r="DC17" s="30" t="s">
        <v>49</v>
      </c>
      <c r="DD17" s="30" t="s">
        <v>49</v>
      </c>
      <c r="DE17" s="30" t="s">
        <v>19</v>
      </c>
      <c r="DF17" s="30" t="s">
        <v>49</v>
      </c>
      <c r="DG17" s="30" t="s">
        <v>14</v>
      </c>
      <c r="DH17" s="26"/>
    </row>
    <row r="18" spans="1:112" s="28" customFormat="1" ht="17">
      <c r="A18" s="16" t="s">
        <v>21</v>
      </c>
      <c r="B18" s="39" t="s">
        <v>32</v>
      </c>
      <c r="C18" s="30" t="s">
        <v>22</v>
      </c>
      <c r="D18" s="30" t="s">
        <v>23</v>
      </c>
      <c r="E18" s="30" t="s">
        <v>24</v>
      </c>
      <c r="F18" s="30" t="s">
        <v>25</v>
      </c>
      <c r="G18" s="30" t="s">
        <v>26</v>
      </c>
      <c r="H18" s="30" t="s">
        <v>27</v>
      </c>
      <c r="I18" s="30" t="s">
        <v>35</v>
      </c>
      <c r="J18" s="30" t="s">
        <v>36</v>
      </c>
      <c r="K18" s="30" t="s">
        <v>36</v>
      </c>
      <c r="L18" s="30" t="s">
        <v>36</v>
      </c>
      <c r="M18" s="32" t="s">
        <v>36</v>
      </c>
      <c r="N18" s="30" t="s">
        <v>36</v>
      </c>
      <c r="O18" s="30" t="s">
        <v>14</v>
      </c>
      <c r="P18" s="16"/>
      <c r="Q18" s="16" t="s">
        <v>21</v>
      </c>
      <c r="R18" s="16" t="str">
        <f t="shared" si="24"/>
        <v>MS001_SRT_PBC</v>
      </c>
      <c r="S18" s="49" t="str">
        <f t="shared" si="40"/>
        <v>MP001 Product-CP_GB_HOT</v>
      </c>
      <c r="T18" s="49" t="str">
        <f t="shared" si="25"/>
        <v>ME001 Product-CP_GB_HOT</v>
      </c>
      <c r="U18" s="49" t="str">
        <f t="shared" si="26"/>
        <v>MG001 Product-CP_GB_HOT</v>
      </c>
      <c r="V18" s="49" t="str">
        <f t="shared" ref="V18:V20" si="44">LEFT(F18,5)&amp;" Product-CP_GB_HOT"</f>
        <v>MS001 Product-CP_GB_HOT</v>
      </c>
      <c r="W18" s="49" t="str">
        <f t="shared" si="28"/>
        <v>MD001 Product-CP_GB_HOT</v>
      </c>
      <c r="X18" s="49" t="str">
        <f t="shared" si="29"/>
        <v>MI001 Product-CP_GB_HOT</v>
      </c>
      <c r="Y18" s="49" t="str">
        <f t="shared" si="41"/>
        <v>MPS001 Product-CP_GB_HOT</v>
      </c>
      <c r="Z18" s="50" t="s">
        <v>37</v>
      </c>
      <c r="AA18" s="50" t="s">
        <v>37</v>
      </c>
      <c r="AB18" s="50" t="s">
        <v>37</v>
      </c>
      <c r="AC18" s="50" t="s">
        <v>37</v>
      </c>
      <c r="AD18" s="50" t="s">
        <v>37</v>
      </c>
      <c r="AE18" s="30" t="s">
        <v>14</v>
      </c>
      <c r="AF18" s="16"/>
      <c r="AG18" s="16" t="s">
        <v>21</v>
      </c>
      <c r="AH18" s="16" t="str">
        <f t="shared" si="30"/>
        <v>MS001_SRT_PBC</v>
      </c>
      <c r="AI18" s="49" t="str">
        <f t="shared" si="42"/>
        <v>MP001 Product-FT_GB_ROOM</v>
      </c>
      <c r="AJ18" s="49" t="str">
        <f t="shared" si="31"/>
        <v>ME001 Product-FT_GB_ROOM</v>
      </c>
      <c r="AK18" s="49" t="str">
        <f t="shared" si="32"/>
        <v>MG001 Product-FT_GB_ROOM</v>
      </c>
      <c r="AL18" s="49" t="str">
        <f t="shared" ref="AL18:AL20" si="45">LEFT(F18,5)&amp;" Product-FT_GB_ROOM"</f>
        <v>MS001 Product-FT_GB_ROOM</v>
      </c>
      <c r="AM18" s="49" t="str">
        <f t="shared" si="34"/>
        <v>MD001 Product-FT_GB_ROOM</v>
      </c>
      <c r="AN18" s="49" t="str">
        <f t="shared" si="35"/>
        <v>MI001 Product-FT_GB_ROOM</v>
      </c>
      <c r="AO18" s="49" t="str">
        <f t="shared" si="43"/>
        <v>MPS001 Product-FT_GB_ROOM</v>
      </c>
      <c r="AP18" s="50" t="s">
        <v>20</v>
      </c>
      <c r="AQ18" s="50" t="s">
        <v>20</v>
      </c>
      <c r="AR18" s="50" t="s">
        <v>20</v>
      </c>
      <c r="AS18" s="50" t="s">
        <v>20</v>
      </c>
      <c r="AT18" s="50" t="s">
        <v>20</v>
      </c>
      <c r="AU18" s="30" t="s">
        <v>14</v>
      </c>
      <c r="AV18" s="16"/>
      <c r="AW18" s="16" t="s">
        <v>21</v>
      </c>
      <c r="AX18" s="1" t="str">
        <f t="shared" si="36"/>
        <v>MS001_SRT_PBC</v>
      </c>
      <c r="AY18" s="30" t="s">
        <v>119</v>
      </c>
      <c r="AZ18" s="30" t="s">
        <v>120</v>
      </c>
      <c r="BA18" s="30" t="s">
        <v>121</v>
      </c>
      <c r="BB18" s="36" t="s">
        <v>151</v>
      </c>
      <c r="BC18" s="30" t="s">
        <v>123</v>
      </c>
      <c r="BD18" s="30" t="s">
        <v>124</v>
      </c>
      <c r="BE18" s="38" t="s">
        <v>28</v>
      </c>
      <c r="BF18" s="30" t="s">
        <v>29</v>
      </c>
      <c r="BG18" s="30" t="s">
        <v>29</v>
      </c>
      <c r="BH18" s="30" t="s">
        <v>29</v>
      </c>
      <c r="BI18" s="32" t="s">
        <v>29</v>
      </c>
      <c r="BJ18" s="30" t="s">
        <v>29</v>
      </c>
      <c r="BK18" s="30" t="s">
        <v>14</v>
      </c>
      <c r="BL18" s="16"/>
      <c r="BM18" s="16" t="s">
        <v>21</v>
      </c>
      <c r="BN18" s="1" t="str">
        <f t="shared" si="37"/>
        <v>MS001_SRT_PBC</v>
      </c>
      <c r="BO18" s="30" t="s">
        <v>126</v>
      </c>
      <c r="BP18" s="30" t="s">
        <v>127</v>
      </c>
      <c r="BQ18" s="30" t="s">
        <v>128</v>
      </c>
      <c r="BR18" s="36" t="s">
        <v>152</v>
      </c>
      <c r="BS18" s="30" t="s">
        <v>130</v>
      </c>
      <c r="BT18" s="30" t="s">
        <v>131</v>
      </c>
      <c r="BU18" s="30" t="s">
        <v>153</v>
      </c>
      <c r="BV18" s="30" t="s">
        <v>30</v>
      </c>
      <c r="BW18" s="30" t="s">
        <v>30</v>
      </c>
      <c r="BX18" s="30" t="s">
        <v>30</v>
      </c>
      <c r="BY18" s="32" t="s">
        <v>30</v>
      </c>
      <c r="BZ18" s="30" t="s">
        <v>30</v>
      </c>
      <c r="CA18" s="30" t="s">
        <v>31</v>
      </c>
      <c r="CB18" s="16"/>
      <c r="CC18" s="16" t="s">
        <v>21</v>
      </c>
      <c r="CD18" s="1" t="str">
        <f t="shared" si="38"/>
        <v>MS001_SRT_PBC</v>
      </c>
      <c r="CE18" s="30" t="s">
        <v>133</v>
      </c>
      <c r="CF18" s="30" t="s">
        <v>134</v>
      </c>
      <c r="CG18" s="30" t="s">
        <v>135</v>
      </c>
      <c r="CH18" s="36" t="s">
        <v>154</v>
      </c>
      <c r="CI18" s="30" t="s">
        <v>137</v>
      </c>
      <c r="CJ18" s="30" t="s">
        <v>138</v>
      </c>
      <c r="CK18" s="30" t="s">
        <v>155</v>
      </c>
      <c r="CL18" s="30" t="s">
        <v>50</v>
      </c>
      <c r="CM18" s="30" t="s">
        <v>50</v>
      </c>
      <c r="CN18" s="30" t="s">
        <v>50</v>
      </c>
      <c r="CO18" s="32" t="s">
        <v>50</v>
      </c>
      <c r="CP18" s="30" t="s">
        <v>50</v>
      </c>
      <c r="CQ18" s="30" t="s">
        <v>14</v>
      </c>
      <c r="CR18" s="16"/>
      <c r="CS18" s="16" t="s">
        <v>21</v>
      </c>
      <c r="CT18" s="16" t="str">
        <f t="shared" si="39"/>
        <v>MS001_SRT_PBC</v>
      </c>
      <c r="CU18" s="30" t="s">
        <v>140</v>
      </c>
      <c r="CV18" s="30" t="s">
        <v>141</v>
      </c>
      <c r="CW18" s="30" t="s">
        <v>142</v>
      </c>
      <c r="CX18" s="36" t="s">
        <v>156</v>
      </c>
      <c r="CY18" s="30" t="s">
        <v>144</v>
      </c>
      <c r="CZ18" s="30" t="s">
        <v>145</v>
      </c>
      <c r="DA18" s="30" t="s">
        <v>157</v>
      </c>
      <c r="DB18" s="30" t="s">
        <v>49</v>
      </c>
      <c r="DC18" s="30" t="s">
        <v>49</v>
      </c>
      <c r="DD18" s="30" t="s">
        <v>49</v>
      </c>
      <c r="DE18" s="32" t="s">
        <v>49</v>
      </c>
      <c r="DF18" s="30" t="s">
        <v>49</v>
      </c>
      <c r="DG18" s="30" t="s">
        <v>14</v>
      </c>
      <c r="DH18" s="26"/>
    </row>
    <row r="19" spans="1:112" s="28" customFormat="1" ht="17">
      <c r="A19" s="16" t="s">
        <v>21</v>
      </c>
      <c r="B19" s="39" t="s">
        <v>54</v>
      </c>
      <c r="C19" s="32" t="s">
        <v>34</v>
      </c>
      <c r="D19" s="30" t="s">
        <v>23</v>
      </c>
      <c r="E19" s="30" t="s">
        <v>24</v>
      </c>
      <c r="F19" s="32" t="s">
        <v>55</v>
      </c>
      <c r="G19" s="30" t="s">
        <v>26</v>
      </c>
      <c r="H19" s="30" t="s">
        <v>27</v>
      </c>
      <c r="I19" s="32" t="s">
        <v>73</v>
      </c>
      <c r="J19" s="30" t="s">
        <v>36</v>
      </c>
      <c r="K19" s="30" t="s">
        <v>36</v>
      </c>
      <c r="L19" s="30" t="s">
        <v>36</v>
      </c>
      <c r="M19" s="32" t="s">
        <v>36</v>
      </c>
      <c r="N19" s="30" t="s">
        <v>36</v>
      </c>
      <c r="O19" s="30" t="s">
        <v>14</v>
      </c>
      <c r="P19" s="16"/>
      <c r="Q19" s="16" t="s">
        <v>21</v>
      </c>
      <c r="R19" s="16" t="str">
        <f t="shared" si="24"/>
        <v>MS005_SFT_PBC</v>
      </c>
      <c r="S19" s="49" t="str">
        <f t="shared" si="40"/>
        <v>MP00H Product-CP_GB_HOT</v>
      </c>
      <c r="T19" s="49" t="str">
        <f t="shared" si="25"/>
        <v>ME001 Product-CP_GB_HOT</v>
      </c>
      <c r="U19" s="49" t="str">
        <f t="shared" si="26"/>
        <v>MG001 Product-CP_GB_HOT</v>
      </c>
      <c r="V19" s="49" t="str">
        <f t="shared" si="44"/>
        <v>MS005 Product-CP_GB_HOT</v>
      </c>
      <c r="W19" s="49" t="str">
        <f t="shared" si="28"/>
        <v>MD001 Product-CP_GB_HOT</v>
      </c>
      <c r="X19" s="49" t="str">
        <f t="shared" si="29"/>
        <v>MI001 Product-CP_GB_HOT</v>
      </c>
      <c r="Y19" s="49" t="str">
        <f t="shared" si="41"/>
        <v>MPS00H Product-CP_GB_HOT</v>
      </c>
      <c r="Z19" s="50" t="s">
        <v>37</v>
      </c>
      <c r="AA19" s="50" t="s">
        <v>37</v>
      </c>
      <c r="AB19" s="50" t="s">
        <v>37</v>
      </c>
      <c r="AC19" s="50" t="s">
        <v>37</v>
      </c>
      <c r="AD19" s="50" t="s">
        <v>37</v>
      </c>
      <c r="AE19" s="30" t="s">
        <v>14</v>
      </c>
      <c r="AF19" s="16"/>
      <c r="AG19" s="16" t="s">
        <v>21</v>
      </c>
      <c r="AH19" s="16" t="str">
        <f t="shared" si="30"/>
        <v>MS005_SFT_PBC</v>
      </c>
      <c r="AI19" s="49" t="str">
        <f t="shared" si="42"/>
        <v>MP00H Product-FT_GB_ROOM</v>
      </c>
      <c r="AJ19" s="49" t="str">
        <f t="shared" si="31"/>
        <v>ME001 Product-FT_GB_ROOM</v>
      </c>
      <c r="AK19" s="49" t="str">
        <f t="shared" si="32"/>
        <v>MG001 Product-FT_GB_ROOM</v>
      </c>
      <c r="AL19" s="49" t="str">
        <f t="shared" si="45"/>
        <v>MS005 Product-FT_GB_ROOM</v>
      </c>
      <c r="AM19" s="49" t="str">
        <f t="shared" si="34"/>
        <v>MD001 Product-FT_GB_ROOM</v>
      </c>
      <c r="AN19" s="49" t="str">
        <f t="shared" si="35"/>
        <v>MI001 Product-FT_GB_ROOM</v>
      </c>
      <c r="AO19" s="49" t="str">
        <f t="shared" si="43"/>
        <v>MPS00H Product-FT_GB_ROOM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30" t="s">
        <v>14</v>
      </c>
      <c r="AV19" s="16"/>
      <c r="AW19" s="16" t="s">
        <v>21</v>
      </c>
      <c r="AX19" s="1" t="str">
        <f t="shared" si="36"/>
        <v>MS005_SFT_PBC</v>
      </c>
      <c r="AY19" s="32" t="s">
        <v>160</v>
      </c>
      <c r="AZ19" s="30" t="s">
        <v>120</v>
      </c>
      <c r="BA19" s="30" t="s">
        <v>121</v>
      </c>
      <c r="BB19" s="32" t="s">
        <v>161</v>
      </c>
      <c r="BC19" s="30" t="s">
        <v>123</v>
      </c>
      <c r="BD19" s="30" t="s">
        <v>124</v>
      </c>
      <c r="BE19" s="38" t="s">
        <v>162</v>
      </c>
      <c r="BF19" s="30" t="s">
        <v>29</v>
      </c>
      <c r="BG19" s="30" t="s">
        <v>29</v>
      </c>
      <c r="BH19" s="30" t="s">
        <v>29</v>
      </c>
      <c r="BI19" s="32" t="s">
        <v>29</v>
      </c>
      <c r="BJ19" s="30" t="s">
        <v>29</v>
      </c>
      <c r="BK19" s="30" t="s">
        <v>14</v>
      </c>
      <c r="BL19" s="16"/>
      <c r="BM19" s="16" t="s">
        <v>21</v>
      </c>
      <c r="BN19" s="1" t="str">
        <f t="shared" si="37"/>
        <v>MS005_SFT_PBC</v>
      </c>
      <c r="BO19" s="32" t="s">
        <v>163</v>
      </c>
      <c r="BP19" s="30" t="s">
        <v>127</v>
      </c>
      <c r="BQ19" s="30" t="s">
        <v>128</v>
      </c>
      <c r="BR19" s="32" t="s">
        <v>164</v>
      </c>
      <c r="BS19" s="30" t="s">
        <v>130</v>
      </c>
      <c r="BT19" s="30" t="s">
        <v>131</v>
      </c>
      <c r="BU19" s="32" t="s">
        <v>165</v>
      </c>
      <c r="BV19" s="30" t="s">
        <v>30</v>
      </c>
      <c r="BW19" s="30" t="s">
        <v>30</v>
      </c>
      <c r="BX19" s="30" t="s">
        <v>30</v>
      </c>
      <c r="BY19" s="32" t="s">
        <v>30</v>
      </c>
      <c r="BZ19" s="30" t="s">
        <v>30</v>
      </c>
      <c r="CA19" s="30" t="s">
        <v>31</v>
      </c>
      <c r="CB19" s="16"/>
      <c r="CC19" s="16" t="s">
        <v>21</v>
      </c>
      <c r="CD19" s="1" t="str">
        <f t="shared" si="38"/>
        <v>MS005_SFT_PBC</v>
      </c>
      <c r="CE19" s="32" t="s">
        <v>166</v>
      </c>
      <c r="CF19" s="30" t="s">
        <v>134</v>
      </c>
      <c r="CG19" s="30" t="s">
        <v>135</v>
      </c>
      <c r="CH19" s="32" t="s">
        <v>167</v>
      </c>
      <c r="CI19" s="30" t="s">
        <v>137</v>
      </c>
      <c r="CJ19" s="30" t="s">
        <v>138</v>
      </c>
      <c r="CK19" s="32" t="s">
        <v>168</v>
      </c>
      <c r="CL19" s="30" t="s">
        <v>50</v>
      </c>
      <c r="CM19" s="30" t="s">
        <v>50</v>
      </c>
      <c r="CN19" s="30" t="s">
        <v>50</v>
      </c>
      <c r="CO19" s="32" t="s">
        <v>50</v>
      </c>
      <c r="CP19" s="30" t="s">
        <v>50</v>
      </c>
      <c r="CQ19" s="30" t="s">
        <v>14</v>
      </c>
      <c r="CR19" s="16"/>
      <c r="CS19" s="16" t="s">
        <v>21</v>
      </c>
      <c r="CT19" s="16" t="str">
        <f t="shared" si="39"/>
        <v>MS005_SFT_PBC</v>
      </c>
      <c r="CU19" s="32" t="s">
        <v>169</v>
      </c>
      <c r="CV19" s="30" t="s">
        <v>141</v>
      </c>
      <c r="CW19" s="30" t="s">
        <v>142</v>
      </c>
      <c r="CX19" s="32" t="s">
        <v>170</v>
      </c>
      <c r="CY19" s="30" t="s">
        <v>144</v>
      </c>
      <c r="CZ19" s="30" t="s">
        <v>145</v>
      </c>
      <c r="DA19" s="32" t="s">
        <v>171</v>
      </c>
      <c r="DB19" s="30" t="s">
        <v>49</v>
      </c>
      <c r="DC19" s="30" t="s">
        <v>49</v>
      </c>
      <c r="DD19" s="30" t="s">
        <v>49</v>
      </c>
      <c r="DE19" s="32" t="s">
        <v>49</v>
      </c>
      <c r="DF19" s="30" t="s">
        <v>49</v>
      </c>
      <c r="DG19" s="30" t="s">
        <v>14</v>
      </c>
      <c r="DH19" s="26"/>
    </row>
    <row r="20" spans="1:112" s="28" customFormat="1" ht="17">
      <c r="A20" s="16" t="s">
        <v>21</v>
      </c>
      <c r="B20" s="39" t="s">
        <v>57</v>
      </c>
      <c r="C20" s="16" t="s">
        <v>40</v>
      </c>
      <c r="D20" s="30" t="s">
        <v>23</v>
      </c>
      <c r="E20" s="30" t="s">
        <v>24</v>
      </c>
      <c r="F20" s="32" t="s">
        <v>55</v>
      </c>
      <c r="G20" s="31" t="s">
        <v>252</v>
      </c>
      <c r="H20" s="32" t="s">
        <v>39</v>
      </c>
      <c r="I20" s="30" t="s">
        <v>35</v>
      </c>
      <c r="J20" s="30" t="s">
        <v>36</v>
      </c>
      <c r="K20" s="30" t="s">
        <v>36</v>
      </c>
      <c r="L20" s="30" t="s">
        <v>36</v>
      </c>
      <c r="M20" s="32" t="s">
        <v>36</v>
      </c>
      <c r="N20" s="30" t="s">
        <v>36</v>
      </c>
      <c r="O20" s="30" t="s">
        <v>14</v>
      </c>
      <c r="P20" s="16"/>
      <c r="Q20" s="16" t="s">
        <v>21</v>
      </c>
      <c r="R20" s="16" t="str">
        <f t="shared" si="24"/>
        <v>MS005_TD_PBC</v>
      </c>
      <c r="S20" s="49" t="str">
        <f t="shared" si="40"/>
        <v>MP007 Product-CP_GB_HOT</v>
      </c>
      <c r="T20" s="49" t="str">
        <f t="shared" si="25"/>
        <v>ME001 Product-CP_GB_HOT</v>
      </c>
      <c r="U20" s="49" t="str">
        <f t="shared" si="26"/>
        <v>MG001 Product-CP_GB_HOT</v>
      </c>
      <c r="V20" s="49" t="str">
        <f t="shared" si="44"/>
        <v>MS005 Product-CP_GB_HOT</v>
      </c>
      <c r="W20" s="49" t="str">
        <f t="shared" si="28"/>
        <v>MD009 Product-CP_GB_HOT</v>
      </c>
      <c r="X20" s="49" t="str">
        <f t="shared" si="29"/>
        <v>MI003 Product-CP_GB_HOT</v>
      </c>
      <c r="Y20" s="49" t="str">
        <f t="shared" si="41"/>
        <v>MPS001 Product-CP_GB_HOT</v>
      </c>
      <c r="Z20" s="50" t="s">
        <v>37</v>
      </c>
      <c r="AA20" s="50" t="s">
        <v>37</v>
      </c>
      <c r="AB20" s="50" t="s">
        <v>37</v>
      </c>
      <c r="AC20" s="50" t="s">
        <v>37</v>
      </c>
      <c r="AD20" s="50" t="s">
        <v>37</v>
      </c>
      <c r="AE20" s="30" t="s">
        <v>14</v>
      </c>
      <c r="AF20" s="16"/>
      <c r="AG20" s="16" t="s">
        <v>21</v>
      </c>
      <c r="AH20" s="16" t="str">
        <f t="shared" si="30"/>
        <v>MS005_TD_PBC</v>
      </c>
      <c r="AI20" s="49" t="str">
        <f t="shared" si="42"/>
        <v>MP007 Product-FT_GB_ROOM</v>
      </c>
      <c r="AJ20" s="49" t="str">
        <f t="shared" si="31"/>
        <v>ME001 Product-FT_GB_ROOM</v>
      </c>
      <c r="AK20" s="49" t="str">
        <f t="shared" si="32"/>
        <v>MG001 Product-FT_GB_ROOM</v>
      </c>
      <c r="AL20" s="49" t="str">
        <f t="shared" si="45"/>
        <v>MS005 Product-FT_GB_ROOM</v>
      </c>
      <c r="AM20" s="49" t="str">
        <f t="shared" si="34"/>
        <v>MD009 Product-FT_GB_ROOM</v>
      </c>
      <c r="AN20" s="49" t="str">
        <f t="shared" si="35"/>
        <v>MI003 Product-FT_GB_ROOM</v>
      </c>
      <c r="AO20" s="49" t="str">
        <f t="shared" si="43"/>
        <v>MPS001 Product-FT_GB_ROOM</v>
      </c>
      <c r="AP20" s="50" t="s">
        <v>20</v>
      </c>
      <c r="AQ20" s="50" t="s">
        <v>20</v>
      </c>
      <c r="AR20" s="50" t="s">
        <v>20</v>
      </c>
      <c r="AS20" s="50" t="s">
        <v>20</v>
      </c>
      <c r="AT20" s="50" t="s">
        <v>20</v>
      </c>
      <c r="AU20" s="30" t="s">
        <v>14</v>
      </c>
      <c r="AV20" s="16"/>
      <c r="AW20" s="16" t="s">
        <v>21</v>
      </c>
      <c r="AX20" s="1" t="str">
        <f t="shared" si="36"/>
        <v>MS005_TD_PBC</v>
      </c>
      <c r="AY20" s="16" t="s">
        <v>197</v>
      </c>
      <c r="AZ20" s="30" t="s">
        <v>120</v>
      </c>
      <c r="BA20" s="30" t="s">
        <v>121</v>
      </c>
      <c r="BB20" s="32" t="s">
        <v>161</v>
      </c>
      <c r="BC20" s="31" t="s">
        <v>198</v>
      </c>
      <c r="BD20" s="32" t="s">
        <v>199</v>
      </c>
      <c r="BE20" s="38" t="s">
        <v>28</v>
      </c>
      <c r="BF20" s="30" t="s">
        <v>29</v>
      </c>
      <c r="BG20" s="30" t="s">
        <v>29</v>
      </c>
      <c r="BH20" s="30" t="s">
        <v>29</v>
      </c>
      <c r="BI20" s="32" t="s">
        <v>29</v>
      </c>
      <c r="BJ20" s="30" t="s">
        <v>29</v>
      </c>
      <c r="BK20" s="30" t="s">
        <v>14</v>
      </c>
      <c r="BL20" s="16"/>
      <c r="BM20" s="16" t="s">
        <v>21</v>
      </c>
      <c r="BN20" s="1" t="str">
        <f t="shared" si="37"/>
        <v>MS005_TD_PBC</v>
      </c>
      <c r="BO20" s="16" t="s">
        <v>200</v>
      </c>
      <c r="BP20" s="30" t="s">
        <v>127</v>
      </c>
      <c r="BQ20" s="30" t="s">
        <v>128</v>
      </c>
      <c r="BR20" s="32" t="s">
        <v>164</v>
      </c>
      <c r="BS20" s="31" t="s">
        <v>201</v>
      </c>
      <c r="BT20" s="32" t="s">
        <v>202</v>
      </c>
      <c r="BU20" s="30" t="s">
        <v>153</v>
      </c>
      <c r="BV20" s="30" t="s">
        <v>30</v>
      </c>
      <c r="BW20" s="30" t="s">
        <v>30</v>
      </c>
      <c r="BX20" s="30" t="s">
        <v>30</v>
      </c>
      <c r="BY20" s="32" t="s">
        <v>30</v>
      </c>
      <c r="BZ20" s="30" t="s">
        <v>30</v>
      </c>
      <c r="CA20" s="30" t="s">
        <v>31</v>
      </c>
      <c r="CB20" s="16"/>
      <c r="CC20" s="16" t="s">
        <v>21</v>
      </c>
      <c r="CD20" s="1" t="str">
        <f t="shared" si="38"/>
        <v>MS005_TD_PBC</v>
      </c>
      <c r="CE20" s="16" t="s">
        <v>203</v>
      </c>
      <c r="CF20" s="30" t="s">
        <v>134</v>
      </c>
      <c r="CG20" s="30" t="s">
        <v>135</v>
      </c>
      <c r="CH20" s="32" t="s">
        <v>167</v>
      </c>
      <c r="CI20" s="31" t="s">
        <v>204</v>
      </c>
      <c r="CJ20" s="32" t="s">
        <v>205</v>
      </c>
      <c r="CK20" s="30" t="s">
        <v>155</v>
      </c>
      <c r="CL20" s="30" t="s">
        <v>50</v>
      </c>
      <c r="CM20" s="30" t="s">
        <v>50</v>
      </c>
      <c r="CN20" s="30" t="s">
        <v>50</v>
      </c>
      <c r="CO20" s="32" t="s">
        <v>50</v>
      </c>
      <c r="CP20" s="30" t="s">
        <v>50</v>
      </c>
      <c r="CQ20" s="30" t="s">
        <v>14</v>
      </c>
      <c r="CR20" s="16"/>
      <c r="CS20" s="16" t="s">
        <v>21</v>
      </c>
      <c r="CT20" s="16" t="str">
        <f t="shared" si="39"/>
        <v>MS005_TD_PBC</v>
      </c>
      <c r="CU20" s="16" t="s">
        <v>206</v>
      </c>
      <c r="CV20" s="30" t="s">
        <v>141</v>
      </c>
      <c r="CW20" s="30" t="s">
        <v>142</v>
      </c>
      <c r="CX20" s="32" t="s">
        <v>170</v>
      </c>
      <c r="CY20" s="31" t="s">
        <v>207</v>
      </c>
      <c r="CZ20" s="32" t="s">
        <v>208</v>
      </c>
      <c r="DA20" s="30" t="s">
        <v>157</v>
      </c>
      <c r="DB20" s="30" t="s">
        <v>49</v>
      </c>
      <c r="DC20" s="30" t="s">
        <v>49</v>
      </c>
      <c r="DD20" s="30" t="s">
        <v>49</v>
      </c>
      <c r="DE20" s="32" t="s">
        <v>49</v>
      </c>
      <c r="DF20" s="30" t="s">
        <v>49</v>
      </c>
      <c r="DG20" s="30" t="s">
        <v>14</v>
      </c>
      <c r="DH20" s="26"/>
    </row>
    <row r="21" spans="1:112" s="28" customFormat="1" ht="17">
      <c r="A21" s="16" t="s">
        <v>21</v>
      </c>
      <c r="B21" s="29" t="s">
        <v>86</v>
      </c>
      <c r="C21" s="30" t="s">
        <v>22</v>
      </c>
      <c r="D21" s="30" t="s">
        <v>23</v>
      </c>
      <c r="E21" s="30" t="s">
        <v>24</v>
      </c>
      <c r="F21" s="30" t="s">
        <v>25</v>
      </c>
      <c r="G21" s="30" t="s">
        <v>26</v>
      </c>
      <c r="H21" s="30" t="s">
        <v>27</v>
      </c>
      <c r="I21" s="33" t="s">
        <v>76</v>
      </c>
      <c r="J21" s="30" t="s">
        <v>36</v>
      </c>
      <c r="K21" s="30" t="s">
        <v>36</v>
      </c>
      <c r="L21" s="30" t="s">
        <v>36</v>
      </c>
      <c r="M21" s="30" t="s">
        <v>19</v>
      </c>
      <c r="N21" s="30" t="s">
        <v>36</v>
      </c>
      <c r="O21" s="30" t="s">
        <v>14</v>
      </c>
      <c r="P21" s="16"/>
      <c r="Q21" s="16" t="s">
        <v>21</v>
      </c>
      <c r="R21" s="16" t="s">
        <v>86</v>
      </c>
      <c r="S21" s="30" t="s">
        <v>106</v>
      </c>
      <c r="T21" s="30" t="s">
        <v>107</v>
      </c>
      <c r="U21" s="30" t="s">
        <v>108</v>
      </c>
      <c r="V21" s="30" t="s">
        <v>147</v>
      </c>
      <c r="W21" s="30" t="s">
        <v>110</v>
      </c>
      <c r="X21" s="30" t="s">
        <v>111</v>
      </c>
      <c r="Y21" s="33" t="s">
        <v>212</v>
      </c>
      <c r="Z21" s="30" t="s">
        <v>37</v>
      </c>
      <c r="AA21" s="30" t="s">
        <v>37</v>
      </c>
      <c r="AB21" s="30" t="s">
        <v>37</v>
      </c>
      <c r="AC21" s="50" t="s">
        <v>19</v>
      </c>
      <c r="AD21" s="50" t="s">
        <v>37</v>
      </c>
      <c r="AE21" s="30" t="s">
        <v>14</v>
      </c>
      <c r="AF21" s="16"/>
      <c r="AG21" s="16" t="s">
        <v>21</v>
      </c>
      <c r="AH21" s="16" t="s">
        <v>86</v>
      </c>
      <c r="AI21" s="30" t="s">
        <v>112</v>
      </c>
      <c r="AJ21" s="30" t="s">
        <v>113</v>
      </c>
      <c r="AK21" s="30" t="s">
        <v>114</v>
      </c>
      <c r="AL21" s="30" t="s">
        <v>149</v>
      </c>
      <c r="AM21" s="30" t="s">
        <v>116</v>
      </c>
      <c r="AN21" s="30" t="s">
        <v>117</v>
      </c>
      <c r="AO21" s="33" t="s">
        <v>118</v>
      </c>
      <c r="AP21" s="30" t="s">
        <v>20</v>
      </c>
      <c r="AQ21" s="30" t="s">
        <v>20</v>
      </c>
      <c r="AR21" s="30" t="s">
        <v>20</v>
      </c>
      <c r="AS21" s="30" t="s">
        <v>19</v>
      </c>
      <c r="AT21" s="30" t="s">
        <v>20</v>
      </c>
      <c r="AU21" s="30" t="s">
        <v>14</v>
      </c>
      <c r="AV21" s="16"/>
      <c r="AW21" s="16" t="s">
        <v>21</v>
      </c>
      <c r="AX21" s="1" t="s">
        <v>86</v>
      </c>
      <c r="AY21" s="30" t="s">
        <v>119</v>
      </c>
      <c r="AZ21" s="30" t="s">
        <v>120</v>
      </c>
      <c r="BA21" s="30" t="s">
        <v>121</v>
      </c>
      <c r="BB21" s="30" t="s">
        <v>151</v>
      </c>
      <c r="BC21" s="30" t="s">
        <v>123</v>
      </c>
      <c r="BD21" s="30" t="s">
        <v>124</v>
      </c>
      <c r="BE21" s="33" t="s">
        <v>28</v>
      </c>
      <c r="BF21" s="30" t="s">
        <v>29</v>
      </c>
      <c r="BG21" s="30" t="s">
        <v>29</v>
      </c>
      <c r="BH21" s="30" t="s">
        <v>29</v>
      </c>
      <c r="BI21" s="30" t="s">
        <v>19</v>
      </c>
      <c r="BJ21" s="30" t="s">
        <v>29</v>
      </c>
      <c r="BK21" s="30" t="s">
        <v>14</v>
      </c>
      <c r="BL21" s="16"/>
      <c r="BM21" s="16" t="s">
        <v>21</v>
      </c>
      <c r="BN21" s="1" t="s">
        <v>86</v>
      </c>
      <c r="BO21" s="30" t="s">
        <v>126</v>
      </c>
      <c r="BP21" s="30" t="s">
        <v>127</v>
      </c>
      <c r="BQ21" s="30" t="s">
        <v>128</v>
      </c>
      <c r="BR21" s="30" t="s">
        <v>152</v>
      </c>
      <c r="BS21" s="30" t="s">
        <v>130</v>
      </c>
      <c r="BT21" s="30" t="s">
        <v>131</v>
      </c>
      <c r="BU21" s="33" t="s">
        <v>153</v>
      </c>
      <c r="BV21" s="30" t="s">
        <v>30</v>
      </c>
      <c r="BW21" s="30" t="s">
        <v>30</v>
      </c>
      <c r="BX21" s="30" t="s">
        <v>30</v>
      </c>
      <c r="BY21" s="30" t="s">
        <v>19</v>
      </c>
      <c r="BZ21" s="30" t="s">
        <v>30</v>
      </c>
      <c r="CA21" s="30" t="s">
        <v>31</v>
      </c>
      <c r="CB21" s="16"/>
      <c r="CC21" s="16" t="s">
        <v>21</v>
      </c>
      <c r="CD21" s="1" t="s">
        <v>86</v>
      </c>
      <c r="CE21" s="30" t="s">
        <v>133</v>
      </c>
      <c r="CF21" s="30" t="s">
        <v>134</v>
      </c>
      <c r="CG21" s="30" t="s">
        <v>135</v>
      </c>
      <c r="CH21" s="30" t="s">
        <v>154</v>
      </c>
      <c r="CI21" s="30" t="s">
        <v>137</v>
      </c>
      <c r="CJ21" s="30" t="s">
        <v>138</v>
      </c>
      <c r="CK21" s="33" t="s">
        <v>155</v>
      </c>
      <c r="CL21" s="30" t="s">
        <v>50</v>
      </c>
      <c r="CM21" s="30" t="s">
        <v>50</v>
      </c>
      <c r="CN21" s="30" t="s">
        <v>50</v>
      </c>
      <c r="CO21" s="30" t="s">
        <v>19</v>
      </c>
      <c r="CP21" s="30" t="s">
        <v>50</v>
      </c>
      <c r="CQ21" s="30" t="s">
        <v>14</v>
      </c>
      <c r="CR21" s="16"/>
      <c r="CS21" s="16" t="s">
        <v>21</v>
      </c>
      <c r="CT21" s="16" t="s">
        <v>86</v>
      </c>
      <c r="CU21" s="30" t="s">
        <v>140</v>
      </c>
      <c r="CV21" s="30" t="s">
        <v>141</v>
      </c>
      <c r="CW21" s="30" t="s">
        <v>142</v>
      </c>
      <c r="CX21" s="30" t="s">
        <v>156</v>
      </c>
      <c r="CY21" s="30" t="s">
        <v>144</v>
      </c>
      <c r="CZ21" s="30" t="s">
        <v>145</v>
      </c>
      <c r="DA21" s="33" t="s">
        <v>157</v>
      </c>
      <c r="DB21" s="30" t="s">
        <v>49</v>
      </c>
      <c r="DC21" s="30" t="s">
        <v>49</v>
      </c>
      <c r="DD21" s="30" t="s">
        <v>49</v>
      </c>
      <c r="DE21" s="30" t="s">
        <v>19</v>
      </c>
      <c r="DF21" s="30" t="s">
        <v>49</v>
      </c>
      <c r="DG21" s="30" t="s">
        <v>14</v>
      </c>
      <c r="DH21" s="26"/>
    </row>
    <row r="22" spans="1:112" s="28" customFormat="1" ht="17">
      <c r="A22" s="16" t="s">
        <v>21</v>
      </c>
      <c r="B22" s="29" t="s">
        <v>87</v>
      </c>
      <c r="C22" s="30" t="s">
        <v>22</v>
      </c>
      <c r="D22" s="30" t="s">
        <v>23</v>
      </c>
      <c r="E22" s="30" t="s">
        <v>24</v>
      </c>
      <c r="F22" s="32" t="s">
        <v>55</v>
      </c>
      <c r="G22" s="16" t="s">
        <v>88</v>
      </c>
      <c r="H22" s="30" t="s">
        <v>27</v>
      </c>
      <c r="I22" s="33" t="s">
        <v>76</v>
      </c>
      <c r="J22" s="30" t="s">
        <v>36</v>
      </c>
      <c r="K22" s="30" t="s">
        <v>36</v>
      </c>
      <c r="L22" s="30" t="s">
        <v>36</v>
      </c>
      <c r="M22" s="30" t="s">
        <v>19</v>
      </c>
      <c r="N22" s="30" t="s">
        <v>36</v>
      </c>
      <c r="O22" s="30" t="s">
        <v>14</v>
      </c>
      <c r="P22" s="16"/>
      <c r="Q22" s="16" t="s">
        <v>21</v>
      </c>
      <c r="R22" s="16" t="s">
        <v>87</v>
      </c>
      <c r="S22" s="30" t="s">
        <v>106</v>
      </c>
      <c r="T22" s="30" t="s">
        <v>107</v>
      </c>
      <c r="U22" s="30" t="s">
        <v>108</v>
      </c>
      <c r="V22" s="32" t="s">
        <v>158</v>
      </c>
      <c r="W22" s="16" t="s">
        <v>225</v>
      </c>
      <c r="X22" s="30" t="s">
        <v>111</v>
      </c>
      <c r="Y22" s="33" t="s">
        <v>212</v>
      </c>
      <c r="Z22" s="30" t="s">
        <v>37</v>
      </c>
      <c r="AA22" s="30" t="s">
        <v>37</v>
      </c>
      <c r="AB22" s="30" t="s">
        <v>37</v>
      </c>
      <c r="AC22" s="50" t="s">
        <v>19</v>
      </c>
      <c r="AD22" s="50" t="s">
        <v>37</v>
      </c>
      <c r="AE22" s="30" t="s">
        <v>14</v>
      </c>
      <c r="AF22" s="16"/>
      <c r="AG22" s="16" t="s">
        <v>21</v>
      </c>
      <c r="AH22" s="16" t="s">
        <v>87</v>
      </c>
      <c r="AI22" s="30" t="s">
        <v>112</v>
      </c>
      <c r="AJ22" s="30" t="s">
        <v>113</v>
      </c>
      <c r="AK22" s="30" t="s">
        <v>114</v>
      </c>
      <c r="AL22" s="32" t="s">
        <v>159</v>
      </c>
      <c r="AM22" s="16" t="s">
        <v>226</v>
      </c>
      <c r="AN22" s="30" t="s">
        <v>117</v>
      </c>
      <c r="AO22" s="33" t="s">
        <v>118</v>
      </c>
      <c r="AP22" s="30" t="s">
        <v>20</v>
      </c>
      <c r="AQ22" s="30" t="s">
        <v>20</v>
      </c>
      <c r="AR22" s="30" t="s">
        <v>20</v>
      </c>
      <c r="AS22" s="30" t="s">
        <v>19</v>
      </c>
      <c r="AT22" s="30" t="s">
        <v>20</v>
      </c>
      <c r="AU22" s="30" t="s">
        <v>14</v>
      </c>
      <c r="AV22" s="16"/>
      <c r="AW22" s="16" t="s">
        <v>21</v>
      </c>
      <c r="AX22" s="1" t="s">
        <v>87</v>
      </c>
      <c r="AY22" s="30" t="s">
        <v>119</v>
      </c>
      <c r="AZ22" s="30" t="s">
        <v>120</v>
      </c>
      <c r="BA22" s="30" t="s">
        <v>121</v>
      </c>
      <c r="BB22" s="32" t="s">
        <v>161</v>
      </c>
      <c r="BC22" s="16" t="s">
        <v>227</v>
      </c>
      <c r="BD22" s="30" t="s">
        <v>124</v>
      </c>
      <c r="BE22" s="33" t="s">
        <v>28</v>
      </c>
      <c r="BF22" s="30" t="s">
        <v>29</v>
      </c>
      <c r="BG22" s="30" t="s">
        <v>29</v>
      </c>
      <c r="BH22" s="30" t="s">
        <v>29</v>
      </c>
      <c r="BI22" s="30" t="s">
        <v>19</v>
      </c>
      <c r="BJ22" s="30" t="s">
        <v>29</v>
      </c>
      <c r="BK22" s="30" t="s">
        <v>14</v>
      </c>
      <c r="BL22" s="16"/>
      <c r="BM22" s="16" t="s">
        <v>21</v>
      </c>
      <c r="BN22" s="1" t="s">
        <v>87</v>
      </c>
      <c r="BO22" s="30" t="s">
        <v>126</v>
      </c>
      <c r="BP22" s="30" t="s">
        <v>127</v>
      </c>
      <c r="BQ22" s="30" t="s">
        <v>128</v>
      </c>
      <c r="BR22" s="32" t="s">
        <v>164</v>
      </c>
      <c r="BS22" s="16" t="s">
        <v>228</v>
      </c>
      <c r="BT22" s="30" t="s">
        <v>131</v>
      </c>
      <c r="BU22" s="33" t="s">
        <v>153</v>
      </c>
      <c r="BV22" s="30" t="s">
        <v>30</v>
      </c>
      <c r="BW22" s="30" t="s">
        <v>30</v>
      </c>
      <c r="BX22" s="30" t="s">
        <v>30</v>
      </c>
      <c r="BY22" s="30" t="s">
        <v>19</v>
      </c>
      <c r="BZ22" s="30" t="s">
        <v>30</v>
      </c>
      <c r="CA22" s="30" t="s">
        <v>31</v>
      </c>
      <c r="CB22" s="16"/>
      <c r="CC22" s="16" t="s">
        <v>21</v>
      </c>
      <c r="CD22" s="1" t="s">
        <v>87</v>
      </c>
      <c r="CE22" s="30" t="s">
        <v>133</v>
      </c>
      <c r="CF22" s="30" t="s">
        <v>134</v>
      </c>
      <c r="CG22" s="30" t="s">
        <v>135</v>
      </c>
      <c r="CH22" s="32" t="s">
        <v>167</v>
      </c>
      <c r="CI22" s="16" t="s">
        <v>229</v>
      </c>
      <c r="CJ22" s="30" t="s">
        <v>138</v>
      </c>
      <c r="CK22" s="33" t="s">
        <v>155</v>
      </c>
      <c r="CL22" s="30" t="s">
        <v>50</v>
      </c>
      <c r="CM22" s="30" t="s">
        <v>50</v>
      </c>
      <c r="CN22" s="30" t="s">
        <v>50</v>
      </c>
      <c r="CO22" s="30" t="s">
        <v>19</v>
      </c>
      <c r="CP22" s="30" t="s">
        <v>50</v>
      </c>
      <c r="CQ22" s="30" t="s">
        <v>14</v>
      </c>
      <c r="CR22" s="16"/>
      <c r="CS22" s="16" t="s">
        <v>21</v>
      </c>
      <c r="CT22" s="16" t="s">
        <v>87</v>
      </c>
      <c r="CU22" s="30" t="s">
        <v>140</v>
      </c>
      <c r="CV22" s="30" t="s">
        <v>141</v>
      </c>
      <c r="CW22" s="30" t="s">
        <v>142</v>
      </c>
      <c r="CX22" s="32" t="s">
        <v>170</v>
      </c>
      <c r="CY22" s="16" t="s">
        <v>230</v>
      </c>
      <c r="CZ22" s="30" t="s">
        <v>145</v>
      </c>
      <c r="DA22" s="33" t="s">
        <v>157</v>
      </c>
      <c r="DB22" s="30" t="s">
        <v>49</v>
      </c>
      <c r="DC22" s="30" t="s">
        <v>49</v>
      </c>
      <c r="DD22" s="30" t="s">
        <v>49</v>
      </c>
      <c r="DE22" s="30" t="s">
        <v>19</v>
      </c>
      <c r="DF22" s="30" t="s">
        <v>49</v>
      </c>
      <c r="DG22" s="30" t="s">
        <v>14</v>
      </c>
      <c r="DH22" s="26"/>
    </row>
    <row r="23" spans="1:112" s="28" customFormat="1" ht="17">
      <c r="A23" s="16" t="s">
        <v>21</v>
      </c>
      <c r="B23" s="29" t="s">
        <v>89</v>
      </c>
      <c r="C23" s="30" t="s">
        <v>22</v>
      </c>
      <c r="D23" s="30" t="s">
        <v>23</v>
      </c>
      <c r="E23" s="30" t="s">
        <v>24</v>
      </c>
      <c r="F23" s="32" t="s">
        <v>55</v>
      </c>
      <c r="G23" s="16" t="s">
        <v>90</v>
      </c>
      <c r="H23" s="30" t="s">
        <v>27</v>
      </c>
      <c r="I23" s="33" t="s">
        <v>76</v>
      </c>
      <c r="J23" s="30" t="s">
        <v>36</v>
      </c>
      <c r="K23" s="30" t="s">
        <v>36</v>
      </c>
      <c r="L23" s="30" t="s">
        <v>36</v>
      </c>
      <c r="M23" s="30" t="s">
        <v>19</v>
      </c>
      <c r="N23" s="30" t="s">
        <v>36</v>
      </c>
      <c r="O23" s="30" t="s">
        <v>14</v>
      </c>
      <c r="P23" s="16"/>
      <c r="Q23" s="16" t="s">
        <v>21</v>
      </c>
      <c r="R23" s="16" t="s">
        <v>89</v>
      </c>
      <c r="S23" s="30" t="s">
        <v>106</v>
      </c>
      <c r="T23" s="30" t="s">
        <v>107</v>
      </c>
      <c r="U23" s="30" t="s">
        <v>108</v>
      </c>
      <c r="V23" s="32" t="s">
        <v>158</v>
      </c>
      <c r="W23" s="16" t="s">
        <v>231</v>
      </c>
      <c r="X23" s="30" t="s">
        <v>111</v>
      </c>
      <c r="Y23" s="33" t="s">
        <v>212</v>
      </c>
      <c r="Z23" s="30" t="s">
        <v>37</v>
      </c>
      <c r="AA23" s="30" t="s">
        <v>37</v>
      </c>
      <c r="AB23" s="30" t="s">
        <v>37</v>
      </c>
      <c r="AC23" s="50" t="s">
        <v>19</v>
      </c>
      <c r="AD23" s="50" t="s">
        <v>37</v>
      </c>
      <c r="AE23" s="30" t="s">
        <v>14</v>
      </c>
      <c r="AF23" s="16"/>
      <c r="AG23" s="16" t="s">
        <v>21</v>
      </c>
      <c r="AH23" s="16" t="s">
        <v>89</v>
      </c>
      <c r="AI23" s="30" t="s">
        <v>112</v>
      </c>
      <c r="AJ23" s="30" t="s">
        <v>113</v>
      </c>
      <c r="AK23" s="30" t="s">
        <v>114</v>
      </c>
      <c r="AL23" s="32" t="s">
        <v>159</v>
      </c>
      <c r="AM23" s="16" t="s">
        <v>232</v>
      </c>
      <c r="AN23" s="30" t="s">
        <v>117</v>
      </c>
      <c r="AO23" s="33" t="s">
        <v>118</v>
      </c>
      <c r="AP23" s="30" t="s">
        <v>20</v>
      </c>
      <c r="AQ23" s="30" t="s">
        <v>20</v>
      </c>
      <c r="AR23" s="30" t="s">
        <v>20</v>
      </c>
      <c r="AS23" s="30" t="s">
        <v>19</v>
      </c>
      <c r="AT23" s="30" t="s">
        <v>20</v>
      </c>
      <c r="AU23" s="30" t="s">
        <v>14</v>
      </c>
      <c r="AV23" s="16"/>
      <c r="AW23" s="16" t="s">
        <v>21</v>
      </c>
      <c r="AX23" s="1" t="s">
        <v>89</v>
      </c>
      <c r="AY23" s="30" t="s">
        <v>119</v>
      </c>
      <c r="AZ23" s="30" t="s">
        <v>120</v>
      </c>
      <c r="BA23" s="30" t="s">
        <v>121</v>
      </c>
      <c r="BB23" s="32" t="s">
        <v>161</v>
      </c>
      <c r="BC23" s="16" t="s">
        <v>233</v>
      </c>
      <c r="BD23" s="30" t="s">
        <v>124</v>
      </c>
      <c r="BE23" s="33" t="s">
        <v>28</v>
      </c>
      <c r="BF23" s="30" t="s">
        <v>29</v>
      </c>
      <c r="BG23" s="30" t="s">
        <v>29</v>
      </c>
      <c r="BH23" s="30" t="s">
        <v>29</v>
      </c>
      <c r="BI23" s="30" t="s">
        <v>19</v>
      </c>
      <c r="BJ23" s="30" t="s">
        <v>29</v>
      </c>
      <c r="BK23" s="30" t="s">
        <v>14</v>
      </c>
      <c r="BL23" s="16"/>
      <c r="BM23" s="16" t="s">
        <v>21</v>
      </c>
      <c r="BN23" s="1" t="s">
        <v>89</v>
      </c>
      <c r="BO23" s="30" t="s">
        <v>126</v>
      </c>
      <c r="BP23" s="30" t="s">
        <v>127</v>
      </c>
      <c r="BQ23" s="30" t="s">
        <v>128</v>
      </c>
      <c r="BR23" s="32" t="s">
        <v>164</v>
      </c>
      <c r="BS23" s="16" t="s">
        <v>234</v>
      </c>
      <c r="BT23" s="30" t="s">
        <v>131</v>
      </c>
      <c r="BU23" s="33" t="s">
        <v>153</v>
      </c>
      <c r="BV23" s="30" t="s">
        <v>30</v>
      </c>
      <c r="BW23" s="30" t="s">
        <v>30</v>
      </c>
      <c r="BX23" s="30" t="s">
        <v>30</v>
      </c>
      <c r="BY23" s="30" t="s">
        <v>19</v>
      </c>
      <c r="BZ23" s="30" t="s">
        <v>30</v>
      </c>
      <c r="CA23" s="30" t="s">
        <v>31</v>
      </c>
      <c r="CB23" s="16"/>
      <c r="CC23" s="16" t="s">
        <v>21</v>
      </c>
      <c r="CD23" s="1" t="s">
        <v>89</v>
      </c>
      <c r="CE23" s="30" t="s">
        <v>133</v>
      </c>
      <c r="CF23" s="30" t="s">
        <v>134</v>
      </c>
      <c r="CG23" s="30" t="s">
        <v>135</v>
      </c>
      <c r="CH23" s="32" t="s">
        <v>167</v>
      </c>
      <c r="CI23" s="16" t="s">
        <v>235</v>
      </c>
      <c r="CJ23" s="30" t="s">
        <v>138</v>
      </c>
      <c r="CK23" s="33" t="s">
        <v>155</v>
      </c>
      <c r="CL23" s="30" t="s">
        <v>50</v>
      </c>
      <c r="CM23" s="30" t="s">
        <v>50</v>
      </c>
      <c r="CN23" s="30" t="s">
        <v>50</v>
      </c>
      <c r="CO23" s="30" t="s">
        <v>19</v>
      </c>
      <c r="CP23" s="30" t="s">
        <v>50</v>
      </c>
      <c r="CQ23" s="30" t="s">
        <v>14</v>
      </c>
      <c r="CR23" s="16"/>
      <c r="CS23" s="16" t="s">
        <v>21</v>
      </c>
      <c r="CT23" s="16" t="s">
        <v>89</v>
      </c>
      <c r="CU23" s="30" t="s">
        <v>140</v>
      </c>
      <c r="CV23" s="30" t="s">
        <v>141</v>
      </c>
      <c r="CW23" s="30" t="s">
        <v>142</v>
      </c>
      <c r="CX23" s="32" t="s">
        <v>170</v>
      </c>
      <c r="CY23" s="16" t="s">
        <v>236</v>
      </c>
      <c r="CZ23" s="30" t="s">
        <v>145</v>
      </c>
      <c r="DA23" s="33" t="s">
        <v>157</v>
      </c>
      <c r="DB23" s="30" t="s">
        <v>49</v>
      </c>
      <c r="DC23" s="30" t="s">
        <v>49</v>
      </c>
      <c r="DD23" s="30" t="s">
        <v>49</v>
      </c>
      <c r="DE23" s="30" t="s">
        <v>19</v>
      </c>
      <c r="DF23" s="30" t="s">
        <v>49</v>
      </c>
      <c r="DG23" s="30" t="s">
        <v>14</v>
      </c>
      <c r="DH23" s="26"/>
    </row>
    <row r="24" spans="1:112" ht="17">
      <c r="A24" s="16" t="s">
        <v>10</v>
      </c>
      <c r="B24" s="1" t="s">
        <v>91</v>
      </c>
      <c r="C24" s="31" t="s">
        <v>97</v>
      </c>
      <c r="D24" s="30" t="s">
        <v>23</v>
      </c>
      <c r="E24" s="30" t="s">
        <v>24</v>
      </c>
      <c r="F24" s="30" t="s">
        <v>25</v>
      </c>
      <c r="G24" s="30" t="s">
        <v>26</v>
      </c>
      <c r="H24" s="30" t="s">
        <v>27</v>
      </c>
      <c r="I24" s="31" t="s">
        <v>98</v>
      </c>
      <c r="J24" s="30" t="s">
        <v>36</v>
      </c>
      <c r="K24" s="30" t="s">
        <v>36</v>
      </c>
      <c r="L24" s="30" t="s">
        <v>36</v>
      </c>
      <c r="M24" s="30" t="s">
        <v>19</v>
      </c>
      <c r="N24" s="30" t="s">
        <v>36</v>
      </c>
      <c r="O24" s="30" t="s">
        <v>14</v>
      </c>
      <c r="Q24" s="16" t="s">
        <v>10</v>
      </c>
      <c r="R24" s="16" t="s">
        <v>91</v>
      </c>
      <c r="S24" s="31" t="s">
        <v>172</v>
      </c>
      <c r="T24" s="30" t="s">
        <v>107</v>
      </c>
      <c r="U24" s="30" t="s">
        <v>108</v>
      </c>
      <c r="V24" s="30" t="s">
        <v>147</v>
      </c>
      <c r="W24" s="30" t="s">
        <v>110</v>
      </c>
      <c r="X24" s="30" t="s">
        <v>111</v>
      </c>
      <c r="Y24" s="31" t="s">
        <v>173</v>
      </c>
      <c r="Z24" s="30" t="s">
        <v>37</v>
      </c>
      <c r="AA24" s="30" t="s">
        <v>37</v>
      </c>
      <c r="AB24" s="30" t="s">
        <v>37</v>
      </c>
      <c r="AC24" s="50" t="s">
        <v>19</v>
      </c>
      <c r="AD24" s="50" t="s">
        <v>37</v>
      </c>
      <c r="AE24" s="30" t="s">
        <v>14</v>
      </c>
      <c r="AG24" s="16" t="s">
        <v>10</v>
      </c>
      <c r="AH24" s="16" t="s">
        <v>91</v>
      </c>
      <c r="AI24" s="31" t="s">
        <v>174</v>
      </c>
      <c r="AJ24" s="30" t="s">
        <v>113</v>
      </c>
      <c r="AK24" s="30" t="s">
        <v>114</v>
      </c>
      <c r="AL24" s="30" t="s">
        <v>149</v>
      </c>
      <c r="AM24" s="30" t="s">
        <v>116</v>
      </c>
      <c r="AN24" s="30" t="s">
        <v>117</v>
      </c>
      <c r="AO24" s="31" t="s">
        <v>175</v>
      </c>
      <c r="AP24" s="30" t="s">
        <v>20</v>
      </c>
      <c r="AQ24" s="30" t="s">
        <v>20</v>
      </c>
      <c r="AR24" s="30" t="s">
        <v>20</v>
      </c>
      <c r="AS24" s="30" t="s">
        <v>19</v>
      </c>
      <c r="AT24" s="30" t="s">
        <v>20</v>
      </c>
      <c r="AU24" s="30" t="s">
        <v>14</v>
      </c>
      <c r="AW24" s="16" t="s">
        <v>10</v>
      </c>
      <c r="AX24" s="1" t="s">
        <v>91</v>
      </c>
      <c r="AY24" s="31" t="s">
        <v>176</v>
      </c>
      <c r="AZ24" s="30" t="s">
        <v>120</v>
      </c>
      <c r="BA24" s="30" t="s">
        <v>121</v>
      </c>
      <c r="BB24" s="30" t="s">
        <v>151</v>
      </c>
      <c r="BC24" s="30" t="s">
        <v>123</v>
      </c>
      <c r="BD24" s="30" t="s">
        <v>124</v>
      </c>
      <c r="BE24" s="31" t="s">
        <v>101</v>
      </c>
      <c r="BF24" s="30" t="s">
        <v>29</v>
      </c>
      <c r="BG24" s="30" t="s">
        <v>29</v>
      </c>
      <c r="BH24" s="30" t="s">
        <v>29</v>
      </c>
      <c r="BI24" s="30" t="s">
        <v>19</v>
      </c>
      <c r="BJ24" s="30" t="s">
        <v>29</v>
      </c>
      <c r="BK24" s="30" t="s">
        <v>14</v>
      </c>
      <c r="BM24" s="16" t="s">
        <v>10</v>
      </c>
      <c r="BN24" s="1" t="s">
        <v>91</v>
      </c>
      <c r="BO24" s="31" t="s">
        <v>177</v>
      </c>
      <c r="BP24" s="30" t="s">
        <v>127</v>
      </c>
      <c r="BQ24" s="30" t="s">
        <v>128</v>
      </c>
      <c r="BR24" s="30" t="s">
        <v>152</v>
      </c>
      <c r="BS24" s="30" t="s">
        <v>130</v>
      </c>
      <c r="BT24" s="30" t="s">
        <v>131</v>
      </c>
      <c r="BU24" s="31" t="s">
        <v>178</v>
      </c>
      <c r="BV24" s="30" t="s">
        <v>30</v>
      </c>
      <c r="BW24" s="30" t="s">
        <v>30</v>
      </c>
      <c r="BX24" s="30" t="s">
        <v>30</v>
      </c>
      <c r="BY24" s="30" t="s">
        <v>19</v>
      </c>
      <c r="BZ24" s="30" t="s">
        <v>30</v>
      </c>
      <c r="CA24" s="30" t="s">
        <v>31</v>
      </c>
      <c r="CC24" s="16" t="s">
        <v>10</v>
      </c>
      <c r="CD24" s="1" t="s">
        <v>91</v>
      </c>
      <c r="CE24" s="31" t="s">
        <v>179</v>
      </c>
      <c r="CF24" s="30" t="s">
        <v>134</v>
      </c>
      <c r="CG24" s="30" t="s">
        <v>135</v>
      </c>
      <c r="CH24" s="30" t="s">
        <v>154</v>
      </c>
      <c r="CI24" s="30" t="s">
        <v>137</v>
      </c>
      <c r="CJ24" s="30" t="s">
        <v>138</v>
      </c>
      <c r="CK24" s="31" t="s">
        <v>180</v>
      </c>
      <c r="CL24" s="30" t="s">
        <v>50</v>
      </c>
      <c r="CM24" s="30" t="s">
        <v>50</v>
      </c>
      <c r="CN24" s="30" t="s">
        <v>50</v>
      </c>
      <c r="CO24" s="30" t="s">
        <v>19</v>
      </c>
      <c r="CP24" s="30" t="s">
        <v>50</v>
      </c>
      <c r="CQ24" s="30" t="s">
        <v>14</v>
      </c>
      <c r="CS24" s="16" t="s">
        <v>10</v>
      </c>
      <c r="CT24" s="16" t="s">
        <v>91</v>
      </c>
      <c r="CU24" s="31" t="s">
        <v>181</v>
      </c>
      <c r="CV24" s="30" t="s">
        <v>141</v>
      </c>
      <c r="CW24" s="30" t="s">
        <v>142</v>
      </c>
      <c r="CX24" s="30" t="s">
        <v>156</v>
      </c>
      <c r="CY24" s="30" t="s">
        <v>144</v>
      </c>
      <c r="CZ24" s="30" t="s">
        <v>145</v>
      </c>
      <c r="DA24" s="31" t="s">
        <v>182</v>
      </c>
      <c r="DB24" s="30" t="s">
        <v>49</v>
      </c>
      <c r="DC24" s="30" t="s">
        <v>49</v>
      </c>
      <c r="DD24" s="30" t="s">
        <v>49</v>
      </c>
      <c r="DE24" s="30" t="s">
        <v>19</v>
      </c>
      <c r="DF24" s="30" t="s">
        <v>49</v>
      </c>
      <c r="DG24" s="30" t="s">
        <v>14</v>
      </c>
    </row>
    <row r="25" spans="1:112" s="28" customFormat="1" ht="17">
      <c r="A25" s="16" t="s">
        <v>21</v>
      </c>
      <c r="B25" s="47" t="s">
        <v>92</v>
      </c>
      <c r="C25" s="30" t="s">
        <v>22</v>
      </c>
      <c r="D25" s="30" t="s">
        <v>23</v>
      </c>
      <c r="E25" s="30" t="s">
        <v>24</v>
      </c>
      <c r="F25" s="30" t="s">
        <v>25</v>
      </c>
      <c r="G25" s="31" t="s">
        <v>252</v>
      </c>
      <c r="H25" s="32" t="s">
        <v>39</v>
      </c>
      <c r="I25" s="30" t="s">
        <v>35</v>
      </c>
      <c r="J25" s="30" t="s">
        <v>36</v>
      </c>
      <c r="K25" s="30" t="s">
        <v>36</v>
      </c>
      <c r="L25" s="30" t="s">
        <v>36</v>
      </c>
      <c r="M25" s="30" t="s">
        <v>19</v>
      </c>
      <c r="N25" s="30" t="s">
        <v>36</v>
      </c>
      <c r="O25" s="30" t="s">
        <v>14</v>
      </c>
      <c r="P25" s="1"/>
      <c r="Q25" s="16" t="s">
        <v>21</v>
      </c>
      <c r="R25" s="16" t="str">
        <f t="shared" ref="R25:R26" si="46">B25</f>
        <v>MS001_CXT_PBC</v>
      </c>
      <c r="S25" s="49" t="str">
        <f t="shared" ref="S25:S26" si="47">LEFT(C25,5)&amp;" Product-CP_GB_HOT"</f>
        <v>MP001 Product-CP_GB_HOT</v>
      </c>
      <c r="T25" s="49" t="str">
        <f t="shared" ref="T25:T26" si="48">LEFT(D25,5)&amp;" Product-CP_GB_HOT"</f>
        <v>ME001 Product-CP_GB_HOT</v>
      </c>
      <c r="U25" s="49" t="str">
        <f t="shared" ref="U25:U26" si="49">LEFT(E25,5)&amp;" Product-CP_GB_HOT"</f>
        <v>MG001 Product-CP_GB_HOT</v>
      </c>
      <c r="V25" s="49" t="str">
        <f t="shared" ref="V25:V26" si="50">LEFT(F25,5)&amp;" Product-CP_GB_HOT"</f>
        <v>MS001 Product-CP_GB_HOT</v>
      </c>
      <c r="W25" s="49" t="str">
        <f t="shared" ref="W25:W26" si="51">LEFT(G25,5)&amp;" Product-CP_GB_HOT"</f>
        <v>MD009 Product-CP_GB_HOT</v>
      </c>
      <c r="X25" s="49" t="str">
        <f t="shared" ref="X25:X26" si="52">LEFT(H25,5)&amp;" Product-CP_GB_HOT"</f>
        <v>MI003 Product-CP_GB_HOT</v>
      </c>
      <c r="Y25" s="49" t="str">
        <f t="shared" ref="Y25:Y26" si="53">LEFT(I25,6)&amp;" Product-CP_GB_HOT"</f>
        <v>MPS001 Product-CP_GB_HOT</v>
      </c>
      <c r="Z25" s="50" t="s">
        <v>37</v>
      </c>
      <c r="AA25" s="50" t="s">
        <v>37</v>
      </c>
      <c r="AB25" s="50" t="s">
        <v>37</v>
      </c>
      <c r="AC25" s="50" t="s">
        <v>37</v>
      </c>
      <c r="AD25" s="50" t="s">
        <v>37</v>
      </c>
      <c r="AE25" s="30" t="s">
        <v>14</v>
      </c>
      <c r="AF25" s="1"/>
      <c r="AG25" s="16" t="s">
        <v>21</v>
      </c>
      <c r="AH25" s="16" t="str">
        <f t="shared" ref="AH25:AH26" si="54">B25</f>
        <v>MS001_CXT_PBC</v>
      </c>
      <c r="AI25" s="49" t="str">
        <f t="shared" ref="AI25:AI26" si="55">LEFT(C25,5)&amp;" Product-FT_GB_ROOM"</f>
        <v>MP001 Product-FT_GB_ROOM</v>
      </c>
      <c r="AJ25" s="49" t="str">
        <f t="shared" ref="AJ25:AJ26" si="56">LEFT(D25,5)&amp;" Product-FT_GB_ROOM"</f>
        <v>ME001 Product-FT_GB_ROOM</v>
      </c>
      <c r="AK25" s="49" t="str">
        <f t="shared" ref="AK25:AK26" si="57">LEFT(E25,5)&amp;" Product-FT_GB_ROOM"</f>
        <v>MG001 Product-FT_GB_ROOM</v>
      </c>
      <c r="AL25" s="49" t="str">
        <f t="shared" ref="AL25:AL26" si="58">LEFT(F25,5)&amp;" Product-FT_GB_ROOM"</f>
        <v>MS001 Product-FT_GB_ROOM</v>
      </c>
      <c r="AM25" s="49" t="str">
        <f t="shared" ref="AM25:AM26" si="59">LEFT(G25,5)&amp;" Product-FT_GB_ROOM"</f>
        <v>MD009 Product-FT_GB_ROOM</v>
      </c>
      <c r="AN25" s="49" t="str">
        <f t="shared" ref="AN25:AN26" si="60">LEFT(H25,5)&amp;" Product-FT_GB_ROOM"</f>
        <v>MI003 Product-FT_GB_ROOM</v>
      </c>
      <c r="AO25" s="49" t="str">
        <f t="shared" ref="AO25:AO26" si="61">LEFT(I25,6)&amp;" Product-FT_GB_ROOM"</f>
        <v>MPS001 Product-FT_GB_ROOM</v>
      </c>
      <c r="AP25" s="50" t="s">
        <v>20</v>
      </c>
      <c r="AQ25" s="50" t="s">
        <v>20</v>
      </c>
      <c r="AR25" s="50" t="s">
        <v>20</v>
      </c>
      <c r="AS25" s="50" t="s">
        <v>20</v>
      </c>
      <c r="AT25" s="50" t="s">
        <v>20</v>
      </c>
      <c r="AU25" s="30" t="s">
        <v>14</v>
      </c>
      <c r="AV25" s="1"/>
      <c r="AW25" s="16" t="s">
        <v>21</v>
      </c>
      <c r="AX25" s="1" t="str">
        <f t="shared" ref="AX25:AX26" si="62">B25</f>
        <v>MS001_CXT_PBC</v>
      </c>
      <c r="AY25" s="30" t="s">
        <v>119</v>
      </c>
      <c r="AZ25" s="30" t="s">
        <v>120</v>
      </c>
      <c r="BA25" s="30" t="s">
        <v>121</v>
      </c>
      <c r="BB25" s="30" t="s">
        <v>151</v>
      </c>
      <c r="BC25" s="30" t="s">
        <v>198</v>
      </c>
      <c r="BD25" s="30" t="s">
        <v>199</v>
      </c>
      <c r="BE25" s="30" t="s">
        <v>28</v>
      </c>
      <c r="BF25" s="30" t="s">
        <v>29</v>
      </c>
      <c r="BG25" s="30" t="s">
        <v>29</v>
      </c>
      <c r="BH25" s="30" t="s">
        <v>29</v>
      </c>
      <c r="BI25" s="30" t="s">
        <v>19</v>
      </c>
      <c r="BJ25" s="30" t="s">
        <v>29</v>
      </c>
      <c r="BK25" s="30" t="s">
        <v>14</v>
      </c>
      <c r="BL25" s="1"/>
      <c r="BM25" s="16" t="s">
        <v>21</v>
      </c>
      <c r="BN25" s="1" t="str">
        <f t="shared" ref="BN25:BN26" si="63">B25</f>
        <v>MS001_CXT_PBC</v>
      </c>
      <c r="BO25" s="30" t="s">
        <v>126</v>
      </c>
      <c r="BP25" s="30" t="s">
        <v>127</v>
      </c>
      <c r="BQ25" s="30" t="s">
        <v>128</v>
      </c>
      <c r="BR25" s="30" t="s">
        <v>152</v>
      </c>
      <c r="BS25" s="30" t="s">
        <v>201</v>
      </c>
      <c r="BT25" s="30" t="s">
        <v>202</v>
      </c>
      <c r="BU25" s="30" t="s">
        <v>153</v>
      </c>
      <c r="BV25" s="30" t="s">
        <v>30</v>
      </c>
      <c r="BW25" s="30" t="s">
        <v>30</v>
      </c>
      <c r="BX25" s="30" t="s">
        <v>30</v>
      </c>
      <c r="BY25" s="30" t="s">
        <v>19</v>
      </c>
      <c r="BZ25" s="30" t="s">
        <v>30</v>
      </c>
      <c r="CA25" s="30" t="s">
        <v>31</v>
      </c>
      <c r="CB25" s="1"/>
      <c r="CC25" s="16" t="s">
        <v>21</v>
      </c>
      <c r="CD25" s="1" t="str">
        <f t="shared" ref="CD25:CD26" si="64">B25</f>
        <v>MS001_CXT_PBC</v>
      </c>
      <c r="CE25" s="30" t="s">
        <v>133</v>
      </c>
      <c r="CF25" s="30" t="s">
        <v>134</v>
      </c>
      <c r="CG25" s="30" t="s">
        <v>135</v>
      </c>
      <c r="CH25" s="30" t="s">
        <v>154</v>
      </c>
      <c r="CI25" s="30" t="s">
        <v>204</v>
      </c>
      <c r="CJ25" s="30" t="s">
        <v>205</v>
      </c>
      <c r="CK25" s="30" t="s">
        <v>155</v>
      </c>
      <c r="CL25" s="30" t="s">
        <v>50</v>
      </c>
      <c r="CM25" s="30" t="s">
        <v>50</v>
      </c>
      <c r="CN25" s="30" t="s">
        <v>50</v>
      </c>
      <c r="CO25" s="30" t="s">
        <v>19</v>
      </c>
      <c r="CP25" s="30" t="s">
        <v>50</v>
      </c>
      <c r="CQ25" s="30" t="s">
        <v>14</v>
      </c>
      <c r="CR25" s="1"/>
      <c r="CS25" s="16" t="s">
        <v>21</v>
      </c>
      <c r="CT25" s="16" t="str">
        <f t="shared" ref="CT25:CT26" si="65">B25</f>
        <v>MS001_CXT_PBC</v>
      </c>
      <c r="CU25" s="30" t="s">
        <v>140</v>
      </c>
      <c r="CV25" s="30" t="s">
        <v>141</v>
      </c>
      <c r="CW25" s="30" t="s">
        <v>142</v>
      </c>
      <c r="CX25" s="30" t="s">
        <v>156</v>
      </c>
      <c r="CY25" s="30" t="s">
        <v>207</v>
      </c>
      <c r="CZ25" s="30" t="s">
        <v>208</v>
      </c>
      <c r="DA25" s="30" t="s">
        <v>157</v>
      </c>
      <c r="DB25" s="30" t="s">
        <v>49</v>
      </c>
      <c r="DC25" s="30" t="s">
        <v>49</v>
      </c>
      <c r="DD25" s="30" t="s">
        <v>49</v>
      </c>
      <c r="DE25" s="30" t="s">
        <v>19</v>
      </c>
      <c r="DF25" s="30" t="s">
        <v>49</v>
      </c>
      <c r="DG25" s="30" t="s">
        <v>14</v>
      </c>
    </row>
    <row r="26" spans="1:112" s="28" customFormat="1" ht="17">
      <c r="A26" s="16" t="s">
        <v>21</v>
      </c>
      <c r="B26" s="40" t="s">
        <v>93</v>
      </c>
      <c r="C26" s="30" t="s">
        <v>22</v>
      </c>
      <c r="D26" s="30" t="s">
        <v>23</v>
      </c>
      <c r="E26" s="30" t="s">
        <v>24</v>
      </c>
      <c r="F26" s="32" t="s">
        <v>55</v>
      </c>
      <c r="G26" s="31" t="s">
        <v>252</v>
      </c>
      <c r="H26" s="32" t="s">
        <v>39</v>
      </c>
      <c r="I26" s="30" t="s">
        <v>35</v>
      </c>
      <c r="J26" s="30" t="s">
        <v>36</v>
      </c>
      <c r="K26" s="30" t="s">
        <v>36</v>
      </c>
      <c r="L26" s="30" t="s">
        <v>36</v>
      </c>
      <c r="M26" s="30" t="s">
        <v>19</v>
      </c>
      <c r="N26" s="30" t="s">
        <v>36</v>
      </c>
      <c r="O26" s="30" t="s">
        <v>14</v>
      </c>
      <c r="P26" s="1"/>
      <c r="Q26" s="16" t="s">
        <v>21</v>
      </c>
      <c r="R26" s="16" t="str">
        <f t="shared" si="46"/>
        <v>MS005_CXT_PBC</v>
      </c>
      <c r="S26" s="49" t="str">
        <f t="shared" si="47"/>
        <v>MP001 Product-CP_GB_HOT</v>
      </c>
      <c r="T26" s="49" t="str">
        <f t="shared" si="48"/>
        <v>ME001 Product-CP_GB_HOT</v>
      </c>
      <c r="U26" s="49" t="str">
        <f t="shared" si="49"/>
        <v>MG001 Product-CP_GB_HOT</v>
      </c>
      <c r="V26" s="49" t="str">
        <f t="shared" si="50"/>
        <v>MS005 Product-CP_GB_HOT</v>
      </c>
      <c r="W26" s="49" t="str">
        <f t="shared" si="51"/>
        <v>MD009 Product-CP_GB_HOT</v>
      </c>
      <c r="X26" s="49" t="str">
        <f t="shared" si="52"/>
        <v>MI003 Product-CP_GB_HOT</v>
      </c>
      <c r="Y26" s="49" t="str">
        <f t="shared" si="53"/>
        <v>MPS001 Product-CP_GB_HOT</v>
      </c>
      <c r="Z26" s="50" t="s">
        <v>37</v>
      </c>
      <c r="AA26" s="50" t="s">
        <v>37</v>
      </c>
      <c r="AB26" s="50" t="s">
        <v>37</v>
      </c>
      <c r="AC26" s="50" t="s">
        <v>37</v>
      </c>
      <c r="AD26" s="50" t="s">
        <v>37</v>
      </c>
      <c r="AE26" s="30" t="s">
        <v>14</v>
      </c>
      <c r="AF26" s="1"/>
      <c r="AG26" s="16" t="s">
        <v>21</v>
      </c>
      <c r="AH26" s="16" t="str">
        <f t="shared" si="54"/>
        <v>MS005_CXT_PBC</v>
      </c>
      <c r="AI26" s="49" t="str">
        <f t="shared" si="55"/>
        <v>MP001 Product-FT_GB_ROOM</v>
      </c>
      <c r="AJ26" s="49" t="str">
        <f t="shared" si="56"/>
        <v>ME001 Product-FT_GB_ROOM</v>
      </c>
      <c r="AK26" s="49" t="str">
        <f t="shared" si="57"/>
        <v>MG001 Product-FT_GB_ROOM</v>
      </c>
      <c r="AL26" s="49" t="str">
        <f t="shared" si="58"/>
        <v>MS005 Product-FT_GB_ROOM</v>
      </c>
      <c r="AM26" s="49" t="str">
        <f t="shared" si="59"/>
        <v>MD009 Product-FT_GB_ROOM</v>
      </c>
      <c r="AN26" s="49" t="str">
        <f t="shared" si="60"/>
        <v>MI003 Product-FT_GB_ROOM</v>
      </c>
      <c r="AO26" s="49" t="str">
        <f t="shared" si="61"/>
        <v>MPS001 Product-FT_GB_ROOM</v>
      </c>
      <c r="AP26" s="50" t="s">
        <v>20</v>
      </c>
      <c r="AQ26" s="50" t="s">
        <v>20</v>
      </c>
      <c r="AR26" s="50" t="s">
        <v>20</v>
      </c>
      <c r="AS26" s="50" t="s">
        <v>20</v>
      </c>
      <c r="AT26" s="50" t="s">
        <v>20</v>
      </c>
      <c r="AU26" s="30" t="s">
        <v>14</v>
      </c>
      <c r="AV26" s="1"/>
      <c r="AW26" s="16" t="s">
        <v>21</v>
      </c>
      <c r="AX26" s="1" t="str">
        <f t="shared" si="62"/>
        <v>MS005_CXT_PBC</v>
      </c>
      <c r="AY26" s="30" t="s">
        <v>119</v>
      </c>
      <c r="AZ26" s="30" t="s">
        <v>120</v>
      </c>
      <c r="BA26" s="30" t="s">
        <v>121</v>
      </c>
      <c r="BB26" s="32" t="s">
        <v>161</v>
      </c>
      <c r="BC26" s="32" t="s">
        <v>237</v>
      </c>
      <c r="BD26" s="32" t="s">
        <v>199</v>
      </c>
      <c r="BE26" s="30" t="s">
        <v>28</v>
      </c>
      <c r="BF26" s="30" t="s">
        <v>29</v>
      </c>
      <c r="BG26" s="30" t="s">
        <v>29</v>
      </c>
      <c r="BH26" s="30" t="s">
        <v>29</v>
      </c>
      <c r="BI26" s="30" t="s">
        <v>19</v>
      </c>
      <c r="BJ26" s="30" t="s">
        <v>29</v>
      </c>
      <c r="BK26" s="30" t="s">
        <v>14</v>
      </c>
      <c r="BL26" s="1"/>
      <c r="BM26" s="16" t="s">
        <v>21</v>
      </c>
      <c r="BN26" s="1" t="str">
        <f t="shared" si="63"/>
        <v>MS005_CXT_PBC</v>
      </c>
      <c r="BO26" s="30" t="s">
        <v>126</v>
      </c>
      <c r="BP26" s="30" t="s">
        <v>127</v>
      </c>
      <c r="BQ26" s="30" t="s">
        <v>128</v>
      </c>
      <c r="BR26" s="32" t="s">
        <v>164</v>
      </c>
      <c r="BS26" s="32" t="s">
        <v>238</v>
      </c>
      <c r="BT26" s="32" t="s">
        <v>202</v>
      </c>
      <c r="BU26" s="30" t="s">
        <v>153</v>
      </c>
      <c r="BV26" s="30" t="s">
        <v>30</v>
      </c>
      <c r="BW26" s="30" t="s">
        <v>30</v>
      </c>
      <c r="BX26" s="30" t="s">
        <v>30</v>
      </c>
      <c r="BY26" s="30" t="s">
        <v>19</v>
      </c>
      <c r="BZ26" s="30" t="s">
        <v>30</v>
      </c>
      <c r="CA26" s="30" t="s">
        <v>31</v>
      </c>
      <c r="CB26" s="1"/>
      <c r="CC26" s="16" t="s">
        <v>21</v>
      </c>
      <c r="CD26" s="1" t="str">
        <f t="shared" si="64"/>
        <v>MS005_CXT_PBC</v>
      </c>
      <c r="CE26" s="30" t="s">
        <v>133</v>
      </c>
      <c r="CF26" s="30" t="s">
        <v>134</v>
      </c>
      <c r="CG26" s="30" t="s">
        <v>135</v>
      </c>
      <c r="CH26" s="32" t="s">
        <v>167</v>
      </c>
      <c r="CI26" s="32" t="s">
        <v>239</v>
      </c>
      <c r="CJ26" s="32" t="s">
        <v>205</v>
      </c>
      <c r="CK26" s="30" t="s">
        <v>155</v>
      </c>
      <c r="CL26" s="30" t="s">
        <v>50</v>
      </c>
      <c r="CM26" s="30" t="s">
        <v>50</v>
      </c>
      <c r="CN26" s="30" t="s">
        <v>50</v>
      </c>
      <c r="CO26" s="30" t="s">
        <v>19</v>
      </c>
      <c r="CP26" s="30" t="s">
        <v>50</v>
      </c>
      <c r="CQ26" s="30" t="s">
        <v>14</v>
      </c>
      <c r="CR26" s="1"/>
      <c r="CS26" s="16" t="s">
        <v>21</v>
      </c>
      <c r="CT26" s="16" t="str">
        <f t="shared" si="65"/>
        <v>MS005_CXT_PBC</v>
      </c>
      <c r="CU26" s="30" t="s">
        <v>140</v>
      </c>
      <c r="CV26" s="30" t="s">
        <v>141</v>
      </c>
      <c r="CW26" s="30" t="s">
        <v>142</v>
      </c>
      <c r="CX26" s="32" t="s">
        <v>170</v>
      </c>
      <c r="CY26" s="32" t="s">
        <v>240</v>
      </c>
      <c r="CZ26" s="32" t="s">
        <v>208</v>
      </c>
      <c r="DA26" s="30" t="s">
        <v>157</v>
      </c>
      <c r="DB26" s="30" t="s">
        <v>49</v>
      </c>
      <c r="DC26" s="30" t="s">
        <v>49</v>
      </c>
      <c r="DD26" s="30" t="s">
        <v>49</v>
      </c>
      <c r="DE26" s="30" t="s">
        <v>19</v>
      </c>
      <c r="DF26" s="30" t="s">
        <v>49</v>
      </c>
      <c r="DG26" s="30" t="s">
        <v>14</v>
      </c>
    </row>
    <row r="27" spans="1:112" s="28" customFormat="1" ht="17">
      <c r="A27" s="1" t="s">
        <v>96</v>
      </c>
      <c r="B27" s="1" t="s">
        <v>94</v>
      </c>
      <c r="C27" s="30" t="s">
        <v>22</v>
      </c>
      <c r="D27" s="30" t="s">
        <v>23</v>
      </c>
      <c r="E27" s="31" t="s">
        <v>99</v>
      </c>
      <c r="F27" s="30" t="s">
        <v>25</v>
      </c>
      <c r="G27" s="30" t="s">
        <v>26</v>
      </c>
      <c r="H27" s="30" t="s">
        <v>27</v>
      </c>
      <c r="I27" s="30" t="s">
        <v>35</v>
      </c>
      <c r="J27" s="30" t="s">
        <v>36</v>
      </c>
      <c r="K27" s="30" t="s">
        <v>36</v>
      </c>
      <c r="L27" s="30" t="s">
        <v>36</v>
      </c>
      <c r="M27" s="30" t="s">
        <v>19</v>
      </c>
      <c r="N27" s="30" t="s">
        <v>36</v>
      </c>
      <c r="O27" s="30" t="s">
        <v>14</v>
      </c>
      <c r="P27" s="1"/>
      <c r="Q27" s="16" t="s">
        <v>96</v>
      </c>
      <c r="R27" s="16" t="s">
        <v>94</v>
      </c>
      <c r="S27" s="30" t="s">
        <v>106</v>
      </c>
      <c r="T27" s="30" t="s">
        <v>107</v>
      </c>
      <c r="U27" s="31" t="s">
        <v>241</v>
      </c>
      <c r="V27" s="30" t="s">
        <v>147</v>
      </c>
      <c r="W27" s="30" t="s">
        <v>110</v>
      </c>
      <c r="X27" s="30" t="s">
        <v>111</v>
      </c>
      <c r="Y27" s="30" t="s">
        <v>148</v>
      </c>
      <c r="Z27" s="30" t="s">
        <v>37</v>
      </c>
      <c r="AA27" s="30" t="s">
        <v>37</v>
      </c>
      <c r="AB27" s="30" t="s">
        <v>37</v>
      </c>
      <c r="AC27" s="50" t="s">
        <v>19</v>
      </c>
      <c r="AD27" s="50" t="s">
        <v>37</v>
      </c>
      <c r="AE27" s="30" t="s">
        <v>14</v>
      </c>
      <c r="AF27" s="1"/>
      <c r="AG27" s="16" t="s">
        <v>96</v>
      </c>
      <c r="AH27" s="16" t="s">
        <v>94</v>
      </c>
      <c r="AI27" s="30" t="s">
        <v>112</v>
      </c>
      <c r="AJ27" s="30" t="s">
        <v>113</v>
      </c>
      <c r="AK27" s="31" t="s">
        <v>242</v>
      </c>
      <c r="AL27" s="30" t="s">
        <v>149</v>
      </c>
      <c r="AM27" s="30" t="s">
        <v>116</v>
      </c>
      <c r="AN27" s="30" t="s">
        <v>117</v>
      </c>
      <c r="AO27" s="30" t="s">
        <v>150</v>
      </c>
      <c r="AP27" s="30" t="s">
        <v>20</v>
      </c>
      <c r="AQ27" s="30" t="s">
        <v>20</v>
      </c>
      <c r="AR27" s="30" t="s">
        <v>20</v>
      </c>
      <c r="AS27" s="30" t="s">
        <v>19</v>
      </c>
      <c r="AT27" s="30" t="s">
        <v>20</v>
      </c>
      <c r="AU27" s="30" t="s">
        <v>14</v>
      </c>
      <c r="AV27" s="1"/>
      <c r="AW27" s="16" t="s">
        <v>96</v>
      </c>
      <c r="AX27" s="1" t="s">
        <v>94</v>
      </c>
      <c r="AY27" s="30" t="s">
        <v>119</v>
      </c>
      <c r="AZ27" s="30" t="s">
        <v>120</v>
      </c>
      <c r="BA27" s="31" t="s">
        <v>243</v>
      </c>
      <c r="BB27" s="30" t="s">
        <v>151</v>
      </c>
      <c r="BC27" s="30" t="s">
        <v>123</v>
      </c>
      <c r="BD27" s="30" t="s">
        <v>124</v>
      </c>
      <c r="BE27" s="30" t="s">
        <v>28</v>
      </c>
      <c r="BF27" s="30" t="s">
        <v>29</v>
      </c>
      <c r="BG27" s="30" t="s">
        <v>29</v>
      </c>
      <c r="BH27" s="30" t="s">
        <v>29</v>
      </c>
      <c r="BI27" s="30" t="s">
        <v>19</v>
      </c>
      <c r="BJ27" s="30" t="s">
        <v>29</v>
      </c>
      <c r="BK27" s="30" t="s">
        <v>14</v>
      </c>
      <c r="BL27" s="1"/>
      <c r="BM27" s="16" t="s">
        <v>96</v>
      </c>
      <c r="BN27" s="1" t="s">
        <v>94</v>
      </c>
      <c r="BO27" s="30" t="s">
        <v>126</v>
      </c>
      <c r="BP27" s="30" t="s">
        <v>127</v>
      </c>
      <c r="BQ27" s="31" t="s">
        <v>244</v>
      </c>
      <c r="BR27" s="30" t="s">
        <v>152</v>
      </c>
      <c r="BS27" s="30" t="s">
        <v>130</v>
      </c>
      <c r="BT27" s="30" t="s">
        <v>131</v>
      </c>
      <c r="BU27" s="30" t="s">
        <v>153</v>
      </c>
      <c r="BV27" s="30" t="s">
        <v>30</v>
      </c>
      <c r="BW27" s="30" t="s">
        <v>30</v>
      </c>
      <c r="BX27" s="30" t="s">
        <v>30</v>
      </c>
      <c r="BY27" s="30" t="s">
        <v>19</v>
      </c>
      <c r="BZ27" s="30" t="s">
        <v>30</v>
      </c>
      <c r="CA27" s="30" t="s">
        <v>31</v>
      </c>
      <c r="CB27" s="1"/>
      <c r="CC27" s="16" t="s">
        <v>96</v>
      </c>
      <c r="CD27" s="1" t="s">
        <v>94</v>
      </c>
      <c r="CE27" s="30" t="s">
        <v>133</v>
      </c>
      <c r="CF27" s="30" t="s">
        <v>134</v>
      </c>
      <c r="CG27" s="31" t="s">
        <v>245</v>
      </c>
      <c r="CH27" s="30" t="s">
        <v>154</v>
      </c>
      <c r="CI27" s="30" t="s">
        <v>137</v>
      </c>
      <c r="CJ27" s="30" t="s">
        <v>138</v>
      </c>
      <c r="CK27" s="30" t="s">
        <v>155</v>
      </c>
      <c r="CL27" s="30" t="s">
        <v>50</v>
      </c>
      <c r="CM27" s="30" t="s">
        <v>50</v>
      </c>
      <c r="CN27" s="30" t="s">
        <v>50</v>
      </c>
      <c r="CO27" s="30" t="s">
        <v>19</v>
      </c>
      <c r="CP27" s="30" t="s">
        <v>50</v>
      </c>
      <c r="CQ27" s="30" t="s">
        <v>14</v>
      </c>
      <c r="CR27" s="1"/>
      <c r="CS27" s="16" t="s">
        <v>96</v>
      </c>
      <c r="CT27" s="16" t="s">
        <v>94</v>
      </c>
      <c r="CU27" s="30" t="s">
        <v>140</v>
      </c>
      <c r="CV27" s="30" t="s">
        <v>141</v>
      </c>
      <c r="CW27" s="31" t="s">
        <v>246</v>
      </c>
      <c r="CX27" s="30" t="s">
        <v>156</v>
      </c>
      <c r="CY27" s="30" t="s">
        <v>144</v>
      </c>
      <c r="CZ27" s="30" t="s">
        <v>145</v>
      </c>
      <c r="DA27" s="30" t="s">
        <v>157</v>
      </c>
      <c r="DB27" s="30" t="s">
        <v>49</v>
      </c>
      <c r="DC27" s="30" t="s">
        <v>49</v>
      </c>
      <c r="DD27" s="30" t="s">
        <v>49</v>
      </c>
      <c r="DE27" s="30" t="s">
        <v>19</v>
      </c>
      <c r="DF27" s="30" t="s">
        <v>49</v>
      </c>
      <c r="DG27" s="30" t="s">
        <v>14</v>
      </c>
    </row>
    <row r="28" spans="1:112" s="28" customFormat="1" ht="17">
      <c r="A28" s="16" t="s">
        <v>21</v>
      </c>
      <c r="B28" s="47" t="s">
        <v>95</v>
      </c>
      <c r="C28" s="30" t="s">
        <v>22</v>
      </c>
      <c r="D28" s="30" t="s">
        <v>23</v>
      </c>
      <c r="E28" s="30" t="s">
        <v>24</v>
      </c>
      <c r="F28" s="32" t="s">
        <v>55</v>
      </c>
      <c r="G28" s="31" t="s">
        <v>252</v>
      </c>
      <c r="H28" s="32" t="s">
        <v>39</v>
      </c>
      <c r="I28" s="30" t="s">
        <v>35</v>
      </c>
      <c r="J28" s="30" t="s">
        <v>36</v>
      </c>
      <c r="K28" s="30" t="s">
        <v>36</v>
      </c>
      <c r="L28" s="30" t="s">
        <v>36</v>
      </c>
      <c r="M28" s="30" t="s">
        <v>19</v>
      </c>
      <c r="N28" s="30" t="s">
        <v>36</v>
      </c>
      <c r="O28" s="30" t="s">
        <v>14</v>
      </c>
      <c r="P28" s="1"/>
      <c r="Q28" s="16" t="s">
        <v>21</v>
      </c>
      <c r="R28" s="16" t="str">
        <f>B28</f>
        <v>MD008_SSBI_PBC</v>
      </c>
      <c r="S28" s="49" t="str">
        <f t="shared" ref="S28:X28" si="66">LEFT(C28,5)&amp;" Product-CP_GB_HOT"</f>
        <v>MP001 Product-CP_GB_HOT</v>
      </c>
      <c r="T28" s="49" t="str">
        <f t="shared" si="66"/>
        <v>ME001 Product-CP_GB_HOT</v>
      </c>
      <c r="U28" s="49" t="str">
        <f t="shared" si="66"/>
        <v>MG001 Product-CP_GB_HOT</v>
      </c>
      <c r="V28" s="49" t="str">
        <f t="shared" si="66"/>
        <v>MS005 Product-CP_GB_HOT</v>
      </c>
      <c r="W28" s="49" t="str">
        <f t="shared" si="66"/>
        <v>MD009 Product-CP_GB_HOT</v>
      </c>
      <c r="X28" s="49" t="str">
        <f t="shared" si="66"/>
        <v>MI003 Product-CP_GB_HOT</v>
      </c>
      <c r="Y28" s="49" t="str">
        <f>LEFT(I28,6)&amp;" Product-CP_GB_HOT"</f>
        <v>MPS001 Product-CP_GB_HOT</v>
      </c>
      <c r="Z28" s="50" t="s">
        <v>37</v>
      </c>
      <c r="AA28" s="50" t="s">
        <v>37</v>
      </c>
      <c r="AB28" s="50" t="s">
        <v>37</v>
      </c>
      <c r="AC28" s="50" t="s">
        <v>19</v>
      </c>
      <c r="AD28" s="50" t="s">
        <v>37</v>
      </c>
      <c r="AE28" s="30" t="s">
        <v>14</v>
      </c>
      <c r="AF28" s="1"/>
      <c r="AG28" s="16" t="s">
        <v>21</v>
      </c>
      <c r="AH28" s="16" t="str">
        <f>B28</f>
        <v>MD008_SSBI_PBC</v>
      </c>
      <c r="AI28" s="49" t="str">
        <f t="shared" ref="AI28:AN28" si="67">LEFT(C28,5)&amp;" Product-FT_GB_ROOM"</f>
        <v>MP001 Product-FT_GB_ROOM</v>
      </c>
      <c r="AJ28" s="49" t="str">
        <f t="shared" si="67"/>
        <v>ME001 Product-FT_GB_ROOM</v>
      </c>
      <c r="AK28" s="49" t="str">
        <f t="shared" si="67"/>
        <v>MG001 Product-FT_GB_ROOM</v>
      </c>
      <c r="AL28" s="49" t="str">
        <f t="shared" si="67"/>
        <v>MS005 Product-FT_GB_ROOM</v>
      </c>
      <c r="AM28" s="49" t="str">
        <f t="shared" si="67"/>
        <v>MD009 Product-FT_GB_ROOM</v>
      </c>
      <c r="AN28" s="49" t="str">
        <f t="shared" si="67"/>
        <v>MI003 Product-FT_GB_ROOM</v>
      </c>
      <c r="AO28" s="49" t="str">
        <f>LEFT(I28,6)&amp;" Product-FT_GB_ROOM"</f>
        <v>MPS001 Product-FT_GB_ROOM</v>
      </c>
      <c r="AP28" s="50" t="s">
        <v>20</v>
      </c>
      <c r="AQ28" s="50" t="s">
        <v>20</v>
      </c>
      <c r="AR28" s="50" t="s">
        <v>20</v>
      </c>
      <c r="AS28" s="50" t="s">
        <v>19</v>
      </c>
      <c r="AT28" s="50" t="s">
        <v>20</v>
      </c>
      <c r="AU28" s="30" t="s">
        <v>14</v>
      </c>
      <c r="AV28" s="1"/>
      <c r="AW28" s="16" t="s">
        <v>21</v>
      </c>
      <c r="AX28" s="1" t="str">
        <f>B28</f>
        <v>MD008_SSBI_PBC</v>
      </c>
      <c r="AY28" s="30" t="s">
        <v>119</v>
      </c>
      <c r="AZ28" s="30" t="s">
        <v>120</v>
      </c>
      <c r="BA28" s="30" t="s">
        <v>121</v>
      </c>
      <c r="BB28" s="32" t="s">
        <v>161</v>
      </c>
      <c r="BC28" s="32" t="s">
        <v>237</v>
      </c>
      <c r="BD28" s="32" t="s">
        <v>199</v>
      </c>
      <c r="BE28" s="30" t="s">
        <v>28</v>
      </c>
      <c r="BF28" s="30" t="s">
        <v>29</v>
      </c>
      <c r="BG28" s="30" t="s">
        <v>29</v>
      </c>
      <c r="BH28" s="30" t="s">
        <v>29</v>
      </c>
      <c r="BI28" s="30" t="s">
        <v>19</v>
      </c>
      <c r="BJ28" s="30" t="s">
        <v>29</v>
      </c>
      <c r="BK28" s="30" t="s">
        <v>14</v>
      </c>
      <c r="BL28" s="1"/>
      <c r="BM28" s="16" t="s">
        <v>21</v>
      </c>
      <c r="BN28" s="1" t="str">
        <f>B28</f>
        <v>MD008_SSBI_PBC</v>
      </c>
      <c r="BO28" s="30" t="s">
        <v>126</v>
      </c>
      <c r="BP28" s="30" t="s">
        <v>127</v>
      </c>
      <c r="BQ28" s="30" t="s">
        <v>128</v>
      </c>
      <c r="BR28" s="32" t="s">
        <v>164</v>
      </c>
      <c r="BS28" s="32" t="s">
        <v>238</v>
      </c>
      <c r="BT28" s="32" t="s">
        <v>202</v>
      </c>
      <c r="BU28" s="30" t="s">
        <v>153</v>
      </c>
      <c r="BV28" s="30" t="s">
        <v>30</v>
      </c>
      <c r="BW28" s="30" t="s">
        <v>30</v>
      </c>
      <c r="BX28" s="30" t="s">
        <v>30</v>
      </c>
      <c r="BY28" s="30" t="s">
        <v>19</v>
      </c>
      <c r="BZ28" s="30" t="s">
        <v>30</v>
      </c>
      <c r="CA28" s="30" t="s">
        <v>31</v>
      </c>
      <c r="CB28" s="1"/>
      <c r="CC28" s="16" t="s">
        <v>21</v>
      </c>
      <c r="CD28" s="1" t="str">
        <f>B28</f>
        <v>MD008_SSBI_PBC</v>
      </c>
      <c r="CE28" s="30" t="s">
        <v>133</v>
      </c>
      <c r="CF28" s="30" t="s">
        <v>134</v>
      </c>
      <c r="CG28" s="30" t="s">
        <v>135</v>
      </c>
      <c r="CH28" s="32" t="s">
        <v>167</v>
      </c>
      <c r="CI28" s="32" t="s">
        <v>239</v>
      </c>
      <c r="CJ28" s="32" t="s">
        <v>205</v>
      </c>
      <c r="CK28" s="30" t="s">
        <v>155</v>
      </c>
      <c r="CL28" s="30" t="s">
        <v>50</v>
      </c>
      <c r="CM28" s="30" t="s">
        <v>50</v>
      </c>
      <c r="CN28" s="30" t="s">
        <v>50</v>
      </c>
      <c r="CO28" s="30" t="s">
        <v>19</v>
      </c>
      <c r="CP28" s="30" t="s">
        <v>50</v>
      </c>
      <c r="CQ28" s="30" t="s">
        <v>14</v>
      </c>
      <c r="CR28" s="1"/>
      <c r="CS28" s="16" t="s">
        <v>21</v>
      </c>
      <c r="CT28" s="16" t="str">
        <f>B28</f>
        <v>MD008_SSBI_PBC</v>
      </c>
      <c r="CU28" s="30" t="s">
        <v>140</v>
      </c>
      <c r="CV28" s="30" t="s">
        <v>141</v>
      </c>
      <c r="CW28" s="30" t="s">
        <v>142</v>
      </c>
      <c r="CX28" s="32" t="s">
        <v>170</v>
      </c>
      <c r="CY28" s="32" t="s">
        <v>240</v>
      </c>
      <c r="CZ28" s="32" t="s">
        <v>208</v>
      </c>
      <c r="DA28" s="30" t="s">
        <v>157</v>
      </c>
      <c r="DB28" s="30" t="s">
        <v>49</v>
      </c>
      <c r="DC28" s="30" t="s">
        <v>49</v>
      </c>
      <c r="DD28" s="30" t="s">
        <v>49</v>
      </c>
      <c r="DE28" s="30" t="s">
        <v>19</v>
      </c>
      <c r="DF28" s="30" t="s">
        <v>49</v>
      </c>
      <c r="DG28" s="30" t="s">
        <v>14</v>
      </c>
    </row>
    <row r="29" spans="1:112" s="28" customFormat="1" ht="17">
      <c r="A29" s="28" t="s">
        <v>21</v>
      </c>
      <c r="B29" s="1" t="s">
        <v>105</v>
      </c>
      <c r="C29" s="36" t="s">
        <v>22</v>
      </c>
      <c r="D29" s="30" t="s">
        <v>23</v>
      </c>
      <c r="E29" s="30" t="s">
        <v>24</v>
      </c>
      <c r="F29" s="32" t="s">
        <v>55</v>
      </c>
      <c r="G29" s="30" t="s">
        <v>26</v>
      </c>
      <c r="H29" s="30" t="s">
        <v>27</v>
      </c>
      <c r="I29" s="30" t="s">
        <v>35</v>
      </c>
      <c r="J29" s="36" t="s">
        <v>36</v>
      </c>
      <c r="K29" s="36" t="s">
        <v>36</v>
      </c>
      <c r="L29" s="36" t="s">
        <v>36</v>
      </c>
      <c r="M29" s="32" t="s">
        <v>36</v>
      </c>
      <c r="N29" s="36" t="s">
        <v>36</v>
      </c>
      <c r="O29" s="36" t="s">
        <v>14</v>
      </c>
      <c r="P29" s="1"/>
      <c r="Q29" s="28" t="s">
        <v>21</v>
      </c>
      <c r="R29" s="28" t="s">
        <v>105</v>
      </c>
      <c r="S29" s="36" t="s">
        <v>106</v>
      </c>
      <c r="T29" s="36" t="s">
        <v>107</v>
      </c>
      <c r="U29" s="36" t="s">
        <v>108</v>
      </c>
      <c r="V29" s="37" t="s">
        <v>109</v>
      </c>
      <c r="W29" s="37" t="s">
        <v>110</v>
      </c>
      <c r="X29" s="37" t="s">
        <v>111</v>
      </c>
      <c r="Y29" s="30" t="s">
        <v>148</v>
      </c>
      <c r="Z29" s="36" t="s">
        <v>37</v>
      </c>
      <c r="AA29" s="36" t="s">
        <v>37</v>
      </c>
      <c r="AB29" s="36" t="s">
        <v>37</v>
      </c>
      <c r="AC29" s="50" t="s">
        <v>19</v>
      </c>
      <c r="AD29" s="50" t="s">
        <v>37</v>
      </c>
      <c r="AE29" s="36" t="s">
        <v>14</v>
      </c>
      <c r="AF29" s="1"/>
      <c r="AG29" s="28" t="s">
        <v>21</v>
      </c>
      <c r="AH29" s="28" t="s">
        <v>105</v>
      </c>
      <c r="AI29" s="36" t="s">
        <v>112</v>
      </c>
      <c r="AJ29" s="36" t="s">
        <v>113</v>
      </c>
      <c r="AK29" s="36" t="s">
        <v>114</v>
      </c>
      <c r="AL29" s="37" t="s">
        <v>115</v>
      </c>
      <c r="AM29" s="37" t="s">
        <v>116</v>
      </c>
      <c r="AN29" s="37" t="s">
        <v>117</v>
      </c>
      <c r="AO29" s="36" t="s">
        <v>118</v>
      </c>
      <c r="AP29" s="36" t="s">
        <v>20</v>
      </c>
      <c r="AQ29" s="36" t="s">
        <v>20</v>
      </c>
      <c r="AR29" s="36" t="s">
        <v>20</v>
      </c>
      <c r="AS29" s="36" t="s">
        <v>20</v>
      </c>
      <c r="AT29" s="36" t="s">
        <v>20</v>
      </c>
      <c r="AU29" s="36" t="s">
        <v>14</v>
      </c>
      <c r="AV29" s="1"/>
      <c r="AW29" s="28" t="s">
        <v>21</v>
      </c>
      <c r="AX29" s="1" t="s">
        <v>105</v>
      </c>
      <c r="AY29" s="36" t="s">
        <v>119</v>
      </c>
      <c r="AZ29" s="36" t="s">
        <v>120</v>
      </c>
      <c r="BA29" s="36" t="s">
        <v>121</v>
      </c>
      <c r="BB29" s="37" t="s">
        <v>122</v>
      </c>
      <c r="BC29" s="37" t="s">
        <v>123</v>
      </c>
      <c r="BD29" s="37" t="s">
        <v>124</v>
      </c>
      <c r="BE29" s="36" t="s">
        <v>125</v>
      </c>
      <c r="BF29" s="36" t="s">
        <v>29</v>
      </c>
      <c r="BG29" s="36" t="s">
        <v>29</v>
      </c>
      <c r="BH29" s="36" t="s">
        <v>29</v>
      </c>
      <c r="BI29" s="36" t="s">
        <v>29</v>
      </c>
      <c r="BJ29" s="36" t="s">
        <v>29</v>
      </c>
      <c r="BK29" s="36" t="s">
        <v>14</v>
      </c>
      <c r="BL29" s="1"/>
      <c r="BM29" s="28" t="s">
        <v>21</v>
      </c>
      <c r="BN29" s="1" t="s">
        <v>105</v>
      </c>
      <c r="BO29" s="36" t="s">
        <v>126</v>
      </c>
      <c r="BP29" s="36" t="s">
        <v>127</v>
      </c>
      <c r="BQ29" s="36" t="s">
        <v>128</v>
      </c>
      <c r="BR29" s="37" t="s">
        <v>129</v>
      </c>
      <c r="BS29" s="37" t="s">
        <v>130</v>
      </c>
      <c r="BT29" s="37" t="s">
        <v>131</v>
      </c>
      <c r="BU29" s="36" t="s">
        <v>132</v>
      </c>
      <c r="BV29" s="36" t="s">
        <v>30</v>
      </c>
      <c r="BW29" s="36" t="s">
        <v>30</v>
      </c>
      <c r="BX29" s="36" t="s">
        <v>30</v>
      </c>
      <c r="BY29" s="36" t="s">
        <v>30</v>
      </c>
      <c r="BZ29" s="36" t="s">
        <v>30</v>
      </c>
      <c r="CA29" s="36" t="s">
        <v>31</v>
      </c>
      <c r="CB29" s="1"/>
      <c r="CC29" s="28" t="s">
        <v>21</v>
      </c>
      <c r="CD29" s="1" t="s">
        <v>105</v>
      </c>
      <c r="CE29" s="36" t="s">
        <v>133</v>
      </c>
      <c r="CF29" s="36" t="s">
        <v>134</v>
      </c>
      <c r="CG29" s="36" t="s">
        <v>135</v>
      </c>
      <c r="CH29" s="37" t="s">
        <v>136</v>
      </c>
      <c r="CI29" s="37" t="s">
        <v>137</v>
      </c>
      <c r="CJ29" s="37" t="s">
        <v>138</v>
      </c>
      <c r="CK29" s="36" t="s">
        <v>139</v>
      </c>
      <c r="CL29" s="36" t="s">
        <v>50</v>
      </c>
      <c r="CM29" s="36" t="s">
        <v>50</v>
      </c>
      <c r="CN29" s="36" t="s">
        <v>50</v>
      </c>
      <c r="CO29" s="36" t="s">
        <v>50</v>
      </c>
      <c r="CP29" s="36" t="s">
        <v>50</v>
      </c>
      <c r="CQ29" s="36" t="s">
        <v>31</v>
      </c>
      <c r="CR29" s="1"/>
      <c r="CS29" s="28" t="s">
        <v>21</v>
      </c>
      <c r="CT29" s="28" t="s">
        <v>105</v>
      </c>
      <c r="CU29" s="36" t="s">
        <v>140</v>
      </c>
      <c r="CV29" s="36" t="s">
        <v>141</v>
      </c>
      <c r="CW29" s="36" t="s">
        <v>142</v>
      </c>
      <c r="CX29" s="37" t="s">
        <v>143</v>
      </c>
      <c r="CY29" s="37" t="s">
        <v>144</v>
      </c>
      <c r="CZ29" s="37" t="s">
        <v>145</v>
      </c>
      <c r="DA29" s="36" t="s">
        <v>146</v>
      </c>
      <c r="DB29" s="36" t="s">
        <v>49</v>
      </c>
      <c r="DC29" s="36" t="s">
        <v>49</v>
      </c>
      <c r="DD29" s="36" t="s">
        <v>49</v>
      </c>
      <c r="DE29" s="36" t="s">
        <v>49</v>
      </c>
      <c r="DF29" s="36" t="s">
        <v>49</v>
      </c>
      <c r="DG29" s="36" t="s">
        <v>31</v>
      </c>
    </row>
    <row r="30" spans="1:112" s="28" customFormat="1" ht="17">
      <c r="A30" s="1" t="s">
        <v>96</v>
      </c>
      <c r="B30" s="1" t="s">
        <v>257</v>
      </c>
      <c r="C30" s="30" t="s">
        <v>22</v>
      </c>
      <c r="D30" s="30" t="s">
        <v>23</v>
      </c>
      <c r="E30" s="31" t="s">
        <v>24</v>
      </c>
      <c r="F30" s="30" t="s">
        <v>56</v>
      </c>
      <c r="G30" s="30" t="s">
        <v>26</v>
      </c>
      <c r="H30" s="30" t="s">
        <v>27</v>
      </c>
      <c r="I30" s="30" t="s">
        <v>35</v>
      </c>
      <c r="J30" s="30" t="s">
        <v>258</v>
      </c>
      <c r="K30" s="30" t="s">
        <v>258</v>
      </c>
      <c r="L30" s="30" t="s">
        <v>36</v>
      </c>
      <c r="M30" s="30" t="s">
        <v>19</v>
      </c>
      <c r="N30" s="30" t="s">
        <v>36</v>
      </c>
      <c r="O30" s="30" t="s">
        <v>14</v>
      </c>
      <c r="P30" s="1"/>
      <c r="Q30" s="16" t="s">
        <v>96</v>
      </c>
      <c r="R30" s="16" t="str">
        <f>B30</f>
        <v>MG001_CMS_PBC</v>
      </c>
      <c r="S30" s="30" t="s">
        <v>106</v>
      </c>
      <c r="T30" s="30" t="s">
        <v>107</v>
      </c>
      <c r="U30" s="31" t="s">
        <v>241</v>
      </c>
      <c r="V30" s="30" t="s">
        <v>147</v>
      </c>
      <c r="W30" s="30" t="s">
        <v>110</v>
      </c>
      <c r="X30" s="30" t="s">
        <v>111</v>
      </c>
      <c r="Y30" s="30" t="s">
        <v>148</v>
      </c>
      <c r="Z30" s="30" t="s">
        <v>37</v>
      </c>
      <c r="AA30" s="30" t="s">
        <v>37</v>
      </c>
      <c r="AB30" s="30" t="s">
        <v>37</v>
      </c>
      <c r="AC30" s="50" t="s">
        <v>19</v>
      </c>
      <c r="AD30" s="50" t="s">
        <v>37</v>
      </c>
      <c r="AE30" s="30" t="s">
        <v>14</v>
      </c>
      <c r="AF30" s="1"/>
      <c r="AG30" s="16" t="s">
        <v>96</v>
      </c>
      <c r="AH30" s="16" t="str">
        <f>R30</f>
        <v>MG001_CMS_PBC</v>
      </c>
      <c r="AI30" s="30" t="s">
        <v>112</v>
      </c>
      <c r="AJ30" s="30" t="s">
        <v>113</v>
      </c>
      <c r="AK30" s="31" t="s">
        <v>242</v>
      </c>
      <c r="AL30" s="30" t="s">
        <v>149</v>
      </c>
      <c r="AM30" s="30" t="s">
        <v>116</v>
      </c>
      <c r="AN30" s="30" t="s">
        <v>117</v>
      </c>
      <c r="AO30" s="30" t="s">
        <v>150</v>
      </c>
      <c r="AP30" s="30" t="s">
        <v>20</v>
      </c>
      <c r="AQ30" s="30" t="s">
        <v>20</v>
      </c>
      <c r="AR30" s="30" t="s">
        <v>20</v>
      </c>
      <c r="AS30" s="30" t="s">
        <v>19</v>
      </c>
      <c r="AT30" s="30" t="s">
        <v>20</v>
      </c>
      <c r="AU30" s="30" t="s">
        <v>14</v>
      </c>
      <c r="AV30" s="1"/>
      <c r="AW30" s="16" t="s">
        <v>96</v>
      </c>
      <c r="AX30" s="16" t="str">
        <f>AH30</f>
        <v>MG001_CMS_PBC</v>
      </c>
      <c r="AY30" s="30" t="s">
        <v>119</v>
      </c>
      <c r="AZ30" s="30" t="s">
        <v>120</v>
      </c>
      <c r="BA30" s="31" t="s">
        <v>243</v>
      </c>
      <c r="BB30" s="30" t="s">
        <v>151</v>
      </c>
      <c r="BC30" s="30" t="s">
        <v>123</v>
      </c>
      <c r="BD30" s="30" t="s">
        <v>124</v>
      </c>
      <c r="BE30" s="30" t="s">
        <v>28</v>
      </c>
      <c r="BF30" s="30" t="s">
        <v>29</v>
      </c>
      <c r="BG30" s="30" t="s">
        <v>29</v>
      </c>
      <c r="BH30" s="30" t="s">
        <v>29</v>
      </c>
      <c r="BI30" s="30" t="s">
        <v>19</v>
      </c>
      <c r="BJ30" s="30" t="s">
        <v>29</v>
      </c>
      <c r="BK30" s="30" t="s">
        <v>14</v>
      </c>
      <c r="BL30" s="1"/>
      <c r="BM30" s="16" t="s">
        <v>96</v>
      </c>
      <c r="BN30" s="16" t="str">
        <f>AX30</f>
        <v>MG001_CMS_PBC</v>
      </c>
      <c r="BO30" s="30" t="s">
        <v>126</v>
      </c>
      <c r="BP30" s="30" t="s">
        <v>127</v>
      </c>
      <c r="BQ30" s="31" t="s">
        <v>244</v>
      </c>
      <c r="BR30" s="30" t="s">
        <v>152</v>
      </c>
      <c r="BS30" s="30" t="s">
        <v>130</v>
      </c>
      <c r="BT30" s="30" t="s">
        <v>131</v>
      </c>
      <c r="BU30" s="30" t="s">
        <v>153</v>
      </c>
      <c r="BV30" s="30" t="s">
        <v>30</v>
      </c>
      <c r="BW30" s="30" t="s">
        <v>30</v>
      </c>
      <c r="BX30" s="30" t="s">
        <v>30</v>
      </c>
      <c r="BY30" s="30" t="s">
        <v>19</v>
      </c>
      <c r="BZ30" s="30" t="s">
        <v>30</v>
      </c>
      <c r="CA30" s="30" t="s">
        <v>31</v>
      </c>
      <c r="CB30" s="1"/>
      <c r="CC30" s="16" t="s">
        <v>96</v>
      </c>
      <c r="CD30" s="16" t="str">
        <f>BN30</f>
        <v>MG001_CMS_PBC</v>
      </c>
      <c r="CE30" s="30" t="s">
        <v>133</v>
      </c>
      <c r="CF30" s="30" t="s">
        <v>134</v>
      </c>
      <c r="CG30" s="31" t="s">
        <v>245</v>
      </c>
      <c r="CH30" s="30" t="s">
        <v>154</v>
      </c>
      <c r="CI30" s="30" t="s">
        <v>137</v>
      </c>
      <c r="CJ30" s="30" t="s">
        <v>138</v>
      </c>
      <c r="CK30" s="30" t="s">
        <v>155</v>
      </c>
      <c r="CL30" s="30" t="s">
        <v>50</v>
      </c>
      <c r="CM30" s="30" t="s">
        <v>50</v>
      </c>
      <c r="CN30" s="30" t="s">
        <v>50</v>
      </c>
      <c r="CO30" s="30" t="s">
        <v>19</v>
      </c>
      <c r="CP30" s="30" t="s">
        <v>50</v>
      </c>
      <c r="CQ30" s="30" t="s">
        <v>14</v>
      </c>
      <c r="CR30" s="1"/>
      <c r="CS30" s="16" t="s">
        <v>96</v>
      </c>
      <c r="CT30" s="16" t="str">
        <f>CD30</f>
        <v>MG001_CMS_PBC</v>
      </c>
      <c r="CU30" s="30" t="s">
        <v>140</v>
      </c>
      <c r="CV30" s="30" t="s">
        <v>141</v>
      </c>
      <c r="CW30" s="31" t="s">
        <v>246</v>
      </c>
      <c r="CX30" s="30" t="s">
        <v>156</v>
      </c>
      <c r="CY30" s="30" t="s">
        <v>144</v>
      </c>
      <c r="CZ30" s="30" t="s">
        <v>145</v>
      </c>
      <c r="DA30" s="30" t="s">
        <v>157</v>
      </c>
      <c r="DB30" s="30" t="s">
        <v>49</v>
      </c>
      <c r="DC30" s="30" t="s">
        <v>49</v>
      </c>
      <c r="DD30" s="30" t="s">
        <v>49</v>
      </c>
      <c r="DE30" s="30" t="s">
        <v>19</v>
      </c>
      <c r="DF30" s="30" t="s">
        <v>49</v>
      </c>
      <c r="DG30" s="30" t="s">
        <v>14</v>
      </c>
    </row>
    <row r="31" spans="1:112" s="28" customFormat="1" ht="17">
      <c r="A31" s="1" t="s">
        <v>96</v>
      </c>
      <c r="B31" s="1" t="s">
        <v>259</v>
      </c>
      <c r="C31" s="30" t="s">
        <v>22</v>
      </c>
      <c r="D31" s="30" t="s">
        <v>23</v>
      </c>
      <c r="E31" s="31" t="s">
        <v>99</v>
      </c>
      <c r="F31" s="30" t="s">
        <v>56</v>
      </c>
      <c r="G31" s="30" t="s">
        <v>26</v>
      </c>
      <c r="H31" s="30" t="s">
        <v>27</v>
      </c>
      <c r="I31" s="30" t="s">
        <v>35</v>
      </c>
      <c r="J31" s="30" t="s">
        <v>258</v>
      </c>
      <c r="K31" s="30" t="s">
        <v>258</v>
      </c>
      <c r="L31" s="30" t="s">
        <v>36</v>
      </c>
      <c r="M31" s="30" t="s">
        <v>19</v>
      </c>
      <c r="N31" s="30" t="s">
        <v>36</v>
      </c>
      <c r="O31" s="30" t="s">
        <v>14</v>
      </c>
      <c r="P31" s="1"/>
      <c r="Q31" s="16" t="s">
        <v>96</v>
      </c>
      <c r="R31" s="16" t="str">
        <f>B31</f>
        <v>MG00D_CMS_PBC</v>
      </c>
      <c r="S31" s="30" t="s">
        <v>106</v>
      </c>
      <c r="T31" s="30" t="s">
        <v>107</v>
      </c>
      <c r="U31" s="31" t="s">
        <v>241</v>
      </c>
      <c r="V31" s="30" t="s">
        <v>147</v>
      </c>
      <c r="W31" s="30" t="s">
        <v>110</v>
      </c>
      <c r="X31" s="30" t="s">
        <v>111</v>
      </c>
      <c r="Y31" s="30" t="s">
        <v>148</v>
      </c>
      <c r="Z31" s="30" t="s">
        <v>37</v>
      </c>
      <c r="AA31" s="30" t="s">
        <v>37</v>
      </c>
      <c r="AB31" s="30" t="s">
        <v>37</v>
      </c>
      <c r="AC31" s="50" t="s">
        <v>19</v>
      </c>
      <c r="AD31" s="50" t="s">
        <v>37</v>
      </c>
      <c r="AE31" s="30" t="s">
        <v>14</v>
      </c>
      <c r="AF31" s="1"/>
      <c r="AG31" s="16" t="s">
        <v>96</v>
      </c>
      <c r="AH31" s="16" t="str">
        <f>R31</f>
        <v>MG00D_CMS_PBC</v>
      </c>
      <c r="AI31" s="30" t="s">
        <v>112</v>
      </c>
      <c r="AJ31" s="30" t="s">
        <v>113</v>
      </c>
      <c r="AK31" s="31" t="s">
        <v>242</v>
      </c>
      <c r="AL31" s="30" t="s">
        <v>149</v>
      </c>
      <c r="AM31" s="30" t="s">
        <v>116</v>
      </c>
      <c r="AN31" s="30" t="s">
        <v>117</v>
      </c>
      <c r="AO31" s="30" t="s">
        <v>150</v>
      </c>
      <c r="AP31" s="30" t="s">
        <v>20</v>
      </c>
      <c r="AQ31" s="30" t="s">
        <v>20</v>
      </c>
      <c r="AR31" s="30" t="s">
        <v>20</v>
      </c>
      <c r="AS31" s="30" t="s">
        <v>19</v>
      </c>
      <c r="AT31" s="30" t="s">
        <v>20</v>
      </c>
      <c r="AU31" s="30" t="s">
        <v>14</v>
      </c>
      <c r="AV31" s="1"/>
      <c r="AW31" s="16" t="s">
        <v>96</v>
      </c>
      <c r="AX31" s="16" t="str">
        <f>AH31</f>
        <v>MG00D_CMS_PBC</v>
      </c>
      <c r="AY31" s="30" t="s">
        <v>119</v>
      </c>
      <c r="AZ31" s="30" t="s">
        <v>120</v>
      </c>
      <c r="BA31" s="31" t="s">
        <v>243</v>
      </c>
      <c r="BB31" s="30" t="s">
        <v>151</v>
      </c>
      <c r="BC31" s="30" t="s">
        <v>123</v>
      </c>
      <c r="BD31" s="30" t="s">
        <v>124</v>
      </c>
      <c r="BE31" s="30" t="s">
        <v>28</v>
      </c>
      <c r="BF31" s="30" t="s">
        <v>29</v>
      </c>
      <c r="BG31" s="30" t="s">
        <v>29</v>
      </c>
      <c r="BH31" s="30" t="s">
        <v>29</v>
      </c>
      <c r="BI31" s="30" t="s">
        <v>19</v>
      </c>
      <c r="BJ31" s="30" t="s">
        <v>29</v>
      </c>
      <c r="BK31" s="30" t="s">
        <v>14</v>
      </c>
      <c r="BL31" s="1"/>
      <c r="BM31" s="16" t="s">
        <v>96</v>
      </c>
      <c r="BN31" s="16" t="str">
        <f>AX31</f>
        <v>MG00D_CMS_PBC</v>
      </c>
      <c r="BO31" s="30" t="s">
        <v>126</v>
      </c>
      <c r="BP31" s="30" t="s">
        <v>127</v>
      </c>
      <c r="BQ31" s="31" t="s">
        <v>244</v>
      </c>
      <c r="BR31" s="30" t="s">
        <v>152</v>
      </c>
      <c r="BS31" s="30" t="s">
        <v>130</v>
      </c>
      <c r="BT31" s="30" t="s">
        <v>131</v>
      </c>
      <c r="BU31" s="30" t="s">
        <v>153</v>
      </c>
      <c r="BV31" s="30" t="s">
        <v>30</v>
      </c>
      <c r="BW31" s="30" t="s">
        <v>30</v>
      </c>
      <c r="BX31" s="30" t="s">
        <v>30</v>
      </c>
      <c r="BY31" s="30" t="s">
        <v>19</v>
      </c>
      <c r="BZ31" s="30" t="s">
        <v>30</v>
      </c>
      <c r="CA31" s="30" t="s">
        <v>31</v>
      </c>
      <c r="CB31" s="1"/>
      <c r="CC31" s="16" t="s">
        <v>96</v>
      </c>
      <c r="CD31" s="16" t="str">
        <f>BN31</f>
        <v>MG00D_CMS_PBC</v>
      </c>
      <c r="CE31" s="30" t="s">
        <v>133</v>
      </c>
      <c r="CF31" s="30" t="s">
        <v>134</v>
      </c>
      <c r="CG31" s="31" t="s">
        <v>245</v>
      </c>
      <c r="CH31" s="30" t="s">
        <v>154</v>
      </c>
      <c r="CI31" s="30" t="s">
        <v>137</v>
      </c>
      <c r="CJ31" s="30" t="s">
        <v>138</v>
      </c>
      <c r="CK31" s="30" t="s">
        <v>155</v>
      </c>
      <c r="CL31" s="30" t="s">
        <v>50</v>
      </c>
      <c r="CM31" s="30" t="s">
        <v>50</v>
      </c>
      <c r="CN31" s="30" t="s">
        <v>50</v>
      </c>
      <c r="CO31" s="30" t="s">
        <v>19</v>
      </c>
      <c r="CP31" s="30" t="s">
        <v>50</v>
      </c>
      <c r="CQ31" s="30" t="s">
        <v>14</v>
      </c>
      <c r="CR31" s="1"/>
      <c r="CS31" s="16" t="s">
        <v>96</v>
      </c>
      <c r="CT31" s="16" t="str">
        <f>CD31</f>
        <v>MG00D_CMS_PBC</v>
      </c>
      <c r="CU31" s="30" t="s">
        <v>140</v>
      </c>
      <c r="CV31" s="30" t="s">
        <v>141</v>
      </c>
      <c r="CW31" s="31" t="s">
        <v>246</v>
      </c>
      <c r="CX31" s="30" t="s">
        <v>156</v>
      </c>
      <c r="CY31" s="30" t="s">
        <v>144</v>
      </c>
      <c r="CZ31" s="30" t="s">
        <v>145</v>
      </c>
      <c r="DA31" s="30" t="s">
        <v>157</v>
      </c>
      <c r="DB31" s="30" t="s">
        <v>49</v>
      </c>
      <c r="DC31" s="30" t="s">
        <v>49</v>
      </c>
      <c r="DD31" s="30" t="s">
        <v>49</v>
      </c>
      <c r="DE31" s="30" t="s">
        <v>19</v>
      </c>
      <c r="DF31" s="30" t="s">
        <v>49</v>
      </c>
      <c r="DG31" s="30" t="s">
        <v>14</v>
      </c>
    </row>
  </sheetData>
  <autoFilter ref="A3:DH31" xr:uid="{72D46159-EE8F-A046-905F-5814AC6E09D3}">
    <sortState xmlns:xlrd2="http://schemas.microsoft.com/office/spreadsheetml/2017/richdata2" ref="A5:DH29">
      <sortCondition ref="A3:A29"/>
    </sortState>
  </autoFilter>
  <mergeCells count="20">
    <mergeCell ref="CE2:CQ2"/>
    <mergeCell ref="CU2:DG2"/>
    <mergeCell ref="AX2:AX3"/>
    <mergeCell ref="AY2:BK2"/>
    <mergeCell ref="CD2:CD3"/>
    <mergeCell ref="BM2:BM3"/>
    <mergeCell ref="BN2:BN3"/>
    <mergeCell ref="BO2:CA2"/>
    <mergeCell ref="CT2:CT3"/>
    <mergeCell ref="CC2:CC3"/>
    <mergeCell ref="A2:A3"/>
    <mergeCell ref="B2:B3"/>
    <mergeCell ref="C2:O2"/>
    <mergeCell ref="Q2:Q3"/>
    <mergeCell ref="R2:R3"/>
    <mergeCell ref="AG2:AG3"/>
    <mergeCell ref="AH2:AH3"/>
    <mergeCell ref="AI2:AU2"/>
    <mergeCell ref="AW2:AW3"/>
    <mergeCell ref="S2:AE2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</vt:lpstr>
      <vt:lpstr>Flow_PostBincut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Ieng Chan</dc:creator>
  <cp:lastModifiedBy>Alan Lee</cp:lastModifiedBy>
  <dcterms:created xsi:type="dcterms:W3CDTF">2016-12-18T05:56:45Z</dcterms:created>
  <dcterms:modified xsi:type="dcterms:W3CDTF">2025-07-25T00:06:35Z</dcterms:modified>
</cp:coreProperties>
</file>