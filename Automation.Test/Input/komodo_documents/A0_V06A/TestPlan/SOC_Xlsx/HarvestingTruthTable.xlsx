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komodo_documents\A0_V05A\TestPlan\SOC_Xlsx\"/>
    </mc:Choice>
  </mc:AlternateContent>
  <bookViews>
    <workbookView xWindow="105840" yWindow="2760" windowWidth="35920" windowHeight="18840"/>
  </bookViews>
  <sheets>
    <sheet name="HarvestingTruth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xlfn_IFERROR">#N/A</definedName>
    <definedName name="_111" localSheetId="0">#REF!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HarvestingTruthTable!$A$2:$AB$3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>[8]DC_Specs_C!$C$134</definedName>
    <definedName name="_Pins_1p1v_VAR_Com">[7]DC_Specs!$C$134</definedName>
    <definedName name="_Pins_1p1v_VAR_G">[8]DC_Specs_G!$C$134</definedName>
    <definedName name="_Pins_1p1v_VAR_H">[8]DC_Specs_H!$C$134</definedName>
    <definedName name="_Pins_1p1v_VAR_S">[8]DC_Specs_S!$C$134</definedName>
    <definedName name="_Pins_1p1v_Vch_GLB">'[7]Global Specs'!$D$226</definedName>
    <definedName name="_Pins_1p1v_Vch_Ratio">'[8]Global Specs'!$D$227</definedName>
    <definedName name="_Pins_1p1v_Vcl_GLB">'[8]Global Specs'!$D$219</definedName>
    <definedName name="_Pins_1p1v_Vcl_Ratio">'[8]Global Specs'!$D$226</definedName>
    <definedName name="_Pins_1p1v_Vih_GLB">'[8]Global Specs'!$D$215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>'[8]Global Specs'!$D$214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>'[8]Global Specs'!$D$217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>'[8]Global Specs'!$D$216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>'[8]Global Specs'!$D$218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>[8]DC_Specs_C!$C$137</definedName>
    <definedName name="_Pins_1p2v_VAR_Com">[7]DC_Specs!$C$137</definedName>
    <definedName name="_Pins_1p2v_VAR_G">[8]DC_Specs_G!$C$137</definedName>
    <definedName name="_Pins_1p2v_VAR_H">[8]DC_Specs_H!$C$137</definedName>
    <definedName name="_Pins_1p2v_VAR_S">[8]DC_Specs_S!$C$137</definedName>
    <definedName name="_Pins_1p2v_Vch_GLB">'[7]Global Specs'!$D$241</definedName>
    <definedName name="_Pins_1p2v_Vch_Ratio">'[8]Global Specs'!$D$242</definedName>
    <definedName name="_Pins_1p2v_Vcl_GLB">'[8]Global Specs'!$D$234</definedName>
    <definedName name="_Pins_1p2v_Vcl_Ratio">'[8]Global Specs'!$D$241</definedName>
    <definedName name="_Pins_1p2v_Vih_GLB">'[8]Global Specs'!$D$230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>'[8]Global Specs'!$D$229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>'[8]Global Specs'!$D$232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>'[8]Global Specs'!$D$231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>'[8]Global Specs'!$D$233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>[8]DC_Specs_C!$C$140</definedName>
    <definedName name="_Pins_1p8v_VAR_Com">[7]DC_Specs!$C$140</definedName>
    <definedName name="_Pins_1p8v_VAR_G">[8]DC_Specs_G!$C$140</definedName>
    <definedName name="_Pins_1p8v_VAR_H">[8]DC_Specs_H!$C$140</definedName>
    <definedName name="_Pins_1p8v_VAR_S">[8]DC_Specs_S!$C$140</definedName>
    <definedName name="_Pins_1p8v_Vch_GLB">'[7]Global Specs'!$D$256</definedName>
    <definedName name="_Pins_1p8v_Vch_Ratio">'[8]Global Specs'!$D$257</definedName>
    <definedName name="_Pins_1p8v_Vcl_GLB">'[8]Global Specs'!$D$249</definedName>
    <definedName name="_Pins_1p8v_Vcl_Ratio">'[8]Global Specs'!$D$256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>'[8]Global Specs'!$D$248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>[8]DC_Specs_C!$C$143</definedName>
    <definedName name="_Pins_3p3v_VAR_Com">[7]DC_Specs!$C$143</definedName>
    <definedName name="_Pins_3p3v_VAR_G">[8]DC_Specs_G!$C$143</definedName>
    <definedName name="_Pins_3p3v_VAR_H">[8]DC_Specs_H!$C$143</definedName>
    <definedName name="_Pins_3p3v_VAR_S">[8]DC_Specs_S!$C$143</definedName>
    <definedName name="_Pins_3p3v_Vch_GLB">'[8]Global Specs'!$D$265</definedName>
    <definedName name="_Pins_3p3v_Vch_Ratio">'[8]Global Specs'!$D$272</definedName>
    <definedName name="_Pins_3p3v_Vcl_GLB">'[8]Global Specs'!$D$264</definedName>
    <definedName name="_Pins_3p3v_Vcl_Ratio">'[8]Global Specs'!$D$271</definedName>
    <definedName name="_Pins_3p3v_Vih_GLB">'[8]Global Specs'!$D$260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>'[8]Global Specs'!$D$259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>'[8]Global Specs'!$D$262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>'[8]Global Specs'!$D$261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>'[8]Global Specs'!$D$263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>'[8]Global Specs'!$D$4</definedName>
    <definedName name="_VDD_CorePWR_EVS">'[7]Global Specs'!$D$90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>'[8]Global Specs'!$D$12</definedName>
    <definedName name="_VDD_CPU_P1_GLB">'[8]Global Specs'!$D$14</definedName>
    <definedName name="_VDD_CPU_P2_GLB">'[8]Global Specs'!$D$15</definedName>
    <definedName name="_VDD_CPU_P3_GLB">'[8]Global Specs'!$D$16</definedName>
    <definedName name="_VDD_CPU_P4_GLB">'[8]Global Specs'!$D$17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>'[8]Global Specs'!$D$21</definedName>
    <definedName name="_VDD_CPU_P9_GLB">'[8]Global Specs'!$D$22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>'[8]Global Specs'!$D$25</definedName>
    <definedName name="_VDD_CPU_SRAM_P1_GLB">'[8]Global Specs'!$D$27</definedName>
    <definedName name="_VDD_CPU_SRAM_P2_GLB">'[8]Global Specs'!$D$28</definedName>
    <definedName name="_VDD_CPU_SRAM_P3_GLB">'[8]Global Specs'!$D$29</definedName>
    <definedName name="_VDD_CPU_SRAM_P4_GLB">'[8]Global Specs'!$D$30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>'[8]Global Specs'!$D$34</definedName>
    <definedName name="_VDD_CPU_SRAM_P9_GLB">'[8]Global Specs'!$D$35</definedName>
    <definedName name="_VDD_CPU_SRAM_Tdelay_GLB">'[8]Global Specs'!$D$26</definedName>
    <definedName name="_VDD_CPU_SRAM_Valt_GLB">'[8]Global Specs'!$D$24</definedName>
    <definedName name="_VDD_CPU_SRAM_VAR_C">[8]DC_Specs_C!$C$8</definedName>
    <definedName name="_VDD_CPU_SRAM_VAR_Com">[7]DC_Specs!$C$8</definedName>
    <definedName name="_VDD_CPU_SRAM_VAR_G">[8]DC_Specs_G!$C$8</definedName>
    <definedName name="_VDD_CPU_SRAM_VAR_H">[8]DC_Specs_H!$C$8</definedName>
    <definedName name="_VDD_CPU_SRAM_VAR_S">[8]DC_Specs_S!$C$8</definedName>
    <definedName name="_VDD_CPU_Tdelay_GLB">'[8]Global Specs'!$D$13</definedName>
    <definedName name="_VDD_CPU_Valt_GLB">'[8]Global Specs'!$D$11</definedName>
    <definedName name="_VDD_CPU_VAR">[1]DC_Specs!$C$5</definedName>
    <definedName name="_VDD_CPU_VAR_C">[8]DC_Specs_C!$C$5</definedName>
    <definedName name="_VDD_CPU_VAR_Com">[7]DC_Specs!$C$5</definedName>
    <definedName name="_VDD_CPU_VAR_G">[8]DC_Specs_G!$C$5</definedName>
    <definedName name="_VDD_CPU_VAR_H">[8]DC_Specs_H!$C$5</definedName>
    <definedName name="_VDD_CPU_VAR_S">[8]DC_Specs_S!$C$5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>'[8]Global Specs'!$D$68</definedName>
    <definedName name="_VDD_FIXED_CPU_Tdelay_GLB">'[8]Global Specs'!$D$69</definedName>
    <definedName name="_VDD_FIXED_CPU_Valt_GLB">'[8]Global Specs'!$D$67</definedName>
    <definedName name="_VDD_FIXED_CPU_VAR_C">[8]DC_Specs_C!$C$26</definedName>
    <definedName name="_VDD_FIXED_CPU_VAR_Com">[7]DC_Specs!$C$44</definedName>
    <definedName name="_VDD_FIXED_CPU_VAR_G">[8]DC_Specs_G!$C$26</definedName>
    <definedName name="_VDD_FIXED_CPU_VAR_H">[8]DC_Specs_H!$C$26</definedName>
    <definedName name="_VDD_FIXED_CPU_VAR_S">[8]DC_Specs_S!$C$26</definedName>
    <definedName name="_VDD_FIXED_DDR_VAR_COM">[4]DC_Specs!$C$29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>'[8]Global Specs'!$D$70</definedName>
    <definedName name="_VDD_FIXED_PCIE_ANA_Ifold_GLB">'[8]Global Specs'!$D$72</definedName>
    <definedName name="_VDD_FIXED_PCIE_ANA_Tdelay_GLB">'[8]Global Specs'!$D$73</definedName>
    <definedName name="_VDD_FIXED_PCIE_ANA_Valt_GLB">'[8]Global Specs'!$D$71</definedName>
    <definedName name="_VDD_FIXED_PCIE_ANA_VAR_C">[8]DC_Specs_C!$C$29</definedName>
    <definedName name="_VDD_FIXED_PCIE_ANA_VAR_COM">[4]DC_Specs!$C$32</definedName>
    <definedName name="_VDD_FIXED_PCIE_ANA_VAR_G">[8]DC_Specs_G!$C$29</definedName>
    <definedName name="_VDD_FIXED_PCIE_ANA_VAR_H">[8]DC_Specs_H!$C$29</definedName>
    <definedName name="_VDD_FIXED_PCIE_ANA_VAR_S">[8]DC_Specs_S!$C$29</definedName>
    <definedName name="_VDD_FIXED_PCIE_CLK_GLB">'[8]Global Specs'!$D$74</definedName>
    <definedName name="_VDD_FIXED_PCIE_CLK_Ifold_GLB">'[8]Global Specs'!$D$76</definedName>
    <definedName name="_VDD_FIXED_PCIE_CLK_Tdelay_GLB">'[8]Global Specs'!$D$77</definedName>
    <definedName name="_VDD_FIXED_PCIE_CLK_Valt_GLB">'[8]Global Specs'!$D$75</definedName>
    <definedName name="_VDD_FIXED_PCIE_CLK_VAR_C">[8]DC_Specs_C!$C$32</definedName>
    <definedName name="_VDD_FIXED_PCIE_CLK_VAR_COM">[4]DC_Specs!$C$35</definedName>
    <definedName name="_VDD_FIXED_PCIE_CLK_VAR_G">[8]DC_Specs_G!$C$32</definedName>
    <definedName name="_VDD_FIXED_PCIE_CLK_VAR_H">[8]DC_Specs_H!$C$32</definedName>
    <definedName name="_VDD_FIXED_PCIE_CLK_VAR_S">[8]DC_Specs_S!$C$32</definedName>
    <definedName name="_VDD_FIXED_PCIE_CMN_AVDD_CLK_GLB">'[8]Global Specs'!$D$78</definedName>
    <definedName name="_VDD_FIXED_PCIE_CMN_AVDD_CLK_Ifold_GLB">'[8]Global Specs'!$D$80</definedName>
    <definedName name="_VDD_FIXED_PCIE_CMN_AVDD_CLK_Tdelay_GLB">'[8]Global Specs'!$D$81</definedName>
    <definedName name="_VDD_FIXED_PCIE_CMN_AVDD_CLK_Valt_GLB">'[8]Global Specs'!$D$79</definedName>
    <definedName name="_VDD_FIXED_PCIE_CMN_AVDD_CLK_VAR_C">[8]DC_Specs_C!$C$35</definedName>
    <definedName name="_VDD_FIXED_PCIE_CMN_AVDD_CLK_VAR_COM">[4]DC_Specs!$C$38</definedName>
    <definedName name="_VDD_FIXED_PCIE_CMN_AVDD_CLK_VAR_G">[8]DC_Specs_G!$C$35</definedName>
    <definedName name="_VDD_FIXED_PCIE_CMN_AVDD_CLK_VAR_H">[8]DC_Specs_H!$C$35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>'[8]Global Specs'!$D$82</definedName>
    <definedName name="_VDD_FIXED_PCIE_XCVR_AVDD_CLK_Ifold_GLB">'[8]Global Specs'!$D$84</definedName>
    <definedName name="_VDD_FIXED_PCIE_XCVR_AVDD_CLK_Tdelay_GLB">'[8]Global Specs'!$D$85</definedName>
    <definedName name="_VDD_FIXED_PCIE_XCVR_AVDD_CLK_Valt_GLB">'[8]Global Specs'!$D$83</definedName>
    <definedName name="_VDD_FIXED_PCIE_XCVR_AVDD_CLK_VAR_C">[8]DC_Specs_C!$C$38</definedName>
    <definedName name="_VDD_FIXED_PCIE_XCVR_AVDD_CLK_VAR_COM">[4]DC_Specs!$C$41</definedName>
    <definedName name="_VDD_FIXED_PCIE_XCVR_AVDD_CLK_VAR_G">[8]DC_Specs_G!$C$38</definedName>
    <definedName name="_VDD_FIXED_PCIE_XCVR_AVDD_CLK_VAR_H">[8]DC_Specs_H!$C$38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>'[8]Global Specs'!$D$86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>'[8]Global Specs'!$D$89</definedName>
    <definedName name="_VDD_FIXED_PLL_Valt_GLB">'[8]Global Specs'!$D$87</definedName>
    <definedName name="_VDD_FIXED_PLL_VAR_C">[8]DC_Specs_C!$C$41</definedName>
    <definedName name="_VDD_FIXED_PLL_VAR_COM">[4]DC_Specs!$C$44</definedName>
    <definedName name="_VDD_FIXED_PLL_VAR_G">[8]DC_Specs_G!$C$41</definedName>
    <definedName name="_VDD_FIXED_PLL_VAR_H">[8]DC_Specs_H!$C$41</definedName>
    <definedName name="_VDD_FIXED_PLL_VAR_S">[8]DC_Specs_S!$C$41</definedName>
    <definedName name="_VDD_FIXED_Tdelay_GLB">'[8]Global Specs'!$D$39</definedName>
    <definedName name="_VDD_FIXED_USB_GLB">'[8]Global Specs'!$D$90</definedName>
    <definedName name="_VDD_FIXED_USB_Ifold_GLB">'[8]Global Specs'!$D$92</definedName>
    <definedName name="_VDD_FIXED_USB_Tdelay_GLB">'[8]Global Specs'!$D$93</definedName>
    <definedName name="_VDD_FIXED_USB_Valt_GLB">'[8]Global Specs'!$D$91</definedName>
    <definedName name="_VDD_FIXED_USB_VAR">[1]DC_Specs!$C$47</definedName>
    <definedName name="_VDD_FIXED_USB_VAR_C">[8]DC_Specs_C!$C$44</definedName>
    <definedName name="_VDD_FIXED_USB_VAR_COM">[4]DC_Specs!$C$47</definedName>
    <definedName name="_VDD_FIXED_USB_VAR_G">[8]DC_Specs_G!$C$44</definedName>
    <definedName name="_VDD_FIXED_USB_VAR_H">[8]DC_Specs_H!$C$44</definedName>
    <definedName name="_VDD_FIXED_USB_VAR_S">[8]DC_Specs_S!$C$44</definedName>
    <definedName name="_VDD_FIXED_Valt_GLB">'[8]Global Specs'!$D$37</definedName>
    <definedName name="_VDD_FIXED_VAR_C">[8]DC_Specs_C!$C$11</definedName>
    <definedName name="_VDD_FIXED_VAR_Com">[7]DC_Specs!$C$20</definedName>
    <definedName name="_VDD_FIXED_VAR_G">[8]DC_Specs_G!$C$11</definedName>
    <definedName name="_VDD_FIXED_VAR_H">[8]DC_Specs_H!$C$11</definedName>
    <definedName name="_VDD_FIXED_VAR_S">[8]DC_Specs_S!$C$11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>'[8]Global Specs'!$D$42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>'[8]Global Specs'!$D$45</definedName>
    <definedName name="_VDD_GPU_P3_GLB">'[8]Global Specs'!$D$46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>'[8]Global Specs'!$D$50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>'[8]Global Specs'!$D$53</definedName>
    <definedName name="_VDD_GPU_SRAM_P3_GLB">'[8]Global Specs'!$D$54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>'[8]Global Specs'!$D$51</definedName>
    <definedName name="_VDD_GPU_SRAM_Valt_GLB">'[8]Global Specs'!$D$49</definedName>
    <definedName name="_VDD_GPU_SRAM_VAR_C">[8]DC_Specs_C!$C$17</definedName>
    <definedName name="_VDD_GPU_SRAM_VAR_Com">[7]DC_Specs!$C$14</definedName>
    <definedName name="_VDD_GPU_SRAM_VAR_G">[8]DC_Specs_G!$C$17</definedName>
    <definedName name="_VDD_GPU_SRAM_VAR_H">[8]DC_Specs_H!$C$17</definedName>
    <definedName name="_VDD_GPU_SRAM_VAR_S">[8]DC_Specs_S!$C$17</definedName>
    <definedName name="_VDD_GPU_Tdelay_GLB">'[8]Global Specs'!$D$43</definedName>
    <definedName name="_VDD_GPU_Valt_GLB">'[8]Global Specs'!$D$41</definedName>
    <definedName name="_VDD_GPU_VAR_C">[8]DC_Specs_C!$C$14</definedName>
    <definedName name="_VDD_GPU_VAR_Com">[7]DC_Specs!$C$11</definedName>
    <definedName name="_VDD_GPU_VAR_G">[8]DC_Specs_G!$C$14</definedName>
    <definedName name="_VDD_GPU_VAR_H">[8]DC_Specs_H!$C$14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>'[8]Global Specs'!$D$58</definedName>
    <definedName name="_VDD_LOW_Tdelay_GLB">'[8]Global Specs'!$D$59</definedName>
    <definedName name="_VDD_LOW_Valt_GLB">'[8]Global Specs'!$D$57</definedName>
    <definedName name="_VDD_LOW_VAR_C">[8]DC_Specs_C!$C$20</definedName>
    <definedName name="_VDD_LOW_VAR_Com">[7]DC_Specs!$C$35</definedName>
    <definedName name="_VDD_LOW_VAR_G">[8]DC_Specs_G!$C$20</definedName>
    <definedName name="_VDD_LOW_VAR_H">[8]DC_Specs_H!$C$20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>'[8]Global Specs'!$D$64</definedName>
    <definedName name="_VDD_SOC_P2_GLB">'[8]Global Specs'!$D$65</definedName>
    <definedName name="_VDD_SOC_Tdelay_GLB">'[8]Global Specs'!$D$63</definedName>
    <definedName name="_VDD_SOC_Valt_GLB">'[8]Global Specs'!$D$61</definedName>
    <definedName name="_VDD_SOC_VAR">[1]DC_Specs!$C$8</definedName>
    <definedName name="_VDD_SOC_VAR_C">[8]DC_Specs_C!$C$23</definedName>
    <definedName name="_VDD_SOC_VAR_Com">[7]DC_Specs!$C$17</definedName>
    <definedName name="_VDD_SOC_VAR_G">[8]DC_Specs_G!$C$23</definedName>
    <definedName name="_VDD_SOC_VAR_H">[8]DC_Specs_H!$C$23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>'[8]Global Specs'!$D$110</definedName>
    <definedName name="_VDD12_CPU_UVD_Ifold_GLB">'[8]Global Specs'!$D$112</definedName>
    <definedName name="_VDD12_CPU_UVD_Tdelay_GLB">'[8]Global Specs'!$D$113</definedName>
    <definedName name="_VDD12_CPU_UVD_Valt_GLB">'[8]Global Specs'!$D$111</definedName>
    <definedName name="_VDD12_CPU_UVD_VAR_C">[8]DC_Specs_C!$C$59</definedName>
    <definedName name="_VDD12_CPU_UVD_VAR_COM">[4]DC_Specs!$C$62</definedName>
    <definedName name="_VDD12_CPU_UVD_VAR_G">[8]DC_Specs_G!$C$59</definedName>
    <definedName name="_VDD12_CPU_UVD_VAR_H">[8]DC_Specs_H!$C$59</definedName>
    <definedName name="_VDD12_CPU_UVD_VAR_S">[8]DC_Specs_S!$C$59</definedName>
    <definedName name="_VDD12_GPU_UVD_GLB">'[8]Global Specs'!$D$114</definedName>
    <definedName name="_VDD12_GPU_UVD_Ifold_GLB">'[8]Global Specs'!$D$116</definedName>
    <definedName name="_VDD12_GPU_UVD_Tdelay_GLB">'[8]Global Specs'!$D$117</definedName>
    <definedName name="_VDD12_GPU_UVD_Valt_GLB">'[8]Global Specs'!$D$115</definedName>
    <definedName name="_VDD12_GPU_UVD_VAR_C">[8]DC_Specs_C!$C$62</definedName>
    <definedName name="_VDD12_GPU_UVD_VAR_COM">[4]DC_Specs!$C$65</definedName>
    <definedName name="_VDD12_GPU_UVD_VAR_G">[8]DC_Specs_G!$C$62</definedName>
    <definedName name="_VDD12_GPU_UVD_VAR_H">[8]DC_Specs_H!$C$62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>'[8]Global Specs'!$D$118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>'[8]Global Specs'!$D$119</definedName>
    <definedName name="_VDD12_LPDP_VAR_C">[8]DC_Specs_C!$C$65</definedName>
    <definedName name="_VDD12_LPDP_VAR_COM">[4]DC_Specs!$C$68</definedName>
    <definedName name="_VDD12_LPDP_VAR_G">[8]DC_Specs_G!$C$65</definedName>
    <definedName name="_VDD12_LPDP_VAR_H">[8]DC_Specs_H!$C$65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>'[8]Global Specs'!$D$124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>'[8]Global Specs'!$D$128</definedName>
    <definedName name="_VDD12_PCIE_REFBUF_Tdelay_GLB">'[8]Global Specs'!$D$129</definedName>
    <definedName name="_VDD12_PCIE_REFBUF_Valt_GLB">'[8]Global Specs'!$D$127</definedName>
    <definedName name="_VDD12_PCIE_REFBUF_VAR_C">[8]DC_Specs_C!$C$71</definedName>
    <definedName name="_VDD12_PCIE_REFBUF_VAR_Com">[7]DC_Specs!$C$77</definedName>
    <definedName name="_VDD12_PCIE_REFBUF_VAR_G">[8]DC_Specs_G!$C$71</definedName>
    <definedName name="_VDD12_PCIE_REFBUF_VAR_H">[8]DC_Specs_H!$C$71</definedName>
    <definedName name="_VDD12_PCIE_REFBUF_VAR_S">[8]DC_Specs_S!$C$71</definedName>
    <definedName name="_VDD12_PCIE_Tdelay_GLB">'[8]Global Specs'!$D$125</definedName>
    <definedName name="_VDD12_PCIE_Valt_GLB">'[8]Global Specs'!$D$123</definedName>
    <definedName name="_VDD12_PCIE_VAR_C">[8]DC_Specs_C!$C$68</definedName>
    <definedName name="_VDD12_PCIE_VAR_Com">[7]DC_Specs!$C$74</definedName>
    <definedName name="_VDD12_PCIE_VAR_G">[8]DC_Specs_G!$C$68</definedName>
    <definedName name="_VDD12_PCIE_VAR_H">[8]DC_Specs_H!$C$68</definedName>
    <definedName name="_VDD12_PCIE_VAR_S">[8]DC_Specs_S!$C$68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>'[8]Global Specs'!$D$136</definedName>
    <definedName name="_VDD12_PLL_CPU_Tdelay_GLB">'[8]Global Specs'!$D$137</definedName>
    <definedName name="_VDD12_PLL_CPU_Valt_GLB">'[8]Global Specs'!$D$135</definedName>
    <definedName name="_VDD12_PLL_CPU_VAR_C">[8]DC_Specs_C!$C$77</definedName>
    <definedName name="_VDD12_PLL_CPU_VAR_Com">[7]DC_Specs!$C$68</definedName>
    <definedName name="_VDD12_PLL_CPU_VAR_G">[8]DC_Specs_G!$C$77</definedName>
    <definedName name="_VDD12_PLL_CPU_VAR_H">[8]DC_Specs_H!$C$77</definedName>
    <definedName name="_VDD12_PLL_CPU_VAR_S">[8]DC_Specs_S!$C$77</definedName>
    <definedName name="_VDD12_PLL_GLB">'[8]Global Specs'!$D$130</definedName>
    <definedName name="_VDD12_PLL_Ifold_GLB">'[8]Global Specs'!$D$132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>'[8]Global Specs'!$D$140</definedName>
    <definedName name="_VDD12_PLL_LPDP_Tdelay_GLB">'[8]Global Specs'!$D$141</definedName>
    <definedName name="_VDD12_PLL_LPDP_Valt_GLB">'[8]Global Specs'!$D$139</definedName>
    <definedName name="_VDD12_PLL_LPDP_VAR_C">[8]DC_Specs_C!$C$80</definedName>
    <definedName name="_VDD12_PLL_LPDP_VAR_Com">[7]DC_Specs!$C$71</definedName>
    <definedName name="_VDD12_PLL_LPDP_VAR_G">[8]DC_Specs_G!$C$80</definedName>
    <definedName name="_VDD12_PLL_LPDP_VAR_H">[8]DC_Specs_H!$C$80</definedName>
    <definedName name="_VDD12_PLL_LPDP_VAR_S">[8]DC_Specs_S!$C$80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>'[8]Global Specs'!$D$144</definedName>
    <definedName name="_VDD12_PLL_SOC_Tdelay_GLB">'[8]Global Specs'!$D$145</definedName>
    <definedName name="_VDD12_PLL_SOC_Valt_GLB">'[8]Global Specs'!$D$143</definedName>
    <definedName name="_VDD12_PLL_SOC_VAR_C">[8]DC_Specs_C!$C$83</definedName>
    <definedName name="_VDD12_PLL_SOC_VAR_Com">[7]DC_Specs!$C$65</definedName>
    <definedName name="_VDD12_PLL_SOC_VAR_G">[8]DC_Specs_G!$C$83</definedName>
    <definedName name="_VDD12_PLL_SOC_VAR_H">[8]DC_Specs_H!$C$83</definedName>
    <definedName name="_VDD12_PLL_SOC_VAR_S">[8]DC_Specs_S!$C$83</definedName>
    <definedName name="_VDD12_PLL_Tdelay_GLB">'[8]Global Specs'!$D$133</definedName>
    <definedName name="_VDD12_PLL_Valt_GLB">'[8]Global Specs'!$D$131</definedName>
    <definedName name="_VDD12_PLL_VAR_C">[8]DC_Specs_C!$C$74</definedName>
    <definedName name="_VDD12_PLL_VAR_COM">[4]DC_Specs!$C$77</definedName>
    <definedName name="_VDD12_PLL_VAR_G">[8]DC_Specs_G!$C$74</definedName>
    <definedName name="_VDD12_PLL_VAR_H">[8]DC_Specs_H!$C$74</definedName>
    <definedName name="_VDD12_PLL_VAR_S">[8]DC_Specs_S!$C$74</definedName>
    <definedName name="_VDD12_UH1_COMSIC0_VAR_COM">[4]DC_Specs!$C$89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>'[8]Global Specs'!$D$148</definedName>
    <definedName name="_VDD12_UH1_HSIC0_Tdelay_GLB">'[8]Global Specs'!$D$149</definedName>
    <definedName name="_VDD12_UH1_HSIC0_Valt_GLB">'[8]Global Specs'!$D$147</definedName>
    <definedName name="_VDD12_UH1_HSIC0_VAR_C">[8]DC_Specs_C!$C$86</definedName>
    <definedName name="_VDD12_UH1_HSIC0_VAR_Com">[7]DC_Specs!$C$62</definedName>
    <definedName name="_VDD12_UH1_HSIC0_VAR_G">[8]DC_Specs_G!$C$86</definedName>
    <definedName name="_VDD12_UH1_HSIC0_VAR_H">[8]DC_Specs_H!$C$86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>'[8]Global Specs'!$D$152</definedName>
    <definedName name="_VDD18_AVM_Tdelay_GLB">'[8]Global Specs'!$D$153</definedName>
    <definedName name="_VDD18_AVM_Valt_GLB">'[8]Global Specs'!$D$151</definedName>
    <definedName name="_VDD18_AVM_VAR_C">[8]DC_Specs_C!$C$89</definedName>
    <definedName name="_VDD18_AVM_VAR_Com">[7]DC_Specs!$C$113</definedName>
    <definedName name="_VDD18_AVM_VAR_G">[8]DC_Specs_G!$C$89</definedName>
    <definedName name="_VDD18_AVM_VAR_H">[8]DC_Specs_H!$C$89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>'[8]Global Specs'!$D$154</definedName>
    <definedName name="_VDD18_EFUSE0_Ifold_GLB">'[8]Global Specs'!$D$157</definedName>
    <definedName name="_VDD18_EFUSE0_Tdelay_GLB">'[8]Global Specs'!$D$158</definedName>
    <definedName name="_VDD18_EFUSE0_Valt_GLB">'[8]Global Specs'!$D$156</definedName>
    <definedName name="_VDD18_EFUSE0_VAR_C">[8]DC_Specs_C!$C$92</definedName>
    <definedName name="_VDD18_EFUSE0_VAR_Com">[7]DC_Specs!$C$116</definedName>
    <definedName name="_VDD18_EFUSE0_VAR_G">[8]DC_Specs_G!$C$92</definedName>
    <definedName name="_VDD18_EFUSE0_VAR_H">[8]DC_Specs_H!$C$92</definedName>
    <definedName name="_VDD18_EFUSE0_VAR_S">[8]DC_Specs_S!$C$92</definedName>
    <definedName name="_VDD18_EFUSE1_GLB">'[8]Global Specs'!$D$159</definedName>
    <definedName name="_VDD18_EFUSE1_Ifold_GLB">'[8]Global Specs'!$D$162</definedName>
    <definedName name="_VDD18_EFUSE1_Tdelay_GLB">'[8]Global Specs'!$D$163</definedName>
    <definedName name="_VDD18_EFUSE1_Valt_GLB">'[8]Global Specs'!$D$161</definedName>
    <definedName name="_VDD18_EFUSE1_VAR">[1]DC_Specs!$C$107</definedName>
    <definedName name="_VDD18_EFUSE1_VAR_C">[8]DC_Specs_C!$C$95</definedName>
    <definedName name="_VDD18_EFUSE1_VAR_Com">[7]DC_Specs!$C$119</definedName>
    <definedName name="_VDD18_EFUSE1_VAR_G">[8]DC_Specs_G!$C$95</definedName>
    <definedName name="_VDD18_EFUSE1_VAR_H">[8]DC_Specs_H!$C$95</definedName>
    <definedName name="_VDD18_EFUSE1_VAR_S">[8]DC_Specs_S!$C$95</definedName>
    <definedName name="_VDD18_EFUSE2_1P8V_GLB">'[8]Global Specs'!$D$165</definedName>
    <definedName name="_VDD18_EFUSE2_GLB">'[8]Global Specs'!$D$164</definedName>
    <definedName name="_VDD18_EFUSE2_Ifold_GLB">'[8]Global Specs'!$D$167</definedName>
    <definedName name="_VDD18_EFUSE2_Tdelay_GLB">'[8]Global Specs'!$D$168</definedName>
    <definedName name="_VDD18_EFUSE2_Valt_GLB">'[8]Global Specs'!$D$166</definedName>
    <definedName name="_VDD18_EFUSE2_VAR">[1]DC_Specs!$C$110</definedName>
    <definedName name="_VDD18_EFUSE2_VAR_C">[8]DC_Specs_C!$C$98</definedName>
    <definedName name="_VDD18_EFUSE2_VAR_Com">[7]DC_Specs!$C$122</definedName>
    <definedName name="_VDD18_EFUSE2_VAR_G">[8]DC_Specs_G!$C$98</definedName>
    <definedName name="_VDD18_EFUSE2_VAR_H">[8]DC_Specs_H!$C$98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>'[8]Global Specs'!$D$169</definedName>
    <definedName name="_VDD18_FMON_Ifold_GLB">'[8]Global Specs'!$D$171</definedName>
    <definedName name="_VDD18_FMON_Tdelay_GLB">'[8]Global Specs'!$D$172</definedName>
    <definedName name="_VDD18_FMON_Valt_GLB">'[8]Global Specs'!$D$170</definedName>
    <definedName name="_VDD18_FMON_VAR">[1]DC_Specs!$C$116</definedName>
    <definedName name="_VDD18_FMON_VAR_C">[8]DC_Specs_C!$C$101</definedName>
    <definedName name="_VDD18_FMON_VAR_COM">[4]DC_Specs!$C$104</definedName>
    <definedName name="_VDD18_FMON_VAR_G">[8]DC_Specs_G!$C$101</definedName>
    <definedName name="_VDD18_FMON_VAR_H">[8]DC_Specs_H!$C$101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>'[8]Global Specs'!$D$175</definedName>
    <definedName name="_VDD18_LPOSC_Tdelay_GLB">'[8]Global Specs'!$D$176</definedName>
    <definedName name="_VDD18_LPOSC_Valt_GLB">'[8]Global Specs'!$D$174</definedName>
    <definedName name="_VDD18_LPOSC_VAR_C">[8]DC_Specs_C!$C$104</definedName>
    <definedName name="_VDD18_LPOSC_VAR_Com">[7]DC_Specs!$C$128</definedName>
    <definedName name="_VDD18_LPOSC_VAR_G">[8]DC_Specs_G!$C$104</definedName>
    <definedName name="_VDD18_LPOSC_VAR_H">[8]DC_Specs_H!$C$104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>'[8]Global Specs'!$D$177</definedName>
    <definedName name="_VDD18_MIPI_Ifold_GLB">'[8]Global Specs'!$D$179</definedName>
    <definedName name="_VDD18_MIPI_Tdelay_GLB">'[8]Global Specs'!$D$180</definedName>
    <definedName name="_VDD18_MIPI_Valt_GLB">'[8]Global Specs'!$D$178</definedName>
    <definedName name="_VDD18_MIPI_VAR">[1]DC_Specs!$C$122</definedName>
    <definedName name="_VDD18_MIPI_VAR_C">[8]DC_Specs_C!$C$107</definedName>
    <definedName name="_VDD18_MIPI_VAR_COM">[4]DC_Specs!$C$110</definedName>
    <definedName name="_VDD18_MIPI_VAR_G">[8]DC_Specs_G!$C$107</definedName>
    <definedName name="_VDD18_MIPI_VAR_H">[8]DC_Specs_H!$C$107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>'[8]Global Specs'!$D$183</definedName>
    <definedName name="_VDD18_TSADC_Tdelay_GLB">'[8]Global Specs'!$D$184</definedName>
    <definedName name="_VDD18_TSADC_Valt_GLB">'[8]Global Specs'!$D$182</definedName>
    <definedName name="_VDD18_TSADC_VAR">[1]DC_Specs!$C$125</definedName>
    <definedName name="_VDD18_TSADC_VAR_C">[8]DC_Specs_C!$C$110</definedName>
    <definedName name="_VDD18_TSADC_VAR_Com">[7]DC_Specs!$C$92</definedName>
    <definedName name="_VDD18_TSADC_VAR_G">[8]DC_Specs_G!$C$110</definedName>
    <definedName name="_VDD18_TSADC_VAR_H">[8]DC_Specs_H!$C$110</definedName>
    <definedName name="_VDD18_TSADC_VAR_S">[8]DC_Specs_S!$C$110</definedName>
    <definedName name="_VDD18_USB_GLB">'[8]Global Specs'!$D$185</definedName>
    <definedName name="_VDD18_USB_Ifold_GLB">'[8]Global Specs'!$D$187</definedName>
    <definedName name="_VDD18_USB_Tdelay_GLB">'[8]Global Specs'!$D$188</definedName>
    <definedName name="_VDD18_USB_Valt_GLB">'[8]Global Specs'!$D$186</definedName>
    <definedName name="_VDD18_USB_VAR">[1]DC_Specs!$C$128</definedName>
    <definedName name="_VDD18_USB_VAR_C">[8]DC_Specs_C!$C$113</definedName>
    <definedName name="_VDD18_USB_VAR_COM">[4]DC_Specs!$C$116</definedName>
    <definedName name="_VDD18_USB_VAR_G">[8]DC_Specs_G!$C$113</definedName>
    <definedName name="_VDD18_USB_VAR_H">[8]DC_Specs_H!$C$113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>'[8]Global Specs'!$D$189</definedName>
    <definedName name="_VDD18_XTAL_Ifold_GLB">'[8]Global Specs'!$D$191</definedName>
    <definedName name="_VDD18_XTAL_Tdelay_GLB">'[8]Global Specs'!$D$192</definedName>
    <definedName name="_VDD18_XTAL_Valt_GLB">'[8]Global Specs'!$D$190</definedName>
    <definedName name="_VDD18_XTAL_VAR_C">[8]DC_Specs_C!$C$116</definedName>
    <definedName name="_VDD18_XTAL_VAR_COM">[4]DC_Specs!$C$119</definedName>
    <definedName name="_VDD18_XTAL_VAR_G">[8]DC_Specs_G!$C$116</definedName>
    <definedName name="_VDD18_XTAL_VAR_H">[8]DC_Specs_H!$C$116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>'[8]Global Specs'!$D$209</definedName>
    <definedName name="_VDD33_USB_Ifold_GLB">'[8]Global Specs'!$D$211</definedName>
    <definedName name="_VDD33_USB_Tdelay_GLB">'[8]Global Specs'!$D$212</definedName>
    <definedName name="_VDD33_USB_Valt_GLB">'[8]Global Specs'!$D$210</definedName>
    <definedName name="_VDD33_USB_VAR_C">[8]DC_Specs_C!$C$131</definedName>
    <definedName name="_VDD33_USB_VAR_Com">[7]DC_Specs!$C$125</definedName>
    <definedName name="_VDD33_USB_VAR_G">[8]DC_Specs_G!$C$131</definedName>
    <definedName name="_VDD33_USB_VAR_H">[8]DC_Specs_H!$C$131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>'[8]Global Specs'!$D$94</definedName>
    <definedName name="_VDDIO11_DDR0_Ifold_GLB">'[8]Global Specs'!$D$96</definedName>
    <definedName name="_VDDIO11_DDR0_Tdelay_GLB">'[8]Global Specs'!$D$97</definedName>
    <definedName name="_VDDIO11_DDR0_Valt_GLB">'[8]Global Specs'!$D$95</definedName>
    <definedName name="_VDDIO11_DDR0_VAR_C">[8]DC_Specs_C!$C$47</definedName>
    <definedName name="_VDDIO11_DDR0_VAR_COM">[4]DC_Specs!$C$50</definedName>
    <definedName name="_VDDIO11_DDR0_VAR_G">[8]DC_Specs_G!$C$47</definedName>
    <definedName name="_VDDIO11_DDR0_VAR_H">[8]DC_Specs_H!$C$47</definedName>
    <definedName name="_VDDIO11_DDR0_VAR_S">[8]DC_Specs_S!$C$47</definedName>
    <definedName name="_VDDIO11_DDR1_GLB">'[8]Global Specs'!$D$98</definedName>
    <definedName name="_VDDIO11_DDR1_Ifold_GLB">'[8]Global Specs'!$D$100</definedName>
    <definedName name="_VDDIO11_DDR1_Tdelay_GLB">'[8]Global Specs'!$D$101</definedName>
    <definedName name="_VDDIO11_DDR1_Valt_GLB">'[8]Global Specs'!$D$99</definedName>
    <definedName name="_VDDIO11_DDR1_VAR_C">[8]DC_Specs_C!$C$50</definedName>
    <definedName name="_VDDIO11_DDR1_VAR_COM">[4]DC_Specs!$C$53</definedName>
    <definedName name="_VDDIO11_DDR1_VAR_G">[8]DC_Specs_G!$C$50</definedName>
    <definedName name="_VDDIO11_DDR1_VAR_H">[8]DC_Specs_H!$C$50</definedName>
    <definedName name="_VDDIO11_DDR1_VAR_S">[8]DC_Specs_S!$C$50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>'[8]Global Specs'!$D$104</definedName>
    <definedName name="_VDDIO11_PLL_DDR_Tdelay_GLB">'[8]Global Specs'!$D$105</definedName>
    <definedName name="_VDDIO11_PLL_DDR_Valt_GLB">'[8]Global Specs'!$D$103</definedName>
    <definedName name="_VDDIO11_PLL_DDR_VAR">[1]DC_Specs!$C$59</definedName>
    <definedName name="_VDDIO11_PLL_DDR_VAR_C">[8]DC_Specs_C!$C$53</definedName>
    <definedName name="_VDDIO11_PLL_DDR_VAR_Com">[7]DC_Specs!$C$53</definedName>
    <definedName name="_VDDIO11_PLL_DDR_VAR_G">[8]DC_Specs_G!$C$53</definedName>
    <definedName name="_VDDIO11_PLL_DDR_VAR_H">[8]DC_Specs_H!$C$53</definedName>
    <definedName name="_VDDIO11_PLL_DDR_VAR_S">[8]DC_Specs_S!$C$53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>'[8]Global Specs'!$D$108</definedName>
    <definedName name="_VDDIO11_RET_DDR_Tdelay_GLB">'[8]Global Specs'!$D$109</definedName>
    <definedName name="_VDDIO11_RET_DDR_Valt_GLB">'[8]Global Specs'!$D$107</definedName>
    <definedName name="_VDDIO11_RET_DDR_VAR">[1]DC_Specs!$C$62</definedName>
    <definedName name="_VDDIO11_RET_DDR_VAR_C">[8]DC_Specs_C!$C$56</definedName>
    <definedName name="_VDDIO11_RET_DDR_VAR_Com">[7]DC_Specs!$C$56</definedName>
    <definedName name="_VDDIO11_RET_DDR_VAR_G">[8]DC_Specs_G!$C$56</definedName>
    <definedName name="_VDDIO11_RET_DDR_VAR_H">[8]DC_Specs_H!$C$56</definedName>
    <definedName name="_VDDIO11_RET_DDR_VAR_S">[8]DC_Specs_S!$C$56</definedName>
    <definedName name="_VDDIO18_AON_GLB">'[8]Global Specs'!$D$193</definedName>
    <definedName name="_VDDIO18_AON_Ifold_GLB">'[8]Global Specs'!$D$195</definedName>
    <definedName name="_VDDIO18_AON_Tdelay_GLB">'[8]Global Specs'!$D$196</definedName>
    <definedName name="_VDDIO18_AON_Valt_GLB">'[8]Global Specs'!$D$194</definedName>
    <definedName name="_VDDIO18_AON_VAR_C">[8]DC_Specs_C!$C$119</definedName>
    <definedName name="_VDDIO18_AON_VAR_COM">[4]DC_Specs!$C$122</definedName>
    <definedName name="_VDDIO18_AON_VAR_G">[8]DC_Specs_G!$C$119</definedName>
    <definedName name="_VDDIO18_AON_VAR_H">[8]DC_Specs_H!$C$119</definedName>
    <definedName name="_VDDIO18_AON_VAR_S">[8]DC_Specs_S!$C$119</definedName>
    <definedName name="_VDDIO18_AOP_GLB">'[8]Global Specs'!$D$197</definedName>
    <definedName name="_VDDIO18_AOP_Ifold_GLB">'[8]Global Specs'!$D$199</definedName>
    <definedName name="_VDDIO18_AOP_Tdelay_GLB">'[8]Global Specs'!$D$200</definedName>
    <definedName name="_VDDIO18_AOP_Valt_GLB">'[8]Global Specs'!$D$198</definedName>
    <definedName name="_VDDIO18_AOP_VAR">[1]DC_Specs!$C$131</definedName>
    <definedName name="_VDDIO18_AOP_VAR_C">[8]DC_Specs_C!$C$122</definedName>
    <definedName name="_VDDIO18_AOP_VAR_COM">[4]DC_Specs!$C$125</definedName>
    <definedName name="_VDDIO18_AOP_VAR_G">[8]DC_Specs_G!$C$122</definedName>
    <definedName name="_VDDIO18_AOP_VAR_H">[8]DC_Specs_H!$C$122</definedName>
    <definedName name="_VDDIO18_AOP_VAR_S">[8]DC_Specs_S!$C$122</definedName>
    <definedName name="_VDDIO18_GRP_GLB">'[8]Global Specs'!$D$201</definedName>
    <definedName name="_VDDIO18_GRP_Ifold_GLB">'[8]Global Specs'!$D$203</definedName>
    <definedName name="_VDDIO18_GRP_Tdelay_GLB">'[8]Global Specs'!$D$204</definedName>
    <definedName name="_VDDIO18_GRP_Valt_GLB">'[8]Global Specs'!$D$202</definedName>
    <definedName name="_VDDIO18_GRP_VAR_C">[8]DC_Specs_C!$C$125</definedName>
    <definedName name="_VDDIO18_GRP_VAR_COM">[4]DC_Specs!$C$128</definedName>
    <definedName name="_VDDIO18_GRP_VAR_G">[8]DC_Specs_G!$C$125</definedName>
    <definedName name="_VDDIO18_GRP_VAR_H">[8]DC_Specs_H!$C$125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>'[8]Global Specs'!$D$205</definedName>
    <definedName name="_VDDIO18_XI0_Ifold_GLB">'[8]Global Specs'!$D$207</definedName>
    <definedName name="_VDDIO18_XI0_Tdelay_GLB">'[8]Global Specs'!$D$208</definedName>
    <definedName name="_VDDIO18_XI0_Valt_GLB">'[8]Global Specs'!$D$206</definedName>
    <definedName name="_VDDIO18_XI0_VAR_C">[8]DC_Specs_C!$C$128</definedName>
    <definedName name="_VDDIO18_XI0_VAR_COM">[4]DC_Specs!$C$131</definedName>
    <definedName name="_VDDIO18_XI0_VAR_G">[8]DC_Specs_G!$C$128</definedName>
    <definedName name="_VDDIO18_XI0_VAR_H">[8]DC_Specs_H!$C$128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>[8]AC_Specs_C!$C$5</definedName>
    <definedName name="_XI0_Freq_COM">[4]AC_Specs!$C$5</definedName>
    <definedName name="_XI0_Freq_G">[8]AC_Specs_G!$C$5</definedName>
    <definedName name="_XI0_Freq_H">[8]AC_Specs_H!$C$5</definedName>
    <definedName name="_XI0_Freq_PAT_H">'[4]Global Specs'!$D$646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 localSheetId="0">#REF!</definedName>
    <definedName name="asss">#REF!</definedName>
    <definedName name="AVUS_BALLMAP">[13]WLCSP_AVUS!$B$4:$T$24</definedName>
    <definedName name="BALL2SEAL_HORZ" localSheetId="0">#REF!</definedName>
    <definedName name="BALL2SEAL_HORZ">#REF!</definedName>
    <definedName name="BALL2SEAL_VERT" localSheetId="0">#REF!</definedName>
    <definedName name="BALL2SEAL_VERT">#REF!</definedName>
    <definedName name="BallList">[14]!Table_PadList[[Ball]:[Ball Name]]</definedName>
    <definedName name="BALLMAP" localSheetId="0">#REF!</definedName>
    <definedName name="BALLMAP">#REF!</definedName>
    <definedName name="BALLPITCH" localSheetId="0">#REF!</definedName>
    <definedName name="BALLPITCH">#REF!</definedName>
    <definedName name="blockPin" localSheetId="0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 localSheetId="0">#REF!</definedName>
    <definedName name="ColAtt">#REF!</definedName>
    <definedName name="ColStatement" localSheetId="0">#REF!</definedName>
    <definedName name="ColStatement">#REF!</definedName>
    <definedName name="CustomerInput" localSheetId="0">#REF!</definedName>
    <definedName name="CustomerInput">#REF!</definedName>
    <definedName name="d" localSheetId="0">'[16]HardIP DFT Clocks'!#REF!</definedName>
    <definedName name="d">'[16]HardIP DFT Clocks'!#REF!</definedName>
    <definedName name="Db">1</definedName>
    <definedName name="Dummy?" localSheetId="0">'[9]IO TestPin Mapping'!#REF!</definedName>
    <definedName name="Dummy?">'[9]IO TestPin Mapping'!#REF!</definedName>
    <definedName name="Dummy_?" localSheetId="0">'[9]IO TestPin Mapping'!#REF!</definedName>
    <definedName name="Dummy_?">'[9]IO TestPin Mapping'!#REF!</definedName>
    <definedName name="e" localSheetId="0">'[17]Global Specs'!$D$213</definedName>
    <definedName name="e">'[18]Global Specs'!$D$213</definedName>
    <definedName name="ESDcellnames">[19]DataValidation!$A$4:$A$12</definedName>
    <definedName name="EVS_0621">'[20]calc-Internal'!$A:$Q</definedName>
    <definedName name="fff">'[21]IO TestPin Mapping'!#REF!</definedName>
    <definedName name="FlowTableOpcodes" hidden="1">[22]Sheet1!$B$1:$B$26</definedName>
    <definedName name="FlowTableOpcodes2" hidden="1">[22]Sheet1!$B$1:$B$26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 localSheetId="0">[24]EFUSE_PINLIST!#REF!</definedName>
    <definedName name="H6P_IO_DDR_1_3">[24]EFUSE_PINLIST!#REF!</definedName>
    <definedName name="H6P_IO_DDR_1_3_1" localSheetId="0">[24]EFUSE_PINLIST!#REF!</definedName>
    <definedName name="H6P_IO_DDR_1_3_1">[24]EFUSE_PINLIST!#REF!</definedName>
    <definedName name="H6P_IO_DDR_1_3_1_0" localSheetId="0">[25]EFUSE_PINLIST!#REF!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 localSheetId="0">'[26]Operation Keyword'!$A$2:$A$16</definedName>
    <definedName name="haha">'[27]Operation Keyword'!$A$2:$A$16</definedName>
    <definedName name="HARDIP_AMPH">'[28]Operation Keyword'!$A$2:$A$16</definedName>
    <definedName name="hhh">'[21]IO TestPin Mapping'!#REF!</definedName>
    <definedName name="Hz">1</definedName>
    <definedName name="IO_1_3">[29]EFUSE_PINLIST!#REF!</definedName>
    <definedName name="IO_2_3">[29]EFUSE_PINLIST!#REF!</definedName>
    <definedName name="IO_3">[24]EFUSE_PINLIST!#REF!</definedName>
    <definedName name="IO_3_0">[25]EFUSE_PINLIST!#REF!</definedName>
    <definedName name="IO_Type">'[30]Lookup for type'!$S$7:$T$13</definedName>
    <definedName name="IO_Type_NAME">'[30]Lookup for type'!$S$7:$S$13</definedName>
    <definedName name="JADE_C_C1">'[31]Summary jade-C CP1'!$A:$I</definedName>
    <definedName name="JADE_C_CP2">'[31]Summary jade-C CP2'!$A:$I</definedName>
    <definedName name="jjj">'[21]IO TestPin Mapping'!#REF!</definedName>
    <definedName name="KHz">1000</definedName>
    <definedName name="LIST" localSheetId="0">#REF!</definedName>
    <definedName name="LIST">#REF!</definedName>
    <definedName name="LIST_AVUS" localSheetId="0">#REF!</definedName>
    <definedName name="LIST_AVUS">#REF!</definedName>
    <definedName name="LIST_IMOLA">[32]LIST_IMOLA!$B$11:$K$371</definedName>
    <definedName name="LIST_SHEET" localSheetId="0">#REF!</definedName>
    <definedName name="LIST_SHEET">#REF!</definedName>
    <definedName name="LIST_SUZUKA" localSheetId="0">#REF!</definedName>
    <definedName name="LIST_SUZUKA">#REF!</definedName>
    <definedName name="LIST_THERING" localSheetId="0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>[8]DC_Specs_G!$C$134</definedName>
    <definedName name="Operation_Keyword">'[33]Operation Keyword'!$A$2:$A$16</definedName>
    <definedName name="orange">[34]from_Orange!$A$1:$O$89</definedName>
    <definedName name="owner" localSheetId="0">#REF!</definedName>
    <definedName name="owner">#REF!</definedName>
    <definedName name="pA">0.000000000001</definedName>
    <definedName name="PadLayout">[19]!Table_VoltageLevels2[Pad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 localSheetId="0">#REF!</definedName>
    <definedName name="pinDirection">#REF!</definedName>
    <definedName name="PinDirs">[19]!Table5[Dir]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 localSheetId="0">#REF!</definedName>
    <definedName name="real_ref">#REF!</definedName>
    <definedName name="ReqNb" localSheetId="0">#REF!</definedName>
    <definedName name="ReqNb">#REF!</definedName>
    <definedName name="ReqRange" localSheetId="0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 localSheetId="0">#REF!</definedName>
    <definedName name="Start10">#REF!</definedName>
    <definedName name="Start3">[39]Flow_Main!#REF!</definedName>
    <definedName name="Status" localSheetId="0">#REF!</definedName>
    <definedName name="Status">#REF!</definedName>
    <definedName name="sw">[40]WLCSP_STOWE!$B$4:$W$24</definedName>
    <definedName name="tt" hidden="1">[22]Sheet1!$B$1:$B$26</definedName>
    <definedName name="tt_2" hidden="1">[22]Sheet1!$B$1:$B$26</definedName>
    <definedName name="TYPE" localSheetId="0">#REF!</definedName>
    <definedName name="TYPE">#REF!</definedName>
    <definedName name="Types">[19]!Table4[Types]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 localSheetId="0">#REF!</definedName>
    <definedName name="VerificationMethod">#REF!</definedName>
    <definedName name="VoltageLevels">[19]!Table_VoltageLevels[Voltage level]</definedName>
    <definedName name="VRANGE_LV">'[21]Table 3 Anaobs ADC'!$F$53</definedName>
    <definedName name="VRANGE_NV">'[21]Table 3 Anaobs ADC'!$E$53</definedName>
    <definedName name="vv">'[21]IO TestPin Mapping'!#REF!</definedName>
    <definedName name="wee" localSheetId="0">#REF!</definedName>
    <definedName name="wee">#REF!</definedName>
    <definedName name="WLCSP" localSheetId="0">#REF!</definedName>
    <definedName name="WLCSP">#REF!</definedName>
    <definedName name="WLCSP_AVUS">[36]WLCSP_AVUS!$B$4:$T$24</definedName>
    <definedName name="WLCSP_columns" localSheetId="0">#REF!</definedName>
    <definedName name="WLCSP_columns">#REF!</definedName>
    <definedName name="WLCSP_compare" localSheetId="0">#REF!</definedName>
    <definedName name="WLCSP_compare">#REF!</definedName>
    <definedName name="WLCSP_IMOLA" localSheetId="0">#REF!</definedName>
    <definedName name="WLCSP_IMOLA">#REF!</definedName>
    <definedName name="WLCSP_rows" localSheetId="0">#REF!</definedName>
    <definedName name="WLCSP_rows">#REF!</definedName>
    <definedName name="WLCSP_SHEET">[41]WLCSP_SHEET!$B$4:$T$24</definedName>
    <definedName name="WLCSP_SHEET_1" localSheetId="0">#REF!</definedName>
    <definedName name="WLCSP_SHEET_1">#REF!</definedName>
    <definedName name="WLCSP_SUZUKA" localSheetId="0">#REF!</definedName>
    <definedName name="WLCSP_SUZUKA">#REF!</definedName>
    <definedName name="WLCSP_THERING" localSheetId="0">#REF!</definedName>
    <definedName name="WLCSP_THERING">#REF!</definedName>
    <definedName name="WLFT_FT2_offset">[42]POWER_MemoryRepairBist!$B$38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6" i="1" l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B26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G25" i="1"/>
  <c r="F25" i="1"/>
  <c r="E25" i="1"/>
  <c r="D25" i="1"/>
  <c r="C25" i="1"/>
  <c r="B25" i="1"/>
  <c r="AV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B24" i="1"/>
  <c r="AV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G23" i="1"/>
  <c r="F23" i="1"/>
  <c r="E23" i="1"/>
  <c r="D23" i="1"/>
  <c r="C23" i="1"/>
  <c r="B23" i="1"/>
  <c r="AV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B22" i="1"/>
  <c r="AV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G21" i="1"/>
  <c r="F21" i="1"/>
  <c r="E21" i="1"/>
  <c r="D21" i="1"/>
  <c r="C21" i="1"/>
  <c r="B21" i="1"/>
  <c r="AV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B20" i="1"/>
  <c r="AV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G19" i="1"/>
  <c r="F19" i="1"/>
  <c r="E19" i="1"/>
  <c r="D19" i="1"/>
  <c r="C19" i="1"/>
  <c r="B19" i="1"/>
  <c r="AV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AV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G17" i="1"/>
  <c r="F17" i="1"/>
  <c r="E17" i="1"/>
  <c r="D17" i="1"/>
  <c r="C17" i="1"/>
  <c r="B17" i="1"/>
  <c r="AV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B16" i="1"/>
  <c r="AV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<sst xmlns="http://schemas.openxmlformats.org/spreadsheetml/2006/main" count="296" uniqueCount="108">
  <si>
    <t>Flag Result</t>
  </si>
  <si>
    <t>Harvest Decision</t>
  </si>
  <si>
    <t>Output Flags</t>
  </si>
  <si>
    <t>Hard Bin</t>
  </si>
  <si>
    <t>Proposed bin name</t>
  </si>
  <si>
    <t>INPUT Flags -&gt;</t>
  </si>
  <si>
    <t>F_PowerBinning0 @CP1_BC</t>
  </si>
  <si>
    <t>F_PowerBinning1 @CP1_BC</t>
  </si>
  <si>
    <t>F_PowerBinning2 @CP1_BC</t>
  </si>
  <si>
    <t>F_PowerBinning3 @CP1_BC</t>
  </si>
  <si>
    <t>F_Enable_CPU_Turbo @CP1_BC</t>
  </si>
  <si>
    <t>F_Enable_GPU_Turbo @CP1_BC</t>
  </si>
  <si>
    <t>F_EVS_Alarm_CP1</t>
  </si>
  <si>
    <t>SUM(F_GFX0_HARV_CORE[11:0])</t>
  </si>
  <si>
    <t>SUM(F_GFX0_HARV_CORE[5:0])</t>
  </si>
  <si>
    <t>SUM(F_GFX0_HARV_CORE[11:6])</t>
  </si>
  <si>
    <t>SUM(F_HCPU_HARV_CORE[1:0])</t>
  </si>
  <si>
    <t>SUM(F_HCPU_HARV_CORE[5:2])</t>
  </si>
  <si>
    <t>SUM(F_ECPU_HARV_CORE[5:0])</t>
  </si>
  <si>
    <t>F_SOC_HARV_IS</t>
  </si>
  <si>
    <t>SUM(F_SOC_HARV_ED[1:0])</t>
  </si>
  <si>
    <t>F_SOC_HARV_AT0</t>
  </si>
  <si>
    <t>SUM(F_ANE0_HARV_CORE[16:0])</t>
  </si>
  <si>
    <t>SUM(F_ANE1_HARV_CORE[16:0])</t>
  </si>
  <si>
    <t>SUM(F_ANE0_BIST_CORE[16:0])</t>
  </si>
  <si>
    <t>SUM(F_ANE1_BIST_CORE[16:0])</t>
  </si>
  <si>
    <t>SUM(F_ANEX_HARV_CORE[33:0]) =&gt; a0</t>
  </si>
  <si>
    <t>F_ANE0_HARV_CNTR</t>
  </si>
  <si>
    <t>F_ANE1_HARV_CNTR</t>
  </si>
  <si>
    <t>F_ANEX_HARV_ALL_AND</t>
  </si>
  <si>
    <t>F_ANEX_HARV_ALL_OR</t>
  </si>
  <si>
    <t>Bin01</t>
  </si>
  <si>
    <t>Bin07</t>
  </si>
  <si>
    <t>Bin08</t>
  </si>
  <si>
    <t>Bin09</t>
  </si>
  <si>
    <t>Bin10</t>
  </si>
  <si>
    <t>Bin11</t>
  </si>
  <si>
    <t>Bin12</t>
  </si>
  <si>
    <t>Bin13</t>
  </si>
  <si>
    <t>Bin14</t>
  </si>
  <si>
    <t>Bin15</t>
  </si>
  <si>
    <t>Bin16</t>
  </si>
  <si>
    <t>Bin22</t>
  </si>
  <si>
    <t>F_FUSE_Alarm1</t>
  </si>
  <si>
    <t>F_FUSE_Alarm0</t>
  </si>
  <si>
    <t>HardBinNum</t>
  </si>
  <si>
    <t>comment</t>
  </si>
  <si>
    <t>Bin01_FullFunctional</t>
  </si>
  <si>
    <t>X</t>
  </si>
  <si>
    <t>0-1</t>
  </si>
  <si>
    <t>0-2</t>
  </si>
  <si>
    <t>Bin01_SXEXPXGX_Repair[0,1][0,1][0,1]_A[a0]_EVS1</t>
  </si>
  <si>
    <t>Bin07_1FSTP</t>
  </si>
  <si>
    <t>Bin07_SXEXPXG1_Repair[0,1][0,1][0,1]_A[a0]_EVS1</t>
  </si>
  <si>
    <t>Bin08_2FSTP</t>
  </si>
  <si>
    <t>Bin08_SXEXPXG2_Repair[0,1][0,1][0,1]_A[a0]_EVS1</t>
  </si>
  <si>
    <t>Bin09_IS</t>
  </si>
  <si>
    <t>Bin09_S1EXPXGX_Repair[0,1][0,1][0,1]_A[a0]_EVS1</t>
  </si>
  <si>
    <t>Bin10_ED</t>
  </si>
  <si>
    <t>Bin10_S2EXPXGX_Repair[0,1][0,1][0,1]_A[a0]_EVS1</t>
  </si>
  <si>
    <t>Bin11_S3EXPXGX_Repair[0,1][0,1][0,1]_A[a0]_EVS1</t>
  </si>
  <si>
    <t>Bin12_S4EXPXGX_Repair[0,1][0,1][0,1]_A[a0]_EVS1</t>
  </si>
  <si>
    <t>Bin13_1PCPU</t>
  </si>
  <si>
    <t>Bin13_SXEXP1GX_Repair[0,1][0,1][0,1]_A[a0]_EVS1</t>
  </si>
  <si>
    <t>Bin14_1MCPU</t>
  </si>
  <si>
    <t>Bin14_SXEXP1GX_Repair[0,1][0,1][0,1]_A[a0]_EVS1</t>
  </si>
  <si>
    <t>Bin15_1ECPU</t>
  </si>
  <si>
    <t>Bin15_SXE1PXGX_Repair[0,1][0,1][0,1]_A[a0]_EVS1</t>
  </si>
  <si>
    <t>Bin16_1ANE</t>
  </si>
  <si>
    <t>0-17</t>
  </si>
  <si>
    <t>0-34</t>
  </si>
  <si>
    <t>Bin16_S5EXPXGX_Repair[0,1][0,1][0,1]_AA_EVS1</t>
  </si>
  <si>
    <t>Bin101_FullFunctional</t>
  </si>
  <si>
    <t>Bin101_SXEXPXGX_Repair[0,1][0,1][0,1]_A[a0]_EVS2</t>
  </si>
  <si>
    <t>Fuse Hardbin # same as EVS1</t>
  </si>
  <si>
    <t>Bin107_1FSTP</t>
  </si>
  <si>
    <t>Bin107_SXEXPXG1_Repair[0,1][0,1][0,1]_A[a0]_EVS2</t>
  </si>
  <si>
    <t>Bin108_2FSTP</t>
  </si>
  <si>
    <t>Bin108_SXEXPXG2_Repair[0,1][0,1][0,1]_A[a0]_EVS2</t>
  </si>
  <si>
    <t>Bin109_IS</t>
  </si>
  <si>
    <t>Bin109_S1EXPXGX_Repair[0,1][0,1][0,1]_A[a0]_EVS2</t>
  </si>
  <si>
    <t>Bin110_ED</t>
  </si>
  <si>
    <t>Bin110_S2EXPXGX_Repair[0,1][0,1][0,1]_A[a0]_EVS2</t>
  </si>
  <si>
    <t>Bin111_S3EXPXGX_Repair[0,1][0,1][0,1]_A[a0]_EVS2</t>
  </si>
  <si>
    <t>Bin112_S4EXPXGX_Repair[0,1][0,1][0,1]_A[a0]_EVS2</t>
  </si>
  <si>
    <t>Bin113_1PCPU</t>
  </si>
  <si>
    <t>Bin113_SXEXP1GX_Repair[0,1][0,1][0,1]_A[a0]_EVS2</t>
  </si>
  <si>
    <t>Bin114_1MCPU</t>
  </si>
  <si>
    <t>Bin114_SXEXP1GX_Repair[0,1][0,1][0,1]_A[a0]_EVS2</t>
  </si>
  <si>
    <t>Bin115_1ECPU</t>
  </si>
  <si>
    <t>Bin115_SXE1PXGX_Repair[0,1][0,1][0,1]_A[a0]_EVS2</t>
  </si>
  <si>
    <t>Bin116_1ANE</t>
  </si>
  <si>
    <t>Bin116_S5EXPXGX_Repair[0,1][0,1][0,1]_AA_EVS2</t>
  </si>
  <si>
    <t>F_SOC_HARV_AT02</t>
  </si>
  <si>
    <t>F_SOC_HARV_AT13</t>
  </si>
  <si>
    <t>F_SOC_HARV_AT1</t>
  </si>
  <si>
    <t>F_SOC_HARV_AT2</t>
  </si>
  <si>
    <t>F_SOC_HARV_AT3</t>
  </si>
  <si>
    <t>F_SOC_HARV_SC</t>
  </si>
  <si>
    <t>Bin17</t>
  </si>
  <si>
    <t>Bin11_AT02</t>
  </si>
  <si>
    <t>Bin12_AT13</t>
  </si>
  <si>
    <t>Bin17_SC</t>
  </si>
  <si>
    <t>Bin17_S6EXPXGX_Repair[0,1][0,1][0,1]_A[a0]_EVS1</t>
  </si>
  <si>
    <t>Bin111_AT02</t>
  </si>
  <si>
    <t>Bin112_AT13</t>
  </si>
  <si>
    <t>Bin117_SC</t>
  </si>
  <si>
    <t>Bin117_S6EXPXGX_Repair[0,1][0,1][0,1]_A[a0]_EVS2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</si>
</sst>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2"/>
      <color theme="1"/>
      <name val="Courier"/>
      <family val="1"/>
    </font>
    <font>
      <sz val="12"/>
      <color rgb="FFFF0000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EB35E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textRotation="90"/>
    </xf>
    <xf numFmtId="0" fontId="2" fillId="2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textRotation="90"/>
    </xf>
    <xf numFmtId="0" fontId="2" fillId="4" borderId="2" xfId="1" applyFont="1" applyFill="1" applyBorder="1" applyAlignment="1">
      <alignment horizontal="center" textRotation="90"/>
    </xf>
    <xf numFmtId="0" fontId="2" fillId="0" borderId="2" xfId="1" applyFont="1" applyBorder="1" applyAlignment="1">
      <alignment horizontal="center" textRotation="90"/>
    </xf>
    <xf numFmtId="0" fontId="2" fillId="0" borderId="4" xfId="1" applyFont="1" applyBorder="1" applyAlignment="1">
      <alignment horizontal="center" textRotation="90"/>
    </xf>
    <xf numFmtId="0" fontId="2" fillId="0" borderId="5" xfId="1" applyFont="1" applyBorder="1" applyAlignment="1">
      <alignment horizontal="center" textRotation="90"/>
    </xf>
    <xf numFmtId="0" fontId="2" fillId="6" borderId="6" xfId="1" applyFont="1" applyFill="1" applyBorder="1" applyAlignment="1">
      <alignment horizontal="center" textRotation="90"/>
    </xf>
    <xf numFmtId="0" fontId="2" fillId="0" borderId="5" xfId="1" applyFont="1" applyBorder="1" applyAlignment="1">
      <alignment horizontal="left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0" xfId="1" quotePrefix="1" applyFont="1" applyBorder="1" applyAlignment="1">
      <alignment horizontal="center" vertical="center"/>
    </xf>
    <xf numFmtId="0" fontId="2" fillId="0" borderId="9" xfId="1" quotePrefix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7" borderId="15" xfId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0" borderId="18" xfId="1" applyFont="1" applyBorder="1" applyAlignment="1">
      <alignment horizontal="left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0" xfId="1" quotePrefix="1" applyFont="1" applyBorder="1" applyAlignment="1">
      <alignment horizontal="center" vertical="center"/>
    </xf>
    <xf numFmtId="0" fontId="2" fillId="0" borderId="19" xfId="1" quotePrefix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7" borderId="18" xfId="1" applyFont="1" applyFill="1" applyBorder="1" applyAlignment="1">
      <alignment horizontal="center" vertical="center"/>
    </xf>
    <xf numFmtId="0" fontId="2" fillId="0" borderId="25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49" fontId="2" fillId="0" borderId="20" xfId="1" applyNumberFormat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7" xfId="1" quotePrefix="1" applyFont="1" applyBorder="1" applyAlignment="1">
      <alignment horizontal="center" vertical="center"/>
    </xf>
    <xf numFmtId="0" fontId="2" fillId="0" borderId="28" xfId="1" quotePrefix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7" borderId="8" xfId="1" applyFont="1" applyFill="1" applyBorder="1" applyAlignment="1">
      <alignment horizontal="center" vertical="center"/>
    </xf>
    <xf numFmtId="0" fontId="2" fillId="0" borderId="31" xfId="1" applyFont="1" applyBorder="1" applyAlignment="1">
      <alignment horizontal="left" vertical="center"/>
    </xf>
    <xf numFmtId="0" fontId="4" fillId="0" borderId="7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left"/>
    </xf>
    <xf numFmtId="0" fontId="2" fillId="5" borderId="2" xfId="1" applyFont="1" applyFill="1" applyBorder="1" applyAlignment="1">
      <alignment horizontal="center" textRotation="90"/>
    </xf>
    <xf numFmtId="0" fontId="3" fillId="5" borderId="5" xfId="1" applyFont="1" applyFill="1" applyBorder="1" applyAlignment="1">
      <alignment textRotation="90"/>
    </xf>
    <xf numFmtId="0" fontId="3" fillId="5" borderId="34" xfId="1" applyFont="1" applyFill="1" applyBorder="1" applyAlignment="1">
      <alignment textRotation="90"/>
    </xf>
    <xf numFmtId="0" fontId="2" fillId="0" borderId="15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6">
    <dxf>
      <font>
        <strike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radyne\Vinson\T_Autogen_Data\M8P\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gadislov\Library\Containers\com.apple.mail\Data\Library\Mail%20Downloads\F90EE351-2E38-4C72-A8CD-C98AD87BBEF5\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gadislov\Library\Containers\com.apple.mail\Data\Library\Mail%20Downloads\12C5A155-05D0-4E01-AB85-33044B242CAE\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gadislov\Library\Containers\com.apple.mail\Data\Library\Mail%20Downloads\44F25444-ACE4-4E05-849E-1255AD39731F\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pple\Box%20Sync\Projects\Aruba\Z:\private\tmp\sil(p4v)\Sis-MacBook-Pro.local_vlsip4_1668\depot\www\cayman\release\PE\Test%20Plan\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mp\alexkhramtsov(p4v)\YRQKNQHHVC_israel-vlsip4.csg.apple.com_1668\projects\rhodescdie\www\private\PE\ATE_TESTING\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MPC2P_684-599-00\input\0709_Ballout%20&amp;\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gying\AppData\Roaming\Microsoft\Excel\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llivan\Desktop\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ivate\tmp\sil(p4v)\Sis-MacBook-Pro.local_vlsip4_1668\depot\www\cyprus\release\specs\Apple\DFT\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ivate\tmp\sil(p4v)\Sis-MacBook-Pro.local_vlsip4_1668\depot\www\cyprus\release\specs\Apple\DFT\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DP-C651-TT.tsmc.com\C651_ProjectDocs$\Users\khuongtran\khuong_Khuongs-MacBook-Pro_5939\khuong_Khuongs-MacBook-Pro_5939\projects\skua\www\private\TE\Cyprus_IO_TestPin_Mapp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lamsayed\Desktop\Copy%20of%20OFFICIAL_Laguna_Ball_Out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taliatia-senesh\Library\CloudStorage\Box-Box\Q&amp;R\Tools\EVS_Instance\Caicos\Input\for_script_Caicos_A0_cp2_re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7CB1898\DataTool.xla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sers\khuongtran\khuong_Khuongs-MacBook-Pro_5939\khuong_Khuongs-MacBook-Pro_5939\projects\sicily\www\private\PTE\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michaeltrubnikov\Library\Containers\com.apple.mail\Data\Library\Mail%20Downloads\F03EAF82-434C-46C2-9D6F-40A31175C67E\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haggailyabock\Library\Containers\com.apple.mail\Data\Library\Mail%20Downloads\371EC265-477F-4F75-8940-478706A2D2AB\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DP-C651-TT.tsmc.com\C651_ProjectDocs$\Users\boonaik_ang\Library\Containers\com.apple.mail\Data\Library\Mail%20Downloads\B949D7F3-CF11-492B-9809-029AA0D3E387\ADCLK_ATE_Test_Lis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eshefbaryoel\Documents\workspace\Turks\test\TMPS\N7_Temp_Sens_testprocedures_jan8_2019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gadislov\Perforce\gslov_Gadis-MacBook-Pro_7079\projects\s5e\www\private\PE\ATE_TESTING\S5E_ATE_Test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ongaro\Perforce\fongaro_local\depot\www\imola\private\package\Ballout_Imola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shlomosegal\Library\Containers\com.apple.mail\Data\Library\Mail%20Downloads\D8B3B2BD-D4FB-47C9-B8F2-E53ECDBC49B1\IFLOD_HW_Vs_80%25_rev3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phenkim\Perforce\stephen_kim_Stephens-MacBook-Pro-2_5825\depot\www\imola\private\package\Ballout_Imola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sers\chris_vu\Perforce\chris_vu_macbook\depot\www\myst\release\specs\NonApple\Temperature_Sensor\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yairbasteker\Documents\Work_scratch\Rhodes_HW_Power\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vincis\Desktop\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gying\AppData\Roaming\Microsoft\Excel\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phenkim\Apple_SEG\20180709_Suzuka\20180710_PKG_BallMap\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mp\shlomosegal(p4v)\Shlomos-MacBook-Pro.local_israel-vlsip4.csg.apple.com_1668\projects\rhodescdie\www\private\PE\ATE_HW\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ivate\tmp\borissirkis(p4v)\Boriss-MacBook-Pro-9.local_israel-vlsip4.csg.apple.com_1668\projects\jadecdie\www\private\PE\ATE_TESTING\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KYE\AppData\Local\Microsoft\Windows\Temporary%20Internet%20Files\Content.Outlook\0YX1359Z\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phenkim\Apple_SEG\20190128_Cota\20180128_ResorceAssignment\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sers\chris_vu\Perforce\chris_vu_macbook\depot\www\cebu\release\TE\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dIP DFT Clocks"/>
      <sheetName val="IO TestPin Mapping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#124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Operation Keyword"/>
      <sheetName val="WLCSP_SUZUKA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X26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Z2" sqref="Z2"/>
    </sheetView>
  </sheetViews>
  <sheetFormatPr defaultColWidth="13.81640625" defaultRowHeight="16" x14ac:dyDescent="0.35"/>
  <cols>
    <col min="1" max="1" width="39" style="52" bestFit="1" customWidth="1"/>
    <col min="2" max="7" width="4.81640625" style="38" customWidth="1"/>
    <col min="8" max="8" width="12.1796875" style="38" customWidth="1"/>
    <col min="9" max="9" width="8.36328125" style="38" bestFit="1" customWidth="1"/>
    <col min="10" max="12" width="6.453125" style="38" bestFit="1" customWidth="1"/>
    <col min="13" max="13" width="6.453125" style="38" customWidth="1"/>
    <col min="14" max="14" width="6.453125" style="38" bestFit="1" customWidth="1"/>
    <col min="15" max="15" width="5.36328125" style="38" bestFit="1" customWidth="1"/>
    <col min="16" max="16" width="6.453125" style="38" bestFit="1" customWidth="1"/>
    <col min="17" max="23" width="6.453125" style="38" customWidth="1"/>
    <col min="24" max="24" width="11.36328125" style="38" bestFit="1" customWidth="1"/>
    <col min="25" max="28" width="11.36328125" style="38" customWidth="1"/>
    <col min="29" max="29" width="6.453125" style="38" bestFit="1" customWidth="1"/>
    <col min="30" max="32" width="6.453125" style="38" customWidth="1"/>
    <col min="33" max="33" width="5.36328125" style="53" bestFit="1" customWidth="1"/>
    <col min="34" max="34" width="5.36328125" style="38" bestFit="1" customWidth="1"/>
    <col min="35" max="45" width="5.36328125" style="38" customWidth="1"/>
    <col min="46" max="47" width="6.453125" style="38" customWidth="1"/>
    <col min="48" max="48" width="14.6328125" style="38" bestFit="1" customWidth="1"/>
    <col min="49" max="49" width="78.453125" style="52" bestFit="1" customWidth="1"/>
    <col min="50" max="50" width="42.81640625" style="38" bestFit="1" customWidth="1"/>
    <col min="51" max="16384" width="13.81640625" style="38"/>
  </cols>
  <sheetData>
    <row r="1" spans="1:50" s="1" customFormat="1" thickBot="1" x14ac:dyDescent="0.4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S1" s="1" t="s">
        <v>1</v>
      </c>
      <c r="AT1" s="1" t="s">
        <v>2</v>
      </c>
      <c r="AU1" s="1" t="s">
        <v>2</v>
      </c>
      <c r="AV1" s="1" t="s">
        <v>3</v>
      </c>
      <c r="AW1" s="1" t="s">
        <v>4</v>
      </c>
    </row>
    <row r="2" spans="1:50" s="12" customFormat="1" ht="251" customHeight="1" thickBot="1" x14ac:dyDescent="0.45">
      <c r="A2" s="54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5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93</v>
      </c>
      <c r="R2" s="6" t="s">
        <v>94</v>
      </c>
      <c r="S2" s="6" t="s">
        <v>21</v>
      </c>
      <c r="T2" s="6" t="s">
        <v>95</v>
      </c>
      <c r="U2" s="6" t="s">
        <v>96</v>
      </c>
      <c r="V2" s="6" t="s">
        <v>97</v>
      </c>
      <c r="W2" s="6" t="s">
        <v>98</v>
      </c>
      <c r="X2" s="6" t="s">
        <v>22</v>
      </c>
      <c r="Y2" s="6" t="s">
        <v>23</v>
      </c>
      <c r="Z2" s="6" t="s">
        <v>24</v>
      </c>
      <c r="AA2" s="6" t="s">
        <v>25</v>
      </c>
      <c r="AB2" s="55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7" t="s">
        <v>31</v>
      </c>
      <c r="AH2" s="6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99</v>
      </c>
      <c r="AS2" s="8" t="s">
        <v>42</v>
      </c>
      <c r="AT2" s="56" t="s">
        <v>43</v>
      </c>
      <c r="AU2" s="57" t="s">
        <v>44</v>
      </c>
      <c r="AV2" s="9" t="s">
        <v>45</v>
      </c>
      <c r="AW2" s="10"/>
      <c r="AX2" s="11" t="s">
        <v>46</v>
      </c>
    </row>
    <row r="3" spans="1:50" s="25" customFormat="1" x14ac:dyDescent="0.35">
      <c r="A3" s="58" t="s">
        <v>47</v>
      </c>
      <c r="B3" s="14" t="s">
        <v>48</v>
      </c>
      <c r="C3" s="15" t="s">
        <v>48</v>
      </c>
      <c r="D3" s="15" t="s">
        <v>48</v>
      </c>
      <c r="E3" s="15" t="s">
        <v>48</v>
      </c>
      <c r="F3" s="15" t="s">
        <v>48</v>
      </c>
      <c r="G3" s="15" t="s">
        <v>48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6" t="s">
        <v>49</v>
      </c>
      <c r="Y3" s="16" t="s">
        <v>49</v>
      </c>
      <c r="Z3" s="16" t="s">
        <v>49</v>
      </c>
      <c r="AA3" s="16" t="s">
        <v>49</v>
      </c>
      <c r="AB3" s="16" t="s">
        <v>50</v>
      </c>
      <c r="AC3" s="16">
        <v>0</v>
      </c>
      <c r="AD3" s="16">
        <v>0</v>
      </c>
      <c r="AE3" s="17">
        <v>0</v>
      </c>
      <c r="AF3" s="17">
        <v>0</v>
      </c>
      <c r="AG3" s="18">
        <v>1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9">
        <v>0</v>
      </c>
      <c r="AR3" s="19">
        <v>0</v>
      </c>
      <c r="AS3" s="19">
        <v>0</v>
      </c>
      <c r="AT3" s="20">
        <v>0</v>
      </c>
      <c r="AU3" s="21">
        <v>1</v>
      </c>
      <c r="AV3" s="22">
        <v>1</v>
      </c>
      <c r="AW3" s="23" t="s">
        <v>51</v>
      </c>
      <c r="AX3" s="24"/>
    </row>
    <row r="4" spans="1:50" x14ac:dyDescent="0.35">
      <c r="A4" s="26" t="s">
        <v>52</v>
      </c>
      <c r="B4" s="27" t="s">
        <v>48</v>
      </c>
      <c r="C4" s="28" t="s">
        <v>48</v>
      </c>
      <c r="D4" s="28" t="s">
        <v>48</v>
      </c>
      <c r="E4" s="28" t="s">
        <v>48</v>
      </c>
      <c r="F4" s="28" t="s">
        <v>48</v>
      </c>
      <c r="G4" s="28" t="s">
        <v>48</v>
      </c>
      <c r="H4" s="28">
        <v>0</v>
      </c>
      <c r="I4" s="28">
        <v>1</v>
      </c>
      <c r="J4" s="29" t="s">
        <v>49</v>
      </c>
      <c r="K4" s="29" t="s">
        <v>49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9" t="s">
        <v>49</v>
      </c>
      <c r="Y4" s="29" t="s">
        <v>49</v>
      </c>
      <c r="Z4" s="29" t="s">
        <v>49</v>
      </c>
      <c r="AA4" s="29" t="s">
        <v>49</v>
      </c>
      <c r="AB4" s="29" t="s">
        <v>50</v>
      </c>
      <c r="AC4" s="29">
        <v>0</v>
      </c>
      <c r="AD4" s="29">
        <v>0</v>
      </c>
      <c r="AE4" s="30">
        <v>0</v>
      </c>
      <c r="AF4" s="30">
        <v>0</v>
      </c>
      <c r="AG4" s="31">
        <v>0</v>
      </c>
      <c r="AH4" s="28">
        <v>1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32">
        <v>0</v>
      </c>
      <c r="AR4" s="32">
        <v>0</v>
      </c>
      <c r="AS4" s="32">
        <v>0</v>
      </c>
      <c r="AT4" s="33">
        <v>0</v>
      </c>
      <c r="AU4" s="34">
        <v>1</v>
      </c>
      <c r="AV4" s="35">
        <v>7</v>
      </c>
      <c r="AW4" s="36" t="s">
        <v>53</v>
      </c>
      <c r="AX4" s="37"/>
    </row>
    <row r="5" spans="1:50" x14ac:dyDescent="0.35">
      <c r="A5" s="26" t="s">
        <v>54</v>
      </c>
      <c r="B5" s="27" t="s">
        <v>48</v>
      </c>
      <c r="C5" s="28" t="s">
        <v>48</v>
      </c>
      <c r="D5" s="28" t="s">
        <v>48</v>
      </c>
      <c r="E5" s="28" t="s">
        <v>48</v>
      </c>
      <c r="F5" s="28" t="s">
        <v>48</v>
      </c>
      <c r="G5" s="28" t="s">
        <v>48</v>
      </c>
      <c r="H5" s="28">
        <v>0</v>
      </c>
      <c r="I5" s="28">
        <v>2</v>
      </c>
      <c r="J5" s="28">
        <v>1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9" t="s">
        <v>49</v>
      </c>
      <c r="Y5" s="29" t="s">
        <v>49</v>
      </c>
      <c r="Z5" s="29" t="s">
        <v>49</v>
      </c>
      <c r="AA5" s="29" t="s">
        <v>49</v>
      </c>
      <c r="AB5" s="29" t="s">
        <v>50</v>
      </c>
      <c r="AC5" s="29">
        <v>0</v>
      </c>
      <c r="AD5" s="29">
        <v>0</v>
      </c>
      <c r="AE5" s="30">
        <v>0</v>
      </c>
      <c r="AF5" s="30">
        <v>0</v>
      </c>
      <c r="AG5" s="31">
        <v>0</v>
      </c>
      <c r="AH5" s="28">
        <v>0</v>
      </c>
      <c r="AI5" s="28">
        <v>1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32">
        <v>0</v>
      </c>
      <c r="AR5" s="32">
        <v>0</v>
      </c>
      <c r="AS5" s="32">
        <v>0</v>
      </c>
      <c r="AT5" s="33">
        <v>0</v>
      </c>
      <c r="AU5" s="34">
        <v>1</v>
      </c>
      <c r="AV5" s="35">
        <v>8</v>
      </c>
      <c r="AW5" s="36" t="s">
        <v>55</v>
      </c>
      <c r="AX5" s="37"/>
    </row>
    <row r="6" spans="1:50" x14ac:dyDescent="0.35">
      <c r="A6" s="26" t="s">
        <v>56</v>
      </c>
      <c r="B6" s="27" t="s">
        <v>48</v>
      </c>
      <c r="C6" s="28" t="s">
        <v>48</v>
      </c>
      <c r="D6" s="28" t="s">
        <v>48</v>
      </c>
      <c r="E6" s="28" t="s">
        <v>48</v>
      </c>
      <c r="F6" s="28" t="s">
        <v>48</v>
      </c>
      <c r="G6" s="28" t="s">
        <v>48</v>
      </c>
      <c r="H6" s="28">
        <v>0</v>
      </c>
      <c r="I6" s="15">
        <v>0</v>
      </c>
      <c r="J6" s="15">
        <v>0</v>
      </c>
      <c r="K6" s="15">
        <v>0</v>
      </c>
      <c r="L6" s="28">
        <v>0</v>
      </c>
      <c r="M6" s="28">
        <v>0</v>
      </c>
      <c r="N6" s="28">
        <v>0</v>
      </c>
      <c r="O6" s="28">
        <v>1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9" t="s">
        <v>49</v>
      </c>
      <c r="Y6" s="29" t="s">
        <v>49</v>
      </c>
      <c r="Z6" s="29" t="s">
        <v>49</v>
      </c>
      <c r="AA6" s="29" t="s">
        <v>49</v>
      </c>
      <c r="AB6" s="29" t="s">
        <v>50</v>
      </c>
      <c r="AC6" s="28">
        <v>0</v>
      </c>
      <c r="AD6" s="28">
        <v>0</v>
      </c>
      <c r="AE6" s="27">
        <v>0</v>
      </c>
      <c r="AF6" s="27">
        <v>0</v>
      </c>
      <c r="AG6" s="31">
        <v>0</v>
      </c>
      <c r="AH6" s="28">
        <v>0</v>
      </c>
      <c r="AI6" s="28">
        <v>0</v>
      </c>
      <c r="AJ6" s="28">
        <v>1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32">
        <v>0</v>
      </c>
      <c r="AR6" s="32">
        <v>0</v>
      </c>
      <c r="AS6" s="32">
        <v>0</v>
      </c>
      <c r="AT6" s="20">
        <v>0</v>
      </c>
      <c r="AU6" s="21">
        <v>1</v>
      </c>
      <c r="AV6" s="22">
        <v>9</v>
      </c>
      <c r="AW6" s="36" t="s">
        <v>57</v>
      </c>
      <c r="AX6" s="39"/>
    </row>
    <row r="7" spans="1:50" x14ac:dyDescent="0.35">
      <c r="A7" s="26" t="s">
        <v>58</v>
      </c>
      <c r="B7" s="27" t="s">
        <v>48</v>
      </c>
      <c r="C7" s="28" t="s">
        <v>48</v>
      </c>
      <c r="D7" s="28" t="s">
        <v>48</v>
      </c>
      <c r="E7" s="28" t="s">
        <v>48</v>
      </c>
      <c r="F7" s="28" t="s">
        <v>48</v>
      </c>
      <c r="G7" s="28" t="s">
        <v>48</v>
      </c>
      <c r="H7" s="28">
        <v>0</v>
      </c>
      <c r="I7" s="15">
        <v>0</v>
      </c>
      <c r="J7" s="15">
        <v>0</v>
      </c>
      <c r="K7" s="15">
        <v>0</v>
      </c>
      <c r="L7" s="28">
        <v>0</v>
      </c>
      <c r="M7" s="28">
        <v>0</v>
      </c>
      <c r="N7" s="28">
        <v>0</v>
      </c>
      <c r="O7" s="28">
        <v>0</v>
      </c>
      <c r="P7" s="28">
        <v>1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9" t="s">
        <v>49</v>
      </c>
      <c r="Y7" s="29" t="s">
        <v>49</v>
      </c>
      <c r="Z7" s="29" t="s">
        <v>49</v>
      </c>
      <c r="AA7" s="29" t="s">
        <v>49</v>
      </c>
      <c r="AB7" s="29" t="s">
        <v>50</v>
      </c>
      <c r="AC7" s="28">
        <v>0</v>
      </c>
      <c r="AD7" s="28">
        <v>0</v>
      </c>
      <c r="AE7" s="27">
        <v>0</v>
      </c>
      <c r="AF7" s="27">
        <v>0</v>
      </c>
      <c r="AG7" s="31">
        <v>0</v>
      </c>
      <c r="AH7" s="28">
        <v>0</v>
      </c>
      <c r="AI7" s="28">
        <v>0</v>
      </c>
      <c r="AJ7" s="28">
        <v>0</v>
      </c>
      <c r="AK7" s="28">
        <v>1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32">
        <v>0</v>
      </c>
      <c r="AR7" s="32">
        <v>0</v>
      </c>
      <c r="AS7" s="32">
        <v>0</v>
      </c>
      <c r="AT7" s="20">
        <v>0</v>
      </c>
      <c r="AU7" s="21">
        <v>1</v>
      </c>
      <c r="AV7" s="22">
        <v>10</v>
      </c>
      <c r="AW7" s="36" t="s">
        <v>59</v>
      </c>
      <c r="AX7" s="39"/>
    </row>
    <row r="8" spans="1:50" x14ac:dyDescent="0.35">
      <c r="A8" s="59" t="s">
        <v>100</v>
      </c>
      <c r="B8" s="27" t="s">
        <v>48</v>
      </c>
      <c r="C8" s="28" t="s">
        <v>48</v>
      </c>
      <c r="D8" s="28" t="s">
        <v>48</v>
      </c>
      <c r="E8" s="28" t="s">
        <v>48</v>
      </c>
      <c r="F8" s="28" t="s">
        <v>48</v>
      </c>
      <c r="G8" s="28" t="s">
        <v>48</v>
      </c>
      <c r="H8" s="28">
        <v>0</v>
      </c>
      <c r="I8" s="15">
        <v>0</v>
      </c>
      <c r="J8" s="15">
        <v>0</v>
      </c>
      <c r="K8" s="15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1</v>
      </c>
      <c r="R8" s="28">
        <v>0</v>
      </c>
      <c r="S8" s="28" t="s">
        <v>48</v>
      </c>
      <c r="T8" s="28">
        <v>0</v>
      </c>
      <c r="U8" s="28" t="s">
        <v>48</v>
      </c>
      <c r="V8" s="28">
        <v>0</v>
      </c>
      <c r="W8" s="28">
        <v>0</v>
      </c>
      <c r="X8" s="29" t="s">
        <v>49</v>
      </c>
      <c r="Y8" s="29" t="s">
        <v>49</v>
      </c>
      <c r="Z8" s="29" t="s">
        <v>49</v>
      </c>
      <c r="AA8" s="29" t="s">
        <v>49</v>
      </c>
      <c r="AB8" s="29" t="s">
        <v>50</v>
      </c>
      <c r="AC8" s="28">
        <v>0</v>
      </c>
      <c r="AD8" s="28">
        <v>0</v>
      </c>
      <c r="AE8" s="27">
        <v>0</v>
      </c>
      <c r="AF8" s="27">
        <v>0</v>
      </c>
      <c r="AG8" s="31">
        <v>0</v>
      </c>
      <c r="AH8" s="28">
        <v>0</v>
      </c>
      <c r="AI8" s="28">
        <v>0</v>
      </c>
      <c r="AJ8" s="28">
        <v>0</v>
      </c>
      <c r="AK8" s="28">
        <v>0</v>
      </c>
      <c r="AL8" s="28">
        <v>1</v>
      </c>
      <c r="AM8" s="28">
        <v>0</v>
      </c>
      <c r="AN8" s="28">
        <v>0</v>
      </c>
      <c r="AO8" s="28">
        <v>0</v>
      </c>
      <c r="AP8" s="28">
        <v>0</v>
      </c>
      <c r="AQ8" s="32">
        <v>0</v>
      </c>
      <c r="AR8" s="32">
        <v>0</v>
      </c>
      <c r="AS8" s="32">
        <v>0</v>
      </c>
      <c r="AT8" s="20">
        <v>0</v>
      </c>
      <c r="AU8" s="21">
        <v>1</v>
      </c>
      <c r="AV8" s="22">
        <v>11</v>
      </c>
      <c r="AW8" s="36" t="s">
        <v>60</v>
      </c>
      <c r="AX8" s="39"/>
    </row>
    <row r="9" spans="1:50" x14ac:dyDescent="0.35">
      <c r="A9" s="59" t="s">
        <v>101</v>
      </c>
      <c r="B9" s="27" t="s">
        <v>48</v>
      </c>
      <c r="C9" s="28" t="s">
        <v>48</v>
      </c>
      <c r="D9" s="28" t="s">
        <v>48</v>
      </c>
      <c r="E9" s="28" t="s">
        <v>48</v>
      </c>
      <c r="F9" s="28" t="s">
        <v>48</v>
      </c>
      <c r="G9" s="28" t="s">
        <v>48</v>
      </c>
      <c r="H9" s="28">
        <v>0</v>
      </c>
      <c r="I9" s="15">
        <v>0</v>
      </c>
      <c r="J9" s="15">
        <v>0</v>
      </c>
      <c r="K9" s="15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</v>
      </c>
      <c r="S9" s="28">
        <v>0</v>
      </c>
      <c r="T9" s="28" t="s">
        <v>48</v>
      </c>
      <c r="U9" s="28">
        <v>0</v>
      </c>
      <c r="V9" s="28" t="s">
        <v>48</v>
      </c>
      <c r="W9" s="28">
        <v>0</v>
      </c>
      <c r="X9" s="29" t="s">
        <v>49</v>
      </c>
      <c r="Y9" s="29" t="s">
        <v>49</v>
      </c>
      <c r="Z9" s="29" t="s">
        <v>49</v>
      </c>
      <c r="AA9" s="29" t="s">
        <v>49</v>
      </c>
      <c r="AB9" s="29" t="s">
        <v>50</v>
      </c>
      <c r="AC9" s="28">
        <v>0</v>
      </c>
      <c r="AD9" s="28">
        <v>0</v>
      </c>
      <c r="AE9" s="27">
        <v>0</v>
      </c>
      <c r="AF9" s="27">
        <v>0</v>
      </c>
      <c r="AG9" s="31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1</v>
      </c>
      <c r="AN9" s="28">
        <v>0</v>
      </c>
      <c r="AO9" s="28">
        <v>0</v>
      </c>
      <c r="AP9" s="28">
        <v>0</v>
      </c>
      <c r="AQ9" s="32">
        <v>0</v>
      </c>
      <c r="AR9" s="32">
        <v>0</v>
      </c>
      <c r="AS9" s="32">
        <v>0</v>
      </c>
      <c r="AT9" s="20">
        <v>0</v>
      </c>
      <c r="AU9" s="21">
        <v>1</v>
      </c>
      <c r="AV9" s="22">
        <v>12</v>
      </c>
      <c r="AW9" s="36" t="s">
        <v>61</v>
      </c>
      <c r="AX9" s="39"/>
    </row>
    <row r="10" spans="1:50" x14ac:dyDescent="0.35">
      <c r="A10" s="26" t="s">
        <v>62</v>
      </c>
      <c r="B10" s="27" t="s">
        <v>48</v>
      </c>
      <c r="C10" s="28" t="s">
        <v>48</v>
      </c>
      <c r="D10" s="28" t="s">
        <v>48</v>
      </c>
      <c r="E10" s="28" t="s">
        <v>48</v>
      </c>
      <c r="F10" s="28" t="s">
        <v>48</v>
      </c>
      <c r="G10" s="28" t="s">
        <v>48</v>
      </c>
      <c r="H10" s="28">
        <v>0</v>
      </c>
      <c r="I10" s="15">
        <v>0</v>
      </c>
      <c r="J10" s="15">
        <v>0</v>
      </c>
      <c r="K10" s="15">
        <v>0</v>
      </c>
      <c r="L10" s="28">
        <v>1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9" t="s">
        <v>49</v>
      </c>
      <c r="Y10" s="29" t="s">
        <v>49</v>
      </c>
      <c r="Z10" s="29" t="s">
        <v>49</v>
      </c>
      <c r="AA10" s="29" t="s">
        <v>49</v>
      </c>
      <c r="AB10" s="29" t="s">
        <v>50</v>
      </c>
      <c r="AC10" s="28">
        <v>0</v>
      </c>
      <c r="AD10" s="28">
        <v>0</v>
      </c>
      <c r="AE10" s="27">
        <v>0</v>
      </c>
      <c r="AF10" s="27">
        <v>0</v>
      </c>
      <c r="AG10" s="31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1</v>
      </c>
      <c r="AO10" s="28">
        <v>0</v>
      </c>
      <c r="AP10" s="28">
        <v>0</v>
      </c>
      <c r="AQ10" s="32">
        <v>0</v>
      </c>
      <c r="AR10" s="32">
        <v>0</v>
      </c>
      <c r="AS10" s="32">
        <v>0</v>
      </c>
      <c r="AT10" s="20">
        <v>0</v>
      </c>
      <c r="AU10" s="21">
        <v>1</v>
      </c>
      <c r="AV10" s="22">
        <v>13</v>
      </c>
      <c r="AW10" s="36" t="s">
        <v>63</v>
      </c>
      <c r="AX10" s="39"/>
    </row>
    <row r="11" spans="1:50" x14ac:dyDescent="0.35">
      <c r="A11" s="26" t="s">
        <v>64</v>
      </c>
      <c r="B11" s="27" t="s">
        <v>48</v>
      </c>
      <c r="C11" s="28" t="s">
        <v>48</v>
      </c>
      <c r="D11" s="28" t="s">
        <v>48</v>
      </c>
      <c r="E11" s="28" t="s">
        <v>48</v>
      </c>
      <c r="F11" s="28" t="s">
        <v>48</v>
      </c>
      <c r="G11" s="28" t="s">
        <v>48</v>
      </c>
      <c r="H11" s="28">
        <v>0</v>
      </c>
      <c r="I11" s="15">
        <v>0</v>
      </c>
      <c r="J11" s="15">
        <v>0</v>
      </c>
      <c r="K11" s="15">
        <v>0</v>
      </c>
      <c r="L11" s="28">
        <v>0</v>
      </c>
      <c r="M11" s="28">
        <v>1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9" t="s">
        <v>49</v>
      </c>
      <c r="Y11" s="29" t="s">
        <v>49</v>
      </c>
      <c r="Z11" s="29" t="s">
        <v>49</v>
      </c>
      <c r="AA11" s="29" t="s">
        <v>49</v>
      </c>
      <c r="AB11" s="29" t="s">
        <v>50</v>
      </c>
      <c r="AC11" s="28">
        <v>0</v>
      </c>
      <c r="AD11" s="28">
        <v>0</v>
      </c>
      <c r="AE11" s="27">
        <v>0</v>
      </c>
      <c r="AF11" s="27">
        <v>0</v>
      </c>
      <c r="AG11" s="31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1</v>
      </c>
      <c r="AP11" s="28">
        <v>0</v>
      </c>
      <c r="AQ11" s="32">
        <v>0</v>
      </c>
      <c r="AR11" s="32">
        <v>0</v>
      </c>
      <c r="AS11" s="32">
        <v>0</v>
      </c>
      <c r="AT11" s="20">
        <v>0</v>
      </c>
      <c r="AU11" s="21">
        <v>1</v>
      </c>
      <c r="AV11" s="22">
        <v>14</v>
      </c>
      <c r="AW11" s="36" t="s">
        <v>65</v>
      </c>
      <c r="AX11" s="39"/>
    </row>
    <row r="12" spans="1:50" x14ac:dyDescent="0.35">
      <c r="A12" s="26" t="s">
        <v>66</v>
      </c>
      <c r="B12" s="27" t="s">
        <v>48</v>
      </c>
      <c r="C12" s="28" t="s">
        <v>48</v>
      </c>
      <c r="D12" s="28" t="s">
        <v>48</v>
      </c>
      <c r="E12" s="28" t="s">
        <v>48</v>
      </c>
      <c r="F12" s="28" t="s">
        <v>48</v>
      </c>
      <c r="G12" s="28" t="s">
        <v>48</v>
      </c>
      <c r="H12" s="28">
        <v>0</v>
      </c>
      <c r="I12" s="15">
        <v>0</v>
      </c>
      <c r="J12" s="15">
        <v>0</v>
      </c>
      <c r="K12" s="15">
        <v>0</v>
      </c>
      <c r="L12" s="28">
        <v>0</v>
      </c>
      <c r="M12" s="28">
        <v>0</v>
      </c>
      <c r="N12" s="28">
        <v>1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40" t="s">
        <v>49</v>
      </c>
      <c r="Y12" s="40" t="s">
        <v>49</v>
      </c>
      <c r="Z12" s="40" t="s">
        <v>49</v>
      </c>
      <c r="AA12" s="40" t="s">
        <v>49</v>
      </c>
      <c r="AB12" s="40" t="s">
        <v>50</v>
      </c>
      <c r="AC12" s="28">
        <v>0</v>
      </c>
      <c r="AD12" s="28">
        <v>0</v>
      </c>
      <c r="AE12" s="27">
        <v>0</v>
      </c>
      <c r="AF12" s="27">
        <v>0</v>
      </c>
      <c r="AG12" s="31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1</v>
      </c>
      <c r="AQ12" s="32">
        <v>0</v>
      </c>
      <c r="AR12" s="32">
        <v>0</v>
      </c>
      <c r="AS12" s="32">
        <v>0</v>
      </c>
      <c r="AT12" s="20">
        <v>0</v>
      </c>
      <c r="AU12" s="21">
        <v>1</v>
      </c>
      <c r="AV12" s="22">
        <v>15</v>
      </c>
      <c r="AW12" s="36" t="s">
        <v>67</v>
      </c>
      <c r="AX12" s="39"/>
    </row>
    <row r="13" spans="1:50" x14ac:dyDescent="0.35">
      <c r="A13" s="26" t="s">
        <v>68</v>
      </c>
      <c r="B13" s="27" t="s">
        <v>48</v>
      </c>
      <c r="C13" s="28" t="s">
        <v>48</v>
      </c>
      <c r="D13" s="28" t="s">
        <v>48</v>
      </c>
      <c r="E13" s="28" t="s">
        <v>48</v>
      </c>
      <c r="F13" s="28" t="s">
        <v>48</v>
      </c>
      <c r="G13" s="28" t="s">
        <v>48</v>
      </c>
      <c r="H13" s="28">
        <v>0</v>
      </c>
      <c r="I13" s="15">
        <v>0</v>
      </c>
      <c r="J13" s="15">
        <v>0</v>
      </c>
      <c r="K13" s="15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40" t="s">
        <v>69</v>
      </c>
      <c r="Y13" s="40" t="s">
        <v>69</v>
      </c>
      <c r="Z13" s="40" t="s">
        <v>69</v>
      </c>
      <c r="AA13" s="40" t="s">
        <v>69</v>
      </c>
      <c r="AB13" s="40" t="s">
        <v>70</v>
      </c>
      <c r="AC13" s="28" t="s">
        <v>48</v>
      </c>
      <c r="AD13" s="28" t="s">
        <v>48</v>
      </c>
      <c r="AE13" s="27">
        <v>0</v>
      </c>
      <c r="AF13" s="27">
        <v>1</v>
      </c>
      <c r="AG13" s="31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32">
        <v>1</v>
      </c>
      <c r="AR13" s="32">
        <v>0</v>
      </c>
      <c r="AS13" s="32">
        <v>0</v>
      </c>
      <c r="AT13" s="20">
        <v>0</v>
      </c>
      <c r="AU13" s="21">
        <v>1</v>
      </c>
      <c r="AV13" s="22">
        <v>16</v>
      </c>
      <c r="AW13" s="36" t="s">
        <v>71</v>
      </c>
      <c r="AX13" s="39"/>
    </row>
    <row r="14" spans="1:50" ht="16.5" thickBot="1" x14ac:dyDescent="0.4">
      <c r="A14" s="59" t="s">
        <v>102</v>
      </c>
      <c r="B14" s="27" t="s">
        <v>48</v>
      </c>
      <c r="C14" s="28" t="s">
        <v>48</v>
      </c>
      <c r="D14" s="28" t="s">
        <v>48</v>
      </c>
      <c r="E14" s="28" t="s">
        <v>48</v>
      </c>
      <c r="F14" s="28" t="s">
        <v>48</v>
      </c>
      <c r="G14" s="28" t="s">
        <v>48</v>
      </c>
      <c r="H14" s="28">
        <v>0</v>
      </c>
      <c r="I14" s="15">
        <v>0</v>
      </c>
      <c r="J14" s="15">
        <v>0</v>
      </c>
      <c r="K14" s="15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1</v>
      </c>
      <c r="X14" s="29" t="s">
        <v>49</v>
      </c>
      <c r="Y14" s="29" t="s">
        <v>49</v>
      </c>
      <c r="Z14" s="29" t="s">
        <v>49</v>
      </c>
      <c r="AA14" s="29" t="s">
        <v>49</v>
      </c>
      <c r="AB14" s="29" t="s">
        <v>50</v>
      </c>
      <c r="AC14" s="28">
        <v>0</v>
      </c>
      <c r="AD14" s="28">
        <v>0</v>
      </c>
      <c r="AE14" s="27">
        <v>0</v>
      </c>
      <c r="AF14" s="27">
        <v>0</v>
      </c>
      <c r="AG14" s="31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32">
        <v>0</v>
      </c>
      <c r="AR14" s="32">
        <v>1</v>
      </c>
      <c r="AS14" s="32">
        <v>0</v>
      </c>
      <c r="AT14" s="20">
        <v>0</v>
      </c>
      <c r="AU14" s="21">
        <v>1</v>
      </c>
      <c r="AV14" s="22">
        <v>17</v>
      </c>
      <c r="AW14" s="36" t="s">
        <v>103</v>
      </c>
      <c r="AX14" s="39"/>
    </row>
    <row r="15" spans="1:50" s="25" customFormat="1" x14ac:dyDescent="0.35">
      <c r="A15" s="13" t="s">
        <v>72</v>
      </c>
      <c r="B15" s="41" t="str">
        <f t="shared" ref="B15:G24" si="0">B3</f>
        <v>X</v>
      </c>
      <c r="C15" s="42" t="str">
        <f t="shared" si="0"/>
        <v>X</v>
      </c>
      <c r="D15" s="42" t="str">
        <f t="shared" si="0"/>
        <v>X</v>
      </c>
      <c r="E15" s="42" t="str">
        <f t="shared" si="0"/>
        <v>X</v>
      </c>
      <c r="F15" s="42" t="str">
        <f t="shared" si="0"/>
        <v>X</v>
      </c>
      <c r="G15" s="42" t="str">
        <f t="shared" si="0"/>
        <v>X</v>
      </c>
      <c r="H15" s="42">
        <v>1</v>
      </c>
      <c r="I15" s="42">
        <f t="shared" ref="I15:V15" si="1">I3</f>
        <v>0</v>
      </c>
      <c r="J15" s="42">
        <f t="shared" si="1"/>
        <v>0</v>
      </c>
      <c r="K15" s="42">
        <f t="shared" si="1"/>
        <v>0</v>
      </c>
      <c r="L15" s="42">
        <f t="shared" si="1"/>
        <v>0</v>
      </c>
      <c r="M15" s="42">
        <f t="shared" si="1"/>
        <v>0</v>
      </c>
      <c r="N15" s="42">
        <f t="shared" si="1"/>
        <v>0</v>
      </c>
      <c r="O15" s="42">
        <f t="shared" si="1"/>
        <v>0</v>
      </c>
      <c r="P15" s="42">
        <f t="shared" si="1"/>
        <v>0</v>
      </c>
      <c r="Q15" s="42">
        <f t="shared" si="1"/>
        <v>0</v>
      </c>
      <c r="R15" s="42">
        <f t="shared" si="1"/>
        <v>0</v>
      </c>
      <c r="S15" s="42">
        <f t="shared" si="1"/>
        <v>0</v>
      </c>
      <c r="T15" s="42">
        <f t="shared" si="1"/>
        <v>0</v>
      </c>
      <c r="U15" s="42">
        <f t="shared" si="1"/>
        <v>0</v>
      </c>
      <c r="V15" s="42">
        <f t="shared" si="1"/>
        <v>0</v>
      </c>
      <c r="W15" s="42">
        <f t="shared" ref="W15:W26" si="2">W3</f>
        <v>0</v>
      </c>
      <c r="X15" s="43" t="str">
        <f t="shared" ref="X15:AQ15" si="3">X3</f>
        <v>0-1</v>
      </c>
      <c r="Y15" s="43" t="str">
        <f t="shared" si="3"/>
        <v>0-1</v>
      </c>
      <c r="Z15" s="43" t="str">
        <f t="shared" si="3"/>
        <v>0-1</v>
      </c>
      <c r="AA15" s="43" t="str">
        <f t="shared" si="3"/>
        <v>0-1</v>
      </c>
      <c r="AB15" s="43" t="str">
        <f t="shared" si="3"/>
        <v>0-2</v>
      </c>
      <c r="AC15" s="43">
        <f t="shared" si="3"/>
        <v>0</v>
      </c>
      <c r="AD15" s="43">
        <f t="shared" si="3"/>
        <v>0</v>
      </c>
      <c r="AE15" s="44">
        <f t="shared" si="3"/>
        <v>0</v>
      </c>
      <c r="AF15" s="44">
        <f t="shared" si="3"/>
        <v>0</v>
      </c>
      <c r="AG15" s="41">
        <f t="shared" si="3"/>
        <v>1</v>
      </c>
      <c r="AH15" s="42">
        <f t="shared" si="3"/>
        <v>0</v>
      </c>
      <c r="AI15" s="42">
        <f t="shared" si="3"/>
        <v>0</v>
      </c>
      <c r="AJ15" s="42">
        <f t="shared" si="3"/>
        <v>0</v>
      </c>
      <c r="AK15" s="42">
        <f t="shared" si="3"/>
        <v>0</v>
      </c>
      <c r="AL15" s="42">
        <f t="shared" si="3"/>
        <v>0</v>
      </c>
      <c r="AM15" s="42">
        <f t="shared" si="3"/>
        <v>0</v>
      </c>
      <c r="AN15" s="42">
        <f t="shared" si="3"/>
        <v>0</v>
      </c>
      <c r="AO15" s="42">
        <f t="shared" si="3"/>
        <v>0</v>
      </c>
      <c r="AP15" s="42">
        <f t="shared" si="3"/>
        <v>0</v>
      </c>
      <c r="AQ15" s="45">
        <f t="shared" si="3"/>
        <v>0</v>
      </c>
      <c r="AR15" s="45">
        <f t="shared" ref="AR15:AR26" si="4">AR3</f>
        <v>0</v>
      </c>
      <c r="AS15" s="45">
        <f t="shared" ref="AS15:AS24" si="5">AS3</f>
        <v>0</v>
      </c>
      <c r="AT15" s="46">
        <v>1</v>
      </c>
      <c r="AU15" s="47">
        <v>0</v>
      </c>
      <c r="AV15" s="48">
        <f t="shared" ref="AV15:AV24" si="6">AV3</f>
        <v>1</v>
      </c>
      <c r="AW15" s="49" t="s">
        <v>73</v>
      </c>
      <c r="AX15" s="50" t="s">
        <v>74</v>
      </c>
    </row>
    <row r="16" spans="1:50" x14ac:dyDescent="0.35">
      <c r="A16" s="26" t="s">
        <v>75</v>
      </c>
      <c r="B16" s="31" t="str">
        <f t="shared" si="0"/>
        <v>X</v>
      </c>
      <c r="C16" s="28" t="str">
        <f t="shared" si="0"/>
        <v>X</v>
      </c>
      <c r="D16" s="28" t="str">
        <f t="shared" si="0"/>
        <v>X</v>
      </c>
      <c r="E16" s="28" t="str">
        <f t="shared" si="0"/>
        <v>X</v>
      </c>
      <c r="F16" s="28" t="str">
        <f t="shared" si="0"/>
        <v>X</v>
      </c>
      <c r="G16" s="28" t="str">
        <f t="shared" si="0"/>
        <v>X</v>
      </c>
      <c r="H16" s="28">
        <v>1</v>
      </c>
      <c r="I16" s="28">
        <f t="shared" ref="I16:V16" si="7">I4</f>
        <v>1</v>
      </c>
      <c r="J16" s="29" t="str">
        <f t="shared" si="7"/>
        <v>0-1</v>
      </c>
      <c r="K16" s="29" t="str">
        <f t="shared" si="7"/>
        <v>0-1</v>
      </c>
      <c r="L16" s="28">
        <f t="shared" si="7"/>
        <v>0</v>
      </c>
      <c r="M16" s="28">
        <f t="shared" si="7"/>
        <v>0</v>
      </c>
      <c r="N16" s="28">
        <f t="shared" si="7"/>
        <v>0</v>
      </c>
      <c r="O16" s="28">
        <f t="shared" si="7"/>
        <v>0</v>
      </c>
      <c r="P16" s="28">
        <f t="shared" si="7"/>
        <v>0</v>
      </c>
      <c r="Q16" s="28">
        <f t="shared" si="7"/>
        <v>0</v>
      </c>
      <c r="R16" s="28">
        <f t="shared" si="7"/>
        <v>0</v>
      </c>
      <c r="S16" s="28">
        <f t="shared" si="7"/>
        <v>0</v>
      </c>
      <c r="T16" s="28">
        <f t="shared" si="7"/>
        <v>0</v>
      </c>
      <c r="U16" s="28">
        <f t="shared" si="7"/>
        <v>0</v>
      </c>
      <c r="V16" s="28">
        <f t="shared" si="7"/>
        <v>0</v>
      </c>
      <c r="W16" s="28">
        <f t="shared" si="2"/>
        <v>0</v>
      </c>
      <c r="X16" s="29" t="str">
        <f t="shared" ref="X16:AQ16" si="8">X4</f>
        <v>0-1</v>
      </c>
      <c r="Y16" s="29" t="str">
        <f t="shared" si="8"/>
        <v>0-1</v>
      </c>
      <c r="Z16" s="29" t="str">
        <f t="shared" si="8"/>
        <v>0-1</v>
      </c>
      <c r="AA16" s="29" t="str">
        <f t="shared" si="8"/>
        <v>0-1</v>
      </c>
      <c r="AB16" s="29" t="str">
        <f t="shared" si="8"/>
        <v>0-2</v>
      </c>
      <c r="AC16" s="29">
        <f t="shared" si="8"/>
        <v>0</v>
      </c>
      <c r="AD16" s="29">
        <f t="shared" si="8"/>
        <v>0</v>
      </c>
      <c r="AE16" s="30">
        <f t="shared" si="8"/>
        <v>0</v>
      </c>
      <c r="AF16" s="30">
        <f t="shared" si="8"/>
        <v>0</v>
      </c>
      <c r="AG16" s="31">
        <f t="shared" si="8"/>
        <v>0</v>
      </c>
      <c r="AH16" s="28">
        <f t="shared" si="8"/>
        <v>1</v>
      </c>
      <c r="AI16" s="28">
        <f t="shared" si="8"/>
        <v>0</v>
      </c>
      <c r="AJ16" s="28">
        <f t="shared" si="8"/>
        <v>0</v>
      </c>
      <c r="AK16" s="28">
        <f t="shared" si="8"/>
        <v>0</v>
      </c>
      <c r="AL16" s="28">
        <f t="shared" si="8"/>
        <v>0</v>
      </c>
      <c r="AM16" s="28">
        <f t="shared" si="8"/>
        <v>0</v>
      </c>
      <c r="AN16" s="28">
        <f t="shared" si="8"/>
        <v>0</v>
      </c>
      <c r="AO16" s="28">
        <f t="shared" si="8"/>
        <v>0</v>
      </c>
      <c r="AP16" s="28">
        <f t="shared" si="8"/>
        <v>0</v>
      </c>
      <c r="AQ16" s="32">
        <f t="shared" si="8"/>
        <v>0</v>
      </c>
      <c r="AR16" s="32">
        <f t="shared" si="4"/>
        <v>0</v>
      </c>
      <c r="AS16" s="32">
        <f t="shared" si="5"/>
        <v>0</v>
      </c>
      <c r="AT16" s="33">
        <v>1</v>
      </c>
      <c r="AU16" s="34">
        <v>0</v>
      </c>
      <c r="AV16" s="35">
        <f t="shared" si="6"/>
        <v>7</v>
      </c>
      <c r="AW16" s="36" t="s">
        <v>76</v>
      </c>
      <c r="AX16" s="51" t="s">
        <v>74</v>
      </c>
    </row>
    <row r="17" spans="1:50" x14ac:dyDescent="0.35">
      <c r="A17" s="26" t="s">
        <v>77</v>
      </c>
      <c r="B17" s="31" t="str">
        <f t="shared" si="0"/>
        <v>X</v>
      </c>
      <c r="C17" s="28" t="str">
        <f t="shared" si="0"/>
        <v>X</v>
      </c>
      <c r="D17" s="28" t="str">
        <f t="shared" si="0"/>
        <v>X</v>
      </c>
      <c r="E17" s="28" t="str">
        <f t="shared" si="0"/>
        <v>X</v>
      </c>
      <c r="F17" s="28" t="str">
        <f t="shared" si="0"/>
        <v>X</v>
      </c>
      <c r="G17" s="28" t="str">
        <f t="shared" si="0"/>
        <v>X</v>
      </c>
      <c r="H17" s="28">
        <v>1</v>
      </c>
      <c r="I17" s="28">
        <f t="shared" ref="I17:V17" si="9">I5</f>
        <v>2</v>
      </c>
      <c r="J17" s="28">
        <f t="shared" si="9"/>
        <v>1</v>
      </c>
      <c r="K17" s="28">
        <f t="shared" si="9"/>
        <v>1</v>
      </c>
      <c r="L17" s="28">
        <f t="shared" si="9"/>
        <v>0</v>
      </c>
      <c r="M17" s="28">
        <f t="shared" si="9"/>
        <v>0</v>
      </c>
      <c r="N17" s="28">
        <f t="shared" si="9"/>
        <v>0</v>
      </c>
      <c r="O17" s="28">
        <f t="shared" si="9"/>
        <v>0</v>
      </c>
      <c r="P17" s="28">
        <f t="shared" si="9"/>
        <v>0</v>
      </c>
      <c r="Q17" s="28">
        <f t="shared" si="9"/>
        <v>0</v>
      </c>
      <c r="R17" s="28">
        <f t="shared" si="9"/>
        <v>0</v>
      </c>
      <c r="S17" s="28">
        <f t="shared" si="9"/>
        <v>0</v>
      </c>
      <c r="T17" s="28">
        <f t="shared" si="9"/>
        <v>0</v>
      </c>
      <c r="U17" s="28">
        <f t="shared" si="9"/>
        <v>0</v>
      </c>
      <c r="V17" s="28">
        <f t="shared" si="9"/>
        <v>0</v>
      </c>
      <c r="W17" s="28">
        <f t="shared" si="2"/>
        <v>0</v>
      </c>
      <c r="X17" s="29" t="str">
        <f t="shared" ref="X17:AQ17" si="10">X5</f>
        <v>0-1</v>
      </c>
      <c r="Y17" s="29" t="str">
        <f t="shared" si="10"/>
        <v>0-1</v>
      </c>
      <c r="Z17" s="29" t="str">
        <f t="shared" si="10"/>
        <v>0-1</v>
      </c>
      <c r="AA17" s="29" t="str">
        <f t="shared" si="10"/>
        <v>0-1</v>
      </c>
      <c r="AB17" s="29" t="str">
        <f t="shared" si="10"/>
        <v>0-2</v>
      </c>
      <c r="AC17" s="29">
        <f t="shared" si="10"/>
        <v>0</v>
      </c>
      <c r="AD17" s="29">
        <f t="shared" si="10"/>
        <v>0</v>
      </c>
      <c r="AE17" s="30">
        <f t="shared" si="10"/>
        <v>0</v>
      </c>
      <c r="AF17" s="30">
        <f t="shared" si="10"/>
        <v>0</v>
      </c>
      <c r="AG17" s="31">
        <f t="shared" si="10"/>
        <v>0</v>
      </c>
      <c r="AH17" s="28">
        <f t="shared" si="10"/>
        <v>0</v>
      </c>
      <c r="AI17" s="28">
        <f t="shared" si="10"/>
        <v>1</v>
      </c>
      <c r="AJ17" s="28">
        <f t="shared" si="10"/>
        <v>0</v>
      </c>
      <c r="AK17" s="28">
        <f t="shared" si="10"/>
        <v>0</v>
      </c>
      <c r="AL17" s="28">
        <f t="shared" si="10"/>
        <v>0</v>
      </c>
      <c r="AM17" s="28">
        <f t="shared" si="10"/>
        <v>0</v>
      </c>
      <c r="AN17" s="28">
        <f t="shared" si="10"/>
        <v>0</v>
      </c>
      <c r="AO17" s="28">
        <f t="shared" si="10"/>
        <v>0</v>
      </c>
      <c r="AP17" s="28">
        <f t="shared" si="10"/>
        <v>0</v>
      </c>
      <c r="AQ17" s="32">
        <f t="shared" si="10"/>
        <v>0</v>
      </c>
      <c r="AR17" s="32">
        <f t="shared" si="4"/>
        <v>0</v>
      </c>
      <c r="AS17" s="32">
        <f t="shared" si="5"/>
        <v>0</v>
      </c>
      <c r="AT17" s="33">
        <v>1</v>
      </c>
      <c r="AU17" s="34">
        <v>0</v>
      </c>
      <c r="AV17" s="35">
        <f t="shared" si="6"/>
        <v>8</v>
      </c>
      <c r="AW17" s="36" t="s">
        <v>78</v>
      </c>
      <c r="AX17" s="51" t="s">
        <v>74</v>
      </c>
    </row>
    <row r="18" spans="1:50" x14ac:dyDescent="0.35">
      <c r="A18" s="26" t="s">
        <v>79</v>
      </c>
      <c r="B18" s="31" t="str">
        <f t="shared" si="0"/>
        <v>X</v>
      </c>
      <c r="C18" s="28" t="str">
        <f t="shared" si="0"/>
        <v>X</v>
      </c>
      <c r="D18" s="28" t="str">
        <f t="shared" si="0"/>
        <v>X</v>
      </c>
      <c r="E18" s="28" t="str">
        <f t="shared" si="0"/>
        <v>X</v>
      </c>
      <c r="F18" s="28" t="str">
        <f t="shared" si="0"/>
        <v>X</v>
      </c>
      <c r="G18" s="28" t="str">
        <f t="shared" si="0"/>
        <v>X</v>
      </c>
      <c r="H18" s="28">
        <v>1</v>
      </c>
      <c r="I18" s="28">
        <f t="shared" ref="I18:V18" si="11">I6</f>
        <v>0</v>
      </c>
      <c r="J18" s="28">
        <f t="shared" si="11"/>
        <v>0</v>
      </c>
      <c r="K18" s="28">
        <f t="shared" si="11"/>
        <v>0</v>
      </c>
      <c r="L18" s="28">
        <f t="shared" si="11"/>
        <v>0</v>
      </c>
      <c r="M18" s="28">
        <f t="shared" si="11"/>
        <v>0</v>
      </c>
      <c r="N18" s="28">
        <f t="shared" si="11"/>
        <v>0</v>
      </c>
      <c r="O18" s="28">
        <f t="shared" si="11"/>
        <v>1</v>
      </c>
      <c r="P18" s="28">
        <f t="shared" si="11"/>
        <v>0</v>
      </c>
      <c r="Q18" s="28">
        <f t="shared" si="11"/>
        <v>0</v>
      </c>
      <c r="R18" s="28">
        <f t="shared" si="11"/>
        <v>0</v>
      </c>
      <c r="S18" s="28">
        <f t="shared" si="11"/>
        <v>0</v>
      </c>
      <c r="T18" s="28">
        <f t="shared" si="11"/>
        <v>0</v>
      </c>
      <c r="U18" s="28">
        <f t="shared" si="11"/>
        <v>0</v>
      </c>
      <c r="V18" s="28">
        <f t="shared" si="11"/>
        <v>0</v>
      </c>
      <c r="W18" s="28">
        <f t="shared" si="2"/>
        <v>0</v>
      </c>
      <c r="X18" s="28" t="str">
        <f t="shared" ref="X18:AQ18" si="12">X6</f>
        <v>0-1</v>
      </c>
      <c r="Y18" s="28" t="str">
        <f t="shared" si="12"/>
        <v>0-1</v>
      </c>
      <c r="Z18" s="28" t="str">
        <f t="shared" si="12"/>
        <v>0-1</v>
      </c>
      <c r="AA18" s="28" t="str">
        <f t="shared" si="12"/>
        <v>0-1</v>
      </c>
      <c r="AB18" s="28" t="str">
        <f t="shared" si="12"/>
        <v>0-2</v>
      </c>
      <c r="AC18" s="28">
        <f t="shared" si="12"/>
        <v>0</v>
      </c>
      <c r="AD18" s="28">
        <f t="shared" si="12"/>
        <v>0</v>
      </c>
      <c r="AE18" s="27">
        <f t="shared" si="12"/>
        <v>0</v>
      </c>
      <c r="AF18" s="27">
        <f t="shared" si="12"/>
        <v>0</v>
      </c>
      <c r="AG18" s="31">
        <f t="shared" si="12"/>
        <v>0</v>
      </c>
      <c r="AH18" s="28">
        <f t="shared" si="12"/>
        <v>0</v>
      </c>
      <c r="AI18" s="28">
        <f t="shared" si="12"/>
        <v>0</v>
      </c>
      <c r="AJ18" s="28">
        <f t="shared" si="12"/>
        <v>1</v>
      </c>
      <c r="AK18" s="28">
        <f t="shared" si="12"/>
        <v>0</v>
      </c>
      <c r="AL18" s="28">
        <f t="shared" si="12"/>
        <v>0</v>
      </c>
      <c r="AM18" s="28">
        <f t="shared" si="12"/>
        <v>0</v>
      </c>
      <c r="AN18" s="28">
        <f t="shared" si="12"/>
        <v>0</v>
      </c>
      <c r="AO18" s="28">
        <f t="shared" si="12"/>
        <v>0</v>
      </c>
      <c r="AP18" s="28">
        <f t="shared" si="12"/>
        <v>0</v>
      </c>
      <c r="AQ18" s="32">
        <f t="shared" si="12"/>
        <v>0</v>
      </c>
      <c r="AR18" s="32">
        <f t="shared" si="4"/>
        <v>0</v>
      </c>
      <c r="AS18" s="32">
        <f t="shared" si="5"/>
        <v>0</v>
      </c>
      <c r="AT18" s="33">
        <v>1</v>
      </c>
      <c r="AU18" s="34">
        <v>0</v>
      </c>
      <c r="AV18" s="35">
        <f t="shared" si="6"/>
        <v>9</v>
      </c>
      <c r="AW18" s="36" t="s">
        <v>80</v>
      </c>
      <c r="AX18" s="51" t="s">
        <v>74</v>
      </c>
    </row>
    <row r="19" spans="1:50" x14ac:dyDescent="0.35">
      <c r="A19" s="26" t="s">
        <v>81</v>
      </c>
      <c r="B19" s="31" t="str">
        <f t="shared" si="0"/>
        <v>X</v>
      </c>
      <c r="C19" s="28" t="str">
        <f t="shared" si="0"/>
        <v>X</v>
      </c>
      <c r="D19" s="28" t="str">
        <f t="shared" si="0"/>
        <v>X</v>
      </c>
      <c r="E19" s="28" t="str">
        <f t="shared" si="0"/>
        <v>X</v>
      </c>
      <c r="F19" s="28" t="str">
        <f t="shared" si="0"/>
        <v>X</v>
      </c>
      <c r="G19" s="28" t="str">
        <f t="shared" si="0"/>
        <v>X</v>
      </c>
      <c r="H19" s="28">
        <v>1</v>
      </c>
      <c r="I19" s="28">
        <f t="shared" ref="I19:V19" si="13">I7</f>
        <v>0</v>
      </c>
      <c r="J19" s="28">
        <f t="shared" si="13"/>
        <v>0</v>
      </c>
      <c r="K19" s="28">
        <f t="shared" si="13"/>
        <v>0</v>
      </c>
      <c r="L19" s="28">
        <f t="shared" si="13"/>
        <v>0</v>
      </c>
      <c r="M19" s="28">
        <f t="shared" si="13"/>
        <v>0</v>
      </c>
      <c r="N19" s="28">
        <f t="shared" si="13"/>
        <v>0</v>
      </c>
      <c r="O19" s="28">
        <f t="shared" si="13"/>
        <v>0</v>
      </c>
      <c r="P19" s="28">
        <f t="shared" si="13"/>
        <v>1</v>
      </c>
      <c r="Q19" s="28">
        <f t="shared" si="13"/>
        <v>0</v>
      </c>
      <c r="R19" s="28">
        <f t="shared" si="13"/>
        <v>0</v>
      </c>
      <c r="S19" s="28">
        <f t="shared" si="13"/>
        <v>0</v>
      </c>
      <c r="T19" s="28">
        <f t="shared" si="13"/>
        <v>0</v>
      </c>
      <c r="U19" s="28">
        <f t="shared" si="13"/>
        <v>0</v>
      </c>
      <c r="V19" s="28">
        <f t="shared" si="13"/>
        <v>0</v>
      </c>
      <c r="W19" s="28">
        <f t="shared" si="2"/>
        <v>0</v>
      </c>
      <c r="X19" s="28" t="str">
        <f t="shared" ref="X19:AQ19" si="14">X7</f>
        <v>0-1</v>
      </c>
      <c r="Y19" s="28" t="str">
        <f t="shared" si="14"/>
        <v>0-1</v>
      </c>
      <c r="Z19" s="28" t="str">
        <f t="shared" si="14"/>
        <v>0-1</v>
      </c>
      <c r="AA19" s="28" t="str">
        <f t="shared" si="14"/>
        <v>0-1</v>
      </c>
      <c r="AB19" s="28" t="str">
        <f t="shared" si="14"/>
        <v>0-2</v>
      </c>
      <c r="AC19" s="28">
        <f t="shared" si="14"/>
        <v>0</v>
      </c>
      <c r="AD19" s="28">
        <f t="shared" si="14"/>
        <v>0</v>
      </c>
      <c r="AE19" s="27">
        <f t="shared" si="14"/>
        <v>0</v>
      </c>
      <c r="AF19" s="27">
        <f t="shared" si="14"/>
        <v>0</v>
      </c>
      <c r="AG19" s="31">
        <f t="shared" si="14"/>
        <v>0</v>
      </c>
      <c r="AH19" s="28">
        <f t="shared" si="14"/>
        <v>0</v>
      </c>
      <c r="AI19" s="28">
        <f t="shared" si="14"/>
        <v>0</v>
      </c>
      <c r="AJ19" s="28">
        <f t="shared" si="14"/>
        <v>0</v>
      </c>
      <c r="AK19" s="28">
        <f t="shared" si="14"/>
        <v>1</v>
      </c>
      <c r="AL19" s="28">
        <f t="shared" si="14"/>
        <v>0</v>
      </c>
      <c r="AM19" s="28">
        <f t="shared" si="14"/>
        <v>0</v>
      </c>
      <c r="AN19" s="28">
        <f t="shared" si="14"/>
        <v>0</v>
      </c>
      <c r="AO19" s="28">
        <f t="shared" si="14"/>
        <v>0</v>
      </c>
      <c r="AP19" s="28">
        <f t="shared" si="14"/>
        <v>0</v>
      </c>
      <c r="AQ19" s="32">
        <f t="shared" si="14"/>
        <v>0</v>
      </c>
      <c r="AR19" s="32">
        <f t="shared" si="4"/>
        <v>0</v>
      </c>
      <c r="AS19" s="32">
        <f t="shared" si="5"/>
        <v>0</v>
      </c>
      <c r="AT19" s="33">
        <v>1</v>
      </c>
      <c r="AU19" s="34">
        <v>0</v>
      </c>
      <c r="AV19" s="35">
        <f t="shared" si="6"/>
        <v>10</v>
      </c>
      <c r="AW19" s="36" t="s">
        <v>82</v>
      </c>
      <c r="AX19" s="51" t="s">
        <v>74</v>
      </c>
    </row>
    <row r="20" spans="1:50" x14ac:dyDescent="0.35">
      <c r="A20" s="26" t="s">
        <v>104</v>
      </c>
      <c r="B20" s="31" t="str">
        <f t="shared" si="0"/>
        <v>X</v>
      </c>
      <c r="C20" s="28" t="str">
        <f t="shared" si="0"/>
        <v>X</v>
      </c>
      <c r="D20" s="28" t="str">
        <f t="shared" si="0"/>
        <v>X</v>
      </c>
      <c r="E20" s="28" t="str">
        <f t="shared" si="0"/>
        <v>X</v>
      </c>
      <c r="F20" s="28" t="str">
        <f t="shared" si="0"/>
        <v>X</v>
      </c>
      <c r="G20" s="28" t="str">
        <f t="shared" si="0"/>
        <v>X</v>
      </c>
      <c r="H20" s="28">
        <v>1</v>
      </c>
      <c r="I20" s="28">
        <f t="shared" ref="I20:V20" si="15">I8</f>
        <v>0</v>
      </c>
      <c r="J20" s="28">
        <f t="shared" si="15"/>
        <v>0</v>
      </c>
      <c r="K20" s="28">
        <f t="shared" si="15"/>
        <v>0</v>
      </c>
      <c r="L20" s="28">
        <f t="shared" si="15"/>
        <v>0</v>
      </c>
      <c r="M20" s="28">
        <f t="shared" si="15"/>
        <v>0</v>
      </c>
      <c r="N20" s="28">
        <f t="shared" si="15"/>
        <v>0</v>
      </c>
      <c r="O20" s="28">
        <f t="shared" si="15"/>
        <v>0</v>
      </c>
      <c r="P20" s="28">
        <f t="shared" si="15"/>
        <v>0</v>
      </c>
      <c r="Q20" s="28">
        <f t="shared" si="15"/>
        <v>1</v>
      </c>
      <c r="R20" s="28">
        <f t="shared" si="15"/>
        <v>0</v>
      </c>
      <c r="S20" s="28" t="str">
        <f t="shared" si="15"/>
        <v>X</v>
      </c>
      <c r="T20" s="28">
        <f t="shared" si="15"/>
        <v>0</v>
      </c>
      <c r="U20" s="28" t="str">
        <f t="shared" si="15"/>
        <v>X</v>
      </c>
      <c r="V20" s="28">
        <f t="shared" si="15"/>
        <v>0</v>
      </c>
      <c r="W20" s="28">
        <f t="shared" si="2"/>
        <v>0</v>
      </c>
      <c r="X20" s="28" t="str">
        <f t="shared" ref="X20:AQ20" si="16">X8</f>
        <v>0-1</v>
      </c>
      <c r="Y20" s="28" t="str">
        <f t="shared" si="16"/>
        <v>0-1</v>
      </c>
      <c r="Z20" s="28" t="str">
        <f t="shared" si="16"/>
        <v>0-1</v>
      </c>
      <c r="AA20" s="28" t="str">
        <f t="shared" si="16"/>
        <v>0-1</v>
      </c>
      <c r="AB20" s="28" t="str">
        <f t="shared" si="16"/>
        <v>0-2</v>
      </c>
      <c r="AC20" s="28">
        <f t="shared" si="16"/>
        <v>0</v>
      </c>
      <c r="AD20" s="28">
        <f t="shared" si="16"/>
        <v>0</v>
      </c>
      <c r="AE20" s="27">
        <f t="shared" si="16"/>
        <v>0</v>
      </c>
      <c r="AF20" s="27">
        <f t="shared" si="16"/>
        <v>0</v>
      </c>
      <c r="AG20" s="31">
        <f t="shared" si="16"/>
        <v>0</v>
      </c>
      <c r="AH20" s="28">
        <f t="shared" si="16"/>
        <v>0</v>
      </c>
      <c r="AI20" s="28">
        <f t="shared" si="16"/>
        <v>0</v>
      </c>
      <c r="AJ20" s="28">
        <f t="shared" si="16"/>
        <v>0</v>
      </c>
      <c r="AK20" s="28">
        <f t="shared" si="16"/>
        <v>0</v>
      </c>
      <c r="AL20" s="28">
        <f t="shared" si="16"/>
        <v>1</v>
      </c>
      <c r="AM20" s="28">
        <f t="shared" si="16"/>
        <v>0</v>
      </c>
      <c r="AN20" s="28">
        <f t="shared" si="16"/>
        <v>0</v>
      </c>
      <c r="AO20" s="28">
        <f t="shared" si="16"/>
        <v>0</v>
      </c>
      <c r="AP20" s="28">
        <f t="shared" si="16"/>
        <v>0</v>
      </c>
      <c r="AQ20" s="32">
        <f t="shared" si="16"/>
        <v>0</v>
      </c>
      <c r="AR20" s="32">
        <f t="shared" si="4"/>
        <v>0</v>
      </c>
      <c r="AS20" s="32">
        <f t="shared" si="5"/>
        <v>0</v>
      </c>
      <c r="AT20" s="33">
        <v>1</v>
      </c>
      <c r="AU20" s="34">
        <v>0</v>
      </c>
      <c r="AV20" s="35">
        <f t="shared" si="6"/>
        <v>11</v>
      </c>
      <c r="AW20" s="36" t="s">
        <v>83</v>
      </c>
      <c r="AX20" s="51" t="s">
        <v>74</v>
      </c>
    </row>
    <row r="21" spans="1:50" x14ac:dyDescent="0.35">
      <c r="A21" s="26" t="s">
        <v>105</v>
      </c>
      <c r="B21" s="31" t="str">
        <f t="shared" si="0"/>
        <v>X</v>
      </c>
      <c r="C21" s="28" t="str">
        <f t="shared" si="0"/>
        <v>X</v>
      </c>
      <c r="D21" s="28" t="str">
        <f t="shared" si="0"/>
        <v>X</v>
      </c>
      <c r="E21" s="28" t="str">
        <f t="shared" si="0"/>
        <v>X</v>
      </c>
      <c r="F21" s="28" t="str">
        <f t="shared" si="0"/>
        <v>X</v>
      </c>
      <c r="G21" s="28" t="str">
        <f t="shared" si="0"/>
        <v>X</v>
      </c>
      <c r="H21" s="28">
        <v>1</v>
      </c>
      <c r="I21" s="28">
        <f t="shared" ref="I21:V21" si="17">I9</f>
        <v>0</v>
      </c>
      <c r="J21" s="28">
        <f t="shared" si="17"/>
        <v>0</v>
      </c>
      <c r="K21" s="28">
        <f t="shared" si="17"/>
        <v>0</v>
      </c>
      <c r="L21" s="28">
        <f t="shared" si="17"/>
        <v>0</v>
      </c>
      <c r="M21" s="28">
        <f t="shared" si="17"/>
        <v>0</v>
      </c>
      <c r="N21" s="28">
        <f t="shared" si="17"/>
        <v>0</v>
      </c>
      <c r="O21" s="28">
        <f t="shared" si="17"/>
        <v>0</v>
      </c>
      <c r="P21" s="28">
        <f t="shared" si="17"/>
        <v>0</v>
      </c>
      <c r="Q21" s="28">
        <f t="shared" si="17"/>
        <v>0</v>
      </c>
      <c r="R21" s="28">
        <f t="shared" si="17"/>
        <v>1</v>
      </c>
      <c r="S21" s="28">
        <f t="shared" si="17"/>
        <v>0</v>
      </c>
      <c r="T21" s="28" t="str">
        <f t="shared" si="17"/>
        <v>X</v>
      </c>
      <c r="U21" s="28">
        <f t="shared" si="17"/>
        <v>0</v>
      </c>
      <c r="V21" s="28" t="str">
        <f t="shared" si="17"/>
        <v>X</v>
      </c>
      <c r="W21" s="28">
        <f t="shared" si="2"/>
        <v>0</v>
      </c>
      <c r="X21" s="28" t="str">
        <f t="shared" ref="X21:AQ21" si="18">X9</f>
        <v>0-1</v>
      </c>
      <c r="Y21" s="28" t="str">
        <f t="shared" si="18"/>
        <v>0-1</v>
      </c>
      <c r="Z21" s="28" t="str">
        <f t="shared" si="18"/>
        <v>0-1</v>
      </c>
      <c r="AA21" s="28" t="str">
        <f t="shared" si="18"/>
        <v>0-1</v>
      </c>
      <c r="AB21" s="28" t="str">
        <f t="shared" si="18"/>
        <v>0-2</v>
      </c>
      <c r="AC21" s="28">
        <f t="shared" si="18"/>
        <v>0</v>
      </c>
      <c r="AD21" s="28">
        <f t="shared" si="18"/>
        <v>0</v>
      </c>
      <c r="AE21" s="27">
        <f t="shared" si="18"/>
        <v>0</v>
      </c>
      <c r="AF21" s="27">
        <f t="shared" si="18"/>
        <v>0</v>
      </c>
      <c r="AG21" s="31">
        <f t="shared" si="18"/>
        <v>0</v>
      </c>
      <c r="AH21" s="28">
        <f t="shared" si="18"/>
        <v>0</v>
      </c>
      <c r="AI21" s="28">
        <f t="shared" si="18"/>
        <v>0</v>
      </c>
      <c r="AJ21" s="28">
        <f t="shared" si="18"/>
        <v>0</v>
      </c>
      <c r="AK21" s="28">
        <f t="shared" si="18"/>
        <v>0</v>
      </c>
      <c r="AL21" s="28">
        <f t="shared" si="18"/>
        <v>0</v>
      </c>
      <c r="AM21" s="28">
        <f t="shared" si="18"/>
        <v>1</v>
      </c>
      <c r="AN21" s="28">
        <f t="shared" si="18"/>
        <v>0</v>
      </c>
      <c r="AO21" s="28">
        <f t="shared" si="18"/>
        <v>0</v>
      </c>
      <c r="AP21" s="28">
        <f t="shared" si="18"/>
        <v>0</v>
      </c>
      <c r="AQ21" s="32">
        <f t="shared" si="18"/>
        <v>0</v>
      </c>
      <c r="AR21" s="32">
        <f t="shared" si="4"/>
        <v>0</v>
      </c>
      <c r="AS21" s="32">
        <f t="shared" si="5"/>
        <v>0</v>
      </c>
      <c r="AT21" s="33">
        <v>1</v>
      </c>
      <c r="AU21" s="34">
        <v>0</v>
      </c>
      <c r="AV21" s="35">
        <f t="shared" si="6"/>
        <v>12</v>
      </c>
      <c r="AW21" s="36" t="s">
        <v>84</v>
      </c>
      <c r="AX21" s="51" t="s">
        <v>74</v>
      </c>
    </row>
    <row r="22" spans="1:50" x14ac:dyDescent="0.35">
      <c r="A22" s="26" t="s">
        <v>85</v>
      </c>
      <c r="B22" s="31" t="str">
        <f t="shared" si="0"/>
        <v>X</v>
      </c>
      <c r="C22" s="28" t="str">
        <f t="shared" si="0"/>
        <v>X</v>
      </c>
      <c r="D22" s="28" t="str">
        <f t="shared" si="0"/>
        <v>X</v>
      </c>
      <c r="E22" s="28" t="str">
        <f t="shared" si="0"/>
        <v>X</v>
      </c>
      <c r="F22" s="28" t="str">
        <f t="shared" si="0"/>
        <v>X</v>
      </c>
      <c r="G22" s="28" t="str">
        <f t="shared" si="0"/>
        <v>X</v>
      </c>
      <c r="H22" s="28">
        <v>1</v>
      </c>
      <c r="I22" s="28">
        <f t="shared" ref="I22:V22" si="19">I10</f>
        <v>0</v>
      </c>
      <c r="J22" s="28">
        <f t="shared" si="19"/>
        <v>0</v>
      </c>
      <c r="K22" s="28">
        <f t="shared" si="19"/>
        <v>0</v>
      </c>
      <c r="L22" s="28">
        <f t="shared" si="19"/>
        <v>1</v>
      </c>
      <c r="M22" s="28">
        <f t="shared" si="19"/>
        <v>0</v>
      </c>
      <c r="N22" s="28">
        <f t="shared" si="19"/>
        <v>0</v>
      </c>
      <c r="O22" s="28">
        <f t="shared" si="19"/>
        <v>0</v>
      </c>
      <c r="P22" s="28">
        <f t="shared" si="19"/>
        <v>0</v>
      </c>
      <c r="Q22" s="28">
        <f t="shared" si="19"/>
        <v>0</v>
      </c>
      <c r="R22" s="28">
        <f t="shared" si="19"/>
        <v>0</v>
      </c>
      <c r="S22" s="28">
        <f t="shared" si="19"/>
        <v>0</v>
      </c>
      <c r="T22" s="28">
        <f t="shared" si="19"/>
        <v>0</v>
      </c>
      <c r="U22" s="28">
        <f t="shared" si="19"/>
        <v>0</v>
      </c>
      <c r="V22" s="28">
        <f t="shared" si="19"/>
        <v>0</v>
      </c>
      <c r="W22" s="28">
        <f t="shared" si="2"/>
        <v>0</v>
      </c>
      <c r="X22" s="28" t="str">
        <f t="shared" ref="X22:AQ22" si="20">X10</f>
        <v>0-1</v>
      </c>
      <c r="Y22" s="28" t="str">
        <f t="shared" si="20"/>
        <v>0-1</v>
      </c>
      <c r="Z22" s="28" t="str">
        <f t="shared" si="20"/>
        <v>0-1</v>
      </c>
      <c r="AA22" s="28" t="str">
        <f t="shared" si="20"/>
        <v>0-1</v>
      </c>
      <c r="AB22" s="28" t="str">
        <f t="shared" si="20"/>
        <v>0-2</v>
      </c>
      <c r="AC22" s="28">
        <f t="shared" si="20"/>
        <v>0</v>
      </c>
      <c r="AD22" s="28">
        <f t="shared" si="20"/>
        <v>0</v>
      </c>
      <c r="AE22" s="27">
        <f t="shared" si="20"/>
        <v>0</v>
      </c>
      <c r="AF22" s="27">
        <f t="shared" si="20"/>
        <v>0</v>
      </c>
      <c r="AG22" s="31">
        <f t="shared" si="20"/>
        <v>0</v>
      </c>
      <c r="AH22" s="28">
        <f t="shared" si="20"/>
        <v>0</v>
      </c>
      <c r="AI22" s="28">
        <f t="shared" si="20"/>
        <v>0</v>
      </c>
      <c r="AJ22" s="28">
        <f t="shared" si="20"/>
        <v>0</v>
      </c>
      <c r="AK22" s="28">
        <f t="shared" si="20"/>
        <v>0</v>
      </c>
      <c r="AL22" s="28">
        <f t="shared" si="20"/>
        <v>0</v>
      </c>
      <c r="AM22" s="28">
        <f t="shared" si="20"/>
        <v>0</v>
      </c>
      <c r="AN22" s="28">
        <f t="shared" si="20"/>
        <v>1</v>
      </c>
      <c r="AO22" s="28">
        <f t="shared" si="20"/>
        <v>0</v>
      </c>
      <c r="AP22" s="28">
        <f t="shared" si="20"/>
        <v>0</v>
      </c>
      <c r="AQ22" s="32">
        <f t="shared" si="20"/>
        <v>0</v>
      </c>
      <c r="AR22" s="32">
        <f t="shared" si="4"/>
        <v>0</v>
      </c>
      <c r="AS22" s="32">
        <f t="shared" si="5"/>
        <v>0</v>
      </c>
      <c r="AT22" s="33">
        <v>1</v>
      </c>
      <c r="AU22" s="34">
        <v>0</v>
      </c>
      <c r="AV22" s="35">
        <f t="shared" si="6"/>
        <v>13</v>
      </c>
      <c r="AW22" s="36" t="s">
        <v>86</v>
      </c>
      <c r="AX22" s="51" t="s">
        <v>74</v>
      </c>
    </row>
    <row r="23" spans="1:50" x14ac:dyDescent="0.35">
      <c r="A23" s="26" t="s">
        <v>87</v>
      </c>
      <c r="B23" s="31" t="str">
        <f t="shared" si="0"/>
        <v>X</v>
      </c>
      <c r="C23" s="28" t="str">
        <f t="shared" si="0"/>
        <v>X</v>
      </c>
      <c r="D23" s="28" t="str">
        <f t="shared" si="0"/>
        <v>X</v>
      </c>
      <c r="E23" s="28" t="str">
        <f t="shared" si="0"/>
        <v>X</v>
      </c>
      <c r="F23" s="28" t="str">
        <f t="shared" si="0"/>
        <v>X</v>
      </c>
      <c r="G23" s="28" t="str">
        <f t="shared" si="0"/>
        <v>X</v>
      </c>
      <c r="H23" s="28">
        <v>1</v>
      </c>
      <c r="I23" s="28">
        <f t="shared" ref="I23:V23" si="21">I11</f>
        <v>0</v>
      </c>
      <c r="J23" s="28">
        <f t="shared" si="21"/>
        <v>0</v>
      </c>
      <c r="K23" s="28">
        <f t="shared" si="21"/>
        <v>0</v>
      </c>
      <c r="L23" s="28">
        <f t="shared" si="21"/>
        <v>0</v>
      </c>
      <c r="M23" s="28">
        <f t="shared" si="21"/>
        <v>1</v>
      </c>
      <c r="N23" s="28">
        <f t="shared" si="21"/>
        <v>0</v>
      </c>
      <c r="O23" s="28">
        <f t="shared" si="21"/>
        <v>0</v>
      </c>
      <c r="P23" s="28">
        <f t="shared" si="21"/>
        <v>0</v>
      </c>
      <c r="Q23" s="28">
        <f t="shared" si="21"/>
        <v>0</v>
      </c>
      <c r="R23" s="28">
        <f t="shared" si="21"/>
        <v>0</v>
      </c>
      <c r="S23" s="28">
        <f t="shared" si="21"/>
        <v>0</v>
      </c>
      <c r="T23" s="28">
        <f t="shared" si="21"/>
        <v>0</v>
      </c>
      <c r="U23" s="28">
        <f t="shared" si="21"/>
        <v>0</v>
      </c>
      <c r="V23" s="28">
        <f t="shared" si="21"/>
        <v>0</v>
      </c>
      <c r="W23" s="28">
        <f t="shared" si="2"/>
        <v>0</v>
      </c>
      <c r="X23" s="28" t="str">
        <f t="shared" ref="X23:AQ23" si="22">X11</f>
        <v>0-1</v>
      </c>
      <c r="Y23" s="28" t="str">
        <f t="shared" si="22"/>
        <v>0-1</v>
      </c>
      <c r="Z23" s="28" t="str">
        <f t="shared" si="22"/>
        <v>0-1</v>
      </c>
      <c r="AA23" s="28" t="str">
        <f t="shared" si="22"/>
        <v>0-1</v>
      </c>
      <c r="AB23" s="28" t="str">
        <f t="shared" si="22"/>
        <v>0-2</v>
      </c>
      <c r="AC23" s="28">
        <f t="shared" si="22"/>
        <v>0</v>
      </c>
      <c r="AD23" s="28">
        <f t="shared" si="22"/>
        <v>0</v>
      </c>
      <c r="AE23" s="27">
        <f t="shared" si="22"/>
        <v>0</v>
      </c>
      <c r="AF23" s="27">
        <f t="shared" si="22"/>
        <v>0</v>
      </c>
      <c r="AG23" s="31">
        <f t="shared" si="22"/>
        <v>0</v>
      </c>
      <c r="AH23" s="28">
        <f t="shared" si="22"/>
        <v>0</v>
      </c>
      <c r="AI23" s="28">
        <f t="shared" si="22"/>
        <v>0</v>
      </c>
      <c r="AJ23" s="28">
        <f t="shared" si="22"/>
        <v>0</v>
      </c>
      <c r="AK23" s="28">
        <f t="shared" si="22"/>
        <v>0</v>
      </c>
      <c r="AL23" s="28">
        <f t="shared" si="22"/>
        <v>0</v>
      </c>
      <c r="AM23" s="28">
        <f t="shared" si="22"/>
        <v>0</v>
      </c>
      <c r="AN23" s="28">
        <f t="shared" si="22"/>
        <v>0</v>
      </c>
      <c r="AO23" s="28">
        <f t="shared" si="22"/>
        <v>1</v>
      </c>
      <c r="AP23" s="28">
        <f t="shared" si="22"/>
        <v>0</v>
      </c>
      <c r="AQ23" s="32">
        <f t="shared" si="22"/>
        <v>0</v>
      </c>
      <c r="AR23" s="32">
        <f t="shared" si="4"/>
        <v>0</v>
      </c>
      <c r="AS23" s="32">
        <f t="shared" si="5"/>
        <v>0</v>
      </c>
      <c r="AT23" s="33">
        <v>1</v>
      </c>
      <c r="AU23" s="34">
        <v>0</v>
      </c>
      <c r="AV23" s="35">
        <f t="shared" si="6"/>
        <v>14</v>
      </c>
      <c r="AW23" s="36" t="s">
        <v>88</v>
      </c>
      <c r="AX23" s="51" t="s">
        <v>74</v>
      </c>
    </row>
    <row r="24" spans="1:50" x14ac:dyDescent="0.35">
      <c r="A24" s="26" t="s">
        <v>89</v>
      </c>
      <c r="B24" s="31" t="str">
        <f t="shared" si="0"/>
        <v>X</v>
      </c>
      <c r="C24" s="28" t="str">
        <f t="shared" si="0"/>
        <v>X</v>
      </c>
      <c r="D24" s="28" t="str">
        <f t="shared" si="0"/>
        <v>X</v>
      </c>
      <c r="E24" s="28" t="str">
        <f t="shared" si="0"/>
        <v>X</v>
      </c>
      <c r="F24" s="28" t="str">
        <f t="shared" si="0"/>
        <v>X</v>
      </c>
      <c r="G24" s="28" t="str">
        <f t="shared" si="0"/>
        <v>X</v>
      </c>
      <c r="H24" s="28">
        <v>1</v>
      </c>
      <c r="I24" s="28">
        <f t="shared" ref="I24:V24" si="23">I12</f>
        <v>0</v>
      </c>
      <c r="J24" s="28">
        <f t="shared" si="23"/>
        <v>0</v>
      </c>
      <c r="K24" s="28">
        <f t="shared" si="23"/>
        <v>0</v>
      </c>
      <c r="L24" s="28">
        <f t="shared" si="23"/>
        <v>0</v>
      </c>
      <c r="M24" s="28">
        <f t="shared" si="23"/>
        <v>0</v>
      </c>
      <c r="N24" s="28">
        <f t="shared" si="23"/>
        <v>1</v>
      </c>
      <c r="O24" s="28">
        <f t="shared" si="23"/>
        <v>0</v>
      </c>
      <c r="P24" s="28">
        <f t="shared" si="23"/>
        <v>0</v>
      </c>
      <c r="Q24" s="28">
        <f t="shared" si="23"/>
        <v>0</v>
      </c>
      <c r="R24" s="28">
        <f t="shared" si="23"/>
        <v>0</v>
      </c>
      <c r="S24" s="28">
        <f t="shared" si="23"/>
        <v>0</v>
      </c>
      <c r="T24" s="28">
        <f t="shared" si="23"/>
        <v>0</v>
      </c>
      <c r="U24" s="28">
        <f t="shared" si="23"/>
        <v>0</v>
      </c>
      <c r="V24" s="28">
        <f t="shared" si="23"/>
        <v>0</v>
      </c>
      <c r="W24" s="28">
        <f t="shared" si="2"/>
        <v>0</v>
      </c>
      <c r="X24" s="28" t="str">
        <f t="shared" ref="X24:AQ24" si="24">X12</f>
        <v>0-1</v>
      </c>
      <c r="Y24" s="28" t="str">
        <f t="shared" si="24"/>
        <v>0-1</v>
      </c>
      <c r="Z24" s="28" t="str">
        <f t="shared" si="24"/>
        <v>0-1</v>
      </c>
      <c r="AA24" s="28" t="str">
        <f t="shared" si="24"/>
        <v>0-1</v>
      </c>
      <c r="AB24" s="28" t="str">
        <f t="shared" si="24"/>
        <v>0-2</v>
      </c>
      <c r="AC24" s="28">
        <f t="shared" si="24"/>
        <v>0</v>
      </c>
      <c r="AD24" s="28">
        <f t="shared" si="24"/>
        <v>0</v>
      </c>
      <c r="AE24" s="27">
        <f t="shared" si="24"/>
        <v>0</v>
      </c>
      <c r="AF24" s="27">
        <f t="shared" si="24"/>
        <v>0</v>
      </c>
      <c r="AG24" s="31">
        <f t="shared" si="24"/>
        <v>0</v>
      </c>
      <c r="AH24" s="28">
        <f t="shared" si="24"/>
        <v>0</v>
      </c>
      <c r="AI24" s="28">
        <f t="shared" si="24"/>
        <v>0</v>
      </c>
      <c r="AJ24" s="28">
        <f t="shared" si="24"/>
        <v>0</v>
      </c>
      <c r="AK24" s="28">
        <f t="shared" si="24"/>
        <v>0</v>
      </c>
      <c r="AL24" s="28">
        <f t="shared" si="24"/>
        <v>0</v>
      </c>
      <c r="AM24" s="28">
        <f t="shared" si="24"/>
        <v>0</v>
      </c>
      <c r="AN24" s="28">
        <f t="shared" si="24"/>
        <v>0</v>
      </c>
      <c r="AO24" s="28">
        <f t="shared" si="24"/>
        <v>0</v>
      </c>
      <c r="AP24" s="28">
        <f t="shared" si="24"/>
        <v>1</v>
      </c>
      <c r="AQ24" s="32">
        <f t="shared" si="24"/>
        <v>0</v>
      </c>
      <c r="AR24" s="32">
        <f t="shared" si="4"/>
        <v>0</v>
      </c>
      <c r="AS24" s="32">
        <f t="shared" si="5"/>
        <v>0</v>
      </c>
      <c r="AT24" s="33">
        <v>1</v>
      </c>
      <c r="AU24" s="34">
        <v>0</v>
      </c>
      <c r="AV24" s="35">
        <f t="shared" si="6"/>
        <v>15</v>
      </c>
      <c r="AW24" s="36" t="s">
        <v>90</v>
      </c>
      <c r="AX24" s="51" t="s">
        <v>74</v>
      </c>
    </row>
    <row r="25" spans="1:50" x14ac:dyDescent="0.35">
      <c r="A25" s="26" t="s">
        <v>91</v>
      </c>
      <c r="B25" s="31" t="str">
        <f>B13</f>
        <v>X</v>
      </c>
      <c r="C25" s="28" t="str">
        <f t="shared" ref="C25:AS26" si="25">C13</f>
        <v>X</v>
      </c>
      <c r="D25" s="28" t="str">
        <f t="shared" si="25"/>
        <v>X</v>
      </c>
      <c r="E25" s="28" t="str">
        <f t="shared" si="25"/>
        <v>X</v>
      </c>
      <c r="F25" s="28" t="str">
        <f t="shared" si="25"/>
        <v>X</v>
      </c>
      <c r="G25" s="28" t="str">
        <f t="shared" si="25"/>
        <v>X</v>
      </c>
      <c r="H25" s="28">
        <v>1</v>
      </c>
      <c r="I25" s="28">
        <f t="shared" si="25"/>
        <v>0</v>
      </c>
      <c r="J25" s="28">
        <f t="shared" si="25"/>
        <v>0</v>
      </c>
      <c r="K25" s="28">
        <f t="shared" si="25"/>
        <v>0</v>
      </c>
      <c r="L25" s="28">
        <f t="shared" si="25"/>
        <v>0</v>
      </c>
      <c r="M25" s="28">
        <f t="shared" si="25"/>
        <v>0</v>
      </c>
      <c r="N25" s="28">
        <f t="shared" si="25"/>
        <v>0</v>
      </c>
      <c r="O25" s="28">
        <f t="shared" si="25"/>
        <v>0</v>
      </c>
      <c r="P25" s="28">
        <f t="shared" si="25"/>
        <v>0</v>
      </c>
      <c r="Q25" s="28">
        <f t="shared" si="25"/>
        <v>0</v>
      </c>
      <c r="R25" s="28">
        <f t="shared" si="25"/>
        <v>0</v>
      </c>
      <c r="S25" s="28">
        <f t="shared" si="25"/>
        <v>0</v>
      </c>
      <c r="T25" s="28">
        <f t="shared" si="25"/>
        <v>0</v>
      </c>
      <c r="U25" s="28">
        <f t="shared" si="25"/>
        <v>0</v>
      </c>
      <c r="V25" s="28">
        <f t="shared" si="25"/>
        <v>0</v>
      </c>
      <c r="W25" s="28">
        <f t="shared" si="2"/>
        <v>0</v>
      </c>
      <c r="X25" s="28" t="str">
        <f t="shared" si="25"/>
        <v>0-17</v>
      </c>
      <c r="Y25" s="28" t="str">
        <f t="shared" si="25"/>
        <v>0-17</v>
      </c>
      <c r="Z25" s="28" t="str">
        <f t="shared" si="25"/>
        <v>0-17</v>
      </c>
      <c r="AA25" s="28" t="str">
        <f t="shared" si="25"/>
        <v>0-17</v>
      </c>
      <c r="AB25" s="28" t="str">
        <f t="shared" si="25"/>
        <v>0-34</v>
      </c>
      <c r="AC25" s="28" t="str">
        <f t="shared" si="25"/>
        <v>X</v>
      </c>
      <c r="AD25" s="28" t="str">
        <f t="shared" si="25"/>
        <v>X</v>
      </c>
      <c r="AE25" s="27">
        <f t="shared" si="25"/>
        <v>0</v>
      </c>
      <c r="AF25" s="27">
        <f t="shared" si="25"/>
        <v>1</v>
      </c>
      <c r="AG25" s="31">
        <f t="shared" si="25"/>
        <v>0</v>
      </c>
      <c r="AH25" s="28">
        <f t="shared" si="25"/>
        <v>0</v>
      </c>
      <c r="AI25" s="28">
        <f t="shared" si="25"/>
        <v>0</v>
      </c>
      <c r="AJ25" s="28">
        <f t="shared" si="25"/>
        <v>0</v>
      </c>
      <c r="AK25" s="28">
        <f t="shared" si="25"/>
        <v>0</v>
      </c>
      <c r="AL25" s="28">
        <f t="shared" si="25"/>
        <v>0</v>
      </c>
      <c r="AM25" s="28">
        <f t="shared" si="25"/>
        <v>0</v>
      </c>
      <c r="AN25" s="28">
        <f t="shared" si="25"/>
        <v>0</v>
      </c>
      <c r="AO25" s="28">
        <f t="shared" si="25"/>
        <v>0</v>
      </c>
      <c r="AP25" s="28">
        <f t="shared" si="25"/>
        <v>0</v>
      </c>
      <c r="AQ25" s="32">
        <f t="shared" si="25"/>
        <v>1</v>
      </c>
      <c r="AR25" s="32">
        <f t="shared" si="4"/>
        <v>0</v>
      </c>
      <c r="AS25" s="32">
        <f t="shared" si="25"/>
        <v>0</v>
      </c>
      <c r="AT25" s="33">
        <v>1</v>
      </c>
      <c r="AU25" s="34">
        <v>0</v>
      </c>
      <c r="AV25" s="35">
        <v>16</v>
      </c>
      <c r="AW25" s="36" t="s">
        <v>92</v>
      </c>
      <c r="AX25" s="51" t="s">
        <v>74</v>
      </c>
    </row>
    <row r="26" spans="1:50" x14ac:dyDescent="0.35">
      <c r="A26" s="52" t="s">
        <v>106</v>
      </c>
      <c r="B26" s="31" t="str">
        <f>B14</f>
        <v>X</v>
      </c>
      <c r="C26" s="28" t="str">
        <f t="shared" si="25"/>
        <v>X</v>
      </c>
      <c r="D26" s="28" t="str">
        <f t="shared" si="25"/>
        <v>X</v>
      </c>
      <c r="E26" s="28" t="str">
        <f t="shared" si="25"/>
        <v>X</v>
      </c>
      <c r="F26" s="28" t="str">
        <f t="shared" si="25"/>
        <v>X</v>
      </c>
      <c r="G26" s="28" t="str">
        <f t="shared" si="25"/>
        <v>X</v>
      </c>
      <c r="H26" s="28">
        <v>1</v>
      </c>
      <c r="I26" s="28">
        <f t="shared" si="25"/>
        <v>0</v>
      </c>
      <c r="J26" s="28">
        <f t="shared" si="25"/>
        <v>0</v>
      </c>
      <c r="K26" s="28">
        <f t="shared" si="25"/>
        <v>0</v>
      </c>
      <c r="L26" s="28">
        <f t="shared" si="25"/>
        <v>0</v>
      </c>
      <c r="M26" s="28">
        <f t="shared" si="25"/>
        <v>0</v>
      </c>
      <c r="N26" s="28">
        <f t="shared" si="25"/>
        <v>0</v>
      </c>
      <c r="O26" s="28">
        <f t="shared" si="25"/>
        <v>0</v>
      </c>
      <c r="P26" s="28">
        <f t="shared" si="25"/>
        <v>0</v>
      </c>
      <c r="Q26" s="28">
        <f t="shared" si="25"/>
        <v>0</v>
      </c>
      <c r="R26" s="28">
        <f t="shared" si="25"/>
        <v>0</v>
      </c>
      <c r="S26" s="28">
        <f t="shared" si="25"/>
        <v>0</v>
      </c>
      <c r="T26" s="28">
        <f t="shared" si="25"/>
        <v>0</v>
      </c>
      <c r="U26" s="28">
        <f t="shared" si="25"/>
        <v>0</v>
      </c>
      <c r="V26" s="28">
        <f t="shared" si="25"/>
        <v>0</v>
      </c>
      <c r="W26" s="28">
        <f t="shared" si="2"/>
        <v>1</v>
      </c>
      <c r="X26" s="28" t="str">
        <f t="shared" si="25"/>
        <v>0-1</v>
      </c>
      <c r="Y26" s="28" t="str">
        <f t="shared" si="25"/>
        <v>0-1</v>
      </c>
      <c r="Z26" s="28" t="str">
        <f t="shared" si="25"/>
        <v>0-1</v>
      </c>
      <c r="AA26" s="28" t="str">
        <f t="shared" si="25"/>
        <v>0-1</v>
      </c>
      <c r="AB26" s="28" t="str">
        <f t="shared" si="25"/>
        <v>0-2</v>
      </c>
      <c r="AC26" s="28">
        <f t="shared" si="25"/>
        <v>0</v>
      </c>
      <c r="AD26" s="28">
        <f t="shared" si="25"/>
        <v>0</v>
      </c>
      <c r="AE26" s="27">
        <f t="shared" si="25"/>
        <v>0</v>
      </c>
      <c r="AF26" s="27">
        <f t="shared" si="25"/>
        <v>0</v>
      </c>
      <c r="AG26" s="31">
        <f t="shared" si="25"/>
        <v>0</v>
      </c>
      <c r="AH26" s="28">
        <f t="shared" si="25"/>
        <v>0</v>
      </c>
      <c r="AI26" s="28">
        <f t="shared" si="25"/>
        <v>0</v>
      </c>
      <c r="AJ26" s="28">
        <f t="shared" si="25"/>
        <v>0</v>
      </c>
      <c r="AK26" s="28">
        <f t="shared" si="25"/>
        <v>0</v>
      </c>
      <c r="AL26" s="28">
        <f t="shared" si="25"/>
        <v>0</v>
      </c>
      <c r="AM26" s="28">
        <f t="shared" si="25"/>
        <v>0</v>
      </c>
      <c r="AN26" s="28">
        <f t="shared" si="25"/>
        <v>0</v>
      </c>
      <c r="AO26" s="28">
        <f t="shared" si="25"/>
        <v>0</v>
      </c>
      <c r="AP26" s="28">
        <f t="shared" si="25"/>
        <v>0</v>
      </c>
      <c r="AQ26" s="32">
        <f t="shared" si="25"/>
        <v>0</v>
      </c>
      <c r="AR26" s="32">
        <f t="shared" si="4"/>
        <v>1</v>
      </c>
      <c r="AS26" s="32">
        <f t="shared" si="25"/>
        <v>0</v>
      </c>
      <c r="AT26" s="33">
        <v>1</v>
      </c>
      <c r="AU26" s="34">
        <v>0</v>
      </c>
      <c r="AV26" s="35">
        <v>17</v>
      </c>
      <c r="AW26" s="36" t="s">
        <v>107</v>
      </c>
      <c r="AX26" s="51" t="s">
        <v>74</v>
      </c>
    </row>
  </sheetData>
  <conditionalFormatting sqref="B3:AU25">
    <cfRule type="cellIs" dxfId="5" priority="4" stopIfTrue="1" operator="notBetween">
      <formula>0</formula>
      <formula>1</formula>
    </cfRule>
    <cfRule type="cellIs" dxfId="4" priority="5" operator="equal">
      <formula>1</formula>
    </cfRule>
    <cfRule type="cellIs" dxfId="3" priority="6" operator="equal">
      <formula>0</formula>
    </cfRule>
  </conditionalFormatting>
  <conditionalFormatting sqref="B26:AU26">
    <cfRule type="cellIs" dxfId="2" priority="1" stopIfTrue="1" operator="notBetween">
      <formula>0</formula>
      <formula>1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HarvestingTruthTable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Rong-Hsuan Chang 張容瑄</dc:creator>
  <cp:lastModifiedBy>Jayden Chen 陳智偉</cp:lastModifiedBy>
  <dcterms:created xsi:type="dcterms:W3CDTF">2025-04-04T15:29:42Z</dcterms:created>
  <dcterms:modified xsi:type="dcterms:W3CDTF">2025-06-02T11:42:31Z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2025-06-02T11:42:31Z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2e4e03a6-5484-4b2e-832b-a70f1255d3a3</vt:lpwstr>
  </property>
  <property fmtid="{D5CDD505-2E9C-101B-9397-08002B2CF9AE}" pid="8" name="MSIP_Label_9a7859fa-fb81-458d-9040-c3b7cffe6362_ContentBits">
    <vt:lpwstr>3</vt:lpwstr>
  </property>
</Properties>
</file>