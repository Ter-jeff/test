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394CFB0A-1A69-8C41-990C-96ECA1D6066A}" xr6:coauthVersionLast="47" xr6:coauthVersionMax="47" xr10:uidLastSave="{00000000-0000-0000-0000-000000000000}"/>
  <bookViews>
    <workbookView xWindow="0" yWindow="760" windowWidth="32000" windowHeight="16560" xr2:uid="{5DF6732A-C58D-E946-B992-388800B2904B}"/>
  </bookViews>
  <sheets>
    <sheet name="Version" sheetId="7" r:id="rId1"/>
    <sheet name="DFTL" sheetId="14" r:id="rId2"/>
  </sheets>
  <definedNames>
    <definedName name="_xlnm._FilterDatabase" localSheetId="1" hidden="1">DFTL!$A$2:$DT$157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04" i="14" l="1"/>
  <c r="AX104" i="14"/>
  <c r="AW104" i="14"/>
  <c r="AY102" i="14"/>
  <c r="AX102" i="14"/>
  <c r="AW102" i="14"/>
  <c r="AY100" i="14"/>
  <c r="AX100" i="14"/>
  <c r="AW100" i="14"/>
  <c r="AY98" i="14"/>
  <c r="AX98" i="14"/>
  <c r="AW98" i="14"/>
  <c r="AY103" i="14"/>
  <c r="AX103" i="14"/>
  <c r="AW103" i="14"/>
  <c r="AY101" i="14"/>
  <c r="AX101" i="14"/>
  <c r="AW101" i="14"/>
  <c r="AY99" i="14"/>
  <c r="AX99" i="14"/>
  <c r="AW99" i="14"/>
  <c r="AY97" i="14"/>
  <c r="AX97" i="14"/>
  <c r="AW97" i="14"/>
  <c r="AY96" i="14"/>
  <c r="AX96" i="14"/>
  <c r="AW96" i="14"/>
  <c r="AY39" i="14"/>
  <c r="AX39" i="14"/>
  <c r="AW39" i="14"/>
  <c r="AY38" i="14"/>
  <c r="AX38" i="14"/>
  <c r="AW38" i="14"/>
  <c r="AY37" i="14"/>
  <c r="AX37" i="14"/>
  <c r="AW37" i="14"/>
  <c r="AY36" i="14"/>
  <c r="AX36" i="14"/>
  <c r="AW36" i="14"/>
  <c r="AY35" i="14"/>
  <c r="AX35" i="14"/>
  <c r="AW35" i="14"/>
  <c r="AY34" i="14"/>
  <c r="AX34" i="14"/>
  <c r="AW34" i="14"/>
  <c r="AY33" i="14"/>
  <c r="AX33" i="14"/>
  <c r="AW33" i="14"/>
  <c r="AY32" i="14"/>
  <c r="AX32" i="14"/>
  <c r="AW32" i="14"/>
  <c r="BB103" i="14"/>
  <c r="BA103" i="14"/>
  <c r="AZ103" i="14"/>
  <c r="BB101" i="14"/>
  <c r="BA101" i="14"/>
  <c r="AZ101" i="14"/>
  <c r="BB99" i="14"/>
  <c r="BA99" i="14"/>
  <c r="AZ99" i="14"/>
  <c r="BB97" i="14"/>
  <c r="BA97" i="14"/>
  <c r="AZ97" i="14"/>
  <c r="BB96" i="14"/>
  <c r="BA96" i="14"/>
  <c r="AZ96" i="14"/>
  <c r="BB39" i="14"/>
  <c r="BA39" i="14"/>
  <c r="AZ39" i="14"/>
  <c r="BB38" i="14"/>
  <c r="BA38" i="14"/>
  <c r="AZ38" i="14"/>
  <c r="BB37" i="14"/>
  <c r="BA37" i="14"/>
  <c r="AZ37" i="14"/>
  <c r="BB36" i="14"/>
  <c r="BA36" i="14"/>
  <c r="AZ36" i="14"/>
  <c r="BB35" i="14"/>
  <c r="BA35" i="14"/>
  <c r="AZ35" i="14"/>
  <c r="BB34" i="14"/>
  <c r="BA34" i="14"/>
  <c r="AZ34" i="14"/>
  <c r="BB33" i="14"/>
  <c r="BA33" i="14"/>
  <c r="AZ33" i="14"/>
  <c r="BB32" i="14"/>
  <c r="BA32" i="14"/>
  <c r="AZ32" i="14"/>
  <c r="BE103" i="14"/>
  <c r="BD103" i="14"/>
  <c r="BC103" i="14"/>
  <c r="BE101" i="14"/>
  <c r="BD101" i="14"/>
  <c r="BC101" i="14"/>
  <c r="BE99" i="14"/>
  <c r="BD99" i="14"/>
  <c r="BC99" i="14"/>
  <c r="BE97" i="14"/>
  <c r="BD97" i="14"/>
  <c r="BC97" i="14"/>
  <c r="BE96" i="14"/>
  <c r="BD96" i="14"/>
  <c r="BC96" i="14"/>
  <c r="BE39" i="14"/>
  <c r="BD39" i="14"/>
  <c r="BC39" i="14"/>
  <c r="BE38" i="14"/>
  <c r="BD38" i="14"/>
  <c r="BC38" i="14"/>
  <c r="BE37" i="14"/>
  <c r="BD37" i="14"/>
  <c r="BC37" i="14"/>
  <c r="BE36" i="14"/>
  <c r="BD36" i="14"/>
  <c r="BC36" i="14"/>
  <c r="BE35" i="14"/>
  <c r="BD35" i="14"/>
  <c r="BC35" i="14"/>
  <c r="BE34" i="14"/>
  <c r="BD34" i="14"/>
  <c r="BC34" i="14"/>
  <c r="BE33" i="14"/>
  <c r="BD33" i="14"/>
  <c r="BC33" i="14"/>
  <c r="BE32" i="14"/>
  <c r="BD32" i="14"/>
  <c r="BC32" i="14"/>
  <c r="P146" i="14" l="1"/>
  <c r="P147" i="14"/>
  <c r="P157" i="14" l="1"/>
  <c r="P156" i="14"/>
  <c r="P155" i="14" l="1"/>
  <c r="P154" i="14"/>
  <c r="P153" i="14"/>
  <c r="P152" i="14"/>
  <c r="P148" i="14"/>
  <c r="P149" i="14"/>
  <c r="P150" i="14"/>
  <c r="P151" i="14"/>
  <c r="P145" i="14" l="1"/>
  <c r="P144" i="14"/>
  <c r="P143" i="14"/>
  <c r="P142" i="14"/>
  <c r="P141" i="14"/>
  <c r="P140" i="14"/>
  <c r="P131" i="14"/>
  <c r="P130" i="14"/>
  <c r="P129" i="14"/>
  <c r="P128" i="14"/>
  <c r="P127" i="14"/>
  <c r="P126" i="14"/>
  <c r="P125" i="14"/>
  <c r="P139" i="14" l="1"/>
  <c r="P138" i="14"/>
  <c r="P137" i="14"/>
  <c r="P136" i="14"/>
  <c r="P135" i="14"/>
  <c r="P134" i="14"/>
  <c r="P133" i="14"/>
  <c r="P132" i="14"/>
  <c r="P37" i="14"/>
  <c r="P36" i="14"/>
  <c r="P34" i="14"/>
  <c r="P33" i="14"/>
  <c r="P32" i="14"/>
  <c r="P124" i="14" l="1"/>
  <c r="P123" i="14"/>
  <c r="P122" i="14"/>
  <c r="P121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5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AM90" i="14"/>
  <c r="AM89" i="14"/>
  <c r="AM88" i="14"/>
  <c r="AM87" i="14"/>
  <c r="AM86" i="14"/>
  <c r="AM85" i="14"/>
  <c r="AM84" i="14"/>
  <c r="AM83" i="14"/>
  <c r="AM82" i="14"/>
  <c r="AM81" i="14"/>
  <c r="AM80" i="14"/>
  <c r="AM79" i="14"/>
  <c r="P3" i="14" l="1"/>
  <c r="H1" i="7" l="1"/>
</calcChain>
</file>

<file path=xl/sharedStrings.xml><?xml version="1.0" encoding="utf-8"?>
<sst xmlns="http://schemas.openxmlformats.org/spreadsheetml/2006/main" count="3764" uniqueCount="511">
  <si>
    <t>Domain</t>
  </si>
  <si>
    <t>Sweep</t>
  </si>
  <si>
    <t>Perf Mode</t>
  </si>
  <si>
    <t>TEST</t>
  </si>
  <si>
    <t>Cluster</t>
  </si>
  <si>
    <t>Categorization Requirement</t>
  </si>
  <si>
    <t>IP Use</t>
  </si>
  <si>
    <t>VDDPCPU</t>
  </si>
  <si>
    <t>VDDECPU</t>
  </si>
  <si>
    <t>VDDGPU</t>
  </si>
  <si>
    <t>VDDSOC</t>
  </si>
  <si>
    <t>VDDDCSDDR</t>
  </si>
  <si>
    <t>VDDDISP</t>
  </si>
  <si>
    <t>VDDCPUSRAM</t>
  </si>
  <si>
    <t>VDDSRAMGPU</t>
  </si>
  <si>
    <t>VDDLOW</t>
  </si>
  <si>
    <t>VDDCIO</t>
  </si>
  <si>
    <t>VDDCIOUSB</t>
  </si>
  <si>
    <t>Search</t>
  </si>
  <si>
    <t>Nominal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</si>
  <si>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</si>
  <si>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</si>
  <si>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</si>
  <si>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</si>
  <si>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</si>
  <si>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</si>
  <si>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</si>
  <si>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</si>
  <si>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</si>
  <si>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</si>
  <si>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</si>
  <si>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</si>
  <si>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</si>
  <si>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</si>
  <si>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</si>
  <si>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</si>
  <si>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</si>
  <si>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</si>
  <si>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</si>
  <si>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</si>
  <si>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</si>
  <si>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</si>
  <si>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</si>
  <si>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</si>
  <si>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</si>
  <si>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</si>
  <si>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</si>
  <si>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</si>
  <si>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</si>
  <si>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</si>
  <si>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</si>
  <si>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</si>
  <si>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</si>
  <si>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</si>
  <si>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</si>
  <si>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</si>
  <si>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Other Supplies</t>
  </si>
  <si>
    <t>Start</t>
  </si>
  <si>
    <t>Stop</t>
  </si>
  <si>
    <t>Step</t>
  </si>
  <si>
    <t>Method</t>
  </si>
  <si>
    <t>LVCC/HVCC Target</t>
  </si>
  <si>
    <t>Voltage</t>
  </si>
  <si>
    <t>RetentionTime</t>
  </si>
  <si>
    <t>HTOL</t>
  </si>
  <si>
    <t>TTR</t>
  </si>
  <si>
    <t>DFC</t>
  </si>
  <si>
    <t>Use</t>
  </si>
  <si>
    <t>GPU</t>
  </si>
  <si>
    <t>SOC</t>
  </si>
  <si>
    <t>GPUBIR</t>
  </si>
  <si>
    <t>PLLP</t>
  </si>
  <si>
    <t>55N</t>
  </si>
  <si>
    <t>X</t>
  </si>
  <si>
    <t>V</t>
  </si>
  <si>
    <t>PP_KMDA0_L_INLP_BI_TDRS_RST_JTG_UNS_ALLFRV_SI_SOC_INIT</t>
  </si>
  <si>
    <t>PP_KMDA0_L_INLP_BI_TDRS_RST_JTG_UNS_ALLFRV_SI_GFX_INIT</t>
  </si>
  <si>
    <t>PP_KMDA0_L_INLP_BI_TDRS_RST_JTG_EMA_ALLFRV_SI_EMA_DEF</t>
  </si>
  <si>
    <t>PP_KMDA0_L_INLP_BI_TDRS_PLL_JTG_UNS_MGSXXX_SI</t>
  </si>
  <si>
    <t>PP_KMDA0_L_INLP_BI_TDRS_RST_JTG_UNS_ALLFRV_SI_SRMDSSC</t>
  </si>
  <si>
    <t>Jump</t>
  </si>
  <si>
    <t>SRAMGPU</t>
  </si>
  <si>
    <t>PGPU</t>
  </si>
  <si>
    <t>PP_KMDA0_L_PLLP_BI_PGPU_BIR_JTG_55N_MGXXXX_SI</t>
  </si>
  <si>
    <t>DFTL</t>
  </si>
  <si>
    <t>MGX001</t>
  </si>
  <si>
    <t>PP_KMDA0_L_INLP_BI_TDRS_PLL_JTG_UNS_MGX001_SI</t>
  </si>
  <si>
    <t>MGX00D</t>
  </si>
  <si>
    <t>MGX00E</t>
  </si>
  <si>
    <t>MGX00F</t>
  </si>
  <si>
    <t>GPUBST</t>
  </si>
  <si>
    <t>MSX001</t>
  </si>
  <si>
    <t>MSX005</t>
  </si>
  <si>
    <t>PP_KMDA0_L_INLP_BI_TDRS_SRV_JTG_UNS_ALLFRV_SI_SMART_REPAIR</t>
  </si>
  <si>
    <t>PP_KMDA0_L_PLLP_BI_PGPU_BST_JTG_55N_MGXXXX_SI</t>
  </si>
  <si>
    <t>VDDSRAMSOC</t>
  </si>
  <si>
    <t>SelsrmSSSS</t>
  </si>
  <si>
    <t>Selsrm1S11</t>
  </si>
  <si>
    <t>SRAMSOC</t>
  </si>
  <si>
    <t>CPU</t>
  </si>
  <si>
    <t>PCPU</t>
  </si>
  <si>
    <t>MPX001</t>
  </si>
  <si>
    <t>59N</t>
  </si>
  <si>
    <t>REPREST</t>
  </si>
  <si>
    <t>PP_KMDA0_C_IN00_BI_H0HD_XXX_XXX_XXX_MPXXXX_SI_SRMDSSC</t>
  </si>
  <si>
    <t>PP_KMDA0_C_IN01_BI_H0HD_BST_JTG_XXX_MPXXXX_SI_SMT</t>
  </si>
  <si>
    <t>CPUSRAM</t>
  </si>
  <si>
    <t>MPX00H</t>
  </si>
  <si>
    <t>PP_KMDA0_C_IN02_BI_H0HD_XXX_XXX_EMA_MPX00H_SI</t>
  </si>
  <si>
    <t>MPX00J</t>
  </si>
  <si>
    <t>PP_KMDA0_C_IN02_BI_H0HD_XXX_XXX_EMA_MPX00J_SI</t>
  </si>
  <si>
    <t>H0HX</t>
  </si>
  <si>
    <t>ECPU</t>
  </si>
  <si>
    <t>MEX001</t>
  </si>
  <si>
    <t>E0XD</t>
  </si>
  <si>
    <t>MEX008</t>
  </si>
  <si>
    <t>CPUBST</t>
  </si>
  <si>
    <t>NREP</t>
  </si>
  <si>
    <t>PP_KMDA0_C_PLLP_BI_H0HX_BST_JTG_59N_MPXXXX_SI_NREP</t>
  </si>
  <si>
    <t>PP_KMDA0_C_PLLP_BI_H0HX_BST_JTG_59N_MPXXXX_SI_REPREST</t>
  </si>
  <si>
    <t>MPXXXX</t>
  </si>
  <si>
    <t>PP_KMDA0_C_IN02_BI_H0HD_XXX_XXX_EMA_MPX000_SI</t>
  </si>
  <si>
    <t>Payload6</t>
  </si>
  <si>
    <t>Payload7</t>
  </si>
  <si>
    <t>LOW</t>
  </si>
  <si>
    <t>SOCBIR</t>
  </si>
  <si>
    <t>GR01</t>
  </si>
  <si>
    <t>SRVA</t>
  </si>
  <si>
    <t>PP_KMDA0_S_IN01_BI_XXXX_XXX_JTG_UNS_F00024_SI_CMNINIT</t>
  </si>
  <si>
    <t>PP_KMDA0_S_IN01_BI_XXXX_XXX_JTG_UNS_F00024_SI_BISTINIT</t>
  </si>
  <si>
    <t>PP_KMDA0_S_IN01_BI_CHIP_EFU_JTG_UNS_ALLFRV_SI_AOPLOAD_EFHUB</t>
  </si>
  <si>
    <t>PP_KMDA0_S_IN01_BI_CHIP_EFU_JTG_UNS_ALLFRV_SI_SOCLOAD_EFHUB</t>
  </si>
  <si>
    <t>PP_KMDA0_S_IN01_BI_XXXX_PLL_JTG_UNS_MSX005_SI_FROM_F00024</t>
  </si>
  <si>
    <t>PP_KMDA0_S_IN01_BI_XXXX_TDR_JTG_UNS_ALLFRV_SI_SRMDSSC</t>
  </si>
  <si>
    <t>PP_KMDA0_S_IN01_BI_CHIP_TDR_JTG_EMA_ALLFRV_SI_EMA_DEF</t>
  </si>
  <si>
    <t>PP_KMDA0_S_PL01_BI_XXXX_WFC_JTG_UNS_ALLFRV_SI_WAITTIME</t>
  </si>
  <si>
    <t>MSXXXX</t>
  </si>
  <si>
    <t>PP_KMDA0_S_IN01_BI_XXXX_PLL_JTG_UNS_F00100_SI_FROM_F00024</t>
  </si>
  <si>
    <t>GR04</t>
  </si>
  <si>
    <t>PP_KMDA0_S_PL01_BI_GR04_BIR_JTG_UNS_MLXXXX_SI_SRVASETP</t>
  </si>
  <si>
    <t>PP_KMDA0_S_PL01_BI_GR04_BIR_JTG_UNS_MLXXXX_SI_SRVASTCK</t>
  </si>
  <si>
    <t>PP_KMDA0_S_IN01_BI_XXXX_PLL_JTG_UNS_MSX001_SI_FROM_F00024</t>
  </si>
  <si>
    <t>DISP</t>
  </si>
  <si>
    <t>MIX001</t>
  </si>
  <si>
    <t>PP_KMDA0_S_IN01_BI_XXXX_PLL_JTG_UNS_MIX001_SI_FROM_F00024</t>
  </si>
  <si>
    <t>MIX004</t>
  </si>
  <si>
    <t>SRVM</t>
  </si>
  <si>
    <t>PP_KMDA0_S_PL01_BI_GR01_BIR_JTG_UNS_MIXXXX_SI_SRVMSETP</t>
  </si>
  <si>
    <t>PP_KMDA0_S_PL01_BI_GR01_BIR_JTG_UNS_MIXXXX_SI_SRVMSTCK</t>
  </si>
  <si>
    <t>MRX001</t>
  </si>
  <si>
    <t>PP_KMDA0_S_IN01_BI_CHIP_SRV_JTG_UNS_ALLFRV_SI_SRVAC_NOINIT</t>
  </si>
  <si>
    <t>SOCBST</t>
  </si>
  <si>
    <t>DCSDDR</t>
  </si>
  <si>
    <t>MDX001</t>
  </si>
  <si>
    <t>GX01</t>
  </si>
  <si>
    <t>PP_KMDA0_S_IN01_BI_XXXX_PLL_JTG_UNS_MDX001_SI</t>
  </si>
  <si>
    <t>PP_KMDA0_S_PL01_BI_GX01_BST_JTG_UNS_MDXXXX_SI_SRVASETP</t>
  </si>
  <si>
    <t>PP_KMDA0_S_PL01_BI_GX01_BST_JTG_UNS_MDXXXX_SI_SRVASTCK</t>
  </si>
  <si>
    <t>MDX009</t>
  </si>
  <si>
    <t>PP_KMDA0_S_IN01_BI_XXXX_PLL_JTG_UNS_MDX009_SI</t>
  </si>
  <si>
    <t>PP_KMDA0_S_IN01_BI_XXXX_PLL_JTG_UNS_F00100_SI_MD</t>
  </si>
  <si>
    <t>PP_KMDA0_S_PL01_BI_GR04_BST_JTG_UNS_MLXXXX_SI_SRVASETP</t>
  </si>
  <si>
    <t>PP_KMDA0_S_PL01_BI_GR04_BST_JTG_UNS_MLXXXX_SI_SRVASTCK</t>
  </si>
  <si>
    <t>PP_KMDA0_S_PL01_BI_GR01_BST_JTG_UNS_MIXXXX_SI_SRVMSETP</t>
  </si>
  <si>
    <t>PP_KMDA0_S_PL01_BI_GR01_BST_JTG_UNS_MIXXXX_SI_SRVMSTCK</t>
  </si>
  <si>
    <t>MLX001</t>
  </si>
  <si>
    <t>Bincut_X_X_X NV</t>
  </si>
  <si>
    <t>Date</t>
  </si>
  <si>
    <t>Revision</t>
  </si>
  <si>
    <t>Modified By</t>
  </si>
  <si>
    <t>DD</t>
  </si>
  <si>
    <t>SSC</t>
  </si>
  <si>
    <t>PP_KMDA0_S_IN01_SC_CXXX_XXX_XXX_AUT_MSX000_DM_RESET_PWR</t>
  </si>
  <si>
    <t>PP_KMDA0_S_IN02_SC_CXXX_XXX_XXX_EMA_ALLFRV_DM_EMA_DEF</t>
  </si>
  <si>
    <t>PP_KMDA0_S_IN03_SC_CXXX_XXX_XXX_AUT_MSXXXX_DM_SRMDSSC</t>
  </si>
  <si>
    <t>SOCTDF</t>
  </si>
  <si>
    <t>PL10</t>
  </si>
  <si>
    <t>CDCS</t>
  </si>
  <si>
    <t>PP_KMDA0_S_IN04_SC_CDCS_TDF_SSC_AUT_MDX001_DM</t>
  </si>
  <si>
    <t>PP_KMDA0_S_IN04_SC_CDCS_TDF_SSC_AUT_MDX009_DM</t>
  </si>
  <si>
    <t>PP_KMDA0_S_PL10_SC_CDCS_TDF_SSC_AUT_MSDXXX_DM</t>
  </si>
  <si>
    <t>CDSP</t>
  </si>
  <si>
    <t>PP_KMDA0_S_IN04_SC_CDSP_TDF_SSC_AUT_MIX001_DM</t>
  </si>
  <si>
    <t>PP_KMDA0_S_IN04_SC_CDSP_TDF_SSC_AUT_MIX004_DM</t>
  </si>
  <si>
    <t>PP_KMDA0_S_PL10_SC_CDSP_TDF_SSC_HAR_MIXXXX_DM</t>
  </si>
  <si>
    <t>CHI1</t>
  </si>
  <si>
    <t>FIXED</t>
  </si>
  <si>
    <t>MFX001</t>
  </si>
  <si>
    <t>PP_KMDA0_S_IN04_SC_CHI1_TDF_SSC_AUT_MFX001_DM</t>
  </si>
  <si>
    <t>PP_KMDA0_S_PL10_SC_CHI1_TDF_SSC_HAR_MSCFXX_DM</t>
  </si>
  <si>
    <t>CHI2</t>
  </si>
  <si>
    <t>PP_KMDA0_S_IN04_SC_CHI2_TDF_SSC_AUT_MFX001_DM</t>
  </si>
  <si>
    <t>PP_KMDA0_S_PL10_SC_CHI2_TDF_SSC_AUT_MSFXXX_DM</t>
  </si>
  <si>
    <t>CLA0</t>
  </si>
  <si>
    <t>PP_KMDA0_S_IN04_SC_CLA0_TDF_SSC_AUT_MLX001_DM</t>
  </si>
  <si>
    <t>PP_KMDA0_S_PL10_SC_CLA0_TDF_SSC_AUT_MLXXXX_DM</t>
  </si>
  <si>
    <t>CPMF</t>
  </si>
  <si>
    <t>PP_KMDA0_S_IN04_SC_CPMF_TDF_SSC_AUT_MRX001_DM</t>
  </si>
  <si>
    <t>PP_KMDA0_S_PL10_SC_CPMF_TDF_SSC_AUT_MRXXXX_DM</t>
  </si>
  <si>
    <t>CSA0</t>
  </si>
  <si>
    <t>PP_KMDA0_S_IN01_SC_CXGX_XXX_XXX_AUT_MSX000_DM_RESET_PWR</t>
  </si>
  <si>
    <t>PP_KMDA0_S_IN04_SC_CSA0_TDF_SSC_AUT_MSX005_DM</t>
  </si>
  <si>
    <t>PP_KMDA0_S_PL10_SC_CSA0_TDF_SSC_HAR_MSXXXX_DM</t>
  </si>
  <si>
    <t>CSC0</t>
  </si>
  <si>
    <t>PP_KMDA0_S_IN04_SC_CSC0_TDF_SSC_AUT_MSX001_DM</t>
  </si>
  <si>
    <t>PP_KMDA0_S_PL10_SC_CSC0_TDF_SSC_HAR_MSCXXX_DM</t>
  </si>
  <si>
    <t>VDDFIXEDALL</t>
  </si>
  <si>
    <t>E0ED</t>
  </si>
  <si>
    <t>PP_KMDA0_C_IN00_XX_E0XX_XXX_XXX_XXX_MEXXXX_DM_SRMDSSC</t>
  </si>
  <si>
    <t>H0MX</t>
  </si>
  <si>
    <t>PP_KMDA0_C_IN00_XX_H0XX_XXX_XXX_XXX_MPXXXX_DM_SRMDSSC</t>
  </si>
  <si>
    <t>H0PD</t>
  </si>
  <si>
    <t>CPUTDF</t>
  </si>
  <si>
    <t>DIV166</t>
  </si>
  <si>
    <t>PP_KMDA0_C_IN01_SC_E0ED_TDF_COM_AUT_MEXXXX_DM_DIV166</t>
  </si>
  <si>
    <t>PP_KMDA0_C_IN02_SC_CXXX_XXX_XXX_EMA_MEX001_DM</t>
  </si>
  <si>
    <t>PP_KMDA0_C_PL10_SC_E0ED_TDF_COM_HAR_MEXXXX_DM_DIV166</t>
  </si>
  <si>
    <t>PP_KMDA0_C_IN02_SC_CXXX_XXX_XXX_EMA_MEX008_DM</t>
  </si>
  <si>
    <t>PP_KMDA0_C_IN01_SC_H0MX_TDF_COM_AUT_MPXXXX_DM_DIV166</t>
  </si>
  <si>
    <t>PP_KMDA0_C_IN02_SC_CXXX_XXX_XXX_EMA_MPX001_DM</t>
  </si>
  <si>
    <t>PP_KMDA0_C_PL10_SC_H0MX_TDF_COM_HAR_MPXXXX_DM_DIV166</t>
  </si>
  <si>
    <t>PP_KMDA0_C_IN01_SC_H0PD_TDF_COM_AUT_MPXXXX_DM_DIV166</t>
  </si>
  <si>
    <t>PP_KMDA0_C_PL10_SC_H0PD_TDF_COM_HAR_MPXXXX_DM_DIV166</t>
  </si>
  <si>
    <t>PL00</t>
  </si>
  <si>
    <t>DOMAIN2</t>
  </si>
  <si>
    <t>PP_KMDA0_C_IN01_SC_E0XD_TDF_COM_AUT_MSEXXX_DM_DOMAIN2</t>
  </si>
  <si>
    <t>PP_KMDA0_C_IN02_SC_CXXX_XXX_XXX_EMA_MSE011_DM_DOMAIN2</t>
  </si>
  <si>
    <t>PP_KMDA0_C_PL00_SC_E0XD_TDF_COM_AUT_MSEXXX_DM_DOMAIN2</t>
  </si>
  <si>
    <t>DIV133</t>
  </si>
  <si>
    <t>MGXXXX</t>
  </si>
  <si>
    <t>PP_KMDA0_L_INLP_SC_CXXX_XXX_COM_AUT_ALLFRV_DM_SOC_RESET</t>
  </si>
  <si>
    <t>PP_KMDA0_L_INLP_SC_CXXX_XXX_COM_AUT_ALLFRV_DM_PWRUP</t>
  </si>
  <si>
    <t>PP_KMDA0_L_INLP_SC_CXXX_XXX_COM_EMA_ALLFRV_DM_EMA_DEF</t>
  </si>
  <si>
    <t>PP_KMDA0_L_INLP_SC_CXXX_XXX_COM_AUT_ALLFRV_DM_SRMDSSC</t>
  </si>
  <si>
    <t>GPUTDF</t>
  </si>
  <si>
    <t>PP_KMDA0_L_INLP_SC_CXXX_TDF_COM_AUT_MGX001_DM</t>
  </si>
  <si>
    <t>PP_KMDA0_L_INLP_SC_CXXX_TDF_COM_AUT_MGX00D_DM</t>
  </si>
  <si>
    <t>PP_KMDA0_L_INLP_SC_CXXX_TDF_COM_AUT_MGX00E_DM</t>
  </si>
  <si>
    <t>PP_KMDA0_L_INLP_SC_CXXX_TDF_COM_AUT_MGX00F_DM</t>
  </si>
  <si>
    <t>PP_KMDA0_L_INLP_SC_CFXX_TDF_COM_AUT_ALLFRV_DM_XORDSSC:DigSrc</t>
  </si>
  <si>
    <t>PP_KMDA0_L_PL10_SC_MFXX_TDF_COM_HAR_ALLFRV_DM</t>
  </si>
  <si>
    <t>VDDIO12GRP</t>
  </si>
  <si>
    <t>PP_KMDA0_S_IN01_BI_CHIP_SRV_JTG_UNS_ALLFRV_SI_SRVM_NOINIT</t>
  </si>
  <si>
    <t>SelsrmS1SS</t>
  </si>
  <si>
    <t>CZ_KMDA0_C_IN02_BI_H0HD_XXX_XXX_XXX_MPX000_SI</t>
  </si>
  <si>
    <t>CZ_KMDA0_C_IN01_SC_H0MX_TDF_COM_AUT_MPXXXX_DM_DIV133_1MC2</t>
  </si>
  <si>
    <t>CZ_KMDA0_C_IN01_SC_H0MX_TDF_COM_AUT_MPXXXX_DM_DIV133_1MC3</t>
  </si>
  <si>
    <t>CZ_KMDA0_C_IN01_SC_H0MX_TDF_COM_AUT_MPXXXX_DM_DIV133_1MC4</t>
  </si>
  <si>
    <t>CZ_KMDA0_C_IN01_SC_H0MX_TDF_COM_AUT_MPXXXX_DM_DIV133_1MC5</t>
  </si>
  <si>
    <t>CZ_KMDA0_C_IN01_SC_H0PD_TDF_COM_AUT_MPXXXX_DM_DIV133_1PC0</t>
  </si>
  <si>
    <t>CZ_KMDA0_C_IN01_SC_H0PD_TDF_COM_AUT_MPXXXX_DM_DIV133_1PC1</t>
  </si>
  <si>
    <t>Srinivason</t>
  </si>
  <si>
    <t>Count of use</t>
  </si>
  <si>
    <t>BLK</t>
  </si>
  <si>
    <t>PP_KMDA0_C_PL10_SC_H0MX_TDF_COM_HAR_MPXXXX_DM_DIV133_BLK</t>
  </si>
  <si>
    <t>PP_KMDA0_C_PL10_SC_H0PD_TDF_COM_HAR_MPXXXX_DM_DIV133_BLK</t>
  </si>
  <si>
    <t>X12</t>
  </si>
  <si>
    <t>Environment</t>
  </si>
  <si>
    <t>20C &lt; Temp &lt; 40C</t>
  </si>
  <si>
    <t>1PC0</t>
  </si>
  <si>
    <t>1PC1</t>
  </si>
  <si>
    <t>CPUTDFP166</t>
  </si>
  <si>
    <t>CPUTDFM166</t>
  </si>
  <si>
    <t>11111110000000011111110000000010</t>
  </si>
  <si>
    <t>CPUTDFM1331C</t>
  </si>
  <si>
    <t>CPUTDFP1331C</t>
  </si>
  <si>
    <t>1st rev. Use the TTR flag.</t>
  </si>
  <si>
    <t>Fred</t>
  </si>
  <si>
    <t>change to Use/Not use to toggle DFTL items</t>
  </si>
  <si>
    <t>CP1</t>
  </si>
  <si>
    <t>CP2</t>
  </si>
  <si>
    <t>FT1</t>
  </si>
  <si>
    <t>FT2</t>
  </si>
  <si>
    <t>WAT</t>
  </si>
  <si>
    <t>ALL</t>
  </si>
  <si>
    <t>DEF</t>
  </si>
  <si>
    <t>1MC2</t>
  </si>
  <si>
    <t>1MC3</t>
  </si>
  <si>
    <t>1MC4</t>
  </si>
  <si>
    <t>1MC5</t>
  </si>
  <si>
    <t>Useage</t>
  </si>
  <si>
    <t>Type</t>
  </si>
  <si>
    <t>N</t>
  </si>
  <si>
    <t>USBG1DP</t>
  </si>
  <si>
    <t>CIO</t>
  </si>
  <si>
    <t>ELB</t>
  </si>
  <si>
    <t>pp_kmda0_s_in00_an_cixx_pff_jtg_xxx_allfrv_si_chip_init</t>
  </si>
  <si>
    <t>pp_kmda0_s_in01_an_cixx_pff_jtg_xxx_allfrv_si_aciophy_header</t>
  </si>
  <si>
    <t>pp_kmda0_s_in02_an_cixx_pff_jtg_xxx_allfrv_si_usbdp_tunables</t>
  </si>
  <si>
    <t>pp_kmda0_s_fulp_an_ciph_bst_jtg_elb_allfrv_si_elb_usbg1dp2</t>
  </si>
  <si>
    <t>NV</t>
  </si>
  <si>
    <t>DPUSBG1</t>
  </si>
  <si>
    <t>pp_kmda0_s_in02_an_cixx_pff_jtg_xxx_allfrv_si_dpusb_tunables</t>
  </si>
  <si>
    <t>pp_kmda0_s_fulp_an_ciph_bst_jtg_elb_allfrv_si_elb_dp2usbg1</t>
  </si>
  <si>
    <t>USBG2DP</t>
  </si>
  <si>
    <t>pp_kmda0_s_fulp_an_ciph_bst_jtg_elb_allfrv_si_elb_usbg2dp3</t>
  </si>
  <si>
    <t>DPUSBG2</t>
  </si>
  <si>
    <t>pp_kmda0_s_fulp_an_ciph_bst_jtg_elb_allfrv_si_elb_dp3usbg2</t>
  </si>
  <si>
    <t>CIOG1</t>
  </si>
  <si>
    <t>pp_kmda0_s_in02_an_cixx_pff_jtg_xxx_allfrv_si_cio10g_tunables</t>
  </si>
  <si>
    <t>pp_kmda0_s_fulp_an_ciph_bst_jtg_elb_allfrv_si_elb_ciog1</t>
  </si>
  <si>
    <t>CIOG4</t>
  </si>
  <si>
    <t>pp_kmda0_s_in02_an_cixx_pff_jtg_xxx_allfrv_si_cio20g_tunables</t>
  </si>
  <si>
    <t>pp_kmda0_s_fulp_an_ciph_bst_jtg_elb_allfrv_si_elb_ciog4</t>
  </si>
  <si>
    <t>VDD10CIO</t>
  </si>
  <si>
    <t>VDDFIXEDPCIE</t>
  </si>
  <si>
    <t>G1</t>
  </si>
  <si>
    <t>PCIE5</t>
  </si>
  <si>
    <t>pp_kmda0_s_in00_an_p5xx_pff_jtg_xxx_allfrv_si_chip_init</t>
  </si>
  <si>
    <t>pp_kmda0_s_in01_an_p5xx_pff_jtg_xxx_allfrv_si_nonfw_header</t>
  </si>
  <si>
    <t>pp_kmda0_s_in02_an_p5xx_pff_jtg_xxx_allfrv_si_loadnofw_tunables</t>
  </si>
  <si>
    <t>pp_kmda0_s_fulp_an_p5ph_bst_jtg_elb_allfrv_si_elb_g1</t>
  </si>
  <si>
    <t>G5</t>
  </si>
  <si>
    <t>pp_kmda0_s_in01_an_p5xx_pff_jtg_xxx_allfrv_si_initfw_load</t>
  </si>
  <si>
    <t>pp_kmda0_s_in02_an_p5xx_pff_jtg_xxx_allfrv_si_loadfw_tunables</t>
  </si>
  <si>
    <t>pp_kmda0_s_fulp_an_p5ph_bst_jtg_elb_allfrv_si_elb_g5</t>
  </si>
  <si>
    <t>VDD10PCIE</t>
  </si>
  <si>
    <t>VDDFIXEDPCIE5</t>
  </si>
  <si>
    <t>VDD10PCIE5</t>
  </si>
  <si>
    <t>VDDFIXEDLPDPRX</t>
  </si>
  <si>
    <t>ELB2P7</t>
  </si>
  <si>
    <t>LPDPRX</t>
  </si>
  <si>
    <t>ODD</t>
  </si>
  <si>
    <t>pp_kmda0_s_in01_an_rxxx_pff_jtg_xxx_allfrv_si_aciphy_header</t>
  </si>
  <si>
    <t>pp_kmda0_s_in02_an_rxxx_pff_jtg_xxx_allfrv_si_lpdprx_tunables</t>
  </si>
  <si>
    <t>pp_kmda0_s_fulp_an_rxph_bst_jtg_elb_allfrv_si_odd_elb2p7</t>
  </si>
  <si>
    <t>EVEN</t>
  </si>
  <si>
    <t>pp_kmda0_s_fulp_an_rxph_bst_jtg_elb_allfrv_si_even_elb2p7</t>
  </si>
  <si>
    <t>L5L6</t>
  </si>
  <si>
    <t>pp_kmda0_s_fulp_an_rxph_bst_jtg_elb_allfrv_si_l5l6_elb2p7</t>
  </si>
  <si>
    <t>ELB14P0</t>
  </si>
  <si>
    <t>pp_kmda0_s_in02_an_rxxx_pff_jtg_xxx_allfrv_si_aciphy_tunables</t>
  </si>
  <si>
    <t>pp_kmda0_s_fulp_an_rxph_bst_jtg_elb_allfrv_si_odd_elb14p0</t>
  </si>
  <si>
    <t>pp_kmda0_s_fulp_an_rxph_bst_jtg_elb_allfrv_si_even_elb14p0</t>
  </si>
  <si>
    <t>pp_kmda0_s_fulp_an_rxph_bst_jtg_elb_allfrv_si_l5l6_elb14p0</t>
  </si>
  <si>
    <t>VDD10LPDPRX</t>
  </si>
  <si>
    <t>VDDFIXEDLPDPTX</t>
  </si>
  <si>
    <t>VDD10LPDPTX</t>
  </si>
  <si>
    <t>PLB</t>
  </si>
  <si>
    <t>LPDPTX</t>
  </si>
  <si>
    <t>pp_kmda0_s_in00_an_txxx_pff_jtg_xxx_allfrv_si_chip_init</t>
  </si>
  <si>
    <t>pp_kmda0_s_in01_an_txxx_pff_jtg_xxx_allfrv_si_lpdptx_header</t>
  </si>
  <si>
    <t>pp_kmda0_s_in02_an_txxx_pff_jtg_xxx_allfrv_si_load_tunables</t>
  </si>
  <si>
    <t>pp_kmda0_s_fulp_an_txtx_mea_jtg_fun_allfrv_si_tx_plb</t>
  </si>
  <si>
    <t>AMP</t>
  </si>
  <si>
    <t>INTS</t>
  </si>
  <si>
    <t>CA</t>
  </si>
  <si>
    <t>MDX005</t>
  </si>
  <si>
    <t>MDX00A</t>
  </si>
  <si>
    <t>DQW</t>
  </si>
  <si>
    <t>DQR</t>
  </si>
  <si>
    <t>VDDDCSDDR Valt</t>
  </si>
  <si>
    <t>Deepak</t>
  </si>
  <si>
    <t>Added HIP HFLH</t>
  </si>
  <si>
    <t>CLB0</t>
  </si>
  <si>
    <t>H0XD</t>
  </si>
  <si>
    <t>SP1</t>
  </si>
  <si>
    <t>REPDAT</t>
  </si>
  <si>
    <t>PP_KMDA0_C_IN03_BI_H0HD_XXX_XXX_XXX_MPXXXX_SI_RSTMSK</t>
  </si>
  <si>
    <t>PP_KMDA0_C_PLLP_BI_H0XD_BST_JTG_SP1_MPXXXX_SI_REPDAT</t>
  </si>
  <si>
    <t>MPX00I</t>
  </si>
  <si>
    <t>PP_KMDA0_C_IN02_BI_H0HD_XXX_XXX_EMA_MPX00I_SI</t>
  </si>
  <si>
    <t>MIX003</t>
  </si>
  <si>
    <t>PL20</t>
  </si>
  <si>
    <t>PP_KMDA0_S_IN04_SC_CDSP_TDF_SSC_AUT_MIX003_DM</t>
  </si>
  <si>
    <t>PP_KMDA0_S_PL20_SC_CDSP_TDF_SSC_HAR_MIXXXX_DM</t>
  </si>
  <si>
    <t>PP_KMDA0_S_PL20_SC_CPMF_TDF_SSC_AUT_MRXXXX_DM</t>
  </si>
  <si>
    <t>Added 7 patterns (SOCTDF and CPUBST) based on Limiter analysis from mini char</t>
  </si>
  <si>
    <t>HFL</t>
  </si>
  <si>
    <t>Updated CP1 &amp; CP2 for PCIE G5 and CIO G4 to ALL from WAT; Updated all the HFLH to HFL</t>
  </si>
  <si>
    <t>Added ALL keyword in coverage column  for PCIE G5 and CIO G4 for CP1 and CP2</t>
  </si>
  <si>
    <t>PL1:0.02:</t>
  </si>
  <si>
    <t>INIT_NV_PL1_NV_PL2_NV</t>
  </si>
  <si>
    <t>PP_KMDA0_C_PLLP_BI_E0XD_NRT_JTG_1R0_MEXXXX_SI_REPBIR</t>
  </si>
  <si>
    <t>PP_KMDA0_C_PLLP_BI_E0XD_NRT_JTG_1W0_MEXXXX_SI_REPBST</t>
  </si>
  <si>
    <t>PP_KMDA0_C_PLLP_BI_E0ED_RPI_JTG_CLR_MEXXXX_SI</t>
  </si>
  <si>
    <t>PP_KMDA0_C_IN01_BI_E0ED_BST_JTG_XXX_MEXXXX_SI_SMT</t>
  </si>
  <si>
    <t>PP_KMDA0_C_IN00_BI_E0ED_XXX_XXX_XXX_MEXXXX_SI_SRMDSSC</t>
  </si>
  <si>
    <t>R80</t>
  </si>
  <si>
    <t>1W0</t>
  </si>
  <si>
    <t>NRT</t>
  </si>
  <si>
    <t>CPUBIR</t>
  </si>
  <si>
    <t>IN @ VRS and ALL PL @ VRS, wait between PL01 and PL02 @ Vsweep</t>
  </si>
  <si>
    <t>PP_KMDA0_C_PLLP_BI_H0XD_NRT_JTG_1R0_MPXXXX_SI_REPBIR</t>
  </si>
  <si>
    <t>PP_KMDA0_C_PLLP_BI_H0XD_NRT_JTG_1W0_MPXXXX_SI_REPBST</t>
  </si>
  <si>
    <t>PP_KMDA0_C_PLLP_BI_H0HD_RPI_JTG_CLR_MPXXXX_SI</t>
  </si>
  <si>
    <t>PP_KMDA0_C_PLLP_BI_E0XD_BIR_JTG_59N_MEXXXX_SI_REPDAT</t>
  </si>
  <si>
    <t>MEXXXX</t>
  </si>
  <si>
    <t>PP_KMDA0_C_PLLP_BI_H0XD_BIR_JTG_59N_MPXXXX_SI_REPDAT</t>
  </si>
  <si>
    <t>PP_KMDA0_C_PLLP_BI_E0XD_NRT_JTG_1R0_MEXXXX_SI_REPBST</t>
  </si>
  <si>
    <t>PP_KMDA0_C_PLLP_BI_H0XD_NRT_JTG_1R0_MPXXXX_SI_REPBST</t>
  </si>
  <si>
    <t>DD_KMDA0_C_IN02_BI_E0ED_XXX_XXX_XXX_MEX001_SI_75</t>
  </si>
  <si>
    <t>R75</t>
  </si>
  <si>
    <t>DD_KMDA0_C_IN02_BI_H0HD_XXX_XXX_XXX_MPX001_SI_75</t>
  </si>
  <si>
    <t>DD_KMDA0_C_IN02_BI_E0ED_XXX_XXX_XXX_MEX000_SI_75</t>
  </si>
  <si>
    <t>DD_KMDA0_C_IN02_BI_H0HD_XXX_XXX_XXX_MPX000_SI_75</t>
  </si>
  <si>
    <t>PP_KMDA0_S_PL01_BI_P001_ERT_JTG_1RB_MSXXXX_SI_SRVCBIST</t>
  </si>
  <si>
    <t>PP_KMDA0_S_PL01_BI_P001_ERT_JTG_1WB_MSXXXX_SI_SRVCBIST</t>
  </si>
  <si>
    <t>DD_KMDA0_S_IN01_BI_CHIP_TDR_JTG_EMA_ALLFRV_SI_EMA_DEF</t>
  </si>
  <si>
    <t>SRVC</t>
  </si>
  <si>
    <t>1WB</t>
  </si>
  <si>
    <t>P001</t>
  </si>
  <si>
    <t>PP_KMDA0_S_PL01_BI_P001_BST_JTG_UNS_MSXXXX_SI_SRVC</t>
  </si>
  <si>
    <t>DD_KMDA0_S_IN01_BI_CHIP_TDR_JTG_EMA_ALLFRV_SI_EMA_R80</t>
  </si>
  <si>
    <t>PP_KMDA0_S_PL01_BI_P001_ERT_JTG_1RB_MSXXXX_SI_SRVCBIRA</t>
  </si>
  <si>
    <t>PP_KMDA0_S_PL01_BI_P001_BIR_JTG_UNS_MSXXXX_SI_SRVC</t>
  </si>
  <si>
    <t>PowerRunScenario</t>
  </si>
  <si>
    <t>PP_KMDA0_C_PLLP_BI_H0XD_BST_JTG_59N_MPXXXX_SI_REPDAT</t>
  </si>
  <si>
    <t>PP_KMDA0_C_PLLP_BI_E0XD_BST_JTG_59N_MEXXXX_SI_REPDAT</t>
  </si>
  <si>
    <t>Vivek</t>
  </si>
  <si>
    <t>Added RET tests</t>
  </si>
  <si>
    <t>DD_KMDA0_C_IN02_BI_E0ED_XXX_XXX_XXX_MEX000_SI_80</t>
  </si>
  <si>
    <t>DD_KMDA0_C_IN02_BI_E0ED_XXX_XXX_XXX_MEX001_SI_80</t>
  </si>
  <si>
    <t>DD_KMDA0_C_IN02_BI_H0HD_XXX_XXX_XXX_MPX000_SI_80</t>
  </si>
  <si>
    <t>DD_KMDA0_C_IN02_BI_H0HD_XXX_XXX_XXX_MPX001_SI_80</t>
  </si>
  <si>
    <t>MPX002</t>
  </si>
  <si>
    <t>MPX003</t>
  </si>
  <si>
    <t>CZ_KMDA0_C_IN02_BI_H0HD_XXX_XXX_XXX_MPX001_SI_ICD</t>
  </si>
  <si>
    <t>CZ_KMDA0_C_IN02_BI_H0HD_XXX_XXX_XXX_MPX002_SI_ICD</t>
  </si>
  <si>
    <t>CZ_KMDA0_C_IN02_BI_H0HD_XXX_XXX_XXX_MPX003_SI_ICD</t>
  </si>
  <si>
    <t>CZ_KMDA0_C_IN02_BI_H0HD_XXX_XXX_XXX_MPX00I_SI_ICD</t>
  </si>
  <si>
    <t>CZ</t>
  </si>
  <si>
    <t>SRVT</t>
  </si>
  <si>
    <t>CPA</t>
  </si>
  <si>
    <t>PP_KMDA0_S_IN01_BI_XXXX_PLL_JTG_UNS_MPX001_SI</t>
  </si>
  <si>
    <t>PP_KMDA0_S_IN01_BI_CHIP_SRV_JTG_UNS_ALLFRV_SI_SRVDT_NOINIT</t>
  </si>
  <si>
    <t>PP_KMDA0_S_PL01_BI_GR01_BST_JTG_UNS_MPXXXX_SI_SRVT_CPA</t>
  </si>
  <si>
    <t>PP_KMDA0_C_IN02_BI_H0HD_XXX_XXX_EMA_MPX001_SI</t>
  </si>
  <si>
    <t>MPX00D</t>
  </si>
  <si>
    <t>PP_KMDA0_S_IN01_BI_XXXX_PLL_JTG_UNS_MPX00D_SI</t>
  </si>
  <si>
    <t>Added CPUSRAM Bypass mode tests</t>
  </si>
  <si>
    <t>CPUSRAM tests set CP2 = ALL</t>
  </si>
  <si>
    <t>Updated LPDPRX VDD10 start to 0.7V</t>
  </si>
  <si>
    <t>HFLH</t>
  </si>
  <si>
    <t>Added AMP ILB MD1 HVcc and increased volatge range to 1.1V</t>
  </si>
  <si>
    <t>Added PCPU 1C patterns to CP2</t>
  </si>
  <si>
    <t>pp_kmda0_s_fulp_an_ddio_ilb_jtg_lp5_mdx001_si_ints_md1ca</t>
  </si>
  <si>
    <t>pp_kmda0_s_fulp_an_ddio_ilb_jtg_lp5_mdx005_si_ints_md5ca</t>
  </si>
  <si>
    <t>pp_kmda0_s_fulp_an_ddio_ilb_jtg_lp5_mdx009_si_ints_md9ca</t>
  </si>
  <si>
    <t>pp_kmda0_s_fulp_an_ddio_ilb_jtg_lp5_mdx009_si_ints_11p6mca</t>
  </si>
  <si>
    <t>pp_kmda0_s_fulp_an_ddio_ilb_jtg_lp5_mdx001_si_ints_md1dqw</t>
  </si>
  <si>
    <t>pp_kmda0_s_fulp_an_ddio_ilb_jtg_lp5_mdx005_si_ints_md5dqw</t>
  </si>
  <si>
    <t>pp_kmda0_s_fulp_an_ddio_ilb_jtg_lp5_mdx009_si_ints_md9dqw</t>
  </si>
  <si>
    <t>pp_kmda0_s_fulp_an_ddio_ilb_jtg_lp5_mdx009_si_ints_11p6mdqw</t>
  </si>
  <si>
    <t>pp_kmda0_s_fulp_an_ddio_ilb_jtg_lp5_mdx001_si_ints_md1dqr</t>
  </si>
  <si>
    <t>pp_kmda0_s_fulp_an_ddio_ilb_jtg_lp5_mdx005_si_ints_md5dqr</t>
  </si>
  <si>
    <t>pp_kmda0_s_fulp_an_ddio_ilb_jtg_lp5_mdx009_si_ints_md9dqr</t>
  </si>
  <si>
    <t>pp_kmda0_s_fulp_an_ddio_ilb_jtg_lp5_mdx009_si_ints_11p6mdqr</t>
  </si>
  <si>
    <t>AMP: fix pattern names for perf-modes</t>
  </si>
  <si>
    <t>GR07</t>
  </si>
  <si>
    <t>PP_KMDA0_S_PL01_BI_GR07_BIR_JTG_UNS_MSXXXX_SI_SRVASETP</t>
  </si>
  <si>
    <t>PP_KMDA0_S_PL01_BI_GR07_BIR_JTG_UNS_MSXXXX_SI_SRVASTCK</t>
  </si>
  <si>
    <t>PP_KMDA0_S_PL01_BI_GR07_BST_JTG_UNS_MSXXXX_SI_SRVASETP</t>
  </si>
  <si>
    <t>PP_KMDA0_S_PL01_BI_GR07_BST_JTG_UNS_MSXXXX_SI_SRVASTCK</t>
  </si>
  <si>
    <t>Updated limiters for SRAM</t>
  </si>
  <si>
    <t>MPX00L</t>
  </si>
  <si>
    <t>CZ_KMDA0_C_IN02_SC_CXXX_XXX_XXX_EMA_MPX00L_DM</t>
  </si>
  <si>
    <t>Added ModeL for PCPU</t>
  </si>
  <si>
    <t>Program Version</t>
  </si>
  <si>
    <t>V05A</t>
  </si>
  <si>
    <t>E0EX</t>
  </si>
  <si>
    <t>PP_KMDA0_C_IN02_BI_E0ED_XXX_XXX_EMA_MEX001_SI</t>
  </si>
  <si>
    <t>PP_KMDA0_C_PLLP_BI_E0EX_BST_JTG_59N_MEXXXX_SI_REPREST</t>
  </si>
  <si>
    <t>MEX009</t>
  </si>
  <si>
    <t>PP_KMDA0_C_IN02_BI_E0ED_XXX_XXX_EMA_MEX009_SI</t>
  </si>
  <si>
    <t>PP_KMDA0_C_PLLP_BI_E0EX_BST_JTG_SP1_MEXXXX_SI_REPREST</t>
  </si>
  <si>
    <t>SP5</t>
  </si>
  <si>
    <t>PP_KMDA0_C_IN03_BI_E0ED_XXX_XXX_XXX_MEXXXX_SI_RSTMSK</t>
  </si>
  <si>
    <t>PP_KMDA0_C_PLLP_BI_E0XD_BST_JTG_SP5_MEXXXX_SI_REPDAT</t>
  </si>
  <si>
    <t>GT30GOVD</t>
  </si>
  <si>
    <t>DD_KMDA0_L_PLLP_SC_CFXX_TDF_COM_AUT_ALLFRV_DM_PDF_GT30GOVD</t>
  </si>
  <si>
    <t>GPUPDF</t>
  </si>
  <si>
    <t>CPUPDF</t>
  </si>
  <si>
    <t>CZ_KMDA0_C_IN01_SC_H0PD_TDF_COM_AUT_MPXXXX_DM_DIV166_1PC0</t>
  </si>
  <si>
    <t>DD_KMDA0_C_PL00_SC_H0PX_TDF_COM_AUT_MPXXXX_DM_BUCKET5</t>
  </si>
  <si>
    <t>CZ_KMDA0_C_IN01_SC_H0PD_TDF_COM_AUT_MPXXXX_DM_DIV166_1PC1</t>
  </si>
  <si>
    <t>DD_KMDA0_C_PL00_SC_H0PX_TDF_COM_AUT_MPXXXX_DM_BUCKET13</t>
  </si>
  <si>
    <t>H0PX</t>
  </si>
  <si>
    <t>RC40</t>
  </si>
  <si>
    <t>Gdelay70</t>
  </si>
  <si>
    <t>Added ModeL BLKC, CPUSRAM ME001/ME009 limiters, Mode1/ModeL CPUPDF patterns, Turbo GPU PDF patterns</t>
  </si>
  <si>
    <t>No Use</t>
  </si>
  <si>
    <t>Not needed per Aish. 7/24/25</t>
  </si>
  <si>
    <t>CZ_KMDA0_C_IN02_BI_H0HD_XXX_XXX_EMA_MPX00L_SI</t>
  </si>
  <si>
    <t>added for V06A. 7/24</t>
  </si>
  <si>
    <t>MPX00G</t>
  </si>
  <si>
    <t>PP_KMDA0_C_IN02_SC_CXXX_XXX_XXX_EMA_MPX00G_DM</t>
  </si>
  <si>
    <t>PP_KMDA0_C_IN02_SC_CXXX_XXX_XXX_EMA_MPX00I_DM</t>
  </si>
  <si>
    <t>removed 7/24/25</t>
  </si>
  <si>
    <t>V06A</t>
  </si>
  <si>
    <t>Removed ModeJ. Updatd min search value to 0.4 from 0.3</t>
  </si>
  <si>
    <t>PP_KMDA0_S_IN04_SC_CLB0_TDF_SSC_AUT_MLX001_DM</t>
  </si>
  <si>
    <t>PP_KMDA0_S_PL10_SC_CLB0_TDF_SSC_AUT_MLXXXX_DM</t>
  </si>
  <si>
    <t>Updated CLB pattern to SSC from COM</t>
  </si>
  <si>
    <t>updated range for GPUTD turbo</t>
  </si>
  <si>
    <t>PP_KMDA0_L_INLP_SC_CF10_TDF_COM_AUT_ALLFRV_DM</t>
  </si>
  <si>
    <t>FSTP10</t>
  </si>
  <si>
    <t>changed to MGX00G</t>
  </si>
  <si>
    <t>Fixed CPUTD wrong mode, update range, fixed SRAM not sweeping same as SOC</t>
  </si>
  <si>
    <t>CMS0</t>
  </si>
  <si>
    <t>DFTL_GPU_GPU_MGX001_GPUTDF_CMS0_PL10_X_X_X_SelsrmSSSS_</t>
  </si>
  <si>
    <t>PP_KMDA0_L_INLP_SC_CMS0_TDF_COM_AUT_ALLFRV_DM</t>
  </si>
  <si>
    <t>PP_KMDA0_L_PL10_SC_CMS0_TDF_COM_AUT_ALLFRV_DM</t>
  </si>
  <si>
    <t>DFTL_GPU_GPU_MGX00D_GPUTDF_CMS0_PL10_X_X_X_SelsrmSSSS_</t>
  </si>
  <si>
    <t>CMS1</t>
  </si>
  <si>
    <t>DFTL_GPU_GPU_MGX001_GPUTDF_CMS1_PL10_X_X_X_SelsrmSSSS_</t>
  </si>
  <si>
    <t>PP_KMDA0_L_INLP_SC_CMS1_TDF_COM_AUT_ALLFRV_DM</t>
  </si>
  <si>
    <t>PP_KMDA0_L_PL10_SC_CMS1_TDF_COM_AUT_ALLFRV_DM</t>
  </si>
  <si>
    <t>DFTL_GPU_GPU_MGX00D_GPUTDF_CMS1_PL10_X_X_X_SelsrmSSSS_</t>
  </si>
  <si>
    <t>added for V06A. 8/5</t>
  </si>
  <si>
    <t xml:space="preserve">Added CMS GPUTDF vs SRAMGPU sweep.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</si>
</sst>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SF Hello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3" borderId="0"/>
    <xf numFmtId="0" fontId="5" fillId="0" borderId="0"/>
  </cellStyleXfs>
  <cellXfs count="24">
    <xf numFmtId="0" fontId="0" fillId="0" borderId="0" xfId="0"/>
    <xf numFmtId="0" fontId="0" fillId="2" borderId="1" xfId="0" applyFill="1" applyBorder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top" wrapText="1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49" fontId="0" fillId="0" borderId="0" xfId="0" applyNumberFormat="1"/>
    <xf numFmtId="0" fontId="7" fillId="0" borderId="0" xfId="1" applyFont="1" applyAlignment="1">
      <alignment vertical="center"/>
    </xf>
    <xf numFmtId="0" fontId="4" fillId="0" borderId="0" xfId="1"/>
    <xf numFmtId="0" fontId="7" fillId="0" borderId="0" xfId="1" applyFont="1" applyAlignment="1">
      <alignment horizontal="center" vertical="center"/>
    </xf>
    <xf numFmtId="0" fontId="7" fillId="0" borderId="0" xfId="0" applyFont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10" fillId="0" borderId="0" xfId="0" applyFont="1"/>
    <xf numFmtId="0" fontId="0" fillId="4" borderId="0" xfId="0" applyFill="1"/>
    <xf numFmtId="0" fontId="7" fillId="4" borderId="0" xfId="0" applyFont="1" applyFill="1"/>
    <xf numFmtId="0" fontId="0" fillId="5" borderId="0" xfId="0" applyFill="1"/>
    <xf numFmtId="0" fontId="7" fillId="5" borderId="0" xfId="0" applyFont="1" applyFill="1"/>
    <xf numFmtId="0" fontId="9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</cellXfs>
  <cellStyles count="5">
    <cellStyle name="20% - Accent4 2" xfId="3" xr:uid="{2372F2A0-88B3-6341-885B-B2164311ABC0}"/>
    <cellStyle name="Excel Built-in Normal" xfId="4" xr:uid="{76AE6792-D099-3C41-BD46-1FC35B75799C}"/>
    <cellStyle name="Normal" xfId="0" builtinId="0"/>
    <cellStyle name="Normal 2" xfId="1" xr:uid="{7CE8BC76-57E4-9145-A3B8-B75A7A66098F}"/>
    <cellStyle name="Normal 3 3" xfId="2" xr:uid="{0CFC551D-DE5B-A546-85EC-61DE3495003D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CFE-C02E-8145-922C-2AD03FCF5700}" name="Table2" displayName="Table2" ref="A1:E22" totalsRowShown="0" headerRowDxfId="43">
  <autoFilter ref="A1:E22" xr:uid="{32071CFE-C02E-8145-922C-2AD03FCF5700}"/>
  <tableColumns count="5">
    <tableColumn id="1" xr3:uid="{2523574D-F23A-AB45-9963-858AB1BDBC21}" name="Date" dataDxfId="42"/>
    <tableColumn id="2" xr3:uid="{BAD87FDD-594D-D24A-A270-4940D6B4B084}" name="Revision" dataDxfId="41"/>
    <tableColumn id="5" xr3:uid="{7F2D0844-A6B0-5A4D-83E9-93AA780BA5DF}" name="Program Version" dataDxfId="40"/>
    <tableColumn id="3" xr3:uid="{8535ADF3-DB2C-194D-8B15-40B275C6D5F1}" name="Modified By" dataDxfId="39"/>
    <tableColumn id="4" xr3:uid="{DC7963AA-EF7A-6148-A7C0-ACCF016E6DB9}" name="Comments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FE66-23F3-CE4E-8A77-67226562ADD9}">
  <dimension ref="A1:H22"/>
  <sheetViews>
    <sheetView tabSelected="1" workbookViewId="0">
      <selection activeCell="D25" sqref="D25"/>
    </sheetView>
  </sheetViews>
  <sheetFormatPr baseColWidth="10" defaultRowHeight="16" x14ac:dyDescent="0.2"/>
  <cols>
    <col min="1" max="1" width="27.1640625" customWidth="1"/>
    <col min="2" max="3" width="16" customWidth="1"/>
    <col min="4" max="4" width="19.1640625" customWidth="1"/>
    <col min="5" max="5" width="77.6640625" customWidth="1"/>
  </cols>
  <sheetData>
    <row r="1" spans="1:8" ht="17" x14ac:dyDescent="0.2">
      <c r="A1" s="2" t="s">
        <v>167</v>
      </c>
      <c r="B1" s="2" t="s">
        <v>168</v>
      </c>
      <c r="C1" s="2" t="s">
        <v>458</v>
      </c>
      <c r="D1" s="2" t="s">
        <v>169</v>
      </c>
      <c r="E1" s="3" t="s">
        <v>23</v>
      </c>
      <c r="G1" t="s">
        <v>252</v>
      </c>
      <c r="H1" t="e">
        <f>SUM(#REF!,#REF!,#REF!,#REF!,#REF!,#REF!,#REF!,#REF!)</f>
        <v>#REF!</v>
      </c>
    </row>
    <row r="2" spans="1:8" ht="17" x14ac:dyDescent="0.2">
      <c r="A2" s="4">
        <v>45754</v>
      </c>
      <c r="B2" s="5">
        <v>1</v>
      </c>
      <c r="C2" s="5"/>
      <c r="D2" s="5" t="s">
        <v>251</v>
      </c>
      <c r="E2" s="6" t="s">
        <v>266</v>
      </c>
    </row>
    <row r="3" spans="1:8" ht="17" x14ac:dyDescent="0.2">
      <c r="A3" s="4">
        <v>45755</v>
      </c>
      <c r="B3" s="5">
        <v>2</v>
      </c>
      <c r="C3" s="5"/>
      <c r="D3" s="5" t="s">
        <v>267</v>
      </c>
      <c r="E3" s="6" t="s">
        <v>268</v>
      </c>
    </row>
    <row r="4" spans="1:8" ht="17" x14ac:dyDescent="0.2">
      <c r="A4" s="4">
        <v>45756</v>
      </c>
      <c r="B4" s="5">
        <v>3</v>
      </c>
      <c r="C4" s="5"/>
      <c r="D4" s="5" t="s">
        <v>352</v>
      </c>
      <c r="E4" s="6" t="s">
        <v>353</v>
      </c>
    </row>
    <row r="5" spans="1:8" ht="17" x14ac:dyDescent="0.2">
      <c r="A5" s="4">
        <v>45758</v>
      </c>
      <c r="B5" s="5">
        <v>4</v>
      </c>
      <c r="C5" s="5"/>
      <c r="D5" s="5" t="s">
        <v>251</v>
      </c>
      <c r="E5" s="6" t="s">
        <v>367</v>
      </c>
    </row>
    <row r="6" spans="1:8" ht="18" customHeight="1" x14ac:dyDescent="0.2">
      <c r="A6" s="4">
        <v>45769</v>
      </c>
      <c r="B6" s="5">
        <v>5</v>
      </c>
      <c r="C6" s="5"/>
      <c r="D6" s="5" t="s">
        <v>352</v>
      </c>
      <c r="E6" s="6" t="s">
        <v>369</v>
      </c>
    </row>
    <row r="7" spans="1:8" ht="17" x14ac:dyDescent="0.2">
      <c r="A7" s="4">
        <v>45770</v>
      </c>
      <c r="B7" s="5">
        <v>6</v>
      </c>
      <c r="C7" s="5"/>
      <c r="D7" s="5" t="s">
        <v>352</v>
      </c>
      <c r="E7" s="6" t="s">
        <v>370</v>
      </c>
    </row>
    <row r="8" spans="1:8" ht="17" x14ac:dyDescent="0.2">
      <c r="A8" s="4">
        <v>45771</v>
      </c>
      <c r="B8" s="5">
        <v>6</v>
      </c>
      <c r="C8" s="5"/>
      <c r="D8" s="5" t="s">
        <v>409</v>
      </c>
      <c r="E8" s="6" t="s">
        <v>410</v>
      </c>
    </row>
    <row r="9" spans="1:8" ht="17" x14ac:dyDescent="0.2">
      <c r="A9" s="4">
        <v>45785</v>
      </c>
      <c r="B9" s="5">
        <v>7</v>
      </c>
      <c r="C9" s="5"/>
      <c r="D9" s="5" t="s">
        <v>409</v>
      </c>
      <c r="E9" s="6" t="s">
        <v>430</v>
      </c>
    </row>
    <row r="10" spans="1:8" ht="17" x14ac:dyDescent="0.2">
      <c r="A10" s="4">
        <v>45785</v>
      </c>
      <c r="B10" s="5">
        <v>8</v>
      </c>
      <c r="C10" s="5"/>
      <c r="D10" s="5" t="s">
        <v>409</v>
      </c>
      <c r="E10" s="6" t="s">
        <v>431</v>
      </c>
    </row>
    <row r="11" spans="1:8" ht="17" x14ac:dyDescent="0.2">
      <c r="A11" s="4">
        <v>45789</v>
      </c>
      <c r="B11" s="5">
        <v>9</v>
      </c>
      <c r="C11" s="5"/>
      <c r="D11" s="5" t="s">
        <v>352</v>
      </c>
      <c r="E11" s="6" t="s">
        <v>432</v>
      </c>
    </row>
    <row r="12" spans="1:8" ht="17" x14ac:dyDescent="0.2">
      <c r="A12" s="4">
        <v>45790</v>
      </c>
      <c r="B12" s="5">
        <v>10</v>
      </c>
      <c r="C12" s="5"/>
      <c r="D12" s="5" t="s">
        <v>352</v>
      </c>
      <c r="E12" s="6" t="s">
        <v>434</v>
      </c>
    </row>
    <row r="13" spans="1:8" ht="17" x14ac:dyDescent="0.2">
      <c r="A13" s="4">
        <v>45804</v>
      </c>
      <c r="B13" s="5">
        <v>11</v>
      </c>
      <c r="C13" s="5"/>
      <c r="D13" s="5" t="s">
        <v>251</v>
      </c>
      <c r="E13" s="6" t="s">
        <v>435</v>
      </c>
    </row>
    <row r="14" spans="1:8" ht="17" x14ac:dyDescent="0.2">
      <c r="A14" s="4">
        <v>45810</v>
      </c>
      <c r="B14" s="5">
        <v>12</v>
      </c>
      <c r="C14" s="5"/>
      <c r="D14" s="5" t="s">
        <v>352</v>
      </c>
      <c r="E14" s="6" t="s">
        <v>448</v>
      </c>
    </row>
    <row r="15" spans="1:8" ht="17" x14ac:dyDescent="0.2">
      <c r="A15" s="4">
        <v>45810</v>
      </c>
      <c r="B15" s="5">
        <v>13</v>
      </c>
      <c r="C15" s="5"/>
      <c r="D15" s="5" t="s">
        <v>409</v>
      </c>
      <c r="E15" s="6" t="s">
        <v>454</v>
      </c>
    </row>
    <row r="16" spans="1:8" ht="17" x14ac:dyDescent="0.2">
      <c r="A16" s="4">
        <v>45818</v>
      </c>
      <c r="B16" s="5">
        <v>3</v>
      </c>
      <c r="C16" s="5" t="s">
        <v>459</v>
      </c>
      <c r="D16" s="5" t="s">
        <v>251</v>
      </c>
      <c r="E16" s="6" t="s">
        <v>457</v>
      </c>
    </row>
    <row r="17" spans="1:5" ht="34" x14ac:dyDescent="0.2">
      <c r="A17" s="4">
        <v>45841</v>
      </c>
      <c r="B17" s="5">
        <v>4</v>
      </c>
      <c r="C17" s="5" t="s">
        <v>459</v>
      </c>
      <c r="D17" s="5" t="s">
        <v>251</v>
      </c>
      <c r="E17" s="6" t="s">
        <v>480</v>
      </c>
    </row>
    <row r="18" spans="1:5" ht="17" x14ac:dyDescent="0.2">
      <c r="A18" s="4">
        <v>45862</v>
      </c>
      <c r="B18" s="5">
        <v>2</v>
      </c>
      <c r="C18" s="5" t="s">
        <v>489</v>
      </c>
      <c r="D18" s="5" t="s">
        <v>251</v>
      </c>
      <c r="E18" s="6" t="s">
        <v>490</v>
      </c>
    </row>
    <row r="19" spans="1:5" ht="17" x14ac:dyDescent="0.2">
      <c r="A19" s="4">
        <v>45866</v>
      </c>
      <c r="B19" s="5">
        <v>3</v>
      </c>
      <c r="C19" s="5" t="s">
        <v>489</v>
      </c>
      <c r="D19" s="5" t="s">
        <v>251</v>
      </c>
      <c r="E19" s="6" t="s">
        <v>493</v>
      </c>
    </row>
    <row r="20" spans="1:5" ht="17" x14ac:dyDescent="0.2">
      <c r="A20" s="4">
        <v>45867</v>
      </c>
      <c r="B20" s="5">
        <v>4</v>
      </c>
      <c r="C20" s="5" t="s">
        <v>489</v>
      </c>
      <c r="D20" s="5" t="s">
        <v>251</v>
      </c>
      <c r="E20" s="6" t="s">
        <v>494</v>
      </c>
    </row>
    <row r="21" spans="1:5" ht="17" x14ac:dyDescent="0.2">
      <c r="A21" s="4">
        <v>45867</v>
      </c>
      <c r="B21" s="5">
        <v>5</v>
      </c>
      <c r="C21" s="5" t="s">
        <v>489</v>
      </c>
      <c r="D21" s="5" t="s">
        <v>251</v>
      </c>
      <c r="E21" s="6" t="s">
        <v>498</v>
      </c>
    </row>
    <row r="22" spans="1:5" ht="17" x14ac:dyDescent="0.2">
      <c r="A22" s="4">
        <v>45874</v>
      </c>
      <c r="B22" s="5">
        <v>6</v>
      </c>
      <c r="C22" s="5" t="s">
        <v>489</v>
      </c>
      <c r="D22" s="5" t="s">
        <v>251</v>
      </c>
      <c r="E22" s="6" t="s">
        <v>510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A4F1-FBD4-134E-AEBD-98AB8B48AC70}">
  <sheetPr filterMode="1"/>
  <dimension ref="A1:DT161"/>
  <sheetViews>
    <sheetView zoomScale="80" zoomScaleNormal="80" workbookViewId="0">
      <pane xSplit="14" ySplit="2" topLeftCell="O157" activePane="bottomRight" state="frozen"/>
      <selection pane="topRight" activeCell="O1" sqref="O1"/>
      <selection pane="bottomLeft" activeCell="A3" sqref="A3"/>
      <selection pane="bottomRight" activeCell="AT179" sqref="AT179"/>
    </sheetView>
  </sheetViews>
  <sheetFormatPr baseColWidth="10" defaultRowHeight="16" x14ac:dyDescent="0.2"/>
  <cols>
    <col min="1" max="1" width="11.1640625" bestFit="1" customWidth="1"/>
    <col min="2" max="2" width="8" hidden="1" customWidth="1"/>
    <col min="3" max="3" width="7" hidden="1" customWidth="1"/>
    <col min="4" max="4" width="16.83203125" hidden="1" customWidth="1"/>
    <col min="5" max="5" width="9.83203125" bestFit="1" customWidth="1"/>
    <col min="6" max="6" width="7.83203125" customWidth="1"/>
    <col min="7" max="7" width="11.33203125" customWidth="1"/>
    <col min="8" max="8" width="9.1640625" bestFit="1" customWidth="1"/>
    <col min="9" max="9" width="9.1640625" customWidth="1"/>
    <col min="10" max="11" width="9.83203125" bestFit="1" customWidth="1"/>
    <col min="12" max="12" width="9.83203125" hidden="1" customWidth="1"/>
    <col min="13" max="13" width="12.83203125" hidden="1" customWidth="1"/>
    <col min="14" max="14" width="11.33203125" hidden="1" customWidth="1"/>
    <col min="15" max="15" width="10.6640625" bestFit="1" customWidth="1"/>
    <col min="16" max="16" width="109.83203125" bestFit="1" customWidth="1"/>
    <col min="17" max="17" width="9.33203125" bestFit="1" customWidth="1"/>
    <col min="18" max="18" width="10.6640625" bestFit="1" customWidth="1"/>
    <col min="19" max="19" width="6.1640625" bestFit="1" customWidth="1"/>
    <col min="20" max="20" width="7.1640625" bestFit="1" customWidth="1"/>
    <col min="21" max="21" width="6" bestFit="1" customWidth="1"/>
    <col min="22" max="22" width="57.83203125" bestFit="1" customWidth="1"/>
    <col min="23" max="23" width="63.6640625" bestFit="1" customWidth="1"/>
    <col min="24" max="24" width="61.5" bestFit="1" customWidth="1"/>
    <col min="25" max="25" width="61.83203125" bestFit="1" customWidth="1"/>
    <col min="26" max="26" width="59" bestFit="1" customWidth="1"/>
    <col min="27" max="27" width="58" bestFit="1" customWidth="1"/>
    <col min="28" max="28" width="55.33203125" bestFit="1" customWidth="1"/>
    <col min="29" max="29" width="66.6640625" bestFit="1" customWidth="1"/>
    <col min="30" max="30" width="59.33203125" bestFit="1" customWidth="1"/>
    <col min="31" max="31" width="8.33203125" bestFit="1" customWidth="1"/>
    <col min="32" max="32" width="58" bestFit="1" customWidth="1"/>
    <col min="33" max="33" width="55.5" bestFit="1" customWidth="1"/>
    <col min="34" max="34" width="56.33203125" bestFit="1" customWidth="1"/>
    <col min="35" max="35" width="51.6640625" bestFit="1" customWidth="1"/>
    <col min="36" max="38" width="9.6640625" customWidth="1"/>
    <col min="39" max="39" width="16.1640625" customWidth="1"/>
    <col min="40" max="48" width="7.5" customWidth="1"/>
    <col min="49" max="49" width="11.5" bestFit="1" customWidth="1"/>
    <col min="50" max="111" width="7.5" customWidth="1"/>
    <col min="112" max="112" width="8" bestFit="1" customWidth="1"/>
    <col min="113" max="113" width="13" bestFit="1" customWidth="1"/>
    <col min="114" max="114" width="5.5" bestFit="1" customWidth="1"/>
    <col min="115" max="115" width="42.1640625" customWidth="1"/>
    <col min="116" max="116" width="21.5" bestFit="1" customWidth="1"/>
    <col min="117" max="117" width="8.5" bestFit="1" customWidth="1"/>
    <col min="118" max="118" width="6.5" bestFit="1" customWidth="1"/>
    <col min="119" max="119" width="7.33203125" bestFit="1" customWidth="1"/>
    <col min="120" max="120" width="15.5" bestFit="1" customWidth="1"/>
    <col min="121" max="124" width="8" customWidth="1"/>
  </cols>
  <sheetData>
    <row r="1" spans="1:124" x14ac:dyDescent="0.2">
      <c r="A1" t="s">
        <v>280</v>
      </c>
      <c r="E1" t="s">
        <v>281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P1" t="s">
        <v>5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AN1" t="s">
        <v>7</v>
      </c>
      <c r="AQ1" t="s">
        <v>8</v>
      </c>
      <c r="AT1" t="s">
        <v>9</v>
      </c>
      <c r="AW1" t="s">
        <v>10</v>
      </c>
      <c r="AZ1" t="s">
        <v>11</v>
      </c>
      <c r="BC1" t="s">
        <v>12</v>
      </c>
      <c r="BF1" t="s">
        <v>13</v>
      </c>
      <c r="BI1" t="s">
        <v>95</v>
      </c>
      <c r="BL1" t="s">
        <v>14</v>
      </c>
      <c r="BO1" t="s">
        <v>206</v>
      </c>
      <c r="BR1" t="s">
        <v>15</v>
      </c>
      <c r="BU1" t="s">
        <v>16</v>
      </c>
      <c r="BX1" t="s">
        <v>17</v>
      </c>
      <c r="CA1" t="s">
        <v>241</v>
      </c>
      <c r="CD1" t="s">
        <v>304</v>
      </c>
      <c r="CG1" t="s">
        <v>317</v>
      </c>
      <c r="CJ1" t="s">
        <v>305</v>
      </c>
      <c r="CM1" t="s">
        <v>318</v>
      </c>
      <c r="CP1" t="s">
        <v>316</v>
      </c>
      <c r="CS1" t="s">
        <v>319</v>
      </c>
      <c r="CV1" t="s">
        <v>335</v>
      </c>
      <c r="CY1" t="s">
        <v>336</v>
      </c>
      <c r="DB1" t="s">
        <v>337</v>
      </c>
      <c r="DE1" t="s">
        <v>351</v>
      </c>
      <c r="DH1" t="s">
        <v>18</v>
      </c>
      <c r="DJ1" t="s">
        <v>19</v>
      </c>
      <c r="DQ1" t="s">
        <v>84</v>
      </c>
    </row>
    <row r="2" spans="1:124" s="1" customFormat="1" x14ac:dyDescent="0.2">
      <c r="A2" s="12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122</v>
      </c>
      <c r="AL2" s="1" t="s">
        <v>123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57</v>
      </c>
      <c r="AR2" s="1" t="s">
        <v>58</v>
      </c>
      <c r="AS2" s="1" t="s">
        <v>59</v>
      </c>
      <c r="AT2" s="1" t="s">
        <v>57</v>
      </c>
      <c r="AU2" s="1" t="s">
        <v>58</v>
      </c>
      <c r="AV2" s="1" t="s">
        <v>59</v>
      </c>
      <c r="AW2" s="1" t="s">
        <v>57</v>
      </c>
      <c r="AX2" s="1" t="s">
        <v>58</v>
      </c>
      <c r="AY2" s="1" t="s">
        <v>59</v>
      </c>
      <c r="AZ2" s="1" t="s">
        <v>57</v>
      </c>
      <c r="BA2" s="1" t="s">
        <v>58</v>
      </c>
      <c r="BB2" s="1" t="s">
        <v>59</v>
      </c>
      <c r="BC2" s="1" t="s">
        <v>57</v>
      </c>
      <c r="BD2" s="1" t="s">
        <v>58</v>
      </c>
      <c r="BE2" s="1" t="s">
        <v>59</v>
      </c>
      <c r="BF2" s="1" t="s">
        <v>57</v>
      </c>
      <c r="BG2" s="1" t="s">
        <v>58</v>
      </c>
      <c r="BH2" s="1" t="s">
        <v>59</v>
      </c>
      <c r="BI2" s="1" t="s">
        <v>57</v>
      </c>
      <c r="BJ2" s="1" t="s">
        <v>58</v>
      </c>
      <c r="BK2" s="1" t="s">
        <v>59</v>
      </c>
      <c r="BL2" s="1" t="s">
        <v>57</v>
      </c>
      <c r="BM2" s="1" t="s">
        <v>58</v>
      </c>
      <c r="BN2" s="1" t="s">
        <v>59</v>
      </c>
      <c r="BO2" s="1" t="s">
        <v>57</v>
      </c>
      <c r="BP2" s="1" t="s">
        <v>58</v>
      </c>
      <c r="BQ2" s="1" t="s">
        <v>59</v>
      </c>
      <c r="BR2" s="1" t="s">
        <v>57</v>
      </c>
      <c r="BS2" s="1" t="s">
        <v>58</v>
      </c>
      <c r="BT2" s="1" t="s">
        <v>59</v>
      </c>
      <c r="BU2" s="1" t="s">
        <v>57</v>
      </c>
      <c r="BV2" s="1" t="s">
        <v>58</v>
      </c>
      <c r="BW2" s="1" t="s">
        <v>59</v>
      </c>
      <c r="BX2" s="1" t="s">
        <v>57</v>
      </c>
      <c r="BY2" s="1" t="s">
        <v>58</v>
      </c>
      <c r="BZ2" s="1" t="s">
        <v>59</v>
      </c>
      <c r="CA2" s="1" t="s">
        <v>57</v>
      </c>
      <c r="CB2" s="1" t="s">
        <v>58</v>
      </c>
      <c r="CC2" s="1" t="s">
        <v>59</v>
      </c>
      <c r="CD2" s="1" t="s">
        <v>57</v>
      </c>
      <c r="CE2" s="1" t="s">
        <v>58</v>
      </c>
      <c r="CF2" s="1" t="s">
        <v>59</v>
      </c>
      <c r="CG2" s="1" t="s">
        <v>57</v>
      </c>
      <c r="CH2" s="1" t="s">
        <v>58</v>
      </c>
      <c r="CI2" s="1" t="s">
        <v>59</v>
      </c>
      <c r="CJ2" s="1" t="s">
        <v>57</v>
      </c>
      <c r="CK2" s="1" t="s">
        <v>58</v>
      </c>
      <c r="CL2" s="1" t="s">
        <v>59</v>
      </c>
      <c r="CM2" s="1" t="s">
        <v>57</v>
      </c>
      <c r="CN2" s="1" t="s">
        <v>58</v>
      </c>
      <c r="CO2" s="1" t="s">
        <v>59</v>
      </c>
      <c r="CP2" s="1" t="s">
        <v>57</v>
      </c>
      <c r="CQ2" s="1" t="s">
        <v>58</v>
      </c>
      <c r="CR2" s="1" t="s">
        <v>59</v>
      </c>
      <c r="CS2" s="1" t="s">
        <v>57</v>
      </c>
      <c r="CT2" s="1" t="s">
        <v>58</v>
      </c>
      <c r="CU2" s="1" t="s">
        <v>59</v>
      </c>
      <c r="CV2" s="1" t="s">
        <v>57</v>
      </c>
      <c r="CW2" s="1" t="s">
        <v>58</v>
      </c>
      <c r="CX2" s="1" t="s">
        <v>59</v>
      </c>
      <c r="CY2" s="1" t="s">
        <v>57</v>
      </c>
      <c r="CZ2" s="1" t="s">
        <v>58</v>
      </c>
      <c r="DA2" s="1" t="s">
        <v>59</v>
      </c>
      <c r="DB2" s="1" t="s">
        <v>57</v>
      </c>
      <c r="DC2" s="1" t="s">
        <v>58</v>
      </c>
      <c r="DD2" s="1" t="s">
        <v>59</v>
      </c>
      <c r="DE2" s="1" t="s">
        <v>57</v>
      </c>
      <c r="DF2" s="1" t="s">
        <v>58</v>
      </c>
      <c r="DG2" s="1" t="s">
        <v>59</v>
      </c>
      <c r="DH2" s="1" t="s">
        <v>60</v>
      </c>
      <c r="DI2" s="1" t="s">
        <v>61</v>
      </c>
      <c r="DJ2" s="1" t="s">
        <v>62</v>
      </c>
      <c r="DK2" s="15" t="s">
        <v>406</v>
      </c>
      <c r="DL2" s="1" t="s">
        <v>63</v>
      </c>
      <c r="DM2" s="1" t="s">
        <v>64</v>
      </c>
      <c r="DN2" s="1" t="s">
        <v>65</v>
      </c>
      <c r="DO2" s="1" t="s">
        <v>66</v>
      </c>
      <c r="DP2" s="1" t="s">
        <v>257</v>
      </c>
      <c r="DQ2" s="1" t="s">
        <v>269</v>
      </c>
      <c r="DR2" s="1" t="s">
        <v>270</v>
      </c>
      <c r="DS2" s="1" t="s">
        <v>271</v>
      </c>
      <c r="DT2" s="1" t="s">
        <v>272</v>
      </c>
    </row>
    <row r="3" spans="1:124" x14ac:dyDescent="0.2">
      <c r="A3" t="s">
        <v>67</v>
      </c>
      <c r="E3" t="s">
        <v>84</v>
      </c>
      <c r="F3" t="s">
        <v>99</v>
      </c>
      <c r="G3" t="s">
        <v>100</v>
      </c>
      <c r="H3" t="s">
        <v>101</v>
      </c>
      <c r="I3" t="s">
        <v>262</v>
      </c>
      <c r="J3" t="s">
        <v>209</v>
      </c>
      <c r="K3" t="s">
        <v>176</v>
      </c>
      <c r="L3" t="s">
        <v>73</v>
      </c>
      <c r="M3" t="s">
        <v>73</v>
      </c>
      <c r="N3" t="s">
        <v>213</v>
      </c>
      <c r="O3" t="s">
        <v>96</v>
      </c>
      <c r="P3" t="str">
        <f t="shared" ref="P3:P65" si="0">E3&amp;"_"&amp;F3&amp;"_"&amp;G3&amp;"_"&amp;H3&amp;"_"&amp;I3&amp;"_"&amp;J3&amp;"_"&amp;K3&amp;"_"&amp;L3&amp;"_"&amp;M3&amp;"_"&amp;N3&amp;"_"&amp;O3&amp;"_"</f>
        <v>DFTL_CPU_PCPU_MPX001_CPUTDFM166_H0MX_PL10_X_X_DIV166_SelsrmSSSS_</v>
      </c>
      <c r="S3">
        <v>0.73499999999999999</v>
      </c>
      <c r="T3">
        <v>0.69089999999999996</v>
      </c>
      <c r="U3" t="s">
        <v>74</v>
      </c>
      <c r="V3" t="s">
        <v>210</v>
      </c>
      <c r="W3" t="s">
        <v>218</v>
      </c>
      <c r="X3" t="s">
        <v>219</v>
      </c>
      <c r="AF3" t="s">
        <v>220</v>
      </c>
      <c r="AM3" t="s">
        <v>166</v>
      </c>
      <c r="AN3">
        <v>0.8</v>
      </c>
      <c r="AO3">
        <v>0.4</v>
      </c>
      <c r="AP3">
        <v>5.0000000000000001E-3</v>
      </c>
      <c r="AQ3">
        <v>0.71499999999999997</v>
      </c>
      <c r="AR3">
        <v>0.71499999999999997</v>
      </c>
      <c r="AT3">
        <v>0.745</v>
      </c>
      <c r="AU3">
        <v>0.745</v>
      </c>
      <c r="AW3">
        <v>1</v>
      </c>
      <c r="AX3">
        <v>1</v>
      </c>
      <c r="AZ3">
        <v>0.70499999999999996</v>
      </c>
      <c r="BA3">
        <v>0.70499999999999996</v>
      </c>
      <c r="BC3">
        <v>0.76</v>
      </c>
      <c r="BD3">
        <v>0.76</v>
      </c>
      <c r="BF3">
        <v>0.73499999999999999</v>
      </c>
      <c r="BG3">
        <v>0.73499999999999999</v>
      </c>
      <c r="BI3">
        <v>0.77500000000000002</v>
      </c>
      <c r="BJ3">
        <v>0.77500000000000002</v>
      </c>
      <c r="BL3">
        <v>0.77500000000000002</v>
      </c>
      <c r="BM3">
        <v>0.77500000000000002</v>
      </c>
      <c r="BO3">
        <v>0.84</v>
      </c>
      <c r="BP3">
        <v>0.84</v>
      </c>
      <c r="BR3">
        <v>0.8</v>
      </c>
      <c r="BS3">
        <v>0.8</v>
      </c>
      <c r="BU3">
        <v>0.88500000000000001</v>
      </c>
      <c r="BV3">
        <v>0.88500000000000001</v>
      </c>
      <c r="BX3">
        <v>0.8</v>
      </c>
      <c r="BY3">
        <v>0.8</v>
      </c>
      <c r="CA3">
        <v>1.32</v>
      </c>
      <c r="CB3">
        <v>1.32</v>
      </c>
      <c r="CD3">
        <v>1.06</v>
      </c>
      <c r="CE3">
        <v>1.06</v>
      </c>
      <c r="CG3">
        <v>0.76500000000000001</v>
      </c>
      <c r="CH3">
        <v>0.76500000000000001</v>
      </c>
      <c r="CJ3">
        <v>0.76500000000000001</v>
      </c>
      <c r="CK3">
        <v>0.76500000000000001</v>
      </c>
      <c r="CM3">
        <v>1.06</v>
      </c>
      <c r="CN3">
        <v>1.06</v>
      </c>
      <c r="CP3">
        <v>1.06</v>
      </c>
      <c r="CQ3">
        <v>1.06</v>
      </c>
      <c r="CS3">
        <v>0.76500000000000001</v>
      </c>
      <c r="CT3">
        <v>0.76500000000000001</v>
      </c>
      <c r="CV3">
        <v>1.06</v>
      </c>
      <c r="CW3">
        <v>1.06</v>
      </c>
      <c r="CY3">
        <v>0.76500000000000001</v>
      </c>
      <c r="CZ3">
        <v>0.76500000000000001</v>
      </c>
      <c r="DB3">
        <v>1.06</v>
      </c>
      <c r="DC3">
        <v>1.06</v>
      </c>
      <c r="DE3">
        <v>0.70499999999999996</v>
      </c>
      <c r="DF3">
        <v>0.70499999999999996</v>
      </c>
      <c r="DH3" t="s">
        <v>80</v>
      </c>
      <c r="DI3">
        <v>0.69099999999999995</v>
      </c>
      <c r="DJ3">
        <v>0.73499999999999999</v>
      </c>
      <c r="DM3">
        <v>0</v>
      </c>
      <c r="DN3">
        <v>0</v>
      </c>
      <c r="DO3">
        <v>0</v>
      </c>
      <c r="DQ3" t="s">
        <v>273</v>
      </c>
      <c r="DR3" t="s">
        <v>273</v>
      </c>
      <c r="DS3" t="s">
        <v>273</v>
      </c>
      <c r="DT3" t="s">
        <v>273</v>
      </c>
    </row>
    <row r="4" spans="1:124" x14ac:dyDescent="0.2">
      <c r="A4" t="s">
        <v>67</v>
      </c>
      <c r="D4" t="s">
        <v>497</v>
      </c>
      <c r="E4" t="s">
        <v>84</v>
      </c>
      <c r="F4" t="s">
        <v>99</v>
      </c>
      <c r="G4" t="s">
        <v>100</v>
      </c>
      <c r="H4" t="s">
        <v>485</v>
      </c>
      <c r="I4" t="s">
        <v>262</v>
      </c>
      <c r="J4" t="s">
        <v>209</v>
      </c>
      <c r="K4" t="s">
        <v>176</v>
      </c>
      <c r="L4" t="s">
        <v>73</v>
      </c>
      <c r="M4" t="s">
        <v>73</v>
      </c>
      <c r="N4" t="s">
        <v>213</v>
      </c>
      <c r="O4" t="s">
        <v>96</v>
      </c>
      <c r="P4" t="str">
        <f t="shared" si="0"/>
        <v>DFTL_CPU_PCPU_MPX00G_CPUTDFM166_H0MX_PL10_X_X_DIV166_SelsrmSSSS_</v>
      </c>
      <c r="S4">
        <v>1.1850000000000001</v>
      </c>
      <c r="T4">
        <v>1.1138999999999999</v>
      </c>
      <c r="U4" t="s">
        <v>74</v>
      </c>
      <c r="V4" t="s">
        <v>210</v>
      </c>
      <c r="W4" t="s">
        <v>218</v>
      </c>
      <c r="X4" t="s">
        <v>486</v>
      </c>
      <c r="AF4" t="s">
        <v>220</v>
      </c>
      <c r="AM4" t="s">
        <v>166</v>
      </c>
      <c r="AN4">
        <v>1.1000000000000001</v>
      </c>
      <c r="AO4">
        <v>0.7</v>
      </c>
      <c r="AP4">
        <v>5.0000000000000001E-3</v>
      </c>
      <c r="AQ4">
        <v>0.71499999999999997</v>
      </c>
      <c r="AR4">
        <v>0.71499999999999997</v>
      </c>
      <c r="AT4">
        <v>0.745</v>
      </c>
      <c r="AU4">
        <v>0.745</v>
      </c>
      <c r="AW4">
        <v>1</v>
      </c>
      <c r="AX4">
        <v>1</v>
      </c>
      <c r="AZ4">
        <v>0.70499999999999996</v>
      </c>
      <c r="BA4">
        <v>0.70499999999999996</v>
      </c>
      <c r="BC4">
        <v>0.76</v>
      </c>
      <c r="BD4">
        <v>0.76</v>
      </c>
      <c r="BF4">
        <v>1.1850000000000001</v>
      </c>
      <c r="BG4">
        <v>1.1850000000000001</v>
      </c>
      <c r="BI4">
        <v>0.77500000000000002</v>
      </c>
      <c r="BJ4">
        <v>0.77500000000000002</v>
      </c>
      <c r="BL4">
        <v>0.77500000000000002</v>
      </c>
      <c r="BM4">
        <v>0.77500000000000002</v>
      </c>
      <c r="BO4">
        <v>0.84</v>
      </c>
      <c r="BP4">
        <v>0.84</v>
      </c>
      <c r="BR4">
        <v>0.8</v>
      </c>
      <c r="BS4">
        <v>0.8</v>
      </c>
      <c r="BU4">
        <v>0.88500000000000001</v>
      </c>
      <c r="BV4">
        <v>0.88500000000000001</v>
      </c>
      <c r="BX4">
        <v>0.8</v>
      </c>
      <c r="BY4">
        <v>0.8</v>
      </c>
      <c r="CA4">
        <v>1.32</v>
      </c>
      <c r="CB4">
        <v>1.32</v>
      </c>
      <c r="CD4">
        <v>1.06</v>
      </c>
      <c r="CE4">
        <v>1.06</v>
      </c>
      <c r="CG4">
        <v>0.76500000000000001</v>
      </c>
      <c r="CH4">
        <v>0.76500000000000001</v>
      </c>
      <c r="CJ4">
        <v>0.76500000000000001</v>
      </c>
      <c r="CK4">
        <v>0.76500000000000001</v>
      </c>
      <c r="CM4">
        <v>1.06</v>
      </c>
      <c r="CN4">
        <v>1.06</v>
      </c>
      <c r="CP4">
        <v>1.06</v>
      </c>
      <c r="CQ4">
        <v>1.06</v>
      </c>
      <c r="CS4">
        <v>0.76500000000000001</v>
      </c>
      <c r="CT4">
        <v>0.76500000000000001</v>
      </c>
      <c r="CV4">
        <v>1.06</v>
      </c>
      <c r="CW4">
        <v>1.06</v>
      </c>
      <c r="CY4">
        <v>0.76500000000000001</v>
      </c>
      <c r="CZ4">
        <v>0.76500000000000001</v>
      </c>
      <c r="DB4">
        <v>1.06</v>
      </c>
      <c r="DC4">
        <v>1.06</v>
      </c>
      <c r="DE4">
        <v>0.70499999999999996</v>
      </c>
      <c r="DF4">
        <v>0.70499999999999996</v>
      </c>
      <c r="DH4" t="s">
        <v>80</v>
      </c>
      <c r="DI4">
        <v>1.1140000000000001</v>
      </c>
      <c r="DJ4">
        <v>1.1850000000000001</v>
      </c>
      <c r="DM4">
        <v>0</v>
      </c>
      <c r="DN4">
        <v>0</v>
      </c>
      <c r="DO4">
        <v>0</v>
      </c>
      <c r="DP4" t="s">
        <v>258</v>
      </c>
      <c r="DQ4" t="s">
        <v>273</v>
      </c>
      <c r="DR4" t="s">
        <v>273</v>
      </c>
      <c r="DS4" t="s">
        <v>273</v>
      </c>
      <c r="DT4" t="s">
        <v>273</v>
      </c>
    </row>
    <row r="5" spans="1:124" x14ac:dyDescent="0.2">
      <c r="A5" t="s">
        <v>67</v>
      </c>
      <c r="E5" t="s">
        <v>84</v>
      </c>
      <c r="F5" t="s">
        <v>99</v>
      </c>
      <c r="G5" t="s">
        <v>100</v>
      </c>
      <c r="H5" t="s">
        <v>101</v>
      </c>
      <c r="I5" t="s">
        <v>261</v>
      </c>
      <c r="J5" t="s">
        <v>211</v>
      </c>
      <c r="K5" t="s">
        <v>176</v>
      </c>
      <c r="L5" t="s">
        <v>73</v>
      </c>
      <c r="M5" t="s">
        <v>73</v>
      </c>
      <c r="N5" t="s">
        <v>213</v>
      </c>
      <c r="O5" t="s">
        <v>96</v>
      </c>
      <c r="P5" t="str">
        <f t="shared" si="0"/>
        <v>DFTL_CPU_PCPU_MPX001_CPUTDFP166_H0PD_PL10_X_X_DIV166_SelsrmSSSS_</v>
      </c>
      <c r="S5">
        <v>0.73499999999999999</v>
      </c>
      <c r="T5">
        <v>0.69089999999999996</v>
      </c>
      <c r="U5" t="s">
        <v>74</v>
      </c>
      <c r="V5" t="s">
        <v>210</v>
      </c>
      <c r="W5" t="s">
        <v>221</v>
      </c>
      <c r="X5" t="s">
        <v>219</v>
      </c>
      <c r="AF5" t="s">
        <v>222</v>
      </c>
      <c r="AM5" t="s">
        <v>166</v>
      </c>
      <c r="AN5">
        <v>0.8</v>
      </c>
      <c r="AO5">
        <v>0.4</v>
      </c>
      <c r="AP5">
        <v>5.0000000000000001E-3</v>
      </c>
      <c r="AQ5">
        <v>0.71499999999999997</v>
      </c>
      <c r="AR5">
        <v>0.71499999999999997</v>
      </c>
      <c r="AT5">
        <v>0.745</v>
      </c>
      <c r="AU5">
        <v>0.745</v>
      </c>
      <c r="AW5">
        <v>1</v>
      </c>
      <c r="AX5">
        <v>1</v>
      </c>
      <c r="AZ5">
        <v>0.70499999999999996</v>
      </c>
      <c r="BA5">
        <v>0.70499999999999996</v>
      </c>
      <c r="BC5">
        <v>0.76</v>
      </c>
      <c r="BD5">
        <v>0.76</v>
      </c>
      <c r="BF5">
        <v>0.73499999999999999</v>
      </c>
      <c r="BG5">
        <v>0.73499999999999999</v>
      </c>
      <c r="BI5">
        <v>0.77500000000000002</v>
      </c>
      <c r="BJ5">
        <v>0.77500000000000002</v>
      </c>
      <c r="BL5">
        <v>0.77500000000000002</v>
      </c>
      <c r="BM5">
        <v>0.77500000000000002</v>
      </c>
      <c r="BO5">
        <v>0.84</v>
      </c>
      <c r="BP5">
        <v>0.84</v>
      </c>
      <c r="BR5">
        <v>0.8</v>
      </c>
      <c r="BS5">
        <v>0.8</v>
      </c>
      <c r="BU5">
        <v>0.88500000000000001</v>
      </c>
      <c r="BV5">
        <v>0.88500000000000001</v>
      </c>
      <c r="BX5">
        <v>0.8</v>
      </c>
      <c r="BY5">
        <v>0.8</v>
      </c>
      <c r="CA5">
        <v>1.32</v>
      </c>
      <c r="CB5">
        <v>1.32</v>
      </c>
      <c r="CD5">
        <v>1.06</v>
      </c>
      <c r="CE5">
        <v>1.06</v>
      </c>
      <c r="CG5">
        <v>0.76500000000000001</v>
      </c>
      <c r="CH5">
        <v>0.76500000000000001</v>
      </c>
      <c r="CJ5">
        <v>0.76500000000000001</v>
      </c>
      <c r="CK5">
        <v>0.76500000000000001</v>
      </c>
      <c r="CM5">
        <v>1.06</v>
      </c>
      <c r="CN5">
        <v>1.06</v>
      </c>
      <c r="CP5">
        <v>1.06</v>
      </c>
      <c r="CQ5">
        <v>1.06</v>
      </c>
      <c r="CS5">
        <v>0.76500000000000001</v>
      </c>
      <c r="CT5">
        <v>0.76500000000000001</v>
      </c>
      <c r="CV5">
        <v>1.06</v>
      </c>
      <c r="CW5">
        <v>1.06</v>
      </c>
      <c r="CY5">
        <v>0.76500000000000001</v>
      </c>
      <c r="CZ5">
        <v>0.76500000000000001</v>
      </c>
      <c r="DB5">
        <v>1.06</v>
      </c>
      <c r="DC5">
        <v>1.06</v>
      </c>
      <c r="DE5">
        <v>0.70499999999999996</v>
      </c>
      <c r="DF5">
        <v>0.70499999999999996</v>
      </c>
      <c r="DH5" t="s">
        <v>80</v>
      </c>
      <c r="DI5">
        <v>0.69099999999999995</v>
      </c>
      <c r="DJ5">
        <v>0.73499999999999999</v>
      </c>
      <c r="DM5">
        <v>0</v>
      </c>
      <c r="DN5">
        <v>0</v>
      </c>
      <c r="DO5">
        <v>0</v>
      </c>
      <c r="DQ5" t="s">
        <v>273</v>
      </c>
      <c r="DR5" t="s">
        <v>273</v>
      </c>
      <c r="DS5" t="s">
        <v>273</v>
      </c>
      <c r="DT5" t="s">
        <v>273</v>
      </c>
    </row>
    <row r="6" spans="1:124" x14ac:dyDescent="0.2">
      <c r="A6" t="s">
        <v>67</v>
      </c>
      <c r="D6" t="s">
        <v>497</v>
      </c>
      <c r="E6" t="s">
        <v>84</v>
      </c>
      <c r="F6" t="s">
        <v>99</v>
      </c>
      <c r="G6" t="s">
        <v>100</v>
      </c>
      <c r="H6" t="s">
        <v>485</v>
      </c>
      <c r="I6" t="s">
        <v>261</v>
      </c>
      <c r="J6" t="s">
        <v>211</v>
      </c>
      <c r="K6" t="s">
        <v>176</v>
      </c>
      <c r="L6" t="s">
        <v>73</v>
      </c>
      <c r="M6" t="s">
        <v>73</v>
      </c>
      <c r="N6" t="s">
        <v>213</v>
      </c>
      <c r="O6" t="s">
        <v>96</v>
      </c>
      <c r="P6" t="str">
        <f t="shared" si="0"/>
        <v>DFTL_CPU_PCPU_MPX00G_CPUTDFP166_H0PD_PL10_X_X_DIV166_SelsrmSSSS_</v>
      </c>
      <c r="S6">
        <v>1.1850000000000001</v>
      </c>
      <c r="T6">
        <v>1.1138999999999999</v>
      </c>
      <c r="U6" t="s">
        <v>74</v>
      </c>
      <c r="V6" t="s">
        <v>210</v>
      </c>
      <c r="W6" t="s">
        <v>221</v>
      </c>
      <c r="X6" t="s">
        <v>486</v>
      </c>
      <c r="AF6" t="s">
        <v>222</v>
      </c>
      <c r="AM6" t="s">
        <v>166</v>
      </c>
      <c r="AN6">
        <v>1.1000000000000001</v>
      </c>
      <c r="AO6">
        <v>0.7</v>
      </c>
      <c r="AP6">
        <v>5.0000000000000001E-3</v>
      </c>
      <c r="AQ6">
        <v>0.71499999999999997</v>
      </c>
      <c r="AR6">
        <v>0.71499999999999997</v>
      </c>
      <c r="AT6">
        <v>0.745</v>
      </c>
      <c r="AU6">
        <v>0.745</v>
      </c>
      <c r="AW6">
        <v>1</v>
      </c>
      <c r="AX6">
        <v>1</v>
      </c>
      <c r="AZ6">
        <v>0.70499999999999996</v>
      </c>
      <c r="BA6">
        <v>0.70499999999999996</v>
      </c>
      <c r="BC6">
        <v>0.76</v>
      </c>
      <c r="BD6">
        <v>0.76</v>
      </c>
      <c r="BF6">
        <v>1.1850000000000001</v>
      </c>
      <c r="BG6">
        <v>1.1850000000000001</v>
      </c>
      <c r="BI6">
        <v>0.77500000000000002</v>
      </c>
      <c r="BJ6">
        <v>0.77500000000000002</v>
      </c>
      <c r="BL6">
        <v>0.77500000000000002</v>
      </c>
      <c r="BM6">
        <v>0.77500000000000002</v>
      </c>
      <c r="BO6">
        <v>0.84</v>
      </c>
      <c r="BP6">
        <v>0.84</v>
      </c>
      <c r="BR6">
        <v>0.8</v>
      </c>
      <c r="BS6">
        <v>0.8</v>
      </c>
      <c r="BU6">
        <v>0.88500000000000001</v>
      </c>
      <c r="BV6">
        <v>0.88500000000000001</v>
      </c>
      <c r="BX6">
        <v>0.8</v>
      </c>
      <c r="BY6">
        <v>0.8</v>
      </c>
      <c r="CA6">
        <v>1.32</v>
      </c>
      <c r="CB6">
        <v>1.32</v>
      </c>
      <c r="CD6">
        <v>1.06</v>
      </c>
      <c r="CE6">
        <v>1.06</v>
      </c>
      <c r="CG6">
        <v>0.76500000000000001</v>
      </c>
      <c r="CH6">
        <v>0.76500000000000001</v>
      </c>
      <c r="CJ6">
        <v>0.76500000000000001</v>
      </c>
      <c r="CK6">
        <v>0.76500000000000001</v>
      </c>
      <c r="CM6">
        <v>1.06</v>
      </c>
      <c r="CN6">
        <v>1.06</v>
      </c>
      <c r="CP6">
        <v>1.06</v>
      </c>
      <c r="CQ6">
        <v>1.06</v>
      </c>
      <c r="CS6">
        <v>0.76500000000000001</v>
      </c>
      <c r="CT6">
        <v>0.76500000000000001</v>
      </c>
      <c r="CV6">
        <v>1.06</v>
      </c>
      <c r="CW6">
        <v>1.06</v>
      </c>
      <c r="CY6">
        <v>0.76500000000000001</v>
      </c>
      <c r="CZ6">
        <v>0.76500000000000001</v>
      </c>
      <c r="DB6">
        <v>1.06</v>
      </c>
      <c r="DC6">
        <v>1.06</v>
      </c>
      <c r="DE6">
        <v>0.70499999999999996</v>
      </c>
      <c r="DF6">
        <v>0.70499999999999996</v>
      </c>
      <c r="DH6" t="s">
        <v>80</v>
      </c>
      <c r="DI6">
        <v>1.1140000000000001</v>
      </c>
      <c r="DJ6">
        <v>1.1850000000000001</v>
      </c>
      <c r="DM6">
        <v>0</v>
      </c>
      <c r="DN6">
        <v>0</v>
      </c>
      <c r="DO6">
        <v>0</v>
      </c>
      <c r="DP6" t="s">
        <v>258</v>
      </c>
      <c r="DQ6" t="s">
        <v>273</v>
      </c>
      <c r="DR6" t="s">
        <v>273</v>
      </c>
      <c r="DS6" t="s">
        <v>273</v>
      </c>
      <c r="DT6" t="s">
        <v>273</v>
      </c>
    </row>
    <row r="7" spans="1:124" x14ac:dyDescent="0.2">
      <c r="A7" t="s">
        <v>67</v>
      </c>
      <c r="E7" t="s">
        <v>84</v>
      </c>
      <c r="F7" t="s">
        <v>99</v>
      </c>
      <c r="G7" t="s">
        <v>112</v>
      </c>
      <c r="H7" t="s">
        <v>113</v>
      </c>
      <c r="I7" t="s">
        <v>212</v>
      </c>
      <c r="J7" t="s">
        <v>207</v>
      </c>
      <c r="K7" t="s">
        <v>176</v>
      </c>
      <c r="L7" t="s">
        <v>73</v>
      </c>
      <c r="M7" t="s">
        <v>73</v>
      </c>
      <c r="N7" t="s">
        <v>213</v>
      </c>
      <c r="O7" t="s">
        <v>96</v>
      </c>
      <c r="P7" t="str">
        <f t="shared" si="0"/>
        <v>DFTL_CPU_ECPU_MEX001_CPUTDF_E0ED_PL10_X_X_DIV166_SelsrmSSSS_</v>
      </c>
      <c r="S7">
        <v>0.7</v>
      </c>
      <c r="T7">
        <v>0.65800000000000003</v>
      </c>
      <c r="U7" t="s">
        <v>74</v>
      </c>
      <c r="V7" t="s">
        <v>208</v>
      </c>
      <c r="W7" t="s">
        <v>214</v>
      </c>
      <c r="X7" t="s">
        <v>215</v>
      </c>
      <c r="AF7" t="s">
        <v>216</v>
      </c>
      <c r="AM7" t="s">
        <v>166</v>
      </c>
      <c r="AN7">
        <v>0.73499999999999999</v>
      </c>
      <c r="AO7">
        <v>0.73499999999999999</v>
      </c>
      <c r="AQ7">
        <v>0.75</v>
      </c>
      <c r="AR7">
        <v>0.4</v>
      </c>
      <c r="AS7">
        <v>5.0000000000000001E-3</v>
      </c>
      <c r="AT7">
        <v>0.745</v>
      </c>
      <c r="AU7">
        <v>0.745</v>
      </c>
      <c r="AW7">
        <v>1</v>
      </c>
      <c r="AX7">
        <v>1</v>
      </c>
      <c r="AZ7">
        <v>0.70499999999999996</v>
      </c>
      <c r="BA7">
        <v>0.70499999999999996</v>
      </c>
      <c r="BC7">
        <v>0.76</v>
      </c>
      <c r="BD7">
        <v>0.76</v>
      </c>
      <c r="BF7">
        <v>0.7</v>
      </c>
      <c r="BG7">
        <v>0.7</v>
      </c>
      <c r="BI7">
        <v>0.77500000000000002</v>
      </c>
      <c r="BJ7">
        <v>0.77500000000000002</v>
      </c>
      <c r="BL7">
        <v>0.77500000000000002</v>
      </c>
      <c r="BM7">
        <v>0.77500000000000002</v>
      </c>
      <c r="BO7">
        <v>0.84</v>
      </c>
      <c r="BP7">
        <v>0.84</v>
      </c>
      <c r="BR7">
        <v>0.8</v>
      </c>
      <c r="BS7">
        <v>0.8</v>
      </c>
      <c r="BU7">
        <v>0.88500000000000001</v>
      </c>
      <c r="BV7">
        <v>0.88500000000000001</v>
      </c>
      <c r="BX7">
        <v>0.8</v>
      </c>
      <c r="BY7">
        <v>0.8</v>
      </c>
      <c r="CA7">
        <v>1.32</v>
      </c>
      <c r="CB7">
        <v>1.32</v>
      </c>
      <c r="CD7">
        <v>1.06</v>
      </c>
      <c r="CE7">
        <v>1.06</v>
      </c>
      <c r="CG7">
        <v>0.76500000000000001</v>
      </c>
      <c r="CH7">
        <v>0.76500000000000001</v>
      </c>
      <c r="CJ7">
        <v>0.76500000000000001</v>
      </c>
      <c r="CK7">
        <v>0.76500000000000001</v>
      </c>
      <c r="CM7">
        <v>1.06</v>
      </c>
      <c r="CN7">
        <v>1.06</v>
      </c>
      <c r="CP7">
        <v>1.06</v>
      </c>
      <c r="CQ7">
        <v>1.06</v>
      </c>
      <c r="CS7">
        <v>0.76500000000000001</v>
      </c>
      <c r="CT7">
        <v>0.76500000000000001</v>
      </c>
      <c r="CV7">
        <v>1.06</v>
      </c>
      <c r="CW7">
        <v>1.06</v>
      </c>
      <c r="CY7">
        <v>0.76500000000000001</v>
      </c>
      <c r="CZ7">
        <v>0.76500000000000001</v>
      </c>
      <c r="DB7">
        <v>1.06</v>
      </c>
      <c r="DC7">
        <v>1.06</v>
      </c>
      <c r="DE7">
        <v>0.70499999999999996</v>
      </c>
      <c r="DF7">
        <v>0.70499999999999996</v>
      </c>
      <c r="DH7" t="s">
        <v>80</v>
      </c>
      <c r="DI7">
        <v>0.65800000000000003</v>
      </c>
      <c r="DJ7">
        <v>0.7</v>
      </c>
      <c r="DM7">
        <v>0</v>
      </c>
      <c r="DN7">
        <v>0</v>
      </c>
      <c r="DO7">
        <v>0</v>
      </c>
      <c r="DQ7" t="s">
        <v>273</v>
      </c>
      <c r="DR7" t="s">
        <v>273</v>
      </c>
      <c r="DS7" t="s">
        <v>273</v>
      </c>
      <c r="DT7" t="s">
        <v>273</v>
      </c>
    </row>
    <row r="8" spans="1:124" x14ac:dyDescent="0.2">
      <c r="A8" t="s">
        <v>67</v>
      </c>
      <c r="E8" t="s">
        <v>84</v>
      </c>
      <c r="F8" t="s">
        <v>99</v>
      </c>
      <c r="G8" t="s">
        <v>112</v>
      </c>
      <c r="H8" t="s">
        <v>115</v>
      </c>
      <c r="I8" t="s">
        <v>212</v>
      </c>
      <c r="J8" t="s">
        <v>207</v>
      </c>
      <c r="K8" t="s">
        <v>176</v>
      </c>
      <c r="L8" t="s">
        <v>73</v>
      </c>
      <c r="M8" t="s">
        <v>73</v>
      </c>
      <c r="N8" t="s">
        <v>213</v>
      </c>
      <c r="O8" t="s">
        <v>96</v>
      </c>
      <c r="P8" t="str">
        <f t="shared" si="0"/>
        <v>DFTL_CPU_ECPU_MEX008_CPUTDF_E0ED_PL10_X_X_DIV166_SelsrmSSSS_</v>
      </c>
      <c r="S8">
        <v>1.0249999999999999</v>
      </c>
      <c r="T8">
        <v>0.96350000000000002</v>
      </c>
      <c r="U8" t="s">
        <v>74</v>
      </c>
      <c r="V8" t="s">
        <v>208</v>
      </c>
      <c r="W8" t="s">
        <v>214</v>
      </c>
      <c r="X8" t="s">
        <v>217</v>
      </c>
      <c r="AF8" t="s">
        <v>216</v>
      </c>
      <c r="AM8" t="s">
        <v>166</v>
      </c>
      <c r="AN8">
        <v>0.73499999999999999</v>
      </c>
      <c r="AO8">
        <v>0.73499999999999999</v>
      </c>
      <c r="AQ8">
        <v>1</v>
      </c>
      <c r="AR8">
        <v>0.7</v>
      </c>
      <c r="AS8">
        <v>5.0000000000000001E-3</v>
      </c>
      <c r="AT8">
        <v>0.745</v>
      </c>
      <c r="AU8">
        <v>0.745</v>
      </c>
      <c r="AW8">
        <v>1</v>
      </c>
      <c r="AX8">
        <v>1</v>
      </c>
      <c r="AZ8">
        <v>0.70499999999999996</v>
      </c>
      <c r="BA8">
        <v>0.70499999999999996</v>
      </c>
      <c r="BC8">
        <v>0.76</v>
      </c>
      <c r="BD8">
        <v>0.76</v>
      </c>
      <c r="BF8">
        <v>1.0249999999999999</v>
      </c>
      <c r="BG8">
        <v>1.0249999999999999</v>
      </c>
      <c r="BI8">
        <v>0.77500000000000002</v>
      </c>
      <c r="BJ8">
        <v>0.77500000000000002</v>
      </c>
      <c r="BL8">
        <v>0.77500000000000002</v>
      </c>
      <c r="BM8">
        <v>0.77500000000000002</v>
      </c>
      <c r="BO8">
        <v>0.84</v>
      </c>
      <c r="BP8">
        <v>0.84</v>
      </c>
      <c r="BR8">
        <v>0.8</v>
      </c>
      <c r="BS8">
        <v>0.8</v>
      </c>
      <c r="BU8">
        <v>0.88500000000000001</v>
      </c>
      <c r="BV8">
        <v>0.88500000000000001</v>
      </c>
      <c r="BX8">
        <v>0.8</v>
      </c>
      <c r="BY8">
        <v>0.8</v>
      </c>
      <c r="CA8">
        <v>1.32</v>
      </c>
      <c r="CB8">
        <v>1.32</v>
      </c>
      <c r="CD8">
        <v>1.06</v>
      </c>
      <c r="CE8">
        <v>1.06</v>
      </c>
      <c r="CG8">
        <v>0.76500000000000001</v>
      </c>
      <c r="CH8">
        <v>0.76500000000000001</v>
      </c>
      <c r="CJ8">
        <v>0.76500000000000001</v>
      </c>
      <c r="CK8">
        <v>0.76500000000000001</v>
      </c>
      <c r="CM8">
        <v>1.06</v>
      </c>
      <c r="CN8">
        <v>1.06</v>
      </c>
      <c r="CP8">
        <v>1.06</v>
      </c>
      <c r="CQ8">
        <v>1.06</v>
      </c>
      <c r="CS8">
        <v>0.76500000000000001</v>
      </c>
      <c r="CT8">
        <v>0.76500000000000001</v>
      </c>
      <c r="CV8">
        <v>1.06</v>
      </c>
      <c r="CW8">
        <v>1.06</v>
      </c>
      <c r="CY8">
        <v>0.76500000000000001</v>
      </c>
      <c r="CZ8">
        <v>0.76500000000000001</v>
      </c>
      <c r="DB8">
        <v>1.06</v>
      </c>
      <c r="DC8">
        <v>1.06</v>
      </c>
      <c r="DE8">
        <v>0.70499999999999996</v>
      </c>
      <c r="DF8">
        <v>0.70499999999999996</v>
      </c>
      <c r="DH8" t="s">
        <v>80</v>
      </c>
      <c r="DI8">
        <v>0.96299999999999997</v>
      </c>
      <c r="DJ8">
        <v>1.0249999999999999</v>
      </c>
      <c r="DM8">
        <v>0</v>
      </c>
      <c r="DN8">
        <v>0</v>
      </c>
      <c r="DO8">
        <v>0</v>
      </c>
      <c r="DQ8" t="s">
        <v>273</v>
      </c>
      <c r="DR8" t="s">
        <v>273</v>
      </c>
      <c r="DS8" t="s">
        <v>273</v>
      </c>
      <c r="DT8" t="s">
        <v>273</v>
      </c>
    </row>
    <row r="9" spans="1:124" s="18" customFormat="1" x14ac:dyDescent="0.2">
      <c r="A9" s="18" t="s">
        <v>67</v>
      </c>
      <c r="E9" s="18" t="s">
        <v>84</v>
      </c>
      <c r="F9" s="18" t="s">
        <v>99</v>
      </c>
      <c r="G9" s="18" t="s">
        <v>106</v>
      </c>
      <c r="H9" s="18" t="s">
        <v>107</v>
      </c>
      <c r="I9" s="18" t="s">
        <v>116</v>
      </c>
      <c r="J9" s="18" t="s">
        <v>111</v>
      </c>
      <c r="K9" s="18" t="s">
        <v>71</v>
      </c>
      <c r="L9" s="18" t="s">
        <v>102</v>
      </c>
      <c r="M9" s="18" t="s">
        <v>103</v>
      </c>
      <c r="N9" s="18" t="s">
        <v>73</v>
      </c>
      <c r="O9" s="18" t="s">
        <v>96</v>
      </c>
      <c r="P9" s="18" t="str">
        <f t="shared" si="0"/>
        <v>DFTL_CPU_CPUSRAM_MPX00H_CPUBST_H0HX_PLLP_59N_REPREST_X_SelsrmSSSS_</v>
      </c>
      <c r="S9" s="18">
        <v>1.1850000000000001</v>
      </c>
      <c r="T9" s="18">
        <v>1.1138999999999999</v>
      </c>
      <c r="U9" s="18" t="s">
        <v>74</v>
      </c>
      <c r="V9" s="18" t="s">
        <v>104</v>
      </c>
      <c r="W9" s="18" t="s">
        <v>105</v>
      </c>
      <c r="X9" s="18" t="s">
        <v>108</v>
      </c>
      <c r="AF9" s="18" t="s">
        <v>119</v>
      </c>
      <c r="AM9" s="18" t="s">
        <v>166</v>
      </c>
      <c r="AN9" s="18">
        <v>1.2</v>
      </c>
      <c r="AO9" s="18">
        <v>1.2</v>
      </c>
      <c r="AQ9" s="18">
        <v>0.71499999999999997</v>
      </c>
      <c r="AR9" s="18">
        <v>0.71499999999999997</v>
      </c>
      <c r="AT9" s="18">
        <v>0.745</v>
      </c>
      <c r="AU9" s="18">
        <v>0.745</v>
      </c>
      <c r="AW9" s="18">
        <v>1</v>
      </c>
      <c r="AX9" s="18">
        <v>1</v>
      </c>
      <c r="AZ9" s="18">
        <v>0.70499999999999996</v>
      </c>
      <c r="BA9" s="18">
        <v>0.70499999999999996</v>
      </c>
      <c r="BC9" s="18">
        <v>0.76</v>
      </c>
      <c r="BD9" s="18">
        <v>0.76</v>
      </c>
      <c r="BF9" s="18">
        <v>1.2</v>
      </c>
      <c r="BG9" s="18">
        <v>0.68500000000000005</v>
      </c>
      <c r="BH9" s="18">
        <v>5.0000000000000001E-3</v>
      </c>
      <c r="BI9" s="18">
        <v>0.82</v>
      </c>
      <c r="BJ9" s="18">
        <v>0.82</v>
      </c>
      <c r="BL9" s="18">
        <v>0.82</v>
      </c>
      <c r="BM9" s="18">
        <v>0.82</v>
      </c>
      <c r="BO9" s="18">
        <v>0.84</v>
      </c>
      <c r="BP9" s="18">
        <v>0.84</v>
      </c>
      <c r="BR9" s="18">
        <v>0.8</v>
      </c>
      <c r="BS9" s="18">
        <v>0.8</v>
      </c>
      <c r="BU9" s="18">
        <v>0.88500000000000001</v>
      </c>
      <c r="BV9" s="18">
        <v>0.88500000000000001</v>
      </c>
      <c r="BX9" s="18">
        <v>0.8</v>
      </c>
      <c r="BY9" s="18">
        <v>0.8</v>
      </c>
      <c r="CA9" s="18">
        <v>1.32</v>
      </c>
      <c r="CB9" s="18">
        <v>1.32</v>
      </c>
      <c r="CD9" s="18">
        <v>1.06</v>
      </c>
      <c r="CE9" s="18">
        <v>1.06</v>
      </c>
      <c r="CG9" s="18">
        <v>0.76500000000000001</v>
      </c>
      <c r="CH9" s="18">
        <v>0.76500000000000001</v>
      </c>
      <c r="CJ9" s="18">
        <v>0.76500000000000001</v>
      </c>
      <c r="CK9" s="18">
        <v>0.76500000000000001</v>
      </c>
      <c r="CM9" s="18">
        <v>1.06</v>
      </c>
      <c r="CN9" s="18">
        <v>1.06</v>
      </c>
      <c r="CP9" s="18">
        <v>1.06</v>
      </c>
      <c r="CQ9" s="18">
        <v>1.06</v>
      </c>
      <c r="CS9" s="18">
        <v>0.76500000000000001</v>
      </c>
      <c r="CT9" s="18">
        <v>0.76500000000000001</v>
      </c>
      <c r="CV9" s="18">
        <v>1.06</v>
      </c>
      <c r="CW9" s="18">
        <v>1.06</v>
      </c>
      <c r="CY9" s="18">
        <v>0.76500000000000001</v>
      </c>
      <c r="CZ9" s="18">
        <v>0.76500000000000001</v>
      </c>
      <c r="DB9" s="18">
        <v>1.06</v>
      </c>
      <c r="DC9" s="18">
        <v>1.06</v>
      </c>
      <c r="DE9" s="18">
        <v>0.70499999999999996</v>
      </c>
      <c r="DF9" s="18">
        <v>0.70499999999999996</v>
      </c>
      <c r="DH9" s="18" t="s">
        <v>80</v>
      </c>
      <c r="DI9" s="18">
        <v>1.1140000000000001</v>
      </c>
      <c r="DJ9" s="18">
        <v>1.1850000000000001</v>
      </c>
      <c r="DM9" s="18">
        <v>0</v>
      </c>
      <c r="DN9" s="18">
        <v>0</v>
      </c>
      <c r="DO9" s="18">
        <v>0</v>
      </c>
      <c r="DP9" s="18" t="s">
        <v>258</v>
      </c>
      <c r="DQ9" s="18" t="s">
        <v>274</v>
      </c>
      <c r="DR9" s="18" t="s">
        <v>274</v>
      </c>
    </row>
    <row r="10" spans="1:124" x14ac:dyDescent="0.2">
      <c r="A10" t="s">
        <v>67</v>
      </c>
      <c r="E10" t="s">
        <v>84</v>
      </c>
      <c r="F10" t="s">
        <v>99</v>
      </c>
      <c r="G10" t="s">
        <v>106</v>
      </c>
      <c r="H10" t="s">
        <v>120</v>
      </c>
      <c r="I10" t="s">
        <v>116</v>
      </c>
      <c r="J10" t="s">
        <v>111</v>
      </c>
      <c r="K10" t="s">
        <v>71</v>
      </c>
      <c r="L10" t="s">
        <v>102</v>
      </c>
      <c r="M10" t="s">
        <v>117</v>
      </c>
      <c r="N10" t="s">
        <v>275</v>
      </c>
      <c r="O10" t="s">
        <v>96</v>
      </c>
      <c r="P10" t="str">
        <f t="shared" si="0"/>
        <v>DFTL_CPU_CPUSRAM_MPXXXX_CPUBST_H0HX_PLLP_59N_NREP_DEF_SelsrmSSSS_</v>
      </c>
      <c r="S10">
        <v>1.32</v>
      </c>
      <c r="T10">
        <v>1.2</v>
      </c>
      <c r="U10" t="s">
        <v>74</v>
      </c>
      <c r="V10" t="s">
        <v>104</v>
      </c>
      <c r="W10" t="s">
        <v>105</v>
      </c>
      <c r="X10" t="s">
        <v>121</v>
      </c>
      <c r="AF10" t="s">
        <v>118</v>
      </c>
      <c r="AM10" t="s">
        <v>166</v>
      </c>
      <c r="AN10">
        <v>0.73499999999999999</v>
      </c>
      <c r="AO10">
        <v>0.73499999999999999</v>
      </c>
      <c r="AQ10">
        <v>0.71499999999999997</v>
      </c>
      <c r="AR10">
        <v>0.71499999999999997</v>
      </c>
      <c r="AT10">
        <v>0.745</v>
      </c>
      <c r="AU10">
        <v>0.745</v>
      </c>
      <c r="AW10">
        <v>1</v>
      </c>
      <c r="AX10">
        <v>1</v>
      </c>
      <c r="AZ10">
        <v>0.70499999999999996</v>
      </c>
      <c r="BA10">
        <v>0.70499999999999996</v>
      </c>
      <c r="BC10">
        <v>0.76</v>
      </c>
      <c r="BD10">
        <v>0.76</v>
      </c>
      <c r="BF10">
        <v>1.2</v>
      </c>
      <c r="BG10">
        <v>0.3</v>
      </c>
      <c r="BH10">
        <v>5.0000000000000001E-3</v>
      </c>
      <c r="BI10">
        <v>0.82</v>
      </c>
      <c r="BJ10">
        <v>0.82</v>
      </c>
      <c r="BL10">
        <v>0.82</v>
      </c>
      <c r="BM10">
        <v>0.82</v>
      </c>
      <c r="BO10">
        <v>0.84</v>
      </c>
      <c r="BP10">
        <v>0.84</v>
      </c>
      <c r="BR10">
        <v>0.8</v>
      </c>
      <c r="BS10">
        <v>0.8</v>
      </c>
      <c r="BU10">
        <v>0.88500000000000001</v>
      </c>
      <c r="BV10">
        <v>0.88500000000000001</v>
      </c>
      <c r="BX10">
        <v>0.8</v>
      </c>
      <c r="BY10">
        <v>0.8</v>
      </c>
      <c r="CA10">
        <v>1.32</v>
      </c>
      <c r="CB10">
        <v>1.32</v>
      </c>
      <c r="CD10">
        <v>1.06</v>
      </c>
      <c r="CE10">
        <v>1.06</v>
      </c>
      <c r="CG10">
        <v>0.76500000000000001</v>
      </c>
      <c r="CH10">
        <v>0.76500000000000001</v>
      </c>
      <c r="CJ10">
        <v>0.76500000000000001</v>
      </c>
      <c r="CK10">
        <v>0.76500000000000001</v>
      </c>
      <c r="CM10">
        <v>1.06</v>
      </c>
      <c r="CN10">
        <v>1.06</v>
      </c>
      <c r="CP10">
        <v>1.06</v>
      </c>
      <c r="CQ10">
        <v>1.06</v>
      </c>
      <c r="CS10">
        <v>0.76500000000000001</v>
      </c>
      <c r="CT10">
        <v>0.76500000000000001</v>
      </c>
      <c r="CV10">
        <v>1.06</v>
      </c>
      <c r="CW10">
        <v>1.06</v>
      </c>
      <c r="CY10">
        <v>0.76500000000000001</v>
      </c>
      <c r="CZ10">
        <v>0.76500000000000001</v>
      </c>
      <c r="DB10">
        <v>1.06</v>
      </c>
      <c r="DC10">
        <v>1.06</v>
      </c>
      <c r="DE10">
        <v>0.70499999999999996</v>
      </c>
      <c r="DF10">
        <v>0.70499999999999996</v>
      </c>
      <c r="DH10" t="s">
        <v>80</v>
      </c>
      <c r="DI10">
        <v>1.32</v>
      </c>
      <c r="DJ10">
        <v>1.2</v>
      </c>
      <c r="DM10">
        <v>0</v>
      </c>
      <c r="DN10">
        <v>0</v>
      </c>
      <c r="DO10">
        <v>0</v>
      </c>
      <c r="DQ10" t="s">
        <v>273</v>
      </c>
      <c r="DR10" t="s">
        <v>273</v>
      </c>
    </row>
    <row r="11" spans="1:124" x14ac:dyDescent="0.2">
      <c r="A11" t="s">
        <v>67</v>
      </c>
      <c r="E11" t="s">
        <v>84</v>
      </c>
      <c r="F11" t="s">
        <v>99</v>
      </c>
      <c r="G11" t="s">
        <v>106</v>
      </c>
      <c r="H11" t="s">
        <v>120</v>
      </c>
      <c r="I11" t="s">
        <v>116</v>
      </c>
      <c r="J11" t="s">
        <v>111</v>
      </c>
      <c r="K11" t="s">
        <v>71</v>
      </c>
      <c r="L11" t="s">
        <v>102</v>
      </c>
      <c r="M11" t="s">
        <v>117</v>
      </c>
      <c r="N11" t="s">
        <v>170</v>
      </c>
      <c r="O11" t="s">
        <v>96</v>
      </c>
      <c r="P11" t="str">
        <f t="shared" si="0"/>
        <v>DFTL_CPU_CPUSRAM_MPXXXX_CPUBST_H0HX_PLLP_59N_NREP_DD_SelsrmSSSS_</v>
      </c>
      <c r="S11">
        <v>1.32</v>
      </c>
      <c r="T11">
        <v>1.2</v>
      </c>
      <c r="U11" t="s">
        <v>74</v>
      </c>
      <c r="V11" t="s">
        <v>104</v>
      </c>
      <c r="W11" t="s">
        <v>105</v>
      </c>
      <c r="X11" t="s">
        <v>244</v>
      </c>
      <c r="AF11" t="s">
        <v>118</v>
      </c>
      <c r="AM11" t="s">
        <v>166</v>
      </c>
      <c r="AN11">
        <v>0.73499999999999999</v>
      </c>
      <c r="AO11">
        <v>0.73499999999999999</v>
      </c>
      <c r="AQ11">
        <v>0.71499999999999997</v>
      </c>
      <c r="AR11">
        <v>0.71499999999999997</v>
      </c>
      <c r="AT11">
        <v>0.745</v>
      </c>
      <c r="AU11">
        <v>0.745</v>
      </c>
      <c r="AW11">
        <v>1</v>
      </c>
      <c r="AX11">
        <v>1</v>
      </c>
      <c r="AZ11">
        <v>0.70499999999999996</v>
      </c>
      <c r="BA11">
        <v>0.70499999999999996</v>
      </c>
      <c r="BC11">
        <v>0.76</v>
      </c>
      <c r="BD11">
        <v>0.76</v>
      </c>
      <c r="BF11">
        <v>1.2</v>
      </c>
      <c r="BG11">
        <v>0.3</v>
      </c>
      <c r="BH11">
        <v>5.0000000000000001E-3</v>
      </c>
      <c r="BI11">
        <v>0.82</v>
      </c>
      <c r="BJ11">
        <v>0.82</v>
      </c>
      <c r="BL11">
        <v>0.82</v>
      </c>
      <c r="BM11">
        <v>0.82</v>
      </c>
      <c r="BO11">
        <v>0.84</v>
      </c>
      <c r="BP11">
        <v>0.84</v>
      </c>
      <c r="BR11">
        <v>0.8</v>
      </c>
      <c r="BS11">
        <v>0.8</v>
      </c>
      <c r="BU11">
        <v>0.88500000000000001</v>
      </c>
      <c r="BV11">
        <v>0.88500000000000001</v>
      </c>
      <c r="BX11">
        <v>0.8</v>
      </c>
      <c r="BY11">
        <v>0.8</v>
      </c>
      <c r="CA11">
        <v>1.32</v>
      </c>
      <c r="CB11">
        <v>1.32</v>
      </c>
      <c r="CD11">
        <v>1.06</v>
      </c>
      <c r="CE11">
        <v>1.06</v>
      </c>
      <c r="CG11">
        <v>0.76500000000000001</v>
      </c>
      <c r="CH11">
        <v>0.76500000000000001</v>
      </c>
      <c r="CJ11">
        <v>0.76500000000000001</v>
      </c>
      <c r="CK11">
        <v>0.76500000000000001</v>
      </c>
      <c r="CM11">
        <v>1.06</v>
      </c>
      <c r="CN11">
        <v>1.06</v>
      </c>
      <c r="CP11">
        <v>1.06</v>
      </c>
      <c r="CQ11">
        <v>1.06</v>
      </c>
      <c r="CS11">
        <v>0.76500000000000001</v>
      </c>
      <c r="CT11">
        <v>0.76500000000000001</v>
      </c>
      <c r="CV11">
        <v>1.06</v>
      </c>
      <c r="CW11">
        <v>1.06</v>
      </c>
      <c r="CY11">
        <v>0.76500000000000001</v>
      </c>
      <c r="CZ11">
        <v>0.76500000000000001</v>
      </c>
      <c r="DB11">
        <v>1.06</v>
      </c>
      <c r="DC11">
        <v>1.06</v>
      </c>
      <c r="DE11">
        <v>0.70499999999999996</v>
      </c>
      <c r="DF11">
        <v>0.70499999999999996</v>
      </c>
      <c r="DH11" t="s">
        <v>80</v>
      </c>
      <c r="DI11">
        <v>1.32</v>
      </c>
      <c r="DJ11">
        <v>1.2</v>
      </c>
      <c r="DM11">
        <v>0</v>
      </c>
      <c r="DN11">
        <v>0</v>
      </c>
      <c r="DO11">
        <v>0</v>
      </c>
      <c r="DQ11" t="s">
        <v>273</v>
      </c>
      <c r="DR11" t="s">
        <v>273</v>
      </c>
    </row>
    <row r="12" spans="1:124" x14ac:dyDescent="0.2">
      <c r="A12" t="s">
        <v>67</v>
      </c>
      <c r="E12" t="s">
        <v>84</v>
      </c>
      <c r="F12" t="s">
        <v>69</v>
      </c>
      <c r="G12" t="s">
        <v>152</v>
      </c>
      <c r="H12" t="s">
        <v>153</v>
      </c>
      <c r="I12" t="s">
        <v>151</v>
      </c>
      <c r="J12" t="s">
        <v>154</v>
      </c>
      <c r="K12" t="s">
        <v>73</v>
      </c>
      <c r="L12" t="s">
        <v>73</v>
      </c>
      <c r="M12" t="s">
        <v>127</v>
      </c>
      <c r="N12" t="s">
        <v>73</v>
      </c>
      <c r="O12" t="s">
        <v>96</v>
      </c>
      <c r="P12" t="str">
        <f t="shared" si="0"/>
        <v>DFTL_SOC_DCSDDR_MDX001_SOCBST_GX01_X_X_SRVA_X_SelsrmSSSS_</v>
      </c>
      <c r="S12">
        <v>0.71</v>
      </c>
      <c r="T12">
        <v>0.66739999999999999</v>
      </c>
      <c r="U12" t="s">
        <v>74</v>
      </c>
      <c r="V12" t="s">
        <v>128</v>
      </c>
      <c r="W12" t="s">
        <v>129</v>
      </c>
      <c r="X12" t="s">
        <v>130</v>
      </c>
      <c r="Y12" t="s">
        <v>131</v>
      </c>
      <c r="Z12" t="s">
        <v>132</v>
      </c>
      <c r="AA12" t="s">
        <v>155</v>
      </c>
      <c r="AB12" t="s">
        <v>133</v>
      </c>
      <c r="AC12" t="s">
        <v>134</v>
      </c>
      <c r="AD12" t="s">
        <v>150</v>
      </c>
      <c r="AF12" t="s">
        <v>156</v>
      </c>
      <c r="AG12" t="s">
        <v>135</v>
      </c>
      <c r="AH12" t="s">
        <v>157</v>
      </c>
      <c r="AM12" t="s">
        <v>166</v>
      </c>
      <c r="AN12">
        <v>0.73499999999999999</v>
      </c>
      <c r="AO12">
        <v>0.73499999999999999</v>
      </c>
      <c r="AQ12">
        <v>0.71499999999999997</v>
      </c>
      <c r="AR12">
        <v>0.71499999999999997</v>
      </c>
      <c r="AT12">
        <v>0.745</v>
      </c>
      <c r="AU12">
        <v>0.745</v>
      </c>
      <c r="AW12">
        <v>1</v>
      </c>
      <c r="AX12">
        <v>1</v>
      </c>
      <c r="AZ12">
        <v>0.7</v>
      </c>
      <c r="BA12">
        <v>0.4</v>
      </c>
      <c r="BB12">
        <v>5.0000000000000001E-3</v>
      </c>
      <c r="BC12">
        <v>0.76</v>
      </c>
      <c r="BD12">
        <v>0.76</v>
      </c>
      <c r="BF12">
        <v>0.85</v>
      </c>
      <c r="BG12">
        <v>0.85</v>
      </c>
      <c r="BI12">
        <v>0.77500000000000002</v>
      </c>
      <c r="BJ12">
        <v>0.77500000000000002</v>
      </c>
      <c r="BL12">
        <v>0.77500000000000002</v>
      </c>
      <c r="BM12">
        <v>0.77500000000000002</v>
      </c>
      <c r="BO12">
        <v>0.84</v>
      </c>
      <c r="BP12">
        <v>0.84</v>
      </c>
      <c r="BR12">
        <v>0.8</v>
      </c>
      <c r="BS12">
        <v>0.8</v>
      </c>
      <c r="BU12">
        <v>0.88500000000000001</v>
      </c>
      <c r="BV12">
        <v>0.88500000000000001</v>
      </c>
      <c r="BX12">
        <v>0.8</v>
      </c>
      <c r="BY12">
        <v>0.8</v>
      </c>
      <c r="CA12">
        <v>1.32</v>
      </c>
      <c r="CB12">
        <v>1.32</v>
      </c>
      <c r="CD12">
        <v>1.06</v>
      </c>
      <c r="CE12">
        <v>1.06</v>
      </c>
      <c r="CG12">
        <v>0.76500000000000001</v>
      </c>
      <c r="CH12">
        <v>0.76500000000000001</v>
      </c>
      <c r="CJ12">
        <v>0.76500000000000001</v>
      </c>
      <c r="CK12">
        <v>0.76500000000000001</v>
      </c>
      <c r="CM12">
        <v>1.06</v>
      </c>
      <c r="CN12">
        <v>1.06</v>
      </c>
      <c r="CP12">
        <v>1.06</v>
      </c>
      <c r="CQ12">
        <v>1.06</v>
      </c>
      <c r="CS12">
        <v>0.76500000000000001</v>
      </c>
      <c r="CT12">
        <v>0.76500000000000001</v>
      </c>
      <c r="CV12">
        <v>1.06</v>
      </c>
      <c r="CW12">
        <v>1.06</v>
      </c>
      <c r="CY12">
        <v>0.76500000000000001</v>
      </c>
      <c r="CZ12">
        <v>0.76500000000000001</v>
      </c>
      <c r="DB12">
        <v>1.06</v>
      </c>
      <c r="DC12">
        <v>1.06</v>
      </c>
      <c r="DE12">
        <v>0.70499999999999996</v>
      </c>
      <c r="DF12">
        <v>0.70499999999999996</v>
      </c>
      <c r="DH12" t="s">
        <v>80</v>
      </c>
      <c r="DI12">
        <v>0.66700000000000004</v>
      </c>
      <c r="DJ12">
        <v>0.71</v>
      </c>
      <c r="DM12">
        <v>0</v>
      </c>
      <c r="DN12">
        <v>0</v>
      </c>
      <c r="DO12">
        <v>0</v>
      </c>
      <c r="DQ12" t="s">
        <v>273</v>
      </c>
      <c r="DR12" t="s">
        <v>273</v>
      </c>
      <c r="DS12" t="s">
        <v>273</v>
      </c>
      <c r="DT12" t="s">
        <v>273</v>
      </c>
    </row>
    <row r="13" spans="1:124" x14ac:dyDescent="0.2">
      <c r="A13" t="s">
        <v>67</v>
      </c>
      <c r="E13" t="s">
        <v>84</v>
      </c>
      <c r="F13" t="s">
        <v>69</v>
      </c>
      <c r="G13" t="s">
        <v>152</v>
      </c>
      <c r="H13" t="s">
        <v>158</v>
      </c>
      <c r="I13" t="s">
        <v>151</v>
      </c>
      <c r="J13" t="s">
        <v>154</v>
      </c>
      <c r="K13" t="s">
        <v>73</v>
      </c>
      <c r="L13" t="s">
        <v>73</v>
      </c>
      <c r="M13" t="s">
        <v>127</v>
      </c>
      <c r="N13" t="s">
        <v>73</v>
      </c>
      <c r="O13" t="s">
        <v>96</v>
      </c>
      <c r="P13" t="str">
        <f t="shared" si="0"/>
        <v>DFTL_SOC_DCSDDR_MDX009_SOCBST_GX01_X_X_SRVA_X_SelsrmSSSS_</v>
      </c>
      <c r="S13">
        <v>1.21</v>
      </c>
      <c r="T13">
        <v>1.1000000000000001</v>
      </c>
      <c r="U13" t="s">
        <v>74</v>
      </c>
      <c r="V13" t="s">
        <v>128</v>
      </c>
      <c r="W13" t="s">
        <v>129</v>
      </c>
      <c r="X13" t="s">
        <v>130</v>
      </c>
      <c r="Y13" t="s">
        <v>131</v>
      </c>
      <c r="Z13" t="s">
        <v>132</v>
      </c>
      <c r="AA13" t="s">
        <v>159</v>
      </c>
      <c r="AB13" t="s">
        <v>133</v>
      </c>
      <c r="AC13" t="s">
        <v>134</v>
      </c>
      <c r="AD13" t="s">
        <v>150</v>
      </c>
      <c r="AF13" t="s">
        <v>156</v>
      </c>
      <c r="AG13" t="s">
        <v>135</v>
      </c>
      <c r="AH13" t="s">
        <v>157</v>
      </c>
      <c r="AM13" t="s">
        <v>166</v>
      </c>
      <c r="AN13">
        <v>0.73499999999999999</v>
      </c>
      <c r="AO13">
        <v>0.73499999999999999</v>
      </c>
      <c r="AQ13">
        <v>0.71499999999999997</v>
      </c>
      <c r="AR13">
        <v>0.71499999999999997</v>
      </c>
      <c r="AT13">
        <v>0.745</v>
      </c>
      <c r="AU13">
        <v>0.745</v>
      </c>
      <c r="AW13">
        <v>1</v>
      </c>
      <c r="AX13">
        <v>1</v>
      </c>
      <c r="AZ13">
        <v>1.1000000000000001</v>
      </c>
      <c r="BA13">
        <v>0.8</v>
      </c>
      <c r="BB13">
        <v>5.0000000000000001E-3</v>
      </c>
      <c r="BC13">
        <v>0.76</v>
      </c>
      <c r="BD13">
        <v>0.76</v>
      </c>
      <c r="BF13">
        <v>0.85</v>
      </c>
      <c r="BG13">
        <v>0.85</v>
      </c>
      <c r="BI13">
        <v>0.77500000000000002</v>
      </c>
      <c r="BJ13">
        <v>0.77500000000000002</v>
      </c>
      <c r="BL13">
        <v>0.77500000000000002</v>
      </c>
      <c r="BM13">
        <v>0.77500000000000002</v>
      </c>
      <c r="BO13">
        <v>0.84</v>
      </c>
      <c r="BP13">
        <v>0.84</v>
      </c>
      <c r="BR13">
        <v>0.8</v>
      </c>
      <c r="BS13">
        <v>0.8</v>
      </c>
      <c r="BU13">
        <v>0.88500000000000001</v>
      </c>
      <c r="BV13">
        <v>0.88500000000000001</v>
      </c>
      <c r="BX13">
        <v>0.8</v>
      </c>
      <c r="BY13">
        <v>0.8</v>
      </c>
      <c r="CA13">
        <v>1.32</v>
      </c>
      <c r="CB13">
        <v>1.32</v>
      </c>
      <c r="CD13">
        <v>1.06</v>
      </c>
      <c r="CE13">
        <v>1.06</v>
      </c>
      <c r="CG13">
        <v>0.76500000000000001</v>
      </c>
      <c r="CH13">
        <v>0.76500000000000001</v>
      </c>
      <c r="CJ13">
        <v>0.76500000000000001</v>
      </c>
      <c r="CK13">
        <v>0.76500000000000001</v>
      </c>
      <c r="CM13">
        <v>1.06</v>
      </c>
      <c r="CN13">
        <v>1.06</v>
      </c>
      <c r="CP13">
        <v>1.06</v>
      </c>
      <c r="CQ13">
        <v>1.06</v>
      </c>
      <c r="CS13">
        <v>0.76500000000000001</v>
      </c>
      <c r="CT13">
        <v>0.76500000000000001</v>
      </c>
      <c r="CV13">
        <v>1.06</v>
      </c>
      <c r="CW13">
        <v>1.06</v>
      </c>
      <c r="CY13">
        <v>0.76500000000000001</v>
      </c>
      <c r="CZ13">
        <v>0.76500000000000001</v>
      </c>
      <c r="DB13">
        <v>1.06</v>
      </c>
      <c r="DC13">
        <v>1.06</v>
      </c>
      <c r="DE13">
        <v>0.70499999999999996</v>
      </c>
      <c r="DF13">
        <v>0.70499999999999996</v>
      </c>
      <c r="DH13" t="s">
        <v>80</v>
      </c>
      <c r="DI13">
        <v>1.21</v>
      </c>
      <c r="DJ13">
        <v>1.1000000000000001</v>
      </c>
      <c r="DM13">
        <v>0</v>
      </c>
      <c r="DN13">
        <v>0</v>
      </c>
      <c r="DO13">
        <v>0</v>
      </c>
      <c r="DQ13" t="s">
        <v>273</v>
      </c>
      <c r="DR13" t="s">
        <v>273</v>
      </c>
      <c r="DS13" t="s">
        <v>273</v>
      </c>
      <c r="DT13" t="s">
        <v>273</v>
      </c>
    </row>
    <row r="14" spans="1:124" x14ac:dyDescent="0.2">
      <c r="A14" t="s">
        <v>67</v>
      </c>
      <c r="E14" t="s">
        <v>84</v>
      </c>
      <c r="F14" t="s">
        <v>69</v>
      </c>
      <c r="G14" t="s">
        <v>152</v>
      </c>
      <c r="H14" t="s">
        <v>153</v>
      </c>
      <c r="I14" t="s">
        <v>175</v>
      </c>
      <c r="J14" t="s">
        <v>177</v>
      </c>
      <c r="K14" t="s">
        <v>176</v>
      </c>
      <c r="L14" t="s">
        <v>171</v>
      </c>
      <c r="M14" t="s">
        <v>73</v>
      </c>
      <c r="N14" t="s">
        <v>73</v>
      </c>
      <c r="O14" t="s">
        <v>96</v>
      </c>
      <c r="P14" t="str">
        <f t="shared" si="0"/>
        <v>DFTL_SOC_DCSDDR_MDX001_SOCTDF_CDCS_PL10_SSC_X_X_SelsrmSSSS_</v>
      </c>
      <c r="S14">
        <v>0.70499999999999996</v>
      </c>
      <c r="T14">
        <v>0.66269999999999996</v>
      </c>
      <c r="U14" t="s">
        <v>74</v>
      </c>
      <c r="V14" t="s">
        <v>172</v>
      </c>
      <c r="W14" t="s">
        <v>173</v>
      </c>
      <c r="X14" t="s">
        <v>174</v>
      </c>
      <c r="Y14" t="s">
        <v>178</v>
      </c>
      <c r="AF14" t="s">
        <v>180</v>
      </c>
      <c r="AM14" t="s">
        <v>166</v>
      </c>
      <c r="AN14">
        <v>0.73499999999999999</v>
      </c>
      <c r="AO14">
        <v>0.73499999999999999</v>
      </c>
      <c r="AQ14">
        <v>0.71499999999999997</v>
      </c>
      <c r="AR14">
        <v>0.71499999999999997</v>
      </c>
      <c r="AT14">
        <v>0.745</v>
      </c>
      <c r="AU14">
        <v>0.745</v>
      </c>
      <c r="AW14">
        <v>1</v>
      </c>
      <c r="AX14">
        <v>1</v>
      </c>
      <c r="AZ14">
        <v>0.7</v>
      </c>
      <c r="BA14">
        <v>0.4</v>
      </c>
      <c r="BB14">
        <v>5.0000000000000001E-3</v>
      </c>
      <c r="BC14">
        <v>0.76</v>
      </c>
      <c r="BD14">
        <v>0.76</v>
      </c>
      <c r="BF14">
        <v>0.73499999999999999</v>
      </c>
      <c r="BG14">
        <v>0.73499999999999999</v>
      </c>
      <c r="BI14">
        <v>0.77500000000000002</v>
      </c>
      <c r="BJ14">
        <v>0.77500000000000002</v>
      </c>
      <c r="BL14">
        <v>0.77500000000000002</v>
      </c>
      <c r="BM14">
        <v>0.77500000000000002</v>
      </c>
      <c r="BO14">
        <v>0.84</v>
      </c>
      <c r="BP14">
        <v>0.84</v>
      </c>
      <c r="BR14">
        <v>0.8</v>
      </c>
      <c r="BS14">
        <v>0.8</v>
      </c>
      <c r="BU14">
        <v>0.88500000000000001</v>
      </c>
      <c r="BV14">
        <v>0.88500000000000001</v>
      </c>
      <c r="BX14">
        <v>0.8</v>
      </c>
      <c r="BY14">
        <v>0.8</v>
      </c>
      <c r="CA14">
        <v>1.32</v>
      </c>
      <c r="CB14">
        <v>1.32</v>
      </c>
      <c r="CD14">
        <v>1.06</v>
      </c>
      <c r="CE14">
        <v>1.06</v>
      </c>
      <c r="CG14">
        <v>0.76500000000000001</v>
      </c>
      <c r="CH14">
        <v>0.76500000000000001</v>
      </c>
      <c r="CJ14">
        <v>0.76500000000000001</v>
      </c>
      <c r="CK14">
        <v>0.76500000000000001</v>
      </c>
      <c r="CM14">
        <v>1.06</v>
      </c>
      <c r="CN14">
        <v>1.06</v>
      </c>
      <c r="CP14">
        <v>1.06</v>
      </c>
      <c r="CQ14">
        <v>1.06</v>
      </c>
      <c r="CS14">
        <v>0.76500000000000001</v>
      </c>
      <c r="CT14">
        <v>0.76500000000000001</v>
      </c>
      <c r="CV14">
        <v>1.06</v>
      </c>
      <c r="CW14">
        <v>1.06</v>
      </c>
      <c r="CY14">
        <v>0.76500000000000001</v>
      </c>
      <c r="CZ14">
        <v>0.76500000000000001</v>
      </c>
      <c r="DB14">
        <v>1.06</v>
      </c>
      <c r="DC14">
        <v>1.06</v>
      </c>
      <c r="DE14">
        <v>0.70499999999999996</v>
      </c>
      <c r="DF14">
        <v>0.70499999999999996</v>
      </c>
      <c r="DH14" t="s">
        <v>80</v>
      </c>
      <c r="DI14">
        <v>0.66300000000000003</v>
      </c>
      <c r="DJ14">
        <v>0.70499999999999996</v>
      </c>
      <c r="DM14">
        <v>0</v>
      </c>
      <c r="DN14">
        <v>0</v>
      </c>
      <c r="DO14">
        <v>0</v>
      </c>
      <c r="DQ14" t="s">
        <v>273</v>
      </c>
      <c r="DR14" t="s">
        <v>273</v>
      </c>
      <c r="DS14" t="s">
        <v>273</v>
      </c>
      <c r="DT14" t="s">
        <v>273</v>
      </c>
    </row>
    <row r="15" spans="1:124" x14ac:dyDescent="0.2">
      <c r="A15" t="s">
        <v>67</v>
      </c>
      <c r="E15" t="s">
        <v>84</v>
      </c>
      <c r="F15" t="s">
        <v>69</v>
      </c>
      <c r="G15" t="s">
        <v>152</v>
      </c>
      <c r="H15" t="s">
        <v>158</v>
      </c>
      <c r="I15" t="s">
        <v>175</v>
      </c>
      <c r="J15" t="s">
        <v>177</v>
      </c>
      <c r="K15" t="s">
        <v>176</v>
      </c>
      <c r="L15" t="s">
        <v>171</v>
      </c>
      <c r="M15" t="s">
        <v>73</v>
      </c>
      <c r="N15" t="s">
        <v>73</v>
      </c>
      <c r="O15" t="s">
        <v>96</v>
      </c>
      <c r="P15" t="str">
        <f t="shared" si="0"/>
        <v>DFTL_SOC_DCSDDR_MDX009_SOCTDF_CDCS_PL10_SSC_X_X_SelsrmSSSS_</v>
      </c>
      <c r="S15">
        <v>1.2595000000000001</v>
      </c>
      <c r="T15">
        <v>1.145</v>
      </c>
      <c r="U15" t="s">
        <v>74</v>
      </c>
      <c r="V15" t="s">
        <v>172</v>
      </c>
      <c r="W15" t="s">
        <v>173</v>
      </c>
      <c r="X15" t="s">
        <v>174</v>
      </c>
      <c r="Y15" t="s">
        <v>179</v>
      </c>
      <c r="AF15" t="s">
        <v>180</v>
      </c>
      <c r="AM15" t="s">
        <v>166</v>
      </c>
      <c r="AN15">
        <v>0.73499999999999999</v>
      </c>
      <c r="AO15">
        <v>0.73499999999999999</v>
      </c>
      <c r="AQ15">
        <v>0.71499999999999997</v>
      </c>
      <c r="AR15">
        <v>0.71499999999999997</v>
      </c>
      <c r="AT15">
        <v>0.745</v>
      </c>
      <c r="AU15">
        <v>0.745</v>
      </c>
      <c r="AW15">
        <v>1</v>
      </c>
      <c r="AX15">
        <v>1</v>
      </c>
      <c r="AZ15">
        <v>1.1000000000000001</v>
      </c>
      <c r="BA15">
        <v>0.8</v>
      </c>
      <c r="BB15">
        <v>5.0000000000000001E-3</v>
      </c>
      <c r="BC15">
        <v>0.76</v>
      </c>
      <c r="BD15">
        <v>0.76</v>
      </c>
      <c r="BF15">
        <v>0.73499999999999999</v>
      </c>
      <c r="BG15">
        <v>0.73499999999999999</v>
      </c>
      <c r="BI15">
        <v>0.77500000000000002</v>
      </c>
      <c r="BJ15">
        <v>0.77500000000000002</v>
      </c>
      <c r="BL15">
        <v>0.77500000000000002</v>
      </c>
      <c r="BM15">
        <v>0.77500000000000002</v>
      </c>
      <c r="BO15">
        <v>0.84</v>
      </c>
      <c r="BP15">
        <v>0.84</v>
      </c>
      <c r="BR15">
        <v>0.8</v>
      </c>
      <c r="BS15">
        <v>0.8</v>
      </c>
      <c r="BU15">
        <v>0.88500000000000001</v>
      </c>
      <c r="BV15">
        <v>0.88500000000000001</v>
      </c>
      <c r="BX15">
        <v>0.8</v>
      </c>
      <c r="BY15">
        <v>0.8</v>
      </c>
      <c r="CA15">
        <v>1.32</v>
      </c>
      <c r="CB15">
        <v>1.32</v>
      </c>
      <c r="CD15">
        <v>1.06</v>
      </c>
      <c r="CE15">
        <v>1.06</v>
      </c>
      <c r="CG15">
        <v>0.76500000000000001</v>
      </c>
      <c r="CH15">
        <v>0.76500000000000001</v>
      </c>
      <c r="CJ15">
        <v>0.76500000000000001</v>
      </c>
      <c r="CK15">
        <v>0.76500000000000001</v>
      </c>
      <c r="CM15">
        <v>1.06</v>
      </c>
      <c r="CN15">
        <v>1.06</v>
      </c>
      <c r="CP15">
        <v>1.06</v>
      </c>
      <c r="CQ15">
        <v>1.06</v>
      </c>
      <c r="CS15">
        <v>0.76500000000000001</v>
      </c>
      <c r="CT15">
        <v>0.76500000000000001</v>
      </c>
      <c r="CV15">
        <v>1.06</v>
      </c>
      <c r="CW15">
        <v>1.06</v>
      </c>
      <c r="CY15">
        <v>0.76500000000000001</v>
      </c>
      <c r="CZ15">
        <v>0.76500000000000001</v>
      </c>
      <c r="DB15">
        <v>1.06</v>
      </c>
      <c r="DC15">
        <v>1.06</v>
      </c>
      <c r="DE15">
        <v>0.70499999999999996</v>
      </c>
      <c r="DF15">
        <v>0.70499999999999996</v>
      </c>
      <c r="DH15" t="s">
        <v>80</v>
      </c>
      <c r="DI15">
        <v>1.26</v>
      </c>
      <c r="DJ15">
        <v>1.145</v>
      </c>
      <c r="DM15">
        <v>0</v>
      </c>
      <c r="DN15">
        <v>0</v>
      </c>
      <c r="DO15">
        <v>0</v>
      </c>
      <c r="DQ15" t="s">
        <v>273</v>
      </c>
      <c r="DR15" t="s">
        <v>273</v>
      </c>
      <c r="DS15" t="s">
        <v>273</v>
      </c>
      <c r="DT15" t="s">
        <v>273</v>
      </c>
    </row>
    <row r="16" spans="1:124" x14ac:dyDescent="0.2">
      <c r="A16" t="s">
        <v>67</v>
      </c>
      <c r="E16" t="s">
        <v>84</v>
      </c>
      <c r="F16" t="s">
        <v>69</v>
      </c>
      <c r="G16" t="s">
        <v>142</v>
      </c>
      <c r="H16" t="s">
        <v>143</v>
      </c>
      <c r="I16" t="s">
        <v>175</v>
      </c>
      <c r="J16" t="s">
        <v>181</v>
      </c>
      <c r="K16" t="s">
        <v>176</v>
      </c>
      <c r="L16" t="s">
        <v>171</v>
      </c>
      <c r="M16" t="s">
        <v>73</v>
      </c>
      <c r="N16" t="s">
        <v>73</v>
      </c>
      <c r="O16" t="s">
        <v>96</v>
      </c>
      <c r="P16" t="str">
        <f t="shared" si="0"/>
        <v>DFTL_SOC_DISP_MIX001_SOCTDF_CDSP_PL10_SSC_X_X_SelsrmSSSS_</v>
      </c>
      <c r="S16">
        <v>0.76</v>
      </c>
      <c r="T16">
        <v>0.71345999999999998</v>
      </c>
      <c r="U16" t="s">
        <v>74</v>
      </c>
      <c r="V16" t="s">
        <v>172</v>
      </c>
      <c r="W16" t="s">
        <v>173</v>
      </c>
      <c r="X16" t="s">
        <v>174</v>
      </c>
      <c r="Y16" t="s">
        <v>182</v>
      </c>
      <c r="AF16" t="s">
        <v>184</v>
      </c>
      <c r="AM16" t="s">
        <v>166</v>
      </c>
      <c r="AN16">
        <v>0.73499999999999999</v>
      </c>
      <c r="AO16">
        <v>0.73499999999999999</v>
      </c>
      <c r="AQ16">
        <v>0.71499999999999997</v>
      </c>
      <c r="AR16">
        <v>0.71499999999999997</v>
      </c>
      <c r="AT16">
        <v>0.745</v>
      </c>
      <c r="AU16">
        <v>0.745</v>
      </c>
      <c r="AW16">
        <v>1</v>
      </c>
      <c r="AX16">
        <v>1</v>
      </c>
      <c r="AZ16">
        <v>0.70499999999999996</v>
      </c>
      <c r="BA16">
        <v>0.70499999999999996</v>
      </c>
      <c r="BC16">
        <v>0.8</v>
      </c>
      <c r="BD16">
        <v>0.4</v>
      </c>
      <c r="BE16">
        <v>5.0000000000000001E-3</v>
      </c>
      <c r="BF16">
        <v>0.73499999999999999</v>
      </c>
      <c r="BG16">
        <v>0.73499999999999999</v>
      </c>
      <c r="BI16">
        <v>0.77500000000000002</v>
      </c>
      <c r="BJ16">
        <v>0.77500000000000002</v>
      </c>
      <c r="BL16">
        <v>0.77500000000000002</v>
      </c>
      <c r="BM16">
        <v>0.77500000000000002</v>
      </c>
      <c r="BO16">
        <v>0.84</v>
      </c>
      <c r="BP16">
        <v>0.84</v>
      </c>
      <c r="BR16">
        <v>0.8</v>
      </c>
      <c r="BS16">
        <v>0.8</v>
      </c>
      <c r="BU16">
        <v>0.88500000000000001</v>
      </c>
      <c r="BV16">
        <v>0.88500000000000001</v>
      </c>
      <c r="BX16">
        <v>0.8</v>
      </c>
      <c r="BY16">
        <v>0.8</v>
      </c>
      <c r="CA16">
        <v>1.32</v>
      </c>
      <c r="CB16">
        <v>1.32</v>
      </c>
      <c r="CD16">
        <v>1.06</v>
      </c>
      <c r="CE16">
        <v>1.06</v>
      </c>
      <c r="CG16">
        <v>0.76500000000000001</v>
      </c>
      <c r="CH16">
        <v>0.76500000000000001</v>
      </c>
      <c r="CJ16">
        <v>0.76500000000000001</v>
      </c>
      <c r="CK16">
        <v>0.76500000000000001</v>
      </c>
      <c r="CM16">
        <v>1.06</v>
      </c>
      <c r="CN16">
        <v>1.06</v>
      </c>
      <c r="CP16">
        <v>1.06</v>
      </c>
      <c r="CQ16">
        <v>1.06</v>
      </c>
      <c r="CS16">
        <v>0.76500000000000001</v>
      </c>
      <c r="CT16">
        <v>0.76500000000000001</v>
      </c>
      <c r="CV16">
        <v>1.06</v>
      </c>
      <c r="CW16">
        <v>1.06</v>
      </c>
      <c r="CY16">
        <v>0.76500000000000001</v>
      </c>
      <c r="CZ16">
        <v>0.76500000000000001</v>
      </c>
      <c r="DB16">
        <v>1.06</v>
      </c>
      <c r="DC16">
        <v>1.06</v>
      </c>
      <c r="DE16">
        <v>0.70499999999999996</v>
      </c>
      <c r="DF16">
        <v>0.70499999999999996</v>
      </c>
      <c r="DH16" t="s">
        <v>80</v>
      </c>
      <c r="DI16">
        <v>0.71299999999999997</v>
      </c>
      <c r="DJ16">
        <v>0.76</v>
      </c>
      <c r="DM16">
        <v>0</v>
      </c>
      <c r="DN16">
        <v>0</v>
      </c>
      <c r="DO16">
        <v>0</v>
      </c>
      <c r="DQ16" t="s">
        <v>273</v>
      </c>
      <c r="DR16" t="s">
        <v>273</v>
      </c>
      <c r="DS16" t="s">
        <v>273</v>
      </c>
      <c r="DT16" t="s">
        <v>273</v>
      </c>
    </row>
    <row r="17" spans="1:124" x14ac:dyDescent="0.2">
      <c r="A17" t="s">
        <v>67</v>
      </c>
      <c r="E17" t="s">
        <v>84</v>
      </c>
      <c r="F17" t="s">
        <v>69</v>
      </c>
      <c r="G17" t="s">
        <v>142</v>
      </c>
      <c r="H17" t="s">
        <v>145</v>
      </c>
      <c r="I17" t="s">
        <v>175</v>
      </c>
      <c r="J17" t="s">
        <v>181</v>
      </c>
      <c r="K17" t="s">
        <v>176</v>
      </c>
      <c r="L17" t="s">
        <v>171</v>
      </c>
      <c r="M17" t="s">
        <v>73</v>
      </c>
      <c r="N17" t="s">
        <v>73</v>
      </c>
      <c r="O17" t="s">
        <v>96</v>
      </c>
      <c r="P17" t="str">
        <f t="shared" si="0"/>
        <v>DFTL_SOC_DISP_MIX004_SOCTDF_CDSP_PL10_SSC_X_X_SelsrmSSSS_</v>
      </c>
      <c r="S17">
        <v>1.1780999999999999</v>
      </c>
      <c r="T17">
        <v>1.07</v>
      </c>
      <c r="U17" t="s">
        <v>74</v>
      </c>
      <c r="V17" t="s">
        <v>172</v>
      </c>
      <c r="W17" t="s">
        <v>173</v>
      </c>
      <c r="X17" t="s">
        <v>174</v>
      </c>
      <c r="Y17" t="s">
        <v>183</v>
      </c>
      <c r="AF17" t="s">
        <v>184</v>
      </c>
      <c r="AM17" t="s">
        <v>166</v>
      </c>
      <c r="AN17">
        <v>0.73499999999999999</v>
      </c>
      <c r="AO17">
        <v>0.73499999999999999</v>
      </c>
      <c r="AQ17">
        <v>0.71499999999999997</v>
      </c>
      <c r="AR17">
        <v>0.71499999999999997</v>
      </c>
      <c r="AT17">
        <v>0.745</v>
      </c>
      <c r="AU17">
        <v>0.745</v>
      </c>
      <c r="AW17">
        <v>1</v>
      </c>
      <c r="AX17">
        <v>1</v>
      </c>
      <c r="AZ17">
        <v>0.70499999999999996</v>
      </c>
      <c r="BA17">
        <v>0.70499999999999996</v>
      </c>
      <c r="BC17">
        <v>1.1000000000000001</v>
      </c>
      <c r="BD17">
        <v>0.7</v>
      </c>
      <c r="BE17">
        <v>5.0000000000000001E-3</v>
      </c>
      <c r="BF17">
        <v>0.73499999999999999</v>
      </c>
      <c r="BG17">
        <v>0.73499999999999999</v>
      </c>
      <c r="BI17">
        <v>0.77500000000000002</v>
      </c>
      <c r="BJ17">
        <v>0.77500000000000002</v>
      </c>
      <c r="BL17">
        <v>0.77500000000000002</v>
      </c>
      <c r="BM17">
        <v>0.77500000000000002</v>
      </c>
      <c r="BO17">
        <v>0.84</v>
      </c>
      <c r="BP17">
        <v>0.84</v>
      </c>
      <c r="BR17">
        <v>0.8</v>
      </c>
      <c r="BS17">
        <v>0.8</v>
      </c>
      <c r="BU17">
        <v>0.88500000000000001</v>
      </c>
      <c r="BV17">
        <v>0.88500000000000001</v>
      </c>
      <c r="BX17">
        <v>0.8</v>
      </c>
      <c r="BY17">
        <v>0.8</v>
      </c>
      <c r="CA17">
        <v>1.32</v>
      </c>
      <c r="CB17">
        <v>1.32</v>
      </c>
      <c r="CD17">
        <v>1.06</v>
      </c>
      <c r="CE17">
        <v>1.06</v>
      </c>
      <c r="CG17">
        <v>0.76500000000000001</v>
      </c>
      <c r="CH17">
        <v>0.76500000000000001</v>
      </c>
      <c r="CJ17">
        <v>0.76500000000000001</v>
      </c>
      <c r="CK17">
        <v>0.76500000000000001</v>
      </c>
      <c r="CM17">
        <v>1.06</v>
      </c>
      <c r="CN17">
        <v>1.06</v>
      </c>
      <c r="CP17">
        <v>1.06</v>
      </c>
      <c r="CQ17">
        <v>1.06</v>
      </c>
      <c r="CS17">
        <v>0.76500000000000001</v>
      </c>
      <c r="CT17">
        <v>0.76500000000000001</v>
      </c>
      <c r="CV17">
        <v>1.06</v>
      </c>
      <c r="CW17">
        <v>1.06</v>
      </c>
      <c r="CY17">
        <v>0.76500000000000001</v>
      </c>
      <c r="CZ17">
        <v>0.76500000000000001</v>
      </c>
      <c r="DB17">
        <v>1.06</v>
      </c>
      <c r="DC17">
        <v>1.06</v>
      </c>
      <c r="DE17">
        <v>0.70499999999999996</v>
      </c>
      <c r="DF17">
        <v>0.70499999999999996</v>
      </c>
      <c r="DH17" t="s">
        <v>80</v>
      </c>
      <c r="DI17">
        <v>1.1779999999999999</v>
      </c>
      <c r="DJ17">
        <v>1.07</v>
      </c>
      <c r="DM17">
        <v>0</v>
      </c>
      <c r="DN17">
        <v>0</v>
      </c>
      <c r="DO17">
        <v>0</v>
      </c>
      <c r="DQ17" t="s">
        <v>273</v>
      </c>
      <c r="DR17" t="s">
        <v>273</v>
      </c>
      <c r="DS17" t="s">
        <v>273</v>
      </c>
      <c r="DT17" t="s">
        <v>273</v>
      </c>
    </row>
    <row r="18" spans="1:124" x14ac:dyDescent="0.2">
      <c r="A18" t="s">
        <v>67</v>
      </c>
      <c r="E18" t="s">
        <v>84</v>
      </c>
      <c r="F18" t="s">
        <v>68</v>
      </c>
      <c r="G18" t="s">
        <v>68</v>
      </c>
      <c r="H18" t="s">
        <v>85</v>
      </c>
      <c r="I18" t="s">
        <v>234</v>
      </c>
      <c r="J18" t="s">
        <v>256</v>
      </c>
      <c r="K18" t="s">
        <v>176</v>
      </c>
      <c r="L18" t="s">
        <v>73</v>
      </c>
      <c r="M18" t="s">
        <v>73</v>
      </c>
      <c r="N18" s="7" t="s">
        <v>263</v>
      </c>
      <c r="O18" t="s">
        <v>96</v>
      </c>
      <c r="P18" t="str">
        <f t="shared" si="0"/>
        <v>DFTL_GPU_GPU_MGX001_GPUTDF_X12_PL10_X_X_11111110000000011111110000000010_SelsrmSSSS_</v>
      </c>
      <c r="S18">
        <v>0.745</v>
      </c>
      <c r="T18">
        <v>0.70030000000000003</v>
      </c>
      <c r="U18" t="s">
        <v>74</v>
      </c>
      <c r="V18" t="s">
        <v>230</v>
      </c>
      <c r="Y18" t="s">
        <v>231</v>
      </c>
      <c r="Z18" t="s">
        <v>232</v>
      </c>
      <c r="AA18" t="s">
        <v>233</v>
      </c>
      <c r="AB18" t="s">
        <v>235</v>
      </c>
      <c r="AC18" t="s">
        <v>239</v>
      </c>
      <c r="AF18" t="s">
        <v>240</v>
      </c>
      <c r="AM18" t="s">
        <v>166</v>
      </c>
      <c r="AN18">
        <v>0.73499999999999999</v>
      </c>
      <c r="AO18">
        <v>0.73499999999999999</v>
      </c>
      <c r="AQ18">
        <v>0.71499999999999997</v>
      </c>
      <c r="AR18">
        <v>0.71499999999999997</v>
      </c>
      <c r="AT18">
        <v>0.8</v>
      </c>
      <c r="AU18">
        <v>0.4</v>
      </c>
      <c r="AV18">
        <v>5.0000000000000001E-3</v>
      </c>
      <c r="AW18">
        <v>1</v>
      </c>
      <c r="AX18">
        <v>1</v>
      </c>
      <c r="AZ18">
        <v>0.70499999999999996</v>
      </c>
      <c r="BA18">
        <v>0.70499999999999996</v>
      </c>
      <c r="BC18">
        <v>0.76</v>
      </c>
      <c r="BD18">
        <v>0.76</v>
      </c>
      <c r="BF18">
        <v>0.73499999999999999</v>
      </c>
      <c r="BG18">
        <v>0.73499999999999999</v>
      </c>
      <c r="BI18">
        <v>0.77500000000000002</v>
      </c>
      <c r="BJ18">
        <v>0.77500000000000002</v>
      </c>
      <c r="BL18">
        <v>0.77500000000000002</v>
      </c>
      <c r="BM18">
        <v>0.77500000000000002</v>
      </c>
      <c r="BO18">
        <v>0.84</v>
      </c>
      <c r="BP18">
        <v>0.84</v>
      </c>
      <c r="BR18">
        <v>0.8</v>
      </c>
      <c r="BS18">
        <v>0.8</v>
      </c>
      <c r="BU18">
        <v>0.88500000000000001</v>
      </c>
      <c r="BV18">
        <v>0.88500000000000001</v>
      </c>
      <c r="BX18">
        <v>0.8</v>
      </c>
      <c r="BY18">
        <v>0.8</v>
      </c>
      <c r="CA18">
        <v>1.32</v>
      </c>
      <c r="CB18">
        <v>1.32</v>
      </c>
      <c r="CD18">
        <v>1.06</v>
      </c>
      <c r="CE18">
        <v>1.06</v>
      </c>
      <c r="CG18">
        <v>0.76500000000000001</v>
      </c>
      <c r="CH18">
        <v>0.76500000000000001</v>
      </c>
      <c r="CJ18">
        <v>0.76500000000000001</v>
      </c>
      <c r="CK18">
        <v>0.76500000000000001</v>
      </c>
      <c r="CM18">
        <v>1.06</v>
      </c>
      <c r="CN18">
        <v>1.06</v>
      </c>
      <c r="CP18">
        <v>1.06</v>
      </c>
      <c r="CQ18">
        <v>1.06</v>
      </c>
      <c r="CS18">
        <v>0.76500000000000001</v>
      </c>
      <c r="CT18">
        <v>0.76500000000000001</v>
      </c>
      <c r="CV18">
        <v>1.06</v>
      </c>
      <c r="CW18">
        <v>1.06</v>
      </c>
      <c r="CY18">
        <v>0.76500000000000001</v>
      </c>
      <c r="CZ18">
        <v>0.76500000000000001</v>
      </c>
      <c r="DB18">
        <v>1.06</v>
      </c>
      <c r="DC18">
        <v>1.06</v>
      </c>
      <c r="DE18">
        <v>0.70499999999999996</v>
      </c>
      <c r="DF18">
        <v>0.70499999999999996</v>
      </c>
      <c r="DH18" t="s">
        <v>80</v>
      </c>
      <c r="DI18">
        <v>0.7</v>
      </c>
      <c r="DJ18">
        <v>0.745</v>
      </c>
      <c r="DM18">
        <v>0</v>
      </c>
      <c r="DN18">
        <v>0</v>
      </c>
      <c r="DO18">
        <v>0</v>
      </c>
      <c r="DQ18" t="s">
        <v>273</v>
      </c>
      <c r="DR18" t="s">
        <v>273</v>
      </c>
      <c r="DS18" t="s">
        <v>273</v>
      </c>
      <c r="DT18" t="s">
        <v>273</v>
      </c>
    </row>
    <row r="19" spans="1:124" x14ac:dyDescent="0.2">
      <c r="A19" t="s">
        <v>67</v>
      </c>
      <c r="E19" t="s">
        <v>84</v>
      </c>
      <c r="F19" t="s">
        <v>68</v>
      </c>
      <c r="G19" t="s">
        <v>68</v>
      </c>
      <c r="H19" t="s">
        <v>87</v>
      </c>
      <c r="I19" t="s">
        <v>234</v>
      </c>
      <c r="J19" t="s">
        <v>256</v>
      </c>
      <c r="K19" t="s">
        <v>176</v>
      </c>
      <c r="L19" t="s">
        <v>73</v>
      </c>
      <c r="M19" t="s">
        <v>73</v>
      </c>
      <c r="N19" s="7" t="s">
        <v>263</v>
      </c>
      <c r="O19" t="s">
        <v>96</v>
      </c>
      <c r="P19" t="str">
        <f t="shared" si="0"/>
        <v>DFTL_GPU_GPU_MGX00D_GPUTDF_X12_PL10_X_X_11111110000000011111110000000010_SelsrmSSSS_</v>
      </c>
      <c r="S19">
        <v>1.1200000000000001</v>
      </c>
      <c r="T19">
        <v>1.0528</v>
      </c>
      <c r="U19" t="s">
        <v>74</v>
      </c>
      <c r="V19" t="s">
        <v>230</v>
      </c>
      <c r="Y19" t="s">
        <v>231</v>
      </c>
      <c r="Z19" t="s">
        <v>232</v>
      </c>
      <c r="AA19" t="s">
        <v>233</v>
      </c>
      <c r="AB19" t="s">
        <v>236</v>
      </c>
      <c r="AC19" t="s">
        <v>239</v>
      </c>
      <c r="AF19" t="s">
        <v>240</v>
      </c>
      <c r="AM19" t="s">
        <v>166</v>
      </c>
      <c r="AN19">
        <v>0.73499999999999999</v>
      </c>
      <c r="AO19">
        <v>0.73499999999999999</v>
      </c>
      <c r="AQ19">
        <v>0.71499999999999997</v>
      </c>
      <c r="AR19">
        <v>0.71499999999999997</v>
      </c>
      <c r="AT19">
        <v>1.1499999999999999</v>
      </c>
      <c r="AU19">
        <v>0.7</v>
      </c>
      <c r="AV19">
        <v>5.0000000000000001E-3</v>
      </c>
      <c r="AW19">
        <v>1</v>
      </c>
      <c r="AX19">
        <v>1</v>
      </c>
      <c r="AZ19">
        <v>0.70499999999999996</v>
      </c>
      <c r="BA19">
        <v>0.70499999999999996</v>
      </c>
      <c r="BC19">
        <v>0.76</v>
      </c>
      <c r="BD19">
        <v>0.76</v>
      </c>
      <c r="BF19">
        <v>0.73499999999999999</v>
      </c>
      <c r="BG19">
        <v>0.73499999999999999</v>
      </c>
      <c r="BI19">
        <v>0.77500000000000002</v>
      </c>
      <c r="BJ19">
        <v>0.77500000000000002</v>
      </c>
      <c r="BL19">
        <v>0.77500000000000002</v>
      </c>
      <c r="BM19">
        <v>0.77500000000000002</v>
      </c>
      <c r="BO19">
        <v>0.84</v>
      </c>
      <c r="BP19">
        <v>0.84</v>
      </c>
      <c r="BR19">
        <v>0.8</v>
      </c>
      <c r="BS19">
        <v>0.8</v>
      </c>
      <c r="BU19">
        <v>0.88500000000000001</v>
      </c>
      <c r="BV19">
        <v>0.88500000000000001</v>
      </c>
      <c r="BX19">
        <v>0.8</v>
      </c>
      <c r="BY19">
        <v>0.8</v>
      </c>
      <c r="CA19">
        <v>1.32</v>
      </c>
      <c r="CB19">
        <v>1.32</v>
      </c>
      <c r="CD19">
        <v>1.06</v>
      </c>
      <c r="CE19">
        <v>1.06</v>
      </c>
      <c r="CG19">
        <v>0.76500000000000001</v>
      </c>
      <c r="CH19">
        <v>0.76500000000000001</v>
      </c>
      <c r="CJ19">
        <v>0.76500000000000001</v>
      </c>
      <c r="CK19">
        <v>0.76500000000000001</v>
      </c>
      <c r="CM19">
        <v>1.06</v>
      </c>
      <c r="CN19">
        <v>1.06</v>
      </c>
      <c r="CP19">
        <v>1.06</v>
      </c>
      <c r="CQ19">
        <v>1.06</v>
      </c>
      <c r="CS19">
        <v>0.76500000000000001</v>
      </c>
      <c r="CT19">
        <v>0.76500000000000001</v>
      </c>
      <c r="CV19">
        <v>1.06</v>
      </c>
      <c r="CW19">
        <v>1.06</v>
      </c>
      <c r="CY19">
        <v>0.76500000000000001</v>
      </c>
      <c r="CZ19">
        <v>0.76500000000000001</v>
      </c>
      <c r="DB19">
        <v>1.06</v>
      </c>
      <c r="DC19">
        <v>1.06</v>
      </c>
      <c r="DE19">
        <v>0.70499999999999996</v>
      </c>
      <c r="DF19">
        <v>0.70499999999999996</v>
      </c>
      <c r="DH19" t="s">
        <v>80</v>
      </c>
      <c r="DI19">
        <v>1.0529999999999999</v>
      </c>
      <c r="DJ19">
        <v>1.1200000000000001</v>
      </c>
      <c r="DM19">
        <v>0</v>
      </c>
      <c r="DN19">
        <v>0</v>
      </c>
      <c r="DO19">
        <v>0</v>
      </c>
      <c r="DP19" t="s">
        <v>258</v>
      </c>
      <c r="DQ19" t="s">
        <v>273</v>
      </c>
      <c r="DR19" t="s">
        <v>273</v>
      </c>
      <c r="DS19" t="s">
        <v>273</v>
      </c>
      <c r="DT19" t="s">
        <v>273</v>
      </c>
    </row>
    <row r="20" spans="1:124" x14ac:dyDescent="0.2">
      <c r="A20" t="s">
        <v>67</v>
      </c>
      <c r="E20" t="s">
        <v>84</v>
      </c>
      <c r="F20" t="s">
        <v>99</v>
      </c>
      <c r="G20" t="s">
        <v>69</v>
      </c>
      <c r="H20" t="s">
        <v>91</v>
      </c>
      <c r="I20" t="s">
        <v>212</v>
      </c>
      <c r="J20" t="s">
        <v>114</v>
      </c>
      <c r="K20" t="s">
        <v>223</v>
      </c>
      <c r="L20" t="s">
        <v>73</v>
      </c>
      <c r="M20" t="s">
        <v>73</v>
      </c>
      <c r="N20" t="s">
        <v>224</v>
      </c>
      <c r="O20" t="s">
        <v>96</v>
      </c>
      <c r="P20" t="str">
        <f t="shared" si="0"/>
        <v>DFTL_CPU_SOC_MSX001_CPUTDF_E0XD_PL00_X_X_DOMAIN2_SelsrmSSSS_</v>
      </c>
      <c r="S20">
        <v>0.78500000000000003</v>
      </c>
      <c r="T20">
        <v>0.7379</v>
      </c>
      <c r="U20" t="s">
        <v>74</v>
      </c>
      <c r="V20" t="s">
        <v>208</v>
      </c>
      <c r="W20" t="s">
        <v>225</v>
      </c>
      <c r="X20" t="s">
        <v>226</v>
      </c>
      <c r="AF20" t="s">
        <v>227</v>
      </c>
      <c r="AM20" t="s">
        <v>166</v>
      </c>
      <c r="AN20">
        <v>0.73499999999999999</v>
      </c>
      <c r="AO20">
        <v>0.73499999999999999</v>
      </c>
      <c r="AQ20">
        <v>0.71499999999999997</v>
      </c>
      <c r="AR20">
        <v>0.71499999999999997</v>
      </c>
      <c r="AT20">
        <v>0.745</v>
      </c>
      <c r="AU20">
        <v>0.745</v>
      </c>
      <c r="AW20">
        <v>0.8</v>
      </c>
      <c r="AX20">
        <v>0.4</v>
      </c>
      <c r="AY20">
        <v>5.0000000000000001E-3</v>
      </c>
      <c r="AZ20">
        <v>0.70499999999999996</v>
      </c>
      <c r="BA20">
        <v>0.70499999999999996</v>
      </c>
      <c r="BC20">
        <v>0.76</v>
      </c>
      <c r="BD20">
        <v>0.76</v>
      </c>
      <c r="BF20">
        <v>0.73499999999999999</v>
      </c>
      <c r="BG20">
        <v>0.73499999999999999</v>
      </c>
      <c r="BI20">
        <v>0.77500000000000002</v>
      </c>
      <c r="BJ20">
        <v>0.77500000000000002</v>
      </c>
      <c r="BL20">
        <v>0.77500000000000002</v>
      </c>
      <c r="BM20">
        <v>0.77500000000000002</v>
      </c>
      <c r="BO20">
        <v>0.84</v>
      </c>
      <c r="BP20">
        <v>0.84</v>
      </c>
      <c r="BR20">
        <v>0.8</v>
      </c>
      <c r="BS20">
        <v>0.8</v>
      </c>
      <c r="BU20">
        <v>0.88500000000000001</v>
      </c>
      <c r="BV20">
        <v>0.88500000000000001</v>
      </c>
      <c r="BX20">
        <v>0.8</v>
      </c>
      <c r="BY20">
        <v>0.8</v>
      </c>
      <c r="CA20">
        <v>1.32</v>
      </c>
      <c r="CB20">
        <v>1.32</v>
      </c>
      <c r="CD20">
        <v>1.06</v>
      </c>
      <c r="CE20">
        <v>1.06</v>
      </c>
      <c r="CG20">
        <v>0.76500000000000001</v>
      </c>
      <c r="CH20">
        <v>0.76500000000000001</v>
      </c>
      <c r="CJ20">
        <v>0.76500000000000001</v>
      </c>
      <c r="CK20">
        <v>0.76500000000000001</v>
      </c>
      <c r="CM20">
        <v>1.06</v>
      </c>
      <c r="CN20">
        <v>1.06</v>
      </c>
      <c r="CP20">
        <v>1.06</v>
      </c>
      <c r="CQ20">
        <v>1.06</v>
      </c>
      <c r="CS20">
        <v>0.76500000000000001</v>
      </c>
      <c r="CT20">
        <v>0.76500000000000001</v>
      </c>
      <c r="CV20">
        <v>1.06</v>
      </c>
      <c r="CW20">
        <v>1.06</v>
      </c>
      <c r="CY20">
        <v>0.76500000000000001</v>
      </c>
      <c r="CZ20">
        <v>0.76500000000000001</v>
      </c>
      <c r="DB20">
        <v>1.06</v>
      </c>
      <c r="DC20">
        <v>1.06</v>
      </c>
      <c r="DE20">
        <v>0.70499999999999996</v>
      </c>
      <c r="DF20">
        <v>0.70499999999999996</v>
      </c>
      <c r="DH20" t="s">
        <v>80</v>
      </c>
      <c r="DI20">
        <v>0.73799999999999999</v>
      </c>
      <c r="DJ20">
        <v>0.78500000000000003</v>
      </c>
      <c r="DM20">
        <v>0</v>
      </c>
      <c r="DN20">
        <v>0</v>
      </c>
      <c r="DO20">
        <v>0</v>
      </c>
      <c r="DQ20" t="s">
        <v>273</v>
      </c>
      <c r="DR20" t="s">
        <v>273</v>
      </c>
      <c r="DS20" t="s">
        <v>273</v>
      </c>
      <c r="DT20" t="s">
        <v>273</v>
      </c>
    </row>
    <row r="21" spans="1:124" x14ac:dyDescent="0.2">
      <c r="A21" t="s">
        <v>67</v>
      </c>
      <c r="E21" t="s">
        <v>84</v>
      </c>
      <c r="F21" t="s">
        <v>69</v>
      </c>
      <c r="G21" t="s">
        <v>69</v>
      </c>
      <c r="H21" t="s">
        <v>92</v>
      </c>
      <c r="I21" t="s">
        <v>175</v>
      </c>
      <c r="J21" t="s">
        <v>199</v>
      </c>
      <c r="K21" t="s">
        <v>176</v>
      </c>
      <c r="L21" t="s">
        <v>171</v>
      </c>
      <c r="M21" t="s">
        <v>73</v>
      </c>
      <c r="N21" t="s">
        <v>73</v>
      </c>
      <c r="O21" t="s">
        <v>96</v>
      </c>
      <c r="P21" t="str">
        <f t="shared" si="0"/>
        <v>DFTL_SOC_SOC_MSX005_SOCTDF_CSA0_PL10_SSC_X_X_SelsrmSSSS_</v>
      </c>
      <c r="S21">
        <v>1.232</v>
      </c>
      <c r="T21">
        <v>1.1200000000000001</v>
      </c>
      <c r="U21" t="s">
        <v>74</v>
      </c>
      <c r="V21" t="s">
        <v>200</v>
      </c>
      <c r="W21" t="s">
        <v>173</v>
      </c>
      <c r="X21" t="s">
        <v>174</v>
      </c>
      <c r="Y21" t="s">
        <v>201</v>
      </c>
      <c r="AF21" t="s">
        <v>202</v>
      </c>
      <c r="AM21" t="s">
        <v>166</v>
      </c>
      <c r="AN21">
        <v>0.73499999999999999</v>
      </c>
      <c r="AO21">
        <v>0.73499999999999999</v>
      </c>
      <c r="AQ21">
        <v>0.71499999999999997</v>
      </c>
      <c r="AR21">
        <v>0.71499999999999997</v>
      </c>
      <c r="AT21">
        <v>0.745</v>
      </c>
      <c r="AU21">
        <v>0.745</v>
      </c>
      <c r="AW21">
        <v>1</v>
      </c>
      <c r="AX21">
        <v>0.6</v>
      </c>
      <c r="AY21">
        <v>5.0000000000000001E-3</v>
      </c>
      <c r="AZ21">
        <v>0.70499999999999996</v>
      </c>
      <c r="BA21">
        <v>0.70499999999999996</v>
      </c>
      <c r="BC21">
        <v>0.76</v>
      </c>
      <c r="BD21">
        <v>0.76</v>
      </c>
      <c r="BF21">
        <v>0.73499999999999999</v>
      </c>
      <c r="BG21">
        <v>0.73499999999999999</v>
      </c>
      <c r="BI21">
        <v>0.77500000000000002</v>
      </c>
      <c r="BJ21">
        <v>0.77500000000000002</v>
      </c>
      <c r="BL21">
        <v>0.77500000000000002</v>
      </c>
      <c r="BM21">
        <v>0.77500000000000002</v>
      </c>
      <c r="BO21">
        <v>0.84</v>
      </c>
      <c r="BP21">
        <v>0.84</v>
      </c>
      <c r="BR21">
        <v>0.8</v>
      </c>
      <c r="BS21">
        <v>0.8</v>
      </c>
      <c r="BU21">
        <v>0.88500000000000001</v>
      </c>
      <c r="BV21">
        <v>0.88500000000000001</v>
      </c>
      <c r="BX21">
        <v>0.8</v>
      </c>
      <c r="BY21">
        <v>0.8</v>
      </c>
      <c r="CA21">
        <v>1.32</v>
      </c>
      <c r="CB21">
        <v>1.32</v>
      </c>
      <c r="CD21">
        <v>1.06</v>
      </c>
      <c r="CE21">
        <v>1.06</v>
      </c>
      <c r="CG21">
        <v>0.76500000000000001</v>
      </c>
      <c r="CH21">
        <v>0.76500000000000001</v>
      </c>
      <c r="CJ21">
        <v>0.76500000000000001</v>
      </c>
      <c r="CK21">
        <v>0.76500000000000001</v>
      </c>
      <c r="CM21">
        <v>1.06</v>
      </c>
      <c r="CN21">
        <v>1.06</v>
      </c>
      <c r="CP21">
        <v>1.06</v>
      </c>
      <c r="CQ21">
        <v>1.06</v>
      </c>
      <c r="CS21">
        <v>0.76500000000000001</v>
      </c>
      <c r="CT21">
        <v>0.76500000000000001</v>
      </c>
      <c r="CV21">
        <v>1.06</v>
      </c>
      <c r="CW21">
        <v>1.06</v>
      </c>
      <c r="CY21">
        <v>0.76500000000000001</v>
      </c>
      <c r="CZ21">
        <v>0.76500000000000001</v>
      </c>
      <c r="DB21">
        <v>1.06</v>
      </c>
      <c r="DC21">
        <v>1.06</v>
      </c>
      <c r="DE21">
        <v>0.70499999999999996</v>
      </c>
      <c r="DF21">
        <v>0.70499999999999996</v>
      </c>
      <c r="DH21" t="s">
        <v>80</v>
      </c>
      <c r="DI21">
        <v>1.232</v>
      </c>
      <c r="DJ21">
        <v>1.1200000000000001</v>
      </c>
      <c r="DM21">
        <v>0</v>
      </c>
      <c r="DN21">
        <v>0</v>
      </c>
      <c r="DO21">
        <v>0</v>
      </c>
      <c r="DQ21" t="s">
        <v>273</v>
      </c>
      <c r="DR21" t="s">
        <v>273</v>
      </c>
      <c r="DS21" t="s">
        <v>273</v>
      </c>
      <c r="DT21" t="s">
        <v>273</v>
      </c>
    </row>
    <row r="22" spans="1:124" x14ac:dyDescent="0.2">
      <c r="A22" t="s">
        <v>67</v>
      </c>
      <c r="E22" t="s">
        <v>84</v>
      </c>
      <c r="F22" t="s">
        <v>69</v>
      </c>
      <c r="G22" t="s">
        <v>69</v>
      </c>
      <c r="H22" t="s">
        <v>91</v>
      </c>
      <c r="I22" t="s">
        <v>175</v>
      </c>
      <c r="J22" t="s">
        <v>203</v>
      </c>
      <c r="K22" t="s">
        <v>176</v>
      </c>
      <c r="L22" t="s">
        <v>171</v>
      </c>
      <c r="M22" t="s">
        <v>73</v>
      </c>
      <c r="N22" t="s">
        <v>73</v>
      </c>
      <c r="O22" t="s">
        <v>96</v>
      </c>
      <c r="P22" t="str">
        <f t="shared" si="0"/>
        <v>DFTL_SOC_SOC_MSX001_SOCTDF_CSC0_PL10_SSC_X_X_SelsrmSSSS_</v>
      </c>
      <c r="S22">
        <v>0.78500000000000003</v>
      </c>
      <c r="T22">
        <v>0.7379</v>
      </c>
      <c r="U22" t="s">
        <v>74</v>
      </c>
      <c r="V22" t="s">
        <v>172</v>
      </c>
      <c r="W22" t="s">
        <v>173</v>
      </c>
      <c r="X22" t="s">
        <v>174</v>
      </c>
      <c r="Y22" t="s">
        <v>204</v>
      </c>
      <c r="AF22" t="s">
        <v>205</v>
      </c>
      <c r="AM22" t="s">
        <v>166</v>
      </c>
      <c r="AN22">
        <v>0.73499999999999999</v>
      </c>
      <c r="AO22">
        <v>0.73499999999999999</v>
      </c>
      <c r="AQ22">
        <v>0.71499999999999997</v>
      </c>
      <c r="AR22">
        <v>0.71499999999999997</v>
      </c>
      <c r="AT22">
        <v>0.745</v>
      </c>
      <c r="AU22">
        <v>0.745</v>
      </c>
      <c r="AW22">
        <v>0.8</v>
      </c>
      <c r="AX22">
        <v>0.4</v>
      </c>
      <c r="AY22">
        <v>5.0000000000000001E-3</v>
      </c>
      <c r="AZ22">
        <v>0.70499999999999996</v>
      </c>
      <c r="BA22">
        <v>0.70499999999999996</v>
      </c>
      <c r="BC22">
        <v>0.76</v>
      </c>
      <c r="BD22">
        <v>0.76</v>
      </c>
      <c r="BF22">
        <v>0.73499999999999999</v>
      </c>
      <c r="BG22">
        <v>0.73499999999999999</v>
      </c>
      <c r="BI22">
        <v>0.77500000000000002</v>
      </c>
      <c r="BJ22">
        <v>0.77500000000000002</v>
      </c>
      <c r="BL22">
        <v>0.77500000000000002</v>
      </c>
      <c r="BM22">
        <v>0.77500000000000002</v>
      </c>
      <c r="BO22">
        <v>0.84</v>
      </c>
      <c r="BP22">
        <v>0.84</v>
      </c>
      <c r="BR22">
        <v>0.8</v>
      </c>
      <c r="BS22">
        <v>0.8</v>
      </c>
      <c r="BU22">
        <v>0.88500000000000001</v>
      </c>
      <c r="BV22">
        <v>0.88500000000000001</v>
      </c>
      <c r="BX22">
        <v>0.8</v>
      </c>
      <c r="BY22">
        <v>0.8</v>
      </c>
      <c r="CA22">
        <v>1.32</v>
      </c>
      <c r="CB22">
        <v>1.32</v>
      </c>
      <c r="CD22">
        <v>1.06</v>
      </c>
      <c r="CE22">
        <v>1.06</v>
      </c>
      <c r="CG22">
        <v>0.76500000000000001</v>
      </c>
      <c r="CH22">
        <v>0.76500000000000001</v>
      </c>
      <c r="CJ22">
        <v>0.76500000000000001</v>
      </c>
      <c r="CK22">
        <v>0.76500000000000001</v>
      </c>
      <c r="CM22">
        <v>1.06</v>
      </c>
      <c r="CN22">
        <v>1.06</v>
      </c>
      <c r="CP22">
        <v>1.06</v>
      </c>
      <c r="CQ22">
        <v>1.06</v>
      </c>
      <c r="CS22">
        <v>0.76500000000000001</v>
      </c>
      <c r="CT22">
        <v>0.76500000000000001</v>
      </c>
      <c r="CV22">
        <v>1.06</v>
      </c>
      <c r="CW22">
        <v>1.06</v>
      </c>
      <c r="CY22">
        <v>0.76500000000000001</v>
      </c>
      <c r="CZ22">
        <v>0.76500000000000001</v>
      </c>
      <c r="DB22">
        <v>1.06</v>
      </c>
      <c r="DC22">
        <v>1.06</v>
      </c>
      <c r="DE22">
        <v>0.70499999999999996</v>
      </c>
      <c r="DF22">
        <v>0.70499999999999996</v>
      </c>
      <c r="DH22" t="s">
        <v>80</v>
      </c>
      <c r="DI22">
        <v>0.73799999999999999</v>
      </c>
      <c r="DJ22">
        <v>0.78500000000000003</v>
      </c>
      <c r="DM22">
        <v>0</v>
      </c>
      <c r="DN22">
        <v>0</v>
      </c>
      <c r="DO22">
        <v>0</v>
      </c>
      <c r="DQ22" t="s">
        <v>273</v>
      </c>
      <c r="DR22" t="s">
        <v>273</v>
      </c>
      <c r="DS22" t="s">
        <v>273</v>
      </c>
      <c r="DT22" t="s">
        <v>273</v>
      </c>
    </row>
    <row r="23" spans="1:124" x14ac:dyDescent="0.2">
      <c r="A23" t="s">
        <v>67</v>
      </c>
      <c r="E23" t="s">
        <v>84</v>
      </c>
      <c r="F23" t="s">
        <v>99</v>
      </c>
      <c r="G23" t="s">
        <v>100</v>
      </c>
      <c r="H23" t="s">
        <v>360</v>
      </c>
      <c r="I23" t="s">
        <v>264</v>
      </c>
      <c r="J23" t="s">
        <v>209</v>
      </c>
      <c r="K23" t="s">
        <v>176</v>
      </c>
      <c r="L23" t="s">
        <v>276</v>
      </c>
      <c r="M23" t="s">
        <v>253</v>
      </c>
      <c r="N23" t="s">
        <v>228</v>
      </c>
      <c r="O23" t="s">
        <v>96</v>
      </c>
      <c r="P23" t="str">
        <f t="shared" si="0"/>
        <v>DFTL_CPU_PCPU_MPX00I_CPUTDFM1331C_H0MX_PL10_1MC2_BLK_DIV133_SelsrmSSSS_</v>
      </c>
      <c r="S23">
        <v>1.2</v>
      </c>
      <c r="T23">
        <v>1.1279999999999999</v>
      </c>
      <c r="U23" t="s">
        <v>74</v>
      </c>
      <c r="V23" t="s">
        <v>210</v>
      </c>
      <c r="W23" t="s">
        <v>245</v>
      </c>
      <c r="X23" t="s">
        <v>487</v>
      </c>
      <c r="AF23" t="s">
        <v>254</v>
      </c>
      <c r="AM23" t="s">
        <v>166</v>
      </c>
      <c r="AN23">
        <v>1.3</v>
      </c>
      <c r="AO23">
        <v>0.7</v>
      </c>
      <c r="AP23">
        <v>5.0000000000000001E-3</v>
      </c>
      <c r="AQ23">
        <v>0.71499999999999997</v>
      </c>
      <c r="AR23">
        <v>0.71499999999999997</v>
      </c>
      <c r="AT23">
        <v>0.745</v>
      </c>
      <c r="AU23">
        <v>0.745</v>
      </c>
      <c r="AW23">
        <v>1</v>
      </c>
      <c r="AX23">
        <v>1</v>
      </c>
      <c r="AZ23">
        <v>0.70499999999999996</v>
      </c>
      <c r="BA23">
        <v>0.70499999999999996</v>
      </c>
      <c r="BC23">
        <v>0.76</v>
      </c>
      <c r="BD23">
        <v>0.76</v>
      </c>
      <c r="BF23">
        <v>1.2</v>
      </c>
      <c r="BG23">
        <v>1.2</v>
      </c>
      <c r="BI23">
        <v>0.77500000000000002</v>
      </c>
      <c r="BJ23">
        <v>0.77500000000000002</v>
      </c>
      <c r="BL23">
        <v>0.77500000000000002</v>
      </c>
      <c r="BM23">
        <v>0.77500000000000002</v>
      </c>
      <c r="BO23">
        <v>0.84</v>
      </c>
      <c r="BP23">
        <v>0.84</v>
      </c>
      <c r="BR23">
        <v>0.8</v>
      </c>
      <c r="BS23">
        <v>0.8</v>
      </c>
      <c r="BU23">
        <v>0.88500000000000001</v>
      </c>
      <c r="BV23">
        <v>0.88500000000000001</v>
      </c>
      <c r="BX23">
        <v>0.8</v>
      </c>
      <c r="BY23">
        <v>0.8</v>
      </c>
      <c r="CA23">
        <v>1.32</v>
      </c>
      <c r="CB23">
        <v>1.32</v>
      </c>
      <c r="CD23">
        <v>1.06</v>
      </c>
      <c r="CE23">
        <v>1.06</v>
      </c>
      <c r="CG23">
        <v>0.76500000000000001</v>
      </c>
      <c r="CH23">
        <v>0.76500000000000001</v>
      </c>
      <c r="CJ23">
        <v>0.76500000000000001</v>
      </c>
      <c r="CK23">
        <v>0.76500000000000001</v>
      </c>
      <c r="CM23">
        <v>1.06</v>
      </c>
      <c r="CN23">
        <v>1.06</v>
      </c>
      <c r="CP23">
        <v>1.06</v>
      </c>
      <c r="CQ23">
        <v>1.06</v>
      </c>
      <c r="CS23">
        <v>0.76500000000000001</v>
      </c>
      <c r="CT23">
        <v>0.76500000000000001</v>
      </c>
      <c r="CV23">
        <v>1.06</v>
      </c>
      <c r="CW23">
        <v>1.06</v>
      </c>
      <c r="CY23">
        <v>0.76500000000000001</v>
      </c>
      <c r="CZ23">
        <v>0.76500000000000001</v>
      </c>
      <c r="DB23">
        <v>1.06</v>
      </c>
      <c r="DC23">
        <v>1.06</v>
      </c>
      <c r="DE23">
        <v>0.70499999999999996</v>
      </c>
      <c r="DF23">
        <v>0.70499999999999996</v>
      </c>
      <c r="DH23" t="s">
        <v>80</v>
      </c>
      <c r="DI23">
        <v>1.1279999999999999</v>
      </c>
      <c r="DJ23">
        <v>1.2</v>
      </c>
      <c r="DM23">
        <v>0</v>
      </c>
      <c r="DN23">
        <v>0</v>
      </c>
      <c r="DO23">
        <v>0</v>
      </c>
      <c r="DP23" t="s">
        <v>258</v>
      </c>
      <c r="DQ23" t="s">
        <v>274</v>
      </c>
      <c r="DR23" t="s">
        <v>274</v>
      </c>
    </row>
    <row r="24" spans="1:124" x14ac:dyDescent="0.2">
      <c r="A24" t="s">
        <v>67</v>
      </c>
      <c r="E24" t="s">
        <v>84</v>
      </c>
      <c r="F24" t="s">
        <v>99</v>
      </c>
      <c r="G24" t="s">
        <v>100</v>
      </c>
      <c r="H24" t="s">
        <v>360</v>
      </c>
      <c r="I24" t="s">
        <v>264</v>
      </c>
      <c r="J24" t="s">
        <v>209</v>
      </c>
      <c r="K24" t="s">
        <v>176</v>
      </c>
      <c r="L24" t="s">
        <v>277</v>
      </c>
      <c r="M24" t="s">
        <v>253</v>
      </c>
      <c r="N24" t="s">
        <v>228</v>
      </c>
      <c r="O24" t="s">
        <v>96</v>
      </c>
      <c r="P24" t="str">
        <f t="shared" si="0"/>
        <v>DFTL_CPU_PCPU_MPX00I_CPUTDFM1331C_H0MX_PL10_1MC3_BLK_DIV133_SelsrmSSSS_</v>
      </c>
      <c r="S24">
        <v>1.2</v>
      </c>
      <c r="T24">
        <v>1.1279999999999999</v>
      </c>
      <c r="U24" t="s">
        <v>74</v>
      </c>
      <c r="V24" t="s">
        <v>210</v>
      </c>
      <c r="W24" t="s">
        <v>246</v>
      </c>
      <c r="X24" t="s">
        <v>487</v>
      </c>
      <c r="AF24" t="s">
        <v>254</v>
      </c>
      <c r="AM24" t="s">
        <v>166</v>
      </c>
      <c r="AN24">
        <v>1.3</v>
      </c>
      <c r="AO24">
        <v>0.7</v>
      </c>
      <c r="AP24">
        <v>5.0000000000000001E-3</v>
      </c>
      <c r="AQ24">
        <v>0.71499999999999997</v>
      </c>
      <c r="AR24">
        <v>0.71499999999999997</v>
      </c>
      <c r="AT24">
        <v>0.745</v>
      </c>
      <c r="AU24">
        <v>0.745</v>
      </c>
      <c r="AW24">
        <v>1</v>
      </c>
      <c r="AX24">
        <v>1</v>
      </c>
      <c r="AZ24">
        <v>0.70499999999999996</v>
      </c>
      <c r="BA24">
        <v>0.70499999999999996</v>
      </c>
      <c r="BC24">
        <v>0.76</v>
      </c>
      <c r="BD24">
        <v>0.76</v>
      </c>
      <c r="BF24">
        <v>1.2</v>
      </c>
      <c r="BG24">
        <v>1.2</v>
      </c>
      <c r="BI24">
        <v>0.77500000000000002</v>
      </c>
      <c r="BJ24">
        <v>0.77500000000000002</v>
      </c>
      <c r="BL24">
        <v>0.77500000000000002</v>
      </c>
      <c r="BM24">
        <v>0.77500000000000002</v>
      </c>
      <c r="BO24">
        <v>0.84</v>
      </c>
      <c r="BP24">
        <v>0.84</v>
      </c>
      <c r="BR24">
        <v>0.8</v>
      </c>
      <c r="BS24">
        <v>0.8</v>
      </c>
      <c r="BU24">
        <v>0.88500000000000001</v>
      </c>
      <c r="BV24">
        <v>0.88500000000000001</v>
      </c>
      <c r="BX24">
        <v>0.8</v>
      </c>
      <c r="BY24">
        <v>0.8</v>
      </c>
      <c r="CA24">
        <v>1.32</v>
      </c>
      <c r="CB24">
        <v>1.32</v>
      </c>
      <c r="CD24">
        <v>1.06</v>
      </c>
      <c r="CE24">
        <v>1.06</v>
      </c>
      <c r="CG24">
        <v>0.76500000000000001</v>
      </c>
      <c r="CH24">
        <v>0.76500000000000001</v>
      </c>
      <c r="CJ24">
        <v>0.76500000000000001</v>
      </c>
      <c r="CK24">
        <v>0.76500000000000001</v>
      </c>
      <c r="CM24">
        <v>1.06</v>
      </c>
      <c r="CN24">
        <v>1.06</v>
      </c>
      <c r="CP24">
        <v>1.06</v>
      </c>
      <c r="CQ24">
        <v>1.06</v>
      </c>
      <c r="CS24">
        <v>0.76500000000000001</v>
      </c>
      <c r="CT24">
        <v>0.76500000000000001</v>
      </c>
      <c r="CV24">
        <v>1.06</v>
      </c>
      <c r="CW24">
        <v>1.06</v>
      </c>
      <c r="CY24">
        <v>0.76500000000000001</v>
      </c>
      <c r="CZ24">
        <v>0.76500000000000001</v>
      </c>
      <c r="DB24">
        <v>1.06</v>
      </c>
      <c r="DC24">
        <v>1.06</v>
      </c>
      <c r="DE24">
        <v>0.70499999999999996</v>
      </c>
      <c r="DF24">
        <v>0.70499999999999996</v>
      </c>
      <c r="DH24" t="s">
        <v>80</v>
      </c>
      <c r="DI24">
        <v>1.1279999999999999</v>
      </c>
      <c r="DJ24">
        <v>1.2</v>
      </c>
      <c r="DM24">
        <v>0</v>
      </c>
      <c r="DN24">
        <v>0</v>
      </c>
      <c r="DO24">
        <v>0</v>
      </c>
      <c r="DP24" t="s">
        <v>258</v>
      </c>
      <c r="DQ24" t="s">
        <v>274</v>
      </c>
      <c r="DR24" t="s">
        <v>274</v>
      </c>
    </row>
    <row r="25" spans="1:124" x14ac:dyDescent="0.2">
      <c r="A25" t="s">
        <v>67</v>
      </c>
      <c r="E25" t="s">
        <v>84</v>
      </c>
      <c r="F25" t="s">
        <v>99</v>
      </c>
      <c r="G25" t="s">
        <v>100</v>
      </c>
      <c r="H25" t="s">
        <v>360</v>
      </c>
      <c r="I25" t="s">
        <v>264</v>
      </c>
      <c r="J25" t="s">
        <v>209</v>
      </c>
      <c r="K25" t="s">
        <v>176</v>
      </c>
      <c r="L25" t="s">
        <v>278</v>
      </c>
      <c r="M25" t="s">
        <v>253</v>
      </c>
      <c r="N25" t="s">
        <v>228</v>
      </c>
      <c r="O25" t="s">
        <v>96</v>
      </c>
      <c r="P25" t="str">
        <f t="shared" si="0"/>
        <v>DFTL_CPU_PCPU_MPX00I_CPUTDFM1331C_H0MX_PL10_1MC4_BLK_DIV133_SelsrmSSSS_</v>
      </c>
      <c r="S25">
        <v>1.2</v>
      </c>
      <c r="T25">
        <v>1.1279999999999999</v>
      </c>
      <c r="U25" t="s">
        <v>74</v>
      </c>
      <c r="V25" t="s">
        <v>210</v>
      </c>
      <c r="W25" t="s">
        <v>247</v>
      </c>
      <c r="X25" t="s">
        <v>487</v>
      </c>
      <c r="AF25" t="s">
        <v>254</v>
      </c>
      <c r="AM25" t="s">
        <v>166</v>
      </c>
      <c r="AN25">
        <v>1.3</v>
      </c>
      <c r="AO25">
        <v>0.7</v>
      </c>
      <c r="AP25">
        <v>5.0000000000000001E-3</v>
      </c>
      <c r="AQ25">
        <v>0.71499999999999997</v>
      </c>
      <c r="AR25">
        <v>0.71499999999999997</v>
      </c>
      <c r="AT25">
        <v>0.745</v>
      </c>
      <c r="AU25">
        <v>0.745</v>
      </c>
      <c r="AW25">
        <v>1</v>
      </c>
      <c r="AX25">
        <v>1</v>
      </c>
      <c r="AZ25">
        <v>0.70499999999999996</v>
      </c>
      <c r="BA25">
        <v>0.70499999999999996</v>
      </c>
      <c r="BC25">
        <v>0.76</v>
      </c>
      <c r="BD25">
        <v>0.76</v>
      </c>
      <c r="BF25">
        <v>1.2</v>
      </c>
      <c r="BG25">
        <v>1.2</v>
      </c>
      <c r="BI25">
        <v>0.77500000000000002</v>
      </c>
      <c r="BJ25">
        <v>0.77500000000000002</v>
      </c>
      <c r="BL25">
        <v>0.77500000000000002</v>
      </c>
      <c r="BM25">
        <v>0.77500000000000002</v>
      </c>
      <c r="BO25">
        <v>0.84</v>
      </c>
      <c r="BP25">
        <v>0.84</v>
      </c>
      <c r="BR25">
        <v>0.8</v>
      </c>
      <c r="BS25">
        <v>0.8</v>
      </c>
      <c r="BU25">
        <v>0.88500000000000001</v>
      </c>
      <c r="BV25">
        <v>0.88500000000000001</v>
      </c>
      <c r="BX25">
        <v>0.8</v>
      </c>
      <c r="BY25">
        <v>0.8</v>
      </c>
      <c r="CA25">
        <v>1.32</v>
      </c>
      <c r="CB25">
        <v>1.32</v>
      </c>
      <c r="CD25">
        <v>1.06</v>
      </c>
      <c r="CE25">
        <v>1.06</v>
      </c>
      <c r="CG25">
        <v>0.76500000000000001</v>
      </c>
      <c r="CH25">
        <v>0.76500000000000001</v>
      </c>
      <c r="CJ25">
        <v>0.76500000000000001</v>
      </c>
      <c r="CK25">
        <v>0.76500000000000001</v>
      </c>
      <c r="CM25">
        <v>1.06</v>
      </c>
      <c r="CN25">
        <v>1.06</v>
      </c>
      <c r="CP25">
        <v>1.06</v>
      </c>
      <c r="CQ25">
        <v>1.06</v>
      </c>
      <c r="CS25">
        <v>0.76500000000000001</v>
      </c>
      <c r="CT25">
        <v>0.76500000000000001</v>
      </c>
      <c r="CV25">
        <v>1.06</v>
      </c>
      <c r="CW25">
        <v>1.06</v>
      </c>
      <c r="CY25">
        <v>0.76500000000000001</v>
      </c>
      <c r="CZ25">
        <v>0.76500000000000001</v>
      </c>
      <c r="DB25">
        <v>1.06</v>
      </c>
      <c r="DC25">
        <v>1.06</v>
      </c>
      <c r="DE25">
        <v>0.70499999999999996</v>
      </c>
      <c r="DF25">
        <v>0.70499999999999996</v>
      </c>
      <c r="DH25" t="s">
        <v>80</v>
      </c>
      <c r="DI25">
        <v>1.1279999999999999</v>
      </c>
      <c r="DJ25">
        <v>1.2</v>
      </c>
      <c r="DM25">
        <v>0</v>
      </c>
      <c r="DN25">
        <v>0</v>
      </c>
      <c r="DO25">
        <v>0</v>
      </c>
      <c r="DP25" t="s">
        <v>258</v>
      </c>
      <c r="DQ25" t="s">
        <v>274</v>
      </c>
      <c r="DR25" t="s">
        <v>274</v>
      </c>
    </row>
    <row r="26" spans="1:124" x14ac:dyDescent="0.2">
      <c r="A26" t="s">
        <v>67</v>
      </c>
      <c r="E26" t="s">
        <v>84</v>
      </c>
      <c r="F26" t="s">
        <v>99</v>
      </c>
      <c r="G26" t="s">
        <v>100</v>
      </c>
      <c r="H26" t="s">
        <v>360</v>
      </c>
      <c r="I26" t="s">
        <v>264</v>
      </c>
      <c r="J26" t="s">
        <v>209</v>
      </c>
      <c r="K26" t="s">
        <v>176</v>
      </c>
      <c r="L26" t="s">
        <v>279</v>
      </c>
      <c r="M26" t="s">
        <v>253</v>
      </c>
      <c r="N26" t="s">
        <v>228</v>
      </c>
      <c r="O26" t="s">
        <v>96</v>
      </c>
      <c r="P26" t="str">
        <f t="shared" si="0"/>
        <v>DFTL_CPU_PCPU_MPX00I_CPUTDFM1331C_H0MX_PL10_1MC5_BLK_DIV133_SelsrmSSSS_</v>
      </c>
      <c r="S26">
        <v>1.2</v>
      </c>
      <c r="T26">
        <v>1.1279999999999999</v>
      </c>
      <c r="U26" t="s">
        <v>74</v>
      </c>
      <c r="V26" t="s">
        <v>210</v>
      </c>
      <c r="W26" t="s">
        <v>248</v>
      </c>
      <c r="X26" t="s">
        <v>487</v>
      </c>
      <c r="AF26" t="s">
        <v>254</v>
      </c>
      <c r="AM26" t="s">
        <v>166</v>
      </c>
      <c r="AN26">
        <v>1.3</v>
      </c>
      <c r="AO26">
        <v>0.7</v>
      </c>
      <c r="AP26">
        <v>5.0000000000000001E-3</v>
      </c>
      <c r="AQ26">
        <v>0.71499999999999997</v>
      </c>
      <c r="AR26">
        <v>0.71499999999999997</v>
      </c>
      <c r="AT26">
        <v>0.745</v>
      </c>
      <c r="AU26">
        <v>0.745</v>
      </c>
      <c r="AW26">
        <v>1</v>
      </c>
      <c r="AX26">
        <v>1</v>
      </c>
      <c r="AZ26">
        <v>0.70499999999999996</v>
      </c>
      <c r="BA26">
        <v>0.70499999999999996</v>
      </c>
      <c r="BC26">
        <v>0.76</v>
      </c>
      <c r="BD26">
        <v>0.76</v>
      </c>
      <c r="BF26">
        <v>1.2</v>
      </c>
      <c r="BG26">
        <v>1.2</v>
      </c>
      <c r="BI26">
        <v>0.77500000000000002</v>
      </c>
      <c r="BJ26">
        <v>0.77500000000000002</v>
      </c>
      <c r="BL26">
        <v>0.77500000000000002</v>
      </c>
      <c r="BM26">
        <v>0.77500000000000002</v>
      </c>
      <c r="BO26">
        <v>0.84</v>
      </c>
      <c r="BP26">
        <v>0.84</v>
      </c>
      <c r="BR26">
        <v>0.8</v>
      </c>
      <c r="BS26">
        <v>0.8</v>
      </c>
      <c r="BU26">
        <v>0.88500000000000001</v>
      </c>
      <c r="BV26">
        <v>0.88500000000000001</v>
      </c>
      <c r="BX26">
        <v>0.8</v>
      </c>
      <c r="BY26">
        <v>0.8</v>
      </c>
      <c r="CA26">
        <v>1.32</v>
      </c>
      <c r="CB26">
        <v>1.32</v>
      </c>
      <c r="CD26">
        <v>1.06</v>
      </c>
      <c r="CE26">
        <v>1.06</v>
      </c>
      <c r="CG26">
        <v>0.76500000000000001</v>
      </c>
      <c r="CH26">
        <v>0.76500000000000001</v>
      </c>
      <c r="CJ26">
        <v>0.76500000000000001</v>
      </c>
      <c r="CK26">
        <v>0.76500000000000001</v>
      </c>
      <c r="CM26">
        <v>1.06</v>
      </c>
      <c r="CN26">
        <v>1.06</v>
      </c>
      <c r="CP26">
        <v>1.06</v>
      </c>
      <c r="CQ26">
        <v>1.06</v>
      </c>
      <c r="CS26">
        <v>0.76500000000000001</v>
      </c>
      <c r="CT26">
        <v>0.76500000000000001</v>
      </c>
      <c r="CV26">
        <v>1.06</v>
      </c>
      <c r="CW26">
        <v>1.06</v>
      </c>
      <c r="CY26">
        <v>0.76500000000000001</v>
      </c>
      <c r="CZ26">
        <v>0.76500000000000001</v>
      </c>
      <c r="DB26">
        <v>1.06</v>
      </c>
      <c r="DC26">
        <v>1.06</v>
      </c>
      <c r="DE26">
        <v>0.70499999999999996</v>
      </c>
      <c r="DF26">
        <v>0.70499999999999996</v>
      </c>
      <c r="DH26" t="s">
        <v>80</v>
      </c>
      <c r="DI26">
        <v>1.1279999999999999</v>
      </c>
      <c r="DJ26">
        <v>1.2</v>
      </c>
      <c r="DM26">
        <v>0</v>
      </c>
      <c r="DN26">
        <v>0</v>
      </c>
      <c r="DO26">
        <v>0</v>
      </c>
      <c r="DP26" t="s">
        <v>258</v>
      </c>
      <c r="DQ26" t="s">
        <v>274</v>
      </c>
      <c r="DR26" t="s">
        <v>274</v>
      </c>
    </row>
    <row r="27" spans="1:124" x14ac:dyDescent="0.2">
      <c r="A27" t="s">
        <v>67</v>
      </c>
      <c r="E27" t="s">
        <v>84</v>
      </c>
      <c r="F27" t="s">
        <v>99</v>
      </c>
      <c r="G27" t="s">
        <v>100</v>
      </c>
      <c r="H27" t="s">
        <v>360</v>
      </c>
      <c r="I27" t="s">
        <v>265</v>
      </c>
      <c r="J27" t="s">
        <v>211</v>
      </c>
      <c r="K27" t="s">
        <v>176</v>
      </c>
      <c r="L27" t="s">
        <v>259</v>
      </c>
      <c r="M27" t="s">
        <v>253</v>
      </c>
      <c r="N27" t="s">
        <v>228</v>
      </c>
      <c r="O27" t="s">
        <v>96</v>
      </c>
      <c r="P27" t="str">
        <f t="shared" si="0"/>
        <v>DFTL_CPU_PCPU_MPX00I_CPUTDFP1331C_H0PD_PL10_1PC0_BLK_DIV133_SelsrmSSSS_</v>
      </c>
      <c r="S27">
        <v>1.2</v>
      </c>
      <c r="T27">
        <v>1.1279999999999999</v>
      </c>
      <c r="U27" t="s">
        <v>74</v>
      </c>
      <c r="V27" t="s">
        <v>210</v>
      </c>
      <c r="W27" t="s">
        <v>249</v>
      </c>
      <c r="X27" t="s">
        <v>487</v>
      </c>
      <c r="AF27" t="s">
        <v>255</v>
      </c>
      <c r="AM27" t="s">
        <v>166</v>
      </c>
      <c r="AN27">
        <v>1.3</v>
      </c>
      <c r="AO27">
        <v>0.7</v>
      </c>
      <c r="AP27">
        <v>5.0000000000000001E-3</v>
      </c>
      <c r="AQ27">
        <v>0.71499999999999997</v>
      </c>
      <c r="AR27">
        <v>0.71499999999999997</v>
      </c>
      <c r="AT27">
        <v>0.745</v>
      </c>
      <c r="AU27">
        <v>0.745</v>
      </c>
      <c r="AW27">
        <v>1</v>
      </c>
      <c r="AX27">
        <v>1</v>
      </c>
      <c r="AZ27">
        <v>0.70499999999999996</v>
      </c>
      <c r="BA27">
        <v>0.70499999999999996</v>
      </c>
      <c r="BC27">
        <v>0.76</v>
      </c>
      <c r="BD27">
        <v>0.76</v>
      </c>
      <c r="BF27">
        <v>1.2</v>
      </c>
      <c r="BG27">
        <v>1.2</v>
      </c>
      <c r="BI27">
        <v>0.77500000000000002</v>
      </c>
      <c r="BJ27">
        <v>0.77500000000000002</v>
      </c>
      <c r="BL27">
        <v>0.77500000000000002</v>
      </c>
      <c r="BM27">
        <v>0.77500000000000002</v>
      </c>
      <c r="BO27">
        <v>0.84</v>
      </c>
      <c r="BP27">
        <v>0.84</v>
      </c>
      <c r="BR27">
        <v>0.8</v>
      </c>
      <c r="BS27">
        <v>0.8</v>
      </c>
      <c r="BU27">
        <v>0.88500000000000001</v>
      </c>
      <c r="BV27">
        <v>0.88500000000000001</v>
      </c>
      <c r="BX27">
        <v>0.8</v>
      </c>
      <c r="BY27">
        <v>0.8</v>
      </c>
      <c r="CA27">
        <v>1.32</v>
      </c>
      <c r="CB27">
        <v>1.32</v>
      </c>
      <c r="CD27">
        <v>1.06</v>
      </c>
      <c r="CE27">
        <v>1.06</v>
      </c>
      <c r="CG27">
        <v>0.76500000000000001</v>
      </c>
      <c r="CH27">
        <v>0.76500000000000001</v>
      </c>
      <c r="CJ27">
        <v>0.76500000000000001</v>
      </c>
      <c r="CK27">
        <v>0.76500000000000001</v>
      </c>
      <c r="CM27">
        <v>1.06</v>
      </c>
      <c r="CN27">
        <v>1.06</v>
      </c>
      <c r="CP27">
        <v>1.06</v>
      </c>
      <c r="CQ27">
        <v>1.06</v>
      </c>
      <c r="CS27">
        <v>0.76500000000000001</v>
      </c>
      <c r="CT27">
        <v>0.76500000000000001</v>
      </c>
      <c r="CV27">
        <v>1.06</v>
      </c>
      <c r="CW27">
        <v>1.06</v>
      </c>
      <c r="CY27">
        <v>0.76500000000000001</v>
      </c>
      <c r="CZ27">
        <v>0.76500000000000001</v>
      </c>
      <c r="DB27">
        <v>1.06</v>
      </c>
      <c r="DC27">
        <v>1.06</v>
      </c>
      <c r="DE27">
        <v>0.70499999999999996</v>
      </c>
      <c r="DF27">
        <v>0.70499999999999996</v>
      </c>
      <c r="DH27" t="s">
        <v>80</v>
      </c>
      <c r="DI27">
        <v>1.1279999999999999</v>
      </c>
      <c r="DJ27">
        <v>1.2</v>
      </c>
      <c r="DM27">
        <v>0</v>
      </c>
      <c r="DN27">
        <v>0</v>
      </c>
      <c r="DO27">
        <v>0</v>
      </c>
      <c r="DP27" t="s">
        <v>258</v>
      </c>
      <c r="DQ27" t="s">
        <v>274</v>
      </c>
      <c r="DR27" t="s">
        <v>274</v>
      </c>
    </row>
    <row r="28" spans="1:124" x14ac:dyDescent="0.2">
      <c r="A28" t="s">
        <v>67</v>
      </c>
      <c r="E28" t="s">
        <v>84</v>
      </c>
      <c r="F28" t="s">
        <v>99</v>
      </c>
      <c r="G28" t="s">
        <v>100</v>
      </c>
      <c r="H28" t="s">
        <v>360</v>
      </c>
      <c r="I28" t="s">
        <v>265</v>
      </c>
      <c r="J28" t="s">
        <v>211</v>
      </c>
      <c r="K28" t="s">
        <v>176</v>
      </c>
      <c r="L28" t="s">
        <v>260</v>
      </c>
      <c r="M28" t="s">
        <v>253</v>
      </c>
      <c r="N28" t="s">
        <v>228</v>
      </c>
      <c r="O28" t="s">
        <v>96</v>
      </c>
      <c r="P28" t="str">
        <f t="shared" si="0"/>
        <v>DFTL_CPU_PCPU_MPX00I_CPUTDFP1331C_H0PD_PL10_1PC1_BLK_DIV133_SelsrmSSSS_</v>
      </c>
      <c r="S28">
        <v>1.2</v>
      </c>
      <c r="T28">
        <v>1.1279999999999999</v>
      </c>
      <c r="U28" t="s">
        <v>74</v>
      </c>
      <c r="V28" t="s">
        <v>210</v>
      </c>
      <c r="W28" t="s">
        <v>250</v>
      </c>
      <c r="X28" t="s">
        <v>487</v>
      </c>
      <c r="AF28" t="s">
        <v>255</v>
      </c>
      <c r="AM28" t="s">
        <v>166</v>
      </c>
      <c r="AN28">
        <v>1.3</v>
      </c>
      <c r="AO28">
        <v>0.7</v>
      </c>
      <c r="AP28">
        <v>5.0000000000000001E-3</v>
      </c>
      <c r="AQ28">
        <v>0.71499999999999997</v>
      </c>
      <c r="AR28">
        <v>0.71499999999999997</v>
      </c>
      <c r="AT28">
        <v>0.745</v>
      </c>
      <c r="AU28">
        <v>0.745</v>
      </c>
      <c r="AW28">
        <v>1</v>
      </c>
      <c r="AX28">
        <v>1</v>
      </c>
      <c r="AZ28">
        <v>0.70499999999999996</v>
      </c>
      <c r="BA28">
        <v>0.70499999999999996</v>
      </c>
      <c r="BC28">
        <v>0.76</v>
      </c>
      <c r="BD28">
        <v>0.76</v>
      </c>
      <c r="BF28">
        <v>1.2</v>
      </c>
      <c r="BG28">
        <v>1.2</v>
      </c>
      <c r="BI28">
        <v>0.77500000000000002</v>
      </c>
      <c r="BJ28">
        <v>0.77500000000000002</v>
      </c>
      <c r="BL28">
        <v>0.77500000000000002</v>
      </c>
      <c r="BM28">
        <v>0.77500000000000002</v>
      </c>
      <c r="BO28">
        <v>0.84</v>
      </c>
      <c r="BP28">
        <v>0.84</v>
      </c>
      <c r="BR28">
        <v>0.8</v>
      </c>
      <c r="BS28">
        <v>0.8</v>
      </c>
      <c r="BU28">
        <v>0.88500000000000001</v>
      </c>
      <c r="BV28">
        <v>0.88500000000000001</v>
      </c>
      <c r="BX28">
        <v>0.8</v>
      </c>
      <c r="BY28">
        <v>0.8</v>
      </c>
      <c r="CA28">
        <v>1.32</v>
      </c>
      <c r="CB28">
        <v>1.32</v>
      </c>
      <c r="CD28">
        <v>1.06</v>
      </c>
      <c r="CE28">
        <v>1.06</v>
      </c>
      <c r="CG28">
        <v>0.76500000000000001</v>
      </c>
      <c r="CH28">
        <v>0.76500000000000001</v>
      </c>
      <c r="CJ28">
        <v>0.76500000000000001</v>
      </c>
      <c r="CK28">
        <v>0.76500000000000001</v>
      </c>
      <c r="CM28">
        <v>1.06</v>
      </c>
      <c r="CN28">
        <v>1.06</v>
      </c>
      <c r="CP28">
        <v>1.06</v>
      </c>
      <c r="CQ28">
        <v>1.06</v>
      </c>
      <c r="CS28">
        <v>0.76500000000000001</v>
      </c>
      <c r="CT28">
        <v>0.76500000000000001</v>
      </c>
      <c r="CV28">
        <v>1.06</v>
      </c>
      <c r="CW28">
        <v>1.06</v>
      </c>
      <c r="CY28">
        <v>0.76500000000000001</v>
      </c>
      <c r="CZ28">
        <v>0.76500000000000001</v>
      </c>
      <c r="DB28">
        <v>1.06</v>
      </c>
      <c r="DC28">
        <v>1.06</v>
      </c>
      <c r="DE28">
        <v>0.70499999999999996</v>
      </c>
      <c r="DF28">
        <v>0.70499999999999996</v>
      </c>
      <c r="DH28" t="s">
        <v>80</v>
      </c>
      <c r="DI28">
        <v>1.1279999999999999</v>
      </c>
      <c r="DJ28">
        <v>1.2</v>
      </c>
      <c r="DM28">
        <v>0</v>
      </c>
      <c r="DN28">
        <v>0</v>
      </c>
      <c r="DO28">
        <v>0</v>
      </c>
      <c r="DP28" t="s">
        <v>258</v>
      </c>
      <c r="DQ28" t="s">
        <v>274</v>
      </c>
      <c r="DR28" t="s">
        <v>274</v>
      </c>
    </row>
    <row r="29" spans="1:124" x14ac:dyDescent="0.2">
      <c r="A29" t="s">
        <v>67</v>
      </c>
      <c r="E29" t="s">
        <v>84</v>
      </c>
      <c r="F29" t="s">
        <v>99</v>
      </c>
      <c r="G29" t="s">
        <v>106</v>
      </c>
      <c r="H29" t="s">
        <v>109</v>
      </c>
      <c r="I29" t="s">
        <v>116</v>
      </c>
      <c r="J29" t="s">
        <v>111</v>
      </c>
      <c r="K29" t="s">
        <v>71</v>
      </c>
      <c r="L29" t="s">
        <v>102</v>
      </c>
      <c r="M29" t="s">
        <v>103</v>
      </c>
      <c r="N29" t="s">
        <v>73</v>
      </c>
      <c r="O29" t="s">
        <v>96</v>
      </c>
      <c r="P29" t="str">
        <f t="shared" si="0"/>
        <v>DFTL_CPU_CPUSRAM_MPX00J_CPUBST_H0HX_PLLP_59N_REPREST_X_SelsrmSSSS_</v>
      </c>
      <c r="S29">
        <v>1.2</v>
      </c>
      <c r="T29">
        <v>1.1279999999999999</v>
      </c>
      <c r="U29" t="s">
        <v>74</v>
      </c>
      <c r="V29" t="s">
        <v>104</v>
      </c>
      <c r="W29" t="s">
        <v>105</v>
      </c>
      <c r="X29" t="s">
        <v>110</v>
      </c>
      <c r="AF29" t="s">
        <v>119</v>
      </c>
      <c r="AM29" t="s">
        <v>166</v>
      </c>
      <c r="AN29">
        <v>1.3</v>
      </c>
      <c r="AO29">
        <v>1.3</v>
      </c>
      <c r="AQ29">
        <v>0.71499999999999997</v>
      </c>
      <c r="AR29">
        <v>0.71499999999999997</v>
      </c>
      <c r="AT29">
        <v>0.745</v>
      </c>
      <c r="AU29">
        <v>0.745</v>
      </c>
      <c r="AW29">
        <v>1</v>
      </c>
      <c r="AX29">
        <v>1</v>
      </c>
      <c r="AZ29">
        <v>0.70499999999999996</v>
      </c>
      <c r="BA29">
        <v>0.70499999999999996</v>
      </c>
      <c r="BC29">
        <v>0.76</v>
      </c>
      <c r="BD29">
        <v>0.76</v>
      </c>
      <c r="BF29">
        <v>1.3</v>
      </c>
      <c r="BG29">
        <v>0.7</v>
      </c>
      <c r="BH29">
        <v>0.01</v>
      </c>
      <c r="BI29">
        <v>0.82</v>
      </c>
      <c r="BJ29">
        <v>0.82</v>
      </c>
      <c r="BL29">
        <v>0.82</v>
      </c>
      <c r="BM29">
        <v>0.82</v>
      </c>
      <c r="BO29">
        <v>0.84</v>
      </c>
      <c r="BP29">
        <v>0.84</v>
      </c>
      <c r="BR29">
        <v>0.8</v>
      </c>
      <c r="BS29">
        <v>0.8</v>
      </c>
      <c r="BU29">
        <v>0.88500000000000001</v>
      </c>
      <c r="BV29">
        <v>0.88500000000000001</v>
      </c>
      <c r="BX29">
        <v>0.8</v>
      </c>
      <c r="BY29">
        <v>0.8</v>
      </c>
      <c r="CA29">
        <v>1.32</v>
      </c>
      <c r="CB29">
        <v>1.32</v>
      </c>
      <c r="CD29">
        <v>1.06</v>
      </c>
      <c r="CE29">
        <v>1.06</v>
      </c>
      <c r="CG29">
        <v>0.76500000000000001</v>
      </c>
      <c r="CH29">
        <v>0.76500000000000001</v>
      </c>
      <c r="CJ29">
        <v>0.76500000000000001</v>
      </c>
      <c r="CK29">
        <v>0.76500000000000001</v>
      </c>
      <c r="CM29">
        <v>1.06</v>
      </c>
      <c r="CN29">
        <v>1.06</v>
      </c>
      <c r="CP29">
        <v>1.06</v>
      </c>
      <c r="CQ29">
        <v>1.06</v>
      </c>
      <c r="CS29">
        <v>0.76500000000000001</v>
      </c>
      <c r="CT29">
        <v>0.76500000000000001</v>
      </c>
      <c r="CV29">
        <v>1.06</v>
      </c>
      <c r="CW29">
        <v>1.06</v>
      </c>
      <c r="CY29">
        <v>0.76500000000000001</v>
      </c>
      <c r="CZ29">
        <v>0.76500000000000001</v>
      </c>
      <c r="DB29">
        <v>1.06</v>
      </c>
      <c r="DC29">
        <v>1.06</v>
      </c>
      <c r="DE29">
        <v>0.70499999999999996</v>
      </c>
      <c r="DF29">
        <v>0.70499999999999996</v>
      </c>
      <c r="DH29" t="s">
        <v>80</v>
      </c>
      <c r="DI29">
        <v>1.1279999999999999</v>
      </c>
      <c r="DJ29">
        <v>1.2</v>
      </c>
      <c r="DM29">
        <v>0</v>
      </c>
      <c r="DN29">
        <v>0</v>
      </c>
      <c r="DO29">
        <v>0</v>
      </c>
      <c r="DP29" t="s">
        <v>258</v>
      </c>
      <c r="DQ29" t="s">
        <v>273</v>
      </c>
      <c r="DR29" t="s">
        <v>273</v>
      </c>
    </row>
    <row r="30" spans="1:124" x14ac:dyDescent="0.2">
      <c r="A30" t="s">
        <v>67</v>
      </c>
      <c r="E30" t="s">
        <v>84</v>
      </c>
      <c r="F30" t="s">
        <v>68</v>
      </c>
      <c r="G30" t="s">
        <v>68</v>
      </c>
      <c r="H30" t="s">
        <v>88</v>
      </c>
      <c r="I30" t="s">
        <v>234</v>
      </c>
      <c r="J30" t="s">
        <v>256</v>
      </c>
      <c r="K30" t="s">
        <v>176</v>
      </c>
      <c r="L30" t="s">
        <v>73</v>
      </c>
      <c r="M30" t="s">
        <v>73</v>
      </c>
      <c r="N30" s="7" t="s">
        <v>263</v>
      </c>
      <c r="O30" t="s">
        <v>96</v>
      </c>
      <c r="P30" t="str">
        <f t="shared" si="0"/>
        <v>DFTL_GPU_GPU_MGX00E_GPUTDF_X12_PL10_X_X_11111110000000011111110000000010_SelsrmSSSS_</v>
      </c>
      <c r="S30">
        <v>1.2</v>
      </c>
      <c r="T30">
        <v>1.1279999999999999</v>
      </c>
      <c r="U30" t="s">
        <v>74</v>
      </c>
      <c r="V30" t="s">
        <v>230</v>
      </c>
      <c r="Y30" t="s">
        <v>231</v>
      </c>
      <c r="Z30" t="s">
        <v>232</v>
      </c>
      <c r="AA30" t="s">
        <v>233</v>
      </c>
      <c r="AB30" t="s">
        <v>237</v>
      </c>
      <c r="AC30" t="s">
        <v>239</v>
      </c>
      <c r="AF30" t="s">
        <v>240</v>
      </c>
      <c r="AM30" t="s">
        <v>166</v>
      </c>
      <c r="AN30">
        <v>0.73499999999999999</v>
      </c>
      <c r="AO30">
        <v>0.73499999999999999</v>
      </c>
      <c r="AQ30">
        <v>0.71499999999999997</v>
      </c>
      <c r="AR30">
        <v>0.71499999999999997</v>
      </c>
      <c r="AT30">
        <v>1.25</v>
      </c>
      <c r="AU30">
        <v>0.7</v>
      </c>
      <c r="AV30">
        <v>5.0000000000000001E-3</v>
      </c>
      <c r="AW30">
        <v>1</v>
      </c>
      <c r="AX30">
        <v>1</v>
      </c>
      <c r="AZ30">
        <v>0.70499999999999996</v>
      </c>
      <c r="BA30">
        <v>0.70499999999999996</v>
      </c>
      <c r="BC30">
        <v>0.76</v>
      </c>
      <c r="BD30">
        <v>0.76</v>
      </c>
      <c r="BF30">
        <v>0.73499999999999999</v>
      </c>
      <c r="BG30">
        <v>0.73499999999999999</v>
      </c>
      <c r="BI30">
        <v>0.77500000000000002</v>
      </c>
      <c r="BJ30">
        <v>0.77500000000000002</v>
      </c>
      <c r="BL30">
        <v>0.77500000000000002</v>
      </c>
      <c r="BM30">
        <v>0.77500000000000002</v>
      </c>
      <c r="BO30">
        <v>0.84</v>
      </c>
      <c r="BP30">
        <v>0.84</v>
      </c>
      <c r="BR30">
        <v>0.8</v>
      </c>
      <c r="BS30">
        <v>0.8</v>
      </c>
      <c r="BU30">
        <v>0.88500000000000001</v>
      </c>
      <c r="BV30">
        <v>0.88500000000000001</v>
      </c>
      <c r="BX30">
        <v>0.8</v>
      </c>
      <c r="BY30">
        <v>0.8</v>
      </c>
      <c r="CA30">
        <v>1.32</v>
      </c>
      <c r="CB30">
        <v>1.32</v>
      </c>
      <c r="CD30">
        <v>1.06</v>
      </c>
      <c r="CE30">
        <v>1.06</v>
      </c>
      <c r="CG30">
        <v>0.76500000000000001</v>
      </c>
      <c r="CH30">
        <v>0.76500000000000001</v>
      </c>
      <c r="CJ30">
        <v>0.76500000000000001</v>
      </c>
      <c r="CK30">
        <v>0.76500000000000001</v>
      </c>
      <c r="CM30">
        <v>1.06</v>
      </c>
      <c r="CN30">
        <v>1.06</v>
      </c>
      <c r="CP30">
        <v>1.06</v>
      </c>
      <c r="CQ30">
        <v>1.06</v>
      </c>
      <c r="CS30">
        <v>0.76500000000000001</v>
      </c>
      <c r="CT30">
        <v>0.76500000000000001</v>
      </c>
      <c r="CV30">
        <v>1.06</v>
      </c>
      <c r="CW30">
        <v>1.06</v>
      </c>
      <c r="CY30">
        <v>0.76500000000000001</v>
      </c>
      <c r="CZ30">
        <v>0.76500000000000001</v>
      </c>
      <c r="DB30">
        <v>1.06</v>
      </c>
      <c r="DC30">
        <v>1.06</v>
      </c>
      <c r="DE30">
        <v>0.70499999999999996</v>
      </c>
      <c r="DF30">
        <v>0.70499999999999996</v>
      </c>
      <c r="DH30" t="s">
        <v>80</v>
      </c>
      <c r="DI30">
        <v>1.1279999999999999</v>
      </c>
      <c r="DJ30">
        <v>1.2</v>
      </c>
      <c r="DM30">
        <v>0</v>
      </c>
      <c r="DN30">
        <v>0</v>
      </c>
      <c r="DO30">
        <v>0</v>
      </c>
      <c r="DP30" t="s">
        <v>258</v>
      </c>
      <c r="DQ30" t="s">
        <v>274</v>
      </c>
      <c r="DR30" t="s">
        <v>274</v>
      </c>
    </row>
    <row r="31" spans="1:124" x14ac:dyDescent="0.2">
      <c r="A31" t="s">
        <v>67</v>
      </c>
      <c r="E31" t="s">
        <v>84</v>
      </c>
      <c r="F31" t="s">
        <v>68</v>
      </c>
      <c r="G31" t="s">
        <v>68</v>
      </c>
      <c r="H31" t="s">
        <v>89</v>
      </c>
      <c r="I31" t="s">
        <v>234</v>
      </c>
      <c r="J31" t="s">
        <v>256</v>
      </c>
      <c r="K31" t="s">
        <v>176</v>
      </c>
      <c r="L31" t="s">
        <v>73</v>
      </c>
      <c r="M31" t="s">
        <v>73</v>
      </c>
      <c r="N31" s="7" t="s">
        <v>263</v>
      </c>
      <c r="O31" t="s">
        <v>96</v>
      </c>
      <c r="P31" t="str">
        <f t="shared" si="0"/>
        <v>DFTL_GPU_GPU_MGX00F_GPUTDF_X12_PL10_X_X_11111110000000011111110000000010_SelsrmSSSS_</v>
      </c>
      <c r="S31">
        <v>1.32</v>
      </c>
      <c r="T31">
        <v>1.2</v>
      </c>
      <c r="U31" t="s">
        <v>74</v>
      </c>
      <c r="V31" t="s">
        <v>230</v>
      </c>
      <c r="Y31" t="s">
        <v>231</v>
      </c>
      <c r="Z31" t="s">
        <v>232</v>
      </c>
      <c r="AA31" t="s">
        <v>233</v>
      </c>
      <c r="AB31" t="s">
        <v>238</v>
      </c>
      <c r="AC31" t="s">
        <v>239</v>
      </c>
      <c r="AF31" t="s">
        <v>240</v>
      </c>
      <c r="AM31" t="s">
        <v>166</v>
      </c>
      <c r="AN31">
        <v>0.73499999999999999</v>
      </c>
      <c r="AO31">
        <v>0.73499999999999999</v>
      </c>
      <c r="AQ31">
        <v>0.71499999999999997</v>
      </c>
      <c r="AR31">
        <v>0.71499999999999997</v>
      </c>
      <c r="AT31">
        <v>1.3</v>
      </c>
      <c r="AU31">
        <v>0.7</v>
      </c>
      <c r="AV31">
        <v>5.0000000000000001E-3</v>
      </c>
      <c r="AW31">
        <v>1</v>
      </c>
      <c r="AX31">
        <v>1</v>
      </c>
      <c r="AZ31">
        <v>0.70499999999999996</v>
      </c>
      <c r="BA31">
        <v>0.70499999999999996</v>
      </c>
      <c r="BC31">
        <v>0.76</v>
      </c>
      <c r="BD31">
        <v>0.76</v>
      </c>
      <c r="BF31">
        <v>0.73499999999999999</v>
      </c>
      <c r="BG31">
        <v>0.73499999999999999</v>
      </c>
      <c r="BI31">
        <v>0.77500000000000002</v>
      </c>
      <c r="BJ31">
        <v>0.77500000000000002</v>
      </c>
      <c r="BL31">
        <v>0.77500000000000002</v>
      </c>
      <c r="BM31">
        <v>0.77500000000000002</v>
      </c>
      <c r="BO31">
        <v>0.84</v>
      </c>
      <c r="BP31">
        <v>0.84</v>
      </c>
      <c r="BR31">
        <v>0.8</v>
      </c>
      <c r="BS31">
        <v>0.8</v>
      </c>
      <c r="BU31">
        <v>0.88500000000000001</v>
      </c>
      <c r="BV31">
        <v>0.88500000000000001</v>
      </c>
      <c r="BX31">
        <v>0.8</v>
      </c>
      <c r="BY31">
        <v>0.8</v>
      </c>
      <c r="CA31">
        <v>1.32</v>
      </c>
      <c r="CB31">
        <v>1.32</v>
      </c>
      <c r="CD31">
        <v>1.06</v>
      </c>
      <c r="CE31">
        <v>1.06</v>
      </c>
      <c r="CG31">
        <v>0.76500000000000001</v>
      </c>
      <c r="CH31">
        <v>0.76500000000000001</v>
      </c>
      <c r="CJ31">
        <v>0.76500000000000001</v>
      </c>
      <c r="CK31">
        <v>0.76500000000000001</v>
      </c>
      <c r="CM31">
        <v>1.06</v>
      </c>
      <c r="CN31">
        <v>1.06</v>
      </c>
      <c r="CP31">
        <v>1.06</v>
      </c>
      <c r="CQ31">
        <v>1.06</v>
      </c>
      <c r="CS31">
        <v>0.76500000000000001</v>
      </c>
      <c r="CT31">
        <v>0.76500000000000001</v>
      </c>
      <c r="CV31">
        <v>1.06</v>
      </c>
      <c r="CW31">
        <v>1.06</v>
      </c>
      <c r="CY31">
        <v>0.76500000000000001</v>
      </c>
      <c r="CZ31">
        <v>0.76500000000000001</v>
      </c>
      <c r="DB31">
        <v>1.06</v>
      </c>
      <c r="DC31">
        <v>1.06</v>
      </c>
      <c r="DE31">
        <v>0.70499999999999996</v>
      </c>
      <c r="DF31">
        <v>0.70499999999999996</v>
      </c>
      <c r="DH31" t="s">
        <v>80</v>
      </c>
      <c r="DI31">
        <v>1.32</v>
      </c>
      <c r="DJ31">
        <v>1.2</v>
      </c>
      <c r="DM31">
        <v>0</v>
      </c>
      <c r="DN31">
        <v>0</v>
      </c>
      <c r="DO31">
        <v>0</v>
      </c>
      <c r="DP31" t="s">
        <v>258</v>
      </c>
      <c r="DQ31" t="s">
        <v>274</v>
      </c>
      <c r="DR31" t="s">
        <v>274</v>
      </c>
    </row>
    <row r="32" spans="1:124" x14ac:dyDescent="0.2">
      <c r="A32" t="s">
        <v>67</v>
      </c>
      <c r="E32" t="s">
        <v>84</v>
      </c>
      <c r="F32" t="s">
        <v>69</v>
      </c>
      <c r="G32" t="s">
        <v>98</v>
      </c>
      <c r="H32" t="s">
        <v>136</v>
      </c>
      <c r="I32" t="s">
        <v>125</v>
      </c>
      <c r="J32" t="s">
        <v>449</v>
      </c>
      <c r="K32" t="s">
        <v>73</v>
      </c>
      <c r="L32" t="s">
        <v>73</v>
      </c>
      <c r="M32" t="s">
        <v>127</v>
      </c>
      <c r="N32" t="s">
        <v>73</v>
      </c>
      <c r="O32" t="s">
        <v>97</v>
      </c>
      <c r="P32" t="str">
        <f t="shared" si="0"/>
        <v>DFTL_SOC_SRAMSOC_MSXXXX_SOCBIR_GR07_X_X_SRVA_X_Selsrm1S11_</v>
      </c>
      <c r="S32">
        <v>0.90200000000000002</v>
      </c>
      <c r="T32">
        <v>0.82</v>
      </c>
      <c r="U32" t="s">
        <v>74</v>
      </c>
      <c r="V32" t="s">
        <v>128</v>
      </c>
      <c r="W32" t="s">
        <v>129</v>
      </c>
      <c r="X32" t="s">
        <v>130</v>
      </c>
      <c r="Y32" t="s">
        <v>131</v>
      </c>
      <c r="Z32" t="s">
        <v>137</v>
      </c>
      <c r="AA32" t="s">
        <v>133</v>
      </c>
      <c r="AC32" t="s">
        <v>134</v>
      </c>
      <c r="AF32" t="s">
        <v>450</v>
      </c>
      <c r="AG32" t="s">
        <v>135</v>
      </c>
      <c r="AH32" t="s">
        <v>451</v>
      </c>
      <c r="AM32" t="s">
        <v>166</v>
      </c>
      <c r="AN32">
        <v>0.73499999999999999</v>
      </c>
      <c r="AO32">
        <v>0.73499999999999999</v>
      </c>
      <c r="AQ32">
        <v>0.71499999999999997</v>
      </c>
      <c r="AR32">
        <v>0.71499999999999997</v>
      </c>
      <c r="AT32">
        <v>0.745</v>
      </c>
      <c r="AU32">
        <v>0.745</v>
      </c>
      <c r="AW32">
        <f>BI32</f>
        <v>0.8</v>
      </c>
      <c r="AX32">
        <f t="shared" ref="AX32:AY32" si="1">BJ32</f>
        <v>0.4</v>
      </c>
      <c r="AY32">
        <f t="shared" si="1"/>
        <v>0.01</v>
      </c>
      <c r="AZ32">
        <f>BI32</f>
        <v>0.8</v>
      </c>
      <c r="BA32">
        <f t="shared" ref="BA32:BB32" si="2">BJ32</f>
        <v>0.4</v>
      </c>
      <c r="BB32">
        <f t="shared" si="2"/>
        <v>0.01</v>
      </c>
      <c r="BC32">
        <f>BI32</f>
        <v>0.8</v>
      </c>
      <c r="BD32">
        <f t="shared" ref="BD32:BE32" si="3">BJ32</f>
        <v>0.4</v>
      </c>
      <c r="BE32">
        <f t="shared" si="3"/>
        <v>0.01</v>
      </c>
      <c r="BF32">
        <v>0.85</v>
      </c>
      <c r="BG32">
        <v>0.85</v>
      </c>
      <c r="BI32">
        <v>0.8</v>
      </c>
      <c r="BJ32">
        <v>0.4</v>
      </c>
      <c r="BK32">
        <v>0.01</v>
      </c>
      <c r="BL32">
        <v>0.82</v>
      </c>
      <c r="BM32">
        <v>0.82</v>
      </c>
      <c r="BO32">
        <v>0.84</v>
      </c>
      <c r="BP32">
        <v>0.84</v>
      </c>
      <c r="BR32">
        <v>0.8</v>
      </c>
      <c r="BS32">
        <v>0.8</v>
      </c>
      <c r="BU32">
        <v>0.88500000000000001</v>
      </c>
      <c r="BV32">
        <v>0.88500000000000001</v>
      </c>
      <c r="BX32">
        <v>0.8</v>
      </c>
      <c r="BY32">
        <v>0.8</v>
      </c>
      <c r="CA32">
        <v>1.32</v>
      </c>
      <c r="CB32">
        <v>1.32</v>
      </c>
      <c r="CD32">
        <v>1.06</v>
      </c>
      <c r="CE32">
        <v>1.06</v>
      </c>
      <c r="CG32">
        <v>0.76500000000000001</v>
      </c>
      <c r="CH32">
        <v>0.76500000000000001</v>
      </c>
      <c r="CJ32">
        <v>0.76500000000000001</v>
      </c>
      <c r="CK32">
        <v>0.76500000000000001</v>
      </c>
      <c r="CM32">
        <v>1.06</v>
      </c>
      <c r="CN32">
        <v>1.06</v>
      </c>
      <c r="CP32">
        <v>1.06</v>
      </c>
      <c r="CQ32">
        <v>1.06</v>
      </c>
      <c r="CS32">
        <v>0.76500000000000001</v>
      </c>
      <c r="CT32">
        <v>0.76500000000000001</v>
      </c>
      <c r="CV32">
        <v>1.06</v>
      </c>
      <c r="CW32">
        <v>1.06</v>
      </c>
      <c r="CY32">
        <v>0.76500000000000001</v>
      </c>
      <c r="CZ32">
        <v>0.76500000000000001</v>
      </c>
      <c r="DB32">
        <v>1.06</v>
      </c>
      <c r="DC32">
        <v>1.06</v>
      </c>
      <c r="DE32">
        <v>0.70499999999999996</v>
      </c>
      <c r="DF32">
        <v>0.70499999999999996</v>
      </c>
      <c r="DH32" t="s">
        <v>80</v>
      </c>
      <c r="DI32">
        <v>0.90200000000000002</v>
      </c>
      <c r="DJ32">
        <v>0.82</v>
      </c>
      <c r="DM32">
        <v>0</v>
      </c>
      <c r="DN32">
        <v>0</v>
      </c>
      <c r="DO32">
        <v>0</v>
      </c>
      <c r="DQ32" t="s">
        <v>273</v>
      </c>
      <c r="DR32" t="s">
        <v>273</v>
      </c>
    </row>
    <row r="33" spans="1:122" x14ac:dyDescent="0.2">
      <c r="A33" t="s">
        <v>67</v>
      </c>
      <c r="E33" t="s">
        <v>84</v>
      </c>
      <c r="F33" t="s">
        <v>69</v>
      </c>
      <c r="G33" t="s">
        <v>98</v>
      </c>
      <c r="H33" t="s">
        <v>136</v>
      </c>
      <c r="I33" t="s">
        <v>151</v>
      </c>
      <c r="J33" t="s">
        <v>449</v>
      </c>
      <c r="K33" t="s">
        <v>73</v>
      </c>
      <c r="L33" t="s">
        <v>73</v>
      </c>
      <c r="M33" t="s">
        <v>127</v>
      </c>
      <c r="N33" t="s">
        <v>73</v>
      </c>
      <c r="O33" t="s">
        <v>97</v>
      </c>
      <c r="P33" t="str">
        <f t="shared" si="0"/>
        <v>DFTL_SOC_SRAMSOC_MSXXXX_SOCBST_GR07_X_X_SRVA_X_Selsrm1S11_</v>
      </c>
      <c r="S33">
        <v>0.90200000000000002</v>
      </c>
      <c r="T33">
        <v>0.82</v>
      </c>
      <c r="U33" t="s">
        <v>74</v>
      </c>
      <c r="V33" t="s">
        <v>128</v>
      </c>
      <c r="W33" t="s">
        <v>129</v>
      </c>
      <c r="X33" t="s">
        <v>130</v>
      </c>
      <c r="Y33" t="s">
        <v>131</v>
      </c>
      <c r="Z33" t="s">
        <v>137</v>
      </c>
      <c r="AA33" t="s">
        <v>133</v>
      </c>
      <c r="AC33" t="s">
        <v>134</v>
      </c>
      <c r="AD33" t="s">
        <v>150</v>
      </c>
      <c r="AF33" t="s">
        <v>452</v>
      </c>
      <c r="AG33" t="s">
        <v>135</v>
      </c>
      <c r="AH33" t="s">
        <v>453</v>
      </c>
      <c r="AM33" t="s">
        <v>166</v>
      </c>
      <c r="AN33">
        <v>0.73499999999999999</v>
      </c>
      <c r="AO33">
        <v>0.73499999999999999</v>
      </c>
      <c r="AQ33">
        <v>0.71499999999999997</v>
      </c>
      <c r="AR33">
        <v>0.71499999999999997</v>
      </c>
      <c r="AT33">
        <v>0.745</v>
      </c>
      <c r="AU33">
        <v>0.745</v>
      </c>
      <c r="AW33">
        <f t="shared" ref="AW33:AW39" si="4">BI33</f>
        <v>0.8</v>
      </c>
      <c r="AX33">
        <f t="shared" ref="AX33:AX39" si="5">BJ33</f>
        <v>0.4</v>
      </c>
      <c r="AY33">
        <f t="shared" ref="AY33:AY39" si="6">BK33</f>
        <v>0.01</v>
      </c>
      <c r="AZ33">
        <f t="shared" ref="AZ33:AZ39" si="7">BI33</f>
        <v>0.8</v>
      </c>
      <c r="BA33">
        <f t="shared" ref="BA33:BA39" si="8">BJ33</f>
        <v>0.4</v>
      </c>
      <c r="BB33">
        <f t="shared" ref="BB33:BB39" si="9">BK33</f>
        <v>0.01</v>
      </c>
      <c r="BC33">
        <f t="shared" ref="BC33:BC39" si="10">BI33</f>
        <v>0.8</v>
      </c>
      <c r="BD33">
        <f t="shared" ref="BD33:BD39" si="11">BJ33</f>
        <v>0.4</v>
      </c>
      <c r="BE33">
        <f t="shared" ref="BE33:BE39" si="12">BK33</f>
        <v>0.01</v>
      </c>
      <c r="BF33">
        <v>0.85</v>
      </c>
      <c r="BG33">
        <v>0.85</v>
      </c>
      <c r="BI33">
        <v>0.8</v>
      </c>
      <c r="BJ33">
        <v>0.4</v>
      </c>
      <c r="BK33">
        <v>0.01</v>
      </c>
      <c r="BL33">
        <v>0.82</v>
      </c>
      <c r="BM33">
        <v>0.82</v>
      </c>
      <c r="BO33">
        <v>0.84</v>
      </c>
      <c r="BP33">
        <v>0.84</v>
      </c>
      <c r="BR33">
        <v>0.8</v>
      </c>
      <c r="BS33">
        <v>0.8</v>
      </c>
      <c r="BU33">
        <v>0.88500000000000001</v>
      </c>
      <c r="BV33">
        <v>0.88500000000000001</v>
      </c>
      <c r="BX33">
        <v>0.8</v>
      </c>
      <c r="BY33">
        <v>0.8</v>
      </c>
      <c r="CA33">
        <v>1.32</v>
      </c>
      <c r="CB33">
        <v>1.32</v>
      </c>
      <c r="CD33">
        <v>1.06</v>
      </c>
      <c r="CE33">
        <v>1.06</v>
      </c>
      <c r="CG33">
        <v>0.76500000000000001</v>
      </c>
      <c r="CH33">
        <v>0.76500000000000001</v>
      </c>
      <c r="CJ33">
        <v>0.76500000000000001</v>
      </c>
      <c r="CK33">
        <v>0.76500000000000001</v>
      </c>
      <c r="CM33">
        <v>1.06</v>
      </c>
      <c r="CN33">
        <v>1.06</v>
      </c>
      <c r="CP33">
        <v>1.06</v>
      </c>
      <c r="CQ33">
        <v>1.06</v>
      </c>
      <c r="CS33">
        <v>0.76500000000000001</v>
      </c>
      <c r="CT33">
        <v>0.76500000000000001</v>
      </c>
      <c r="CV33">
        <v>1.06</v>
      </c>
      <c r="CW33">
        <v>1.06</v>
      </c>
      <c r="CY33">
        <v>0.76500000000000001</v>
      </c>
      <c r="CZ33">
        <v>0.76500000000000001</v>
      </c>
      <c r="DB33">
        <v>1.06</v>
      </c>
      <c r="DC33">
        <v>1.06</v>
      </c>
      <c r="DE33">
        <v>0.70499999999999996</v>
      </c>
      <c r="DF33">
        <v>0.70499999999999996</v>
      </c>
      <c r="DH33" t="s">
        <v>80</v>
      </c>
      <c r="DI33">
        <v>0.90200000000000002</v>
      </c>
      <c r="DJ33">
        <v>0.82</v>
      </c>
      <c r="DM33">
        <v>0</v>
      </c>
      <c r="DN33">
        <v>0</v>
      </c>
      <c r="DO33">
        <v>0</v>
      </c>
      <c r="DQ33" t="s">
        <v>273</v>
      </c>
      <c r="DR33" t="s">
        <v>273</v>
      </c>
    </row>
    <row r="34" spans="1:122" x14ac:dyDescent="0.2">
      <c r="A34" t="s">
        <v>67</v>
      </c>
      <c r="E34" t="s">
        <v>84</v>
      </c>
      <c r="F34" t="s">
        <v>69</v>
      </c>
      <c r="G34" t="s">
        <v>98</v>
      </c>
      <c r="H34" t="s">
        <v>136</v>
      </c>
      <c r="I34" t="s">
        <v>151</v>
      </c>
      <c r="J34" t="s">
        <v>154</v>
      </c>
      <c r="K34" t="s">
        <v>73</v>
      </c>
      <c r="L34" t="s">
        <v>73</v>
      </c>
      <c r="M34" t="s">
        <v>127</v>
      </c>
      <c r="N34" t="s">
        <v>73</v>
      </c>
      <c r="O34" t="s">
        <v>97</v>
      </c>
      <c r="P34" t="str">
        <f t="shared" si="0"/>
        <v>DFTL_SOC_SRAMSOC_MSXXXX_SOCBST_GX01_X_X_SRVA_X_Selsrm1S11_</v>
      </c>
      <c r="S34">
        <v>0.90200000000000002</v>
      </c>
      <c r="T34">
        <v>0.82</v>
      </c>
      <c r="U34" t="s">
        <v>74</v>
      </c>
      <c r="V34" t="s">
        <v>128</v>
      </c>
      <c r="W34" t="s">
        <v>129</v>
      </c>
      <c r="X34" t="s">
        <v>130</v>
      </c>
      <c r="Y34" t="s">
        <v>131</v>
      </c>
      <c r="Z34" t="s">
        <v>132</v>
      </c>
      <c r="AA34" t="s">
        <v>160</v>
      </c>
      <c r="AB34" t="s">
        <v>133</v>
      </c>
      <c r="AC34" t="s">
        <v>134</v>
      </c>
      <c r="AD34" t="s">
        <v>150</v>
      </c>
      <c r="AF34" t="s">
        <v>156</v>
      </c>
      <c r="AG34" t="s">
        <v>135</v>
      </c>
      <c r="AH34" t="s">
        <v>157</v>
      </c>
      <c r="AM34" t="s">
        <v>166</v>
      </c>
      <c r="AN34">
        <v>0.73499999999999999</v>
      </c>
      <c r="AO34">
        <v>0.73499999999999999</v>
      </c>
      <c r="AQ34">
        <v>0.71499999999999997</v>
      </c>
      <c r="AR34">
        <v>0.71499999999999997</v>
      </c>
      <c r="AT34">
        <v>0.745</v>
      </c>
      <c r="AU34">
        <v>0.745</v>
      </c>
      <c r="AW34">
        <f t="shared" si="4"/>
        <v>0.8</v>
      </c>
      <c r="AX34">
        <f t="shared" si="5"/>
        <v>0.4</v>
      </c>
      <c r="AY34">
        <f t="shared" si="6"/>
        <v>0.01</v>
      </c>
      <c r="AZ34">
        <f t="shared" si="7"/>
        <v>0.8</v>
      </c>
      <c r="BA34">
        <f t="shared" si="8"/>
        <v>0.4</v>
      </c>
      <c r="BB34">
        <f t="shared" si="9"/>
        <v>0.01</v>
      </c>
      <c r="BC34">
        <f t="shared" si="10"/>
        <v>0.8</v>
      </c>
      <c r="BD34">
        <f t="shared" si="11"/>
        <v>0.4</v>
      </c>
      <c r="BE34">
        <f t="shared" si="12"/>
        <v>0.01</v>
      </c>
      <c r="BF34">
        <v>0.85</v>
      </c>
      <c r="BG34">
        <v>0.85</v>
      </c>
      <c r="BI34">
        <v>0.8</v>
      </c>
      <c r="BJ34">
        <v>0.4</v>
      </c>
      <c r="BK34">
        <v>0.01</v>
      </c>
      <c r="BL34">
        <v>0.82</v>
      </c>
      <c r="BM34">
        <v>0.82</v>
      </c>
      <c r="BO34">
        <v>0.84</v>
      </c>
      <c r="BP34">
        <v>0.84</v>
      </c>
      <c r="BR34">
        <v>0.8</v>
      </c>
      <c r="BS34">
        <v>0.8</v>
      </c>
      <c r="BU34">
        <v>0.88500000000000001</v>
      </c>
      <c r="BV34">
        <v>0.88500000000000001</v>
      </c>
      <c r="BX34">
        <v>0.8</v>
      </c>
      <c r="BY34">
        <v>0.8</v>
      </c>
      <c r="CA34">
        <v>1.32</v>
      </c>
      <c r="CB34">
        <v>1.32</v>
      </c>
      <c r="CD34">
        <v>1.06</v>
      </c>
      <c r="CE34">
        <v>1.06</v>
      </c>
      <c r="CG34">
        <v>0.76500000000000001</v>
      </c>
      <c r="CH34">
        <v>0.76500000000000001</v>
      </c>
      <c r="CJ34">
        <v>0.76500000000000001</v>
      </c>
      <c r="CK34">
        <v>0.76500000000000001</v>
      </c>
      <c r="CM34">
        <v>1.06</v>
      </c>
      <c r="CN34">
        <v>1.06</v>
      </c>
      <c r="CP34">
        <v>1.06</v>
      </c>
      <c r="CQ34">
        <v>1.06</v>
      </c>
      <c r="CS34">
        <v>0.76500000000000001</v>
      </c>
      <c r="CT34">
        <v>0.76500000000000001</v>
      </c>
      <c r="CV34">
        <v>1.06</v>
      </c>
      <c r="CW34">
        <v>1.06</v>
      </c>
      <c r="CY34">
        <v>0.76500000000000001</v>
      </c>
      <c r="CZ34">
        <v>0.76500000000000001</v>
      </c>
      <c r="DB34">
        <v>1.06</v>
      </c>
      <c r="DC34">
        <v>1.06</v>
      </c>
      <c r="DE34">
        <v>0.70499999999999996</v>
      </c>
      <c r="DF34">
        <v>0.70499999999999996</v>
      </c>
      <c r="DH34" t="s">
        <v>80</v>
      </c>
      <c r="DI34">
        <v>0.90200000000000002</v>
      </c>
      <c r="DJ34">
        <v>0.82</v>
      </c>
      <c r="DM34">
        <v>0</v>
      </c>
      <c r="DN34">
        <v>0</v>
      </c>
      <c r="DO34">
        <v>0</v>
      </c>
      <c r="DQ34" t="s">
        <v>273</v>
      </c>
      <c r="DR34" t="s">
        <v>273</v>
      </c>
    </row>
    <row r="35" spans="1:122" x14ac:dyDescent="0.2">
      <c r="A35" t="s">
        <v>67</v>
      </c>
      <c r="E35" t="s">
        <v>84</v>
      </c>
      <c r="F35" t="s">
        <v>69</v>
      </c>
      <c r="G35" t="s">
        <v>98</v>
      </c>
      <c r="H35" t="s">
        <v>143</v>
      </c>
      <c r="I35" t="s">
        <v>125</v>
      </c>
      <c r="J35" t="s">
        <v>126</v>
      </c>
      <c r="K35" t="s">
        <v>73</v>
      </c>
      <c r="L35" t="s">
        <v>73</v>
      </c>
      <c r="M35" t="s">
        <v>146</v>
      </c>
      <c r="N35" t="s">
        <v>73</v>
      </c>
      <c r="O35" t="s">
        <v>97</v>
      </c>
      <c r="P35" t="str">
        <f t="shared" si="0"/>
        <v>DFTL_SOC_SRAMSOC_MIX001_SOCBIR_GR01_X_X_SRVM_X_Selsrm1S11_</v>
      </c>
      <c r="S35">
        <v>0.82</v>
      </c>
      <c r="T35">
        <v>0.77080000000000004</v>
      </c>
      <c r="U35" t="s">
        <v>74</v>
      </c>
      <c r="V35" t="s">
        <v>128</v>
      </c>
      <c r="W35" t="s">
        <v>129</v>
      </c>
      <c r="X35" t="s">
        <v>130</v>
      </c>
      <c r="Y35" t="s">
        <v>131</v>
      </c>
      <c r="Z35" t="s">
        <v>144</v>
      </c>
      <c r="AA35" t="s">
        <v>133</v>
      </c>
      <c r="AC35" t="s">
        <v>134</v>
      </c>
      <c r="AF35" t="s">
        <v>147</v>
      </c>
      <c r="AG35" t="s">
        <v>135</v>
      </c>
      <c r="AH35" t="s">
        <v>148</v>
      </c>
      <c r="AM35" t="s">
        <v>166</v>
      </c>
      <c r="AN35">
        <v>0.73499999999999999</v>
      </c>
      <c r="AO35">
        <v>0.73499999999999999</v>
      </c>
      <c r="AQ35">
        <v>0.71499999999999997</v>
      </c>
      <c r="AR35">
        <v>0.71499999999999997</v>
      </c>
      <c r="AT35">
        <v>0.745</v>
      </c>
      <c r="AU35">
        <v>0.745</v>
      </c>
      <c r="AW35">
        <f t="shared" si="4"/>
        <v>0.8</v>
      </c>
      <c r="AX35">
        <f t="shared" si="5"/>
        <v>0.4</v>
      </c>
      <c r="AY35">
        <f t="shared" si="6"/>
        <v>0.01</v>
      </c>
      <c r="AZ35">
        <f t="shared" si="7"/>
        <v>0.8</v>
      </c>
      <c r="BA35">
        <f t="shared" si="8"/>
        <v>0.4</v>
      </c>
      <c r="BB35">
        <f t="shared" si="9"/>
        <v>0.01</v>
      </c>
      <c r="BC35">
        <f t="shared" si="10"/>
        <v>0.8</v>
      </c>
      <c r="BD35">
        <f t="shared" si="11"/>
        <v>0.4</v>
      </c>
      <c r="BE35">
        <f t="shared" si="12"/>
        <v>0.01</v>
      </c>
      <c r="BF35">
        <v>0.85</v>
      </c>
      <c r="BG35">
        <v>0.85</v>
      </c>
      <c r="BI35">
        <v>0.8</v>
      </c>
      <c r="BJ35">
        <v>0.4</v>
      </c>
      <c r="BK35">
        <v>0.01</v>
      </c>
      <c r="BL35">
        <v>0.82</v>
      </c>
      <c r="BM35">
        <v>0.82</v>
      </c>
      <c r="BO35">
        <v>0.84</v>
      </c>
      <c r="BP35">
        <v>0.84</v>
      </c>
      <c r="BR35">
        <v>0.8</v>
      </c>
      <c r="BS35">
        <v>0.8</v>
      </c>
      <c r="BU35">
        <v>0.88500000000000001</v>
      </c>
      <c r="BV35">
        <v>0.88500000000000001</v>
      </c>
      <c r="BX35">
        <v>0.8</v>
      </c>
      <c r="BY35">
        <v>0.8</v>
      </c>
      <c r="CA35">
        <v>1.32</v>
      </c>
      <c r="CB35">
        <v>1.32</v>
      </c>
      <c r="CD35">
        <v>1.06</v>
      </c>
      <c r="CE35">
        <v>1.06</v>
      </c>
      <c r="CG35">
        <v>0.76500000000000001</v>
      </c>
      <c r="CH35">
        <v>0.76500000000000001</v>
      </c>
      <c r="CJ35">
        <v>0.76500000000000001</v>
      </c>
      <c r="CK35">
        <v>0.76500000000000001</v>
      </c>
      <c r="CM35">
        <v>1.06</v>
      </c>
      <c r="CN35">
        <v>1.06</v>
      </c>
      <c r="CP35">
        <v>1.06</v>
      </c>
      <c r="CQ35">
        <v>1.06</v>
      </c>
      <c r="CS35">
        <v>0.76500000000000001</v>
      </c>
      <c r="CT35">
        <v>0.76500000000000001</v>
      </c>
      <c r="CV35">
        <v>1.06</v>
      </c>
      <c r="CW35">
        <v>1.06</v>
      </c>
      <c r="CY35">
        <v>0.76500000000000001</v>
      </c>
      <c r="CZ35">
        <v>0.76500000000000001</v>
      </c>
      <c r="DB35">
        <v>1.06</v>
      </c>
      <c r="DC35">
        <v>1.06</v>
      </c>
      <c r="DE35">
        <v>0.70499999999999996</v>
      </c>
      <c r="DF35">
        <v>0.70499999999999996</v>
      </c>
      <c r="DH35" t="s">
        <v>80</v>
      </c>
      <c r="DI35">
        <v>0.77100000000000002</v>
      </c>
      <c r="DJ35">
        <v>0.82</v>
      </c>
      <c r="DM35">
        <v>0</v>
      </c>
      <c r="DN35">
        <v>0</v>
      </c>
      <c r="DO35">
        <v>0</v>
      </c>
      <c r="DQ35" t="s">
        <v>273</v>
      </c>
      <c r="DR35" t="s">
        <v>273</v>
      </c>
    </row>
    <row r="36" spans="1:122" x14ac:dyDescent="0.2">
      <c r="A36" t="s">
        <v>67</v>
      </c>
      <c r="E36" t="s">
        <v>84</v>
      </c>
      <c r="F36" t="s">
        <v>69</v>
      </c>
      <c r="G36" t="s">
        <v>98</v>
      </c>
      <c r="H36" t="s">
        <v>91</v>
      </c>
      <c r="I36" t="s">
        <v>125</v>
      </c>
      <c r="J36" t="s">
        <v>449</v>
      </c>
      <c r="K36" t="s">
        <v>73</v>
      </c>
      <c r="L36" t="s">
        <v>73</v>
      </c>
      <c r="M36" t="s">
        <v>127</v>
      </c>
      <c r="N36" t="s">
        <v>73</v>
      </c>
      <c r="O36" t="s">
        <v>97</v>
      </c>
      <c r="P36" t="str">
        <f t="shared" si="0"/>
        <v>DFTL_SOC_SRAMSOC_MSX001_SOCBIR_GR07_X_X_SRVA_X_Selsrm1S11_</v>
      </c>
      <c r="S36">
        <v>0.82</v>
      </c>
      <c r="T36">
        <v>0.77080000000000004</v>
      </c>
      <c r="U36" t="s">
        <v>74</v>
      </c>
      <c r="V36" t="s">
        <v>128</v>
      </c>
      <c r="W36" t="s">
        <v>129</v>
      </c>
      <c r="X36" t="s">
        <v>130</v>
      </c>
      <c r="Y36" t="s">
        <v>131</v>
      </c>
      <c r="Z36" t="s">
        <v>141</v>
      </c>
      <c r="AA36" t="s">
        <v>133</v>
      </c>
      <c r="AC36" t="s">
        <v>134</v>
      </c>
      <c r="AF36" t="s">
        <v>450</v>
      </c>
      <c r="AG36" t="s">
        <v>135</v>
      </c>
      <c r="AH36" t="s">
        <v>451</v>
      </c>
      <c r="AM36" t="s">
        <v>166</v>
      </c>
      <c r="AN36">
        <v>0.73499999999999999</v>
      </c>
      <c r="AO36">
        <v>0.73499999999999999</v>
      </c>
      <c r="AQ36">
        <v>0.71499999999999997</v>
      </c>
      <c r="AR36">
        <v>0.71499999999999997</v>
      </c>
      <c r="AT36">
        <v>0.745</v>
      </c>
      <c r="AU36">
        <v>0.745</v>
      </c>
      <c r="AW36">
        <f t="shared" si="4"/>
        <v>0.8</v>
      </c>
      <c r="AX36">
        <f t="shared" si="5"/>
        <v>0.4</v>
      </c>
      <c r="AY36">
        <f t="shared" si="6"/>
        <v>0.01</v>
      </c>
      <c r="AZ36">
        <f t="shared" si="7"/>
        <v>0.8</v>
      </c>
      <c r="BA36">
        <f t="shared" si="8"/>
        <v>0.4</v>
      </c>
      <c r="BB36">
        <f t="shared" si="9"/>
        <v>0.01</v>
      </c>
      <c r="BC36">
        <f t="shared" si="10"/>
        <v>0.8</v>
      </c>
      <c r="BD36">
        <f t="shared" si="11"/>
        <v>0.4</v>
      </c>
      <c r="BE36">
        <f t="shared" si="12"/>
        <v>0.01</v>
      </c>
      <c r="BF36">
        <v>0.85</v>
      </c>
      <c r="BG36">
        <v>0.85</v>
      </c>
      <c r="BI36">
        <v>0.8</v>
      </c>
      <c r="BJ36">
        <v>0.4</v>
      </c>
      <c r="BK36">
        <v>0.01</v>
      </c>
      <c r="BL36">
        <v>0.82</v>
      </c>
      <c r="BM36">
        <v>0.82</v>
      </c>
      <c r="BO36">
        <v>0.84</v>
      </c>
      <c r="BP36">
        <v>0.84</v>
      </c>
      <c r="BR36">
        <v>0.8</v>
      </c>
      <c r="BS36">
        <v>0.8</v>
      </c>
      <c r="BU36">
        <v>0.88500000000000001</v>
      </c>
      <c r="BV36">
        <v>0.88500000000000001</v>
      </c>
      <c r="BX36">
        <v>0.8</v>
      </c>
      <c r="BY36">
        <v>0.8</v>
      </c>
      <c r="CA36">
        <v>1.32</v>
      </c>
      <c r="CB36">
        <v>1.32</v>
      </c>
      <c r="CD36">
        <v>1.06</v>
      </c>
      <c r="CE36">
        <v>1.06</v>
      </c>
      <c r="CG36">
        <v>0.76500000000000001</v>
      </c>
      <c r="CH36">
        <v>0.76500000000000001</v>
      </c>
      <c r="CJ36">
        <v>0.76500000000000001</v>
      </c>
      <c r="CK36">
        <v>0.76500000000000001</v>
      </c>
      <c r="CM36">
        <v>1.06</v>
      </c>
      <c r="CN36">
        <v>1.06</v>
      </c>
      <c r="CP36">
        <v>1.06</v>
      </c>
      <c r="CQ36">
        <v>1.06</v>
      </c>
      <c r="CS36">
        <v>0.76500000000000001</v>
      </c>
      <c r="CT36">
        <v>0.76500000000000001</v>
      </c>
      <c r="CV36">
        <v>1.06</v>
      </c>
      <c r="CW36">
        <v>1.06</v>
      </c>
      <c r="CY36">
        <v>0.76500000000000001</v>
      </c>
      <c r="CZ36">
        <v>0.76500000000000001</v>
      </c>
      <c r="DB36">
        <v>1.06</v>
      </c>
      <c r="DC36">
        <v>1.06</v>
      </c>
      <c r="DE36">
        <v>0.70499999999999996</v>
      </c>
      <c r="DF36">
        <v>0.70499999999999996</v>
      </c>
      <c r="DH36" t="s">
        <v>80</v>
      </c>
      <c r="DI36">
        <v>0.77100000000000002</v>
      </c>
      <c r="DJ36">
        <v>0.82</v>
      </c>
      <c r="DM36">
        <v>0</v>
      </c>
      <c r="DN36">
        <v>0</v>
      </c>
      <c r="DO36">
        <v>0</v>
      </c>
      <c r="DQ36" t="s">
        <v>273</v>
      </c>
      <c r="DR36" t="s">
        <v>273</v>
      </c>
    </row>
    <row r="37" spans="1:122" x14ac:dyDescent="0.2">
      <c r="A37" t="s">
        <v>67</v>
      </c>
      <c r="E37" t="s">
        <v>84</v>
      </c>
      <c r="F37" t="s">
        <v>69</v>
      </c>
      <c r="G37" t="s">
        <v>98</v>
      </c>
      <c r="H37" t="s">
        <v>91</v>
      </c>
      <c r="I37" t="s">
        <v>151</v>
      </c>
      <c r="J37" t="s">
        <v>449</v>
      </c>
      <c r="K37" t="s">
        <v>73</v>
      </c>
      <c r="L37" t="s">
        <v>73</v>
      </c>
      <c r="M37" t="s">
        <v>127</v>
      </c>
      <c r="N37" t="s">
        <v>73</v>
      </c>
      <c r="O37" t="s">
        <v>97</v>
      </c>
      <c r="P37" t="str">
        <f t="shared" si="0"/>
        <v>DFTL_SOC_SRAMSOC_MSX001_SOCBST_GR07_X_X_SRVA_X_Selsrm1S11_</v>
      </c>
      <c r="S37">
        <v>0.82</v>
      </c>
      <c r="T37">
        <v>0.77080000000000004</v>
      </c>
      <c r="U37" t="s">
        <v>74</v>
      </c>
      <c r="V37" t="s">
        <v>128</v>
      </c>
      <c r="W37" t="s">
        <v>129</v>
      </c>
      <c r="X37" t="s">
        <v>130</v>
      </c>
      <c r="Y37" t="s">
        <v>131</v>
      </c>
      <c r="Z37" t="s">
        <v>141</v>
      </c>
      <c r="AA37" t="s">
        <v>133</v>
      </c>
      <c r="AC37" t="s">
        <v>134</v>
      </c>
      <c r="AD37" t="s">
        <v>150</v>
      </c>
      <c r="AF37" t="s">
        <v>452</v>
      </c>
      <c r="AG37" t="s">
        <v>135</v>
      </c>
      <c r="AH37" t="s">
        <v>453</v>
      </c>
      <c r="AM37" t="s">
        <v>166</v>
      </c>
      <c r="AN37">
        <v>0.73499999999999999</v>
      </c>
      <c r="AO37">
        <v>0.73499999999999999</v>
      </c>
      <c r="AQ37">
        <v>0.71499999999999997</v>
      </c>
      <c r="AR37">
        <v>0.71499999999999997</v>
      </c>
      <c r="AT37">
        <v>0.745</v>
      </c>
      <c r="AU37">
        <v>0.745</v>
      </c>
      <c r="AW37">
        <f t="shared" si="4"/>
        <v>0.8</v>
      </c>
      <c r="AX37">
        <f t="shared" si="5"/>
        <v>0.4</v>
      </c>
      <c r="AY37">
        <f t="shared" si="6"/>
        <v>0.01</v>
      </c>
      <c r="AZ37">
        <f t="shared" si="7"/>
        <v>0.8</v>
      </c>
      <c r="BA37">
        <f t="shared" si="8"/>
        <v>0.4</v>
      </c>
      <c r="BB37">
        <f t="shared" si="9"/>
        <v>0.01</v>
      </c>
      <c r="BC37">
        <f t="shared" si="10"/>
        <v>0.8</v>
      </c>
      <c r="BD37">
        <f t="shared" si="11"/>
        <v>0.4</v>
      </c>
      <c r="BE37">
        <f t="shared" si="12"/>
        <v>0.01</v>
      </c>
      <c r="BF37">
        <v>0.85</v>
      </c>
      <c r="BG37">
        <v>0.85</v>
      </c>
      <c r="BI37">
        <v>0.8</v>
      </c>
      <c r="BJ37">
        <v>0.4</v>
      </c>
      <c r="BK37">
        <v>0.01</v>
      </c>
      <c r="BL37">
        <v>0.82</v>
      </c>
      <c r="BM37">
        <v>0.82</v>
      </c>
      <c r="BO37">
        <v>0.84</v>
      </c>
      <c r="BP37">
        <v>0.84</v>
      </c>
      <c r="BR37">
        <v>0.8</v>
      </c>
      <c r="BS37">
        <v>0.8</v>
      </c>
      <c r="BU37">
        <v>0.88500000000000001</v>
      </c>
      <c r="BV37">
        <v>0.88500000000000001</v>
      </c>
      <c r="BX37">
        <v>0.8</v>
      </c>
      <c r="BY37">
        <v>0.8</v>
      </c>
      <c r="CA37">
        <v>1.32</v>
      </c>
      <c r="CB37">
        <v>1.32</v>
      </c>
      <c r="CD37">
        <v>1.06</v>
      </c>
      <c r="CE37">
        <v>1.06</v>
      </c>
      <c r="CG37">
        <v>0.76500000000000001</v>
      </c>
      <c r="CH37">
        <v>0.76500000000000001</v>
      </c>
      <c r="CJ37">
        <v>0.76500000000000001</v>
      </c>
      <c r="CK37">
        <v>0.76500000000000001</v>
      </c>
      <c r="CM37">
        <v>1.06</v>
      </c>
      <c r="CN37">
        <v>1.06</v>
      </c>
      <c r="CP37">
        <v>1.06</v>
      </c>
      <c r="CQ37">
        <v>1.06</v>
      </c>
      <c r="CS37">
        <v>0.76500000000000001</v>
      </c>
      <c r="CT37">
        <v>0.76500000000000001</v>
      </c>
      <c r="CV37">
        <v>1.06</v>
      </c>
      <c r="CW37">
        <v>1.06</v>
      </c>
      <c r="CY37">
        <v>0.76500000000000001</v>
      </c>
      <c r="CZ37">
        <v>0.76500000000000001</v>
      </c>
      <c r="DB37">
        <v>1.06</v>
      </c>
      <c r="DC37">
        <v>1.06</v>
      </c>
      <c r="DE37">
        <v>0.70499999999999996</v>
      </c>
      <c r="DF37">
        <v>0.70499999999999996</v>
      </c>
      <c r="DH37" t="s">
        <v>80</v>
      </c>
      <c r="DI37">
        <v>0.77100000000000002</v>
      </c>
      <c r="DJ37">
        <v>0.82</v>
      </c>
      <c r="DM37">
        <v>0</v>
      </c>
      <c r="DN37">
        <v>0</v>
      </c>
      <c r="DO37">
        <v>0</v>
      </c>
      <c r="DQ37" t="s">
        <v>273</v>
      </c>
      <c r="DR37" t="s">
        <v>273</v>
      </c>
    </row>
    <row r="38" spans="1:122" x14ac:dyDescent="0.2">
      <c r="A38" t="s">
        <v>67</v>
      </c>
      <c r="E38" t="s">
        <v>84</v>
      </c>
      <c r="F38" t="s">
        <v>69</v>
      </c>
      <c r="G38" t="s">
        <v>98</v>
      </c>
      <c r="H38" t="s">
        <v>143</v>
      </c>
      <c r="I38" t="s">
        <v>151</v>
      </c>
      <c r="J38" t="s">
        <v>126</v>
      </c>
      <c r="K38" t="s">
        <v>73</v>
      </c>
      <c r="L38" t="s">
        <v>73</v>
      </c>
      <c r="M38" t="s">
        <v>146</v>
      </c>
      <c r="N38" t="s">
        <v>73</v>
      </c>
      <c r="O38" t="s">
        <v>97</v>
      </c>
      <c r="P38" t="str">
        <f t="shared" si="0"/>
        <v>DFTL_SOC_SRAMSOC_MIX001_SOCBST_GR01_X_X_SRVM_X_Selsrm1S11_</v>
      </c>
      <c r="S38">
        <v>0.82</v>
      </c>
      <c r="T38">
        <v>0.77080000000000004</v>
      </c>
      <c r="U38" t="s">
        <v>74</v>
      </c>
      <c r="V38" t="s">
        <v>128</v>
      </c>
      <c r="W38" t="s">
        <v>129</v>
      </c>
      <c r="X38" t="s">
        <v>130</v>
      </c>
      <c r="Y38" t="s">
        <v>131</v>
      </c>
      <c r="Z38" t="s">
        <v>144</v>
      </c>
      <c r="AA38" t="s">
        <v>133</v>
      </c>
      <c r="AC38" t="s">
        <v>134</v>
      </c>
      <c r="AD38" t="s">
        <v>242</v>
      </c>
      <c r="AF38" t="s">
        <v>163</v>
      </c>
      <c r="AG38" t="s">
        <v>135</v>
      </c>
      <c r="AH38" t="s">
        <v>164</v>
      </c>
      <c r="AM38" t="s">
        <v>166</v>
      </c>
      <c r="AN38">
        <v>0.73499999999999999</v>
      </c>
      <c r="AO38">
        <v>0.73499999999999999</v>
      </c>
      <c r="AQ38">
        <v>0.71499999999999997</v>
      </c>
      <c r="AR38">
        <v>0.71499999999999997</v>
      </c>
      <c r="AT38">
        <v>0.745</v>
      </c>
      <c r="AU38">
        <v>0.745</v>
      </c>
      <c r="AW38">
        <f t="shared" si="4"/>
        <v>0.8</v>
      </c>
      <c r="AX38">
        <f t="shared" si="5"/>
        <v>0.4</v>
      </c>
      <c r="AY38">
        <f t="shared" si="6"/>
        <v>0.01</v>
      </c>
      <c r="AZ38">
        <f t="shared" si="7"/>
        <v>0.8</v>
      </c>
      <c r="BA38">
        <f t="shared" si="8"/>
        <v>0.4</v>
      </c>
      <c r="BB38">
        <f t="shared" si="9"/>
        <v>0.01</v>
      </c>
      <c r="BC38">
        <f t="shared" si="10"/>
        <v>0.8</v>
      </c>
      <c r="BD38">
        <f t="shared" si="11"/>
        <v>0.4</v>
      </c>
      <c r="BE38">
        <f t="shared" si="12"/>
        <v>0.01</v>
      </c>
      <c r="BF38">
        <v>0.85</v>
      </c>
      <c r="BG38">
        <v>0.85</v>
      </c>
      <c r="BI38">
        <v>0.8</v>
      </c>
      <c r="BJ38">
        <v>0.4</v>
      </c>
      <c r="BK38">
        <v>0.01</v>
      </c>
      <c r="BL38">
        <v>0.82</v>
      </c>
      <c r="BM38">
        <v>0.82</v>
      </c>
      <c r="BO38">
        <v>0.84</v>
      </c>
      <c r="BP38">
        <v>0.84</v>
      </c>
      <c r="BR38">
        <v>0.8</v>
      </c>
      <c r="BS38">
        <v>0.8</v>
      </c>
      <c r="BU38">
        <v>0.88500000000000001</v>
      </c>
      <c r="BV38">
        <v>0.88500000000000001</v>
      </c>
      <c r="BX38">
        <v>0.8</v>
      </c>
      <c r="BY38">
        <v>0.8</v>
      </c>
      <c r="CA38">
        <v>1.32</v>
      </c>
      <c r="CB38">
        <v>1.32</v>
      </c>
      <c r="CD38">
        <v>1.06</v>
      </c>
      <c r="CE38">
        <v>1.06</v>
      </c>
      <c r="CG38">
        <v>0.76500000000000001</v>
      </c>
      <c r="CH38">
        <v>0.76500000000000001</v>
      </c>
      <c r="CJ38">
        <v>0.76500000000000001</v>
      </c>
      <c r="CK38">
        <v>0.76500000000000001</v>
      </c>
      <c r="CM38">
        <v>1.06</v>
      </c>
      <c r="CN38">
        <v>1.06</v>
      </c>
      <c r="CP38">
        <v>1.06</v>
      </c>
      <c r="CQ38">
        <v>1.06</v>
      </c>
      <c r="CS38">
        <v>0.76500000000000001</v>
      </c>
      <c r="CT38">
        <v>0.76500000000000001</v>
      </c>
      <c r="CV38">
        <v>1.06</v>
      </c>
      <c r="CW38">
        <v>1.06</v>
      </c>
      <c r="CY38">
        <v>0.76500000000000001</v>
      </c>
      <c r="CZ38">
        <v>0.76500000000000001</v>
      </c>
      <c r="DB38">
        <v>1.06</v>
      </c>
      <c r="DC38">
        <v>1.06</v>
      </c>
      <c r="DE38">
        <v>0.70499999999999996</v>
      </c>
      <c r="DF38">
        <v>0.70499999999999996</v>
      </c>
      <c r="DH38" t="s">
        <v>80</v>
      </c>
      <c r="DI38">
        <v>0.77100000000000002</v>
      </c>
      <c r="DJ38">
        <v>0.82</v>
      </c>
      <c r="DM38">
        <v>0</v>
      </c>
      <c r="DN38">
        <v>0</v>
      </c>
      <c r="DO38">
        <v>0</v>
      </c>
      <c r="DQ38" t="s">
        <v>273</v>
      </c>
      <c r="DR38" t="s">
        <v>273</v>
      </c>
    </row>
    <row r="39" spans="1:122" x14ac:dyDescent="0.2">
      <c r="A39" t="s">
        <v>67</v>
      </c>
      <c r="E39" t="s">
        <v>84</v>
      </c>
      <c r="F39" t="s">
        <v>69</v>
      </c>
      <c r="G39" t="s">
        <v>98</v>
      </c>
      <c r="H39" t="s">
        <v>149</v>
      </c>
      <c r="I39" t="s">
        <v>175</v>
      </c>
      <c r="J39" t="s">
        <v>196</v>
      </c>
      <c r="K39" t="s">
        <v>176</v>
      </c>
      <c r="L39" t="s">
        <v>171</v>
      </c>
      <c r="M39" t="s">
        <v>73</v>
      </c>
      <c r="N39" t="s">
        <v>73</v>
      </c>
      <c r="O39" t="s">
        <v>97</v>
      </c>
      <c r="P39" t="str">
        <f t="shared" si="0"/>
        <v>DFTL_SOC_SRAMSOC_MRX001_SOCTDF_CPMF_PL10_SSC_X_X_Selsrm1S11_</v>
      </c>
      <c r="S39">
        <v>0.85250000000000004</v>
      </c>
      <c r="T39">
        <v>0.77500000000000002</v>
      </c>
      <c r="U39" t="s">
        <v>74</v>
      </c>
      <c r="V39" t="s">
        <v>172</v>
      </c>
      <c r="W39" t="s">
        <v>173</v>
      </c>
      <c r="X39" t="s">
        <v>174</v>
      </c>
      <c r="Y39" t="s">
        <v>197</v>
      </c>
      <c r="AF39" t="s">
        <v>198</v>
      </c>
      <c r="AM39" t="s">
        <v>166</v>
      </c>
      <c r="AN39">
        <v>0.73499999999999999</v>
      </c>
      <c r="AO39">
        <v>0.73499999999999999</v>
      </c>
      <c r="AQ39">
        <v>0.71499999999999997</v>
      </c>
      <c r="AR39">
        <v>0.71499999999999997</v>
      </c>
      <c r="AT39">
        <v>0.745</v>
      </c>
      <c r="AU39">
        <v>0.745</v>
      </c>
      <c r="AW39">
        <f t="shared" si="4"/>
        <v>1.1000000000000001</v>
      </c>
      <c r="AX39">
        <f t="shared" si="5"/>
        <v>0.4</v>
      </c>
      <c r="AY39">
        <f t="shared" si="6"/>
        <v>5.0000000000000001E-3</v>
      </c>
      <c r="AZ39">
        <f t="shared" si="7"/>
        <v>1.1000000000000001</v>
      </c>
      <c r="BA39">
        <f t="shared" si="8"/>
        <v>0.4</v>
      </c>
      <c r="BB39">
        <f t="shared" si="9"/>
        <v>5.0000000000000001E-3</v>
      </c>
      <c r="BC39">
        <f t="shared" si="10"/>
        <v>1.1000000000000001</v>
      </c>
      <c r="BD39">
        <f t="shared" si="11"/>
        <v>0.4</v>
      </c>
      <c r="BE39">
        <f t="shared" si="12"/>
        <v>5.0000000000000001E-3</v>
      </c>
      <c r="BF39">
        <v>0.73499999999999999</v>
      </c>
      <c r="BG39">
        <v>0.73499999999999999</v>
      </c>
      <c r="BI39">
        <v>1.1000000000000001</v>
      </c>
      <c r="BJ39">
        <v>0.4</v>
      </c>
      <c r="BK39">
        <v>5.0000000000000001E-3</v>
      </c>
      <c r="BL39">
        <v>0.77500000000000002</v>
      </c>
      <c r="BM39">
        <v>0.77500000000000002</v>
      </c>
      <c r="BO39">
        <v>0.84</v>
      </c>
      <c r="BP39">
        <v>0.84</v>
      </c>
      <c r="BR39">
        <v>0.8</v>
      </c>
      <c r="BS39">
        <v>0.8</v>
      </c>
      <c r="BU39">
        <v>0.88500000000000001</v>
      </c>
      <c r="BV39">
        <v>0.88500000000000001</v>
      </c>
      <c r="BX39">
        <v>0.8</v>
      </c>
      <c r="BY39">
        <v>0.8</v>
      </c>
      <c r="CA39">
        <v>1.32</v>
      </c>
      <c r="CB39">
        <v>1.32</v>
      </c>
      <c r="CD39">
        <v>1.06</v>
      </c>
      <c r="CE39">
        <v>1.06</v>
      </c>
      <c r="CG39">
        <v>0.76500000000000001</v>
      </c>
      <c r="CH39">
        <v>0.76500000000000001</v>
      </c>
      <c r="CJ39">
        <v>0.76500000000000001</v>
      </c>
      <c r="CK39">
        <v>0.76500000000000001</v>
      </c>
      <c r="CM39">
        <v>1.06</v>
      </c>
      <c r="CN39">
        <v>1.06</v>
      </c>
      <c r="CP39">
        <v>1.06</v>
      </c>
      <c r="CQ39">
        <v>1.06</v>
      </c>
      <c r="CS39">
        <v>0.76500000000000001</v>
      </c>
      <c r="CT39">
        <v>0.76500000000000001</v>
      </c>
      <c r="CV39">
        <v>1.06</v>
      </c>
      <c r="CW39">
        <v>1.06</v>
      </c>
      <c r="CY39">
        <v>0.76500000000000001</v>
      </c>
      <c r="CZ39">
        <v>0.76500000000000001</v>
      </c>
      <c r="DB39">
        <v>1.06</v>
      </c>
      <c r="DC39">
        <v>1.06</v>
      </c>
      <c r="DE39">
        <v>0.70499999999999996</v>
      </c>
      <c r="DF39">
        <v>0.70499999999999996</v>
      </c>
      <c r="DH39" t="s">
        <v>80</v>
      </c>
      <c r="DI39">
        <v>0.85299999999999998</v>
      </c>
      <c r="DJ39">
        <v>0.77500000000000002</v>
      </c>
      <c r="DM39">
        <v>0</v>
      </c>
      <c r="DN39">
        <v>0</v>
      </c>
      <c r="DO39">
        <v>0</v>
      </c>
      <c r="DQ39" t="s">
        <v>273</v>
      </c>
      <c r="DR39" t="s">
        <v>273</v>
      </c>
    </row>
    <row r="40" spans="1:122" x14ac:dyDescent="0.2">
      <c r="A40" t="s">
        <v>67</v>
      </c>
      <c r="E40" t="s">
        <v>84</v>
      </c>
      <c r="F40" t="s">
        <v>68</v>
      </c>
      <c r="G40" t="s">
        <v>81</v>
      </c>
      <c r="H40" t="s">
        <v>229</v>
      </c>
      <c r="I40" t="s">
        <v>70</v>
      </c>
      <c r="J40" t="s">
        <v>82</v>
      </c>
      <c r="K40" t="s">
        <v>71</v>
      </c>
      <c r="L40" t="s">
        <v>72</v>
      </c>
      <c r="M40" t="s">
        <v>73</v>
      </c>
      <c r="N40" t="s">
        <v>73</v>
      </c>
      <c r="O40" t="s">
        <v>243</v>
      </c>
      <c r="P40" t="str">
        <f t="shared" si="0"/>
        <v>DFTL_GPU_SRAMGPU_MGXXXX_GPUBIR_PGPU_PLLP_55N_X_X_SelsrmS1SS_</v>
      </c>
      <c r="S40">
        <v>0.90200000000000002</v>
      </c>
      <c r="T40">
        <v>0.82</v>
      </c>
      <c r="U40" t="s">
        <v>74</v>
      </c>
      <c r="V40" t="s">
        <v>75</v>
      </c>
      <c r="W40" t="s">
        <v>76</v>
      </c>
      <c r="X40" t="s">
        <v>77</v>
      </c>
      <c r="Z40" t="s">
        <v>78</v>
      </c>
      <c r="AA40" t="s">
        <v>79</v>
      </c>
      <c r="AF40" t="s">
        <v>83</v>
      </c>
      <c r="AM40" t="s">
        <v>166</v>
      </c>
      <c r="AN40">
        <v>0.73499999999999999</v>
      </c>
      <c r="AO40">
        <v>0.73499999999999999</v>
      </c>
      <c r="AQ40">
        <v>0.71499999999999997</v>
      </c>
      <c r="AR40">
        <v>0.71499999999999997</v>
      </c>
      <c r="AT40">
        <v>0.8</v>
      </c>
      <c r="AU40">
        <v>0.42</v>
      </c>
      <c r="AV40">
        <v>0.01</v>
      </c>
      <c r="AW40">
        <v>1</v>
      </c>
      <c r="AX40">
        <v>1</v>
      </c>
      <c r="AZ40">
        <v>0.70499999999999996</v>
      </c>
      <c r="BA40">
        <v>0.70499999999999996</v>
      </c>
      <c r="BC40">
        <v>0.76</v>
      </c>
      <c r="BD40">
        <v>0.76</v>
      </c>
      <c r="BF40">
        <v>0.85</v>
      </c>
      <c r="BG40">
        <v>0.85</v>
      </c>
      <c r="BI40">
        <v>0.82</v>
      </c>
      <c r="BJ40">
        <v>0.82</v>
      </c>
      <c r="BL40">
        <v>0.8</v>
      </c>
      <c r="BM40">
        <v>0.42</v>
      </c>
      <c r="BN40">
        <v>0.01</v>
      </c>
      <c r="BO40">
        <v>0.84</v>
      </c>
      <c r="BP40">
        <v>0.84</v>
      </c>
      <c r="BR40">
        <v>0.8</v>
      </c>
      <c r="BS40">
        <v>0.8</v>
      </c>
      <c r="BU40">
        <v>0.88500000000000001</v>
      </c>
      <c r="BV40">
        <v>0.88500000000000001</v>
      </c>
      <c r="BX40">
        <v>0.8</v>
      </c>
      <c r="BY40">
        <v>0.8</v>
      </c>
      <c r="CA40">
        <v>1.32</v>
      </c>
      <c r="CB40">
        <v>1.32</v>
      </c>
      <c r="CD40">
        <v>1.06</v>
      </c>
      <c r="CE40">
        <v>1.06</v>
      </c>
      <c r="CG40">
        <v>0.76500000000000001</v>
      </c>
      <c r="CH40">
        <v>0.76500000000000001</v>
      </c>
      <c r="CJ40">
        <v>0.76500000000000001</v>
      </c>
      <c r="CK40">
        <v>0.76500000000000001</v>
      </c>
      <c r="CM40">
        <v>1.06</v>
      </c>
      <c r="CN40">
        <v>1.06</v>
      </c>
      <c r="CP40">
        <v>1.06</v>
      </c>
      <c r="CQ40">
        <v>1.06</v>
      </c>
      <c r="CS40">
        <v>0.76500000000000001</v>
      </c>
      <c r="CT40">
        <v>0.76500000000000001</v>
      </c>
      <c r="CV40">
        <v>1.06</v>
      </c>
      <c r="CW40">
        <v>1.06</v>
      </c>
      <c r="CY40">
        <v>0.76500000000000001</v>
      </c>
      <c r="CZ40">
        <v>0.76500000000000001</v>
      </c>
      <c r="DB40">
        <v>1.06</v>
      </c>
      <c r="DC40">
        <v>1.06</v>
      </c>
      <c r="DE40">
        <v>0.70499999999999996</v>
      </c>
      <c r="DF40">
        <v>0.70499999999999996</v>
      </c>
      <c r="DH40" t="s">
        <v>80</v>
      </c>
      <c r="DI40">
        <v>0.90200000000000002</v>
      </c>
      <c r="DJ40">
        <v>0.82</v>
      </c>
      <c r="DM40">
        <v>0</v>
      </c>
      <c r="DN40">
        <v>0</v>
      </c>
      <c r="DO40">
        <v>0</v>
      </c>
      <c r="DQ40" t="s">
        <v>273</v>
      </c>
      <c r="DR40" t="s">
        <v>273</v>
      </c>
    </row>
    <row r="41" spans="1:122" x14ac:dyDescent="0.2">
      <c r="A41" t="s">
        <v>67</v>
      </c>
      <c r="E41" t="s">
        <v>84</v>
      </c>
      <c r="F41" t="s">
        <v>68</v>
      </c>
      <c r="G41" t="s">
        <v>81</v>
      </c>
      <c r="H41" t="s">
        <v>85</v>
      </c>
      <c r="I41" t="s">
        <v>70</v>
      </c>
      <c r="J41" t="s">
        <v>82</v>
      </c>
      <c r="K41" t="s">
        <v>71</v>
      </c>
      <c r="L41" t="s">
        <v>72</v>
      </c>
      <c r="M41" t="s">
        <v>73</v>
      </c>
      <c r="N41" t="s">
        <v>73</v>
      </c>
      <c r="O41" t="s">
        <v>243</v>
      </c>
      <c r="P41" t="str">
        <f t="shared" si="0"/>
        <v>DFTL_GPU_SRAMGPU_MGX001_GPUBIR_PGPU_PLLP_55N_X_X_SelsrmS1SS_</v>
      </c>
      <c r="S41">
        <v>0.82</v>
      </c>
      <c r="T41">
        <v>0.77080000000000004</v>
      </c>
      <c r="U41" t="s">
        <v>74</v>
      </c>
      <c r="V41" t="s">
        <v>75</v>
      </c>
      <c r="W41" t="s">
        <v>76</v>
      </c>
      <c r="X41" t="s">
        <v>77</v>
      </c>
      <c r="Z41" t="s">
        <v>86</v>
      </c>
      <c r="AA41" t="s">
        <v>79</v>
      </c>
      <c r="AF41" t="s">
        <v>83</v>
      </c>
      <c r="AM41" t="s">
        <v>166</v>
      </c>
      <c r="AN41">
        <v>0.73499999999999999</v>
      </c>
      <c r="AO41">
        <v>0.73499999999999999</v>
      </c>
      <c r="AQ41">
        <v>0.71499999999999997</v>
      </c>
      <c r="AR41">
        <v>0.71499999999999997</v>
      </c>
      <c r="AT41">
        <v>0.8</v>
      </c>
      <c r="AU41">
        <v>0.42</v>
      </c>
      <c r="AV41">
        <v>0.01</v>
      </c>
      <c r="AW41">
        <v>1</v>
      </c>
      <c r="AX41">
        <v>1</v>
      </c>
      <c r="AZ41">
        <v>0.70499999999999996</v>
      </c>
      <c r="BA41">
        <v>0.70499999999999996</v>
      </c>
      <c r="BC41">
        <v>0.76</v>
      </c>
      <c r="BD41">
        <v>0.76</v>
      </c>
      <c r="BF41">
        <v>0.85</v>
      </c>
      <c r="BG41">
        <v>0.85</v>
      </c>
      <c r="BI41">
        <v>0.82</v>
      </c>
      <c r="BJ41">
        <v>0.82</v>
      </c>
      <c r="BL41">
        <v>0.8</v>
      </c>
      <c r="BM41">
        <v>0.42</v>
      </c>
      <c r="BN41">
        <v>0.01</v>
      </c>
      <c r="BO41">
        <v>0.84</v>
      </c>
      <c r="BP41">
        <v>0.84</v>
      </c>
      <c r="BR41">
        <v>0.8</v>
      </c>
      <c r="BS41">
        <v>0.8</v>
      </c>
      <c r="BU41">
        <v>0.88500000000000001</v>
      </c>
      <c r="BV41">
        <v>0.88500000000000001</v>
      </c>
      <c r="BX41">
        <v>0.8</v>
      </c>
      <c r="BY41">
        <v>0.8</v>
      </c>
      <c r="CA41">
        <v>1.32</v>
      </c>
      <c r="CB41">
        <v>1.32</v>
      </c>
      <c r="CD41">
        <v>1.06</v>
      </c>
      <c r="CE41">
        <v>1.06</v>
      </c>
      <c r="CG41">
        <v>0.76500000000000001</v>
      </c>
      <c r="CH41">
        <v>0.76500000000000001</v>
      </c>
      <c r="CJ41">
        <v>0.76500000000000001</v>
      </c>
      <c r="CK41">
        <v>0.76500000000000001</v>
      </c>
      <c r="CM41">
        <v>1.06</v>
      </c>
      <c r="CN41">
        <v>1.06</v>
      </c>
      <c r="CP41">
        <v>1.06</v>
      </c>
      <c r="CQ41">
        <v>1.06</v>
      </c>
      <c r="CS41">
        <v>0.76500000000000001</v>
      </c>
      <c r="CT41">
        <v>0.76500000000000001</v>
      </c>
      <c r="CV41">
        <v>1.06</v>
      </c>
      <c r="CW41">
        <v>1.06</v>
      </c>
      <c r="CY41">
        <v>0.76500000000000001</v>
      </c>
      <c r="CZ41">
        <v>0.76500000000000001</v>
      </c>
      <c r="DB41">
        <v>1.06</v>
      </c>
      <c r="DC41">
        <v>1.06</v>
      </c>
      <c r="DE41">
        <v>0.70499999999999996</v>
      </c>
      <c r="DF41">
        <v>0.70499999999999996</v>
      </c>
      <c r="DH41" t="s">
        <v>80</v>
      </c>
      <c r="DI41">
        <v>0.77100000000000002</v>
      </c>
      <c r="DJ41">
        <v>0.82</v>
      </c>
      <c r="DM41">
        <v>0</v>
      </c>
      <c r="DN41">
        <v>0</v>
      </c>
      <c r="DO41">
        <v>0</v>
      </c>
      <c r="DQ41" t="s">
        <v>273</v>
      </c>
      <c r="DR41" t="s">
        <v>273</v>
      </c>
    </row>
    <row r="42" spans="1:122" x14ac:dyDescent="0.2">
      <c r="A42" t="s">
        <v>67</v>
      </c>
      <c r="E42" t="s">
        <v>84</v>
      </c>
      <c r="F42" t="s">
        <v>68</v>
      </c>
      <c r="G42" t="s">
        <v>81</v>
      </c>
      <c r="H42" t="s">
        <v>229</v>
      </c>
      <c r="I42" t="s">
        <v>90</v>
      </c>
      <c r="J42" t="s">
        <v>82</v>
      </c>
      <c r="K42" t="s">
        <v>71</v>
      </c>
      <c r="L42" t="s">
        <v>72</v>
      </c>
      <c r="M42" t="s">
        <v>73</v>
      </c>
      <c r="N42" t="s">
        <v>73</v>
      </c>
      <c r="O42" t="s">
        <v>243</v>
      </c>
      <c r="P42" t="str">
        <f t="shared" si="0"/>
        <v>DFTL_GPU_SRAMGPU_MGXXXX_GPUBST_PGPU_PLLP_55N_X_X_SelsrmS1SS_</v>
      </c>
      <c r="S42">
        <v>0.90200000000000002</v>
      </c>
      <c r="T42">
        <v>0.82</v>
      </c>
      <c r="U42" t="s">
        <v>74</v>
      </c>
      <c r="V42" t="s">
        <v>75</v>
      </c>
      <c r="W42" t="s">
        <v>76</v>
      </c>
      <c r="X42" t="s">
        <v>77</v>
      </c>
      <c r="Y42" t="s">
        <v>93</v>
      </c>
      <c r="Z42" t="s">
        <v>78</v>
      </c>
      <c r="AA42" t="s">
        <v>79</v>
      </c>
      <c r="AF42" t="s">
        <v>94</v>
      </c>
      <c r="AM42" t="s">
        <v>166</v>
      </c>
      <c r="AN42">
        <v>0.73499999999999999</v>
      </c>
      <c r="AO42">
        <v>0.73499999999999999</v>
      </c>
      <c r="AQ42">
        <v>0.71499999999999997</v>
      </c>
      <c r="AR42">
        <v>0.71499999999999997</v>
      </c>
      <c r="AT42">
        <v>0.8</v>
      </c>
      <c r="AU42">
        <v>0.42</v>
      </c>
      <c r="AV42">
        <v>0.01</v>
      </c>
      <c r="AW42">
        <v>1</v>
      </c>
      <c r="AX42">
        <v>1</v>
      </c>
      <c r="AZ42">
        <v>0.70499999999999996</v>
      </c>
      <c r="BA42">
        <v>0.70499999999999996</v>
      </c>
      <c r="BC42">
        <v>0.76</v>
      </c>
      <c r="BD42">
        <v>0.76</v>
      </c>
      <c r="BF42">
        <v>0.85</v>
      </c>
      <c r="BG42">
        <v>0.85</v>
      </c>
      <c r="BI42">
        <v>0.82</v>
      </c>
      <c r="BJ42">
        <v>0.82</v>
      </c>
      <c r="BL42">
        <v>0.8</v>
      </c>
      <c r="BM42">
        <v>0.42</v>
      </c>
      <c r="BN42">
        <v>0.01</v>
      </c>
      <c r="BO42">
        <v>0.84</v>
      </c>
      <c r="BP42">
        <v>0.84</v>
      </c>
      <c r="BR42">
        <v>0.8</v>
      </c>
      <c r="BS42">
        <v>0.8</v>
      </c>
      <c r="BU42">
        <v>0.88500000000000001</v>
      </c>
      <c r="BV42">
        <v>0.88500000000000001</v>
      </c>
      <c r="BX42">
        <v>0.8</v>
      </c>
      <c r="BY42">
        <v>0.8</v>
      </c>
      <c r="CA42">
        <v>1.32</v>
      </c>
      <c r="CB42">
        <v>1.32</v>
      </c>
      <c r="CD42">
        <v>1.06</v>
      </c>
      <c r="CE42">
        <v>1.06</v>
      </c>
      <c r="CG42">
        <v>0.76500000000000001</v>
      </c>
      <c r="CH42">
        <v>0.76500000000000001</v>
      </c>
      <c r="CJ42">
        <v>0.76500000000000001</v>
      </c>
      <c r="CK42">
        <v>0.76500000000000001</v>
      </c>
      <c r="CM42">
        <v>1.06</v>
      </c>
      <c r="CN42">
        <v>1.06</v>
      </c>
      <c r="CP42">
        <v>1.06</v>
      </c>
      <c r="CQ42">
        <v>1.06</v>
      </c>
      <c r="CS42">
        <v>0.76500000000000001</v>
      </c>
      <c r="CT42">
        <v>0.76500000000000001</v>
      </c>
      <c r="CV42">
        <v>1.06</v>
      </c>
      <c r="CW42">
        <v>1.06</v>
      </c>
      <c r="CY42">
        <v>0.76500000000000001</v>
      </c>
      <c r="CZ42">
        <v>0.76500000000000001</v>
      </c>
      <c r="DB42">
        <v>1.06</v>
      </c>
      <c r="DC42">
        <v>1.06</v>
      </c>
      <c r="DE42">
        <v>0.70499999999999996</v>
      </c>
      <c r="DF42">
        <v>0.70499999999999996</v>
      </c>
      <c r="DH42" t="s">
        <v>80</v>
      </c>
      <c r="DI42">
        <v>0.90200000000000002</v>
      </c>
      <c r="DJ42">
        <v>0.82</v>
      </c>
      <c r="DM42">
        <v>0</v>
      </c>
      <c r="DN42">
        <v>0</v>
      </c>
      <c r="DO42">
        <v>0</v>
      </c>
      <c r="DQ42" t="s">
        <v>273</v>
      </c>
      <c r="DR42" t="s">
        <v>273</v>
      </c>
    </row>
    <row r="43" spans="1:122" x14ac:dyDescent="0.2">
      <c r="A43" t="s">
        <v>67</v>
      </c>
      <c r="E43" t="s">
        <v>84</v>
      </c>
      <c r="F43" t="s">
        <v>68</v>
      </c>
      <c r="G43" t="s">
        <v>81</v>
      </c>
      <c r="H43" t="s">
        <v>85</v>
      </c>
      <c r="I43" t="s">
        <v>90</v>
      </c>
      <c r="J43" t="s">
        <v>82</v>
      </c>
      <c r="K43" t="s">
        <v>71</v>
      </c>
      <c r="L43" t="s">
        <v>72</v>
      </c>
      <c r="M43" t="s">
        <v>73</v>
      </c>
      <c r="N43" t="s">
        <v>73</v>
      </c>
      <c r="O43" t="s">
        <v>243</v>
      </c>
      <c r="P43" t="str">
        <f t="shared" si="0"/>
        <v>DFTL_GPU_SRAMGPU_MGX001_GPUBST_PGPU_PLLP_55N_X_X_SelsrmS1SS_</v>
      </c>
      <c r="S43">
        <v>0.82</v>
      </c>
      <c r="T43">
        <v>0.77080000000000004</v>
      </c>
      <c r="U43" t="s">
        <v>74</v>
      </c>
      <c r="V43" t="s">
        <v>75</v>
      </c>
      <c r="W43" t="s">
        <v>76</v>
      </c>
      <c r="X43" t="s">
        <v>77</v>
      </c>
      <c r="Y43" t="s">
        <v>93</v>
      </c>
      <c r="Z43" t="s">
        <v>86</v>
      </c>
      <c r="AA43" t="s">
        <v>79</v>
      </c>
      <c r="AF43" t="s">
        <v>94</v>
      </c>
      <c r="AM43" t="s">
        <v>166</v>
      </c>
      <c r="AN43">
        <v>0.73499999999999999</v>
      </c>
      <c r="AO43">
        <v>0.73499999999999999</v>
      </c>
      <c r="AQ43">
        <v>0.71499999999999997</v>
      </c>
      <c r="AR43">
        <v>0.71499999999999997</v>
      </c>
      <c r="AT43">
        <v>0.8</v>
      </c>
      <c r="AU43">
        <v>0.42</v>
      </c>
      <c r="AV43">
        <v>0.01</v>
      </c>
      <c r="AW43">
        <v>1</v>
      </c>
      <c r="AX43">
        <v>1</v>
      </c>
      <c r="AZ43">
        <v>0.70499999999999996</v>
      </c>
      <c r="BA43">
        <v>0.70499999999999996</v>
      </c>
      <c r="BC43">
        <v>0.76</v>
      </c>
      <c r="BD43">
        <v>0.76</v>
      </c>
      <c r="BF43">
        <v>0.85</v>
      </c>
      <c r="BG43">
        <v>0.85</v>
      </c>
      <c r="BI43">
        <v>0.82</v>
      </c>
      <c r="BJ43">
        <v>0.82</v>
      </c>
      <c r="BL43">
        <v>0.8</v>
      </c>
      <c r="BM43">
        <v>0.42</v>
      </c>
      <c r="BN43">
        <v>0.01</v>
      </c>
      <c r="BO43">
        <v>0.84</v>
      </c>
      <c r="BP43">
        <v>0.84</v>
      </c>
      <c r="BR43">
        <v>0.8</v>
      </c>
      <c r="BS43">
        <v>0.8</v>
      </c>
      <c r="BU43">
        <v>0.88500000000000001</v>
      </c>
      <c r="BV43">
        <v>0.88500000000000001</v>
      </c>
      <c r="BX43">
        <v>0.8</v>
      </c>
      <c r="BY43">
        <v>0.8</v>
      </c>
      <c r="CA43">
        <v>1.32</v>
      </c>
      <c r="CB43">
        <v>1.32</v>
      </c>
      <c r="CD43">
        <v>1.06</v>
      </c>
      <c r="CE43">
        <v>1.06</v>
      </c>
      <c r="CG43">
        <v>0.76500000000000001</v>
      </c>
      <c r="CH43">
        <v>0.76500000000000001</v>
      </c>
      <c r="CJ43">
        <v>0.76500000000000001</v>
      </c>
      <c r="CK43">
        <v>0.76500000000000001</v>
      </c>
      <c r="CM43">
        <v>1.06</v>
      </c>
      <c r="CN43">
        <v>1.06</v>
      </c>
      <c r="CP43">
        <v>1.06</v>
      </c>
      <c r="CQ43">
        <v>1.06</v>
      </c>
      <c r="CS43">
        <v>0.76500000000000001</v>
      </c>
      <c r="CT43">
        <v>0.76500000000000001</v>
      </c>
      <c r="CV43">
        <v>1.06</v>
      </c>
      <c r="CW43">
        <v>1.06</v>
      </c>
      <c r="CY43">
        <v>0.76500000000000001</v>
      </c>
      <c r="CZ43">
        <v>0.76500000000000001</v>
      </c>
      <c r="DB43">
        <v>1.06</v>
      </c>
      <c r="DC43">
        <v>1.06</v>
      </c>
      <c r="DE43">
        <v>0.70499999999999996</v>
      </c>
      <c r="DF43">
        <v>0.70499999999999996</v>
      </c>
      <c r="DH43" t="s">
        <v>80</v>
      </c>
      <c r="DI43">
        <v>0.77100000000000002</v>
      </c>
      <c r="DJ43">
        <v>0.82</v>
      </c>
      <c r="DM43">
        <v>0</v>
      </c>
      <c r="DN43">
        <v>0</v>
      </c>
      <c r="DO43">
        <v>0</v>
      </c>
      <c r="DQ43" t="s">
        <v>273</v>
      </c>
      <c r="DR43" t="s">
        <v>273</v>
      </c>
    </row>
    <row r="44" spans="1:122" x14ac:dyDescent="0.2">
      <c r="A44" t="s">
        <v>67</v>
      </c>
      <c r="E44" t="s">
        <v>84</v>
      </c>
      <c r="F44" t="s">
        <v>69</v>
      </c>
      <c r="G44" t="s">
        <v>124</v>
      </c>
      <c r="H44" t="s">
        <v>136</v>
      </c>
      <c r="I44" t="s">
        <v>125</v>
      </c>
      <c r="J44" t="s">
        <v>138</v>
      </c>
      <c r="K44" t="s">
        <v>73</v>
      </c>
      <c r="L44" t="s">
        <v>73</v>
      </c>
      <c r="M44" t="s">
        <v>127</v>
      </c>
      <c r="N44" t="s">
        <v>73</v>
      </c>
      <c r="O44" t="s">
        <v>96</v>
      </c>
      <c r="P44" t="str">
        <f t="shared" si="0"/>
        <v>DFTL_SOC_LOW_MSXXXX_SOCBIR_GR04_X_X_SRVA_X_SelsrmSSSS_</v>
      </c>
      <c r="S44">
        <v>0.88</v>
      </c>
      <c r="T44">
        <v>0.8</v>
      </c>
      <c r="U44" t="s">
        <v>74</v>
      </c>
      <c r="V44" t="s">
        <v>128</v>
      </c>
      <c r="W44" t="s">
        <v>129</v>
      </c>
      <c r="X44" t="s">
        <v>130</v>
      </c>
      <c r="Y44" t="s">
        <v>131</v>
      </c>
      <c r="Z44" t="s">
        <v>137</v>
      </c>
      <c r="AA44" t="s">
        <v>133</v>
      </c>
      <c r="AC44" t="s">
        <v>134</v>
      </c>
      <c r="AF44" t="s">
        <v>139</v>
      </c>
      <c r="AG44" t="s">
        <v>135</v>
      </c>
      <c r="AH44" t="s">
        <v>140</v>
      </c>
      <c r="AM44" t="s">
        <v>166</v>
      </c>
      <c r="AN44">
        <v>0.73499999999999999</v>
      </c>
      <c r="AO44">
        <v>0.73499999999999999</v>
      </c>
      <c r="AQ44">
        <v>0.71499999999999997</v>
      </c>
      <c r="AR44">
        <v>0.71499999999999997</v>
      </c>
      <c r="AT44">
        <v>0.745</v>
      </c>
      <c r="AU44">
        <v>0.745</v>
      </c>
      <c r="AW44">
        <v>1</v>
      </c>
      <c r="AX44">
        <v>1</v>
      </c>
      <c r="AZ44">
        <v>0.70499999999999996</v>
      </c>
      <c r="BA44">
        <v>0.70499999999999996</v>
      </c>
      <c r="BC44">
        <v>0.76</v>
      </c>
      <c r="BD44">
        <v>0.76</v>
      </c>
      <c r="BF44">
        <v>0.85</v>
      </c>
      <c r="BG44">
        <v>0.85</v>
      </c>
      <c r="BI44">
        <v>0.82</v>
      </c>
      <c r="BJ44">
        <v>0.82</v>
      </c>
      <c r="BL44">
        <v>0.82</v>
      </c>
      <c r="BM44">
        <v>0.82</v>
      </c>
      <c r="BO44">
        <v>0.84</v>
      </c>
      <c r="BP44">
        <v>0.84</v>
      </c>
      <c r="BR44">
        <v>0.8</v>
      </c>
      <c r="BS44">
        <v>0.5</v>
      </c>
      <c r="BT44">
        <v>5.0000000000000001E-3</v>
      </c>
      <c r="BU44">
        <v>0.88500000000000001</v>
      </c>
      <c r="BV44">
        <v>0.88500000000000001</v>
      </c>
      <c r="BX44">
        <v>0.8</v>
      </c>
      <c r="BY44">
        <v>0.8</v>
      </c>
      <c r="CA44">
        <v>1.32</v>
      </c>
      <c r="CB44">
        <v>1.32</v>
      </c>
      <c r="CD44">
        <v>1.06</v>
      </c>
      <c r="CE44">
        <v>1.06</v>
      </c>
      <c r="CG44">
        <v>0.76500000000000001</v>
      </c>
      <c r="CH44">
        <v>0.76500000000000001</v>
      </c>
      <c r="CJ44">
        <v>0.76500000000000001</v>
      </c>
      <c r="CK44">
        <v>0.76500000000000001</v>
      </c>
      <c r="CM44">
        <v>1.06</v>
      </c>
      <c r="CN44">
        <v>1.06</v>
      </c>
      <c r="CP44">
        <v>1.06</v>
      </c>
      <c r="CQ44">
        <v>1.06</v>
      </c>
      <c r="CS44">
        <v>0.76500000000000001</v>
      </c>
      <c r="CT44">
        <v>0.76500000000000001</v>
      </c>
      <c r="CV44">
        <v>1.06</v>
      </c>
      <c r="CW44">
        <v>1.06</v>
      </c>
      <c r="CY44">
        <v>0.76500000000000001</v>
      </c>
      <c r="CZ44">
        <v>0.76500000000000001</v>
      </c>
      <c r="DB44">
        <v>1.06</v>
      </c>
      <c r="DC44">
        <v>1.06</v>
      </c>
      <c r="DE44">
        <v>0.70499999999999996</v>
      </c>
      <c r="DF44">
        <v>0.70499999999999996</v>
      </c>
      <c r="DH44" t="s">
        <v>80</v>
      </c>
      <c r="DI44">
        <v>0.88</v>
      </c>
      <c r="DJ44">
        <v>0.8</v>
      </c>
      <c r="DM44">
        <v>0</v>
      </c>
      <c r="DN44">
        <v>0</v>
      </c>
      <c r="DO44">
        <v>0</v>
      </c>
      <c r="DQ44" t="s">
        <v>273</v>
      </c>
      <c r="DR44" t="s">
        <v>273</v>
      </c>
    </row>
    <row r="45" spans="1:122" x14ac:dyDescent="0.2">
      <c r="A45" t="s">
        <v>67</v>
      </c>
      <c r="E45" t="s">
        <v>84</v>
      </c>
      <c r="F45" t="s">
        <v>69</v>
      </c>
      <c r="G45" t="s">
        <v>124</v>
      </c>
      <c r="H45" t="s">
        <v>136</v>
      </c>
      <c r="I45" t="s">
        <v>151</v>
      </c>
      <c r="J45" t="s">
        <v>138</v>
      </c>
      <c r="K45" t="s">
        <v>73</v>
      </c>
      <c r="L45" t="s">
        <v>73</v>
      </c>
      <c r="M45" t="s">
        <v>127</v>
      </c>
      <c r="N45" t="s">
        <v>73</v>
      </c>
      <c r="O45" t="s">
        <v>96</v>
      </c>
      <c r="P45" t="str">
        <f t="shared" si="0"/>
        <v>DFTL_SOC_LOW_MSXXXX_SOCBST_GR04_X_X_SRVA_X_SelsrmSSSS_</v>
      </c>
      <c r="S45">
        <v>0.88</v>
      </c>
      <c r="T45">
        <v>0.8</v>
      </c>
      <c r="U45" t="s">
        <v>74</v>
      </c>
      <c r="V45" t="s">
        <v>128</v>
      </c>
      <c r="W45" t="s">
        <v>129</v>
      </c>
      <c r="X45" t="s">
        <v>130</v>
      </c>
      <c r="Y45" t="s">
        <v>131</v>
      </c>
      <c r="Z45" t="s">
        <v>137</v>
      </c>
      <c r="AA45" t="s">
        <v>133</v>
      </c>
      <c r="AC45" t="s">
        <v>134</v>
      </c>
      <c r="AD45" t="s">
        <v>150</v>
      </c>
      <c r="AF45" t="s">
        <v>161</v>
      </c>
      <c r="AG45" t="s">
        <v>135</v>
      </c>
      <c r="AH45" t="s">
        <v>162</v>
      </c>
      <c r="AM45" t="s">
        <v>166</v>
      </c>
      <c r="AN45">
        <v>0.73499999999999999</v>
      </c>
      <c r="AO45">
        <v>0.73499999999999999</v>
      </c>
      <c r="AQ45">
        <v>0.71499999999999997</v>
      </c>
      <c r="AR45">
        <v>0.71499999999999997</v>
      </c>
      <c r="AT45">
        <v>0.745</v>
      </c>
      <c r="AU45">
        <v>0.745</v>
      </c>
      <c r="AW45">
        <v>1</v>
      </c>
      <c r="AX45">
        <v>1</v>
      </c>
      <c r="AZ45">
        <v>0.70499999999999996</v>
      </c>
      <c r="BA45">
        <v>0.70499999999999996</v>
      </c>
      <c r="BC45">
        <v>0.76</v>
      </c>
      <c r="BD45">
        <v>0.76</v>
      </c>
      <c r="BF45">
        <v>0.85</v>
      </c>
      <c r="BG45">
        <v>0.85</v>
      </c>
      <c r="BI45">
        <v>0.82</v>
      </c>
      <c r="BJ45">
        <v>0.82</v>
      </c>
      <c r="BL45">
        <v>0.82</v>
      </c>
      <c r="BM45">
        <v>0.82</v>
      </c>
      <c r="BO45">
        <v>0.84</v>
      </c>
      <c r="BP45">
        <v>0.84</v>
      </c>
      <c r="BR45">
        <v>0.8</v>
      </c>
      <c r="BS45">
        <v>0.5</v>
      </c>
      <c r="BT45">
        <v>5.0000000000000001E-3</v>
      </c>
      <c r="BU45">
        <v>0.88500000000000001</v>
      </c>
      <c r="BV45">
        <v>0.88500000000000001</v>
      </c>
      <c r="BX45">
        <v>0.8</v>
      </c>
      <c r="BY45">
        <v>0.8</v>
      </c>
      <c r="CA45">
        <v>1.32</v>
      </c>
      <c r="CB45">
        <v>1.32</v>
      </c>
      <c r="CD45">
        <v>1.06</v>
      </c>
      <c r="CE45">
        <v>1.06</v>
      </c>
      <c r="CG45">
        <v>0.76500000000000001</v>
      </c>
      <c r="CH45">
        <v>0.76500000000000001</v>
      </c>
      <c r="CJ45">
        <v>0.76500000000000001</v>
      </c>
      <c r="CK45">
        <v>0.76500000000000001</v>
      </c>
      <c r="CM45">
        <v>1.06</v>
      </c>
      <c r="CN45">
        <v>1.06</v>
      </c>
      <c r="CP45">
        <v>1.06</v>
      </c>
      <c r="CQ45">
        <v>1.06</v>
      </c>
      <c r="CS45">
        <v>0.76500000000000001</v>
      </c>
      <c r="CT45">
        <v>0.76500000000000001</v>
      </c>
      <c r="CV45">
        <v>1.06</v>
      </c>
      <c r="CW45">
        <v>1.06</v>
      </c>
      <c r="CY45">
        <v>0.76500000000000001</v>
      </c>
      <c r="CZ45">
        <v>0.76500000000000001</v>
      </c>
      <c r="DB45">
        <v>1.06</v>
      </c>
      <c r="DC45">
        <v>1.06</v>
      </c>
      <c r="DE45">
        <v>0.70499999999999996</v>
      </c>
      <c r="DF45">
        <v>0.70499999999999996</v>
      </c>
      <c r="DH45" t="s">
        <v>80</v>
      </c>
      <c r="DI45">
        <v>0.88</v>
      </c>
      <c r="DJ45">
        <v>0.8</v>
      </c>
      <c r="DM45">
        <v>0</v>
      </c>
      <c r="DN45">
        <v>0</v>
      </c>
      <c r="DO45">
        <v>0</v>
      </c>
      <c r="DQ45" t="s">
        <v>273</v>
      </c>
      <c r="DR45" t="s">
        <v>273</v>
      </c>
    </row>
    <row r="46" spans="1:122" x14ac:dyDescent="0.2">
      <c r="A46" t="s">
        <v>67</v>
      </c>
      <c r="E46" t="s">
        <v>84</v>
      </c>
      <c r="F46" t="s">
        <v>69</v>
      </c>
      <c r="G46" t="s">
        <v>124</v>
      </c>
      <c r="H46" t="s">
        <v>165</v>
      </c>
      <c r="I46" t="s">
        <v>175</v>
      </c>
      <c r="J46" t="s">
        <v>193</v>
      </c>
      <c r="K46" t="s">
        <v>176</v>
      </c>
      <c r="L46" t="s">
        <v>171</v>
      </c>
      <c r="M46" t="s">
        <v>73</v>
      </c>
      <c r="N46" t="s">
        <v>73</v>
      </c>
      <c r="O46" t="s">
        <v>96</v>
      </c>
      <c r="P46" t="str">
        <f t="shared" si="0"/>
        <v>DFTL_SOC_LOW_MLX001_SOCTDF_CLA0_PL10_SSC_X_X_SelsrmSSSS_</v>
      </c>
      <c r="S46">
        <v>0.79200000000000004</v>
      </c>
      <c r="T46">
        <v>0.72</v>
      </c>
      <c r="U46" t="s">
        <v>74</v>
      </c>
      <c r="V46" t="s">
        <v>172</v>
      </c>
      <c r="W46" t="s">
        <v>173</v>
      </c>
      <c r="X46" t="s">
        <v>174</v>
      </c>
      <c r="Y46" t="s">
        <v>194</v>
      </c>
      <c r="AF46" t="s">
        <v>195</v>
      </c>
      <c r="AM46" t="s">
        <v>166</v>
      </c>
      <c r="AN46">
        <v>0.73499999999999999</v>
      </c>
      <c r="AO46">
        <v>0.73499999999999999</v>
      </c>
      <c r="AQ46">
        <v>0.71499999999999997</v>
      </c>
      <c r="AR46">
        <v>0.71499999999999997</v>
      </c>
      <c r="AT46">
        <v>0.745</v>
      </c>
      <c r="AU46">
        <v>0.745</v>
      </c>
      <c r="AW46">
        <v>1</v>
      </c>
      <c r="AX46">
        <v>1</v>
      </c>
      <c r="AZ46">
        <v>0.70499999999999996</v>
      </c>
      <c r="BA46">
        <v>0.70499999999999996</v>
      </c>
      <c r="BC46">
        <v>0.76</v>
      </c>
      <c r="BD46">
        <v>0.76</v>
      </c>
      <c r="BF46">
        <v>0.73499999999999999</v>
      </c>
      <c r="BG46">
        <v>0.73499999999999999</v>
      </c>
      <c r="BI46">
        <v>0.77500000000000002</v>
      </c>
      <c r="BJ46">
        <v>0.77500000000000002</v>
      </c>
      <c r="BL46">
        <v>0.77500000000000002</v>
      </c>
      <c r="BM46">
        <v>0.77500000000000002</v>
      </c>
      <c r="BO46">
        <v>0.84</v>
      </c>
      <c r="BP46">
        <v>0.84</v>
      </c>
      <c r="BR46">
        <v>0.8</v>
      </c>
      <c r="BS46">
        <v>0.5</v>
      </c>
      <c r="BT46">
        <v>5.0000000000000001E-3</v>
      </c>
      <c r="BU46">
        <v>0.88500000000000001</v>
      </c>
      <c r="BV46">
        <v>0.88500000000000001</v>
      </c>
      <c r="BX46">
        <v>0.8</v>
      </c>
      <c r="BY46">
        <v>0.8</v>
      </c>
      <c r="CA46">
        <v>1.32</v>
      </c>
      <c r="CB46">
        <v>1.32</v>
      </c>
      <c r="CD46">
        <v>1.06</v>
      </c>
      <c r="CE46">
        <v>1.06</v>
      </c>
      <c r="CG46">
        <v>0.76500000000000001</v>
      </c>
      <c r="CH46">
        <v>0.76500000000000001</v>
      </c>
      <c r="CJ46">
        <v>0.76500000000000001</v>
      </c>
      <c r="CK46">
        <v>0.76500000000000001</v>
      </c>
      <c r="CM46">
        <v>1.06</v>
      </c>
      <c r="CN46">
        <v>1.06</v>
      </c>
      <c r="CP46">
        <v>1.06</v>
      </c>
      <c r="CQ46">
        <v>1.06</v>
      </c>
      <c r="CS46">
        <v>0.76500000000000001</v>
      </c>
      <c r="CT46">
        <v>0.76500000000000001</v>
      </c>
      <c r="CV46">
        <v>1.06</v>
      </c>
      <c r="CW46">
        <v>1.06</v>
      </c>
      <c r="CY46">
        <v>0.76500000000000001</v>
      </c>
      <c r="CZ46">
        <v>0.76500000000000001</v>
      </c>
      <c r="DB46">
        <v>1.06</v>
      </c>
      <c r="DC46">
        <v>1.06</v>
      </c>
      <c r="DE46">
        <v>0.70499999999999996</v>
      </c>
      <c r="DF46">
        <v>0.70499999999999996</v>
      </c>
      <c r="DH46" t="s">
        <v>80</v>
      </c>
      <c r="DI46">
        <v>0.79200000000000004</v>
      </c>
      <c r="DJ46">
        <v>0.72</v>
      </c>
      <c r="DM46">
        <v>0</v>
      </c>
      <c r="DN46">
        <v>0</v>
      </c>
      <c r="DO46">
        <v>0</v>
      </c>
      <c r="DQ46" t="s">
        <v>274</v>
      </c>
      <c r="DR46" t="s">
        <v>274</v>
      </c>
    </row>
    <row r="47" spans="1:122" s="20" customFormat="1" hidden="1" x14ac:dyDescent="0.2">
      <c r="A47" s="20" t="s">
        <v>481</v>
      </c>
      <c r="E47" s="20" t="s">
        <v>84</v>
      </c>
      <c r="F47" s="20" t="s">
        <v>69</v>
      </c>
      <c r="G47" s="20" t="s">
        <v>186</v>
      </c>
      <c r="H47" s="20" t="s">
        <v>187</v>
      </c>
      <c r="I47" s="20" t="s">
        <v>175</v>
      </c>
      <c r="J47" s="20" t="s">
        <v>185</v>
      </c>
      <c r="K47" s="20" t="s">
        <v>176</v>
      </c>
      <c r="L47" s="20" t="s">
        <v>171</v>
      </c>
      <c r="M47" s="20" t="s">
        <v>73</v>
      </c>
      <c r="N47" s="20" t="s">
        <v>73</v>
      </c>
      <c r="O47" s="20" t="s">
        <v>96</v>
      </c>
      <c r="P47" s="20" t="str">
        <f t="shared" si="0"/>
        <v>DFTL_SOC_FIXED_MFX001_SOCTDF_CHI1_PL10_SSC_X_X_SelsrmSSSS_</v>
      </c>
      <c r="S47" s="20">
        <v>0.89100000000000001</v>
      </c>
      <c r="T47" s="20">
        <v>0.81</v>
      </c>
      <c r="U47" s="20" t="s">
        <v>74</v>
      </c>
      <c r="V47" s="20" t="s">
        <v>172</v>
      </c>
      <c r="W47" s="20" t="s">
        <v>173</v>
      </c>
      <c r="X47" s="20" t="s">
        <v>174</v>
      </c>
      <c r="Y47" s="20" t="s">
        <v>188</v>
      </c>
      <c r="AF47" s="20" t="s">
        <v>189</v>
      </c>
      <c r="AM47" s="20" t="s">
        <v>166</v>
      </c>
      <c r="AN47" s="20">
        <v>0.73499999999999999</v>
      </c>
      <c r="AO47" s="20">
        <v>0.73499999999999999</v>
      </c>
      <c r="AQ47" s="20">
        <v>0.71499999999999997</v>
      </c>
      <c r="AR47" s="20">
        <v>0.71499999999999997</v>
      </c>
      <c r="AT47" s="20">
        <v>0.745</v>
      </c>
      <c r="AU47" s="20">
        <v>0.745</v>
      </c>
      <c r="AW47" s="20">
        <v>1</v>
      </c>
      <c r="AX47" s="20">
        <v>1</v>
      </c>
      <c r="AZ47" s="20">
        <v>0.70499999999999996</v>
      </c>
      <c r="BA47" s="20">
        <v>0.70499999999999996</v>
      </c>
      <c r="BC47" s="20">
        <v>0.76</v>
      </c>
      <c r="BD47" s="20">
        <v>0.76</v>
      </c>
      <c r="BF47" s="20">
        <v>0.73499999999999999</v>
      </c>
      <c r="BG47" s="20">
        <v>0.73499999999999999</v>
      </c>
      <c r="BI47" s="20">
        <v>0.77500000000000002</v>
      </c>
      <c r="BJ47" s="20">
        <v>0.77500000000000002</v>
      </c>
      <c r="BL47" s="20">
        <v>0.77500000000000002</v>
      </c>
      <c r="BM47" s="20">
        <v>0.77500000000000002</v>
      </c>
      <c r="BO47" s="20">
        <v>0.8</v>
      </c>
      <c r="BP47" s="20">
        <v>0.5</v>
      </c>
      <c r="BQ47" s="20">
        <v>0.01</v>
      </c>
      <c r="BR47" s="20">
        <v>0.8</v>
      </c>
      <c r="BS47" s="20">
        <v>0.8</v>
      </c>
      <c r="BU47" s="20">
        <v>0.88500000000000001</v>
      </c>
      <c r="BV47" s="20">
        <v>0.88500000000000001</v>
      </c>
      <c r="BX47" s="20">
        <v>0.8</v>
      </c>
      <c r="BY47" s="20">
        <v>0.8</v>
      </c>
      <c r="CA47" s="20">
        <v>1.32</v>
      </c>
      <c r="CB47" s="20">
        <v>1.32</v>
      </c>
      <c r="CD47" s="20">
        <v>1.06</v>
      </c>
      <c r="CE47" s="20">
        <v>1.06</v>
      </c>
      <c r="CG47" s="20">
        <v>0.76500000000000001</v>
      </c>
      <c r="CH47" s="20">
        <v>0.76500000000000001</v>
      </c>
      <c r="CJ47" s="20">
        <v>0.76500000000000001</v>
      </c>
      <c r="CK47" s="20">
        <v>0.76500000000000001</v>
      </c>
      <c r="CM47" s="20">
        <v>1.06</v>
      </c>
      <c r="CN47" s="20">
        <v>1.06</v>
      </c>
      <c r="CP47" s="20">
        <v>1.06</v>
      </c>
      <c r="CQ47" s="20">
        <v>1.06</v>
      </c>
      <c r="CS47" s="20">
        <v>0.76500000000000001</v>
      </c>
      <c r="CT47" s="20">
        <v>0.76500000000000001</v>
      </c>
      <c r="CV47" s="20">
        <v>1.06</v>
      </c>
      <c r="CW47" s="20">
        <v>1.06</v>
      </c>
      <c r="CY47" s="20">
        <v>0.76500000000000001</v>
      </c>
      <c r="CZ47" s="20">
        <v>0.76500000000000001</v>
      </c>
      <c r="DB47" s="20">
        <v>1.06</v>
      </c>
      <c r="DC47" s="20">
        <v>1.06</v>
      </c>
      <c r="DE47" s="20">
        <v>0.70499999999999996</v>
      </c>
      <c r="DF47" s="20">
        <v>0.70499999999999996</v>
      </c>
      <c r="DH47" s="20" t="s">
        <v>80</v>
      </c>
      <c r="DI47" s="20">
        <v>0.89100000000000001</v>
      </c>
      <c r="DJ47" s="20">
        <v>0.81</v>
      </c>
      <c r="DM47" s="20">
        <v>0</v>
      </c>
      <c r="DN47" s="20">
        <v>0</v>
      </c>
      <c r="DO47" s="20">
        <v>0</v>
      </c>
      <c r="DQ47" s="20" t="s">
        <v>273</v>
      </c>
      <c r="DR47" s="20" t="s">
        <v>273</v>
      </c>
    </row>
    <row r="48" spans="1:122" x14ac:dyDescent="0.2">
      <c r="A48" t="s">
        <v>67</v>
      </c>
      <c r="E48" t="s">
        <v>84</v>
      </c>
      <c r="F48" t="s">
        <v>69</v>
      </c>
      <c r="G48" t="s">
        <v>186</v>
      </c>
      <c r="H48" t="s">
        <v>187</v>
      </c>
      <c r="I48" t="s">
        <v>175</v>
      </c>
      <c r="J48" t="s">
        <v>190</v>
      </c>
      <c r="K48" t="s">
        <v>176</v>
      </c>
      <c r="L48" t="s">
        <v>171</v>
      </c>
      <c r="M48" t="s">
        <v>73</v>
      </c>
      <c r="N48" t="s">
        <v>73</v>
      </c>
      <c r="O48" t="s">
        <v>96</v>
      </c>
      <c r="P48" t="str">
        <f t="shared" si="0"/>
        <v>DFTL_SOC_FIXED_MFX001_SOCTDF_CHI2_PL10_SSC_X_X_SelsrmSSSS_</v>
      </c>
      <c r="S48">
        <v>0.89100000000000001</v>
      </c>
      <c r="T48">
        <v>0.81</v>
      </c>
      <c r="U48" t="s">
        <v>74</v>
      </c>
      <c r="V48" t="s">
        <v>172</v>
      </c>
      <c r="W48" t="s">
        <v>173</v>
      </c>
      <c r="X48" t="s">
        <v>174</v>
      </c>
      <c r="Y48" t="s">
        <v>191</v>
      </c>
      <c r="AF48" t="s">
        <v>192</v>
      </c>
      <c r="AM48" t="s">
        <v>166</v>
      </c>
      <c r="AN48">
        <v>0.73499999999999999</v>
      </c>
      <c r="AO48">
        <v>0.73499999999999999</v>
      </c>
      <c r="AQ48">
        <v>0.71499999999999997</v>
      </c>
      <c r="AR48">
        <v>0.71499999999999997</v>
      </c>
      <c r="AT48">
        <v>0.745</v>
      </c>
      <c r="AU48">
        <v>0.745</v>
      </c>
      <c r="AW48">
        <v>1</v>
      </c>
      <c r="AX48">
        <v>1</v>
      </c>
      <c r="AZ48">
        <v>0.70499999999999996</v>
      </c>
      <c r="BA48">
        <v>0.70499999999999996</v>
      </c>
      <c r="BC48">
        <v>0.76</v>
      </c>
      <c r="BD48">
        <v>0.76</v>
      </c>
      <c r="BF48">
        <v>0.73499999999999999</v>
      </c>
      <c r="BG48">
        <v>0.73499999999999999</v>
      </c>
      <c r="BI48">
        <v>0.77500000000000002</v>
      </c>
      <c r="BJ48">
        <v>0.77500000000000002</v>
      </c>
      <c r="BL48">
        <v>0.77500000000000002</v>
      </c>
      <c r="BM48">
        <v>0.77500000000000002</v>
      </c>
      <c r="BO48">
        <v>0.8</v>
      </c>
      <c r="BP48">
        <v>0.5</v>
      </c>
      <c r="BQ48">
        <v>0.01</v>
      </c>
      <c r="BR48">
        <v>0.8</v>
      </c>
      <c r="BS48">
        <v>0.8</v>
      </c>
      <c r="BU48">
        <v>0.88500000000000001</v>
      </c>
      <c r="BV48">
        <v>0.88500000000000001</v>
      </c>
      <c r="BX48">
        <v>0.8</v>
      </c>
      <c r="BY48">
        <v>0.8</v>
      </c>
      <c r="CA48">
        <v>1.32</v>
      </c>
      <c r="CB48">
        <v>1.32</v>
      </c>
      <c r="CD48">
        <v>1.06</v>
      </c>
      <c r="CE48">
        <v>1.06</v>
      </c>
      <c r="CG48">
        <v>0.76500000000000001</v>
      </c>
      <c r="CH48">
        <v>0.76500000000000001</v>
      </c>
      <c r="CJ48">
        <v>0.76500000000000001</v>
      </c>
      <c r="CK48">
        <v>0.76500000000000001</v>
      </c>
      <c r="CM48">
        <v>1.06</v>
      </c>
      <c r="CN48">
        <v>1.06</v>
      </c>
      <c r="CP48">
        <v>1.06</v>
      </c>
      <c r="CQ48">
        <v>1.06</v>
      </c>
      <c r="CS48">
        <v>0.76500000000000001</v>
      </c>
      <c r="CT48">
        <v>0.76500000000000001</v>
      </c>
      <c r="CV48">
        <v>1.06</v>
      </c>
      <c r="CW48">
        <v>1.06</v>
      </c>
      <c r="CY48">
        <v>0.76500000000000001</v>
      </c>
      <c r="CZ48">
        <v>0.76500000000000001</v>
      </c>
      <c r="DB48">
        <v>1.06</v>
      </c>
      <c r="DC48">
        <v>1.06</v>
      </c>
      <c r="DE48">
        <v>0.70499999999999996</v>
      </c>
      <c r="DF48">
        <v>0.70499999999999996</v>
      </c>
      <c r="DH48" t="s">
        <v>80</v>
      </c>
      <c r="DI48">
        <v>0.89100000000000001</v>
      </c>
      <c r="DJ48">
        <v>0.81</v>
      </c>
      <c r="DM48">
        <v>0</v>
      </c>
      <c r="DN48">
        <v>0</v>
      </c>
      <c r="DO48">
        <v>0</v>
      </c>
      <c r="DQ48" t="s">
        <v>273</v>
      </c>
      <c r="DR48" t="s">
        <v>273</v>
      </c>
    </row>
    <row r="49" spans="1:121" x14ac:dyDescent="0.2">
      <c r="A49" t="s">
        <v>67</v>
      </c>
      <c r="E49" t="s">
        <v>368</v>
      </c>
      <c r="F49" t="s">
        <v>282</v>
      </c>
      <c r="G49" t="s">
        <v>16</v>
      </c>
      <c r="H49" t="s">
        <v>283</v>
      </c>
      <c r="I49" t="s">
        <v>284</v>
      </c>
      <c r="J49" t="s">
        <v>73</v>
      </c>
      <c r="K49" t="s">
        <v>73</v>
      </c>
      <c r="L49" t="s">
        <v>285</v>
      </c>
      <c r="M49" t="s">
        <v>73</v>
      </c>
      <c r="N49" t="s">
        <v>73</v>
      </c>
      <c r="O49" t="s">
        <v>73</v>
      </c>
      <c r="P49" t="str">
        <f t="shared" si="0"/>
        <v>HFL_N_VDDCIO_USBG1DP_CIO_X_X_ELB_X_X_X_</v>
      </c>
      <c r="V49" t="s">
        <v>286</v>
      </c>
      <c r="W49" t="s">
        <v>287</v>
      </c>
      <c r="X49" t="s">
        <v>288</v>
      </c>
      <c r="AF49" t="s">
        <v>289</v>
      </c>
      <c r="AM49" t="s">
        <v>290</v>
      </c>
      <c r="AN49">
        <v>0.78</v>
      </c>
      <c r="AO49">
        <v>0.78</v>
      </c>
      <c r="AQ49">
        <v>0.78</v>
      </c>
      <c r="AR49">
        <v>0.78</v>
      </c>
      <c r="AT49">
        <v>0.78</v>
      </c>
      <c r="AU49">
        <v>0.78</v>
      </c>
      <c r="AW49">
        <v>0.78</v>
      </c>
      <c r="AX49">
        <v>0.78</v>
      </c>
      <c r="AZ49">
        <v>0.78</v>
      </c>
      <c r="BA49">
        <v>0.78</v>
      </c>
      <c r="BC49">
        <v>0.78</v>
      </c>
      <c r="BD49">
        <v>0.78</v>
      </c>
      <c r="BF49">
        <v>0.78</v>
      </c>
      <c r="BG49">
        <v>0.78</v>
      </c>
      <c r="BI49">
        <v>0.78</v>
      </c>
      <c r="BJ49">
        <v>0.78</v>
      </c>
      <c r="BL49">
        <v>0.78</v>
      </c>
      <c r="BM49">
        <v>0.78</v>
      </c>
      <c r="BO49">
        <v>0.76500000000000001</v>
      </c>
      <c r="BP49">
        <v>0.76500000000000001</v>
      </c>
      <c r="BR49">
        <v>0.72499999999999998</v>
      </c>
      <c r="BS49">
        <v>0.72499999999999998</v>
      </c>
      <c r="BU49">
        <v>0.55000000000000004</v>
      </c>
      <c r="BV49">
        <v>0.85</v>
      </c>
      <c r="BW49">
        <v>5.0000000000000001E-3</v>
      </c>
      <c r="BX49">
        <v>0.55000000000000004</v>
      </c>
      <c r="BY49">
        <v>0.85</v>
      </c>
      <c r="BZ49">
        <v>5.0000000000000001E-3</v>
      </c>
      <c r="CA49">
        <v>1.32</v>
      </c>
      <c r="CB49">
        <v>1.32</v>
      </c>
      <c r="CD49">
        <v>1.06</v>
      </c>
      <c r="CE49">
        <v>1.06</v>
      </c>
      <c r="CG49">
        <v>0.76500000000000001</v>
      </c>
      <c r="CH49">
        <v>0.76500000000000001</v>
      </c>
      <c r="CJ49">
        <v>0.76500000000000001</v>
      </c>
      <c r="CK49">
        <v>0.76500000000000001</v>
      </c>
      <c r="CM49">
        <v>1.06</v>
      </c>
      <c r="CN49">
        <v>1.06</v>
      </c>
      <c r="CP49">
        <v>1.06</v>
      </c>
      <c r="CQ49">
        <v>1.06</v>
      </c>
      <c r="CS49">
        <v>0.76500000000000001</v>
      </c>
      <c r="CT49">
        <v>0.76500000000000001</v>
      </c>
      <c r="CV49">
        <v>1.06</v>
      </c>
      <c r="CW49">
        <v>1.06</v>
      </c>
      <c r="CY49">
        <v>0.76500000000000001</v>
      </c>
      <c r="CZ49">
        <v>0.76500000000000001</v>
      </c>
      <c r="DB49">
        <v>1.06</v>
      </c>
      <c r="DC49">
        <v>1.06</v>
      </c>
      <c r="DE49">
        <v>0.70499999999999996</v>
      </c>
      <c r="DF49">
        <v>0.70499999999999996</v>
      </c>
      <c r="DH49" t="s">
        <v>80</v>
      </c>
      <c r="DI49">
        <v>0.65</v>
      </c>
      <c r="DJ49">
        <v>0.76500000000000001</v>
      </c>
      <c r="DM49">
        <v>0</v>
      </c>
      <c r="DN49">
        <v>0</v>
      </c>
      <c r="DO49">
        <v>0</v>
      </c>
      <c r="DQ49" t="s">
        <v>273</v>
      </c>
    </row>
    <row r="50" spans="1:121" x14ac:dyDescent="0.2">
      <c r="A50" t="s">
        <v>67</v>
      </c>
      <c r="E50" t="s">
        <v>368</v>
      </c>
      <c r="F50" t="s">
        <v>282</v>
      </c>
      <c r="G50" t="s">
        <v>16</v>
      </c>
      <c r="H50" t="s">
        <v>291</v>
      </c>
      <c r="I50" t="s">
        <v>284</v>
      </c>
      <c r="J50" t="s">
        <v>73</v>
      </c>
      <c r="K50" t="s">
        <v>73</v>
      </c>
      <c r="L50" t="s">
        <v>285</v>
      </c>
      <c r="M50" t="s">
        <v>73</v>
      </c>
      <c r="N50" t="s">
        <v>73</v>
      </c>
      <c r="O50" t="s">
        <v>73</v>
      </c>
      <c r="P50" t="str">
        <f t="shared" si="0"/>
        <v>HFL_N_VDDCIO_DPUSBG1_CIO_X_X_ELB_X_X_X_</v>
      </c>
      <c r="V50" t="s">
        <v>286</v>
      </c>
      <c r="W50" t="s">
        <v>287</v>
      </c>
      <c r="X50" t="s">
        <v>292</v>
      </c>
      <c r="AF50" t="s">
        <v>293</v>
      </c>
      <c r="AM50" t="s">
        <v>290</v>
      </c>
      <c r="AN50">
        <v>0.78</v>
      </c>
      <c r="AO50">
        <v>0.78</v>
      </c>
      <c r="AQ50">
        <v>0.78</v>
      </c>
      <c r="AR50">
        <v>0.78</v>
      </c>
      <c r="AT50">
        <v>0.78</v>
      </c>
      <c r="AU50">
        <v>0.78</v>
      </c>
      <c r="AW50">
        <v>0.78</v>
      </c>
      <c r="AX50">
        <v>0.78</v>
      </c>
      <c r="AZ50">
        <v>0.78</v>
      </c>
      <c r="BA50">
        <v>0.78</v>
      </c>
      <c r="BC50">
        <v>0.78</v>
      </c>
      <c r="BD50">
        <v>0.78</v>
      </c>
      <c r="BF50">
        <v>0.78</v>
      </c>
      <c r="BG50">
        <v>0.78</v>
      </c>
      <c r="BI50">
        <v>0.78</v>
      </c>
      <c r="BJ50">
        <v>0.78</v>
      </c>
      <c r="BL50">
        <v>0.78</v>
      </c>
      <c r="BM50">
        <v>0.78</v>
      </c>
      <c r="BO50">
        <v>0.76500000000000001</v>
      </c>
      <c r="BP50">
        <v>0.76500000000000001</v>
      </c>
      <c r="BR50">
        <v>0.72499999999999998</v>
      </c>
      <c r="BS50">
        <v>0.72499999999999998</v>
      </c>
      <c r="BU50">
        <v>0.55000000000000004</v>
      </c>
      <c r="BV50">
        <v>0.85</v>
      </c>
      <c r="BW50">
        <v>5.0000000000000001E-3</v>
      </c>
      <c r="BX50">
        <v>0.55000000000000004</v>
      </c>
      <c r="BY50">
        <v>0.85</v>
      </c>
      <c r="BZ50">
        <v>5.0000000000000001E-3</v>
      </c>
      <c r="CA50">
        <v>1.32</v>
      </c>
      <c r="CB50">
        <v>1.32</v>
      </c>
      <c r="CD50">
        <v>1.06</v>
      </c>
      <c r="CE50">
        <v>1.06</v>
      </c>
      <c r="CG50">
        <v>0.76500000000000001</v>
      </c>
      <c r="CH50">
        <v>0.76500000000000001</v>
      </c>
      <c r="CJ50">
        <v>0.76500000000000001</v>
      </c>
      <c r="CK50">
        <v>0.76500000000000001</v>
      </c>
      <c r="CM50">
        <v>1.06</v>
      </c>
      <c r="CN50">
        <v>1.06</v>
      </c>
      <c r="CP50">
        <v>1.06</v>
      </c>
      <c r="CQ50">
        <v>1.06</v>
      </c>
      <c r="CS50">
        <v>0.76500000000000001</v>
      </c>
      <c r="CT50">
        <v>0.76500000000000001</v>
      </c>
      <c r="CV50">
        <v>1.06</v>
      </c>
      <c r="CW50">
        <v>1.06</v>
      </c>
      <c r="CY50">
        <v>0.76500000000000001</v>
      </c>
      <c r="CZ50">
        <v>0.76500000000000001</v>
      </c>
      <c r="DB50">
        <v>1.06</v>
      </c>
      <c r="DC50">
        <v>1.06</v>
      </c>
      <c r="DE50">
        <v>0.70499999999999996</v>
      </c>
      <c r="DF50">
        <v>0.70499999999999996</v>
      </c>
      <c r="DH50" t="s">
        <v>80</v>
      </c>
      <c r="DI50">
        <v>0.65</v>
      </c>
      <c r="DJ50">
        <v>0.76500000000000001</v>
      </c>
      <c r="DM50">
        <v>0</v>
      </c>
      <c r="DN50">
        <v>0</v>
      </c>
      <c r="DO50">
        <v>0</v>
      </c>
      <c r="DQ50" t="s">
        <v>273</v>
      </c>
    </row>
    <row r="51" spans="1:121" x14ac:dyDescent="0.2">
      <c r="A51" t="s">
        <v>67</v>
      </c>
      <c r="E51" t="s">
        <v>368</v>
      </c>
      <c r="F51" t="s">
        <v>282</v>
      </c>
      <c r="G51" t="s">
        <v>16</v>
      </c>
      <c r="H51" t="s">
        <v>294</v>
      </c>
      <c r="I51" t="s">
        <v>284</v>
      </c>
      <c r="J51" t="s">
        <v>73</v>
      </c>
      <c r="K51" t="s">
        <v>73</v>
      </c>
      <c r="L51" t="s">
        <v>285</v>
      </c>
      <c r="M51" t="s">
        <v>73</v>
      </c>
      <c r="N51" t="s">
        <v>73</v>
      </c>
      <c r="O51" t="s">
        <v>73</v>
      </c>
      <c r="P51" t="str">
        <f t="shared" si="0"/>
        <v>HFL_N_VDDCIO_USBG2DP_CIO_X_X_ELB_X_X_X_</v>
      </c>
      <c r="V51" t="s">
        <v>286</v>
      </c>
      <c r="W51" t="s">
        <v>287</v>
      </c>
      <c r="X51" t="s">
        <v>288</v>
      </c>
      <c r="AF51" t="s">
        <v>295</v>
      </c>
      <c r="AM51" t="s">
        <v>290</v>
      </c>
      <c r="AN51">
        <v>0.78</v>
      </c>
      <c r="AO51">
        <v>0.78</v>
      </c>
      <c r="AQ51">
        <v>0.78</v>
      </c>
      <c r="AR51">
        <v>0.78</v>
      </c>
      <c r="AT51">
        <v>0.78</v>
      </c>
      <c r="AU51">
        <v>0.78</v>
      </c>
      <c r="AW51">
        <v>0.78</v>
      </c>
      <c r="AX51">
        <v>0.78</v>
      </c>
      <c r="AZ51">
        <v>0.78</v>
      </c>
      <c r="BA51">
        <v>0.78</v>
      </c>
      <c r="BC51">
        <v>0.78</v>
      </c>
      <c r="BD51">
        <v>0.78</v>
      </c>
      <c r="BF51">
        <v>0.78</v>
      </c>
      <c r="BG51">
        <v>0.78</v>
      </c>
      <c r="BI51">
        <v>0.78</v>
      </c>
      <c r="BJ51">
        <v>0.78</v>
      </c>
      <c r="BL51">
        <v>0.78</v>
      </c>
      <c r="BM51">
        <v>0.78</v>
      </c>
      <c r="BO51">
        <v>0.76500000000000001</v>
      </c>
      <c r="BP51">
        <v>0.76500000000000001</v>
      </c>
      <c r="BR51">
        <v>0.72499999999999998</v>
      </c>
      <c r="BS51">
        <v>0.72499999999999998</v>
      </c>
      <c r="BU51">
        <v>0.55000000000000004</v>
      </c>
      <c r="BV51">
        <v>0.85</v>
      </c>
      <c r="BW51">
        <v>5.0000000000000001E-3</v>
      </c>
      <c r="BX51">
        <v>0.55000000000000004</v>
      </c>
      <c r="BY51">
        <v>0.85</v>
      </c>
      <c r="BZ51">
        <v>5.0000000000000001E-3</v>
      </c>
      <c r="CA51">
        <v>1.32</v>
      </c>
      <c r="CB51">
        <v>1.32</v>
      </c>
      <c r="CD51">
        <v>1.06</v>
      </c>
      <c r="CE51">
        <v>1.06</v>
      </c>
      <c r="CG51">
        <v>0.76500000000000001</v>
      </c>
      <c r="CH51">
        <v>0.76500000000000001</v>
      </c>
      <c r="CJ51">
        <v>0.76500000000000001</v>
      </c>
      <c r="CK51">
        <v>0.76500000000000001</v>
      </c>
      <c r="CM51">
        <v>1.06</v>
      </c>
      <c r="CN51">
        <v>1.06</v>
      </c>
      <c r="CP51">
        <v>1.06</v>
      </c>
      <c r="CQ51">
        <v>1.06</v>
      </c>
      <c r="CS51">
        <v>0.76500000000000001</v>
      </c>
      <c r="CT51">
        <v>0.76500000000000001</v>
      </c>
      <c r="CV51">
        <v>1.06</v>
      </c>
      <c r="CW51">
        <v>1.06</v>
      </c>
      <c r="CY51">
        <v>0.76500000000000001</v>
      </c>
      <c r="CZ51">
        <v>0.76500000000000001</v>
      </c>
      <c r="DB51">
        <v>1.06</v>
      </c>
      <c r="DC51">
        <v>1.06</v>
      </c>
      <c r="DE51">
        <v>0.70499999999999996</v>
      </c>
      <c r="DF51">
        <v>0.70499999999999996</v>
      </c>
      <c r="DH51" t="s">
        <v>80</v>
      </c>
      <c r="DI51">
        <v>0.65</v>
      </c>
      <c r="DJ51">
        <v>0.76500000000000001</v>
      </c>
      <c r="DM51">
        <v>0</v>
      </c>
      <c r="DN51">
        <v>0</v>
      </c>
      <c r="DO51">
        <v>0</v>
      </c>
      <c r="DQ51" t="s">
        <v>273</v>
      </c>
    </row>
    <row r="52" spans="1:121" x14ac:dyDescent="0.2">
      <c r="A52" t="s">
        <v>67</v>
      </c>
      <c r="E52" t="s">
        <v>368</v>
      </c>
      <c r="F52" t="s">
        <v>282</v>
      </c>
      <c r="G52" t="s">
        <v>16</v>
      </c>
      <c r="H52" t="s">
        <v>296</v>
      </c>
      <c r="I52" t="s">
        <v>284</v>
      </c>
      <c r="J52" t="s">
        <v>73</v>
      </c>
      <c r="K52" t="s">
        <v>73</v>
      </c>
      <c r="L52" t="s">
        <v>285</v>
      </c>
      <c r="M52" t="s">
        <v>73</v>
      </c>
      <c r="N52" t="s">
        <v>73</v>
      </c>
      <c r="O52" t="s">
        <v>73</v>
      </c>
      <c r="P52" t="str">
        <f t="shared" si="0"/>
        <v>HFL_N_VDDCIO_DPUSBG2_CIO_X_X_ELB_X_X_X_</v>
      </c>
      <c r="V52" t="s">
        <v>286</v>
      </c>
      <c r="W52" t="s">
        <v>287</v>
      </c>
      <c r="X52" t="s">
        <v>292</v>
      </c>
      <c r="AF52" t="s">
        <v>297</v>
      </c>
      <c r="AM52" t="s">
        <v>290</v>
      </c>
      <c r="AN52">
        <v>0.78</v>
      </c>
      <c r="AO52">
        <v>0.78</v>
      </c>
      <c r="AQ52">
        <v>0.78</v>
      </c>
      <c r="AR52">
        <v>0.78</v>
      </c>
      <c r="AT52">
        <v>0.78</v>
      </c>
      <c r="AU52">
        <v>0.78</v>
      </c>
      <c r="AW52">
        <v>0.78</v>
      </c>
      <c r="AX52">
        <v>0.78</v>
      </c>
      <c r="AZ52">
        <v>0.78</v>
      </c>
      <c r="BA52">
        <v>0.78</v>
      </c>
      <c r="BC52">
        <v>0.78</v>
      </c>
      <c r="BD52">
        <v>0.78</v>
      </c>
      <c r="BF52">
        <v>0.78</v>
      </c>
      <c r="BG52">
        <v>0.78</v>
      </c>
      <c r="BI52">
        <v>0.78</v>
      </c>
      <c r="BJ52">
        <v>0.78</v>
      </c>
      <c r="BL52">
        <v>0.78</v>
      </c>
      <c r="BM52">
        <v>0.78</v>
      </c>
      <c r="BO52">
        <v>0.76500000000000001</v>
      </c>
      <c r="BP52">
        <v>0.76500000000000001</v>
      </c>
      <c r="BR52">
        <v>0.72499999999999998</v>
      </c>
      <c r="BS52">
        <v>0.72499999999999998</v>
      </c>
      <c r="BU52">
        <v>0.55000000000000004</v>
      </c>
      <c r="BV52">
        <v>0.85</v>
      </c>
      <c r="BW52">
        <v>5.0000000000000001E-3</v>
      </c>
      <c r="BX52">
        <v>0.55000000000000004</v>
      </c>
      <c r="BY52">
        <v>0.85</v>
      </c>
      <c r="BZ52">
        <v>5.0000000000000001E-3</v>
      </c>
      <c r="CA52">
        <v>1.32</v>
      </c>
      <c r="CB52">
        <v>1.32</v>
      </c>
      <c r="CD52">
        <v>1.06</v>
      </c>
      <c r="CE52">
        <v>1.06</v>
      </c>
      <c r="CG52">
        <v>0.76500000000000001</v>
      </c>
      <c r="CH52">
        <v>0.76500000000000001</v>
      </c>
      <c r="CJ52">
        <v>0.76500000000000001</v>
      </c>
      <c r="CK52">
        <v>0.76500000000000001</v>
      </c>
      <c r="CM52">
        <v>1.06</v>
      </c>
      <c r="CN52">
        <v>1.06</v>
      </c>
      <c r="CP52">
        <v>1.06</v>
      </c>
      <c r="CQ52">
        <v>1.06</v>
      </c>
      <c r="CS52">
        <v>0.76500000000000001</v>
      </c>
      <c r="CT52">
        <v>0.76500000000000001</v>
      </c>
      <c r="CV52">
        <v>1.06</v>
      </c>
      <c r="CW52">
        <v>1.06</v>
      </c>
      <c r="CY52">
        <v>0.76500000000000001</v>
      </c>
      <c r="CZ52">
        <v>0.76500000000000001</v>
      </c>
      <c r="DB52">
        <v>1.06</v>
      </c>
      <c r="DC52">
        <v>1.06</v>
      </c>
      <c r="DE52">
        <v>0.70499999999999996</v>
      </c>
      <c r="DF52">
        <v>0.70499999999999996</v>
      </c>
      <c r="DH52" t="s">
        <v>80</v>
      </c>
      <c r="DI52">
        <v>0.65</v>
      </c>
      <c r="DJ52">
        <v>0.76500000000000001</v>
      </c>
      <c r="DM52">
        <v>0</v>
      </c>
      <c r="DN52">
        <v>0</v>
      </c>
      <c r="DO52">
        <v>0</v>
      </c>
      <c r="DQ52" t="s">
        <v>273</v>
      </c>
    </row>
    <row r="53" spans="1:121" x14ac:dyDescent="0.2">
      <c r="A53" t="s">
        <v>67</v>
      </c>
      <c r="E53" t="s">
        <v>368</v>
      </c>
      <c r="F53" t="s">
        <v>282</v>
      </c>
      <c r="G53" t="s">
        <v>16</v>
      </c>
      <c r="H53" t="s">
        <v>298</v>
      </c>
      <c r="I53" t="s">
        <v>284</v>
      </c>
      <c r="J53" t="s">
        <v>73</v>
      </c>
      <c r="K53" t="s">
        <v>73</v>
      </c>
      <c r="L53" t="s">
        <v>285</v>
      </c>
      <c r="M53" t="s">
        <v>73</v>
      </c>
      <c r="N53" t="s">
        <v>73</v>
      </c>
      <c r="O53" t="s">
        <v>73</v>
      </c>
      <c r="P53" t="str">
        <f t="shared" si="0"/>
        <v>HFL_N_VDDCIO_CIOG1_CIO_X_X_ELB_X_X_X_</v>
      </c>
      <c r="V53" t="s">
        <v>286</v>
      </c>
      <c r="W53" t="s">
        <v>287</v>
      </c>
      <c r="X53" t="s">
        <v>299</v>
      </c>
      <c r="AF53" t="s">
        <v>300</v>
      </c>
      <c r="AM53" t="s">
        <v>290</v>
      </c>
      <c r="AN53">
        <v>0.78</v>
      </c>
      <c r="AO53">
        <v>0.78</v>
      </c>
      <c r="AQ53">
        <v>0.78</v>
      </c>
      <c r="AR53">
        <v>0.78</v>
      </c>
      <c r="AT53">
        <v>0.78</v>
      </c>
      <c r="AU53">
        <v>0.78</v>
      </c>
      <c r="AW53">
        <v>0.78</v>
      </c>
      <c r="AX53">
        <v>0.78</v>
      </c>
      <c r="AZ53">
        <v>0.78</v>
      </c>
      <c r="BA53">
        <v>0.78</v>
      </c>
      <c r="BC53">
        <v>0.78</v>
      </c>
      <c r="BD53">
        <v>0.78</v>
      </c>
      <c r="BF53">
        <v>0.78</v>
      </c>
      <c r="BG53">
        <v>0.78</v>
      </c>
      <c r="BI53">
        <v>0.78</v>
      </c>
      <c r="BJ53">
        <v>0.78</v>
      </c>
      <c r="BL53">
        <v>0.78</v>
      </c>
      <c r="BM53">
        <v>0.78</v>
      </c>
      <c r="BO53">
        <v>0.76500000000000001</v>
      </c>
      <c r="BP53">
        <v>0.76500000000000001</v>
      </c>
      <c r="BR53">
        <v>0.72499999999999998</v>
      </c>
      <c r="BS53">
        <v>0.72499999999999998</v>
      </c>
      <c r="BU53">
        <v>0.55000000000000004</v>
      </c>
      <c r="BV53">
        <v>0.85</v>
      </c>
      <c r="BW53">
        <v>5.0000000000000001E-3</v>
      </c>
      <c r="BX53">
        <v>0.55000000000000004</v>
      </c>
      <c r="BY53">
        <v>0.85</v>
      </c>
      <c r="BZ53">
        <v>5.0000000000000001E-3</v>
      </c>
      <c r="CA53">
        <v>1.32</v>
      </c>
      <c r="CB53">
        <v>1.32</v>
      </c>
      <c r="CD53">
        <v>1.06</v>
      </c>
      <c r="CE53">
        <v>1.06</v>
      </c>
      <c r="CG53">
        <v>0.76500000000000001</v>
      </c>
      <c r="CH53">
        <v>0.76500000000000001</v>
      </c>
      <c r="CJ53">
        <v>0.76500000000000001</v>
      </c>
      <c r="CK53">
        <v>0.76500000000000001</v>
      </c>
      <c r="CM53">
        <v>1.06</v>
      </c>
      <c r="CN53">
        <v>1.06</v>
      </c>
      <c r="CP53">
        <v>1.06</v>
      </c>
      <c r="CQ53">
        <v>1.06</v>
      </c>
      <c r="CS53">
        <v>0.76500000000000001</v>
      </c>
      <c r="CT53">
        <v>0.76500000000000001</v>
      </c>
      <c r="CV53">
        <v>1.06</v>
      </c>
      <c r="CW53">
        <v>1.06</v>
      </c>
      <c r="CY53">
        <v>0.76500000000000001</v>
      </c>
      <c r="CZ53">
        <v>0.76500000000000001</v>
      </c>
      <c r="DB53">
        <v>1.06</v>
      </c>
      <c r="DC53">
        <v>1.06</v>
      </c>
      <c r="DE53">
        <v>0.70499999999999996</v>
      </c>
      <c r="DF53">
        <v>0.70499999999999996</v>
      </c>
      <c r="DH53" t="s">
        <v>80</v>
      </c>
      <c r="DI53">
        <v>0.65</v>
      </c>
      <c r="DJ53">
        <v>0.76500000000000001</v>
      </c>
      <c r="DM53">
        <v>0</v>
      </c>
      <c r="DN53">
        <v>0</v>
      </c>
      <c r="DO53">
        <v>0</v>
      </c>
      <c r="DQ53" t="s">
        <v>273</v>
      </c>
    </row>
    <row r="54" spans="1:121" x14ac:dyDescent="0.2">
      <c r="A54" t="s">
        <v>67</v>
      </c>
      <c r="E54" t="s">
        <v>368</v>
      </c>
      <c r="F54" t="s">
        <v>282</v>
      </c>
      <c r="G54" t="s">
        <v>16</v>
      </c>
      <c r="H54" t="s">
        <v>301</v>
      </c>
      <c r="I54" t="s">
        <v>284</v>
      </c>
      <c r="J54" t="s">
        <v>73</v>
      </c>
      <c r="K54" t="s">
        <v>73</v>
      </c>
      <c r="L54" t="s">
        <v>285</v>
      </c>
      <c r="M54" t="s">
        <v>73</v>
      </c>
      <c r="N54" t="s">
        <v>73</v>
      </c>
      <c r="O54" t="s">
        <v>73</v>
      </c>
      <c r="P54" t="str">
        <f t="shared" si="0"/>
        <v>HFL_N_VDDCIO_CIOG4_CIO_X_X_ELB_X_X_X_</v>
      </c>
      <c r="V54" t="s">
        <v>286</v>
      </c>
      <c r="W54" t="s">
        <v>287</v>
      </c>
      <c r="X54" t="s">
        <v>302</v>
      </c>
      <c r="AF54" t="s">
        <v>303</v>
      </c>
      <c r="AM54" t="s">
        <v>290</v>
      </c>
      <c r="AN54">
        <v>0.78</v>
      </c>
      <c r="AO54">
        <v>0.78</v>
      </c>
      <c r="AQ54">
        <v>0.78</v>
      </c>
      <c r="AR54">
        <v>0.78</v>
      </c>
      <c r="AT54">
        <v>0.78</v>
      </c>
      <c r="AU54">
        <v>0.78</v>
      </c>
      <c r="AW54">
        <v>0.78</v>
      </c>
      <c r="AX54">
        <v>0.78</v>
      </c>
      <c r="AZ54">
        <v>0.78</v>
      </c>
      <c r="BA54">
        <v>0.78</v>
      </c>
      <c r="BC54">
        <v>0.78</v>
      </c>
      <c r="BD54">
        <v>0.78</v>
      </c>
      <c r="BF54">
        <v>0.78</v>
      </c>
      <c r="BG54">
        <v>0.78</v>
      </c>
      <c r="BI54">
        <v>0.78</v>
      </c>
      <c r="BJ54">
        <v>0.78</v>
      </c>
      <c r="BL54">
        <v>0.78</v>
      </c>
      <c r="BM54">
        <v>0.78</v>
      </c>
      <c r="BO54">
        <v>0.76500000000000001</v>
      </c>
      <c r="BP54">
        <v>0.76500000000000001</v>
      </c>
      <c r="BR54">
        <v>0.72499999999999998</v>
      </c>
      <c r="BS54">
        <v>0.72499999999999998</v>
      </c>
      <c r="BU54">
        <v>0.55000000000000004</v>
      </c>
      <c r="BV54">
        <v>0.85</v>
      </c>
      <c r="BW54">
        <v>5.0000000000000001E-3</v>
      </c>
      <c r="BX54">
        <v>0.55000000000000004</v>
      </c>
      <c r="BY54">
        <v>0.85</v>
      </c>
      <c r="BZ54">
        <v>5.0000000000000001E-3</v>
      </c>
      <c r="CA54">
        <v>1.32</v>
      </c>
      <c r="CB54">
        <v>1.32</v>
      </c>
      <c r="CD54">
        <v>1.06</v>
      </c>
      <c r="CE54">
        <v>1.06</v>
      </c>
      <c r="CG54">
        <v>0.76500000000000001</v>
      </c>
      <c r="CH54">
        <v>0.76500000000000001</v>
      </c>
      <c r="CJ54">
        <v>0.76500000000000001</v>
      </c>
      <c r="CK54">
        <v>0.76500000000000001</v>
      </c>
      <c r="CM54">
        <v>1.06</v>
      </c>
      <c r="CN54">
        <v>1.06</v>
      </c>
      <c r="CP54">
        <v>1.06</v>
      </c>
      <c r="CQ54">
        <v>1.06</v>
      </c>
      <c r="CS54">
        <v>0.76500000000000001</v>
      </c>
      <c r="CT54">
        <v>0.76500000000000001</v>
      </c>
      <c r="CV54">
        <v>1.06</v>
      </c>
      <c r="CW54">
        <v>1.06</v>
      </c>
      <c r="CY54">
        <v>0.76500000000000001</v>
      </c>
      <c r="CZ54">
        <v>0.76500000000000001</v>
      </c>
      <c r="DB54">
        <v>1.06</v>
      </c>
      <c r="DC54">
        <v>1.06</v>
      </c>
      <c r="DE54">
        <v>0.70499999999999996</v>
      </c>
      <c r="DF54">
        <v>0.70499999999999996</v>
      </c>
      <c r="DH54" t="s">
        <v>80</v>
      </c>
      <c r="DI54">
        <v>0.65</v>
      </c>
      <c r="DJ54">
        <v>0.76500000000000001</v>
      </c>
      <c r="DM54">
        <v>0</v>
      </c>
      <c r="DN54">
        <v>0</v>
      </c>
      <c r="DO54">
        <v>0</v>
      </c>
      <c r="DQ54" t="s">
        <v>274</v>
      </c>
    </row>
    <row r="55" spans="1:121" x14ac:dyDescent="0.2">
      <c r="A55" t="s">
        <v>67</v>
      </c>
      <c r="E55" t="s">
        <v>368</v>
      </c>
      <c r="F55" t="s">
        <v>282</v>
      </c>
      <c r="G55" t="s">
        <v>304</v>
      </c>
      <c r="H55" t="s">
        <v>283</v>
      </c>
      <c r="I55" t="s">
        <v>284</v>
      </c>
      <c r="J55" t="s">
        <v>73</v>
      </c>
      <c r="K55" t="s">
        <v>73</v>
      </c>
      <c r="L55" t="s">
        <v>285</v>
      </c>
      <c r="M55" t="s">
        <v>73</v>
      </c>
      <c r="N55" t="s">
        <v>73</v>
      </c>
      <c r="O55" t="s">
        <v>73</v>
      </c>
      <c r="P55" t="str">
        <f t="shared" si="0"/>
        <v>HFL_N_VDD10CIO_USBG1DP_CIO_X_X_ELB_X_X_X_</v>
      </c>
      <c r="V55" t="s">
        <v>286</v>
      </c>
      <c r="W55" t="s">
        <v>287</v>
      </c>
      <c r="X55" t="s">
        <v>288</v>
      </c>
      <c r="AF55" t="s">
        <v>289</v>
      </c>
      <c r="AM55" t="s">
        <v>290</v>
      </c>
      <c r="AN55">
        <v>0.78</v>
      </c>
      <c r="AO55">
        <v>0.78</v>
      </c>
      <c r="AQ55">
        <v>0.78</v>
      </c>
      <c r="AR55">
        <v>0.78</v>
      </c>
      <c r="AT55">
        <v>0.78</v>
      </c>
      <c r="AU55">
        <v>0.78</v>
      </c>
      <c r="AW55">
        <v>0.78</v>
      </c>
      <c r="AX55">
        <v>0.78</v>
      </c>
      <c r="AZ55">
        <v>0.78</v>
      </c>
      <c r="BA55">
        <v>0.78</v>
      </c>
      <c r="BC55">
        <v>0.78</v>
      </c>
      <c r="BD55">
        <v>0.78</v>
      </c>
      <c r="BF55">
        <v>0.78</v>
      </c>
      <c r="BG55">
        <v>0.78</v>
      </c>
      <c r="BI55">
        <v>0.78</v>
      </c>
      <c r="BJ55">
        <v>0.78</v>
      </c>
      <c r="BL55">
        <v>0.78</v>
      </c>
      <c r="BM55">
        <v>0.78</v>
      </c>
      <c r="BO55">
        <v>0.76500000000000001</v>
      </c>
      <c r="BP55">
        <v>0.76500000000000001</v>
      </c>
      <c r="BR55">
        <v>0.72499999999999998</v>
      </c>
      <c r="BS55">
        <v>0.72499999999999998</v>
      </c>
      <c r="BU55">
        <v>0.76500000000000001</v>
      </c>
      <c r="BV55">
        <v>0.76500000000000001</v>
      </c>
      <c r="BX55">
        <v>0.76500000000000001</v>
      </c>
      <c r="BY55">
        <v>0.76500000000000001</v>
      </c>
      <c r="CA55">
        <v>1.32</v>
      </c>
      <c r="CB55">
        <v>1.32</v>
      </c>
      <c r="CD55">
        <v>0.65</v>
      </c>
      <c r="CE55">
        <v>1.17</v>
      </c>
      <c r="CF55">
        <v>5.0000000000000001E-3</v>
      </c>
      <c r="CG55">
        <v>0.76500000000000001</v>
      </c>
      <c r="CH55">
        <v>0.76500000000000001</v>
      </c>
      <c r="CJ55">
        <v>0.76500000000000001</v>
      </c>
      <c r="CK55">
        <v>0.76500000000000001</v>
      </c>
      <c r="CM55">
        <v>1.06</v>
      </c>
      <c r="CN55">
        <v>1.06</v>
      </c>
      <c r="CP55">
        <v>1.06</v>
      </c>
      <c r="CQ55">
        <v>1.06</v>
      </c>
      <c r="CS55">
        <v>0.76500000000000001</v>
      </c>
      <c r="CT55">
        <v>0.76500000000000001</v>
      </c>
      <c r="CV55">
        <v>1.06</v>
      </c>
      <c r="CW55">
        <v>1.06</v>
      </c>
      <c r="CY55">
        <v>0.76500000000000001</v>
      </c>
      <c r="CZ55">
        <v>0.76500000000000001</v>
      </c>
      <c r="DB55">
        <v>1.06</v>
      </c>
      <c r="DC55">
        <v>1.06</v>
      </c>
      <c r="DE55">
        <v>0.70499999999999996</v>
      </c>
      <c r="DF55">
        <v>0.70499999999999996</v>
      </c>
      <c r="DH55" t="s">
        <v>80</v>
      </c>
      <c r="DI55">
        <v>0.9</v>
      </c>
      <c r="DJ55">
        <v>1.06</v>
      </c>
      <c r="DM55">
        <v>0</v>
      </c>
      <c r="DN55">
        <v>0</v>
      </c>
      <c r="DO55">
        <v>0</v>
      </c>
      <c r="DQ55" t="s">
        <v>273</v>
      </c>
    </row>
    <row r="56" spans="1:121" x14ac:dyDescent="0.2">
      <c r="A56" t="s">
        <v>67</v>
      </c>
      <c r="E56" t="s">
        <v>368</v>
      </c>
      <c r="F56" t="s">
        <v>282</v>
      </c>
      <c r="G56" t="s">
        <v>304</v>
      </c>
      <c r="H56" t="s">
        <v>291</v>
      </c>
      <c r="I56" t="s">
        <v>284</v>
      </c>
      <c r="J56" t="s">
        <v>73</v>
      </c>
      <c r="K56" t="s">
        <v>73</v>
      </c>
      <c r="L56" t="s">
        <v>285</v>
      </c>
      <c r="M56" t="s">
        <v>73</v>
      </c>
      <c r="N56" t="s">
        <v>73</v>
      </c>
      <c r="O56" t="s">
        <v>73</v>
      </c>
      <c r="P56" t="str">
        <f t="shared" si="0"/>
        <v>HFL_N_VDD10CIO_DPUSBG1_CIO_X_X_ELB_X_X_X_</v>
      </c>
      <c r="V56" t="s">
        <v>286</v>
      </c>
      <c r="W56" t="s">
        <v>287</v>
      </c>
      <c r="X56" t="s">
        <v>292</v>
      </c>
      <c r="AF56" t="s">
        <v>293</v>
      </c>
      <c r="AM56" t="s">
        <v>290</v>
      </c>
      <c r="AN56">
        <v>0.78</v>
      </c>
      <c r="AO56">
        <v>0.78</v>
      </c>
      <c r="AQ56">
        <v>0.78</v>
      </c>
      <c r="AR56">
        <v>0.78</v>
      </c>
      <c r="AT56">
        <v>0.78</v>
      </c>
      <c r="AU56">
        <v>0.78</v>
      </c>
      <c r="AW56">
        <v>0.78</v>
      </c>
      <c r="AX56">
        <v>0.78</v>
      </c>
      <c r="AZ56">
        <v>0.78</v>
      </c>
      <c r="BA56">
        <v>0.78</v>
      </c>
      <c r="BC56">
        <v>0.78</v>
      </c>
      <c r="BD56">
        <v>0.78</v>
      </c>
      <c r="BF56">
        <v>0.78</v>
      </c>
      <c r="BG56">
        <v>0.78</v>
      </c>
      <c r="BI56">
        <v>0.78</v>
      </c>
      <c r="BJ56">
        <v>0.78</v>
      </c>
      <c r="BL56">
        <v>0.78</v>
      </c>
      <c r="BM56">
        <v>0.78</v>
      </c>
      <c r="BO56">
        <v>0.76500000000000001</v>
      </c>
      <c r="BP56">
        <v>0.76500000000000001</v>
      </c>
      <c r="BR56">
        <v>0.72499999999999998</v>
      </c>
      <c r="BS56">
        <v>0.72499999999999998</v>
      </c>
      <c r="BU56">
        <v>0.76500000000000001</v>
      </c>
      <c r="BV56">
        <v>0.76500000000000001</v>
      </c>
      <c r="BX56">
        <v>0.76500000000000001</v>
      </c>
      <c r="BY56">
        <v>0.76500000000000001</v>
      </c>
      <c r="CA56">
        <v>1.32</v>
      </c>
      <c r="CB56">
        <v>1.32</v>
      </c>
      <c r="CD56">
        <v>0.65</v>
      </c>
      <c r="CE56">
        <v>1.17</v>
      </c>
      <c r="CF56">
        <v>5.0000000000000001E-3</v>
      </c>
      <c r="CG56">
        <v>0.76500000000000001</v>
      </c>
      <c r="CH56">
        <v>0.76500000000000001</v>
      </c>
      <c r="CJ56">
        <v>0.76500000000000001</v>
      </c>
      <c r="CK56">
        <v>0.76500000000000001</v>
      </c>
      <c r="CM56">
        <v>1.06</v>
      </c>
      <c r="CN56">
        <v>1.06</v>
      </c>
      <c r="CP56">
        <v>1.06</v>
      </c>
      <c r="CQ56">
        <v>1.06</v>
      </c>
      <c r="CS56">
        <v>0.76500000000000001</v>
      </c>
      <c r="CT56">
        <v>0.76500000000000001</v>
      </c>
      <c r="CV56">
        <v>1.06</v>
      </c>
      <c r="CW56">
        <v>1.06</v>
      </c>
      <c r="CY56">
        <v>0.76500000000000001</v>
      </c>
      <c r="CZ56">
        <v>0.76500000000000001</v>
      </c>
      <c r="DB56">
        <v>1.06</v>
      </c>
      <c r="DC56">
        <v>1.06</v>
      </c>
      <c r="DE56">
        <v>0.70499999999999996</v>
      </c>
      <c r="DF56">
        <v>0.70499999999999996</v>
      </c>
      <c r="DH56" t="s">
        <v>80</v>
      </c>
      <c r="DI56">
        <v>0.9</v>
      </c>
      <c r="DJ56">
        <v>1.06</v>
      </c>
      <c r="DM56">
        <v>0</v>
      </c>
      <c r="DN56">
        <v>0</v>
      </c>
      <c r="DO56">
        <v>0</v>
      </c>
      <c r="DQ56" t="s">
        <v>273</v>
      </c>
    </row>
    <row r="57" spans="1:121" x14ac:dyDescent="0.2">
      <c r="A57" t="s">
        <v>67</v>
      </c>
      <c r="E57" t="s">
        <v>368</v>
      </c>
      <c r="F57" t="s">
        <v>282</v>
      </c>
      <c r="G57" t="s">
        <v>304</v>
      </c>
      <c r="H57" t="s">
        <v>294</v>
      </c>
      <c r="I57" t="s">
        <v>284</v>
      </c>
      <c r="J57" t="s">
        <v>73</v>
      </c>
      <c r="K57" t="s">
        <v>73</v>
      </c>
      <c r="L57" t="s">
        <v>285</v>
      </c>
      <c r="M57" t="s">
        <v>73</v>
      </c>
      <c r="N57" t="s">
        <v>73</v>
      </c>
      <c r="O57" t="s">
        <v>73</v>
      </c>
      <c r="P57" t="str">
        <f t="shared" si="0"/>
        <v>HFL_N_VDD10CIO_USBG2DP_CIO_X_X_ELB_X_X_X_</v>
      </c>
      <c r="V57" t="s">
        <v>286</v>
      </c>
      <c r="W57" t="s">
        <v>287</v>
      </c>
      <c r="X57" t="s">
        <v>288</v>
      </c>
      <c r="AF57" t="s">
        <v>295</v>
      </c>
      <c r="AM57" t="s">
        <v>290</v>
      </c>
      <c r="AN57">
        <v>0.78</v>
      </c>
      <c r="AO57">
        <v>0.78</v>
      </c>
      <c r="AQ57">
        <v>0.78</v>
      </c>
      <c r="AR57">
        <v>0.78</v>
      </c>
      <c r="AT57">
        <v>0.78</v>
      </c>
      <c r="AU57">
        <v>0.78</v>
      </c>
      <c r="AW57">
        <v>0.78</v>
      </c>
      <c r="AX57">
        <v>0.78</v>
      </c>
      <c r="AZ57">
        <v>0.78</v>
      </c>
      <c r="BA57">
        <v>0.78</v>
      </c>
      <c r="BC57">
        <v>0.78</v>
      </c>
      <c r="BD57">
        <v>0.78</v>
      </c>
      <c r="BF57">
        <v>0.78</v>
      </c>
      <c r="BG57">
        <v>0.78</v>
      </c>
      <c r="BI57">
        <v>0.78</v>
      </c>
      <c r="BJ57">
        <v>0.78</v>
      </c>
      <c r="BL57">
        <v>0.78</v>
      </c>
      <c r="BM57">
        <v>0.78</v>
      </c>
      <c r="BO57">
        <v>0.76500000000000001</v>
      </c>
      <c r="BP57">
        <v>0.76500000000000001</v>
      </c>
      <c r="BR57">
        <v>0.72499999999999998</v>
      </c>
      <c r="BS57">
        <v>0.72499999999999998</v>
      </c>
      <c r="BU57">
        <v>0.76500000000000001</v>
      </c>
      <c r="BV57">
        <v>0.76500000000000001</v>
      </c>
      <c r="BX57">
        <v>0.76500000000000001</v>
      </c>
      <c r="BY57">
        <v>0.76500000000000001</v>
      </c>
      <c r="CA57">
        <v>1.32</v>
      </c>
      <c r="CB57">
        <v>1.32</v>
      </c>
      <c r="CD57">
        <v>0.65</v>
      </c>
      <c r="CE57">
        <v>1.17</v>
      </c>
      <c r="CF57">
        <v>5.0000000000000001E-3</v>
      </c>
      <c r="CG57">
        <v>0.76500000000000001</v>
      </c>
      <c r="CH57">
        <v>0.76500000000000001</v>
      </c>
      <c r="CJ57">
        <v>0.76500000000000001</v>
      </c>
      <c r="CK57">
        <v>0.76500000000000001</v>
      </c>
      <c r="CM57">
        <v>1.06</v>
      </c>
      <c r="CN57">
        <v>1.06</v>
      </c>
      <c r="CP57">
        <v>1.06</v>
      </c>
      <c r="CQ57">
        <v>1.06</v>
      </c>
      <c r="CS57">
        <v>0.76500000000000001</v>
      </c>
      <c r="CT57">
        <v>0.76500000000000001</v>
      </c>
      <c r="CV57">
        <v>1.06</v>
      </c>
      <c r="CW57">
        <v>1.06</v>
      </c>
      <c r="CY57">
        <v>0.76500000000000001</v>
      </c>
      <c r="CZ57">
        <v>0.76500000000000001</v>
      </c>
      <c r="DB57">
        <v>1.06</v>
      </c>
      <c r="DC57">
        <v>1.06</v>
      </c>
      <c r="DE57">
        <v>0.70499999999999996</v>
      </c>
      <c r="DF57">
        <v>0.70499999999999996</v>
      </c>
      <c r="DH57" t="s">
        <v>80</v>
      </c>
      <c r="DI57">
        <v>0.9</v>
      </c>
      <c r="DJ57">
        <v>1.06</v>
      </c>
      <c r="DM57">
        <v>0</v>
      </c>
      <c r="DN57">
        <v>0</v>
      </c>
      <c r="DO57">
        <v>0</v>
      </c>
      <c r="DQ57" t="s">
        <v>273</v>
      </c>
    </row>
    <row r="58" spans="1:121" x14ac:dyDescent="0.2">
      <c r="A58" t="s">
        <v>67</v>
      </c>
      <c r="E58" t="s">
        <v>368</v>
      </c>
      <c r="F58" t="s">
        <v>282</v>
      </c>
      <c r="G58" t="s">
        <v>304</v>
      </c>
      <c r="H58" t="s">
        <v>296</v>
      </c>
      <c r="I58" t="s">
        <v>284</v>
      </c>
      <c r="J58" t="s">
        <v>73</v>
      </c>
      <c r="K58" t="s">
        <v>73</v>
      </c>
      <c r="L58" t="s">
        <v>285</v>
      </c>
      <c r="M58" t="s">
        <v>73</v>
      </c>
      <c r="N58" t="s">
        <v>73</v>
      </c>
      <c r="O58" t="s">
        <v>73</v>
      </c>
      <c r="P58" t="str">
        <f t="shared" si="0"/>
        <v>HFL_N_VDD10CIO_DPUSBG2_CIO_X_X_ELB_X_X_X_</v>
      </c>
      <c r="V58" t="s">
        <v>286</v>
      </c>
      <c r="W58" t="s">
        <v>287</v>
      </c>
      <c r="X58" t="s">
        <v>292</v>
      </c>
      <c r="AF58" t="s">
        <v>297</v>
      </c>
      <c r="AM58" t="s">
        <v>290</v>
      </c>
      <c r="AN58">
        <v>0.78</v>
      </c>
      <c r="AO58">
        <v>0.78</v>
      </c>
      <c r="AQ58">
        <v>0.78</v>
      </c>
      <c r="AR58">
        <v>0.78</v>
      </c>
      <c r="AT58">
        <v>0.78</v>
      </c>
      <c r="AU58">
        <v>0.78</v>
      </c>
      <c r="AW58">
        <v>0.78</v>
      </c>
      <c r="AX58">
        <v>0.78</v>
      </c>
      <c r="AZ58">
        <v>0.78</v>
      </c>
      <c r="BA58">
        <v>0.78</v>
      </c>
      <c r="BC58">
        <v>0.78</v>
      </c>
      <c r="BD58">
        <v>0.78</v>
      </c>
      <c r="BF58">
        <v>0.78</v>
      </c>
      <c r="BG58">
        <v>0.78</v>
      </c>
      <c r="BI58">
        <v>0.78</v>
      </c>
      <c r="BJ58">
        <v>0.78</v>
      </c>
      <c r="BL58">
        <v>0.78</v>
      </c>
      <c r="BM58">
        <v>0.78</v>
      </c>
      <c r="BO58">
        <v>0.76500000000000001</v>
      </c>
      <c r="BP58">
        <v>0.76500000000000001</v>
      </c>
      <c r="BR58">
        <v>0.72499999999999998</v>
      </c>
      <c r="BS58">
        <v>0.72499999999999998</v>
      </c>
      <c r="BU58">
        <v>0.76500000000000001</v>
      </c>
      <c r="BV58">
        <v>0.76500000000000001</v>
      </c>
      <c r="BX58">
        <v>0.76500000000000001</v>
      </c>
      <c r="BY58">
        <v>0.76500000000000001</v>
      </c>
      <c r="CA58">
        <v>1.32</v>
      </c>
      <c r="CB58">
        <v>1.32</v>
      </c>
      <c r="CD58">
        <v>0.65</v>
      </c>
      <c r="CE58">
        <v>1.17</v>
      </c>
      <c r="CF58">
        <v>5.0000000000000001E-3</v>
      </c>
      <c r="CG58">
        <v>0.76500000000000001</v>
      </c>
      <c r="CH58">
        <v>0.76500000000000001</v>
      </c>
      <c r="CJ58">
        <v>0.76500000000000001</v>
      </c>
      <c r="CK58">
        <v>0.76500000000000001</v>
      </c>
      <c r="CM58">
        <v>1.06</v>
      </c>
      <c r="CN58">
        <v>1.06</v>
      </c>
      <c r="CP58">
        <v>1.06</v>
      </c>
      <c r="CQ58">
        <v>1.06</v>
      </c>
      <c r="CS58">
        <v>0.76500000000000001</v>
      </c>
      <c r="CT58">
        <v>0.76500000000000001</v>
      </c>
      <c r="CV58">
        <v>1.06</v>
      </c>
      <c r="CW58">
        <v>1.06</v>
      </c>
      <c r="CY58">
        <v>0.76500000000000001</v>
      </c>
      <c r="CZ58">
        <v>0.76500000000000001</v>
      </c>
      <c r="DB58">
        <v>1.06</v>
      </c>
      <c r="DC58">
        <v>1.06</v>
      </c>
      <c r="DE58">
        <v>0.70499999999999996</v>
      </c>
      <c r="DF58">
        <v>0.70499999999999996</v>
      </c>
      <c r="DH58" t="s">
        <v>80</v>
      </c>
      <c r="DI58">
        <v>0.9</v>
      </c>
      <c r="DJ58">
        <v>1.06</v>
      </c>
      <c r="DM58">
        <v>0</v>
      </c>
      <c r="DN58">
        <v>0</v>
      </c>
      <c r="DO58">
        <v>0</v>
      </c>
      <c r="DQ58" t="s">
        <v>273</v>
      </c>
    </row>
    <row r="59" spans="1:121" x14ac:dyDescent="0.2">
      <c r="A59" t="s">
        <v>67</v>
      </c>
      <c r="E59" t="s">
        <v>368</v>
      </c>
      <c r="F59" t="s">
        <v>282</v>
      </c>
      <c r="G59" t="s">
        <v>304</v>
      </c>
      <c r="H59" t="s">
        <v>298</v>
      </c>
      <c r="I59" t="s">
        <v>284</v>
      </c>
      <c r="J59" t="s">
        <v>73</v>
      </c>
      <c r="K59" t="s">
        <v>73</v>
      </c>
      <c r="L59" t="s">
        <v>285</v>
      </c>
      <c r="M59" t="s">
        <v>73</v>
      </c>
      <c r="N59" t="s">
        <v>73</v>
      </c>
      <c r="O59" t="s">
        <v>73</v>
      </c>
      <c r="P59" t="str">
        <f t="shared" si="0"/>
        <v>HFL_N_VDD10CIO_CIOG1_CIO_X_X_ELB_X_X_X_</v>
      </c>
      <c r="V59" t="s">
        <v>286</v>
      </c>
      <c r="W59" t="s">
        <v>287</v>
      </c>
      <c r="X59" t="s">
        <v>299</v>
      </c>
      <c r="AF59" t="s">
        <v>300</v>
      </c>
      <c r="AM59" t="s">
        <v>290</v>
      </c>
      <c r="AN59">
        <v>0.78</v>
      </c>
      <c r="AO59">
        <v>0.78</v>
      </c>
      <c r="AQ59">
        <v>0.78</v>
      </c>
      <c r="AR59">
        <v>0.78</v>
      </c>
      <c r="AT59">
        <v>0.78</v>
      </c>
      <c r="AU59">
        <v>0.78</v>
      </c>
      <c r="AW59">
        <v>0.78</v>
      </c>
      <c r="AX59">
        <v>0.78</v>
      </c>
      <c r="AZ59">
        <v>0.78</v>
      </c>
      <c r="BA59">
        <v>0.78</v>
      </c>
      <c r="BC59">
        <v>0.78</v>
      </c>
      <c r="BD59">
        <v>0.78</v>
      </c>
      <c r="BF59">
        <v>0.78</v>
      </c>
      <c r="BG59">
        <v>0.78</v>
      </c>
      <c r="BI59">
        <v>0.78</v>
      </c>
      <c r="BJ59">
        <v>0.78</v>
      </c>
      <c r="BL59">
        <v>0.78</v>
      </c>
      <c r="BM59">
        <v>0.78</v>
      </c>
      <c r="BO59">
        <v>0.76500000000000001</v>
      </c>
      <c r="BP59">
        <v>0.76500000000000001</v>
      </c>
      <c r="BR59">
        <v>0.72499999999999998</v>
      </c>
      <c r="BS59">
        <v>0.72499999999999998</v>
      </c>
      <c r="BU59">
        <v>0.76500000000000001</v>
      </c>
      <c r="BV59">
        <v>0.76500000000000001</v>
      </c>
      <c r="BX59">
        <v>0.76500000000000001</v>
      </c>
      <c r="BY59">
        <v>0.76500000000000001</v>
      </c>
      <c r="CA59">
        <v>1.32</v>
      </c>
      <c r="CB59">
        <v>1.32</v>
      </c>
      <c r="CD59">
        <v>0.65</v>
      </c>
      <c r="CE59">
        <v>1.17</v>
      </c>
      <c r="CF59">
        <v>5.0000000000000001E-3</v>
      </c>
      <c r="CG59">
        <v>0.76500000000000001</v>
      </c>
      <c r="CH59">
        <v>0.76500000000000001</v>
      </c>
      <c r="CJ59">
        <v>0.76500000000000001</v>
      </c>
      <c r="CK59">
        <v>0.76500000000000001</v>
      </c>
      <c r="CM59">
        <v>1.06</v>
      </c>
      <c r="CN59">
        <v>1.06</v>
      </c>
      <c r="CP59">
        <v>1.06</v>
      </c>
      <c r="CQ59">
        <v>1.06</v>
      </c>
      <c r="CS59">
        <v>0.76500000000000001</v>
      </c>
      <c r="CT59">
        <v>0.76500000000000001</v>
      </c>
      <c r="CV59">
        <v>1.06</v>
      </c>
      <c r="CW59">
        <v>1.06</v>
      </c>
      <c r="CY59">
        <v>0.76500000000000001</v>
      </c>
      <c r="CZ59">
        <v>0.76500000000000001</v>
      </c>
      <c r="DB59">
        <v>1.06</v>
      </c>
      <c r="DC59">
        <v>1.06</v>
      </c>
      <c r="DE59">
        <v>0.70499999999999996</v>
      </c>
      <c r="DF59">
        <v>0.70499999999999996</v>
      </c>
      <c r="DH59" t="s">
        <v>80</v>
      </c>
      <c r="DI59">
        <v>0.9</v>
      </c>
      <c r="DJ59">
        <v>1.06</v>
      </c>
      <c r="DM59">
        <v>0</v>
      </c>
      <c r="DN59">
        <v>0</v>
      </c>
      <c r="DO59">
        <v>0</v>
      </c>
      <c r="DQ59" t="s">
        <v>273</v>
      </c>
    </row>
    <row r="60" spans="1:121" x14ac:dyDescent="0.2">
      <c r="A60" t="s">
        <v>67</v>
      </c>
      <c r="E60" t="s">
        <v>368</v>
      </c>
      <c r="F60" t="s">
        <v>282</v>
      </c>
      <c r="G60" t="s">
        <v>304</v>
      </c>
      <c r="H60" t="s">
        <v>301</v>
      </c>
      <c r="I60" t="s">
        <v>284</v>
      </c>
      <c r="J60" t="s">
        <v>73</v>
      </c>
      <c r="K60" t="s">
        <v>73</v>
      </c>
      <c r="L60" t="s">
        <v>285</v>
      </c>
      <c r="M60" t="s">
        <v>73</v>
      </c>
      <c r="N60" t="s">
        <v>73</v>
      </c>
      <c r="O60" t="s">
        <v>73</v>
      </c>
      <c r="P60" t="str">
        <f t="shared" si="0"/>
        <v>HFL_N_VDD10CIO_CIOG4_CIO_X_X_ELB_X_X_X_</v>
      </c>
      <c r="V60" t="s">
        <v>286</v>
      </c>
      <c r="W60" t="s">
        <v>287</v>
      </c>
      <c r="X60" t="s">
        <v>302</v>
      </c>
      <c r="AF60" t="s">
        <v>303</v>
      </c>
      <c r="AM60" t="s">
        <v>290</v>
      </c>
      <c r="AN60">
        <v>0.78</v>
      </c>
      <c r="AO60">
        <v>0.78</v>
      </c>
      <c r="AQ60">
        <v>0.78</v>
      </c>
      <c r="AR60">
        <v>0.78</v>
      </c>
      <c r="AT60">
        <v>0.78</v>
      </c>
      <c r="AU60">
        <v>0.78</v>
      </c>
      <c r="AW60">
        <v>0.78</v>
      </c>
      <c r="AX60">
        <v>0.78</v>
      </c>
      <c r="AZ60">
        <v>0.78</v>
      </c>
      <c r="BA60">
        <v>0.78</v>
      </c>
      <c r="BC60">
        <v>0.78</v>
      </c>
      <c r="BD60">
        <v>0.78</v>
      </c>
      <c r="BF60">
        <v>0.78</v>
      </c>
      <c r="BG60">
        <v>0.78</v>
      </c>
      <c r="BI60">
        <v>0.78</v>
      </c>
      <c r="BJ60">
        <v>0.78</v>
      </c>
      <c r="BL60">
        <v>0.78</v>
      </c>
      <c r="BM60">
        <v>0.78</v>
      </c>
      <c r="BO60">
        <v>0.76500000000000001</v>
      </c>
      <c r="BP60">
        <v>0.76500000000000001</v>
      </c>
      <c r="BR60">
        <v>0.72499999999999998</v>
      </c>
      <c r="BS60">
        <v>0.72499999999999998</v>
      </c>
      <c r="BU60">
        <v>0.76500000000000001</v>
      </c>
      <c r="BV60">
        <v>0.76500000000000001</v>
      </c>
      <c r="BX60">
        <v>0.76500000000000001</v>
      </c>
      <c r="BY60">
        <v>0.76500000000000001</v>
      </c>
      <c r="CA60">
        <v>1.32</v>
      </c>
      <c r="CB60">
        <v>1.32</v>
      </c>
      <c r="CD60">
        <v>0.65</v>
      </c>
      <c r="CE60">
        <v>1.17</v>
      </c>
      <c r="CF60">
        <v>5.0000000000000001E-3</v>
      </c>
      <c r="CG60">
        <v>0.76500000000000001</v>
      </c>
      <c r="CH60">
        <v>0.76500000000000001</v>
      </c>
      <c r="CJ60">
        <v>0.76500000000000001</v>
      </c>
      <c r="CK60">
        <v>0.76500000000000001</v>
      </c>
      <c r="CM60">
        <v>1.06</v>
      </c>
      <c r="CN60">
        <v>1.06</v>
      </c>
      <c r="CP60">
        <v>1.06</v>
      </c>
      <c r="CQ60">
        <v>1.06</v>
      </c>
      <c r="CS60">
        <v>0.76500000000000001</v>
      </c>
      <c r="CT60">
        <v>0.76500000000000001</v>
      </c>
      <c r="CV60">
        <v>1.06</v>
      </c>
      <c r="CW60">
        <v>1.06</v>
      </c>
      <c r="CY60">
        <v>0.76500000000000001</v>
      </c>
      <c r="CZ60">
        <v>0.76500000000000001</v>
      </c>
      <c r="DB60">
        <v>1.06</v>
      </c>
      <c r="DC60">
        <v>1.06</v>
      </c>
      <c r="DE60">
        <v>0.70499999999999996</v>
      </c>
      <c r="DF60">
        <v>0.70499999999999996</v>
      </c>
      <c r="DH60" t="s">
        <v>80</v>
      </c>
      <c r="DI60">
        <v>0.9</v>
      </c>
      <c r="DJ60">
        <v>1.06</v>
      </c>
      <c r="DM60">
        <v>0</v>
      </c>
      <c r="DN60">
        <v>0</v>
      </c>
      <c r="DO60">
        <v>0</v>
      </c>
      <c r="DQ60" t="s">
        <v>273</v>
      </c>
    </row>
    <row r="61" spans="1:121" x14ac:dyDescent="0.2">
      <c r="A61" t="s">
        <v>67</v>
      </c>
      <c r="E61" t="s">
        <v>368</v>
      </c>
      <c r="F61" t="s">
        <v>282</v>
      </c>
      <c r="G61" t="s">
        <v>305</v>
      </c>
      <c r="H61" t="s">
        <v>306</v>
      </c>
      <c r="I61" t="s">
        <v>307</v>
      </c>
      <c r="J61" t="s">
        <v>73</v>
      </c>
      <c r="K61" t="s">
        <v>73</v>
      </c>
      <c r="L61" t="s">
        <v>285</v>
      </c>
      <c r="M61" t="s">
        <v>73</v>
      </c>
      <c r="N61" t="s">
        <v>73</v>
      </c>
      <c r="O61" t="s">
        <v>73</v>
      </c>
      <c r="P61" t="str">
        <f t="shared" si="0"/>
        <v>HFL_N_VDDFIXEDPCIE_G1_PCIE5_X_X_ELB_X_X_X_</v>
      </c>
      <c r="V61" t="s">
        <v>308</v>
      </c>
      <c r="W61" t="s">
        <v>309</v>
      </c>
      <c r="X61" t="s">
        <v>310</v>
      </c>
      <c r="AF61" t="s">
        <v>311</v>
      </c>
      <c r="AM61" t="s">
        <v>290</v>
      </c>
      <c r="AN61">
        <v>0.78</v>
      </c>
      <c r="AO61">
        <v>0.78</v>
      </c>
      <c r="AQ61">
        <v>0.78</v>
      </c>
      <c r="AR61">
        <v>0.78</v>
      </c>
      <c r="AT61">
        <v>0.78</v>
      </c>
      <c r="AU61">
        <v>0.78</v>
      </c>
      <c r="AW61">
        <v>0.78</v>
      </c>
      <c r="AX61">
        <v>0.78</v>
      </c>
      <c r="AZ61">
        <v>0.78</v>
      </c>
      <c r="BA61">
        <v>0.78</v>
      </c>
      <c r="BC61">
        <v>0.78</v>
      </c>
      <c r="BD61">
        <v>0.78</v>
      </c>
      <c r="BF61">
        <v>0.78</v>
      </c>
      <c r="BG61">
        <v>0.78</v>
      </c>
      <c r="BI61">
        <v>0.78</v>
      </c>
      <c r="BJ61">
        <v>0.78</v>
      </c>
      <c r="BL61">
        <v>0.78</v>
      </c>
      <c r="BM61">
        <v>0.78</v>
      </c>
      <c r="BO61">
        <v>0.76500000000000001</v>
      </c>
      <c r="BP61">
        <v>0.76500000000000001</v>
      </c>
      <c r="BR61">
        <v>0.72499999999999998</v>
      </c>
      <c r="BS61">
        <v>0.72499999999999998</v>
      </c>
      <c r="BU61">
        <v>0.76500000000000001</v>
      </c>
      <c r="BV61">
        <v>0.76500000000000001</v>
      </c>
      <c r="BX61">
        <v>0.76500000000000001</v>
      </c>
      <c r="BY61">
        <v>0.76500000000000001</v>
      </c>
      <c r="CA61">
        <v>1.32</v>
      </c>
      <c r="CB61">
        <v>1.32</v>
      </c>
      <c r="CD61">
        <v>1.06</v>
      </c>
      <c r="CE61">
        <v>1.06</v>
      </c>
      <c r="CG61">
        <v>0.55000000000000004</v>
      </c>
      <c r="CH61">
        <v>0.85</v>
      </c>
      <c r="CI61">
        <v>5.0000000000000001E-3</v>
      </c>
      <c r="CJ61">
        <v>0.55000000000000004</v>
      </c>
      <c r="CK61">
        <v>0.85</v>
      </c>
      <c r="CL61">
        <v>5.0000000000000001E-3</v>
      </c>
      <c r="CM61">
        <v>1.06</v>
      </c>
      <c r="CN61">
        <v>1.06</v>
      </c>
      <c r="CP61">
        <v>1.06</v>
      </c>
      <c r="CQ61">
        <v>1.06</v>
      </c>
      <c r="CS61">
        <v>0.76500000000000001</v>
      </c>
      <c r="CT61">
        <v>0.76500000000000001</v>
      </c>
      <c r="CV61">
        <v>1.06</v>
      </c>
      <c r="CW61">
        <v>1.06</v>
      </c>
      <c r="CY61">
        <v>0.76500000000000001</v>
      </c>
      <c r="CZ61">
        <v>0.76500000000000001</v>
      </c>
      <c r="DB61">
        <v>1.06</v>
      </c>
      <c r="DC61">
        <v>1.06</v>
      </c>
      <c r="DE61">
        <v>0.70499999999999996</v>
      </c>
      <c r="DF61">
        <v>0.70499999999999996</v>
      </c>
      <c r="DH61" t="s">
        <v>80</v>
      </c>
      <c r="DI61">
        <v>0.65</v>
      </c>
      <c r="DJ61">
        <v>0.76500000000000001</v>
      </c>
      <c r="DM61">
        <v>0</v>
      </c>
      <c r="DN61">
        <v>0</v>
      </c>
      <c r="DO61">
        <v>0</v>
      </c>
      <c r="DQ61" t="s">
        <v>273</v>
      </c>
    </row>
    <row r="62" spans="1:121" x14ac:dyDescent="0.2">
      <c r="A62" t="s">
        <v>67</v>
      </c>
      <c r="E62" t="s">
        <v>368</v>
      </c>
      <c r="F62" t="s">
        <v>282</v>
      </c>
      <c r="G62" t="s">
        <v>305</v>
      </c>
      <c r="H62" t="s">
        <v>312</v>
      </c>
      <c r="I62" t="s">
        <v>307</v>
      </c>
      <c r="J62" t="s">
        <v>73</v>
      </c>
      <c r="K62" t="s">
        <v>73</v>
      </c>
      <c r="L62" t="s">
        <v>285</v>
      </c>
      <c r="M62" t="s">
        <v>73</v>
      </c>
      <c r="N62" t="s">
        <v>73</v>
      </c>
      <c r="O62" t="s">
        <v>73</v>
      </c>
      <c r="P62" t="str">
        <f t="shared" si="0"/>
        <v>HFL_N_VDDFIXEDPCIE_G5_PCIE5_X_X_ELB_X_X_X_</v>
      </c>
      <c r="V62" t="s">
        <v>308</v>
      </c>
      <c r="W62" t="s">
        <v>313</v>
      </c>
      <c r="X62" t="s">
        <v>314</v>
      </c>
      <c r="AF62" t="s">
        <v>315</v>
      </c>
      <c r="AM62" t="s">
        <v>290</v>
      </c>
      <c r="AN62">
        <v>0.78</v>
      </c>
      <c r="AO62">
        <v>0.78</v>
      </c>
      <c r="AQ62">
        <v>0.78</v>
      </c>
      <c r="AR62">
        <v>0.78</v>
      </c>
      <c r="AT62">
        <v>0.78</v>
      </c>
      <c r="AU62">
        <v>0.78</v>
      </c>
      <c r="AW62">
        <v>0.78</v>
      </c>
      <c r="AX62">
        <v>0.78</v>
      </c>
      <c r="AZ62">
        <v>0.78</v>
      </c>
      <c r="BA62">
        <v>0.78</v>
      </c>
      <c r="BC62">
        <v>0.78</v>
      </c>
      <c r="BD62">
        <v>0.78</v>
      </c>
      <c r="BF62">
        <v>0.78</v>
      </c>
      <c r="BG62">
        <v>0.78</v>
      </c>
      <c r="BI62">
        <v>0.78</v>
      </c>
      <c r="BJ62">
        <v>0.78</v>
      </c>
      <c r="BL62">
        <v>0.78</v>
      </c>
      <c r="BM62">
        <v>0.78</v>
      </c>
      <c r="BO62">
        <v>0.76500000000000001</v>
      </c>
      <c r="BP62">
        <v>0.76500000000000001</v>
      </c>
      <c r="BR62">
        <v>0.72499999999999998</v>
      </c>
      <c r="BS62">
        <v>0.72499999999999998</v>
      </c>
      <c r="BU62">
        <v>0.76500000000000001</v>
      </c>
      <c r="BV62">
        <v>0.76500000000000001</v>
      </c>
      <c r="BX62">
        <v>0.76500000000000001</v>
      </c>
      <c r="BY62">
        <v>0.76500000000000001</v>
      </c>
      <c r="CA62">
        <v>1.32</v>
      </c>
      <c r="CB62">
        <v>1.32</v>
      </c>
      <c r="CD62">
        <v>1.06</v>
      </c>
      <c r="CE62">
        <v>1.06</v>
      </c>
      <c r="CG62">
        <v>0.55000000000000004</v>
      </c>
      <c r="CH62">
        <v>0.85</v>
      </c>
      <c r="CI62">
        <v>5.0000000000000001E-3</v>
      </c>
      <c r="CJ62">
        <v>0.55000000000000004</v>
      </c>
      <c r="CK62">
        <v>0.85</v>
      </c>
      <c r="CL62">
        <v>5.0000000000000001E-3</v>
      </c>
      <c r="CM62">
        <v>1.06</v>
      </c>
      <c r="CN62">
        <v>1.06</v>
      </c>
      <c r="CP62">
        <v>1.06</v>
      </c>
      <c r="CQ62">
        <v>1.06</v>
      </c>
      <c r="CS62">
        <v>0.76500000000000001</v>
      </c>
      <c r="CT62">
        <v>0.76500000000000001</v>
      </c>
      <c r="CV62">
        <v>1.06</v>
      </c>
      <c r="CW62">
        <v>1.06</v>
      </c>
      <c r="CY62">
        <v>0.76500000000000001</v>
      </c>
      <c r="CZ62">
        <v>0.76500000000000001</v>
      </c>
      <c r="DB62">
        <v>1.06</v>
      </c>
      <c r="DC62">
        <v>1.06</v>
      </c>
      <c r="DE62">
        <v>0.70499999999999996</v>
      </c>
      <c r="DF62">
        <v>0.70499999999999996</v>
      </c>
      <c r="DH62" t="s">
        <v>80</v>
      </c>
      <c r="DI62">
        <v>0.65</v>
      </c>
      <c r="DJ62">
        <v>0.76500000000000001</v>
      </c>
      <c r="DM62">
        <v>0</v>
      </c>
      <c r="DN62">
        <v>0</v>
      </c>
      <c r="DO62">
        <v>0</v>
      </c>
      <c r="DQ62" t="s">
        <v>274</v>
      </c>
    </row>
    <row r="63" spans="1:121" x14ac:dyDescent="0.2">
      <c r="A63" t="s">
        <v>67</v>
      </c>
      <c r="E63" t="s">
        <v>368</v>
      </c>
      <c r="F63" t="s">
        <v>282</v>
      </c>
      <c r="G63" t="s">
        <v>316</v>
      </c>
      <c r="H63" t="s">
        <v>306</v>
      </c>
      <c r="I63" t="s">
        <v>307</v>
      </c>
      <c r="J63" t="s">
        <v>73</v>
      </c>
      <c r="K63" t="s">
        <v>73</v>
      </c>
      <c r="L63" t="s">
        <v>285</v>
      </c>
      <c r="M63" t="s">
        <v>73</v>
      </c>
      <c r="N63" t="s">
        <v>73</v>
      </c>
      <c r="O63" t="s">
        <v>73</v>
      </c>
      <c r="P63" t="str">
        <f t="shared" si="0"/>
        <v>HFL_N_VDD10PCIE_G1_PCIE5_X_X_ELB_X_X_X_</v>
      </c>
      <c r="V63" t="s">
        <v>308</v>
      </c>
      <c r="W63" t="s">
        <v>309</v>
      </c>
      <c r="X63" t="s">
        <v>310</v>
      </c>
      <c r="AF63" t="s">
        <v>311</v>
      </c>
      <c r="AM63" t="s">
        <v>290</v>
      </c>
      <c r="AN63">
        <v>0.78</v>
      </c>
      <c r="AO63">
        <v>0.78</v>
      </c>
      <c r="AQ63">
        <v>0.78</v>
      </c>
      <c r="AR63">
        <v>0.78</v>
      </c>
      <c r="AT63">
        <v>0.78</v>
      </c>
      <c r="AU63">
        <v>0.78</v>
      </c>
      <c r="AW63">
        <v>0.78</v>
      </c>
      <c r="AX63">
        <v>0.78</v>
      </c>
      <c r="AZ63">
        <v>0.78</v>
      </c>
      <c r="BA63">
        <v>0.78</v>
      </c>
      <c r="BC63">
        <v>0.78</v>
      </c>
      <c r="BD63">
        <v>0.78</v>
      </c>
      <c r="BF63">
        <v>0.78</v>
      </c>
      <c r="BG63">
        <v>0.78</v>
      </c>
      <c r="BI63">
        <v>0.78</v>
      </c>
      <c r="BJ63">
        <v>0.78</v>
      </c>
      <c r="BL63">
        <v>0.78</v>
      </c>
      <c r="BM63">
        <v>0.78</v>
      </c>
      <c r="BO63">
        <v>0.76500000000000001</v>
      </c>
      <c r="BP63">
        <v>0.76500000000000001</v>
      </c>
      <c r="BR63">
        <v>0.72499999999999998</v>
      </c>
      <c r="BS63">
        <v>0.72499999999999998</v>
      </c>
      <c r="BU63">
        <v>0.76500000000000001</v>
      </c>
      <c r="BV63">
        <v>0.76500000000000001</v>
      </c>
      <c r="BX63">
        <v>0.76500000000000001</v>
      </c>
      <c r="BY63">
        <v>0.76500000000000001</v>
      </c>
      <c r="CA63">
        <v>1.32</v>
      </c>
      <c r="CB63">
        <v>1.32</v>
      </c>
      <c r="CD63">
        <v>1.06</v>
      </c>
      <c r="CE63">
        <v>1.06</v>
      </c>
      <c r="CG63">
        <v>0.76500000000000001</v>
      </c>
      <c r="CH63">
        <v>0.76500000000000001</v>
      </c>
      <c r="CJ63">
        <v>0.76500000000000001</v>
      </c>
      <c r="CK63">
        <v>0.76500000000000001</v>
      </c>
      <c r="CM63">
        <v>0.65</v>
      </c>
      <c r="CN63">
        <v>1.17</v>
      </c>
      <c r="CO63">
        <v>5.0000000000000001E-3</v>
      </c>
      <c r="CP63">
        <v>0.65</v>
      </c>
      <c r="CQ63">
        <v>1.17</v>
      </c>
      <c r="CR63">
        <v>5.0000000000000001E-3</v>
      </c>
      <c r="CS63">
        <v>0.76500000000000001</v>
      </c>
      <c r="CT63">
        <v>0.76500000000000001</v>
      </c>
      <c r="CV63">
        <v>1.06</v>
      </c>
      <c r="CW63">
        <v>1.06</v>
      </c>
      <c r="CY63">
        <v>0.76500000000000001</v>
      </c>
      <c r="CZ63">
        <v>0.76500000000000001</v>
      </c>
      <c r="DB63">
        <v>1.06</v>
      </c>
      <c r="DC63">
        <v>1.06</v>
      </c>
      <c r="DE63">
        <v>0.70499999999999996</v>
      </c>
      <c r="DF63">
        <v>0.70499999999999996</v>
      </c>
      <c r="DH63" t="s">
        <v>80</v>
      </c>
      <c r="DI63">
        <v>0.9</v>
      </c>
      <c r="DJ63">
        <v>1.06</v>
      </c>
      <c r="DM63">
        <v>0</v>
      </c>
      <c r="DN63">
        <v>0</v>
      </c>
      <c r="DO63">
        <v>0</v>
      </c>
      <c r="DQ63" t="s">
        <v>273</v>
      </c>
    </row>
    <row r="64" spans="1:121" x14ac:dyDescent="0.2">
      <c r="A64" t="s">
        <v>67</v>
      </c>
      <c r="E64" t="s">
        <v>368</v>
      </c>
      <c r="F64" t="s">
        <v>282</v>
      </c>
      <c r="G64" t="s">
        <v>316</v>
      </c>
      <c r="H64" t="s">
        <v>312</v>
      </c>
      <c r="I64" t="s">
        <v>307</v>
      </c>
      <c r="J64" t="s">
        <v>73</v>
      </c>
      <c r="K64" t="s">
        <v>73</v>
      </c>
      <c r="L64" t="s">
        <v>285</v>
      </c>
      <c r="M64" t="s">
        <v>73</v>
      </c>
      <c r="N64" t="s">
        <v>73</v>
      </c>
      <c r="O64" t="s">
        <v>73</v>
      </c>
      <c r="P64" t="str">
        <f t="shared" si="0"/>
        <v>HFL_N_VDD10PCIE_G5_PCIE5_X_X_ELB_X_X_X_</v>
      </c>
      <c r="V64" t="s">
        <v>308</v>
      </c>
      <c r="W64" t="s">
        <v>313</v>
      </c>
      <c r="X64" t="s">
        <v>314</v>
      </c>
      <c r="AF64" t="s">
        <v>315</v>
      </c>
      <c r="AM64" t="s">
        <v>290</v>
      </c>
      <c r="AN64">
        <v>0.78</v>
      </c>
      <c r="AO64">
        <v>0.78</v>
      </c>
      <c r="AQ64">
        <v>0.78</v>
      </c>
      <c r="AR64">
        <v>0.78</v>
      </c>
      <c r="AT64">
        <v>0.78</v>
      </c>
      <c r="AU64">
        <v>0.78</v>
      </c>
      <c r="AW64">
        <v>0.78</v>
      </c>
      <c r="AX64">
        <v>0.78</v>
      </c>
      <c r="AZ64">
        <v>0.78</v>
      </c>
      <c r="BA64">
        <v>0.78</v>
      </c>
      <c r="BC64">
        <v>0.78</v>
      </c>
      <c r="BD64">
        <v>0.78</v>
      </c>
      <c r="BF64">
        <v>0.78</v>
      </c>
      <c r="BG64">
        <v>0.78</v>
      </c>
      <c r="BI64">
        <v>0.78</v>
      </c>
      <c r="BJ64">
        <v>0.78</v>
      </c>
      <c r="BL64">
        <v>0.78</v>
      </c>
      <c r="BM64">
        <v>0.78</v>
      </c>
      <c r="BO64">
        <v>0.76500000000000001</v>
      </c>
      <c r="BP64">
        <v>0.76500000000000001</v>
      </c>
      <c r="BR64">
        <v>0.72499999999999998</v>
      </c>
      <c r="BS64">
        <v>0.72499999999999998</v>
      </c>
      <c r="BU64">
        <v>0.76500000000000001</v>
      </c>
      <c r="BV64">
        <v>0.76500000000000001</v>
      </c>
      <c r="BX64">
        <v>0.76500000000000001</v>
      </c>
      <c r="BY64">
        <v>0.76500000000000001</v>
      </c>
      <c r="CA64">
        <v>1.32</v>
      </c>
      <c r="CB64">
        <v>1.32</v>
      </c>
      <c r="CD64">
        <v>1.06</v>
      </c>
      <c r="CE64">
        <v>1.06</v>
      </c>
      <c r="CG64">
        <v>0.76500000000000001</v>
      </c>
      <c r="CH64">
        <v>0.76500000000000001</v>
      </c>
      <c r="CJ64">
        <v>0.76500000000000001</v>
      </c>
      <c r="CK64">
        <v>0.76500000000000001</v>
      </c>
      <c r="CM64">
        <v>0.65</v>
      </c>
      <c r="CN64">
        <v>1.17</v>
      </c>
      <c r="CO64">
        <v>5.0000000000000001E-3</v>
      </c>
      <c r="CP64">
        <v>0.65</v>
      </c>
      <c r="CQ64">
        <v>1.17</v>
      </c>
      <c r="CR64">
        <v>5.0000000000000001E-3</v>
      </c>
      <c r="CS64">
        <v>0.76500000000000001</v>
      </c>
      <c r="CT64">
        <v>0.76500000000000001</v>
      </c>
      <c r="CV64">
        <v>1.06</v>
      </c>
      <c r="CW64">
        <v>1.06</v>
      </c>
      <c r="CY64">
        <v>0.76500000000000001</v>
      </c>
      <c r="CZ64">
        <v>0.76500000000000001</v>
      </c>
      <c r="DB64">
        <v>1.06</v>
      </c>
      <c r="DC64">
        <v>1.06</v>
      </c>
      <c r="DE64">
        <v>0.70499999999999996</v>
      </c>
      <c r="DF64">
        <v>0.70499999999999996</v>
      </c>
      <c r="DH64" t="s">
        <v>80</v>
      </c>
      <c r="DI64">
        <v>0.9</v>
      </c>
      <c r="DJ64">
        <v>1.06</v>
      </c>
      <c r="DM64">
        <v>0</v>
      </c>
      <c r="DN64">
        <v>0</v>
      </c>
      <c r="DO64">
        <v>0</v>
      </c>
      <c r="DQ64" t="s">
        <v>273</v>
      </c>
    </row>
    <row r="65" spans="1:121" x14ac:dyDescent="0.2">
      <c r="A65" t="s">
        <v>67</v>
      </c>
      <c r="E65" t="s">
        <v>368</v>
      </c>
      <c r="F65" t="s">
        <v>282</v>
      </c>
      <c r="G65" t="s">
        <v>319</v>
      </c>
      <c r="H65" t="s">
        <v>320</v>
      </c>
      <c r="I65" t="s">
        <v>321</v>
      </c>
      <c r="J65" t="s">
        <v>73</v>
      </c>
      <c r="K65" t="s">
        <v>322</v>
      </c>
      <c r="L65" t="s">
        <v>285</v>
      </c>
      <c r="M65" t="s">
        <v>73</v>
      </c>
      <c r="N65" t="s">
        <v>73</v>
      </c>
      <c r="O65" t="s">
        <v>73</v>
      </c>
      <c r="P65" t="str">
        <f t="shared" si="0"/>
        <v>HFL_N_VDDFIXEDLPDPRX_ELB2P7_LPDPRX_X_ODD_ELB_X_X_X_</v>
      </c>
      <c r="V65" t="s">
        <v>323</v>
      </c>
      <c r="W65" t="s">
        <v>324</v>
      </c>
      <c r="AF65" t="s">
        <v>325</v>
      </c>
      <c r="AM65" t="s">
        <v>290</v>
      </c>
      <c r="AN65">
        <v>0.78</v>
      </c>
      <c r="AO65">
        <v>0.78</v>
      </c>
      <c r="AQ65">
        <v>0.78</v>
      </c>
      <c r="AR65">
        <v>0.78</v>
      </c>
      <c r="AT65">
        <v>0.78</v>
      </c>
      <c r="AU65">
        <v>0.78</v>
      </c>
      <c r="AW65">
        <v>0.78</v>
      </c>
      <c r="AX65">
        <v>0.78</v>
      </c>
      <c r="AZ65">
        <v>0.78</v>
      </c>
      <c r="BA65">
        <v>0.78</v>
      </c>
      <c r="BC65">
        <v>0.78</v>
      </c>
      <c r="BD65">
        <v>0.78</v>
      </c>
      <c r="BF65">
        <v>0.78</v>
      </c>
      <c r="BG65">
        <v>0.78</v>
      </c>
      <c r="BI65">
        <v>0.78</v>
      </c>
      <c r="BJ65">
        <v>0.78</v>
      </c>
      <c r="BL65">
        <v>0.78</v>
      </c>
      <c r="BM65">
        <v>0.78</v>
      </c>
      <c r="BO65">
        <v>0.76500000000000001</v>
      </c>
      <c r="BP65">
        <v>0.76500000000000001</v>
      </c>
      <c r="BR65">
        <v>0.72499999999999998</v>
      </c>
      <c r="BS65">
        <v>0.72499999999999998</v>
      </c>
      <c r="BU65">
        <v>0.76500000000000001</v>
      </c>
      <c r="BV65">
        <v>0.76500000000000001</v>
      </c>
      <c r="BX65">
        <v>0.76500000000000001</v>
      </c>
      <c r="BY65">
        <v>0.76500000000000001</v>
      </c>
      <c r="CA65">
        <v>1.32</v>
      </c>
      <c r="CB65">
        <v>1.32</v>
      </c>
      <c r="CD65">
        <v>1.06</v>
      </c>
      <c r="CE65">
        <v>1.06</v>
      </c>
      <c r="CG65">
        <v>0.76500000000000001</v>
      </c>
      <c r="CH65">
        <v>0.76500000000000001</v>
      </c>
      <c r="CJ65">
        <v>0.76500000000000001</v>
      </c>
      <c r="CK65">
        <v>0.76500000000000001</v>
      </c>
      <c r="CM65">
        <v>1.06</v>
      </c>
      <c r="CN65">
        <v>1.06</v>
      </c>
      <c r="CP65">
        <v>1.06</v>
      </c>
      <c r="CQ65">
        <v>1.06</v>
      </c>
      <c r="CS65">
        <v>0.55000000000000004</v>
      </c>
      <c r="CT65">
        <v>0.85</v>
      </c>
      <c r="CU65">
        <v>5.0000000000000001E-3</v>
      </c>
      <c r="CV65">
        <v>1.06</v>
      </c>
      <c r="CW65">
        <v>1.06</v>
      </c>
      <c r="CY65">
        <v>0.76500000000000001</v>
      </c>
      <c r="CZ65">
        <v>0.76500000000000001</v>
      </c>
      <c r="DB65">
        <v>1.06</v>
      </c>
      <c r="DC65">
        <v>1.06</v>
      </c>
      <c r="DE65">
        <v>0.70499999999999996</v>
      </c>
      <c r="DF65">
        <v>0.70499999999999996</v>
      </c>
      <c r="DH65" t="s">
        <v>80</v>
      </c>
      <c r="DI65">
        <v>0.65</v>
      </c>
      <c r="DJ65">
        <v>0.76500000000000001</v>
      </c>
      <c r="DM65">
        <v>0</v>
      </c>
      <c r="DN65">
        <v>0</v>
      </c>
      <c r="DO65">
        <v>0</v>
      </c>
      <c r="DQ65" t="s">
        <v>273</v>
      </c>
    </row>
    <row r="66" spans="1:121" x14ac:dyDescent="0.2">
      <c r="A66" t="s">
        <v>67</v>
      </c>
      <c r="E66" t="s">
        <v>368</v>
      </c>
      <c r="F66" t="s">
        <v>282</v>
      </c>
      <c r="G66" t="s">
        <v>319</v>
      </c>
      <c r="H66" t="s">
        <v>320</v>
      </c>
      <c r="I66" t="s">
        <v>321</v>
      </c>
      <c r="J66" t="s">
        <v>73</v>
      </c>
      <c r="K66" t="s">
        <v>326</v>
      </c>
      <c r="L66" t="s">
        <v>285</v>
      </c>
      <c r="M66" t="s">
        <v>73</v>
      </c>
      <c r="N66" t="s">
        <v>73</v>
      </c>
      <c r="O66" t="s">
        <v>73</v>
      </c>
      <c r="P66" t="str">
        <f t="shared" ref="P66:P104" si="13">E66&amp;"_"&amp;F66&amp;"_"&amp;G66&amp;"_"&amp;H66&amp;"_"&amp;I66&amp;"_"&amp;J66&amp;"_"&amp;K66&amp;"_"&amp;L66&amp;"_"&amp;M66&amp;"_"&amp;N66&amp;"_"&amp;O66&amp;"_"</f>
        <v>HFL_N_VDDFIXEDLPDPRX_ELB2P7_LPDPRX_X_EVEN_ELB_X_X_X_</v>
      </c>
      <c r="V66" t="s">
        <v>323</v>
      </c>
      <c r="W66" t="s">
        <v>324</v>
      </c>
      <c r="AF66" t="s">
        <v>327</v>
      </c>
      <c r="AM66" t="s">
        <v>290</v>
      </c>
      <c r="AN66">
        <v>0.78</v>
      </c>
      <c r="AO66">
        <v>0.78</v>
      </c>
      <c r="AQ66">
        <v>0.78</v>
      </c>
      <c r="AR66">
        <v>0.78</v>
      </c>
      <c r="AT66">
        <v>0.78</v>
      </c>
      <c r="AU66">
        <v>0.78</v>
      </c>
      <c r="AW66">
        <v>0.78</v>
      </c>
      <c r="AX66">
        <v>0.78</v>
      </c>
      <c r="AZ66">
        <v>0.78</v>
      </c>
      <c r="BA66">
        <v>0.78</v>
      </c>
      <c r="BC66">
        <v>0.78</v>
      </c>
      <c r="BD66">
        <v>0.78</v>
      </c>
      <c r="BF66">
        <v>0.78</v>
      </c>
      <c r="BG66">
        <v>0.78</v>
      </c>
      <c r="BI66">
        <v>0.78</v>
      </c>
      <c r="BJ66">
        <v>0.78</v>
      </c>
      <c r="BL66">
        <v>0.78</v>
      </c>
      <c r="BM66">
        <v>0.78</v>
      </c>
      <c r="BO66">
        <v>0.76500000000000001</v>
      </c>
      <c r="BP66">
        <v>0.76500000000000001</v>
      </c>
      <c r="BR66">
        <v>0.72499999999999998</v>
      </c>
      <c r="BS66">
        <v>0.72499999999999998</v>
      </c>
      <c r="BU66">
        <v>0.76500000000000001</v>
      </c>
      <c r="BV66">
        <v>0.76500000000000001</v>
      </c>
      <c r="BX66">
        <v>0.76500000000000001</v>
      </c>
      <c r="BY66">
        <v>0.76500000000000001</v>
      </c>
      <c r="CA66">
        <v>1.32</v>
      </c>
      <c r="CB66">
        <v>1.32</v>
      </c>
      <c r="CD66">
        <v>1.06</v>
      </c>
      <c r="CE66">
        <v>1.06</v>
      </c>
      <c r="CG66">
        <v>0.76500000000000001</v>
      </c>
      <c r="CH66">
        <v>0.76500000000000001</v>
      </c>
      <c r="CJ66">
        <v>0.76500000000000001</v>
      </c>
      <c r="CK66">
        <v>0.76500000000000001</v>
      </c>
      <c r="CM66">
        <v>1.06</v>
      </c>
      <c r="CN66">
        <v>1.06</v>
      </c>
      <c r="CP66">
        <v>1.06</v>
      </c>
      <c r="CQ66">
        <v>1.06</v>
      </c>
      <c r="CS66">
        <v>0.55000000000000004</v>
      </c>
      <c r="CT66">
        <v>0.85</v>
      </c>
      <c r="CU66">
        <v>5.0000000000000001E-3</v>
      </c>
      <c r="CV66">
        <v>1.06</v>
      </c>
      <c r="CW66">
        <v>1.06</v>
      </c>
      <c r="CY66">
        <v>0.76500000000000001</v>
      </c>
      <c r="CZ66">
        <v>0.76500000000000001</v>
      </c>
      <c r="DB66">
        <v>1.06</v>
      </c>
      <c r="DC66">
        <v>1.06</v>
      </c>
      <c r="DE66">
        <v>0.70499999999999996</v>
      </c>
      <c r="DF66">
        <v>0.70499999999999996</v>
      </c>
      <c r="DH66" t="s">
        <v>80</v>
      </c>
      <c r="DI66">
        <v>0.65</v>
      </c>
      <c r="DJ66">
        <v>0.76500000000000001</v>
      </c>
      <c r="DM66">
        <v>0</v>
      </c>
      <c r="DN66">
        <v>0</v>
      </c>
      <c r="DO66">
        <v>0</v>
      </c>
      <c r="DQ66" t="s">
        <v>273</v>
      </c>
    </row>
    <row r="67" spans="1:121" x14ac:dyDescent="0.2">
      <c r="A67" t="s">
        <v>67</v>
      </c>
      <c r="E67" t="s">
        <v>368</v>
      </c>
      <c r="F67" t="s">
        <v>282</v>
      </c>
      <c r="G67" t="s">
        <v>319</v>
      </c>
      <c r="H67" t="s">
        <v>320</v>
      </c>
      <c r="I67" t="s">
        <v>321</v>
      </c>
      <c r="J67" t="s">
        <v>73</v>
      </c>
      <c r="K67" t="s">
        <v>328</v>
      </c>
      <c r="L67" t="s">
        <v>285</v>
      </c>
      <c r="M67" t="s">
        <v>73</v>
      </c>
      <c r="N67" t="s">
        <v>73</v>
      </c>
      <c r="O67" t="s">
        <v>73</v>
      </c>
      <c r="P67" t="str">
        <f t="shared" si="13"/>
        <v>HFL_N_VDDFIXEDLPDPRX_ELB2P7_LPDPRX_X_L5L6_ELB_X_X_X_</v>
      </c>
      <c r="V67" t="s">
        <v>323</v>
      </c>
      <c r="W67" t="s">
        <v>324</v>
      </c>
      <c r="AF67" t="s">
        <v>329</v>
      </c>
      <c r="AM67" t="s">
        <v>290</v>
      </c>
      <c r="AN67">
        <v>0.78</v>
      </c>
      <c r="AO67">
        <v>0.78</v>
      </c>
      <c r="AQ67">
        <v>0.78</v>
      </c>
      <c r="AR67">
        <v>0.78</v>
      </c>
      <c r="AT67">
        <v>0.78</v>
      </c>
      <c r="AU67">
        <v>0.78</v>
      </c>
      <c r="AW67">
        <v>0.78</v>
      </c>
      <c r="AX67">
        <v>0.78</v>
      </c>
      <c r="AZ67">
        <v>0.78</v>
      </c>
      <c r="BA67">
        <v>0.78</v>
      </c>
      <c r="BC67">
        <v>0.78</v>
      </c>
      <c r="BD67">
        <v>0.78</v>
      </c>
      <c r="BF67">
        <v>0.78</v>
      </c>
      <c r="BG67">
        <v>0.78</v>
      </c>
      <c r="BI67">
        <v>0.78</v>
      </c>
      <c r="BJ67">
        <v>0.78</v>
      </c>
      <c r="BL67">
        <v>0.78</v>
      </c>
      <c r="BM67">
        <v>0.78</v>
      </c>
      <c r="BO67">
        <v>0.76500000000000001</v>
      </c>
      <c r="BP67">
        <v>0.76500000000000001</v>
      </c>
      <c r="BR67">
        <v>0.72499999999999998</v>
      </c>
      <c r="BS67">
        <v>0.72499999999999998</v>
      </c>
      <c r="BU67">
        <v>0.76500000000000001</v>
      </c>
      <c r="BV67">
        <v>0.76500000000000001</v>
      </c>
      <c r="BX67">
        <v>0.76500000000000001</v>
      </c>
      <c r="BY67">
        <v>0.76500000000000001</v>
      </c>
      <c r="CA67">
        <v>1.32</v>
      </c>
      <c r="CB67">
        <v>1.32</v>
      </c>
      <c r="CD67">
        <v>1.06</v>
      </c>
      <c r="CE67">
        <v>1.06</v>
      </c>
      <c r="CG67">
        <v>0.76500000000000001</v>
      </c>
      <c r="CH67">
        <v>0.76500000000000001</v>
      </c>
      <c r="CJ67">
        <v>0.76500000000000001</v>
      </c>
      <c r="CK67">
        <v>0.76500000000000001</v>
      </c>
      <c r="CM67">
        <v>1.06</v>
      </c>
      <c r="CN67">
        <v>1.06</v>
      </c>
      <c r="CP67">
        <v>1.06</v>
      </c>
      <c r="CQ67">
        <v>1.06</v>
      </c>
      <c r="CS67">
        <v>0.55000000000000004</v>
      </c>
      <c r="CT67">
        <v>0.85</v>
      </c>
      <c r="CU67">
        <v>5.0000000000000001E-3</v>
      </c>
      <c r="CV67">
        <v>1.06</v>
      </c>
      <c r="CW67">
        <v>1.06</v>
      </c>
      <c r="CY67">
        <v>0.76500000000000001</v>
      </c>
      <c r="CZ67">
        <v>0.76500000000000001</v>
      </c>
      <c r="DB67">
        <v>1.06</v>
      </c>
      <c r="DC67">
        <v>1.06</v>
      </c>
      <c r="DE67">
        <v>0.70499999999999996</v>
      </c>
      <c r="DF67">
        <v>0.70499999999999996</v>
      </c>
      <c r="DH67" t="s">
        <v>80</v>
      </c>
      <c r="DI67">
        <v>0.65</v>
      </c>
      <c r="DJ67">
        <v>0.76500000000000001</v>
      </c>
      <c r="DM67">
        <v>0</v>
      </c>
      <c r="DN67">
        <v>0</v>
      </c>
      <c r="DO67">
        <v>0</v>
      </c>
      <c r="DQ67" t="s">
        <v>273</v>
      </c>
    </row>
    <row r="68" spans="1:121" x14ac:dyDescent="0.2">
      <c r="A68" t="s">
        <v>67</v>
      </c>
      <c r="E68" t="s">
        <v>368</v>
      </c>
      <c r="F68" t="s">
        <v>282</v>
      </c>
      <c r="G68" t="s">
        <v>319</v>
      </c>
      <c r="H68" t="s">
        <v>330</v>
      </c>
      <c r="I68" t="s">
        <v>321</v>
      </c>
      <c r="J68" t="s">
        <v>73</v>
      </c>
      <c r="K68" t="s">
        <v>322</v>
      </c>
      <c r="L68" t="s">
        <v>285</v>
      </c>
      <c r="M68" t="s">
        <v>73</v>
      </c>
      <c r="N68" t="s">
        <v>73</v>
      </c>
      <c r="O68" t="s">
        <v>73</v>
      </c>
      <c r="P68" t="str">
        <f t="shared" si="13"/>
        <v>HFL_N_VDDFIXEDLPDPRX_ELB14P0_LPDPRX_X_ODD_ELB_X_X_X_</v>
      </c>
      <c r="V68" t="s">
        <v>323</v>
      </c>
      <c r="W68" t="s">
        <v>331</v>
      </c>
      <c r="AF68" t="s">
        <v>332</v>
      </c>
      <c r="AM68" t="s">
        <v>290</v>
      </c>
      <c r="AN68">
        <v>0.78</v>
      </c>
      <c r="AO68">
        <v>0.78</v>
      </c>
      <c r="AQ68">
        <v>0.78</v>
      </c>
      <c r="AR68">
        <v>0.78</v>
      </c>
      <c r="AT68">
        <v>0.78</v>
      </c>
      <c r="AU68">
        <v>0.78</v>
      </c>
      <c r="AW68">
        <v>0.78</v>
      </c>
      <c r="AX68">
        <v>0.78</v>
      </c>
      <c r="AZ68">
        <v>0.78</v>
      </c>
      <c r="BA68">
        <v>0.78</v>
      </c>
      <c r="BC68">
        <v>0.78</v>
      </c>
      <c r="BD68">
        <v>0.78</v>
      </c>
      <c r="BF68">
        <v>0.78</v>
      </c>
      <c r="BG68">
        <v>0.78</v>
      </c>
      <c r="BI68">
        <v>0.78</v>
      </c>
      <c r="BJ68">
        <v>0.78</v>
      </c>
      <c r="BL68">
        <v>0.78</v>
      </c>
      <c r="BM68">
        <v>0.78</v>
      </c>
      <c r="BO68">
        <v>0.76500000000000001</v>
      </c>
      <c r="BP68">
        <v>0.76500000000000001</v>
      </c>
      <c r="BR68">
        <v>0.72499999999999998</v>
      </c>
      <c r="BS68">
        <v>0.72499999999999998</v>
      </c>
      <c r="BU68">
        <v>0.76500000000000001</v>
      </c>
      <c r="BV68">
        <v>0.76500000000000001</v>
      </c>
      <c r="BX68">
        <v>0.76500000000000001</v>
      </c>
      <c r="BY68">
        <v>0.76500000000000001</v>
      </c>
      <c r="CA68">
        <v>1.32</v>
      </c>
      <c r="CB68">
        <v>1.32</v>
      </c>
      <c r="CD68">
        <v>1.06</v>
      </c>
      <c r="CE68">
        <v>1.06</v>
      </c>
      <c r="CG68">
        <v>0.76500000000000001</v>
      </c>
      <c r="CH68">
        <v>0.76500000000000001</v>
      </c>
      <c r="CJ68">
        <v>0.76500000000000001</v>
      </c>
      <c r="CK68">
        <v>0.76500000000000001</v>
      </c>
      <c r="CM68">
        <v>1.06</v>
      </c>
      <c r="CN68">
        <v>1.06</v>
      </c>
      <c r="CP68">
        <v>1.06</v>
      </c>
      <c r="CQ68">
        <v>1.06</v>
      </c>
      <c r="CS68">
        <v>0.55000000000000004</v>
      </c>
      <c r="CT68">
        <v>0.85</v>
      </c>
      <c r="CU68">
        <v>5.0000000000000001E-3</v>
      </c>
      <c r="CV68">
        <v>1.06</v>
      </c>
      <c r="CW68">
        <v>1.06</v>
      </c>
      <c r="CY68">
        <v>0.76500000000000001</v>
      </c>
      <c r="CZ68">
        <v>0.76500000000000001</v>
      </c>
      <c r="DB68">
        <v>1.06</v>
      </c>
      <c r="DC68">
        <v>1.06</v>
      </c>
      <c r="DE68">
        <v>0.70499999999999996</v>
      </c>
      <c r="DF68">
        <v>0.70499999999999996</v>
      </c>
      <c r="DH68" t="s">
        <v>80</v>
      </c>
      <c r="DI68">
        <v>0.65</v>
      </c>
      <c r="DJ68">
        <v>0.76500000000000001</v>
      </c>
      <c r="DM68">
        <v>0</v>
      </c>
      <c r="DN68">
        <v>0</v>
      </c>
      <c r="DO68">
        <v>0</v>
      </c>
      <c r="DQ68" t="s">
        <v>273</v>
      </c>
    </row>
    <row r="69" spans="1:121" x14ac:dyDescent="0.2">
      <c r="A69" t="s">
        <v>67</v>
      </c>
      <c r="E69" t="s">
        <v>368</v>
      </c>
      <c r="F69" t="s">
        <v>282</v>
      </c>
      <c r="G69" t="s">
        <v>319</v>
      </c>
      <c r="H69" t="s">
        <v>330</v>
      </c>
      <c r="I69" t="s">
        <v>321</v>
      </c>
      <c r="J69" t="s">
        <v>73</v>
      </c>
      <c r="K69" t="s">
        <v>326</v>
      </c>
      <c r="L69" t="s">
        <v>285</v>
      </c>
      <c r="M69" t="s">
        <v>73</v>
      </c>
      <c r="N69" t="s">
        <v>73</v>
      </c>
      <c r="O69" t="s">
        <v>73</v>
      </c>
      <c r="P69" t="str">
        <f t="shared" si="13"/>
        <v>HFL_N_VDDFIXEDLPDPRX_ELB14P0_LPDPRX_X_EVEN_ELB_X_X_X_</v>
      </c>
      <c r="V69" t="s">
        <v>323</v>
      </c>
      <c r="W69" t="s">
        <v>331</v>
      </c>
      <c r="AF69" t="s">
        <v>333</v>
      </c>
      <c r="AM69" t="s">
        <v>290</v>
      </c>
      <c r="AN69">
        <v>0.78</v>
      </c>
      <c r="AO69">
        <v>0.78</v>
      </c>
      <c r="AQ69">
        <v>0.78</v>
      </c>
      <c r="AR69">
        <v>0.78</v>
      </c>
      <c r="AT69">
        <v>0.78</v>
      </c>
      <c r="AU69">
        <v>0.78</v>
      </c>
      <c r="AW69">
        <v>0.78</v>
      </c>
      <c r="AX69">
        <v>0.78</v>
      </c>
      <c r="AZ69">
        <v>0.78</v>
      </c>
      <c r="BA69">
        <v>0.78</v>
      </c>
      <c r="BC69">
        <v>0.78</v>
      </c>
      <c r="BD69">
        <v>0.78</v>
      </c>
      <c r="BF69">
        <v>0.78</v>
      </c>
      <c r="BG69">
        <v>0.78</v>
      </c>
      <c r="BI69">
        <v>0.78</v>
      </c>
      <c r="BJ69">
        <v>0.78</v>
      </c>
      <c r="BL69">
        <v>0.78</v>
      </c>
      <c r="BM69">
        <v>0.78</v>
      </c>
      <c r="BO69">
        <v>0.76500000000000001</v>
      </c>
      <c r="BP69">
        <v>0.76500000000000001</v>
      </c>
      <c r="BR69">
        <v>0.72499999999999998</v>
      </c>
      <c r="BS69">
        <v>0.72499999999999998</v>
      </c>
      <c r="BU69">
        <v>0.76500000000000001</v>
      </c>
      <c r="BV69">
        <v>0.76500000000000001</v>
      </c>
      <c r="BX69">
        <v>0.76500000000000001</v>
      </c>
      <c r="BY69">
        <v>0.76500000000000001</v>
      </c>
      <c r="CA69">
        <v>1.32</v>
      </c>
      <c r="CB69">
        <v>1.32</v>
      </c>
      <c r="CD69">
        <v>1.06</v>
      </c>
      <c r="CE69">
        <v>1.06</v>
      </c>
      <c r="CG69">
        <v>0.76500000000000001</v>
      </c>
      <c r="CH69">
        <v>0.76500000000000001</v>
      </c>
      <c r="CJ69">
        <v>0.76500000000000001</v>
      </c>
      <c r="CK69">
        <v>0.76500000000000001</v>
      </c>
      <c r="CM69">
        <v>1.06</v>
      </c>
      <c r="CN69">
        <v>1.06</v>
      </c>
      <c r="CP69">
        <v>1.06</v>
      </c>
      <c r="CQ69">
        <v>1.06</v>
      </c>
      <c r="CS69">
        <v>0.55000000000000004</v>
      </c>
      <c r="CT69">
        <v>0.85</v>
      </c>
      <c r="CU69">
        <v>5.0000000000000001E-3</v>
      </c>
      <c r="CV69">
        <v>1.06</v>
      </c>
      <c r="CW69">
        <v>1.06</v>
      </c>
      <c r="CY69">
        <v>0.76500000000000001</v>
      </c>
      <c r="CZ69">
        <v>0.76500000000000001</v>
      </c>
      <c r="DB69">
        <v>1.06</v>
      </c>
      <c r="DC69">
        <v>1.06</v>
      </c>
      <c r="DE69">
        <v>0.70499999999999996</v>
      </c>
      <c r="DF69">
        <v>0.70499999999999996</v>
      </c>
      <c r="DH69" t="s">
        <v>80</v>
      </c>
      <c r="DI69">
        <v>0.65</v>
      </c>
      <c r="DJ69">
        <v>0.76500000000000001</v>
      </c>
      <c r="DM69">
        <v>0</v>
      </c>
      <c r="DN69">
        <v>0</v>
      </c>
      <c r="DO69">
        <v>0</v>
      </c>
      <c r="DQ69" t="s">
        <v>273</v>
      </c>
    </row>
    <row r="70" spans="1:121" x14ac:dyDescent="0.2">
      <c r="A70" t="s">
        <v>67</v>
      </c>
      <c r="E70" t="s">
        <v>368</v>
      </c>
      <c r="F70" t="s">
        <v>282</v>
      </c>
      <c r="G70" t="s">
        <v>319</v>
      </c>
      <c r="H70" t="s">
        <v>330</v>
      </c>
      <c r="I70" t="s">
        <v>321</v>
      </c>
      <c r="J70" t="s">
        <v>73</v>
      </c>
      <c r="K70" t="s">
        <v>328</v>
      </c>
      <c r="L70" t="s">
        <v>285</v>
      </c>
      <c r="M70" t="s">
        <v>73</v>
      </c>
      <c r="N70" t="s">
        <v>73</v>
      </c>
      <c r="O70" t="s">
        <v>73</v>
      </c>
      <c r="P70" t="str">
        <f t="shared" si="13"/>
        <v>HFL_N_VDDFIXEDLPDPRX_ELB14P0_LPDPRX_X_L5L6_ELB_X_X_X_</v>
      </c>
      <c r="V70" t="s">
        <v>323</v>
      </c>
      <c r="W70" t="s">
        <v>331</v>
      </c>
      <c r="AF70" t="s">
        <v>334</v>
      </c>
      <c r="AM70" t="s">
        <v>290</v>
      </c>
      <c r="AN70">
        <v>0.78</v>
      </c>
      <c r="AO70">
        <v>0.78</v>
      </c>
      <c r="AQ70">
        <v>0.78</v>
      </c>
      <c r="AR70">
        <v>0.78</v>
      </c>
      <c r="AT70">
        <v>0.78</v>
      </c>
      <c r="AU70">
        <v>0.78</v>
      </c>
      <c r="AW70">
        <v>0.78</v>
      </c>
      <c r="AX70">
        <v>0.78</v>
      </c>
      <c r="AZ70">
        <v>0.78</v>
      </c>
      <c r="BA70">
        <v>0.78</v>
      </c>
      <c r="BC70">
        <v>0.78</v>
      </c>
      <c r="BD70">
        <v>0.78</v>
      </c>
      <c r="BF70">
        <v>0.78</v>
      </c>
      <c r="BG70">
        <v>0.78</v>
      </c>
      <c r="BI70">
        <v>0.78</v>
      </c>
      <c r="BJ70">
        <v>0.78</v>
      </c>
      <c r="BL70">
        <v>0.78</v>
      </c>
      <c r="BM70">
        <v>0.78</v>
      </c>
      <c r="BO70">
        <v>0.76500000000000001</v>
      </c>
      <c r="BP70">
        <v>0.76500000000000001</v>
      </c>
      <c r="BR70">
        <v>0.72499999999999998</v>
      </c>
      <c r="BS70">
        <v>0.72499999999999998</v>
      </c>
      <c r="BU70">
        <v>0.76500000000000001</v>
      </c>
      <c r="BV70">
        <v>0.76500000000000001</v>
      </c>
      <c r="BX70">
        <v>0.76500000000000001</v>
      </c>
      <c r="BY70">
        <v>0.76500000000000001</v>
      </c>
      <c r="CA70">
        <v>1.32</v>
      </c>
      <c r="CB70">
        <v>1.32</v>
      </c>
      <c r="CD70">
        <v>1.06</v>
      </c>
      <c r="CE70">
        <v>1.06</v>
      </c>
      <c r="CG70">
        <v>0.76500000000000001</v>
      </c>
      <c r="CH70">
        <v>0.76500000000000001</v>
      </c>
      <c r="CJ70">
        <v>0.76500000000000001</v>
      </c>
      <c r="CK70">
        <v>0.76500000000000001</v>
      </c>
      <c r="CM70">
        <v>1.06</v>
      </c>
      <c r="CN70">
        <v>1.06</v>
      </c>
      <c r="CP70">
        <v>1.06</v>
      </c>
      <c r="CQ70">
        <v>1.06</v>
      </c>
      <c r="CS70">
        <v>0.55000000000000004</v>
      </c>
      <c r="CT70">
        <v>0.85</v>
      </c>
      <c r="CU70">
        <v>5.0000000000000001E-3</v>
      </c>
      <c r="CV70">
        <v>1.06</v>
      </c>
      <c r="CW70">
        <v>1.06</v>
      </c>
      <c r="CY70">
        <v>0.76500000000000001</v>
      </c>
      <c r="CZ70">
        <v>0.76500000000000001</v>
      </c>
      <c r="DB70">
        <v>1.06</v>
      </c>
      <c r="DC70">
        <v>1.06</v>
      </c>
      <c r="DE70">
        <v>0.70499999999999996</v>
      </c>
      <c r="DF70">
        <v>0.70499999999999996</v>
      </c>
      <c r="DH70" t="s">
        <v>80</v>
      </c>
      <c r="DI70">
        <v>0.65</v>
      </c>
      <c r="DJ70">
        <v>0.76500000000000001</v>
      </c>
      <c r="DM70">
        <v>0</v>
      </c>
      <c r="DN70">
        <v>0</v>
      </c>
      <c r="DO70">
        <v>0</v>
      </c>
      <c r="DQ70" t="s">
        <v>273</v>
      </c>
    </row>
    <row r="71" spans="1:121" x14ac:dyDescent="0.2">
      <c r="A71" t="s">
        <v>67</v>
      </c>
      <c r="E71" t="s">
        <v>368</v>
      </c>
      <c r="F71" t="s">
        <v>282</v>
      </c>
      <c r="G71" t="s">
        <v>335</v>
      </c>
      <c r="H71" t="s">
        <v>320</v>
      </c>
      <c r="I71" t="s">
        <v>321</v>
      </c>
      <c r="J71" t="s">
        <v>73</v>
      </c>
      <c r="K71" t="s">
        <v>322</v>
      </c>
      <c r="L71" t="s">
        <v>285</v>
      </c>
      <c r="M71" t="s">
        <v>73</v>
      </c>
      <c r="N71" t="s">
        <v>73</v>
      </c>
      <c r="O71" t="s">
        <v>73</v>
      </c>
      <c r="P71" t="str">
        <f t="shared" si="13"/>
        <v>HFL_N_VDD10LPDPRX_ELB2P7_LPDPRX_X_ODD_ELB_X_X_X_</v>
      </c>
      <c r="V71" t="s">
        <v>323</v>
      </c>
      <c r="W71" t="s">
        <v>324</v>
      </c>
      <c r="AF71" t="s">
        <v>325</v>
      </c>
      <c r="AM71" t="s">
        <v>290</v>
      </c>
      <c r="AN71">
        <v>0.78</v>
      </c>
      <c r="AO71">
        <v>0.78</v>
      </c>
      <c r="AQ71">
        <v>0.78</v>
      </c>
      <c r="AR71">
        <v>0.78</v>
      </c>
      <c r="AT71">
        <v>0.78</v>
      </c>
      <c r="AU71">
        <v>0.78</v>
      </c>
      <c r="AW71">
        <v>0.78</v>
      </c>
      <c r="AX71">
        <v>0.78</v>
      </c>
      <c r="AZ71">
        <v>0.78</v>
      </c>
      <c r="BA71">
        <v>0.78</v>
      </c>
      <c r="BC71">
        <v>0.78</v>
      </c>
      <c r="BD71">
        <v>0.78</v>
      </c>
      <c r="BF71">
        <v>0.78</v>
      </c>
      <c r="BG71">
        <v>0.78</v>
      </c>
      <c r="BI71">
        <v>0.78</v>
      </c>
      <c r="BJ71">
        <v>0.78</v>
      </c>
      <c r="BL71">
        <v>0.78</v>
      </c>
      <c r="BM71">
        <v>0.78</v>
      </c>
      <c r="BO71">
        <v>0.76500000000000001</v>
      </c>
      <c r="BP71">
        <v>0.76500000000000001</v>
      </c>
      <c r="BR71">
        <v>0.72499999999999998</v>
      </c>
      <c r="BS71">
        <v>0.72499999999999998</v>
      </c>
      <c r="BU71">
        <v>0.76500000000000001</v>
      </c>
      <c r="BV71">
        <v>0.76500000000000001</v>
      </c>
      <c r="BX71">
        <v>0.76500000000000001</v>
      </c>
      <c r="BY71">
        <v>0.76500000000000001</v>
      </c>
      <c r="CA71">
        <v>1.32</v>
      </c>
      <c r="CB71">
        <v>1.32</v>
      </c>
      <c r="CD71">
        <v>1.06</v>
      </c>
      <c r="CE71">
        <v>1.06</v>
      </c>
      <c r="CG71">
        <v>0.76500000000000001</v>
      </c>
      <c r="CH71">
        <v>0.76500000000000001</v>
      </c>
      <c r="CJ71">
        <v>0.76500000000000001</v>
      </c>
      <c r="CK71">
        <v>0.76500000000000001</v>
      </c>
      <c r="CM71">
        <v>1.06</v>
      </c>
      <c r="CN71">
        <v>1.06</v>
      </c>
      <c r="CP71">
        <v>1.06</v>
      </c>
      <c r="CQ71">
        <v>1.06</v>
      </c>
      <c r="CS71">
        <v>0.76500000000000001</v>
      </c>
      <c r="CT71">
        <v>0.76500000000000001</v>
      </c>
      <c r="CV71">
        <v>0.7</v>
      </c>
      <c r="CW71">
        <v>1.17</v>
      </c>
      <c r="CX71">
        <v>5.0000000000000001E-3</v>
      </c>
      <c r="CY71">
        <v>0.76500000000000001</v>
      </c>
      <c r="CZ71">
        <v>0.76500000000000001</v>
      </c>
      <c r="DB71">
        <v>1.06</v>
      </c>
      <c r="DC71">
        <v>1.06</v>
      </c>
      <c r="DE71">
        <v>0.70499999999999996</v>
      </c>
      <c r="DF71">
        <v>0.70499999999999996</v>
      </c>
      <c r="DH71" t="s">
        <v>80</v>
      </c>
      <c r="DI71">
        <v>0.9</v>
      </c>
      <c r="DJ71">
        <v>1.06</v>
      </c>
      <c r="DM71">
        <v>0</v>
      </c>
      <c r="DN71">
        <v>0</v>
      </c>
      <c r="DO71">
        <v>0</v>
      </c>
      <c r="DQ71" t="s">
        <v>273</v>
      </c>
    </row>
    <row r="72" spans="1:121" x14ac:dyDescent="0.2">
      <c r="A72" t="s">
        <v>67</v>
      </c>
      <c r="E72" t="s">
        <v>368</v>
      </c>
      <c r="F72" t="s">
        <v>282</v>
      </c>
      <c r="G72" t="s">
        <v>335</v>
      </c>
      <c r="H72" t="s">
        <v>320</v>
      </c>
      <c r="I72" t="s">
        <v>321</v>
      </c>
      <c r="J72" t="s">
        <v>73</v>
      </c>
      <c r="K72" t="s">
        <v>326</v>
      </c>
      <c r="L72" t="s">
        <v>285</v>
      </c>
      <c r="M72" t="s">
        <v>73</v>
      </c>
      <c r="N72" t="s">
        <v>73</v>
      </c>
      <c r="O72" t="s">
        <v>73</v>
      </c>
      <c r="P72" t="str">
        <f t="shared" si="13"/>
        <v>HFL_N_VDD10LPDPRX_ELB2P7_LPDPRX_X_EVEN_ELB_X_X_X_</v>
      </c>
      <c r="V72" t="s">
        <v>323</v>
      </c>
      <c r="W72" t="s">
        <v>324</v>
      </c>
      <c r="AF72" t="s">
        <v>327</v>
      </c>
      <c r="AM72" t="s">
        <v>290</v>
      </c>
      <c r="AN72">
        <v>0.78</v>
      </c>
      <c r="AO72">
        <v>0.78</v>
      </c>
      <c r="AQ72">
        <v>0.78</v>
      </c>
      <c r="AR72">
        <v>0.78</v>
      </c>
      <c r="AT72">
        <v>0.78</v>
      </c>
      <c r="AU72">
        <v>0.78</v>
      </c>
      <c r="AW72">
        <v>0.78</v>
      </c>
      <c r="AX72">
        <v>0.78</v>
      </c>
      <c r="AZ72">
        <v>0.78</v>
      </c>
      <c r="BA72">
        <v>0.78</v>
      </c>
      <c r="BC72">
        <v>0.78</v>
      </c>
      <c r="BD72">
        <v>0.78</v>
      </c>
      <c r="BF72">
        <v>0.78</v>
      </c>
      <c r="BG72">
        <v>0.78</v>
      </c>
      <c r="BI72">
        <v>0.78</v>
      </c>
      <c r="BJ72">
        <v>0.78</v>
      </c>
      <c r="BL72">
        <v>0.78</v>
      </c>
      <c r="BM72">
        <v>0.78</v>
      </c>
      <c r="BO72">
        <v>0.76500000000000001</v>
      </c>
      <c r="BP72">
        <v>0.76500000000000001</v>
      </c>
      <c r="BR72">
        <v>0.72499999999999998</v>
      </c>
      <c r="BS72">
        <v>0.72499999999999998</v>
      </c>
      <c r="BU72">
        <v>0.76500000000000001</v>
      </c>
      <c r="BV72">
        <v>0.76500000000000001</v>
      </c>
      <c r="BX72">
        <v>0.76500000000000001</v>
      </c>
      <c r="BY72">
        <v>0.76500000000000001</v>
      </c>
      <c r="CA72">
        <v>1.32</v>
      </c>
      <c r="CB72">
        <v>1.32</v>
      </c>
      <c r="CD72">
        <v>1.06</v>
      </c>
      <c r="CE72">
        <v>1.06</v>
      </c>
      <c r="CG72">
        <v>0.76500000000000001</v>
      </c>
      <c r="CH72">
        <v>0.76500000000000001</v>
      </c>
      <c r="CJ72">
        <v>0.76500000000000001</v>
      </c>
      <c r="CK72">
        <v>0.76500000000000001</v>
      </c>
      <c r="CM72">
        <v>1.06</v>
      </c>
      <c r="CN72">
        <v>1.06</v>
      </c>
      <c r="CP72">
        <v>1.06</v>
      </c>
      <c r="CQ72">
        <v>1.06</v>
      </c>
      <c r="CS72">
        <v>0.76500000000000001</v>
      </c>
      <c r="CT72">
        <v>0.76500000000000001</v>
      </c>
      <c r="CV72">
        <v>0.7</v>
      </c>
      <c r="CW72">
        <v>1.17</v>
      </c>
      <c r="CX72">
        <v>5.0000000000000001E-3</v>
      </c>
      <c r="CY72">
        <v>0.76500000000000001</v>
      </c>
      <c r="CZ72">
        <v>0.76500000000000001</v>
      </c>
      <c r="DB72">
        <v>1.06</v>
      </c>
      <c r="DC72">
        <v>1.06</v>
      </c>
      <c r="DE72">
        <v>0.70499999999999996</v>
      </c>
      <c r="DF72">
        <v>0.70499999999999996</v>
      </c>
      <c r="DH72" t="s">
        <v>80</v>
      </c>
      <c r="DI72">
        <v>0.9</v>
      </c>
      <c r="DJ72">
        <v>1.06</v>
      </c>
      <c r="DM72">
        <v>0</v>
      </c>
      <c r="DN72">
        <v>0</v>
      </c>
      <c r="DO72">
        <v>0</v>
      </c>
      <c r="DQ72" t="s">
        <v>273</v>
      </c>
    </row>
    <row r="73" spans="1:121" x14ac:dyDescent="0.2">
      <c r="A73" t="s">
        <v>67</v>
      </c>
      <c r="E73" t="s">
        <v>368</v>
      </c>
      <c r="F73" t="s">
        <v>282</v>
      </c>
      <c r="G73" t="s">
        <v>335</v>
      </c>
      <c r="H73" t="s">
        <v>320</v>
      </c>
      <c r="I73" t="s">
        <v>321</v>
      </c>
      <c r="J73" t="s">
        <v>73</v>
      </c>
      <c r="K73" t="s">
        <v>328</v>
      </c>
      <c r="L73" t="s">
        <v>285</v>
      </c>
      <c r="M73" t="s">
        <v>73</v>
      </c>
      <c r="N73" t="s">
        <v>73</v>
      </c>
      <c r="O73" t="s">
        <v>73</v>
      </c>
      <c r="P73" t="str">
        <f t="shared" si="13"/>
        <v>HFL_N_VDD10LPDPRX_ELB2P7_LPDPRX_X_L5L6_ELB_X_X_X_</v>
      </c>
      <c r="V73" t="s">
        <v>323</v>
      </c>
      <c r="W73" t="s">
        <v>324</v>
      </c>
      <c r="AF73" t="s">
        <v>329</v>
      </c>
      <c r="AM73" t="s">
        <v>290</v>
      </c>
      <c r="AN73">
        <v>0.78</v>
      </c>
      <c r="AO73">
        <v>0.78</v>
      </c>
      <c r="AQ73">
        <v>0.78</v>
      </c>
      <c r="AR73">
        <v>0.78</v>
      </c>
      <c r="AT73">
        <v>0.78</v>
      </c>
      <c r="AU73">
        <v>0.78</v>
      </c>
      <c r="AW73">
        <v>0.78</v>
      </c>
      <c r="AX73">
        <v>0.78</v>
      </c>
      <c r="AZ73">
        <v>0.78</v>
      </c>
      <c r="BA73">
        <v>0.78</v>
      </c>
      <c r="BC73">
        <v>0.78</v>
      </c>
      <c r="BD73">
        <v>0.78</v>
      </c>
      <c r="BF73">
        <v>0.78</v>
      </c>
      <c r="BG73">
        <v>0.78</v>
      </c>
      <c r="BI73">
        <v>0.78</v>
      </c>
      <c r="BJ73">
        <v>0.78</v>
      </c>
      <c r="BL73">
        <v>0.78</v>
      </c>
      <c r="BM73">
        <v>0.78</v>
      </c>
      <c r="BO73">
        <v>0.76500000000000001</v>
      </c>
      <c r="BP73">
        <v>0.76500000000000001</v>
      </c>
      <c r="BR73">
        <v>0.72499999999999998</v>
      </c>
      <c r="BS73">
        <v>0.72499999999999998</v>
      </c>
      <c r="BU73">
        <v>0.76500000000000001</v>
      </c>
      <c r="BV73">
        <v>0.76500000000000001</v>
      </c>
      <c r="BX73">
        <v>0.76500000000000001</v>
      </c>
      <c r="BY73">
        <v>0.76500000000000001</v>
      </c>
      <c r="CA73">
        <v>1.32</v>
      </c>
      <c r="CB73">
        <v>1.32</v>
      </c>
      <c r="CD73">
        <v>1.06</v>
      </c>
      <c r="CE73">
        <v>1.06</v>
      </c>
      <c r="CG73">
        <v>0.76500000000000001</v>
      </c>
      <c r="CH73">
        <v>0.76500000000000001</v>
      </c>
      <c r="CJ73">
        <v>0.76500000000000001</v>
      </c>
      <c r="CK73">
        <v>0.76500000000000001</v>
      </c>
      <c r="CM73">
        <v>1.06</v>
      </c>
      <c r="CN73">
        <v>1.06</v>
      </c>
      <c r="CP73">
        <v>1.06</v>
      </c>
      <c r="CQ73">
        <v>1.06</v>
      </c>
      <c r="CS73">
        <v>0.76500000000000001</v>
      </c>
      <c r="CT73">
        <v>0.76500000000000001</v>
      </c>
      <c r="CV73">
        <v>0.7</v>
      </c>
      <c r="CW73">
        <v>1.17</v>
      </c>
      <c r="CX73">
        <v>5.0000000000000001E-3</v>
      </c>
      <c r="CY73">
        <v>0.76500000000000001</v>
      </c>
      <c r="CZ73">
        <v>0.76500000000000001</v>
      </c>
      <c r="DB73">
        <v>1.06</v>
      </c>
      <c r="DC73">
        <v>1.06</v>
      </c>
      <c r="DE73">
        <v>0.70499999999999996</v>
      </c>
      <c r="DF73">
        <v>0.70499999999999996</v>
      </c>
      <c r="DH73" t="s">
        <v>80</v>
      </c>
      <c r="DI73">
        <v>0.9</v>
      </c>
      <c r="DJ73">
        <v>1.06</v>
      </c>
      <c r="DM73">
        <v>0</v>
      </c>
      <c r="DN73">
        <v>0</v>
      </c>
      <c r="DO73">
        <v>0</v>
      </c>
      <c r="DQ73" t="s">
        <v>273</v>
      </c>
    </row>
    <row r="74" spans="1:121" x14ac:dyDescent="0.2">
      <c r="A74" t="s">
        <v>67</v>
      </c>
      <c r="E74" t="s">
        <v>368</v>
      </c>
      <c r="F74" t="s">
        <v>282</v>
      </c>
      <c r="G74" t="s">
        <v>335</v>
      </c>
      <c r="H74" t="s">
        <v>330</v>
      </c>
      <c r="I74" t="s">
        <v>321</v>
      </c>
      <c r="J74" t="s">
        <v>73</v>
      </c>
      <c r="K74" t="s">
        <v>322</v>
      </c>
      <c r="L74" t="s">
        <v>285</v>
      </c>
      <c r="M74" t="s">
        <v>73</v>
      </c>
      <c r="N74" t="s">
        <v>73</v>
      </c>
      <c r="O74" t="s">
        <v>73</v>
      </c>
      <c r="P74" t="str">
        <f t="shared" si="13"/>
        <v>HFL_N_VDD10LPDPRX_ELB14P0_LPDPRX_X_ODD_ELB_X_X_X_</v>
      </c>
      <c r="V74" t="s">
        <v>323</v>
      </c>
      <c r="W74" t="s">
        <v>331</v>
      </c>
      <c r="AF74" t="s">
        <v>332</v>
      </c>
      <c r="AM74" t="s">
        <v>290</v>
      </c>
      <c r="AN74">
        <v>0.78</v>
      </c>
      <c r="AO74">
        <v>0.78</v>
      </c>
      <c r="AQ74">
        <v>0.78</v>
      </c>
      <c r="AR74">
        <v>0.78</v>
      </c>
      <c r="AT74">
        <v>0.78</v>
      </c>
      <c r="AU74">
        <v>0.78</v>
      </c>
      <c r="AW74">
        <v>0.78</v>
      </c>
      <c r="AX74">
        <v>0.78</v>
      </c>
      <c r="AZ74">
        <v>0.78</v>
      </c>
      <c r="BA74">
        <v>0.78</v>
      </c>
      <c r="BC74">
        <v>0.78</v>
      </c>
      <c r="BD74">
        <v>0.78</v>
      </c>
      <c r="BF74">
        <v>0.78</v>
      </c>
      <c r="BG74">
        <v>0.78</v>
      </c>
      <c r="BI74">
        <v>0.78</v>
      </c>
      <c r="BJ74">
        <v>0.78</v>
      </c>
      <c r="BL74">
        <v>0.78</v>
      </c>
      <c r="BM74">
        <v>0.78</v>
      </c>
      <c r="BO74">
        <v>0.76500000000000001</v>
      </c>
      <c r="BP74">
        <v>0.76500000000000001</v>
      </c>
      <c r="BR74">
        <v>0.72499999999999998</v>
      </c>
      <c r="BS74">
        <v>0.72499999999999998</v>
      </c>
      <c r="BU74">
        <v>0.76500000000000001</v>
      </c>
      <c r="BV74">
        <v>0.76500000000000001</v>
      </c>
      <c r="BX74">
        <v>0.76500000000000001</v>
      </c>
      <c r="BY74">
        <v>0.76500000000000001</v>
      </c>
      <c r="CA74">
        <v>1.32</v>
      </c>
      <c r="CB74">
        <v>1.32</v>
      </c>
      <c r="CD74">
        <v>1.06</v>
      </c>
      <c r="CE74">
        <v>1.06</v>
      </c>
      <c r="CG74">
        <v>0.76500000000000001</v>
      </c>
      <c r="CH74">
        <v>0.76500000000000001</v>
      </c>
      <c r="CJ74">
        <v>0.76500000000000001</v>
      </c>
      <c r="CK74">
        <v>0.76500000000000001</v>
      </c>
      <c r="CM74">
        <v>1.06</v>
      </c>
      <c r="CN74">
        <v>1.06</v>
      </c>
      <c r="CP74">
        <v>1.06</v>
      </c>
      <c r="CQ74">
        <v>1.06</v>
      </c>
      <c r="CS74">
        <v>0.76500000000000001</v>
      </c>
      <c r="CT74">
        <v>0.76500000000000001</v>
      </c>
      <c r="CV74">
        <v>0.7</v>
      </c>
      <c r="CW74">
        <v>1.17</v>
      </c>
      <c r="CX74">
        <v>5.0000000000000001E-3</v>
      </c>
      <c r="CY74">
        <v>0.76500000000000001</v>
      </c>
      <c r="CZ74">
        <v>0.76500000000000001</v>
      </c>
      <c r="DB74">
        <v>1.06</v>
      </c>
      <c r="DC74">
        <v>1.06</v>
      </c>
      <c r="DE74">
        <v>0.70499999999999996</v>
      </c>
      <c r="DF74">
        <v>0.70499999999999996</v>
      </c>
      <c r="DH74" t="s">
        <v>80</v>
      </c>
      <c r="DI74">
        <v>0.9</v>
      </c>
      <c r="DJ74">
        <v>1.06</v>
      </c>
      <c r="DM74">
        <v>0</v>
      </c>
      <c r="DN74">
        <v>0</v>
      </c>
      <c r="DO74">
        <v>0</v>
      </c>
      <c r="DQ74" t="s">
        <v>273</v>
      </c>
    </row>
    <row r="75" spans="1:121" x14ac:dyDescent="0.2">
      <c r="A75" t="s">
        <v>67</v>
      </c>
      <c r="E75" t="s">
        <v>368</v>
      </c>
      <c r="F75" t="s">
        <v>282</v>
      </c>
      <c r="G75" t="s">
        <v>335</v>
      </c>
      <c r="H75" t="s">
        <v>330</v>
      </c>
      <c r="I75" t="s">
        <v>321</v>
      </c>
      <c r="J75" t="s">
        <v>73</v>
      </c>
      <c r="K75" t="s">
        <v>326</v>
      </c>
      <c r="L75" t="s">
        <v>285</v>
      </c>
      <c r="M75" t="s">
        <v>73</v>
      </c>
      <c r="N75" t="s">
        <v>73</v>
      </c>
      <c r="O75" t="s">
        <v>73</v>
      </c>
      <c r="P75" t="str">
        <f t="shared" si="13"/>
        <v>HFL_N_VDD10LPDPRX_ELB14P0_LPDPRX_X_EVEN_ELB_X_X_X_</v>
      </c>
      <c r="V75" t="s">
        <v>323</v>
      </c>
      <c r="W75" t="s">
        <v>331</v>
      </c>
      <c r="AF75" t="s">
        <v>333</v>
      </c>
      <c r="AM75" t="s">
        <v>290</v>
      </c>
      <c r="AN75">
        <v>0.78</v>
      </c>
      <c r="AO75">
        <v>0.78</v>
      </c>
      <c r="AQ75">
        <v>0.78</v>
      </c>
      <c r="AR75">
        <v>0.78</v>
      </c>
      <c r="AT75">
        <v>0.78</v>
      </c>
      <c r="AU75">
        <v>0.78</v>
      </c>
      <c r="AW75">
        <v>0.78</v>
      </c>
      <c r="AX75">
        <v>0.78</v>
      </c>
      <c r="AZ75">
        <v>0.78</v>
      </c>
      <c r="BA75">
        <v>0.78</v>
      </c>
      <c r="BC75">
        <v>0.78</v>
      </c>
      <c r="BD75">
        <v>0.78</v>
      </c>
      <c r="BF75">
        <v>0.78</v>
      </c>
      <c r="BG75">
        <v>0.78</v>
      </c>
      <c r="BI75">
        <v>0.78</v>
      </c>
      <c r="BJ75">
        <v>0.78</v>
      </c>
      <c r="BL75">
        <v>0.78</v>
      </c>
      <c r="BM75">
        <v>0.78</v>
      </c>
      <c r="BO75">
        <v>0.76500000000000001</v>
      </c>
      <c r="BP75">
        <v>0.76500000000000001</v>
      </c>
      <c r="BR75">
        <v>0.72499999999999998</v>
      </c>
      <c r="BS75">
        <v>0.72499999999999998</v>
      </c>
      <c r="BU75">
        <v>0.76500000000000001</v>
      </c>
      <c r="BV75">
        <v>0.76500000000000001</v>
      </c>
      <c r="BX75">
        <v>0.76500000000000001</v>
      </c>
      <c r="BY75">
        <v>0.76500000000000001</v>
      </c>
      <c r="CA75">
        <v>1.32</v>
      </c>
      <c r="CB75">
        <v>1.32</v>
      </c>
      <c r="CD75">
        <v>1.06</v>
      </c>
      <c r="CE75">
        <v>1.06</v>
      </c>
      <c r="CG75">
        <v>0.76500000000000001</v>
      </c>
      <c r="CH75">
        <v>0.76500000000000001</v>
      </c>
      <c r="CJ75">
        <v>0.76500000000000001</v>
      </c>
      <c r="CK75">
        <v>0.76500000000000001</v>
      </c>
      <c r="CM75">
        <v>1.06</v>
      </c>
      <c r="CN75">
        <v>1.06</v>
      </c>
      <c r="CP75">
        <v>1.06</v>
      </c>
      <c r="CQ75">
        <v>1.06</v>
      </c>
      <c r="CS75">
        <v>0.76500000000000001</v>
      </c>
      <c r="CT75">
        <v>0.76500000000000001</v>
      </c>
      <c r="CV75">
        <v>0.7</v>
      </c>
      <c r="CW75">
        <v>1.17</v>
      </c>
      <c r="CX75">
        <v>5.0000000000000001E-3</v>
      </c>
      <c r="CY75">
        <v>0.76500000000000001</v>
      </c>
      <c r="CZ75">
        <v>0.76500000000000001</v>
      </c>
      <c r="DB75">
        <v>1.06</v>
      </c>
      <c r="DC75">
        <v>1.06</v>
      </c>
      <c r="DE75">
        <v>0.70499999999999996</v>
      </c>
      <c r="DF75">
        <v>0.70499999999999996</v>
      </c>
      <c r="DH75" t="s">
        <v>80</v>
      </c>
      <c r="DI75">
        <v>0.9</v>
      </c>
      <c r="DJ75">
        <v>1.06</v>
      </c>
      <c r="DM75">
        <v>0</v>
      </c>
      <c r="DN75">
        <v>0</v>
      </c>
      <c r="DO75">
        <v>0</v>
      </c>
      <c r="DQ75" t="s">
        <v>273</v>
      </c>
    </row>
    <row r="76" spans="1:121" x14ac:dyDescent="0.2">
      <c r="A76" t="s">
        <v>67</v>
      </c>
      <c r="E76" t="s">
        <v>368</v>
      </c>
      <c r="F76" t="s">
        <v>282</v>
      </c>
      <c r="G76" t="s">
        <v>335</v>
      </c>
      <c r="H76" t="s">
        <v>330</v>
      </c>
      <c r="I76" t="s">
        <v>321</v>
      </c>
      <c r="J76" t="s">
        <v>73</v>
      </c>
      <c r="K76" t="s">
        <v>328</v>
      </c>
      <c r="L76" t="s">
        <v>285</v>
      </c>
      <c r="M76" t="s">
        <v>73</v>
      </c>
      <c r="N76" t="s">
        <v>73</v>
      </c>
      <c r="O76" t="s">
        <v>73</v>
      </c>
      <c r="P76" t="str">
        <f t="shared" si="13"/>
        <v>HFL_N_VDD10LPDPRX_ELB14P0_LPDPRX_X_L5L6_ELB_X_X_X_</v>
      </c>
      <c r="V76" t="s">
        <v>323</v>
      </c>
      <c r="W76" t="s">
        <v>331</v>
      </c>
      <c r="AF76" t="s">
        <v>334</v>
      </c>
      <c r="AM76" t="s">
        <v>290</v>
      </c>
      <c r="AN76">
        <v>0.78</v>
      </c>
      <c r="AO76">
        <v>0.78</v>
      </c>
      <c r="AQ76">
        <v>0.78</v>
      </c>
      <c r="AR76">
        <v>0.78</v>
      </c>
      <c r="AT76">
        <v>0.78</v>
      </c>
      <c r="AU76">
        <v>0.78</v>
      </c>
      <c r="AW76">
        <v>0.78</v>
      </c>
      <c r="AX76">
        <v>0.78</v>
      </c>
      <c r="AZ76">
        <v>0.78</v>
      </c>
      <c r="BA76">
        <v>0.78</v>
      </c>
      <c r="BC76">
        <v>0.78</v>
      </c>
      <c r="BD76">
        <v>0.78</v>
      </c>
      <c r="BF76">
        <v>0.78</v>
      </c>
      <c r="BG76">
        <v>0.78</v>
      </c>
      <c r="BI76">
        <v>0.78</v>
      </c>
      <c r="BJ76">
        <v>0.78</v>
      </c>
      <c r="BL76">
        <v>0.78</v>
      </c>
      <c r="BM76">
        <v>0.78</v>
      </c>
      <c r="BO76">
        <v>0.76500000000000001</v>
      </c>
      <c r="BP76">
        <v>0.76500000000000001</v>
      </c>
      <c r="BR76">
        <v>0.72499999999999998</v>
      </c>
      <c r="BS76">
        <v>0.72499999999999998</v>
      </c>
      <c r="BU76">
        <v>0.76500000000000001</v>
      </c>
      <c r="BV76">
        <v>0.76500000000000001</v>
      </c>
      <c r="BX76">
        <v>0.76500000000000001</v>
      </c>
      <c r="BY76">
        <v>0.76500000000000001</v>
      </c>
      <c r="CA76">
        <v>1.32</v>
      </c>
      <c r="CB76">
        <v>1.32</v>
      </c>
      <c r="CD76">
        <v>1.06</v>
      </c>
      <c r="CE76">
        <v>1.06</v>
      </c>
      <c r="CG76">
        <v>0.76500000000000001</v>
      </c>
      <c r="CH76">
        <v>0.76500000000000001</v>
      </c>
      <c r="CJ76">
        <v>0.76500000000000001</v>
      </c>
      <c r="CK76">
        <v>0.76500000000000001</v>
      </c>
      <c r="CM76">
        <v>1.06</v>
      </c>
      <c r="CN76">
        <v>1.06</v>
      </c>
      <c r="CP76">
        <v>1.06</v>
      </c>
      <c r="CQ76">
        <v>1.06</v>
      </c>
      <c r="CS76">
        <v>0.76500000000000001</v>
      </c>
      <c r="CT76">
        <v>0.76500000000000001</v>
      </c>
      <c r="CV76">
        <v>0.7</v>
      </c>
      <c r="CW76">
        <v>1.17</v>
      </c>
      <c r="CX76">
        <v>5.0000000000000001E-3</v>
      </c>
      <c r="CY76">
        <v>0.76500000000000001</v>
      </c>
      <c r="CZ76">
        <v>0.76500000000000001</v>
      </c>
      <c r="DB76">
        <v>1.06</v>
      </c>
      <c r="DC76">
        <v>1.06</v>
      </c>
      <c r="DE76">
        <v>0.70499999999999996</v>
      </c>
      <c r="DF76">
        <v>0.70499999999999996</v>
      </c>
      <c r="DH76" t="s">
        <v>80</v>
      </c>
      <c r="DI76">
        <v>0.9</v>
      </c>
      <c r="DJ76">
        <v>1.06</v>
      </c>
      <c r="DM76">
        <v>0</v>
      </c>
      <c r="DN76">
        <v>0</v>
      </c>
      <c r="DO76">
        <v>0</v>
      </c>
      <c r="DQ76" t="s">
        <v>273</v>
      </c>
    </row>
    <row r="77" spans="1:121" x14ac:dyDescent="0.2">
      <c r="A77" t="s">
        <v>67</v>
      </c>
      <c r="E77" t="s">
        <v>368</v>
      </c>
      <c r="F77" t="s">
        <v>282</v>
      </c>
      <c r="G77" t="s">
        <v>336</v>
      </c>
      <c r="H77" t="s">
        <v>338</v>
      </c>
      <c r="I77" t="s">
        <v>339</v>
      </c>
      <c r="J77" t="s">
        <v>73</v>
      </c>
      <c r="K77" t="s">
        <v>73</v>
      </c>
      <c r="L77" t="s">
        <v>73</v>
      </c>
      <c r="M77" t="s">
        <v>73</v>
      </c>
      <c r="N77" t="s">
        <v>73</v>
      </c>
      <c r="O77" t="s">
        <v>73</v>
      </c>
      <c r="P77" t="str">
        <f t="shared" si="13"/>
        <v>HFL_N_VDDFIXEDLPDPTX_PLB_LPDPTX_X_X_X_X_X_X_</v>
      </c>
      <c r="V77" t="s">
        <v>340</v>
      </c>
      <c r="W77" t="s">
        <v>341</v>
      </c>
      <c r="X77" t="s">
        <v>342</v>
      </c>
      <c r="AF77" t="s">
        <v>343</v>
      </c>
      <c r="AM77" t="s">
        <v>290</v>
      </c>
      <c r="AN77">
        <v>0.78</v>
      </c>
      <c r="AO77">
        <v>0.78</v>
      </c>
      <c r="AQ77">
        <v>0.78</v>
      </c>
      <c r="AR77">
        <v>0.78</v>
      </c>
      <c r="AT77">
        <v>0.78</v>
      </c>
      <c r="AU77">
        <v>0.78</v>
      </c>
      <c r="AW77">
        <v>0.78</v>
      </c>
      <c r="AX77">
        <v>0.78</v>
      </c>
      <c r="AZ77">
        <v>0.78</v>
      </c>
      <c r="BA77">
        <v>0.78</v>
      </c>
      <c r="BC77">
        <v>0.78</v>
      </c>
      <c r="BD77">
        <v>0.78</v>
      </c>
      <c r="BF77">
        <v>0.78</v>
      </c>
      <c r="BG77">
        <v>0.78</v>
      </c>
      <c r="BI77">
        <v>0.78</v>
      </c>
      <c r="BJ77">
        <v>0.78</v>
      </c>
      <c r="BL77">
        <v>0.78</v>
      </c>
      <c r="BM77">
        <v>0.78</v>
      </c>
      <c r="BO77">
        <v>0.76500000000000001</v>
      </c>
      <c r="BP77">
        <v>0.76500000000000001</v>
      </c>
      <c r="BR77">
        <v>0.72499999999999998</v>
      </c>
      <c r="BS77">
        <v>0.72499999999999998</v>
      </c>
      <c r="BU77">
        <v>0.76500000000000001</v>
      </c>
      <c r="BV77">
        <v>0.76500000000000001</v>
      </c>
      <c r="BX77">
        <v>0.76500000000000001</v>
      </c>
      <c r="BY77">
        <v>0.76500000000000001</v>
      </c>
      <c r="CA77">
        <v>1.32</v>
      </c>
      <c r="CB77">
        <v>1.32</v>
      </c>
      <c r="CD77">
        <v>1.06</v>
      </c>
      <c r="CE77">
        <v>1.06</v>
      </c>
      <c r="CG77">
        <v>0.76500000000000001</v>
      </c>
      <c r="CH77">
        <v>0.76500000000000001</v>
      </c>
      <c r="CJ77">
        <v>0.76500000000000001</v>
      </c>
      <c r="CK77">
        <v>0.76500000000000001</v>
      </c>
      <c r="CM77">
        <v>1.06</v>
      </c>
      <c r="CN77">
        <v>1.06</v>
      </c>
      <c r="CP77">
        <v>1.06</v>
      </c>
      <c r="CQ77">
        <v>1.06</v>
      </c>
      <c r="CS77">
        <v>0.76500000000000001</v>
      </c>
      <c r="CT77">
        <v>0.76500000000000001</v>
      </c>
      <c r="CV77">
        <v>1.06</v>
      </c>
      <c r="CW77">
        <v>1.06</v>
      </c>
      <c r="CY77">
        <v>0.55000000000000004</v>
      </c>
      <c r="CZ77">
        <v>0.85</v>
      </c>
      <c r="DA77">
        <v>5.0000000000000001E-3</v>
      </c>
      <c r="DB77">
        <v>1.06</v>
      </c>
      <c r="DC77">
        <v>1.06</v>
      </c>
      <c r="DE77">
        <v>0.70499999999999996</v>
      </c>
      <c r="DF77">
        <v>0.70499999999999996</v>
      </c>
      <c r="DH77" t="s">
        <v>80</v>
      </c>
      <c r="DI77">
        <v>0.65</v>
      </c>
      <c r="DJ77">
        <v>0.76500000000000001</v>
      </c>
      <c r="DM77">
        <v>0</v>
      </c>
      <c r="DN77">
        <v>0</v>
      </c>
      <c r="DO77">
        <v>0</v>
      </c>
      <c r="DQ77" t="s">
        <v>273</v>
      </c>
    </row>
    <row r="78" spans="1:121" x14ac:dyDescent="0.2">
      <c r="A78" t="s">
        <v>67</v>
      </c>
      <c r="E78" t="s">
        <v>368</v>
      </c>
      <c r="F78" t="s">
        <v>282</v>
      </c>
      <c r="G78" t="s">
        <v>337</v>
      </c>
      <c r="H78" t="s">
        <v>338</v>
      </c>
      <c r="I78" t="s">
        <v>339</v>
      </c>
      <c r="J78" t="s">
        <v>73</v>
      </c>
      <c r="K78" t="s">
        <v>73</v>
      </c>
      <c r="L78" t="s">
        <v>73</v>
      </c>
      <c r="M78" t="s">
        <v>73</v>
      </c>
      <c r="N78" t="s">
        <v>73</v>
      </c>
      <c r="O78" t="s">
        <v>73</v>
      </c>
      <c r="P78" t="str">
        <f t="shared" si="13"/>
        <v>HFL_N_VDD10LPDPTX_PLB_LPDPTX_X_X_X_X_X_X_</v>
      </c>
      <c r="V78" t="s">
        <v>340</v>
      </c>
      <c r="W78" t="s">
        <v>341</v>
      </c>
      <c r="X78" t="s">
        <v>342</v>
      </c>
      <c r="AF78" t="s">
        <v>343</v>
      </c>
      <c r="AM78" t="s">
        <v>290</v>
      </c>
      <c r="AN78">
        <v>0.78</v>
      </c>
      <c r="AO78">
        <v>0.78</v>
      </c>
      <c r="AQ78">
        <v>0.78</v>
      </c>
      <c r="AR78">
        <v>0.78</v>
      </c>
      <c r="AT78">
        <v>0.78</v>
      </c>
      <c r="AU78">
        <v>0.78</v>
      </c>
      <c r="AW78">
        <v>0.78</v>
      </c>
      <c r="AX78">
        <v>0.78</v>
      </c>
      <c r="AZ78">
        <v>0.78</v>
      </c>
      <c r="BA78">
        <v>0.78</v>
      </c>
      <c r="BC78">
        <v>0.78</v>
      </c>
      <c r="BD78">
        <v>0.78</v>
      </c>
      <c r="BF78">
        <v>0.78</v>
      </c>
      <c r="BG78">
        <v>0.78</v>
      </c>
      <c r="BI78">
        <v>0.78</v>
      </c>
      <c r="BJ78">
        <v>0.78</v>
      </c>
      <c r="BL78">
        <v>0.78</v>
      </c>
      <c r="BM78">
        <v>0.78</v>
      </c>
      <c r="BO78">
        <v>0.76500000000000001</v>
      </c>
      <c r="BP78">
        <v>0.76500000000000001</v>
      </c>
      <c r="BR78">
        <v>0.72499999999999998</v>
      </c>
      <c r="BS78">
        <v>0.72499999999999998</v>
      </c>
      <c r="BU78">
        <v>0.76500000000000001</v>
      </c>
      <c r="BV78">
        <v>0.76500000000000001</v>
      </c>
      <c r="BX78">
        <v>0.76500000000000001</v>
      </c>
      <c r="BY78">
        <v>0.76500000000000001</v>
      </c>
      <c r="CA78">
        <v>1.32</v>
      </c>
      <c r="CB78">
        <v>1.32</v>
      </c>
      <c r="CD78">
        <v>1.06</v>
      </c>
      <c r="CE78">
        <v>1.06</v>
      </c>
      <c r="CG78">
        <v>0.76500000000000001</v>
      </c>
      <c r="CH78">
        <v>0.76500000000000001</v>
      </c>
      <c r="CJ78">
        <v>0.76500000000000001</v>
      </c>
      <c r="CK78">
        <v>0.76500000000000001</v>
      </c>
      <c r="CM78">
        <v>1.06</v>
      </c>
      <c r="CN78">
        <v>1.06</v>
      </c>
      <c r="CP78">
        <v>1.06</v>
      </c>
      <c r="CQ78">
        <v>1.06</v>
      </c>
      <c r="CS78">
        <v>0.76500000000000001</v>
      </c>
      <c r="CT78">
        <v>0.76500000000000001</v>
      </c>
      <c r="CV78">
        <v>1.06</v>
      </c>
      <c r="CW78">
        <v>1.06</v>
      </c>
      <c r="CY78">
        <v>0.76500000000000001</v>
      </c>
      <c r="CZ78">
        <v>0.76500000000000001</v>
      </c>
      <c r="DB78">
        <v>0.65</v>
      </c>
      <c r="DC78">
        <v>1.17</v>
      </c>
      <c r="DD78">
        <v>5.0000000000000001E-3</v>
      </c>
      <c r="DE78">
        <v>0.70499999999999996</v>
      </c>
      <c r="DF78">
        <v>0.70499999999999996</v>
      </c>
      <c r="DH78" t="s">
        <v>80</v>
      </c>
      <c r="DI78">
        <v>0.9</v>
      </c>
      <c r="DJ78">
        <v>1.06</v>
      </c>
      <c r="DM78">
        <v>0</v>
      </c>
      <c r="DN78">
        <v>0</v>
      </c>
      <c r="DO78">
        <v>0</v>
      </c>
      <c r="DQ78" t="s">
        <v>273</v>
      </c>
    </row>
    <row r="79" spans="1:121" x14ac:dyDescent="0.2">
      <c r="A79" s="8" t="s">
        <v>67</v>
      </c>
      <c r="B79" s="8"/>
      <c r="C79" s="9"/>
      <c r="D79" s="9"/>
      <c r="E79" t="s">
        <v>433</v>
      </c>
      <c r="F79" t="s">
        <v>344</v>
      </c>
      <c r="G79" t="s">
        <v>11</v>
      </c>
      <c r="H79" t="s">
        <v>153</v>
      </c>
      <c r="I79" t="s">
        <v>345</v>
      </c>
      <c r="J79" t="s">
        <v>73</v>
      </c>
      <c r="K79" t="s">
        <v>346</v>
      </c>
      <c r="L79" t="s">
        <v>73</v>
      </c>
      <c r="M79" t="s">
        <v>73</v>
      </c>
      <c r="N79" t="s">
        <v>73</v>
      </c>
      <c r="O79" t="s">
        <v>73</v>
      </c>
      <c r="P79" t="str">
        <f t="shared" si="13"/>
        <v>HFLH_AMP_VDDDCSDDR_MDX001_INTS_X_CA_X_X_X_X_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t="s">
        <v>436</v>
      </c>
      <c r="AG79" s="9"/>
      <c r="AH79" s="9"/>
      <c r="AI79" s="9"/>
      <c r="AJ79" s="9"/>
      <c r="AK79" s="9"/>
      <c r="AL79" s="9"/>
      <c r="AM79" t="str">
        <f>"HardIP_X_X_MD"&amp;RIGHT(H79,3)&amp;" NV"</f>
        <v>HardIP_X_X_MD001 NV</v>
      </c>
      <c r="AN79">
        <v>0.78</v>
      </c>
      <c r="AO79">
        <v>0.78</v>
      </c>
      <c r="AQ79">
        <v>0.78</v>
      </c>
      <c r="AR79">
        <v>0.78</v>
      </c>
      <c r="AT79">
        <v>0.78</v>
      </c>
      <c r="AU79">
        <v>0.78</v>
      </c>
      <c r="AW79">
        <v>0.78</v>
      </c>
      <c r="AX79">
        <v>0.78</v>
      </c>
      <c r="AZ79">
        <v>0.78</v>
      </c>
      <c r="BA79">
        <v>0.78</v>
      </c>
      <c r="BC79">
        <v>0.78</v>
      </c>
      <c r="BD79">
        <v>0.78</v>
      </c>
      <c r="BF79">
        <v>0.78</v>
      </c>
      <c r="BG79">
        <v>0.78</v>
      </c>
      <c r="BI79">
        <v>0.78</v>
      </c>
      <c r="BJ79">
        <v>0.78</v>
      </c>
      <c r="BL79">
        <v>0.78</v>
      </c>
      <c r="BM79">
        <v>0.78</v>
      </c>
      <c r="BO79">
        <v>0.76500000000000001</v>
      </c>
      <c r="BP79">
        <v>0.76500000000000001</v>
      </c>
      <c r="BR79">
        <v>0.72499999999999998</v>
      </c>
      <c r="BS79">
        <v>0.72499999999999998</v>
      </c>
      <c r="BU79">
        <v>0.76500000000000001</v>
      </c>
      <c r="BV79">
        <v>0.76500000000000001</v>
      </c>
      <c r="BX79">
        <v>0.76500000000000001</v>
      </c>
      <c r="BY79">
        <v>0.76500000000000001</v>
      </c>
      <c r="CA79">
        <v>1.32</v>
      </c>
      <c r="CB79">
        <v>1.32</v>
      </c>
      <c r="CD79">
        <v>1.06</v>
      </c>
      <c r="CE79">
        <v>1.06</v>
      </c>
      <c r="CG79">
        <v>0.76500000000000001</v>
      </c>
      <c r="CH79">
        <v>0.76500000000000001</v>
      </c>
      <c r="CJ79">
        <v>0.76500000000000001</v>
      </c>
      <c r="CK79">
        <v>0.76500000000000001</v>
      </c>
      <c r="CM79">
        <v>1.06</v>
      </c>
      <c r="CN79">
        <v>1.06</v>
      </c>
      <c r="CP79">
        <v>1.06</v>
      </c>
      <c r="CQ79">
        <v>1.06</v>
      </c>
      <c r="CS79">
        <v>0.76500000000000001</v>
      </c>
      <c r="CT79">
        <v>0.76500000000000001</v>
      </c>
      <c r="CV79">
        <v>1.06</v>
      </c>
      <c r="CW79">
        <v>1.06</v>
      </c>
      <c r="CY79">
        <v>0.76500000000000001</v>
      </c>
      <c r="CZ79">
        <v>0.76500000000000001</v>
      </c>
      <c r="DB79">
        <v>1.06</v>
      </c>
      <c r="DC79">
        <v>1.06</v>
      </c>
      <c r="DE79">
        <v>1.1000000000000001</v>
      </c>
      <c r="DF79">
        <v>0.35</v>
      </c>
      <c r="DG79">
        <v>5.0000000000000001E-3</v>
      </c>
      <c r="DH79" t="s">
        <v>80</v>
      </c>
      <c r="DI79">
        <v>0.45</v>
      </c>
      <c r="DJ79">
        <v>0.78</v>
      </c>
      <c r="DM79">
        <v>0</v>
      </c>
      <c r="DN79">
        <v>0</v>
      </c>
      <c r="DO79">
        <v>0</v>
      </c>
      <c r="DQ79" t="s">
        <v>273</v>
      </c>
    </row>
    <row r="80" spans="1:121" x14ac:dyDescent="0.2">
      <c r="A80" s="8" t="s">
        <v>67</v>
      </c>
      <c r="B80" s="8"/>
      <c r="C80" s="9"/>
      <c r="D80" s="10"/>
      <c r="E80" t="s">
        <v>433</v>
      </c>
      <c r="F80" t="s">
        <v>344</v>
      </c>
      <c r="G80" t="s">
        <v>11</v>
      </c>
      <c r="H80" t="s">
        <v>347</v>
      </c>
      <c r="I80" t="s">
        <v>345</v>
      </c>
      <c r="J80" t="s">
        <v>73</v>
      </c>
      <c r="K80" t="s">
        <v>346</v>
      </c>
      <c r="L80" t="s">
        <v>73</v>
      </c>
      <c r="M80" t="s">
        <v>73</v>
      </c>
      <c r="N80" t="s">
        <v>73</v>
      </c>
      <c r="O80" t="s">
        <v>73</v>
      </c>
      <c r="P80" t="str">
        <f t="shared" si="13"/>
        <v>HFLH_AMP_VDDDCSDDR_MDX005_INTS_X_CA_X_X_X_X_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t="s">
        <v>437</v>
      </c>
      <c r="AG80" s="9"/>
      <c r="AH80" s="9"/>
      <c r="AI80" s="9"/>
      <c r="AJ80" s="9"/>
      <c r="AK80" s="9"/>
      <c r="AL80" s="9"/>
      <c r="AM80" t="str">
        <f t="shared" ref="AM80:AM90" si="14">"HardIP_X_X_MD"&amp;RIGHT(H80,3)&amp;" NV"</f>
        <v>HardIP_X_X_MD005 NV</v>
      </c>
      <c r="AN80">
        <v>0.78</v>
      </c>
      <c r="AO80">
        <v>0.78</v>
      </c>
      <c r="AQ80">
        <v>0.78</v>
      </c>
      <c r="AR80">
        <v>0.78</v>
      </c>
      <c r="AT80">
        <v>0.78</v>
      </c>
      <c r="AU80">
        <v>0.78</v>
      </c>
      <c r="AW80">
        <v>0.78</v>
      </c>
      <c r="AX80">
        <v>0.78</v>
      </c>
      <c r="AZ80">
        <v>0.78</v>
      </c>
      <c r="BA80">
        <v>0.78</v>
      </c>
      <c r="BC80">
        <v>0.78</v>
      </c>
      <c r="BD80">
        <v>0.78</v>
      </c>
      <c r="BF80">
        <v>0.78</v>
      </c>
      <c r="BG80">
        <v>0.78</v>
      </c>
      <c r="BI80">
        <v>0.78</v>
      </c>
      <c r="BJ80">
        <v>0.78</v>
      </c>
      <c r="BL80">
        <v>0.78</v>
      </c>
      <c r="BM80">
        <v>0.78</v>
      </c>
      <c r="BO80">
        <v>0.76500000000000001</v>
      </c>
      <c r="BP80">
        <v>0.76500000000000001</v>
      </c>
      <c r="BR80">
        <v>0.72499999999999998</v>
      </c>
      <c r="BS80">
        <v>0.72499999999999998</v>
      </c>
      <c r="BU80">
        <v>0.76500000000000001</v>
      </c>
      <c r="BV80">
        <v>0.76500000000000001</v>
      </c>
      <c r="BX80">
        <v>0.76500000000000001</v>
      </c>
      <c r="BY80">
        <v>0.76500000000000001</v>
      </c>
      <c r="CA80">
        <v>1.32</v>
      </c>
      <c r="CB80">
        <v>1.32</v>
      </c>
      <c r="CD80">
        <v>1.06</v>
      </c>
      <c r="CE80">
        <v>1.06</v>
      </c>
      <c r="CG80">
        <v>0.76500000000000001</v>
      </c>
      <c r="CH80">
        <v>0.76500000000000001</v>
      </c>
      <c r="CJ80">
        <v>0.76500000000000001</v>
      </c>
      <c r="CK80">
        <v>0.76500000000000001</v>
      </c>
      <c r="CM80">
        <v>1.06</v>
      </c>
      <c r="CN80">
        <v>1.06</v>
      </c>
      <c r="CP80">
        <v>1.06</v>
      </c>
      <c r="CQ80">
        <v>1.06</v>
      </c>
      <c r="CS80">
        <v>0.76500000000000001</v>
      </c>
      <c r="CT80">
        <v>0.76500000000000001</v>
      </c>
      <c r="CV80">
        <v>1.06</v>
      </c>
      <c r="CW80">
        <v>1.06</v>
      </c>
      <c r="CY80">
        <v>0.76500000000000001</v>
      </c>
      <c r="CZ80">
        <v>0.76500000000000001</v>
      </c>
      <c r="DB80">
        <v>1.06</v>
      </c>
      <c r="DC80">
        <v>1.06</v>
      </c>
      <c r="DE80">
        <v>1.1000000000000001</v>
      </c>
      <c r="DF80">
        <v>0.55000000000000004</v>
      </c>
      <c r="DG80">
        <v>5.0000000000000001E-3</v>
      </c>
      <c r="DH80" t="s">
        <v>80</v>
      </c>
      <c r="DI80">
        <v>0.6</v>
      </c>
      <c r="DJ80">
        <v>0.78</v>
      </c>
      <c r="DM80">
        <v>0</v>
      </c>
      <c r="DN80">
        <v>0</v>
      </c>
      <c r="DO80">
        <v>0</v>
      </c>
      <c r="DQ80" t="s">
        <v>273</v>
      </c>
    </row>
    <row r="81" spans="1:124" x14ac:dyDescent="0.2">
      <c r="A81" s="8" t="s">
        <v>67</v>
      </c>
      <c r="B81" s="8"/>
      <c r="C81" s="9"/>
      <c r="D81" s="10"/>
      <c r="E81" t="s">
        <v>433</v>
      </c>
      <c r="F81" t="s">
        <v>344</v>
      </c>
      <c r="G81" t="s">
        <v>11</v>
      </c>
      <c r="H81" t="s">
        <v>158</v>
      </c>
      <c r="I81" t="s">
        <v>345</v>
      </c>
      <c r="J81" t="s">
        <v>73</v>
      </c>
      <c r="K81" t="s">
        <v>346</v>
      </c>
      <c r="L81" t="s">
        <v>73</v>
      </c>
      <c r="M81" t="s">
        <v>73</v>
      </c>
      <c r="N81" t="s">
        <v>73</v>
      </c>
      <c r="O81" t="s">
        <v>73</v>
      </c>
      <c r="P81" t="str">
        <f t="shared" si="13"/>
        <v>HFLH_AMP_VDDDCSDDR_MDX009_INTS_X_CA_X_X_X_X_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t="s">
        <v>438</v>
      </c>
      <c r="AG81" s="9"/>
      <c r="AH81" s="9"/>
      <c r="AI81" s="9"/>
      <c r="AJ81" s="9"/>
      <c r="AK81" s="9"/>
      <c r="AL81" s="9"/>
      <c r="AM81" t="str">
        <f t="shared" si="14"/>
        <v>HardIP_X_X_MD009 NV</v>
      </c>
      <c r="AN81">
        <v>0.78</v>
      </c>
      <c r="AO81">
        <v>0.78</v>
      </c>
      <c r="AQ81">
        <v>0.78</v>
      </c>
      <c r="AR81">
        <v>0.78</v>
      </c>
      <c r="AT81">
        <v>0.78</v>
      </c>
      <c r="AU81">
        <v>0.78</v>
      </c>
      <c r="AW81">
        <v>0.78</v>
      </c>
      <c r="AX81">
        <v>0.78</v>
      </c>
      <c r="AZ81">
        <v>0.78</v>
      </c>
      <c r="BA81">
        <v>0.78</v>
      </c>
      <c r="BC81">
        <v>0.78</v>
      </c>
      <c r="BD81">
        <v>0.78</v>
      </c>
      <c r="BF81">
        <v>0.78</v>
      </c>
      <c r="BG81">
        <v>0.78</v>
      </c>
      <c r="BI81">
        <v>0.78</v>
      </c>
      <c r="BJ81">
        <v>0.78</v>
      </c>
      <c r="BL81">
        <v>0.78</v>
      </c>
      <c r="BM81">
        <v>0.78</v>
      </c>
      <c r="BO81">
        <v>0.76500000000000001</v>
      </c>
      <c r="BP81">
        <v>0.76500000000000001</v>
      </c>
      <c r="BR81">
        <v>0.72499999999999998</v>
      </c>
      <c r="BS81">
        <v>0.72499999999999998</v>
      </c>
      <c r="BU81">
        <v>0.76500000000000001</v>
      </c>
      <c r="BV81">
        <v>0.76500000000000001</v>
      </c>
      <c r="BX81">
        <v>0.76500000000000001</v>
      </c>
      <c r="BY81">
        <v>0.76500000000000001</v>
      </c>
      <c r="CA81">
        <v>1.32</v>
      </c>
      <c r="CB81">
        <v>1.32</v>
      </c>
      <c r="CD81">
        <v>1.06</v>
      </c>
      <c r="CE81">
        <v>1.06</v>
      </c>
      <c r="CG81">
        <v>0.76500000000000001</v>
      </c>
      <c r="CH81">
        <v>0.76500000000000001</v>
      </c>
      <c r="CJ81">
        <v>0.76500000000000001</v>
      </c>
      <c r="CK81">
        <v>0.76500000000000001</v>
      </c>
      <c r="CM81">
        <v>1.06</v>
      </c>
      <c r="CN81">
        <v>1.06</v>
      </c>
      <c r="CP81">
        <v>1.06</v>
      </c>
      <c r="CQ81">
        <v>1.06</v>
      </c>
      <c r="CS81">
        <v>0.76500000000000001</v>
      </c>
      <c r="CT81">
        <v>0.76500000000000001</v>
      </c>
      <c r="CV81">
        <v>1.06</v>
      </c>
      <c r="CW81">
        <v>1.06</v>
      </c>
      <c r="CY81">
        <v>0.76500000000000001</v>
      </c>
      <c r="CZ81">
        <v>0.76500000000000001</v>
      </c>
      <c r="DB81">
        <v>1.06</v>
      </c>
      <c r="DC81">
        <v>1.06</v>
      </c>
      <c r="DE81">
        <v>1.1000000000000001</v>
      </c>
      <c r="DF81">
        <v>0.75</v>
      </c>
      <c r="DG81">
        <v>5.0000000000000001E-3</v>
      </c>
      <c r="DH81" t="s">
        <v>80</v>
      </c>
      <c r="DI81">
        <v>0.65</v>
      </c>
      <c r="DJ81">
        <v>0.78</v>
      </c>
      <c r="DM81">
        <v>0</v>
      </c>
      <c r="DN81">
        <v>0</v>
      </c>
      <c r="DO81">
        <v>0</v>
      </c>
      <c r="DQ81" t="s">
        <v>273</v>
      </c>
    </row>
    <row r="82" spans="1:124" x14ac:dyDescent="0.2">
      <c r="A82" s="8" t="s">
        <v>67</v>
      </c>
      <c r="B82" s="8"/>
      <c r="C82" s="9"/>
      <c r="D82" s="10"/>
      <c r="E82" t="s">
        <v>433</v>
      </c>
      <c r="F82" t="s">
        <v>344</v>
      </c>
      <c r="G82" t="s">
        <v>11</v>
      </c>
      <c r="H82" t="s">
        <v>348</v>
      </c>
      <c r="I82" t="s">
        <v>345</v>
      </c>
      <c r="J82" t="s">
        <v>73</v>
      </c>
      <c r="K82" t="s">
        <v>346</v>
      </c>
      <c r="L82" t="s">
        <v>73</v>
      </c>
      <c r="M82" t="s">
        <v>73</v>
      </c>
      <c r="N82" t="s">
        <v>73</v>
      </c>
      <c r="O82" t="s">
        <v>73</v>
      </c>
      <c r="P82" t="str">
        <f t="shared" si="13"/>
        <v>HFLH_AMP_VDDDCSDDR_MDX00A_INTS_X_CA_X_X_X_X_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t="s">
        <v>439</v>
      </c>
      <c r="AG82" s="9"/>
      <c r="AH82" s="9"/>
      <c r="AI82" s="9"/>
      <c r="AJ82" s="9"/>
      <c r="AK82" s="9"/>
      <c r="AL82" s="9"/>
      <c r="AM82" t="str">
        <f t="shared" si="14"/>
        <v>HardIP_X_X_MD00A NV</v>
      </c>
      <c r="AN82">
        <v>0.78</v>
      </c>
      <c r="AO82">
        <v>0.78</v>
      </c>
      <c r="AQ82">
        <v>0.78</v>
      </c>
      <c r="AR82">
        <v>0.78</v>
      </c>
      <c r="AT82">
        <v>0.78</v>
      </c>
      <c r="AU82">
        <v>0.78</v>
      </c>
      <c r="AW82">
        <v>0.78</v>
      </c>
      <c r="AX82">
        <v>0.78</v>
      </c>
      <c r="AZ82">
        <v>0.78</v>
      </c>
      <c r="BA82">
        <v>0.78</v>
      </c>
      <c r="BC82">
        <v>0.78</v>
      </c>
      <c r="BD82">
        <v>0.78</v>
      </c>
      <c r="BF82">
        <v>0.78</v>
      </c>
      <c r="BG82">
        <v>0.78</v>
      </c>
      <c r="BI82">
        <v>0.78</v>
      </c>
      <c r="BJ82">
        <v>0.78</v>
      </c>
      <c r="BL82">
        <v>0.78</v>
      </c>
      <c r="BM82">
        <v>0.78</v>
      </c>
      <c r="BO82">
        <v>0.76500000000000001</v>
      </c>
      <c r="BP82">
        <v>0.76500000000000001</v>
      </c>
      <c r="BR82">
        <v>0.72499999999999998</v>
      </c>
      <c r="BS82">
        <v>0.72499999999999998</v>
      </c>
      <c r="BU82">
        <v>0.76500000000000001</v>
      </c>
      <c r="BV82">
        <v>0.76500000000000001</v>
      </c>
      <c r="BX82">
        <v>0.76500000000000001</v>
      </c>
      <c r="BY82">
        <v>0.76500000000000001</v>
      </c>
      <c r="CA82">
        <v>1.32</v>
      </c>
      <c r="CB82">
        <v>1.32</v>
      </c>
      <c r="CD82">
        <v>1.06</v>
      </c>
      <c r="CE82">
        <v>1.06</v>
      </c>
      <c r="CG82">
        <v>0.76500000000000001</v>
      </c>
      <c r="CH82">
        <v>0.76500000000000001</v>
      </c>
      <c r="CJ82">
        <v>0.76500000000000001</v>
      </c>
      <c r="CK82">
        <v>0.76500000000000001</v>
      </c>
      <c r="CM82">
        <v>1.06</v>
      </c>
      <c r="CN82">
        <v>1.06</v>
      </c>
      <c r="CP82">
        <v>1.06</v>
      </c>
      <c r="CQ82">
        <v>1.06</v>
      </c>
      <c r="CS82">
        <v>0.76500000000000001</v>
      </c>
      <c r="CT82">
        <v>0.76500000000000001</v>
      </c>
      <c r="CV82">
        <v>1.06</v>
      </c>
      <c r="CW82">
        <v>1.06</v>
      </c>
      <c r="CY82">
        <v>0.76500000000000001</v>
      </c>
      <c r="CZ82">
        <v>0.76500000000000001</v>
      </c>
      <c r="DB82">
        <v>1.06</v>
      </c>
      <c r="DC82">
        <v>1.06</v>
      </c>
      <c r="DE82">
        <v>1.1000000000000001</v>
      </c>
      <c r="DF82">
        <v>0.8</v>
      </c>
      <c r="DG82">
        <v>5.0000000000000001E-3</v>
      </c>
      <c r="DH82" t="s">
        <v>80</v>
      </c>
      <c r="DI82">
        <v>0.7</v>
      </c>
      <c r="DJ82">
        <v>0.78</v>
      </c>
      <c r="DM82">
        <v>0</v>
      </c>
      <c r="DN82">
        <v>0</v>
      </c>
      <c r="DO82">
        <v>0</v>
      </c>
      <c r="DQ82" t="s">
        <v>273</v>
      </c>
    </row>
    <row r="83" spans="1:124" x14ac:dyDescent="0.2">
      <c r="A83" s="8" t="s">
        <v>67</v>
      </c>
      <c r="B83" s="8"/>
      <c r="C83" s="9"/>
      <c r="D83" s="10"/>
      <c r="E83" t="s">
        <v>433</v>
      </c>
      <c r="F83" t="s">
        <v>344</v>
      </c>
      <c r="G83" t="s">
        <v>11</v>
      </c>
      <c r="H83" t="s">
        <v>153</v>
      </c>
      <c r="I83" t="s">
        <v>345</v>
      </c>
      <c r="J83" t="s">
        <v>73</v>
      </c>
      <c r="K83" t="s">
        <v>349</v>
      </c>
      <c r="L83" t="s">
        <v>73</v>
      </c>
      <c r="M83" t="s">
        <v>73</v>
      </c>
      <c r="N83" t="s">
        <v>73</v>
      </c>
      <c r="O83" t="s">
        <v>73</v>
      </c>
      <c r="P83" t="str">
        <f t="shared" si="13"/>
        <v>HFLH_AMP_VDDDCSDDR_MDX001_INTS_X_DQW_X_X_X_X_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t="s">
        <v>440</v>
      </c>
      <c r="AG83" s="9"/>
      <c r="AH83" s="9"/>
      <c r="AI83" s="9"/>
      <c r="AJ83" s="9"/>
      <c r="AK83" s="9"/>
      <c r="AL83" s="9"/>
      <c r="AM83" t="str">
        <f t="shared" si="14"/>
        <v>HardIP_X_X_MD001 NV</v>
      </c>
      <c r="AN83">
        <v>0.78</v>
      </c>
      <c r="AO83">
        <v>0.78</v>
      </c>
      <c r="AQ83">
        <v>0.78</v>
      </c>
      <c r="AR83">
        <v>0.78</v>
      </c>
      <c r="AT83">
        <v>0.78</v>
      </c>
      <c r="AU83">
        <v>0.78</v>
      </c>
      <c r="AW83">
        <v>0.78</v>
      </c>
      <c r="AX83">
        <v>0.78</v>
      </c>
      <c r="AZ83">
        <v>0.78</v>
      </c>
      <c r="BA83">
        <v>0.78</v>
      </c>
      <c r="BC83">
        <v>0.78</v>
      </c>
      <c r="BD83">
        <v>0.78</v>
      </c>
      <c r="BF83">
        <v>0.78</v>
      </c>
      <c r="BG83">
        <v>0.78</v>
      </c>
      <c r="BI83">
        <v>0.78</v>
      </c>
      <c r="BJ83">
        <v>0.78</v>
      </c>
      <c r="BL83">
        <v>0.78</v>
      </c>
      <c r="BM83">
        <v>0.78</v>
      </c>
      <c r="BO83">
        <v>0.76500000000000001</v>
      </c>
      <c r="BP83">
        <v>0.76500000000000001</v>
      </c>
      <c r="BR83">
        <v>0.72499999999999998</v>
      </c>
      <c r="BS83">
        <v>0.72499999999999998</v>
      </c>
      <c r="BU83">
        <v>0.76500000000000001</v>
      </c>
      <c r="BV83">
        <v>0.76500000000000001</v>
      </c>
      <c r="BX83">
        <v>0.76500000000000001</v>
      </c>
      <c r="BY83">
        <v>0.76500000000000001</v>
      </c>
      <c r="CA83">
        <v>1.32</v>
      </c>
      <c r="CB83">
        <v>1.32</v>
      </c>
      <c r="CD83">
        <v>1.06</v>
      </c>
      <c r="CE83">
        <v>1.06</v>
      </c>
      <c r="CG83">
        <v>0.76500000000000001</v>
      </c>
      <c r="CH83">
        <v>0.76500000000000001</v>
      </c>
      <c r="CJ83">
        <v>0.76500000000000001</v>
      </c>
      <c r="CK83">
        <v>0.76500000000000001</v>
      </c>
      <c r="CM83">
        <v>1.06</v>
      </c>
      <c r="CN83">
        <v>1.06</v>
      </c>
      <c r="CP83">
        <v>1.06</v>
      </c>
      <c r="CQ83">
        <v>1.06</v>
      </c>
      <c r="CS83">
        <v>0.76500000000000001</v>
      </c>
      <c r="CT83">
        <v>0.76500000000000001</v>
      </c>
      <c r="CV83">
        <v>1.06</v>
      </c>
      <c r="CW83">
        <v>1.06</v>
      </c>
      <c r="CY83">
        <v>0.76500000000000001</v>
      </c>
      <c r="CZ83">
        <v>0.76500000000000001</v>
      </c>
      <c r="DB83">
        <v>1.06</v>
      </c>
      <c r="DC83">
        <v>1.06</v>
      </c>
      <c r="DE83">
        <v>1.1000000000000001</v>
      </c>
      <c r="DF83">
        <v>0.35</v>
      </c>
      <c r="DG83">
        <v>5.0000000000000001E-3</v>
      </c>
      <c r="DH83" t="s">
        <v>80</v>
      </c>
      <c r="DI83">
        <v>0.45</v>
      </c>
      <c r="DJ83">
        <v>0.78</v>
      </c>
      <c r="DM83">
        <v>0</v>
      </c>
      <c r="DN83">
        <v>0</v>
      </c>
      <c r="DO83">
        <v>0</v>
      </c>
      <c r="DQ83" t="s">
        <v>273</v>
      </c>
    </row>
    <row r="84" spans="1:124" x14ac:dyDescent="0.2">
      <c r="A84" s="8" t="s">
        <v>67</v>
      </c>
      <c r="B84" s="8"/>
      <c r="C84" s="9"/>
      <c r="D84" s="10"/>
      <c r="E84" t="s">
        <v>433</v>
      </c>
      <c r="F84" t="s">
        <v>344</v>
      </c>
      <c r="G84" t="s">
        <v>11</v>
      </c>
      <c r="H84" t="s">
        <v>347</v>
      </c>
      <c r="I84" t="s">
        <v>345</v>
      </c>
      <c r="J84" t="s">
        <v>73</v>
      </c>
      <c r="K84" t="s">
        <v>349</v>
      </c>
      <c r="L84" t="s">
        <v>73</v>
      </c>
      <c r="M84" t="s">
        <v>73</v>
      </c>
      <c r="N84" t="s">
        <v>73</v>
      </c>
      <c r="O84" t="s">
        <v>73</v>
      </c>
      <c r="P84" t="str">
        <f t="shared" si="13"/>
        <v>HFLH_AMP_VDDDCSDDR_MDX005_INTS_X_DQW_X_X_X_X_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t="s">
        <v>441</v>
      </c>
      <c r="AG84" s="9"/>
      <c r="AH84" s="9"/>
      <c r="AI84" s="9"/>
      <c r="AJ84" s="9"/>
      <c r="AK84" s="9"/>
      <c r="AL84" s="9"/>
      <c r="AM84" t="str">
        <f t="shared" si="14"/>
        <v>HardIP_X_X_MD005 NV</v>
      </c>
      <c r="AN84">
        <v>0.78</v>
      </c>
      <c r="AO84">
        <v>0.78</v>
      </c>
      <c r="AQ84">
        <v>0.78</v>
      </c>
      <c r="AR84">
        <v>0.78</v>
      </c>
      <c r="AT84">
        <v>0.78</v>
      </c>
      <c r="AU84">
        <v>0.78</v>
      </c>
      <c r="AW84">
        <v>0.78</v>
      </c>
      <c r="AX84">
        <v>0.78</v>
      </c>
      <c r="AZ84">
        <v>0.78</v>
      </c>
      <c r="BA84">
        <v>0.78</v>
      </c>
      <c r="BC84">
        <v>0.78</v>
      </c>
      <c r="BD84">
        <v>0.78</v>
      </c>
      <c r="BF84">
        <v>0.78</v>
      </c>
      <c r="BG84">
        <v>0.78</v>
      </c>
      <c r="BI84">
        <v>0.78</v>
      </c>
      <c r="BJ84">
        <v>0.78</v>
      </c>
      <c r="BL84">
        <v>0.78</v>
      </c>
      <c r="BM84">
        <v>0.78</v>
      </c>
      <c r="BO84">
        <v>0.76500000000000001</v>
      </c>
      <c r="BP84">
        <v>0.76500000000000001</v>
      </c>
      <c r="BR84">
        <v>0.72499999999999998</v>
      </c>
      <c r="BS84">
        <v>0.72499999999999998</v>
      </c>
      <c r="BU84">
        <v>0.76500000000000001</v>
      </c>
      <c r="BV84">
        <v>0.76500000000000001</v>
      </c>
      <c r="BX84">
        <v>0.76500000000000001</v>
      </c>
      <c r="BY84">
        <v>0.76500000000000001</v>
      </c>
      <c r="CA84">
        <v>1.32</v>
      </c>
      <c r="CB84">
        <v>1.32</v>
      </c>
      <c r="CD84">
        <v>1.06</v>
      </c>
      <c r="CE84">
        <v>1.06</v>
      </c>
      <c r="CG84">
        <v>0.76500000000000001</v>
      </c>
      <c r="CH84">
        <v>0.76500000000000001</v>
      </c>
      <c r="CJ84">
        <v>0.76500000000000001</v>
      </c>
      <c r="CK84">
        <v>0.76500000000000001</v>
      </c>
      <c r="CM84">
        <v>1.06</v>
      </c>
      <c r="CN84">
        <v>1.06</v>
      </c>
      <c r="CP84">
        <v>1.06</v>
      </c>
      <c r="CQ84">
        <v>1.06</v>
      </c>
      <c r="CS84">
        <v>0.76500000000000001</v>
      </c>
      <c r="CT84">
        <v>0.76500000000000001</v>
      </c>
      <c r="CV84">
        <v>1.06</v>
      </c>
      <c r="CW84">
        <v>1.06</v>
      </c>
      <c r="CY84">
        <v>0.76500000000000001</v>
      </c>
      <c r="CZ84">
        <v>0.76500000000000001</v>
      </c>
      <c r="DB84">
        <v>1.06</v>
      </c>
      <c r="DC84">
        <v>1.06</v>
      </c>
      <c r="DE84">
        <v>1.1000000000000001</v>
      </c>
      <c r="DF84">
        <v>0.55000000000000004</v>
      </c>
      <c r="DG84">
        <v>5.0000000000000001E-3</v>
      </c>
      <c r="DH84" t="s">
        <v>80</v>
      </c>
      <c r="DI84">
        <v>0.6</v>
      </c>
      <c r="DJ84">
        <v>0.78</v>
      </c>
      <c r="DM84">
        <v>0</v>
      </c>
      <c r="DN84">
        <v>0</v>
      </c>
      <c r="DO84">
        <v>0</v>
      </c>
      <c r="DQ84" t="s">
        <v>273</v>
      </c>
    </row>
    <row r="85" spans="1:124" x14ac:dyDescent="0.2">
      <c r="A85" s="8" t="s">
        <v>67</v>
      </c>
      <c r="B85" s="8"/>
      <c r="C85" s="9"/>
      <c r="D85" s="10"/>
      <c r="E85" t="s">
        <v>433</v>
      </c>
      <c r="F85" t="s">
        <v>344</v>
      </c>
      <c r="G85" t="s">
        <v>11</v>
      </c>
      <c r="H85" t="s">
        <v>158</v>
      </c>
      <c r="I85" t="s">
        <v>345</v>
      </c>
      <c r="J85" t="s">
        <v>73</v>
      </c>
      <c r="K85" t="s">
        <v>349</v>
      </c>
      <c r="L85" t="s">
        <v>73</v>
      </c>
      <c r="M85" t="s">
        <v>73</v>
      </c>
      <c r="N85" t="s">
        <v>73</v>
      </c>
      <c r="O85" t="s">
        <v>73</v>
      </c>
      <c r="P85" t="str">
        <f t="shared" si="13"/>
        <v>HFLH_AMP_VDDDCSDDR_MDX009_INTS_X_DQW_X_X_X_X_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t="s">
        <v>442</v>
      </c>
      <c r="AG85" s="9"/>
      <c r="AH85" s="9"/>
      <c r="AI85" s="9"/>
      <c r="AJ85" s="9"/>
      <c r="AK85" s="9"/>
      <c r="AL85" s="9"/>
      <c r="AM85" t="str">
        <f t="shared" si="14"/>
        <v>HardIP_X_X_MD009 NV</v>
      </c>
      <c r="AN85">
        <v>0.78</v>
      </c>
      <c r="AO85">
        <v>0.78</v>
      </c>
      <c r="AQ85">
        <v>0.78</v>
      </c>
      <c r="AR85">
        <v>0.78</v>
      </c>
      <c r="AT85">
        <v>0.78</v>
      </c>
      <c r="AU85">
        <v>0.78</v>
      </c>
      <c r="AW85">
        <v>0.78</v>
      </c>
      <c r="AX85">
        <v>0.78</v>
      </c>
      <c r="AZ85">
        <v>0.78</v>
      </c>
      <c r="BA85">
        <v>0.78</v>
      </c>
      <c r="BC85">
        <v>0.78</v>
      </c>
      <c r="BD85">
        <v>0.78</v>
      </c>
      <c r="BF85">
        <v>0.78</v>
      </c>
      <c r="BG85">
        <v>0.78</v>
      </c>
      <c r="BI85">
        <v>0.78</v>
      </c>
      <c r="BJ85">
        <v>0.78</v>
      </c>
      <c r="BL85">
        <v>0.78</v>
      </c>
      <c r="BM85">
        <v>0.78</v>
      </c>
      <c r="BO85">
        <v>0.76500000000000001</v>
      </c>
      <c r="BP85">
        <v>0.76500000000000001</v>
      </c>
      <c r="BR85">
        <v>0.72499999999999998</v>
      </c>
      <c r="BS85">
        <v>0.72499999999999998</v>
      </c>
      <c r="BU85">
        <v>0.76500000000000001</v>
      </c>
      <c r="BV85">
        <v>0.76500000000000001</v>
      </c>
      <c r="BX85">
        <v>0.76500000000000001</v>
      </c>
      <c r="BY85">
        <v>0.76500000000000001</v>
      </c>
      <c r="CA85">
        <v>1.32</v>
      </c>
      <c r="CB85">
        <v>1.32</v>
      </c>
      <c r="CD85">
        <v>1.06</v>
      </c>
      <c r="CE85">
        <v>1.06</v>
      </c>
      <c r="CG85">
        <v>0.76500000000000001</v>
      </c>
      <c r="CH85">
        <v>0.76500000000000001</v>
      </c>
      <c r="CJ85">
        <v>0.76500000000000001</v>
      </c>
      <c r="CK85">
        <v>0.76500000000000001</v>
      </c>
      <c r="CM85">
        <v>1.06</v>
      </c>
      <c r="CN85">
        <v>1.06</v>
      </c>
      <c r="CP85">
        <v>1.06</v>
      </c>
      <c r="CQ85">
        <v>1.06</v>
      </c>
      <c r="CS85">
        <v>0.76500000000000001</v>
      </c>
      <c r="CT85">
        <v>0.76500000000000001</v>
      </c>
      <c r="CV85">
        <v>1.06</v>
      </c>
      <c r="CW85">
        <v>1.06</v>
      </c>
      <c r="CY85">
        <v>0.76500000000000001</v>
      </c>
      <c r="CZ85">
        <v>0.76500000000000001</v>
      </c>
      <c r="DB85">
        <v>1.06</v>
      </c>
      <c r="DC85">
        <v>1.06</v>
      </c>
      <c r="DE85">
        <v>1.1000000000000001</v>
      </c>
      <c r="DF85">
        <v>0.75</v>
      </c>
      <c r="DG85">
        <v>5.0000000000000001E-3</v>
      </c>
      <c r="DH85" t="s">
        <v>80</v>
      </c>
      <c r="DI85">
        <v>0.65</v>
      </c>
      <c r="DJ85">
        <v>0.78</v>
      </c>
      <c r="DM85">
        <v>0</v>
      </c>
      <c r="DN85">
        <v>0</v>
      </c>
      <c r="DO85">
        <v>0</v>
      </c>
      <c r="DQ85" t="s">
        <v>273</v>
      </c>
    </row>
    <row r="86" spans="1:124" x14ac:dyDescent="0.2">
      <c r="A86" s="8" t="s">
        <v>67</v>
      </c>
      <c r="B86" s="8"/>
      <c r="C86" s="9"/>
      <c r="D86" s="10"/>
      <c r="E86" t="s">
        <v>433</v>
      </c>
      <c r="F86" t="s">
        <v>344</v>
      </c>
      <c r="G86" t="s">
        <v>11</v>
      </c>
      <c r="H86" t="s">
        <v>348</v>
      </c>
      <c r="I86" t="s">
        <v>345</v>
      </c>
      <c r="J86" t="s">
        <v>73</v>
      </c>
      <c r="K86" t="s">
        <v>349</v>
      </c>
      <c r="L86" t="s">
        <v>73</v>
      </c>
      <c r="M86" t="s">
        <v>73</v>
      </c>
      <c r="N86" t="s">
        <v>73</v>
      </c>
      <c r="O86" t="s">
        <v>73</v>
      </c>
      <c r="P86" t="str">
        <f t="shared" si="13"/>
        <v>HFLH_AMP_VDDDCSDDR_MDX00A_INTS_X_DQW_X_X_X_X_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t="s">
        <v>443</v>
      </c>
      <c r="AG86" s="9"/>
      <c r="AH86" s="9"/>
      <c r="AI86" s="9"/>
      <c r="AJ86" s="9"/>
      <c r="AK86" s="9"/>
      <c r="AL86" s="9"/>
      <c r="AM86" t="str">
        <f t="shared" si="14"/>
        <v>HardIP_X_X_MD00A NV</v>
      </c>
      <c r="AN86">
        <v>0.78</v>
      </c>
      <c r="AO86">
        <v>0.78</v>
      </c>
      <c r="AQ86">
        <v>0.78</v>
      </c>
      <c r="AR86">
        <v>0.78</v>
      </c>
      <c r="AT86">
        <v>0.78</v>
      </c>
      <c r="AU86">
        <v>0.78</v>
      </c>
      <c r="AW86">
        <v>0.78</v>
      </c>
      <c r="AX86">
        <v>0.78</v>
      </c>
      <c r="AZ86">
        <v>0.78</v>
      </c>
      <c r="BA86">
        <v>0.78</v>
      </c>
      <c r="BC86">
        <v>0.78</v>
      </c>
      <c r="BD86">
        <v>0.78</v>
      </c>
      <c r="BF86">
        <v>0.78</v>
      </c>
      <c r="BG86">
        <v>0.78</v>
      </c>
      <c r="BI86">
        <v>0.78</v>
      </c>
      <c r="BJ86">
        <v>0.78</v>
      </c>
      <c r="BL86">
        <v>0.78</v>
      </c>
      <c r="BM86">
        <v>0.78</v>
      </c>
      <c r="BO86">
        <v>0.76500000000000001</v>
      </c>
      <c r="BP86">
        <v>0.76500000000000001</v>
      </c>
      <c r="BR86">
        <v>0.72499999999999998</v>
      </c>
      <c r="BS86">
        <v>0.72499999999999998</v>
      </c>
      <c r="BU86">
        <v>0.76500000000000001</v>
      </c>
      <c r="BV86">
        <v>0.76500000000000001</v>
      </c>
      <c r="BX86">
        <v>0.76500000000000001</v>
      </c>
      <c r="BY86">
        <v>0.76500000000000001</v>
      </c>
      <c r="CA86">
        <v>1.32</v>
      </c>
      <c r="CB86">
        <v>1.32</v>
      </c>
      <c r="CD86">
        <v>1.06</v>
      </c>
      <c r="CE86">
        <v>1.06</v>
      </c>
      <c r="CG86">
        <v>0.76500000000000001</v>
      </c>
      <c r="CH86">
        <v>0.76500000000000001</v>
      </c>
      <c r="CJ86">
        <v>0.76500000000000001</v>
      </c>
      <c r="CK86">
        <v>0.76500000000000001</v>
      </c>
      <c r="CM86">
        <v>1.06</v>
      </c>
      <c r="CN86">
        <v>1.06</v>
      </c>
      <c r="CP86">
        <v>1.06</v>
      </c>
      <c r="CQ86">
        <v>1.06</v>
      </c>
      <c r="CS86">
        <v>0.76500000000000001</v>
      </c>
      <c r="CT86">
        <v>0.76500000000000001</v>
      </c>
      <c r="CV86">
        <v>1.06</v>
      </c>
      <c r="CW86">
        <v>1.06</v>
      </c>
      <c r="CY86">
        <v>0.76500000000000001</v>
      </c>
      <c r="CZ86">
        <v>0.76500000000000001</v>
      </c>
      <c r="DB86">
        <v>1.06</v>
      </c>
      <c r="DC86">
        <v>1.06</v>
      </c>
      <c r="DE86">
        <v>1.1000000000000001</v>
      </c>
      <c r="DF86">
        <v>0.8</v>
      </c>
      <c r="DG86">
        <v>5.0000000000000001E-3</v>
      </c>
      <c r="DH86" t="s">
        <v>80</v>
      </c>
      <c r="DI86">
        <v>0.7</v>
      </c>
      <c r="DJ86">
        <v>0.78</v>
      </c>
      <c r="DM86">
        <v>0</v>
      </c>
      <c r="DN86">
        <v>0</v>
      </c>
      <c r="DO86">
        <v>0</v>
      </c>
      <c r="DQ86" t="s">
        <v>273</v>
      </c>
    </row>
    <row r="87" spans="1:124" x14ac:dyDescent="0.2">
      <c r="A87" s="8" t="s">
        <v>67</v>
      </c>
      <c r="B87" s="8"/>
      <c r="C87" s="9"/>
      <c r="D87" s="10"/>
      <c r="E87" t="s">
        <v>433</v>
      </c>
      <c r="F87" t="s">
        <v>344</v>
      </c>
      <c r="G87" t="s">
        <v>11</v>
      </c>
      <c r="H87" t="s">
        <v>153</v>
      </c>
      <c r="I87" t="s">
        <v>345</v>
      </c>
      <c r="J87" t="s">
        <v>73</v>
      </c>
      <c r="K87" t="s">
        <v>350</v>
      </c>
      <c r="L87" t="s">
        <v>73</v>
      </c>
      <c r="M87" t="s">
        <v>73</v>
      </c>
      <c r="N87" t="s">
        <v>73</v>
      </c>
      <c r="O87" t="s">
        <v>73</v>
      </c>
      <c r="P87" t="str">
        <f t="shared" si="13"/>
        <v>HFLH_AMP_VDDDCSDDR_MDX001_INTS_X_DQR_X_X_X_X_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t="s">
        <v>444</v>
      </c>
      <c r="AG87" s="9"/>
      <c r="AH87" s="9"/>
      <c r="AI87" s="9"/>
      <c r="AJ87" s="9"/>
      <c r="AK87" s="9"/>
      <c r="AL87" s="9"/>
      <c r="AM87" t="str">
        <f t="shared" si="14"/>
        <v>HardIP_X_X_MD001 NV</v>
      </c>
      <c r="AN87">
        <v>0.78</v>
      </c>
      <c r="AO87">
        <v>0.78</v>
      </c>
      <c r="AQ87">
        <v>0.78</v>
      </c>
      <c r="AR87">
        <v>0.78</v>
      </c>
      <c r="AT87">
        <v>0.78</v>
      </c>
      <c r="AU87">
        <v>0.78</v>
      </c>
      <c r="AW87">
        <v>0.78</v>
      </c>
      <c r="AX87">
        <v>0.78</v>
      </c>
      <c r="AZ87">
        <v>0.78</v>
      </c>
      <c r="BA87">
        <v>0.78</v>
      </c>
      <c r="BC87">
        <v>0.78</v>
      </c>
      <c r="BD87">
        <v>0.78</v>
      </c>
      <c r="BF87">
        <v>0.78</v>
      </c>
      <c r="BG87">
        <v>0.78</v>
      </c>
      <c r="BI87">
        <v>0.78</v>
      </c>
      <c r="BJ87">
        <v>0.78</v>
      </c>
      <c r="BL87">
        <v>0.78</v>
      </c>
      <c r="BM87">
        <v>0.78</v>
      </c>
      <c r="BO87">
        <v>0.76500000000000001</v>
      </c>
      <c r="BP87">
        <v>0.76500000000000001</v>
      </c>
      <c r="BR87">
        <v>0.72499999999999998</v>
      </c>
      <c r="BS87">
        <v>0.72499999999999998</v>
      </c>
      <c r="BU87">
        <v>0.76500000000000001</v>
      </c>
      <c r="BV87">
        <v>0.76500000000000001</v>
      </c>
      <c r="BX87">
        <v>0.76500000000000001</v>
      </c>
      <c r="BY87">
        <v>0.76500000000000001</v>
      </c>
      <c r="CA87">
        <v>1.32</v>
      </c>
      <c r="CB87">
        <v>1.32</v>
      </c>
      <c r="CD87">
        <v>1.06</v>
      </c>
      <c r="CE87">
        <v>1.06</v>
      </c>
      <c r="CG87">
        <v>0.76500000000000001</v>
      </c>
      <c r="CH87">
        <v>0.76500000000000001</v>
      </c>
      <c r="CJ87">
        <v>0.76500000000000001</v>
      </c>
      <c r="CK87">
        <v>0.76500000000000001</v>
      </c>
      <c r="CM87">
        <v>1.06</v>
      </c>
      <c r="CN87">
        <v>1.06</v>
      </c>
      <c r="CP87">
        <v>1.06</v>
      </c>
      <c r="CQ87">
        <v>1.06</v>
      </c>
      <c r="CS87">
        <v>0.76500000000000001</v>
      </c>
      <c r="CT87">
        <v>0.76500000000000001</v>
      </c>
      <c r="CV87">
        <v>1.06</v>
      </c>
      <c r="CW87">
        <v>1.06</v>
      </c>
      <c r="CY87">
        <v>0.76500000000000001</v>
      </c>
      <c r="CZ87">
        <v>0.76500000000000001</v>
      </c>
      <c r="DB87">
        <v>1.06</v>
      </c>
      <c r="DC87">
        <v>1.06</v>
      </c>
      <c r="DE87">
        <v>1.1000000000000001</v>
      </c>
      <c r="DF87">
        <v>0.35</v>
      </c>
      <c r="DG87">
        <v>5.0000000000000001E-3</v>
      </c>
      <c r="DH87" t="s">
        <v>80</v>
      </c>
      <c r="DI87">
        <v>0.45</v>
      </c>
      <c r="DJ87">
        <v>0.78</v>
      </c>
      <c r="DM87">
        <v>0</v>
      </c>
      <c r="DN87">
        <v>0</v>
      </c>
      <c r="DO87">
        <v>0</v>
      </c>
      <c r="DQ87" t="s">
        <v>273</v>
      </c>
    </row>
    <row r="88" spans="1:124" x14ac:dyDescent="0.2">
      <c r="A88" s="8" t="s">
        <v>67</v>
      </c>
      <c r="B88" s="8"/>
      <c r="C88" s="9"/>
      <c r="D88" s="10"/>
      <c r="E88" t="s">
        <v>433</v>
      </c>
      <c r="F88" t="s">
        <v>344</v>
      </c>
      <c r="G88" t="s">
        <v>11</v>
      </c>
      <c r="H88" t="s">
        <v>347</v>
      </c>
      <c r="I88" t="s">
        <v>345</v>
      </c>
      <c r="J88" t="s">
        <v>73</v>
      </c>
      <c r="K88" t="s">
        <v>350</v>
      </c>
      <c r="L88" t="s">
        <v>73</v>
      </c>
      <c r="M88" t="s">
        <v>73</v>
      </c>
      <c r="N88" t="s">
        <v>73</v>
      </c>
      <c r="O88" t="s">
        <v>73</v>
      </c>
      <c r="P88" t="str">
        <f t="shared" si="13"/>
        <v>HFLH_AMP_VDDDCSDDR_MDX005_INTS_X_DQR_X_X_X_X_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t="s">
        <v>445</v>
      </c>
      <c r="AG88" s="9"/>
      <c r="AH88" s="9"/>
      <c r="AI88" s="9"/>
      <c r="AJ88" s="9"/>
      <c r="AK88" s="9"/>
      <c r="AL88" s="9"/>
      <c r="AM88" t="str">
        <f t="shared" si="14"/>
        <v>HardIP_X_X_MD005 NV</v>
      </c>
      <c r="AN88">
        <v>0.78</v>
      </c>
      <c r="AO88">
        <v>0.78</v>
      </c>
      <c r="AQ88">
        <v>0.78</v>
      </c>
      <c r="AR88">
        <v>0.78</v>
      </c>
      <c r="AT88">
        <v>0.78</v>
      </c>
      <c r="AU88">
        <v>0.78</v>
      </c>
      <c r="AW88">
        <v>0.78</v>
      </c>
      <c r="AX88">
        <v>0.78</v>
      </c>
      <c r="AZ88">
        <v>0.78</v>
      </c>
      <c r="BA88">
        <v>0.78</v>
      </c>
      <c r="BC88">
        <v>0.78</v>
      </c>
      <c r="BD88">
        <v>0.78</v>
      </c>
      <c r="BF88">
        <v>0.78</v>
      </c>
      <c r="BG88">
        <v>0.78</v>
      </c>
      <c r="BI88">
        <v>0.78</v>
      </c>
      <c r="BJ88">
        <v>0.78</v>
      </c>
      <c r="BL88">
        <v>0.78</v>
      </c>
      <c r="BM88">
        <v>0.78</v>
      </c>
      <c r="BO88">
        <v>0.76500000000000001</v>
      </c>
      <c r="BP88">
        <v>0.76500000000000001</v>
      </c>
      <c r="BR88">
        <v>0.72499999999999998</v>
      </c>
      <c r="BS88">
        <v>0.72499999999999998</v>
      </c>
      <c r="BU88">
        <v>0.76500000000000001</v>
      </c>
      <c r="BV88">
        <v>0.76500000000000001</v>
      </c>
      <c r="BX88">
        <v>0.76500000000000001</v>
      </c>
      <c r="BY88">
        <v>0.76500000000000001</v>
      </c>
      <c r="CA88">
        <v>1.32</v>
      </c>
      <c r="CB88">
        <v>1.32</v>
      </c>
      <c r="CD88">
        <v>1.06</v>
      </c>
      <c r="CE88">
        <v>1.06</v>
      </c>
      <c r="CG88">
        <v>0.76500000000000001</v>
      </c>
      <c r="CH88">
        <v>0.76500000000000001</v>
      </c>
      <c r="CJ88">
        <v>0.76500000000000001</v>
      </c>
      <c r="CK88">
        <v>0.76500000000000001</v>
      </c>
      <c r="CM88">
        <v>1.06</v>
      </c>
      <c r="CN88">
        <v>1.06</v>
      </c>
      <c r="CP88">
        <v>1.06</v>
      </c>
      <c r="CQ88">
        <v>1.06</v>
      </c>
      <c r="CS88">
        <v>0.76500000000000001</v>
      </c>
      <c r="CT88">
        <v>0.76500000000000001</v>
      </c>
      <c r="CV88">
        <v>1.06</v>
      </c>
      <c r="CW88">
        <v>1.06</v>
      </c>
      <c r="CY88">
        <v>0.76500000000000001</v>
      </c>
      <c r="CZ88">
        <v>0.76500000000000001</v>
      </c>
      <c r="DB88">
        <v>1.06</v>
      </c>
      <c r="DC88">
        <v>1.06</v>
      </c>
      <c r="DE88">
        <v>1.1000000000000001</v>
      </c>
      <c r="DF88">
        <v>0.55000000000000004</v>
      </c>
      <c r="DG88">
        <v>5.0000000000000001E-3</v>
      </c>
      <c r="DH88" t="s">
        <v>80</v>
      </c>
      <c r="DI88">
        <v>0.6</v>
      </c>
      <c r="DJ88">
        <v>0.78</v>
      </c>
      <c r="DM88">
        <v>0</v>
      </c>
      <c r="DN88">
        <v>0</v>
      </c>
      <c r="DO88">
        <v>0</v>
      </c>
      <c r="DQ88" t="s">
        <v>273</v>
      </c>
    </row>
    <row r="89" spans="1:124" x14ac:dyDescent="0.2">
      <c r="A89" s="8" t="s">
        <v>67</v>
      </c>
      <c r="B89" s="8"/>
      <c r="C89" s="9"/>
      <c r="D89" s="10"/>
      <c r="E89" t="s">
        <v>433</v>
      </c>
      <c r="F89" t="s">
        <v>344</v>
      </c>
      <c r="G89" t="s">
        <v>11</v>
      </c>
      <c r="H89" t="s">
        <v>158</v>
      </c>
      <c r="I89" t="s">
        <v>345</v>
      </c>
      <c r="J89" t="s">
        <v>73</v>
      </c>
      <c r="K89" t="s">
        <v>350</v>
      </c>
      <c r="L89" t="s">
        <v>73</v>
      </c>
      <c r="M89" t="s">
        <v>73</v>
      </c>
      <c r="N89" t="s">
        <v>73</v>
      </c>
      <c r="O89" t="s">
        <v>73</v>
      </c>
      <c r="P89" t="str">
        <f t="shared" si="13"/>
        <v>HFLH_AMP_VDDDCSDDR_MDX009_INTS_X_DQR_X_X_X_X_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t="s">
        <v>446</v>
      </c>
      <c r="AG89" s="9"/>
      <c r="AH89" s="9"/>
      <c r="AI89" s="9"/>
      <c r="AJ89" s="9"/>
      <c r="AK89" s="9"/>
      <c r="AL89" s="9"/>
      <c r="AM89" t="str">
        <f t="shared" si="14"/>
        <v>HardIP_X_X_MD009 NV</v>
      </c>
      <c r="AN89">
        <v>0.78</v>
      </c>
      <c r="AO89">
        <v>0.78</v>
      </c>
      <c r="AQ89">
        <v>0.78</v>
      </c>
      <c r="AR89">
        <v>0.78</v>
      </c>
      <c r="AT89">
        <v>0.78</v>
      </c>
      <c r="AU89">
        <v>0.78</v>
      </c>
      <c r="AW89">
        <v>0.78</v>
      </c>
      <c r="AX89">
        <v>0.78</v>
      </c>
      <c r="AZ89">
        <v>0.78</v>
      </c>
      <c r="BA89">
        <v>0.78</v>
      </c>
      <c r="BC89">
        <v>0.78</v>
      </c>
      <c r="BD89">
        <v>0.78</v>
      </c>
      <c r="BF89">
        <v>0.78</v>
      </c>
      <c r="BG89">
        <v>0.78</v>
      </c>
      <c r="BI89">
        <v>0.78</v>
      </c>
      <c r="BJ89">
        <v>0.78</v>
      </c>
      <c r="BL89">
        <v>0.78</v>
      </c>
      <c r="BM89">
        <v>0.78</v>
      </c>
      <c r="BO89">
        <v>0.76500000000000001</v>
      </c>
      <c r="BP89">
        <v>0.76500000000000001</v>
      </c>
      <c r="BR89">
        <v>0.72499999999999998</v>
      </c>
      <c r="BS89">
        <v>0.72499999999999998</v>
      </c>
      <c r="BU89">
        <v>0.76500000000000001</v>
      </c>
      <c r="BV89">
        <v>0.76500000000000001</v>
      </c>
      <c r="BX89">
        <v>0.76500000000000001</v>
      </c>
      <c r="BY89">
        <v>0.76500000000000001</v>
      </c>
      <c r="CA89">
        <v>1.32</v>
      </c>
      <c r="CB89">
        <v>1.32</v>
      </c>
      <c r="CD89">
        <v>1.06</v>
      </c>
      <c r="CE89">
        <v>1.06</v>
      </c>
      <c r="CG89">
        <v>0.76500000000000001</v>
      </c>
      <c r="CH89">
        <v>0.76500000000000001</v>
      </c>
      <c r="CJ89">
        <v>0.76500000000000001</v>
      </c>
      <c r="CK89">
        <v>0.76500000000000001</v>
      </c>
      <c r="CM89">
        <v>1.06</v>
      </c>
      <c r="CN89">
        <v>1.06</v>
      </c>
      <c r="CP89">
        <v>1.06</v>
      </c>
      <c r="CQ89">
        <v>1.06</v>
      </c>
      <c r="CS89">
        <v>0.76500000000000001</v>
      </c>
      <c r="CT89">
        <v>0.76500000000000001</v>
      </c>
      <c r="CV89">
        <v>1.06</v>
      </c>
      <c r="CW89">
        <v>1.06</v>
      </c>
      <c r="CY89">
        <v>0.76500000000000001</v>
      </c>
      <c r="CZ89">
        <v>0.76500000000000001</v>
      </c>
      <c r="DB89">
        <v>1.06</v>
      </c>
      <c r="DC89">
        <v>1.06</v>
      </c>
      <c r="DE89">
        <v>1.1000000000000001</v>
      </c>
      <c r="DF89">
        <v>0.75</v>
      </c>
      <c r="DG89">
        <v>5.0000000000000001E-3</v>
      </c>
      <c r="DH89" t="s">
        <v>80</v>
      </c>
      <c r="DI89">
        <v>0.65</v>
      </c>
      <c r="DJ89">
        <v>0.78</v>
      </c>
      <c r="DM89">
        <v>0</v>
      </c>
      <c r="DN89">
        <v>0</v>
      </c>
      <c r="DO89">
        <v>0</v>
      </c>
      <c r="DQ89" t="s">
        <v>273</v>
      </c>
    </row>
    <row r="90" spans="1:124" x14ac:dyDescent="0.2">
      <c r="A90" s="8" t="s">
        <v>67</v>
      </c>
      <c r="B90" s="8"/>
      <c r="C90" s="9"/>
      <c r="D90" s="10"/>
      <c r="E90" t="s">
        <v>433</v>
      </c>
      <c r="F90" t="s">
        <v>344</v>
      </c>
      <c r="G90" t="s">
        <v>11</v>
      </c>
      <c r="H90" t="s">
        <v>348</v>
      </c>
      <c r="I90" t="s">
        <v>345</v>
      </c>
      <c r="J90" t="s">
        <v>73</v>
      </c>
      <c r="K90" t="s">
        <v>350</v>
      </c>
      <c r="L90" t="s">
        <v>73</v>
      </c>
      <c r="M90" t="s">
        <v>73</v>
      </c>
      <c r="N90" t="s">
        <v>73</v>
      </c>
      <c r="O90" t="s">
        <v>73</v>
      </c>
      <c r="P90" t="str">
        <f t="shared" si="13"/>
        <v>HFLH_AMP_VDDDCSDDR_MDX00A_INTS_X_DQR_X_X_X_X_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t="s">
        <v>447</v>
      </c>
      <c r="AG90" s="9"/>
      <c r="AH90" s="9"/>
      <c r="AI90" s="9"/>
      <c r="AJ90" s="9"/>
      <c r="AK90" s="9"/>
      <c r="AL90" s="9"/>
      <c r="AM90" t="str">
        <f t="shared" si="14"/>
        <v>HardIP_X_X_MD00A NV</v>
      </c>
      <c r="AN90">
        <v>0.78</v>
      </c>
      <c r="AO90">
        <v>0.78</v>
      </c>
      <c r="AQ90">
        <v>0.78</v>
      </c>
      <c r="AR90">
        <v>0.78</v>
      </c>
      <c r="AT90">
        <v>0.78</v>
      </c>
      <c r="AU90">
        <v>0.78</v>
      </c>
      <c r="AW90">
        <v>0.78</v>
      </c>
      <c r="AX90">
        <v>0.78</v>
      </c>
      <c r="AZ90">
        <v>0.78</v>
      </c>
      <c r="BA90">
        <v>0.78</v>
      </c>
      <c r="BC90">
        <v>0.78</v>
      </c>
      <c r="BD90">
        <v>0.78</v>
      </c>
      <c r="BF90">
        <v>0.78</v>
      </c>
      <c r="BG90">
        <v>0.78</v>
      </c>
      <c r="BI90">
        <v>0.78</v>
      </c>
      <c r="BJ90">
        <v>0.78</v>
      </c>
      <c r="BL90">
        <v>0.78</v>
      </c>
      <c r="BM90">
        <v>0.78</v>
      </c>
      <c r="BO90">
        <v>0.76500000000000001</v>
      </c>
      <c r="BP90">
        <v>0.76500000000000001</v>
      </c>
      <c r="BR90">
        <v>0.72499999999999998</v>
      </c>
      <c r="BS90">
        <v>0.72499999999999998</v>
      </c>
      <c r="BU90">
        <v>0.76500000000000001</v>
      </c>
      <c r="BV90">
        <v>0.76500000000000001</v>
      </c>
      <c r="BX90">
        <v>0.76500000000000001</v>
      </c>
      <c r="BY90">
        <v>0.76500000000000001</v>
      </c>
      <c r="CA90">
        <v>1.32</v>
      </c>
      <c r="CB90">
        <v>1.32</v>
      </c>
      <c r="CD90">
        <v>1.06</v>
      </c>
      <c r="CE90">
        <v>1.06</v>
      </c>
      <c r="CG90">
        <v>0.76500000000000001</v>
      </c>
      <c r="CH90">
        <v>0.76500000000000001</v>
      </c>
      <c r="CJ90">
        <v>0.76500000000000001</v>
      </c>
      <c r="CK90">
        <v>0.76500000000000001</v>
      </c>
      <c r="CM90">
        <v>1.06</v>
      </c>
      <c r="CN90">
        <v>1.06</v>
      </c>
      <c r="CP90">
        <v>1.06</v>
      </c>
      <c r="CQ90">
        <v>1.06</v>
      </c>
      <c r="CS90">
        <v>0.76500000000000001</v>
      </c>
      <c r="CT90">
        <v>0.76500000000000001</v>
      </c>
      <c r="CV90">
        <v>1.06</v>
      </c>
      <c r="CW90">
        <v>1.06</v>
      </c>
      <c r="CY90">
        <v>0.76500000000000001</v>
      </c>
      <c r="CZ90">
        <v>0.76500000000000001</v>
      </c>
      <c r="DB90">
        <v>1.06</v>
      </c>
      <c r="DC90">
        <v>1.06</v>
      </c>
      <c r="DE90">
        <v>1.1000000000000001</v>
      </c>
      <c r="DF90">
        <v>0.8</v>
      </c>
      <c r="DG90">
        <v>5.0000000000000001E-3</v>
      </c>
      <c r="DH90" t="s">
        <v>80</v>
      </c>
      <c r="DI90">
        <v>0.7</v>
      </c>
      <c r="DJ90">
        <v>0.78</v>
      </c>
      <c r="DM90">
        <v>0</v>
      </c>
      <c r="DN90">
        <v>0</v>
      </c>
      <c r="DO90">
        <v>0</v>
      </c>
      <c r="DQ90" t="s">
        <v>273</v>
      </c>
    </row>
    <row r="91" spans="1:124" x14ac:dyDescent="0.2">
      <c r="A91" t="s">
        <v>67</v>
      </c>
      <c r="E91" t="s">
        <v>84</v>
      </c>
      <c r="F91" t="s">
        <v>69</v>
      </c>
      <c r="G91" t="s">
        <v>124</v>
      </c>
      <c r="H91" t="s">
        <v>165</v>
      </c>
      <c r="I91" t="s">
        <v>175</v>
      </c>
      <c r="J91" t="s">
        <v>354</v>
      </c>
      <c r="K91" t="s">
        <v>176</v>
      </c>
      <c r="L91" t="s">
        <v>171</v>
      </c>
      <c r="M91" t="s">
        <v>73</v>
      </c>
      <c r="N91" t="s">
        <v>73</v>
      </c>
      <c r="O91" t="s">
        <v>96</v>
      </c>
      <c r="P91" t="str">
        <f t="shared" si="13"/>
        <v>DFTL_SOC_LOW_MLX001_SOCTDF_CLB0_PL10_SSC_X_X_SelsrmSSSS_</v>
      </c>
      <c r="S91">
        <v>0.79200000000000004</v>
      </c>
      <c r="T91">
        <v>0.72</v>
      </c>
      <c r="U91" t="s">
        <v>74</v>
      </c>
      <c r="V91" t="s">
        <v>172</v>
      </c>
      <c r="W91" t="s">
        <v>173</v>
      </c>
      <c r="X91" t="s">
        <v>174</v>
      </c>
      <c r="Y91" t="s">
        <v>491</v>
      </c>
      <c r="AF91" t="s">
        <v>492</v>
      </c>
      <c r="AM91" t="s">
        <v>166</v>
      </c>
      <c r="AN91">
        <v>0.73499999999999999</v>
      </c>
      <c r="AO91">
        <v>0.73499999999999999</v>
      </c>
      <c r="AQ91">
        <v>0.7</v>
      </c>
      <c r="AR91">
        <v>0.7</v>
      </c>
      <c r="AT91">
        <v>0.745</v>
      </c>
      <c r="AU91">
        <v>0.745</v>
      </c>
      <c r="AW91">
        <v>1.1200000000000001</v>
      </c>
      <c r="AX91">
        <v>1.1200000000000001</v>
      </c>
      <c r="AZ91">
        <v>0.70499999999999996</v>
      </c>
      <c r="BA91">
        <v>0.70499999999999996</v>
      </c>
      <c r="BC91">
        <v>0.76</v>
      </c>
      <c r="BD91">
        <v>0.76</v>
      </c>
      <c r="BF91">
        <v>0.73499999999999999</v>
      </c>
      <c r="BG91">
        <v>0.73499999999999999</v>
      </c>
      <c r="BI91">
        <v>0.77500000000000002</v>
      </c>
      <c r="BJ91">
        <v>0.77500000000000002</v>
      </c>
      <c r="BL91">
        <v>0.77500000000000002</v>
      </c>
      <c r="BM91">
        <v>0.77500000000000002</v>
      </c>
      <c r="BO91">
        <v>0.81</v>
      </c>
      <c r="BP91">
        <v>0.81</v>
      </c>
      <c r="BR91">
        <v>0.8</v>
      </c>
      <c r="BS91">
        <v>0.5</v>
      </c>
      <c r="BT91">
        <v>5.0000000000000001E-3</v>
      </c>
      <c r="BU91">
        <v>0.8</v>
      </c>
      <c r="BV91">
        <v>0.8</v>
      </c>
      <c r="BX91">
        <v>0.8</v>
      </c>
      <c r="BY91">
        <v>0.8</v>
      </c>
      <c r="CA91">
        <v>1.32</v>
      </c>
      <c r="CB91">
        <v>1.32</v>
      </c>
      <c r="CD91" s="11">
        <v>1.06</v>
      </c>
      <c r="CE91" s="11">
        <v>1.06</v>
      </c>
      <c r="CF91" s="11"/>
      <c r="CG91" s="11">
        <v>0.76500000000000001</v>
      </c>
      <c r="CH91" s="11">
        <v>0.76500000000000001</v>
      </c>
      <c r="CI91" s="11"/>
      <c r="CJ91" s="11">
        <v>0.76500000000000001</v>
      </c>
      <c r="CK91" s="11">
        <v>0.76500000000000001</v>
      </c>
      <c r="CL91" s="11"/>
      <c r="CM91" s="11">
        <v>1.06</v>
      </c>
      <c r="CN91" s="11">
        <v>1.06</v>
      </c>
      <c r="CO91" s="11"/>
      <c r="CP91" s="11">
        <v>1.06</v>
      </c>
      <c r="CQ91" s="11">
        <v>1.06</v>
      </c>
      <c r="CR91" s="11"/>
      <c r="CS91" s="11">
        <v>0.76500000000000001</v>
      </c>
      <c r="CT91" s="11">
        <v>0.76500000000000001</v>
      </c>
      <c r="CU91" s="11"/>
      <c r="CV91" s="11">
        <v>1.06</v>
      </c>
      <c r="CW91" s="11">
        <v>1.06</v>
      </c>
      <c r="CX91" s="11"/>
      <c r="CY91" s="11">
        <v>0.76500000000000001</v>
      </c>
      <c r="CZ91" s="11">
        <v>0.76500000000000001</v>
      </c>
      <c r="DA91" s="11"/>
      <c r="DB91" s="11">
        <v>1.06</v>
      </c>
      <c r="DC91" s="11">
        <v>1.06</v>
      </c>
      <c r="DD91" s="11"/>
      <c r="DE91" s="11">
        <v>0.70499999999999996</v>
      </c>
      <c r="DF91" s="11">
        <v>0.70499999999999996</v>
      </c>
      <c r="DH91" t="s">
        <v>80</v>
      </c>
      <c r="DI91">
        <v>0.79200000000000004</v>
      </c>
      <c r="DJ91">
        <v>0.72</v>
      </c>
      <c r="DM91">
        <v>0</v>
      </c>
      <c r="DN91">
        <v>0</v>
      </c>
      <c r="DO91">
        <v>0</v>
      </c>
      <c r="DQ91" t="s">
        <v>274</v>
      </c>
      <c r="DR91" t="s">
        <v>274</v>
      </c>
    </row>
    <row r="92" spans="1:124" x14ac:dyDescent="0.2">
      <c r="A92" t="s">
        <v>67</v>
      </c>
      <c r="E92" t="s">
        <v>84</v>
      </c>
      <c r="F92" t="s">
        <v>99</v>
      </c>
      <c r="G92" t="s">
        <v>106</v>
      </c>
      <c r="H92" t="s">
        <v>107</v>
      </c>
      <c r="I92" t="s">
        <v>116</v>
      </c>
      <c r="J92" t="s">
        <v>355</v>
      </c>
      <c r="K92" t="s">
        <v>71</v>
      </c>
      <c r="L92" t="s">
        <v>356</v>
      </c>
      <c r="M92" t="s">
        <v>357</v>
      </c>
      <c r="N92" t="s">
        <v>73</v>
      </c>
      <c r="O92" t="s">
        <v>96</v>
      </c>
      <c r="P92" t="str">
        <f t="shared" si="13"/>
        <v>DFTL_CPU_CPUSRAM_MPX00H_CPUBST_H0XD_PLLP_SP1_REPDAT_X_SelsrmSSSS_</v>
      </c>
      <c r="S92">
        <v>1.1850000000000001</v>
      </c>
      <c r="T92">
        <v>1.1138999999999999</v>
      </c>
      <c r="U92" t="s">
        <v>74</v>
      </c>
      <c r="V92" t="s">
        <v>104</v>
      </c>
      <c r="W92" t="s">
        <v>105</v>
      </c>
      <c r="X92" t="s">
        <v>108</v>
      </c>
      <c r="Y92" t="s">
        <v>358</v>
      </c>
      <c r="AF92" t="s">
        <v>359</v>
      </c>
      <c r="AG92" t="s">
        <v>358</v>
      </c>
      <c r="AM92" t="s">
        <v>166</v>
      </c>
      <c r="AN92">
        <v>1.2</v>
      </c>
      <c r="AO92">
        <v>1.2</v>
      </c>
      <c r="AQ92">
        <v>0.71499999999999997</v>
      </c>
      <c r="AR92">
        <v>0.71499999999999997</v>
      </c>
      <c r="AT92">
        <v>0.70499999999999996</v>
      </c>
      <c r="AU92">
        <v>0.70499999999999996</v>
      </c>
      <c r="AW92">
        <v>1.0349999999999999</v>
      </c>
      <c r="AX92">
        <v>1.0349999999999999</v>
      </c>
      <c r="AZ92">
        <v>0.71</v>
      </c>
      <c r="BA92">
        <v>0.71</v>
      </c>
      <c r="BC92">
        <v>0.75</v>
      </c>
      <c r="BD92">
        <v>0.75</v>
      </c>
      <c r="BF92">
        <v>1.3</v>
      </c>
      <c r="BG92">
        <v>0.68500000000000005</v>
      </c>
      <c r="BH92">
        <v>5.0000000000000001E-3</v>
      </c>
      <c r="BI92">
        <v>0.82</v>
      </c>
      <c r="BJ92">
        <v>0.82</v>
      </c>
      <c r="BL92">
        <v>0.82</v>
      </c>
      <c r="BM92">
        <v>0.82</v>
      </c>
      <c r="BO92">
        <v>0.84</v>
      </c>
      <c r="BP92">
        <v>0.84</v>
      </c>
      <c r="BR92">
        <v>0.8</v>
      </c>
      <c r="BS92">
        <v>0.8</v>
      </c>
      <c r="BU92">
        <v>0.88500000000000001</v>
      </c>
      <c r="BV92">
        <v>0.88500000000000001</v>
      </c>
      <c r="BX92">
        <v>0.8</v>
      </c>
      <c r="BY92">
        <v>0.8</v>
      </c>
      <c r="CA92">
        <v>1.2</v>
      </c>
      <c r="CB92">
        <v>1.2</v>
      </c>
      <c r="CD92" s="11">
        <v>1.06</v>
      </c>
      <c r="CE92" s="11">
        <v>1.06</v>
      </c>
      <c r="CF92" s="11"/>
      <c r="CG92" s="11">
        <v>0.76500000000000001</v>
      </c>
      <c r="CH92" s="11">
        <v>0.76500000000000001</v>
      </c>
      <c r="CI92" s="11"/>
      <c r="CJ92" s="11">
        <v>0.76500000000000001</v>
      </c>
      <c r="CK92" s="11">
        <v>0.76500000000000001</v>
      </c>
      <c r="CL92" s="11"/>
      <c r="CM92" s="11">
        <v>1.06</v>
      </c>
      <c r="CN92" s="11">
        <v>1.06</v>
      </c>
      <c r="CO92" s="11"/>
      <c r="CP92" s="11">
        <v>1.06</v>
      </c>
      <c r="CQ92" s="11">
        <v>1.06</v>
      </c>
      <c r="CR92" s="11"/>
      <c r="CS92" s="11">
        <v>0.76500000000000001</v>
      </c>
      <c r="CT92" s="11">
        <v>0.76500000000000001</v>
      </c>
      <c r="CU92" s="11"/>
      <c r="CV92" s="11">
        <v>1.06</v>
      </c>
      <c r="CW92" s="11">
        <v>1.06</v>
      </c>
      <c r="CX92" s="11"/>
      <c r="CY92" s="11">
        <v>0.76500000000000001</v>
      </c>
      <c r="CZ92" s="11">
        <v>0.76500000000000001</v>
      </c>
      <c r="DA92" s="11"/>
      <c r="DB92" s="11">
        <v>1.06</v>
      </c>
      <c r="DC92" s="11">
        <v>1.06</v>
      </c>
      <c r="DD92" s="11"/>
      <c r="DE92" s="11">
        <v>0.70499999999999996</v>
      </c>
      <c r="DF92" s="11">
        <v>0.70499999999999996</v>
      </c>
      <c r="DH92" t="s">
        <v>80</v>
      </c>
      <c r="DI92">
        <v>1.1140000000000001</v>
      </c>
      <c r="DJ92">
        <v>1.1850000000000001</v>
      </c>
      <c r="DM92">
        <v>0</v>
      </c>
      <c r="DN92">
        <v>0</v>
      </c>
      <c r="DO92">
        <v>0</v>
      </c>
      <c r="DP92" t="s">
        <v>258</v>
      </c>
      <c r="DQ92" t="s">
        <v>274</v>
      </c>
      <c r="DR92" t="s">
        <v>274</v>
      </c>
    </row>
    <row r="93" spans="1:124" x14ac:dyDescent="0.2">
      <c r="A93" t="s">
        <v>67</v>
      </c>
      <c r="E93" t="s">
        <v>84</v>
      </c>
      <c r="F93" t="s">
        <v>99</v>
      </c>
      <c r="G93" t="s">
        <v>106</v>
      </c>
      <c r="H93" t="s">
        <v>360</v>
      </c>
      <c r="I93" t="s">
        <v>116</v>
      </c>
      <c r="J93" t="s">
        <v>355</v>
      </c>
      <c r="K93" t="s">
        <v>71</v>
      </c>
      <c r="L93" t="s">
        <v>102</v>
      </c>
      <c r="M93" t="s">
        <v>357</v>
      </c>
      <c r="N93" t="s">
        <v>73</v>
      </c>
      <c r="O93" t="s">
        <v>96</v>
      </c>
      <c r="P93" t="str">
        <f t="shared" si="13"/>
        <v>DFTL_CPU_CPUSRAM_MPX00I_CPUBST_H0XD_PLLP_59N_REPDAT_X_SelsrmSSSS_</v>
      </c>
      <c r="S93">
        <v>1.2</v>
      </c>
      <c r="T93">
        <v>1.1279999999999999</v>
      </c>
      <c r="U93" t="s">
        <v>74</v>
      </c>
      <c r="V93" t="s">
        <v>104</v>
      </c>
      <c r="W93" t="s">
        <v>105</v>
      </c>
      <c r="X93" t="s">
        <v>361</v>
      </c>
      <c r="AF93" t="s">
        <v>407</v>
      </c>
      <c r="AM93" t="s">
        <v>166</v>
      </c>
      <c r="AN93">
        <v>1.25</v>
      </c>
      <c r="AO93">
        <v>1.25</v>
      </c>
      <c r="AQ93">
        <v>0.71499999999999997</v>
      </c>
      <c r="AR93">
        <v>0.71499999999999997</v>
      </c>
      <c r="AT93">
        <v>0.70499999999999996</v>
      </c>
      <c r="AU93">
        <v>0.70499999999999996</v>
      </c>
      <c r="AW93">
        <v>1.0349999999999999</v>
      </c>
      <c r="AX93">
        <v>1.0349999999999999</v>
      </c>
      <c r="AZ93">
        <v>0.71</v>
      </c>
      <c r="BA93">
        <v>0.71</v>
      </c>
      <c r="BC93">
        <v>0.75</v>
      </c>
      <c r="BD93">
        <v>0.75</v>
      </c>
      <c r="BF93">
        <v>1.3</v>
      </c>
      <c r="BG93">
        <v>0.7</v>
      </c>
      <c r="BH93">
        <v>0.01</v>
      </c>
      <c r="BI93">
        <v>0.82</v>
      </c>
      <c r="BJ93">
        <v>0.82</v>
      </c>
      <c r="BL93">
        <v>0.82</v>
      </c>
      <c r="BM93">
        <v>0.82</v>
      </c>
      <c r="BO93">
        <v>0.84</v>
      </c>
      <c r="BP93">
        <v>0.84</v>
      </c>
      <c r="BR93">
        <v>0.8</v>
      </c>
      <c r="BS93">
        <v>0.8</v>
      </c>
      <c r="BU93">
        <v>0.88500000000000001</v>
      </c>
      <c r="BV93">
        <v>0.88500000000000001</v>
      </c>
      <c r="BX93">
        <v>0.8</v>
      </c>
      <c r="BY93">
        <v>0.8</v>
      </c>
      <c r="CA93">
        <v>1.2</v>
      </c>
      <c r="CB93">
        <v>1.2</v>
      </c>
      <c r="CD93" s="11">
        <v>1.06</v>
      </c>
      <c r="CE93" s="11">
        <v>1.06</v>
      </c>
      <c r="CF93" s="11"/>
      <c r="CG93" s="11">
        <v>0.76500000000000001</v>
      </c>
      <c r="CH93" s="11">
        <v>0.76500000000000001</v>
      </c>
      <c r="CI93" s="11"/>
      <c r="CJ93" s="11">
        <v>0.76500000000000001</v>
      </c>
      <c r="CK93" s="11">
        <v>0.76500000000000001</v>
      </c>
      <c r="CL93" s="11"/>
      <c r="CM93" s="11">
        <v>1.06</v>
      </c>
      <c r="CN93" s="11">
        <v>1.06</v>
      </c>
      <c r="CO93" s="11"/>
      <c r="CP93" s="11">
        <v>1.06</v>
      </c>
      <c r="CQ93" s="11">
        <v>1.06</v>
      </c>
      <c r="CR93" s="11"/>
      <c r="CS93" s="11">
        <v>0.76500000000000001</v>
      </c>
      <c r="CT93" s="11">
        <v>0.76500000000000001</v>
      </c>
      <c r="CU93" s="11"/>
      <c r="CV93" s="11">
        <v>1.06</v>
      </c>
      <c r="CW93" s="11">
        <v>1.06</v>
      </c>
      <c r="CX93" s="11"/>
      <c r="CY93" s="11">
        <v>0.76500000000000001</v>
      </c>
      <c r="CZ93" s="11">
        <v>0.76500000000000001</v>
      </c>
      <c r="DA93" s="11"/>
      <c r="DB93" s="11">
        <v>1.06</v>
      </c>
      <c r="DC93" s="11">
        <v>1.06</v>
      </c>
      <c r="DD93" s="11"/>
      <c r="DE93" s="11">
        <v>0.70499999999999996</v>
      </c>
      <c r="DF93" s="11">
        <v>0.70499999999999996</v>
      </c>
      <c r="DH93" t="s">
        <v>80</v>
      </c>
      <c r="DI93">
        <v>1.1279999999999999</v>
      </c>
      <c r="DJ93">
        <v>1.2</v>
      </c>
      <c r="DM93">
        <v>0</v>
      </c>
      <c r="DN93">
        <v>0</v>
      </c>
      <c r="DO93">
        <v>0</v>
      </c>
      <c r="DP93" t="s">
        <v>258</v>
      </c>
      <c r="DQ93" t="s">
        <v>273</v>
      </c>
      <c r="DR93" t="s">
        <v>273</v>
      </c>
    </row>
    <row r="94" spans="1:124" hidden="1" x14ac:dyDescent="0.2">
      <c r="A94" t="s">
        <v>481</v>
      </c>
      <c r="D94" t="s">
        <v>488</v>
      </c>
      <c r="E94" t="s">
        <v>84</v>
      </c>
      <c r="F94" t="s">
        <v>69</v>
      </c>
      <c r="G94" t="s">
        <v>142</v>
      </c>
      <c r="H94" t="s">
        <v>362</v>
      </c>
      <c r="I94" t="s">
        <v>175</v>
      </c>
      <c r="J94" t="s">
        <v>181</v>
      </c>
      <c r="K94" t="s">
        <v>363</v>
      </c>
      <c r="L94" t="s">
        <v>171</v>
      </c>
      <c r="M94" t="s">
        <v>73</v>
      </c>
      <c r="N94" t="s">
        <v>73</v>
      </c>
      <c r="O94" t="s">
        <v>96</v>
      </c>
      <c r="P94" t="str">
        <f t="shared" si="13"/>
        <v>DFTL_SOC_DISP_MIX003_SOCTDF_CDSP_PL20_SSC_X_X_SelsrmSSSS_</v>
      </c>
      <c r="S94">
        <v>1</v>
      </c>
      <c r="T94">
        <v>0.94845999999999997</v>
      </c>
      <c r="U94" t="s">
        <v>74</v>
      </c>
      <c r="V94" t="s">
        <v>172</v>
      </c>
      <c r="W94" t="s">
        <v>173</v>
      </c>
      <c r="X94" t="s">
        <v>174</v>
      </c>
      <c r="Y94" t="s">
        <v>364</v>
      </c>
      <c r="AF94" t="s">
        <v>365</v>
      </c>
      <c r="AM94" t="s">
        <v>166</v>
      </c>
      <c r="AN94">
        <v>0.73499999999999999</v>
      </c>
      <c r="AO94">
        <v>0.73499999999999999</v>
      </c>
      <c r="AQ94">
        <v>0.7</v>
      </c>
      <c r="AR94">
        <v>0.7</v>
      </c>
      <c r="AT94">
        <v>0.745</v>
      </c>
      <c r="AU94">
        <v>0.745</v>
      </c>
      <c r="AW94">
        <v>1.1200000000000001</v>
      </c>
      <c r="AX94">
        <v>1.1200000000000001</v>
      </c>
      <c r="AZ94">
        <v>0.70499999999999996</v>
      </c>
      <c r="BA94">
        <v>0.70499999999999996</v>
      </c>
      <c r="BC94">
        <v>1.21</v>
      </c>
      <c r="BD94">
        <v>0.51</v>
      </c>
      <c r="BE94">
        <v>5.0000000000000001E-3</v>
      </c>
      <c r="BF94">
        <v>0.73499999999999999</v>
      </c>
      <c r="BG94">
        <v>0.73499999999999999</v>
      </c>
      <c r="BI94">
        <v>0.77500000000000002</v>
      </c>
      <c r="BJ94">
        <v>0.77500000000000002</v>
      </c>
      <c r="BL94">
        <v>0.77500000000000002</v>
      </c>
      <c r="BM94">
        <v>0.77500000000000002</v>
      </c>
      <c r="BO94">
        <v>0.81</v>
      </c>
      <c r="BP94">
        <v>0.81</v>
      </c>
      <c r="BR94">
        <v>0.72</v>
      </c>
      <c r="BS94">
        <v>0.72</v>
      </c>
      <c r="BU94">
        <v>0.8</v>
      </c>
      <c r="BV94">
        <v>0.8</v>
      </c>
      <c r="BX94">
        <v>0.8</v>
      </c>
      <c r="BY94">
        <v>0.8</v>
      </c>
      <c r="CA94">
        <v>1.32</v>
      </c>
      <c r="CB94">
        <v>1.32</v>
      </c>
      <c r="CD94" s="11">
        <v>1.06</v>
      </c>
      <c r="CE94" s="11">
        <v>1.06</v>
      </c>
      <c r="CF94" s="11"/>
      <c r="CG94" s="11">
        <v>0.76500000000000001</v>
      </c>
      <c r="CH94" s="11">
        <v>0.76500000000000001</v>
      </c>
      <c r="CI94" s="11"/>
      <c r="CJ94" s="11">
        <v>0.76500000000000001</v>
      </c>
      <c r="CK94" s="11">
        <v>0.76500000000000001</v>
      </c>
      <c r="CL94" s="11"/>
      <c r="CM94" s="11">
        <v>1.06</v>
      </c>
      <c r="CN94" s="11">
        <v>1.06</v>
      </c>
      <c r="CO94" s="11"/>
      <c r="CP94" s="11">
        <v>1.06</v>
      </c>
      <c r="CQ94" s="11">
        <v>1.06</v>
      </c>
      <c r="CR94" s="11"/>
      <c r="CS94" s="11">
        <v>0.76500000000000001</v>
      </c>
      <c r="CT94" s="11">
        <v>0.76500000000000001</v>
      </c>
      <c r="CU94" s="11"/>
      <c r="CV94" s="11">
        <v>1.06</v>
      </c>
      <c r="CW94" s="11">
        <v>1.06</v>
      </c>
      <c r="CX94" s="11"/>
      <c r="CY94" s="11">
        <v>0.76500000000000001</v>
      </c>
      <c r="CZ94" s="11">
        <v>0.76500000000000001</v>
      </c>
      <c r="DA94" s="11"/>
      <c r="DB94" s="11">
        <v>1.06</v>
      </c>
      <c r="DC94" s="11">
        <v>1.06</v>
      </c>
      <c r="DD94" s="11"/>
      <c r="DE94" s="11">
        <v>0.70499999999999996</v>
      </c>
      <c r="DF94" s="11">
        <v>0.70499999999999996</v>
      </c>
      <c r="DH94" t="s">
        <v>80</v>
      </c>
      <c r="DI94">
        <v>0.94799999999999995</v>
      </c>
      <c r="DJ94">
        <v>1</v>
      </c>
      <c r="DM94">
        <v>0</v>
      </c>
      <c r="DN94">
        <v>0</v>
      </c>
      <c r="DO94">
        <v>0</v>
      </c>
      <c r="DQ94" t="s">
        <v>273</v>
      </c>
      <c r="DR94" t="s">
        <v>273</v>
      </c>
      <c r="DS94" t="s">
        <v>273</v>
      </c>
      <c r="DT94" t="s">
        <v>273</v>
      </c>
    </row>
    <row r="95" spans="1:124" hidden="1" x14ac:dyDescent="0.2">
      <c r="A95" t="s">
        <v>481</v>
      </c>
      <c r="D95" t="s">
        <v>488</v>
      </c>
      <c r="E95" t="s">
        <v>84</v>
      </c>
      <c r="F95" t="s">
        <v>69</v>
      </c>
      <c r="G95" t="s">
        <v>142</v>
      </c>
      <c r="H95" t="s">
        <v>145</v>
      </c>
      <c r="I95" t="s">
        <v>175</v>
      </c>
      <c r="J95" t="s">
        <v>181</v>
      </c>
      <c r="K95" t="s">
        <v>363</v>
      </c>
      <c r="L95" t="s">
        <v>171</v>
      </c>
      <c r="M95" t="s">
        <v>73</v>
      </c>
      <c r="N95" t="s">
        <v>73</v>
      </c>
      <c r="O95" t="s">
        <v>96</v>
      </c>
      <c r="P95" t="str">
        <f t="shared" si="13"/>
        <v>DFTL_SOC_DISP_MIX004_SOCTDF_CDSP_PL20_SSC_X_X_SelsrmSSSS_</v>
      </c>
      <c r="S95">
        <v>1.1780999999999999</v>
      </c>
      <c r="T95">
        <v>1.07</v>
      </c>
      <c r="U95" t="s">
        <v>74</v>
      </c>
      <c r="V95" t="s">
        <v>172</v>
      </c>
      <c r="W95" t="s">
        <v>173</v>
      </c>
      <c r="X95" t="s">
        <v>174</v>
      </c>
      <c r="Y95" t="s">
        <v>183</v>
      </c>
      <c r="AF95" t="s">
        <v>365</v>
      </c>
      <c r="AM95" t="s">
        <v>166</v>
      </c>
      <c r="AN95">
        <v>0.73499999999999999</v>
      </c>
      <c r="AO95">
        <v>0.73499999999999999</v>
      </c>
      <c r="AQ95">
        <v>0.7</v>
      </c>
      <c r="AR95">
        <v>0.7</v>
      </c>
      <c r="AT95">
        <v>0.745</v>
      </c>
      <c r="AU95">
        <v>0.745</v>
      </c>
      <c r="AW95">
        <v>1.1200000000000001</v>
      </c>
      <c r="AX95">
        <v>1.1200000000000001</v>
      </c>
      <c r="AZ95">
        <v>0.70499999999999996</v>
      </c>
      <c r="BA95">
        <v>0.70499999999999996</v>
      </c>
      <c r="BC95">
        <v>1.3</v>
      </c>
      <c r="BD95">
        <v>0.56999999999999995</v>
      </c>
      <c r="BE95">
        <v>5.0000000000000001E-3</v>
      </c>
      <c r="BF95">
        <v>0.73499999999999999</v>
      </c>
      <c r="BG95">
        <v>0.73499999999999999</v>
      </c>
      <c r="BI95">
        <v>0.77500000000000002</v>
      </c>
      <c r="BJ95">
        <v>0.77500000000000002</v>
      </c>
      <c r="BL95">
        <v>0.77500000000000002</v>
      </c>
      <c r="BM95">
        <v>0.77500000000000002</v>
      </c>
      <c r="BO95">
        <v>0.81</v>
      </c>
      <c r="BP95">
        <v>0.81</v>
      </c>
      <c r="BR95">
        <v>0.72</v>
      </c>
      <c r="BS95">
        <v>0.72</v>
      </c>
      <c r="BU95">
        <v>0.8</v>
      </c>
      <c r="BV95">
        <v>0.8</v>
      </c>
      <c r="BX95">
        <v>0.8</v>
      </c>
      <c r="BY95">
        <v>0.8</v>
      </c>
      <c r="CA95">
        <v>1.32</v>
      </c>
      <c r="CB95">
        <v>1.32</v>
      </c>
      <c r="CD95" s="11">
        <v>1.06</v>
      </c>
      <c r="CE95" s="11">
        <v>1.06</v>
      </c>
      <c r="CF95" s="11"/>
      <c r="CG95" s="11">
        <v>0.76500000000000001</v>
      </c>
      <c r="CH95" s="11">
        <v>0.76500000000000001</v>
      </c>
      <c r="CI95" s="11"/>
      <c r="CJ95" s="11">
        <v>0.76500000000000001</v>
      </c>
      <c r="CK95" s="11">
        <v>0.76500000000000001</v>
      </c>
      <c r="CL95" s="11"/>
      <c r="CM95" s="11">
        <v>1.06</v>
      </c>
      <c r="CN95" s="11">
        <v>1.06</v>
      </c>
      <c r="CO95" s="11"/>
      <c r="CP95" s="11">
        <v>1.06</v>
      </c>
      <c r="CQ95" s="11">
        <v>1.06</v>
      </c>
      <c r="CR95" s="11"/>
      <c r="CS95" s="11">
        <v>0.76500000000000001</v>
      </c>
      <c r="CT95" s="11">
        <v>0.76500000000000001</v>
      </c>
      <c r="CU95" s="11"/>
      <c r="CV95" s="11">
        <v>1.06</v>
      </c>
      <c r="CW95" s="11">
        <v>1.06</v>
      </c>
      <c r="CX95" s="11"/>
      <c r="CY95" s="11">
        <v>0.76500000000000001</v>
      </c>
      <c r="CZ95" s="11">
        <v>0.76500000000000001</v>
      </c>
      <c r="DA95" s="11"/>
      <c r="DB95" s="11">
        <v>1.06</v>
      </c>
      <c r="DC95" s="11">
        <v>1.06</v>
      </c>
      <c r="DD95" s="11"/>
      <c r="DE95" s="11">
        <v>0.70499999999999996</v>
      </c>
      <c r="DF95" s="11">
        <v>0.70499999999999996</v>
      </c>
      <c r="DH95" t="s">
        <v>80</v>
      </c>
      <c r="DI95">
        <v>1.1779999999999999</v>
      </c>
      <c r="DJ95">
        <v>1.07</v>
      </c>
      <c r="DM95">
        <v>0</v>
      </c>
      <c r="DN95">
        <v>0</v>
      </c>
      <c r="DO95">
        <v>0</v>
      </c>
      <c r="DQ95" t="s">
        <v>273</v>
      </c>
      <c r="DR95" t="s">
        <v>273</v>
      </c>
      <c r="DS95" t="s">
        <v>273</v>
      </c>
      <c r="DT95" t="s">
        <v>273</v>
      </c>
    </row>
    <row r="96" spans="1:124" x14ac:dyDescent="0.2">
      <c r="A96" t="s">
        <v>67</v>
      </c>
      <c r="E96" t="s">
        <v>84</v>
      </c>
      <c r="F96" t="s">
        <v>69</v>
      </c>
      <c r="G96" t="s">
        <v>98</v>
      </c>
      <c r="H96" t="s">
        <v>149</v>
      </c>
      <c r="I96" t="s">
        <v>175</v>
      </c>
      <c r="J96" t="s">
        <v>196</v>
      </c>
      <c r="K96" t="s">
        <v>363</v>
      </c>
      <c r="L96" t="s">
        <v>171</v>
      </c>
      <c r="M96" t="s">
        <v>73</v>
      </c>
      <c r="N96" t="s">
        <v>73</v>
      </c>
      <c r="O96" t="s">
        <v>97</v>
      </c>
      <c r="P96" t="str">
        <f t="shared" si="13"/>
        <v>DFTL_SOC_SRAMSOC_MRX001_SOCTDF_CPMF_PL20_SSC_X_X_Selsrm1S11_</v>
      </c>
      <c r="S96">
        <v>0.85250000000000004</v>
      </c>
      <c r="T96">
        <v>0.77500000000000002</v>
      </c>
      <c r="U96" t="s">
        <v>74</v>
      </c>
      <c r="V96" t="s">
        <v>172</v>
      </c>
      <c r="W96" t="s">
        <v>173</v>
      </c>
      <c r="X96" t="s">
        <v>174</v>
      </c>
      <c r="Y96" t="s">
        <v>197</v>
      </c>
      <c r="AF96" t="s">
        <v>366</v>
      </c>
      <c r="AM96" t="s">
        <v>166</v>
      </c>
      <c r="AN96">
        <v>0.73499999999999999</v>
      </c>
      <c r="AO96">
        <v>0.73499999999999999</v>
      </c>
      <c r="AQ96">
        <v>0.7</v>
      </c>
      <c r="AR96">
        <v>0.7</v>
      </c>
      <c r="AT96">
        <v>0.745</v>
      </c>
      <c r="AU96">
        <v>0.745</v>
      </c>
      <c r="AW96">
        <f t="shared" ref="AW96:AW97" si="15">BI96</f>
        <v>1.1000000000000001</v>
      </c>
      <c r="AX96">
        <f t="shared" ref="AX96:AX98" si="16">BJ96</f>
        <v>0.4</v>
      </c>
      <c r="AY96">
        <f t="shared" ref="AY96:AY98" si="17">BK96</f>
        <v>5.0000000000000001E-3</v>
      </c>
      <c r="AZ96">
        <f t="shared" ref="AZ96:AZ97" si="18">BI96</f>
        <v>1.1000000000000001</v>
      </c>
      <c r="BA96">
        <f t="shared" ref="BA96:BA97" si="19">BJ96</f>
        <v>0.4</v>
      </c>
      <c r="BB96">
        <f t="shared" ref="BB96:BB97" si="20">BK96</f>
        <v>5.0000000000000001E-3</v>
      </c>
      <c r="BC96">
        <f t="shared" ref="BC96:BC97" si="21">BI96</f>
        <v>1.1000000000000001</v>
      </c>
      <c r="BD96">
        <f t="shared" ref="BD96:BD97" si="22">BJ96</f>
        <v>0.4</v>
      </c>
      <c r="BE96">
        <f t="shared" ref="BE96:BE97" si="23">BK96</f>
        <v>5.0000000000000001E-3</v>
      </c>
      <c r="BF96">
        <v>0.73499999999999999</v>
      </c>
      <c r="BG96">
        <v>0.73499999999999999</v>
      </c>
      <c r="BI96">
        <v>1.1000000000000001</v>
      </c>
      <c r="BJ96">
        <v>0.4</v>
      </c>
      <c r="BK96">
        <v>5.0000000000000001E-3</v>
      </c>
      <c r="BL96">
        <v>0.77500000000000002</v>
      </c>
      <c r="BM96">
        <v>0.77500000000000002</v>
      </c>
      <c r="BO96">
        <v>0.81</v>
      </c>
      <c r="BP96">
        <v>0.81</v>
      </c>
      <c r="BR96">
        <v>0.72</v>
      </c>
      <c r="BS96">
        <v>0.72</v>
      </c>
      <c r="BU96">
        <v>0.8</v>
      </c>
      <c r="BV96">
        <v>0.8</v>
      </c>
      <c r="BX96">
        <v>0.8</v>
      </c>
      <c r="BY96">
        <v>0.8</v>
      </c>
      <c r="CA96">
        <v>1.32</v>
      </c>
      <c r="CB96">
        <v>1.32</v>
      </c>
      <c r="CD96" s="11">
        <v>1.06</v>
      </c>
      <c r="CE96" s="11">
        <v>1.06</v>
      </c>
      <c r="CF96" s="11"/>
      <c r="CG96" s="11">
        <v>0.76500000000000001</v>
      </c>
      <c r="CH96" s="11">
        <v>0.76500000000000001</v>
      </c>
      <c r="CI96" s="11"/>
      <c r="CJ96" s="11">
        <v>0.76500000000000001</v>
      </c>
      <c r="CK96" s="11">
        <v>0.76500000000000001</v>
      </c>
      <c r="CL96" s="11"/>
      <c r="CM96" s="11">
        <v>1.06</v>
      </c>
      <c r="CN96" s="11">
        <v>1.06</v>
      </c>
      <c r="CO96" s="11"/>
      <c r="CP96" s="11">
        <v>1.06</v>
      </c>
      <c r="CQ96" s="11">
        <v>1.06</v>
      </c>
      <c r="CR96" s="11"/>
      <c r="CS96" s="11">
        <v>0.76500000000000001</v>
      </c>
      <c r="CT96" s="11">
        <v>0.76500000000000001</v>
      </c>
      <c r="CU96" s="11"/>
      <c r="CV96" s="11">
        <v>1.06</v>
      </c>
      <c r="CW96" s="11">
        <v>1.06</v>
      </c>
      <c r="CX96" s="11"/>
      <c r="CY96" s="11">
        <v>0.76500000000000001</v>
      </c>
      <c r="CZ96" s="11">
        <v>0.76500000000000001</v>
      </c>
      <c r="DA96" s="11"/>
      <c r="DB96" s="11">
        <v>1.06</v>
      </c>
      <c r="DC96" s="11">
        <v>1.06</v>
      </c>
      <c r="DD96" s="11"/>
      <c r="DE96" s="11">
        <v>0.70499999999999996</v>
      </c>
      <c r="DF96" s="11">
        <v>0.70499999999999996</v>
      </c>
      <c r="DH96" t="s">
        <v>80</v>
      </c>
      <c r="DI96">
        <v>0.85299999999999998</v>
      </c>
      <c r="DJ96">
        <v>0.77500000000000002</v>
      </c>
      <c r="DM96">
        <v>0</v>
      </c>
      <c r="DN96">
        <v>0</v>
      </c>
      <c r="DO96">
        <v>0</v>
      </c>
      <c r="DQ96" t="s">
        <v>273</v>
      </c>
      <c r="DR96" t="s">
        <v>273</v>
      </c>
    </row>
    <row r="97" spans="1:122" s="20" customFormat="1" hidden="1" x14ac:dyDescent="0.2">
      <c r="A97" s="20" t="s">
        <v>481</v>
      </c>
      <c r="E97" s="20" t="s">
        <v>84</v>
      </c>
      <c r="F97" s="20" t="s">
        <v>69</v>
      </c>
      <c r="G97" s="20" t="s">
        <v>98</v>
      </c>
      <c r="H97" s="20" t="s">
        <v>136</v>
      </c>
      <c r="I97" s="20" t="s">
        <v>125</v>
      </c>
      <c r="J97" s="20" t="s">
        <v>401</v>
      </c>
      <c r="K97" s="20" t="s">
        <v>73</v>
      </c>
      <c r="L97" s="20" t="s">
        <v>73</v>
      </c>
      <c r="M97" s="20" t="s">
        <v>399</v>
      </c>
      <c r="N97" s="20" t="s">
        <v>378</v>
      </c>
      <c r="O97" s="20" t="s">
        <v>97</v>
      </c>
      <c r="P97" s="20" t="str">
        <f t="shared" si="13"/>
        <v>DFTL_SOC_SRAMSOC_MSXXXX_SOCBIR_P001_X_X_SRVC_R80_Selsrm1S11_</v>
      </c>
      <c r="S97" s="20">
        <v>0.90200000000000002</v>
      </c>
      <c r="T97" s="20">
        <v>0.82</v>
      </c>
      <c r="U97" s="20" t="s">
        <v>74</v>
      </c>
      <c r="V97" s="20" t="s">
        <v>128</v>
      </c>
      <c r="W97" s="20" t="s">
        <v>129</v>
      </c>
      <c r="X97" s="20" t="s">
        <v>130</v>
      </c>
      <c r="Y97" s="20" t="s">
        <v>131</v>
      </c>
      <c r="Z97" s="20" t="s">
        <v>137</v>
      </c>
      <c r="AA97" s="20" t="s">
        <v>133</v>
      </c>
      <c r="AC97" s="20" t="s">
        <v>403</v>
      </c>
      <c r="AF97" s="20" t="s">
        <v>405</v>
      </c>
      <c r="AM97" s="20" t="s">
        <v>166</v>
      </c>
      <c r="AN97" s="20">
        <v>0.74</v>
      </c>
      <c r="AO97" s="20">
        <v>0.74</v>
      </c>
      <c r="AQ97" s="20">
        <v>0.71499999999999997</v>
      </c>
      <c r="AR97" s="20">
        <v>0.71499999999999997</v>
      </c>
      <c r="AT97" s="20">
        <v>0.70499999999999996</v>
      </c>
      <c r="AU97" s="20">
        <v>0.70499999999999996</v>
      </c>
      <c r="AW97" s="20">
        <f t="shared" si="15"/>
        <v>0.8</v>
      </c>
      <c r="AX97" s="20">
        <f t="shared" si="16"/>
        <v>0.4</v>
      </c>
      <c r="AY97" s="20">
        <f t="shared" si="17"/>
        <v>0.01</v>
      </c>
      <c r="AZ97" s="20">
        <f t="shared" si="18"/>
        <v>0.8</v>
      </c>
      <c r="BA97" s="20">
        <f t="shared" si="19"/>
        <v>0.4</v>
      </c>
      <c r="BB97" s="20">
        <f t="shared" si="20"/>
        <v>0.01</v>
      </c>
      <c r="BC97" s="20">
        <f t="shared" si="21"/>
        <v>0.8</v>
      </c>
      <c r="BD97" s="20">
        <f t="shared" si="22"/>
        <v>0.4</v>
      </c>
      <c r="BE97" s="20">
        <f t="shared" si="23"/>
        <v>0.01</v>
      </c>
      <c r="BF97" s="20">
        <v>0.85</v>
      </c>
      <c r="BG97" s="20">
        <v>0.85</v>
      </c>
      <c r="BI97" s="20">
        <v>0.8</v>
      </c>
      <c r="BJ97" s="20">
        <v>0.4</v>
      </c>
      <c r="BK97" s="20">
        <v>0.01</v>
      </c>
      <c r="BL97" s="20">
        <v>0.82</v>
      </c>
      <c r="BM97" s="20">
        <v>0.82</v>
      </c>
      <c r="BO97" s="20">
        <v>0.84</v>
      </c>
      <c r="BP97" s="20">
        <v>0.84</v>
      </c>
      <c r="BR97" s="20">
        <v>0.8</v>
      </c>
      <c r="BS97" s="20">
        <v>0.8</v>
      </c>
      <c r="BU97" s="20">
        <v>0.88500000000000001</v>
      </c>
      <c r="BV97" s="20">
        <v>0.88500000000000001</v>
      </c>
      <c r="BX97" s="20">
        <v>0.8</v>
      </c>
      <c r="BY97" s="20">
        <v>0.8</v>
      </c>
      <c r="CA97" s="20">
        <v>1.32</v>
      </c>
      <c r="CB97" s="20">
        <v>1.32</v>
      </c>
      <c r="CD97" s="21">
        <v>1.06</v>
      </c>
      <c r="CE97" s="21">
        <v>1.06</v>
      </c>
      <c r="CF97" s="21"/>
      <c r="CG97" s="21">
        <v>0.76500000000000001</v>
      </c>
      <c r="CH97" s="21">
        <v>0.76500000000000001</v>
      </c>
      <c r="CI97" s="21"/>
      <c r="CJ97" s="21">
        <v>0.76500000000000001</v>
      </c>
      <c r="CK97" s="21">
        <v>0.76500000000000001</v>
      </c>
      <c r="CL97" s="21"/>
      <c r="CM97" s="21">
        <v>1.06</v>
      </c>
      <c r="CN97" s="21">
        <v>1.06</v>
      </c>
      <c r="CO97" s="21"/>
      <c r="CP97" s="21">
        <v>1.06</v>
      </c>
      <c r="CQ97" s="21">
        <v>1.06</v>
      </c>
      <c r="CR97" s="21"/>
      <c r="CS97" s="21">
        <v>0.76500000000000001</v>
      </c>
      <c r="CT97" s="21">
        <v>0.76500000000000001</v>
      </c>
      <c r="CU97" s="21"/>
      <c r="CV97" s="21">
        <v>1.06</v>
      </c>
      <c r="CW97" s="21">
        <v>1.06</v>
      </c>
      <c r="CX97" s="21"/>
      <c r="CY97" s="21">
        <v>0.76500000000000001</v>
      </c>
      <c r="CZ97" s="21">
        <v>0.76500000000000001</v>
      </c>
      <c r="DA97" s="21"/>
      <c r="DB97" s="21">
        <v>1.06</v>
      </c>
      <c r="DC97" s="21">
        <v>1.06</v>
      </c>
      <c r="DD97" s="21"/>
      <c r="DE97" s="21">
        <v>0.70499999999999996</v>
      </c>
      <c r="DF97" s="21">
        <v>0.70499999999999996</v>
      </c>
      <c r="DH97" s="20" t="s">
        <v>80</v>
      </c>
      <c r="DI97" s="20">
        <v>0.90200000000000002</v>
      </c>
      <c r="DJ97" s="20">
        <v>0.82</v>
      </c>
      <c r="DM97" s="20">
        <v>0</v>
      </c>
      <c r="DN97" s="20">
        <v>0</v>
      </c>
      <c r="DO97" s="20">
        <v>0</v>
      </c>
      <c r="DQ97" s="20" t="s">
        <v>273</v>
      </c>
      <c r="DR97" s="20" t="s">
        <v>273</v>
      </c>
    </row>
    <row r="98" spans="1:122" s="20" customFormat="1" hidden="1" x14ac:dyDescent="0.2">
      <c r="A98" s="20" t="s">
        <v>481</v>
      </c>
      <c r="D98" s="22" t="s">
        <v>382</v>
      </c>
      <c r="E98" s="20" t="s">
        <v>84</v>
      </c>
      <c r="F98" s="20" t="s">
        <v>69</v>
      </c>
      <c r="G98" s="20" t="s">
        <v>98</v>
      </c>
      <c r="H98" s="20" t="s">
        <v>91</v>
      </c>
      <c r="I98" s="20" t="s">
        <v>125</v>
      </c>
      <c r="J98" s="20" t="s">
        <v>401</v>
      </c>
      <c r="K98" s="20" t="s">
        <v>380</v>
      </c>
      <c r="L98" s="20" t="s">
        <v>400</v>
      </c>
      <c r="M98" s="20" t="s">
        <v>399</v>
      </c>
      <c r="N98" s="20" t="s">
        <v>378</v>
      </c>
      <c r="O98" s="20" t="s">
        <v>97</v>
      </c>
      <c r="P98" s="20" t="str">
        <f t="shared" si="13"/>
        <v>DFTL_SOC_SRAMSOC_MSX001_SOCBIR_P001_NRT_1WB_SRVC_R80_Selsrm1S11_</v>
      </c>
      <c r="S98" s="20">
        <v>0.82</v>
      </c>
      <c r="T98" s="20">
        <v>0.77080000000000004</v>
      </c>
      <c r="U98" s="20" t="s">
        <v>74</v>
      </c>
      <c r="V98" s="20" t="s">
        <v>128</v>
      </c>
      <c r="W98" s="20" t="s">
        <v>129</v>
      </c>
      <c r="X98" s="20" t="s">
        <v>130</v>
      </c>
      <c r="Y98" s="20" t="s">
        <v>131</v>
      </c>
      <c r="Z98" s="20" t="s">
        <v>141</v>
      </c>
      <c r="AA98" s="20" t="s">
        <v>133</v>
      </c>
      <c r="AC98" s="20" t="s">
        <v>403</v>
      </c>
      <c r="AF98" s="20" t="s">
        <v>397</v>
      </c>
      <c r="AG98" s="20" t="s">
        <v>404</v>
      </c>
      <c r="AM98" s="20" t="s">
        <v>166</v>
      </c>
      <c r="AN98" s="20">
        <v>0.74</v>
      </c>
      <c r="AO98" s="20">
        <v>0.74</v>
      </c>
      <c r="AQ98" s="20">
        <v>0.71499999999999997</v>
      </c>
      <c r="AR98" s="20">
        <v>0.71499999999999997</v>
      </c>
      <c r="AT98" s="20">
        <v>0.70499999999999996</v>
      </c>
      <c r="AU98" s="20">
        <v>0.70499999999999996</v>
      </c>
      <c r="AW98" s="20">
        <f t="shared" ref="AW98:AW104" si="24">BI98</f>
        <v>0.8</v>
      </c>
      <c r="AX98" s="20">
        <f t="shared" si="16"/>
        <v>0.4</v>
      </c>
      <c r="AY98" s="20">
        <f t="shared" si="17"/>
        <v>0.01</v>
      </c>
      <c r="AZ98" s="20">
        <v>0.71</v>
      </c>
      <c r="BA98" s="20">
        <v>0.71</v>
      </c>
      <c r="BC98" s="20">
        <v>0.75</v>
      </c>
      <c r="BD98" s="20">
        <v>0.75</v>
      </c>
      <c r="BF98" s="20">
        <v>0.85</v>
      </c>
      <c r="BG98" s="20">
        <v>0.85</v>
      </c>
      <c r="BI98" s="20">
        <v>0.8</v>
      </c>
      <c r="BJ98" s="20">
        <v>0.4</v>
      </c>
      <c r="BK98" s="20">
        <v>0.01</v>
      </c>
      <c r="BL98" s="20">
        <v>0.82</v>
      </c>
      <c r="BM98" s="20">
        <v>0.82</v>
      </c>
      <c r="BO98" s="20">
        <v>0.84</v>
      </c>
      <c r="BP98" s="20">
        <v>0.84</v>
      </c>
      <c r="BR98" s="20">
        <v>0.8</v>
      </c>
      <c r="BS98" s="20">
        <v>0.8</v>
      </c>
      <c r="BU98" s="20">
        <v>0.88500000000000001</v>
      </c>
      <c r="BV98" s="20">
        <v>0.88500000000000001</v>
      </c>
      <c r="BX98" s="20">
        <v>0.8</v>
      </c>
      <c r="BY98" s="20">
        <v>0.8</v>
      </c>
      <c r="CA98" s="20">
        <v>1.32</v>
      </c>
      <c r="CB98" s="20">
        <v>1.32</v>
      </c>
      <c r="CD98" s="21">
        <v>1.06</v>
      </c>
      <c r="CE98" s="21">
        <v>1.06</v>
      </c>
      <c r="CF98" s="21"/>
      <c r="CG98" s="21">
        <v>0.76500000000000001</v>
      </c>
      <c r="CH98" s="21">
        <v>0.76500000000000001</v>
      </c>
      <c r="CI98" s="21"/>
      <c r="CJ98" s="21">
        <v>0.76500000000000001</v>
      </c>
      <c r="CK98" s="21">
        <v>0.76500000000000001</v>
      </c>
      <c r="CL98" s="21"/>
      <c r="CM98" s="21">
        <v>1.06</v>
      </c>
      <c r="CN98" s="21">
        <v>1.06</v>
      </c>
      <c r="CO98" s="21"/>
      <c r="CP98" s="21">
        <v>1.06</v>
      </c>
      <c r="CQ98" s="21">
        <v>1.06</v>
      </c>
      <c r="CR98" s="21"/>
      <c r="CS98" s="21">
        <v>0.76500000000000001</v>
      </c>
      <c r="CT98" s="21">
        <v>0.76500000000000001</v>
      </c>
      <c r="CU98" s="21"/>
      <c r="CV98" s="21">
        <v>1.06</v>
      </c>
      <c r="CW98" s="21">
        <v>1.06</v>
      </c>
      <c r="CX98" s="21"/>
      <c r="CY98" s="21">
        <v>0.76500000000000001</v>
      </c>
      <c r="CZ98" s="21">
        <v>0.76500000000000001</v>
      </c>
      <c r="DA98" s="21"/>
      <c r="DB98" s="21">
        <v>1.06</v>
      </c>
      <c r="DC98" s="21">
        <v>1.06</v>
      </c>
      <c r="DD98" s="21"/>
      <c r="DE98" s="21">
        <v>0.70499999999999996</v>
      </c>
      <c r="DF98" s="21">
        <v>0.70499999999999996</v>
      </c>
      <c r="DH98" s="20" t="s">
        <v>80</v>
      </c>
      <c r="DI98" s="20">
        <v>0.77100000000000002</v>
      </c>
      <c r="DJ98" s="20">
        <v>0.82</v>
      </c>
      <c r="DK98" s="23" t="s">
        <v>372</v>
      </c>
      <c r="DL98" s="20" t="s">
        <v>371</v>
      </c>
      <c r="DM98" s="20">
        <v>0</v>
      </c>
      <c r="DN98" s="20">
        <v>0</v>
      </c>
      <c r="DO98" s="20">
        <v>0</v>
      </c>
      <c r="DQ98" s="20" t="s">
        <v>273</v>
      </c>
      <c r="DR98" s="20" t="s">
        <v>273</v>
      </c>
    </row>
    <row r="99" spans="1:122" x14ac:dyDescent="0.2">
      <c r="A99" t="s">
        <v>67</v>
      </c>
      <c r="E99" t="s">
        <v>84</v>
      </c>
      <c r="F99" t="s">
        <v>69</v>
      </c>
      <c r="G99" t="s">
        <v>98</v>
      </c>
      <c r="H99" t="s">
        <v>136</v>
      </c>
      <c r="I99" t="s">
        <v>125</v>
      </c>
      <c r="J99" t="s">
        <v>401</v>
      </c>
      <c r="K99" t="s">
        <v>73</v>
      </c>
      <c r="L99" t="s">
        <v>73</v>
      </c>
      <c r="M99" t="s">
        <v>399</v>
      </c>
      <c r="N99" t="s">
        <v>392</v>
      </c>
      <c r="O99" t="s">
        <v>97</v>
      </c>
      <c r="P99" t="str">
        <f t="shared" si="13"/>
        <v>DFTL_SOC_SRAMSOC_MSXXXX_SOCBIR_P001_X_X_SRVC_R75_Selsrm1S11_</v>
      </c>
      <c r="S99">
        <v>0.90200000000000002</v>
      </c>
      <c r="T99">
        <v>0.82</v>
      </c>
      <c r="U99" t="s">
        <v>74</v>
      </c>
      <c r="V99" t="s">
        <v>128</v>
      </c>
      <c r="W99" t="s">
        <v>129</v>
      </c>
      <c r="X99" t="s">
        <v>130</v>
      </c>
      <c r="Y99" t="s">
        <v>131</v>
      </c>
      <c r="Z99" t="s">
        <v>137</v>
      </c>
      <c r="AA99" t="s">
        <v>133</v>
      </c>
      <c r="AC99" t="s">
        <v>398</v>
      </c>
      <c r="AF99" t="s">
        <v>405</v>
      </c>
      <c r="AM99" t="s">
        <v>166</v>
      </c>
      <c r="AN99">
        <v>0.74</v>
      </c>
      <c r="AO99">
        <v>0.74</v>
      </c>
      <c r="AQ99">
        <v>0.71499999999999997</v>
      </c>
      <c r="AR99">
        <v>0.71499999999999997</v>
      </c>
      <c r="AT99">
        <v>0.70499999999999996</v>
      </c>
      <c r="AU99">
        <v>0.70499999999999996</v>
      </c>
      <c r="AW99">
        <f t="shared" si="24"/>
        <v>0.8</v>
      </c>
      <c r="AX99">
        <f t="shared" ref="AX99:AX100" si="25">BJ99</f>
        <v>0.4</v>
      </c>
      <c r="AY99">
        <f t="shared" ref="AY99:AY100" si="26">BK99</f>
        <v>0.01</v>
      </c>
      <c r="AZ99">
        <f>BI99</f>
        <v>0.8</v>
      </c>
      <c r="BA99">
        <f t="shared" ref="BA99" si="27">BJ99</f>
        <v>0.4</v>
      </c>
      <c r="BB99">
        <f t="shared" ref="BB99" si="28">BK99</f>
        <v>0.01</v>
      </c>
      <c r="BC99">
        <f>BI99</f>
        <v>0.8</v>
      </c>
      <c r="BD99">
        <f t="shared" ref="BD99" si="29">BJ99</f>
        <v>0.4</v>
      </c>
      <c r="BE99">
        <f t="shared" ref="BE99" si="30">BK99</f>
        <v>0.01</v>
      </c>
      <c r="BF99">
        <v>0.85</v>
      </c>
      <c r="BG99">
        <v>0.85</v>
      </c>
      <c r="BI99">
        <v>0.8</v>
      </c>
      <c r="BJ99">
        <v>0.4</v>
      </c>
      <c r="BK99">
        <v>0.01</v>
      </c>
      <c r="BL99">
        <v>0.82</v>
      </c>
      <c r="BM99">
        <v>0.82</v>
      </c>
      <c r="BO99">
        <v>0.84</v>
      </c>
      <c r="BP99">
        <v>0.84</v>
      </c>
      <c r="BR99">
        <v>0.8</v>
      </c>
      <c r="BS99">
        <v>0.8</v>
      </c>
      <c r="BU99">
        <v>0.88500000000000001</v>
      </c>
      <c r="BV99">
        <v>0.88500000000000001</v>
      </c>
      <c r="BX99">
        <v>0.8</v>
      </c>
      <c r="BY99">
        <v>0.8</v>
      </c>
      <c r="CA99">
        <v>1.32</v>
      </c>
      <c r="CB99">
        <v>1.32</v>
      </c>
      <c r="CD99" s="11">
        <v>1.06</v>
      </c>
      <c r="CE99" s="11">
        <v>1.06</v>
      </c>
      <c r="CF99" s="11"/>
      <c r="CG99" s="11">
        <v>0.76500000000000001</v>
      </c>
      <c r="CH99" s="11">
        <v>0.76500000000000001</v>
      </c>
      <c r="CI99" s="11"/>
      <c r="CJ99" s="11">
        <v>0.76500000000000001</v>
      </c>
      <c r="CK99" s="11">
        <v>0.76500000000000001</v>
      </c>
      <c r="CL99" s="11"/>
      <c r="CM99" s="11">
        <v>1.06</v>
      </c>
      <c r="CN99" s="11">
        <v>1.06</v>
      </c>
      <c r="CO99" s="11"/>
      <c r="CP99" s="11">
        <v>1.06</v>
      </c>
      <c r="CQ99" s="11">
        <v>1.06</v>
      </c>
      <c r="CR99" s="11"/>
      <c r="CS99" s="11">
        <v>0.76500000000000001</v>
      </c>
      <c r="CT99" s="11">
        <v>0.76500000000000001</v>
      </c>
      <c r="CU99" s="11"/>
      <c r="CV99" s="11">
        <v>1.06</v>
      </c>
      <c r="CW99" s="11">
        <v>1.06</v>
      </c>
      <c r="CX99" s="11"/>
      <c r="CY99" s="11">
        <v>0.76500000000000001</v>
      </c>
      <c r="CZ99" s="11">
        <v>0.76500000000000001</v>
      </c>
      <c r="DA99" s="11"/>
      <c r="DB99" s="11">
        <v>1.06</v>
      </c>
      <c r="DC99" s="11">
        <v>1.06</v>
      </c>
      <c r="DD99" s="11"/>
      <c r="DE99" s="11">
        <v>0.70499999999999996</v>
      </c>
      <c r="DF99" s="11">
        <v>0.70499999999999996</v>
      </c>
      <c r="DH99" t="s">
        <v>80</v>
      </c>
      <c r="DI99">
        <v>0.90200000000000002</v>
      </c>
      <c r="DJ99">
        <v>0.82</v>
      </c>
      <c r="DM99">
        <v>0</v>
      </c>
      <c r="DN99">
        <v>0</v>
      </c>
      <c r="DO99">
        <v>0</v>
      </c>
      <c r="DQ99" t="s">
        <v>273</v>
      </c>
      <c r="DR99" t="s">
        <v>273</v>
      </c>
    </row>
    <row r="100" spans="1:122" x14ac:dyDescent="0.2">
      <c r="A100" t="s">
        <v>67</v>
      </c>
      <c r="D100" s="14" t="s">
        <v>382</v>
      </c>
      <c r="E100" t="s">
        <v>84</v>
      </c>
      <c r="F100" t="s">
        <v>69</v>
      </c>
      <c r="G100" t="s">
        <v>98</v>
      </c>
      <c r="H100" t="s">
        <v>91</v>
      </c>
      <c r="I100" t="s">
        <v>125</v>
      </c>
      <c r="J100" t="s">
        <v>401</v>
      </c>
      <c r="K100" t="s">
        <v>380</v>
      </c>
      <c r="L100" t="s">
        <v>400</v>
      </c>
      <c r="M100" t="s">
        <v>399</v>
      </c>
      <c r="N100" t="s">
        <v>392</v>
      </c>
      <c r="O100" t="s">
        <v>97</v>
      </c>
      <c r="P100" t="str">
        <f t="shared" si="13"/>
        <v>DFTL_SOC_SRAMSOC_MSX001_SOCBIR_P001_NRT_1WB_SRVC_R75_Selsrm1S11_</v>
      </c>
      <c r="S100">
        <v>0.82</v>
      </c>
      <c r="T100">
        <v>0.77080000000000004</v>
      </c>
      <c r="U100" t="s">
        <v>74</v>
      </c>
      <c r="V100" t="s">
        <v>128</v>
      </c>
      <c r="W100" t="s">
        <v>129</v>
      </c>
      <c r="X100" t="s">
        <v>130</v>
      </c>
      <c r="Y100" t="s">
        <v>131</v>
      </c>
      <c r="Z100" t="s">
        <v>141</v>
      </c>
      <c r="AA100" t="s">
        <v>133</v>
      </c>
      <c r="AC100" t="s">
        <v>398</v>
      </c>
      <c r="AF100" t="s">
        <v>397</v>
      </c>
      <c r="AG100" t="s">
        <v>404</v>
      </c>
      <c r="AM100" t="s">
        <v>166</v>
      </c>
      <c r="AN100">
        <v>0.74</v>
      </c>
      <c r="AO100">
        <v>0.74</v>
      </c>
      <c r="AQ100">
        <v>0.71499999999999997</v>
      </c>
      <c r="AR100">
        <v>0.71499999999999997</v>
      </c>
      <c r="AT100">
        <v>0.70499999999999996</v>
      </c>
      <c r="AU100">
        <v>0.70499999999999996</v>
      </c>
      <c r="AW100">
        <f t="shared" si="24"/>
        <v>0.8</v>
      </c>
      <c r="AX100">
        <f t="shared" si="25"/>
        <v>0.4</v>
      </c>
      <c r="AY100">
        <f t="shared" si="26"/>
        <v>0.01</v>
      </c>
      <c r="AZ100">
        <v>0.71</v>
      </c>
      <c r="BA100">
        <v>0.71</v>
      </c>
      <c r="BC100">
        <v>0.75</v>
      </c>
      <c r="BD100">
        <v>0.75</v>
      </c>
      <c r="BF100">
        <v>0.85</v>
      </c>
      <c r="BG100">
        <v>0.85</v>
      </c>
      <c r="BI100">
        <v>0.8</v>
      </c>
      <c r="BJ100">
        <v>0.4</v>
      </c>
      <c r="BK100">
        <v>0.01</v>
      </c>
      <c r="BL100">
        <v>0.82</v>
      </c>
      <c r="BM100">
        <v>0.82</v>
      </c>
      <c r="BO100">
        <v>0.84</v>
      </c>
      <c r="BP100">
        <v>0.84</v>
      </c>
      <c r="BR100">
        <v>0.8</v>
      </c>
      <c r="BS100">
        <v>0.8</v>
      </c>
      <c r="BU100">
        <v>0.88500000000000001</v>
      </c>
      <c r="BV100">
        <v>0.88500000000000001</v>
      </c>
      <c r="BX100">
        <v>0.8</v>
      </c>
      <c r="BY100">
        <v>0.8</v>
      </c>
      <c r="CA100">
        <v>1.32</v>
      </c>
      <c r="CB100">
        <v>1.32</v>
      </c>
      <c r="CD100" s="11">
        <v>1.06</v>
      </c>
      <c r="CE100" s="11">
        <v>1.06</v>
      </c>
      <c r="CF100" s="11"/>
      <c r="CG100" s="11">
        <v>0.76500000000000001</v>
      </c>
      <c r="CH100" s="11">
        <v>0.76500000000000001</v>
      </c>
      <c r="CI100" s="11"/>
      <c r="CJ100" s="11">
        <v>0.76500000000000001</v>
      </c>
      <c r="CK100" s="11">
        <v>0.76500000000000001</v>
      </c>
      <c r="CL100" s="11"/>
      <c r="CM100" s="11">
        <v>1.06</v>
      </c>
      <c r="CN100" s="11">
        <v>1.06</v>
      </c>
      <c r="CO100" s="11"/>
      <c r="CP100" s="11">
        <v>1.06</v>
      </c>
      <c r="CQ100" s="11">
        <v>1.06</v>
      </c>
      <c r="CR100" s="11"/>
      <c r="CS100" s="11">
        <v>0.76500000000000001</v>
      </c>
      <c r="CT100" s="11">
        <v>0.76500000000000001</v>
      </c>
      <c r="CU100" s="11"/>
      <c r="CV100" s="11">
        <v>1.06</v>
      </c>
      <c r="CW100" s="11">
        <v>1.06</v>
      </c>
      <c r="CX100" s="11"/>
      <c r="CY100" s="11">
        <v>0.76500000000000001</v>
      </c>
      <c r="CZ100" s="11">
        <v>0.76500000000000001</v>
      </c>
      <c r="DA100" s="11"/>
      <c r="DB100" s="11">
        <v>1.06</v>
      </c>
      <c r="DC100" s="11">
        <v>1.06</v>
      </c>
      <c r="DD100" s="11"/>
      <c r="DE100" s="11">
        <v>0.70499999999999996</v>
      </c>
      <c r="DF100" s="11">
        <v>0.70499999999999996</v>
      </c>
      <c r="DH100" t="s">
        <v>80</v>
      </c>
      <c r="DI100">
        <v>0.77100000000000002</v>
      </c>
      <c r="DJ100">
        <v>0.82</v>
      </c>
      <c r="DK100" s="13" t="s">
        <v>372</v>
      </c>
      <c r="DL100" t="s">
        <v>371</v>
      </c>
      <c r="DM100">
        <v>0</v>
      </c>
      <c r="DN100">
        <v>0</v>
      </c>
      <c r="DO100">
        <v>0</v>
      </c>
      <c r="DQ100" t="s">
        <v>273</v>
      </c>
      <c r="DR100" t="s">
        <v>273</v>
      </c>
    </row>
    <row r="101" spans="1:122" s="20" customFormat="1" hidden="1" x14ac:dyDescent="0.2">
      <c r="A101" s="20" t="s">
        <v>481</v>
      </c>
      <c r="E101" s="20" t="s">
        <v>84</v>
      </c>
      <c r="F101" s="20" t="s">
        <v>69</v>
      </c>
      <c r="G101" s="20" t="s">
        <v>98</v>
      </c>
      <c r="H101" s="20" t="s">
        <v>136</v>
      </c>
      <c r="I101" s="20" t="s">
        <v>151</v>
      </c>
      <c r="J101" s="20" t="s">
        <v>401</v>
      </c>
      <c r="K101" s="20" t="s">
        <v>73</v>
      </c>
      <c r="L101" s="20" t="s">
        <v>73</v>
      </c>
      <c r="M101" s="20" t="s">
        <v>399</v>
      </c>
      <c r="N101" s="20" t="s">
        <v>378</v>
      </c>
      <c r="O101" s="20" t="s">
        <v>97</v>
      </c>
      <c r="P101" s="20" t="str">
        <f t="shared" si="13"/>
        <v>DFTL_SOC_SRAMSOC_MSXXXX_SOCBST_P001_X_X_SRVC_R80_Selsrm1S11_</v>
      </c>
      <c r="S101" s="20">
        <v>0.90200000000000002</v>
      </c>
      <c r="T101" s="20">
        <v>0.82</v>
      </c>
      <c r="U101" s="20" t="s">
        <v>74</v>
      </c>
      <c r="V101" s="20" t="s">
        <v>128</v>
      </c>
      <c r="W101" s="20" t="s">
        <v>129</v>
      </c>
      <c r="X101" s="20" t="s">
        <v>130</v>
      </c>
      <c r="Y101" s="20" t="s">
        <v>131</v>
      </c>
      <c r="Z101" s="20" t="s">
        <v>137</v>
      </c>
      <c r="AA101" s="20" t="s">
        <v>133</v>
      </c>
      <c r="AC101" s="20" t="s">
        <v>403</v>
      </c>
      <c r="AF101" s="20" t="s">
        <v>402</v>
      </c>
      <c r="AM101" s="20" t="s">
        <v>166</v>
      </c>
      <c r="AN101" s="20">
        <v>0.74</v>
      </c>
      <c r="AO101" s="20">
        <v>0.74</v>
      </c>
      <c r="AQ101" s="20">
        <v>0.71499999999999997</v>
      </c>
      <c r="AR101" s="20">
        <v>0.71499999999999997</v>
      </c>
      <c r="AT101" s="20">
        <v>0.70499999999999996</v>
      </c>
      <c r="AU101" s="20">
        <v>0.70499999999999996</v>
      </c>
      <c r="AW101" s="20">
        <f t="shared" si="24"/>
        <v>0.8</v>
      </c>
      <c r="AX101" s="20">
        <f t="shared" ref="AX101:AX102" si="31">BJ101</f>
        <v>0.4</v>
      </c>
      <c r="AY101" s="20">
        <f t="shared" ref="AY101:AY102" si="32">BK101</f>
        <v>0.01</v>
      </c>
      <c r="AZ101" s="20">
        <f>BI101</f>
        <v>0.8</v>
      </c>
      <c r="BA101" s="20">
        <f t="shared" ref="BA101" si="33">BJ101</f>
        <v>0.4</v>
      </c>
      <c r="BB101" s="20">
        <f t="shared" ref="BB101" si="34">BK101</f>
        <v>0.01</v>
      </c>
      <c r="BC101" s="20">
        <f>BI101</f>
        <v>0.8</v>
      </c>
      <c r="BD101" s="20">
        <f t="shared" ref="BD101" si="35">BJ101</f>
        <v>0.4</v>
      </c>
      <c r="BE101" s="20">
        <f t="shared" ref="BE101" si="36">BK101</f>
        <v>0.01</v>
      </c>
      <c r="BF101" s="20">
        <v>0.85</v>
      </c>
      <c r="BG101" s="20">
        <v>0.85</v>
      </c>
      <c r="BI101" s="20">
        <v>0.8</v>
      </c>
      <c r="BJ101" s="20">
        <v>0.4</v>
      </c>
      <c r="BK101" s="20">
        <v>0.01</v>
      </c>
      <c r="BL101" s="20">
        <v>0.82</v>
      </c>
      <c r="BM101" s="20">
        <v>0.82</v>
      </c>
      <c r="BO101" s="20">
        <v>0.84</v>
      </c>
      <c r="BP101" s="20">
        <v>0.84</v>
      </c>
      <c r="BR101" s="20">
        <v>0.8</v>
      </c>
      <c r="BS101" s="20">
        <v>0.8</v>
      </c>
      <c r="BU101" s="20">
        <v>0.88500000000000001</v>
      </c>
      <c r="BV101" s="20">
        <v>0.88500000000000001</v>
      </c>
      <c r="BX101" s="20">
        <v>0.8</v>
      </c>
      <c r="BY101" s="20">
        <v>0.8</v>
      </c>
      <c r="CA101" s="20">
        <v>1.32</v>
      </c>
      <c r="CB101" s="20">
        <v>1.32</v>
      </c>
      <c r="CD101" s="21">
        <v>1.06</v>
      </c>
      <c r="CE101" s="21">
        <v>1.06</v>
      </c>
      <c r="CF101" s="21"/>
      <c r="CG101" s="21">
        <v>0.76500000000000001</v>
      </c>
      <c r="CH101" s="21">
        <v>0.76500000000000001</v>
      </c>
      <c r="CI101" s="21"/>
      <c r="CJ101" s="21">
        <v>0.76500000000000001</v>
      </c>
      <c r="CK101" s="21">
        <v>0.76500000000000001</v>
      </c>
      <c r="CL101" s="21"/>
      <c r="CM101" s="21">
        <v>1.06</v>
      </c>
      <c r="CN101" s="21">
        <v>1.06</v>
      </c>
      <c r="CO101" s="21"/>
      <c r="CP101" s="21">
        <v>1.06</v>
      </c>
      <c r="CQ101" s="21">
        <v>1.06</v>
      </c>
      <c r="CR101" s="21"/>
      <c r="CS101" s="21">
        <v>0.76500000000000001</v>
      </c>
      <c r="CT101" s="21">
        <v>0.76500000000000001</v>
      </c>
      <c r="CU101" s="21"/>
      <c r="CV101" s="21">
        <v>1.06</v>
      </c>
      <c r="CW101" s="21">
        <v>1.06</v>
      </c>
      <c r="CX101" s="21"/>
      <c r="CY101" s="21">
        <v>0.76500000000000001</v>
      </c>
      <c r="CZ101" s="21">
        <v>0.76500000000000001</v>
      </c>
      <c r="DA101" s="21"/>
      <c r="DB101" s="21">
        <v>1.06</v>
      </c>
      <c r="DC101" s="21">
        <v>1.06</v>
      </c>
      <c r="DD101" s="21"/>
      <c r="DE101" s="21">
        <v>0.70499999999999996</v>
      </c>
      <c r="DF101" s="21">
        <v>0.70499999999999996</v>
      </c>
      <c r="DH101" s="20" t="s">
        <v>80</v>
      </c>
      <c r="DI101" s="20">
        <v>0.90200000000000002</v>
      </c>
      <c r="DJ101" s="20">
        <v>0.82</v>
      </c>
      <c r="DM101" s="20">
        <v>0</v>
      </c>
      <c r="DN101" s="20">
        <v>0</v>
      </c>
      <c r="DO101" s="20">
        <v>0</v>
      </c>
      <c r="DQ101" s="20" t="s">
        <v>273</v>
      </c>
      <c r="DR101" s="20" t="s">
        <v>273</v>
      </c>
    </row>
    <row r="102" spans="1:122" s="20" customFormat="1" hidden="1" x14ac:dyDescent="0.2">
      <c r="A102" s="20" t="s">
        <v>481</v>
      </c>
      <c r="D102" s="22" t="s">
        <v>382</v>
      </c>
      <c r="E102" s="20" t="s">
        <v>84</v>
      </c>
      <c r="F102" s="20" t="s">
        <v>69</v>
      </c>
      <c r="G102" s="20" t="s">
        <v>98</v>
      </c>
      <c r="H102" s="20" t="s">
        <v>91</v>
      </c>
      <c r="I102" s="20" t="s">
        <v>151</v>
      </c>
      <c r="J102" s="20" t="s">
        <v>401</v>
      </c>
      <c r="K102" s="20" t="s">
        <v>380</v>
      </c>
      <c r="L102" s="20" t="s">
        <v>400</v>
      </c>
      <c r="M102" s="20" t="s">
        <v>399</v>
      </c>
      <c r="N102" s="20" t="s">
        <v>378</v>
      </c>
      <c r="O102" s="20" t="s">
        <v>97</v>
      </c>
      <c r="P102" s="20" t="str">
        <f t="shared" si="13"/>
        <v>DFTL_SOC_SRAMSOC_MSX001_SOCBST_P001_NRT_1WB_SRVC_R80_Selsrm1S11_</v>
      </c>
      <c r="S102" s="20">
        <v>0.82</v>
      </c>
      <c r="T102" s="20">
        <v>0.77080000000000004</v>
      </c>
      <c r="U102" s="20" t="s">
        <v>74</v>
      </c>
      <c r="V102" s="20" t="s">
        <v>128</v>
      </c>
      <c r="W102" s="20" t="s">
        <v>129</v>
      </c>
      <c r="X102" s="20" t="s">
        <v>130</v>
      </c>
      <c r="Y102" s="20" t="s">
        <v>131</v>
      </c>
      <c r="Z102" s="20" t="s">
        <v>141</v>
      </c>
      <c r="AA102" s="20" t="s">
        <v>133</v>
      </c>
      <c r="AC102" s="20" t="s">
        <v>403</v>
      </c>
      <c r="AF102" s="20" t="s">
        <v>397</v>
      </c>
      <c r="AG102" s="20" t="s">
        <v>396</v>
      </c>
      <c r="AM102" s="20" t="s">
        <v>166</v>
      </c>
      <c r="AN102" s="20">
        <v>0.74</v>
      </c>
      <c r="AO102" s="20">
        <v>0.74</v>
      </c>
      <c r="AQ102" s="20">
        <v>0.71499999999999997</v>
      </c>
      <c r="AR102" s="20">
        <v>0.71499999999999997</v>
      </c>
      <c r="AT102" s="20">
        <v>0.70499999999999996</v>
      </c>
      <c r="AU102" s="20">
        <v>0.70499999999999996</v>
      </c>
      <c r="AW102" s="20">
        <f t="shared" si="24"/>
        <v>0.8</v>
      </c>
      <c r="AX102" s="20">
        <f t="shared" si="31"/>
        <v>0.4</v>
      </c>
      <c r="AY102" s="20">
        <f t="shared" si="32"/>
        <v>0.01</v>
      </c>
      <c r="AZ102" s="20">
        <v>0.71</v>
      </c>
      <c r="BA102" s="20">
        <v>0.71</v>
      </c>
      <c r="BC102" s="20">
        <v>0.75</v>
      </c>
      <c r="BD102" s="20">
        <v>0.75</v>
      </c>
      <c r="BF102" s="20">
        <v>0.85</v>
      </c>
      <c r="BG102" s="20">
        <v>0.85</v>
      </c>
      <c r="BI102" s="20">
        <v>0.8</v>
      </c>
      <c r="BJ102" s="20">
        <v>0.4</v>
      </c>
      <c r="BK102" s="20">
        <v>0.01</v>
      </c>
      <c r="BL102" s="20">
        <v>0.82</v>
      </c>
      <c r="BM102" s="20">
        <v>0.82</v>
      </c>
      <c r="BO102" s="20">
        <v>0.84</v>
      </c>
      <c r="BP102" s="20">
        <v>0.84</v>
      </c>
      <c r="BR102" s="20">
        <v>0.8</v>
      </c>
      <c r="BS102" s="20">
        <v>0.8</v>
      </c>
      <c r="BU102" s="20">
        <v>0.88500000000000001</v>
      </c>
      <c r="BV102" s="20">
        <v>0.88500000000000001</v>
      </c>
      <c r="BX102" s="20">
        <v>0.8</v>
      </c>
      <c r="BY102" s="20">
        <v>0.8</v>
      </c>
      <c r="CA102" s="20">
        <v>1.32</v>
      </c>
      <c r="CB102" s="20">
        <v>1.32</v>
      </c>
      <c r="CD102" s="21">
        <v>1.06</v>
      </c>
      <c r="CE102" s="21">
        <v>1.06</v>
      </c>
      <c r="CF102" s="21"/>
      <c r="CG102" s="21">
        <v>0.76500000000000001</v>
      </c>
      <c r="CH102" s="21">
        <v>0.76500000000000001</v>
      </c>
      <c r="CI102" s="21"/>
      <c r="CJ102" s="21">
        <v>0.76500000000000001</v>
      </c>
      <c r="CK102" s="21">
        <v>0.76500000000000001</v>
      </c>
      <c r="CL102" s="21"/>
      <c r="CM102" s="21">
        <v>1.06</v>
      </c>
      <c r="CN102" s="21">
        <v>1.06</v>
      </c>
      <c r="CO102" s="21"/>
      <c r="CP102" s="21">
        <v>1.06</v>
      </c>
      <c r="CQ102" s="21">
        <v>1.06</v>
      </c>
      <c r="CR102" s="21"/>
      <c r="CS102" s="21">
        <v>0.76500000000000001</v>
      </c>
      <c r="CT102" s="21">
        <v>0.76500000000000001</v>
      </c>
      <c r="CU102" s="21"/>
      <c r="CV102" s="21">
        <v>1.06</v>
      </c>
      <c r="CW102" s="21">
        <v>1.06</v>
      </c>
      <c r="CX102" s="21"/>
      <c r="CY102" s="21">
        <v>0.76500000000000001</v>
      </c>
      <c r="CZ102" s="21">
        <v>0.76500000000000001</v>
      </c>
      <c r="DA102" s="21"/>
      <c r="DB102" s="21">
        <v>1.06</v>
      </c>
      <c r="DC102" s="21">
        <v>1.06</v>
      </c>
      <c r="DD102" s="21"/>
      <c r="DE102" s="21">
        <v>0.70499999999999996</v>
      </c>
      <c r="DF102" s="21">
        <v>0.70499999999999996</v>
      </c>
      <c r="DH102" s="20" t="s">
        <v>80</v>
      </c>
      <c r="DI102" s="20">
        <v>0.77100000000000002</v>
      </c>
      <c r="DJ102" s="20">
        <v>0.82</v>
      </c>
      <c r="DK102" s="23" t="s">
        <v>372</v>
      </c>
      <c r="DL102" s="20" t="s">
        <v>371</v>
      </c>
      <c r="DM102" s="20">
        <v>0</v>
      </c>
      <c r="DN102" s="20">
        <v>0</v>
      </c>
      <c r="DO102" s="20">
        <v>0</v>
      </c>
      <c r="DQ102" s="20" t="s">
        <v>273</v>
      </c>
      <c r="DR102" s="20" t="s">
        <v>273</v>
      </c>
    </row>
    <row r="103" spans="1:122" x14ac:dyDescent="0.2">
      <c r="A103" t="s">
        <v>67</v>
      </c>
      <c r="E103" t="s">
        <v>84</v>
      </c>
      <c r="F103" t="s">
        <v>69</v>
      </c>
      <c r="G103" t="s">
        <v>98</v>
      </c>
      <c r="H103" t="s">
        <v>136</v>
      </c>
      <c r="I103" t="s">
        <v>151</v>
      </c>
      <c r="J103" t="s">
        <v>401</v>
      </c>
      <c r="K103" t="s">
        <v>73</v>
      </c>
      <c r="L103" t="s">
        <v>73</v>
      </c>
      <c r="M103" t="s">
        <v>399</v>
      </c>
      <c r="N103" t="s">
        <v>392</v>
      </c>
      <c r="O103" t="s">
        <v>97</v>
      </c>
      <c r="P103" t="str">
        <f t="shared" si="13"/>
        <v>DFTL_SOC_SRAMSOC_MSXXXX_SOCBST_P001_X_X_SRVC_R75_Selsrm1S11_</v>
      </c>
      <c r="S103">
        <v>0.90200000000000002</v>
      </c>
      <c r="T103">
        <v>0.82</v>
      </c>
      <c r="U103" t="s">
        <v>74</v>
      </c>
      <c r="V103" t="s">
        <v>128</v>
      </c>
      <c r="W103" t="s">
        <v>129</v>
      </c>
      <c r="X103" t="s">
        <v>130</v>
      </c>
      <c r="Y103" t="s">
        <v>131</v>
      </c>
      <c r="Z103" t="s">
        <v>137</v>
      </c>
      <c r="AA103" t="s">
        <v>133</v>
      </c>
      <c r="AC103" t="s">
        <v>398</v>
      </c>
      <c r="AF103" t="s">
        <v>402</v>
      </c>
      <c r="AM103" t="s">
        <v>166</v>
      </c>
      <c r="AN103">
        <v>0.74</v>
      </c>
      <c r="AO103">
        <v>0.74</v>
      </c>
      <c r="AQ103">
        <v>0.71499999999999997</v>
      </c>
      <c r="AR103">
        <v>0.71499999999999997</v>
      </c>
      <c r="AT103">
        <v>0.70499999999999996</v>
      </c>
      <c r="AU103">
        <v>0.70499999999999996</v>
      </c>
      <c r="AW103">
        <f t="shared" si="24"/>
        <v>0.8</v>
      </c>
      <c r="AX103">
        <f t="shared" ref="AX103:AX104" si="37">BJ103</f>
        <v>0.4</v>
      </c>
      <c r="AY103">
        <f t="shared" ref="AY103:AY104" si="38">BK103</f>
        <v>0.01</v>
      </c>
      <c r="AZ103">
        <f>BI103</f>
        <v>0.8</v>
      </c>
      <c r="BA103">
        <f t="shared" ref="BA103" si="39">BJ103</f>
        <v>0.4</v>
      </c>
      <c r="BB103">
        <f t="shared" ref="BB103" si="40">BK103</f>
        <v>0.01</v>
      </c>
      <c r="BC103">
        <f>BI103</f>
        <v>0.8</v>
      </c>
      <c r="BD103">
        <f t="shared" ref="BD103" si="41">BJ103</f>
        <v>0.4</v>
      </c>
      <c r="BE103">
        <f t="shared" ref="BE103" si="42">BK103</f>
        <v>0.01</v>
      </c>
      <c r="BF103">
        <v>0.85</v>
      </c>
      <c r="BG103">
        <v>0.85</v>
      </c>
      <c r="BI103">
        <v>0.8</v>
      </c>
      <c r="BJ103">
        <v>0.4</v>
      </c>
      <c r="BK103">
        <v>0.01</v>
      </c>
      <c r="BL103">
        <v>0.82</v>
      </c>
      <c r="BM103">
        <v>0.82</v>
      </c>
      <c r="BO103">
        <v>0.84</v>
      </c>
      <c r="BP103">
        <v>0.84</v>
      </c>
      <c r="BR103">
        <v>0.8</v>
      </c>
      <c r="BS103">
        <v>0.8</v>
      </c>
      <c r="BU103">
        <v>0.88500000000000001</v>
      </c>
      <c r="BV103">
        <v>0.88500000000000001</v>
      </c>
      <c r="BX103">
        <v>0.8</v>
      </c>
      <c r="BY103">
        <v>0.8</v>
      </c>
      <c r="CA103">
        <v>1.32</v>
      </c>
      <c r="CB103">
        <v>1.32</v>
      </c>
      <c r="CD103" s="11">
        <v>1.06</v>
      </c>
      <c r="CE103" s="11">
        <v>1.06</v>
      </c>
      <c r="CF103" s="11"/>
      <c r="CG103" s="11">
        <v>0.76500000000000001</v>
      </c>
      <c r="CH103" s="11">
        <v>0.76500000000000001</v>
      </c>
      <c r="CI103" s="11"/>
      <c r="CJ103" s="11">
        <v>0.76500000000000001</v>
      </c>
      <c r="CK103" s="11">
        <v>0.76500000000000001</v>
      </c>
      <c r="CL103" s="11"/>
      <c r="CM103" s="11">
        <v>1.06</v>
      </c>
      <c r="CN103" s="11">
        <v>1.06</v>
      </c>
      <c r="CO103" s="11"/>
      <c r="CP103" s="11">
        <v>1.06</v>
      </c>
      <c r="CQ103" s="11">
        <v>1.06</v>
      </c>
      <c r="CR103" s="11"/>
      <c r="CS103" s="11">
        <v>0.76500000000000001</v>
      </c>
      <c r="CT103" s="11">
        <v>0.76500000000000001</v>
      </c>
      <c r="CU103" s="11"/>
      <c r="CV103" s="11">
        <v>1.06</v>
      </c>
      <c r="CW103" s="11">
        <v>1.06</v>
      </c>
      <c r="CX103" s="11"/>
      <c r="CY103" s="11">
        <v>0.76500000000000001</v>
      </c>
      <c r="CZ103" s="11">
        <v>0.76500000000000001</v>
      </c>
      <c r="DA103" s="11"/>
      <c r="DB103" s="11">
        <v>1.06</v>
      </c>
      <c r="DC103" s="11">
        <v>1.06</v>
      </c>
      <c r="DD103" s="11"/>
      <c r="DE103" s="11">
        <v>0.70499999999999996</v>
      </c>
      <c r="DF103" s="11">
        <v>0.70499999999999996</v>
      </c>
      <c r="DH103" t="s">
        <v>80</v>
      </c>
      <c r="DI103">
        <v>0.90200000000000002</v>
      </c>
      <c r="DJ103">
        <v>0.82</v>
      </c>
      <c r="DM103">
        <v>0</v>
      </c>
      <c r="DN103">
        <v>0</v>
      </c>
      <c r="DO103">
        <v>0</v>
      </c>
      <c r="DQ103" t="s">
        <v>273</v>
      </c>
      <c r="DR103" t="s">
        <v>273</v>
      </c>
    </row>
    <row r="104" spans="1:122" x14ac:dyDescent="0.2">
      <c r="A104" t="s">
        <v>67</v>
      </c>
      <c r="D104" s="14" t="s">
        <v>382</v>
      </c>
      <c r="E104" t="s">
        <v>84</v>
      </c>
      <c r="F104" t="s">
        <v>69</v>
      </c>
      <c r="G104" t="s">
        <v>98</v>
      </c>
      <c r="H104" t="s">
        <v>91</v>
      </c>
      <c r="I104" t="s">
        <v>151</v>
      </c>
      <c r="J104" t="s">
        <v>401</v>
      </c>
      <c r="K104" t="s">
        <v>380</v>
      </c>
      <c r="L104" t="s">
        <v>400</v>
      </c>
      <c r="M104" t="s">
        <v>399</v>
      </c>
      <c r="N104" t="s">
        <v>392</v>
      </c>
      <c r="O104" t="s">
        <v>97</v>
      </c>
      <c r="P104" t="str">
        <f t="shared" si="13"/>
        <v>DFTL_SOC_SRAMSOC_MSX001_SOCBST_P001_NRT_1WB_SRVC_R75_Selsrm1S11_</v>
      </c>
      <c r="S104">
        <v>0.82</v>
      </c>
      <c r="T104">
        <v>0.77080000000000004</v>
      </c>
      <c r="U104" t="s">
        <v>74</v>
      </c>
      <c r="V104" t="s">
        <v>128</v>
      </c>
      <c r="W104" t="s">
        <v>129</v>
      </c>
      <c r="X104" t="s">
        <v>130</v>
      </c>
      <c r="Y104" t="s">
        <v>131</v>
      </c>
      <c r="Z104" t="s">
        <v>141</v>
      </c>
      <c r="AA104" t="s">
        <v>133</v>
      </c>
      <c r="AC104" t="s">
        <v>398</v>
      </c>
      <c r="AF104" t="s">
        <v>397</v>
      </c>
      <c r="AG104" t="s">
        <v>396</v>
      </c>
      <c r="AM104" t="s">
        <v>166</v>
      </c>
      <c r="AN104">
        <v>0.74</v>
      </c>
      <c r="AO104">
        <v>0.74</v>
      </c>
      <c r="AQ104">
        <v>0.71499999999999997</v>
      </c>
      <c r="AR104">
        <v>0.71499999999999997</v>
      </c>
      <c r="AT104">
        <v>0.70499999999999996</v>
      </c>
      <c r="AU104">
        <v>0.70499999999999996</v>
      </c>
      <c r="AW104">
        <f t="shared" si="24"/>
        <v>0.8</v>
      </c>
      <c r="AX104">
        <f t="shared" si="37"/>
        <v>0.4</v>
      </c>
      <c r="AY104">
        <f t="shared" si="38"/>
        <v>0.01</v>
      </c>
      <c r="AZ104">
        <v>0.71</v>
      </c>
      <c r="BA104">
        <v>0.71</v>
      </c>
      <c r="BC104">
        <v>0.75</v>
      </c>
      <c r="BD104">
        <v>0.75</v>
      </c>
      <c r="BF104">
        <v>0.85</v>
      </c>
      <c r="BG104">
        <v>0.85</v>
      </c>
      <c r="BI104">
        <v>0.8</v>
      </c>
      <c r="BJ104">
        <v>0.4</v>
      </c>
      <c r="BK104">
        <v>0.01</v>
      </c>
      <c r="BL104">
        <v>0.82</v>
      </c>
      <c r="BM104">
        <v>0.82</v>
      </c>
      <c r="BO104">
        <v>0.84</v>
      </c>
      <c r="BP104">
        <v>0.84</v>
      </c>
      <c r="BR104">
        <v>0.8</v>
      </c>
      <c r="BS104">
        <v>0.8</v>
      </c>
      <c r="BU104">
        <v>0.88500000000000001</v>
      </c>
      <c r="BV104">
        <v>0.88500000000000001</v>
      </c>
      <c r="BX104">
        <v>0.8</v>
      </c>
      <c r="BY104">
        <v>0.8</v>
      </c>
      <c r="CA104">
        <v>1.32</v>
      </c>
      <c r="CB104">
        <v>1.32</v>
      </c>
      <c r="CD104" s="11">
        <v>1.06</v>
      </c>
      <c r="CE104" s="11">
        <v>1.06</v>
      </c>
      <c r="CF104" s="11"/>
      <c r="CG104" s="11">
        <v>0.76500000000000001</v>
      </c>
      <c r="CH104" s="11">
        <v>0.76500000000000001</v>
      </c>
      <c r="CI104" s="11"/>
      <c r="CJ104" s="11">
        <v>0.76500000000000001</v>
      </c>
      <c r="CK104" s="11">
        <v>0.76500000000000001</v>
      </c>
      <c r="CL104" s="11"/>
      <c r="CM104" s="11">
        <v>1.06</v>
      </c>
      <c r="CN104" s="11">
        <v>1.06</v>
      </c>
      <c r="CO104" s="11"/>
      <c r="CP104" s="11">
        <v>1.06</v>
      </c>
      <c r="CQ104" s="11">
        <v>1.06</v>
      </c>
      <c r="CR104" s="11"/>
      <c r="CS104" s="11">
        <v>0.76500000000000001</v>
      </c>
      <c r="CT104" s="11">
        <v>0.76500000000000001</v>
      </c>
      <c r="CU104" s="11"/>
      <c r="CV104" s="11">
        <v>1.06</v>
      </c>
      <c r="CW104" s="11">
        <v>1.06</v>
      </c>
      <c r="CX104" s="11"/>
      <c r="CY104" s="11">
        <v>0.76500000000000001</v>
      </c>
      <c r="CZ104" s="11">
        <v>0.76500000000000001</v>
      </c>
      <c r="DA104" s="11"/>
      <c r="DB104" s="11">
        <v>1.06</v>
      </c>
      <c r="DC104" s="11">
        <v>1.06</v>
      </c>
      <c r="DD104" s="11"/>
      <c r="DE104" s="11">
        <v>0.70499999999999996</v>
      </c>
      <c r="DF104" s="11">
        <v>0.70499999999999996</v>
      </c>
      <c r="DH104" t="s">
        <v>80</v>
      </c>
      <c r="DI104">
        <v>0.77100000000000002</v>
      </c>
      <c r="DJ104">
        <v>0.82</v>
      </c>
      <c r="DK104" s="13" t="s">
        <v>372</v>
      </c>
      <c r="DL104" t="s">
        <v>371</v>
      </c>
      <c r="DM104">
        <v>0</v>
      </c>
      <c r="DN104">
        <v>0</v>
      </c>
      <c r="DO104">
        <v>0</v>
      </c>
      <c r="DQ104" t="s">
        <v>273</v>
      </c>
      <c r="DR104" t="s">
        <v>273</v>
      </c>
    </row>
    <row r="105" spans="1:122" x14ac:dyDescent="0.2">
      <c r="A105" t="s">
        <v>67</v>
      </c>
      <c r="E105" t="s">
        <v>84</v>
      </c>
      <c r="F105" t="s">
        <v>99</v>
      </c>
      <c r="G105" t="s">
        <v>106</v>
      </c>
      <c r="H105" t="s">
        <v>120</v>
      </c>
      <c r="I105" t="s">
        <v>116</v>
      </c>
      <c r="J105" t="s">
        <v>355</v>
      </c>
      <c r="K105" t="s">
        <v>71</v>
      </c>
      <c r="L105" t="s">
        <v>102</v>
      </c>
      <c r="M105" t="s">
        <v>357</v>
      </c>
      <c r="N105" t="s">
        <v>392</v>
      </c>
      <c r="O105" t="s">
        <v>96</v>
      </c>
      <c r="P105" t="str">
        <f t="shared" ref="P105:P120" si="43">E105&amp;"_"&amp;F105&amp;"_"&amp;G105&amp;"_"&amp;H105&amp;"_"&amp;I105&amp;"_"&amp;J105&amp;"_"&amp;K105&amp;"_"&amp;L105&amp;"_"&amp;M105&amp;"_"&amp;N105&amp;"_"&amp;O105&amp;"_"</f>
        <v>DFTL_CPU_CPUSRAM_MPXXXX_CPUBST_H0XD_PLLP_59N_REPDAT_R75_SelsrmSSSS_</v>
      </c>
      <c r="S105">
        <v>1.32</v>
      </c>
      <c r="T105">
        <v>1.2</v>
      </c>
      <c r="U105" t="s">
        <v>74</v>
      </c>
      <c r="V105" t="s">
        <v>104</v>
      </c>
      <c r="W105" t="s">
        <v>105</v>
      </c>
      <c r="X105" t="s">
        <v>395</v>
      </c>
      <c r="Y105" t="s">
        <v>385</v>
      </c>
      <c r="AF105" t="s">
        <v>407</v>
      </c>
      <c r="AM105" t="s">
        <v>166</v>
      </c>
      <c r="AN105">
        <v>0.74</v>
      </c>
      <c r="AO105">
        <v>0.74</v>
      </c>
      <c r="AQ105">
        <v>0.71499999999999997</v>
      </c>
      <c r="AR105">
        <v>0.71499999999999997</v>
      </c>
      <c r="AT105">
        <v>0.70499999999999996</v>
      </c>
      <c r="AU105">
        <v>0.70499999999999996</v>
      </c>
      <c r="AW105">
        <v>1.0349999999999999</v>
      </c>
      <c r="AX105">
        <v>1.0349999999999999</v>
      </c>
      <c r="AZ105">
        <v>0.71</v>
      </c>
      <c r="BA105">
        <v>0.71</v>
      </c>
      <c r="BC105">
        <v>0.75</v>
      </c>
      <c r="BD105">
        <v>0.75</v>
      </c>
      <c r="BF105">
        <v>0.8</v>
      </c>
      <c r="BG105">
        <v>0.3</v>
      </c>
      <c r="BH105">
        <v>0.01</v>
      </c>
      <c r="BI105">
        <v>0.82</v>
      </c>
      <c r="BJ105">
        <v>0.82</v>
      </c>
      <c r="BL105">
        <v>0.82</v>
      </c>
      <c r="BM105">
        <v>0.82</v>
      </c>
      <c r="BO105">
        <v>0.84</v>
      </c>
      <c r="BP105">
        <v>0.84</v>
      </c>
      <c r="BR105">
        <v>0.8</v>
      </c>
      <c r="BS105">
        <v>0.8</v>
      </c>
      <c r="BU105">
        <v>0.88500000000000001</v>
      </c>
      <c r="BV105">
        <v>0.88500000000000001</v>
      </c>
      <c r="BX105">
        <v>0.8</v>
      </c>
      <c r="BY105">
        <v>0.8</v>
      </c>
      <c r="CA105">
        <v>1.32</v>
      </c>
      <c r="CB105">
        <v>1.32</v>
      </c>
      <c r="CD105" s="11">
        <v>1.06</v>
      </c>
      <c r="CE105" s="11">
        <v>1.06</v>
      </c>
      <c r="CF105" s="11"/>
      <c r="CG105" s="11">
        <v>0.76500000000000001</v>
      </c>
      <c r="CH105" s="11">
        <v>0.76500000000000001</v>
      </c>
      <c r="CI105" s="11"/>
      <c r="CJ105" s="11">
        <v>0.76500000000000001</v>
      </c>
      <c r="CK105" s="11">
        <v>0.76500000000000001</v>
      </c>
      <c r="CL105" s="11"/>
      <c r="CM105" s="11">
        <v>1.06</v>
      </c>
      <c r="CN105" s="11">
        <v>1.06</v>
      </c>
      <c r="CO105" s="11"/>
      <c r="CP105" s="11">
        <v>1.06</v>
      </c>
      <c r="CQ105" s="11">
        <v>1.06</v>
      </c>
      <c r="CR105" s="11"/>
      <c r="CS105" s="11">
        <v>0.76500000000000001</v>
      </c>
      <c r="CT105" s="11">
        <v>0.76500000000000001</v>
      </c>
      <c r="CU105" s="11"/>
      <c r="CV105" s="11">
        <v>1.06</v>
      </c>
      <c r="CW105" s="11">
        <v>1.06</v>
      </c>
      <c r="CX105" s="11"/>
      <c r="CY105" s="11">
        <v>0.76500000000000001</v>
      </c>
      <c r="CZ105" s="11">
        <v>0.76500000000000001</v>
      </c>
      <c r="DA105" s="11"/>
      <c r="DB105" s="11">
        <v>1.06</v>
      </c>
      <c r="DC105" s="11">
        <v>1.06</v>
      </c>
      <c r="DD105" s="11"/>
      <c r="DE105" s="11">
        <v>0.70499999999999996</v>
      </c>
      <c r="DF105" s="11">
        <v>0.70499999999999996</v>
      </c>
      <c r="DH105" t="s">
        <v>80</v>
      </c>
      <c r="DI105">
        <v>1.32</v>
      </c>
      <c r="DJ105">
        <v>1.2</v>
      </c>
      <c r="DM105">
        <v>0</v>
      </c>
      <c r="DN105">
        <v>0</v>
      </c>
      <c r="DO105">
        <v>0</v>
      </c>
      <c r="DQ105" t="s">
        <v>273</v>
      </c>
      <c r="DR105" t="s">
        <v>273</v>
      </c>
    </row>
    <row r="106" spans="1:122" x14ac:dyDescent="0.2">
      <c r="A106" t="s">
        <v>67</v>
      </c>
      <c r="E106" t="s">
        <v>84</v>
      </c>
      <c r="F106" t="s">
        <v>99</v>
      </c>
      <c r="G106" t="s">
        <v>106</v>
      </c>
      <c r="H106" t="s">
        <v>387</v>
      </c>
      <c r="I106" t="s">
        <v>116</v>
      </c>
      <c r="J106" t="s">
        <v>114</v>
      </c>
      <c r="K106" t="s">
        <v>71</v>
      </c>
      <c r="L106" t="s">
        <v>102</v>
      </c>
      <c r="M106" t="s">
        <v>357</v>
      </c>
      <c r="N106" t="s">
        <v>392</v>
      </c>
      <c r="O106" t="s">
        <v>96</v>
      </c>
      <c r="P106" t="str">
        <f t="shared" si="43"/>
        <v>DFTL_CPU_CPUSRAM_MEXXXX_CPUBST_E0XD_PLLP_59N_REPDAT_R75_SelsrmSSSS_</v>
      </c>
      <c r="S106">
        <v>1.2264999999999999</v>
      </c>
      <c r="T106">
        <v>1.115</v>
      </c>
      <c r="U106" t="s">
        <v>74</v>
      </c>
      <c r="V106" t="s">
        <v>377</v>
      </c>
      <c r="W106" t="s">
        <v>376</v>
      </c>
      <c r="X106" s="11" t="s">
        <v>394</v>
      </c>
      <c r="Y106" t="s">
        <v>375</v>
      </c>
      <c r="AF106" t="s">
        <v>408</v>
      </c>
      <c r="AM106" t="s">
        <v>166</v>
      </c>
      <c r="AN106">
        <v>0.74</v>
      </c>
      <c r="AO106">
        <v>0.74</v>
      </c>
      <c r="AQ106">
        <v>0.71499999999999997</v>
      </c>
      <c r="AR106">
        <v>0.71499999999999997</v>
      </c>
      <c r="AT106">
        <v>0.70499999999999996</v>
      </c>
      <c r="AU106">
        <v>0.70499999999999996</v>
      </c>
      <c r="AW106">
        <v>1.0349999999999999</v>
      </c>
      <c r="AX106">
        <v>1.0349999999999999</v>
      </c>
      <c r="AZ106">
        <v>0.71</v>
      </c>
      <c r="BA106">
        <v>0.71</v>
      </c>
      <c r="BC106">
        <v>0.75</v>
      </c>
      <c r="BD106">
        <v>0.75</v>
      </c>
      <c r="BF106">
        <v>0.8</v>
      </c>
      <c r="BG106">
        <v>0.3</v>
      </c>
      <c r="BH106">
        <v>0.01</v>
      </c>
      <c r="BI106">
        <v>0.82</v>
      </c>
      <c r="BJ106">
        <v>0.82</v>
      </c>
      <c r="BL106">
        <v>0.82</v>
      </c>
      <c r="BM106">
        <v>0.82</v>
      </c>
      <c r="BO106">
        <v>0.84</v>
      </c>
      <c r="BP106">
        <v>0.84</v>
      </c>
      <c r="BR106">
        <v>0.8</v>
      </c>
      <c r="BS106">
        <v>0.8</v>
      </c>
      <c r="BU106">
        <v>0.88500000000000001</v>
      </c>
      <c r="BV106">
        <v>0.88500000000000001</v>
      </c>
      <c r="BX106">
        <v>0.8</v>
      </c>
      <c r="BY106">
        <v>0.8</v>
      </c>
      <c r="CA106">
        <v>1.32</v>
      </c>
      <c r="CB106">
        <v>1.32</v>
      </c>
      <c r="CD106" s="11">
        <v>1.06</v>
      </c>
      <c r="CE106" s="11">
        <v>1.06</v>
      </c>
      <c r="CF106" s="11"/>
      <c r="CG106" s="11">
        <v>0.76500000000000001</v>
      </c>
      <c r="CH106" s="11">
        <v>0.76500000000000001</v>
      </c>
      <c r="CI106" s="11"/>
      <c r="CJ106" s="11">
        <v>0.76500000000000001</v>
      </c>
      <c r="CK106" s="11">
        <v>0.76500000000000001</v>
      </c>
      <c r="CL106" s="11"/>
      <c r="CM106" s="11">
        <v>1.06</v>
      </c>
      <c r="CN106" s="11">
        <v>1.06</v>
      </c>
      <c r="CO106" s="11"/>
      <c r="CP106" s="11">
        <v>1.06</v>
      </c>
      <c r="CQ106" s="11">
        <v>1.06</v>
      </c>
      <c r="CR106" s="11"/>
      <c r="CS106" s="11">
        <v>0.76500000000000001</v>
      </c>
      <c r="CT106" s="11">
        <v>0.76500000000000001</v>
      </c>
      <c r="CU106" s="11"/>
      <c r="CV106" s="11">
        <v>1.06</v>
      </c>
      <c r="CW106" s="11">
        <v>1.06</v>
      </c>
      <c r="CX106" s="11"/>
      <c r="CY106" s="11">
        <v>0.76500000000000001</v>
      </c>
      <c r="CZ106" s="11">
        <v>0.76500000000000001</v>
      </c>
      <c r="DA106" s="11"/>
      <c r="DB106" s="11">
        <v>1.06</v>
      </c>
      <c r="DC106" s="11">
        <v>1.06</v>
      </c>
      <c r="DD106" s="11"/>
      <c r="DE106" s="11">
        <v>0.70499999999999996</v>
      </c>
      <c r="DF106" s="11">
        <v>0.70499999999999996</v>
      </c>
      <c r="DH106" t="s">
        <v>80</v>
      </c>
      <c r="DI106">
        <v>1.2270000000000001</v>
      </c>
      <c r="DJ106">
        <v>1.115</v>
      </c>
      <c r="DM106">
        <v>0</v>
      </c>
      <c r="DN106">
        <v>0</v>
      </c>
      <c r="DO106">
        <v>0</v>
      </c>
      <c r="DQ106" t="s">
        <v>273</v>
      </c>
      <c r="DR106" t="s">
        <v>273</v>
      </c>
    </row>
    <row r="107" spans="1:122" x14ac:dyDescent="0.2">
      <c r="A107" t="s">
        <v>67</v>
      </c>
      <c r="D107" s="14" t="s">
        <v>382</v>
      </c>
      <c r="E107" t="s">
        <v>84</v>
      </c>
      <c r="F107" t="s">
        <v>99</v>
      </c>
      <c r="G107" t="s">
        <v>106</v>
      </c>
      <c r="H107" t="s">
        <v>101</v>
      </c>
      <c r="I107" t="s">
        <v>116</v>
      </c>
      <c r="J107" t="s">
        <v>355</v>
      </c>
      <c r="K107" t="s">
        <v>380</v>
      </c>
      <c r="L107" t="s">
        <v>379</v>
      </c>
      <c r="M107" t="s">
        <v>357</v>
      </c>
      <c r="N107" t="s">
        <v>392</v>
      </c>
      <c r="O107" t="s">
        <v>96</v>
      </c>
      <c r="P107" t="str">
        <f t="shared" si="43"/>
        <v>DFTL_CPU_CPUSRAM_MPX001_CPUBST_H0XD_NRT_1W0_REPDAT_R75_SelsrmSSSS_</v>
      </c>
      <c r="S107">
        <v>0.85</v>
      </c>
      <c r="T107">
        <v>0.79900000000000004</v>
      </c>
      <c r="U107" t="s">
        <v>74</v>
      </c>
      <c r="V107" t="s">
        <v>104</v>
      </c>
      <c r="W107" t="s">
        <v>105</v>
      </c>
      <c r="X107" t="s">
        <v>393</v>
      </c>
      <c r="Y107" t="s">
        <v>385</v>
      </c>
      <c r="AF107" t="s">
        <v>384</v>
      </c>
      <c r="AG107" t="s">
        <v>390</v>
      </c>
      <c r="AM107" t="s">
        <v>166</v>
      </c>
      <c r="AN107">
        <v>0.74</v>
      </c>
      <c r="AO107">
        <v>0.74</v>
      </c>
      <c r="AQ107">
        <v>0.71499999999999997</v>
      </c>
      <c r="AR107">
        <v>0.71499999999999997</v>
      </c>
      <c r="AT107">
        <v>0.70499999999999996</v>
      </c>
      <c r="AU107">
        <v>0.70499999999999996</v>
      </c>
      <c r="AW107">
        <v>0.73</v>
      </c>
      <c r="AX107">
        <v>0.73</v>
      </c>
      <c r="AZ107">
        <v>0.71</v>
      </c>
      <c r="BA107">
        <v>0.71</v>
      </c>
      <c r="BC107">
        <v>0.75</v>
      </c>
      <c r="BD107">
        <v>0.75</v>
      </c>
      <c r="BF107">
        <v>0.65</v>
      </c>
      <c r="BG107">
        <v>0.25</v>
      </c>
      <c r="BH107">
        <v>5.0000000000000001E-3</v>
      </c>
      <c r="BI107">
        <v>0.82</v>
      </c>
      <c r="BJ107">
        <v>0.82</v>
      </c>
      <c r="BL107">
        <v>0.82</v>
      </c>
      <c r="BM107">
        <v>0.82</v>
      </c>
      <c r="BO107">
        <v>0.84</v>
      </c>
      <c r="BP107">
        <v>0.84</v>
      </c>
      <c r="BR107">
        <v>0.8</v>
      </c>
      <c r="BS107">
        <v>0.8</v>
      </c>
      <c r="BU107">
        <v>0.88500000000000001</v>
      </c>
      <c r="BV107">
        <v>0.88500000000000001</v>
      </c>
      <c r="BX107">
        <v>0.8</v>
      </c>
      <c r="BY107">
        <v>0.8</v>
      </c>
      <c r="CA107">
        <v>1.32</v>
      </c>
      <c r="CB107">
        <v>1.32</v>
      </c>
      <c r="CD107" s="11">
        <v>1.06</v>
      </c>
      <c r="CE107" s="11">
        <v>1.06</v>
      </c>
      <c r="CF107" s="11"/>
      <c r="CG107" s="11">
        <v>0.76500000000000001</v>
      </c>
      <c r="CH107" s="11">
        <v>0.76500000000000001</v>
      </c>
      <c r="CI107" s="11"/>
      <c r="CJ107" s="11">
        <v>0.76500000000000001</v>
      </c>
      <c r="CK107" s="11">
        <v>0.76500000000000001</v>
      </c>
      <c r="CL107" s="11"/>
      <c r="CM107" s="11">
        <v>1.06</v>
      </c>
      <c r="CN107" s="11">
        <v>1.06</v>
      </c>
      <c r="CO107" s="11"/>
      <c r="CP107" s="11">
        <v>1.06</v>
      </c>
      <c r="CQ107" s="11">
        <v>1.06</v>
      </c>
      <c r="CR107" s="11"/>
      <c r="CS107" s="11">
        <v>0.76500000000000001</v>
      </c>
      <c r="CT107" s="11">
        <v>0.76500000000000001</v>
      </c>
      <c r="CU107" s="11"/>
      <c r="CV107" s="11">
        <v>1.06</v>
      </c>
      <c r="CW107" s="11">
        <v>1.06</v>
      </c>
      <c r="CX107" s="11"/>
      <c r="CY107" s="11">
        <v>0.76500000000000001</v>
      </c>
      <c r="CZ107" s="11">
        <v>0.76500000000000001</v>
      </c>
      <c r="DA107" s="11"/>
      <c r="DB107" s="11">
        <v>1.06</v>
      </c>
      <c r="DC107" s="11">
        <v>1.06</v>
      </c>
      <c r="DD107" s="11"/>
      <c r="DE107" s="11">
        <v>0.70499999999999996</v>
      </c>
      <c r="DF107" s="11">
        <v>0.70499999999999996</v>
      </c>
      <c r="DH107" t="s">
        <v>80</v>
      </c>
      <c r="DI107">
        <v>0.5</v>
      </c>
      <c r="DJ107">
        <v>0.85</v>
      </c>
      <c r="DK107" s="13" t="s">
        <v>372</v>
      </c>
      <c r="DL107" t="s">
        <v>371</v>
      </c>
      <c r="DM107">
        <v>0</v>
      </c>
      <c r="DN107">
        <v>0</v>
      </c>
      <c r="DO107">
        <v>0</v>
      </c>
      <c r="DQ107" t="s">
        <v>273</v>
      </c>
      <c r="DR107" t="s">
        <v>273</v>
      </c>
    </row>
    <row r="108" spans="1:122" x14ac:dyDescent="0.2">
      <c r="A108" t="s">
        <v>67</v>
      </c>
      <c r="D108" s="14" t="s">
        <v>382</v>
      </c>
      <c r="E108" t="s">
        <v>84</v>
      </c>
      <c r="F108" t="s">
        <v>99</v>
      </c>
      <c r="G108" t="s">
        <v>106</v>
      </c>
      <c r="H108" t="s">
        <v>113</v>
      </c>
      <c r="I108" t="s">
        <v>116</v>
      </c>
      <c r="J108" t="s">
        <v>114</v>
      </c>
      <c r="K108" t="s">
        <v>380</v>
      </c>
      <c r="L108" t="s">
        <v>379</v>
      </c>
      <c r="M108" t="s">
        <v>357</v>
      </c>
      <c r="N108" t="s">
        <v>392</v>
      </c>
      <c r="O108" t="s">
        <v>96</v>
      </c>
      <c r="P108" t="str">
        <f t="shared" si="43"/>
        <v>DFTL_CPU_CPUSRAM_MEX001_CPUBST_E0XD_NRT_1W0_REPDAT_R75_SelsrmSSSS_</v>
      </c>
      <c r="S108">
        <v>0.85</v>
      </c>
      <c r="T108">
        <v>0.79900000000000004</v>
      </c>
      <c r="U108" t="s">
        <v>74</v>
      </c>
      <c r="V108" t="s">
        <v>377</v>
      </c>
      <c r="W108" t="s">
        <v>376</v>
      </c>
      <c r="X108" t="s">
        <v>391</v>
      </c>
      <c r="Y108" t="s">
        <v>375</v>
      </c>
      <c r="AF108" t="s">
        <v>374</v>
      </c>
      <c r="AG108" t="s">
        <v>389</v>
      </c>
      <c r="AM108" t="s">
        <v>166</v>
      </c>
      <c r="AN108">
        <v>0.74</v>
      </c>
      <c r="AO108">
        <v>0.74</v>
      </c>
      <c r="AQ108">
        <v>0.71499999999999997</v>
      </c>
      <c r="AR108">
        <v>0.71499999999999997</v>
      </c>
      <c r="AT108">
        <v>0.70499999999999996</v>
      </c>
      <c r="AU108">
        <v>0.70499999999999996</v>
      </c>
      <c r="AW108">
        <v>0.73</v>
      </c>
      <c r="AX108">
        <v>0.73</v>
      </c>
      <c r="AZ108">
        <v>0.71</v>
      </c>
      <c r="BA108">
        <v>0.71</v>
      </c>
      <c r="BC108">
        <v>0.75</v>
      </c>
      <c r="BD108">
        <v>0.75</v>
      </c>
      <c r="BF108">
        <v>0.65</v>
      </c>
      <c r="BG108">
        <v>0.25</v>
      </c>
      <c r="BH108">
        <v>5.0000000000000001E-3</v>
      </c>
      <c r="BI108">
        <v>0.82</v>
      </c>
      <c r="BJ108">
        <v>0.82</v>
      </c>
      <c r="BL108">
        <v>0.82</v>
      </c>
      <c r="BM108">
        <v>0.82</v>
      </c>
      <c r="BO108">
        <v>0.84</v>
      </c>
      <c r="BP108">
        <v>0.84</v>
      </c>
      <c r="BR108">
        <v>0.8</v>
      </c>
      <c r="BS108">
        <v>0.8</v>
      </c>
      <c r="BU108">
        <v>0.88500000000000001</v>
      </c>
      <c r="BV108">
        <v>0.88500000000000001</v>
      </c>
      <c r="BX108">
        <v>0.8</v>
      </c>
      <c r="BY108">
        <v>0.8</v>
      </c>
      <c r="CA108">
        <v>1.32</v>
      </c>
      <c r="CB108">
        <v>1.32</v>
      </c>
      <c r="CD108" s="11">
        <v>1.06</v>
      </c>
      <c r="CE108" s="11">
        <v>1.06</v>
      </c>
      <c r="CF108" s="11"/>
      <c r="CG108" s="11">
        <v>0.76500000000000001</v>
      </c>
      <c r="CH108" s="11">
        <v>0.76500000000000001</v>
      </c>
      <c r="CI108" s="11"/>
      <c r="CJ108" s="11">
        <v>0.76500000000000001</v>
      </c>
      <c r="CK108" s="11">
        <v>0.76500000000000001</v>
      </c>
      <c r="CL108" s="11"/>
      <c r="CM108" s="11">
        <v>1.06</v>
      </c>
      <c r="CN108" s="11">
        <v>1.06</v>
      </c>
      <c r="CO108" s="11"/>
      <c r="CP108" s="11">
        <v>1.06</v>
      </c>
      <c r="CQ108" s="11">
        <v>1.06</v>
      </c>
      <c r="CR108" s="11"/>
      <c r="CS108" s="11">
        <v>0.76500000000000001</v>
      </c>
      <c r="CT108" s="11">
        <v>0.76500000000000001</v>
      </c>
      <c r="CU108" s="11"/>
      <c r="CV108" s="11">
        <v>1.06</v>
      </c>
      <c r="CW108" s="11">
        <v>1.06</v>
      </c>
      <c r="CX108" s="11"/>
      <c r="CY108" s="11">
        <v>0.76500000000000001</v>
      </c>
      <c r="CZ108" s="11">
        <v>0.76500000000000001</v>
      </c>
      <c r="DA108" s="11"/>
      <c r="DB108" s="11">
        <v>1.06</v>
      </c>
      <c r="DC108" s="11">
        <v>1.06</v>
      </c>
      <c r="DD108" s="11"/>
      <c r="DE108" s="11">
        <v>0.70499999999999996</v>
      </c>
      <c r="DF108" s="11">
        <v>0.70499999999999996</v>
      </c>
      <c r="DH108" t="s">
        <v>80</v>
      </c>
      <c r="DI108">
        <v>0.5</v>
      </c>
      <c r="DJ108">
        <v>0.85</v>
      </c>
      <c r="DK108" s="13" t="s">
        <v>372</v>
      </c>
      <c r="DL108" t="s">
        <v>371</v>
      </c>
      <c r="DM108">
        <v>0</v>
      </c>
      <c r="DN108">
        <v>0</v>
      </c>
      <c r="DO108">
        <v>0</v>
      </c>
      <c r="DQ108" t="s">
        <v>273</v>
      </c>
      <c r="DR108" t="s">
        <v>273</v>
      </c>
    </row>
    <row r="109" spans="1:122" x14ac:dyDescent="0.2">
      <c r="A109" t="s">
        <v>67</v>
      </c>
      <c r="E109" t="s">
        <v>84</v>
      </c>
      <c r="F109" t="s">
        <v>99</v>
      </c>
      <c r="G109" t="s">
        <v>106</v>
      </c>
      <c r="H109" t="s">
        <v>120</v>
      </c>
      <c r="I109" t="s">
        <v>381</v>
      </c>
      <c r="J109" t="s">
        <v>355</v>
      </c>
      <c r="K109" t="s">
        <v>71</v>
      </c>
      <c r="L109" t="s">
        <v>102</v>
      </c>
      <c r="M109" t="s">
        <v>357</v>
      </c>
      <c r="N109" t="s">
        <v>392</v>
      </c>
      <c r="O109" t="s">
        <v>96</v>
      </c>
      <c r="P109" t="str">
        <f t="shared" si="43"/>
        <v>DFTL_CPU_CPUSRAM_MPXXXX_CPUBIR_H0XD_PLLP_59N_REPDAT_R75_SelsrmSSSS_</v>
      </c>
      <c r="S109">
        <v>1.32</v>
      </c>
      <c r="T109">
        <v>1.2</v>
      </c>
      <c r="U109" t="s">
        <v>74</v>
      </c>
      <c r="V109" t="s">
        <v>104</v>
      </c>
      <c r="W109" t="s">
        <v>105</v>
      </c>
      <c r="X109" t="s">
        <v>395</v>
      </c>
      <c r="Y109" t="s">
        <v>385</v>
      </c>
      <c r="AF109" t="s">
        <v>388</v>
      </c>
      <c r="AM109" t="s">
        <v>166</v>
      </c>
      <c r="AN109">
        <v>0.74</v>
      </c>
      <c r="AO109">
        <v>0.74</v>
      </c>
      <c r="AQ109">
        <v>0.71499999999999997</v>
      </c>
      <c r="AR109">
        <v>0.71499999999999997</v>
      </c>
      <c r="AT109">
        <v>0.70499999999999996</v>
      </c>
      <c r="AU109">
        <v>0.70499999999999996</v>
      </c>
      <c r="AW109">
        <v>1.0349999999999999</v>
      </c>
      <c r="AX109">
        <v>1.0349999999999999</v>
      </c>
      <c r="AZ109">
        <v>0.71</v>
      </c>
      <c r="BA109">
        <v>0.71</v>
      </c>
      <c r="BC109">
        <v>0.75</v>
      </c>
      <c r="BD109">
        <v>0.75</v>
      </c>
      <c r="BF109">
        <v>0.8</v>
      </c>
      <c r="BG109">
        <v>0.3</v>
      </c>
      <c r="BH109">
        <v>0.01</v>
      </c>
      <c r="BI109">
        <v>0.82</v>
      </c>
      <c r="BJ109">
        <v>0.82</v>
      </c>
      <c r="BL109">
        <v>0.82</v>
      </c>
      <c r="BM109">
        <v>0.82</v>
      </c>
      <c r="BO109">
        <v>0.84</v>
      </c>
      <c r="BP109">
        <v>0.84</v>
      </c>
      <c r="BR109">
        <v>0.8</v>
      </c>
      <c r="BS109">
        <v>0.8</v>
      </c>
      <c r="BU109">
        <v>0.88500000000000001</v>
      </c>
      <c r="BV109">
        <v>0.88500000000000001</v>
      </c>
      <c r="BX109">
        <v>0.8</v>
      </c>
      <c r="BY109">
        <v>0.8</v>
      </c>
      <c r="CA109">
        <v>1.32</v>
      </c>
      <c r="CB109">
        <v>1.32</v>
      </c>
      <c r="CD109" s="11">
        <v>1.06</v>
      </c>
      <c r="CE109" s="11">
        <v>1.06</v>
      </c>
      <c r="CF109" s="11"/>
      <c r="CG109" s="11">
        <v>0.76500000000000001</v>
      </c>
      <c r="CH109" s="11">
        <v>0.76500000000000001</v>
      </c>
      <c r="CI109" s="11"/>
      <c r="CJ109" s="11">
        <v>0.76500000000000001</v>
      </c>
      <c r="CK109" s="11">
        <v>0.76500000000000001</v>
      </c>
      <c r="CL109" s="11"/>
      <c r="CM109" s="11">
        <v>1.06</v>
      </c>
      <c r="CN109" s="11">
        <v>1.06</v>
      </c>
      <c r="CO109" s="11"/>
      <c r="CP109" s="11">
        <v>1.06</v>
      </c>
      <c r="CQ109" s="11">
        <v>1.06</v>
      </c>
      <c r="CR109" s="11"/>
      <c r="CS109" s="11">
        <v>0.76500000000000001</v>
      </c>
      <c r="CT109" s="11">
        <v>0.76500000000000001</v>
      </c>
      <c r="CU109" s="11"/>
      <c r="CV109" s="11">
        <v>1.06</v>
      </c>
      <c r="CW109" s="11">
        <v>1.06</v>
      </c>
      <c r="CX109" s="11"/>
      <c r="CY109" s="11">
        <v>0.76500000000000001</v>
      </c>
      <c r="CZ109" s="11">
        <v>0.76500000000000001</v>
      </c>
      <c r="DA109" s="11"/>
      <c r="DB109" s="11">
        <v>1.06</v>
      </c>
      <c r="DC109" s="11">
        <v>1.06</v>
      </c>
      <c r="DD109" s="11"/>
      <c r="DE109" s="11">
        <v>0.70499999999999996</v>
      </c>
      <c r="DF109" s="11">
        <v>0.70499999999999996</v>
      </c>
      <c r="DH109" t="s">
        <v>80</v>
      </c>
      <c r="DI109">
        <v>1.32</v>
      </c>
      <c r="DJ109">
        <v>1.2</v>
      </c>
      <c r="DM109">
        <v>0</v>
      </c>
      <c r="DN109">
        <v>0</v>
      </c>
      <c r="DO109">
        <v>0</v>
      </c>
      <c r="DQ109" t="s">
        <v>273</v>
      </c>
      <c r="DR109" t="s">
        <v>273</v>
      </c>
    </row>
    <row r="110" spans="1:122" x14ac:dyDescent="0.2">
      <c r="A110" t="s">
        <v>67</v>
      </c>
      <c r="E110" t="s">
        <v>84</v>
      </c>
      <c r="F110" t="s">
        <v>99</v>
      </c>
      <c r="G110" t="s">
        <v>106</v>
      </c>
      <c r="H110" t="s">
        <v>387</v>
      </c>
      <c r="I110" t="s">
        <v>381</v>
      </c>
      <c r="J110" t="s">
        <v>114</v>
      </c>
      <c r="K110" t="s">
        <v>71</v>
      </c>
      <c r="L110" t="s">
        <v>102</v>
      </c>
      <c r="M110" t="s">
        <v>357</v>
      </c>
      <c r="N110" t="s">
        <v>392</v>
      </c>
      <c r="O110" t="s">
        <v>96</v>
      </c>
      <c r="P110" t="str">
        <f t="shared" si="43"/>
        <v>DFTL_CPU_CPUSRAM_MEXXXX_CPUBIR_E0XD_PLLP_59N_REPDAT_R75_SelsrmSSSS_</v>
      </c>
      <c r="S110">
        <v>1.2264999999999999</v>
      </c>
      <c r="T110">
        <v>1.115</v>
      </c>
      <c r="U110" t="s">
        <v>74</v>
      </c>
      <c r="V110" t="s">
        <v>377</v>
      </c>
      <c r="W110" t="s">
        <v>376</v>
      </c>
      <c r="X110" s="11" t="s">
        <v>394</v>
      </c>
      <c r="Y110" t="s">
        <v>375</v>
      </c>
      <c r="AF110" t="s">
        <v>386</v>
      </c>
      <c r="AM110" t="s">
        <v>166</v>
      </c>
      <c r="AN110">
        <v>0.74</v>
      </c>
      <c r="AO110">
        <v>0.74</v>
      </c>
      <c r="AQ110">
        <v>0.71499999999999997</v>
      </c>
      <c r="AR110">
        <v>0.71499999999999997</v>
      </c>
      <c r="AT110">
        <v>0.70499999999999996</v>
      </c>
      <c r="AU110">
        <v>0.70499999999999996</v>
      </c>
      <c r="AW110">
        <v>1.0349999999999999</v>
      </c>
      <c r="AX110">
        <v>1.0349999999999999</v>
      </c>
      <c r="AZ110">
        <v>0.71</v>
      </c>
      <c r="BA110">
        <v>0.71</v>
      </c>
      <c r="BC110">
        <v>0.75</v>
      </c>
      <c r="BD110">
        <v>0.75</v>
      </c>
      <c r="BF110">
        <v>0.8</v>
      </c>
      <c r="BG110">
        <v>0.3</v>
      </c>
      <c r="BH110">
        <v>0.01</v>
      </c>
      <c r="BI110">
        <v>0.82</v>
      </c>
      <c r="BJ110">
        <v>0.82</v>
      </c>
      <c r="BL110">
        <v>0.82</v>
      </c>
      <c r="BM110">
        <v>0.82</v>
      </c>
      <c r="BO110">
        <v>0.84</v>
      </c>
      <c r="BP110">
        <v>0.84</v>
      </c>
      <c r="BR110">
        <v>0.8</v>
      </c>
      <c r="BS110">
        <v>0.8</v>
      </c>
      <c r="BU110">
        <v>0.88500000000000001</v>
      </c>
      <c r="BV110">
        <v>0.88500000000000001</v>
      </c>
      <c r="BX110">
        <v>0.8</v>
      </c>
      <c r="BY110">
        <v>0.8</v>
      </c>
      <c r="CA110">
        <v>1.32</v>
      </c>
      <c r="CB110">
        <v>1.32</v>
      </c>
      <c r="CD110" s="11">
        <v>1.06</v>
      </c>
      <c r="CE110" s="11">
        <v>1.06</v>
      </c>
      <c r="CF110" s="11"/>
      <c r="CG110" s="11">
        <v>0.76500000000000001</v>
      </c>
      <c r="CH110" s="11">
        <v>0.76500000000000001</v>
      </c>
      <c r="CI110" s="11"/>
      <c r="CJ110" s="11">
        <v>0.76500000000000001</v>
      </c>
      <c r="CK110" s="11">
        <v>0.76500000000000001</v>
      </c>
      <c r="CL110" s="11"/>
      <c r="CM110" s="11">
        <v>1.06</v>
      </c>
      <c r="CN110" s="11">
        <v>1.06</v>
      </c>
      <c r="CO110" s="11"/>
      <c r="CP110" s="11">
        <v>1.06</v>
      </c>
      <c r="CQ110" s="11">
        <v>1.06</v>
      </c>
      <c r="CR110" s="11"/>
      <c r="CS110" s="11">
        <v>0.76500000000000001</v>
      </c>
      <c r="CT110" s="11">
        <v>0.76500000000000001</v>
      </c>
      <c r="CU110" s="11"/>
      <c r="CV110" s="11">
        <v>1.06</v>
      </c>
      <c r="CW110" s="11">
        <v>1.06</v>
      </c>
      <c r="CX110" s="11"/>
      <c r="CY110" s="11">
        <v>0.76500000000000001</v>
      </c>
      <c r="CZ110" s="11">
        <v>0.76500000000000001</v>
      </c>
      <c r="DA110" s="11"/>
      <c r="DB110" s="11">
        <v>1.06</v>
      </c>
      <c r="DC110" s="11">
        <v>1.06</v>
      </c>
      <c r="DD110" s="11"/>
      <c r="DE110" s="11">
        <v>0.70499999999999996</v>
      </c>
      <c r="DF110" s="11">
        <v>0.70499999999999996</v>
      </c>
      <c r="DH110" t="s">
        <v>80</v>
      </c>
      <c r="DI110">
        <v>1.2270000000000001</v>
      </c>
      <c r="DJ110">
        <v>1.115</v>
      </c>
      <c r="DM110">
        <v>0</v>
      </c>
      <c r="DN110">
        <v>0</v>
      </c>
      <c r="DO110">
        <v>0</v>
      </c>
      <c r="DQ110" t="s">
        <v>273</v>
      </c>
      <c r="DR110" t="s">
        <v>273</v>
      </c>
    </row>
    <row r="111" spans="1:122" x14ac:dyDescent="0.2">
      <c r="A111" t="s">
        <v>67</v>
      </c>
      <c r="D111" s="14" t="s">
        <v>382</v>
      </c>
      <c r="E111" t="s">
        <v>84</v>
      </c>
      <c r="F111" t="s">
        <v>99</v>
      </c>
      <c r="G111" t="s">
        <v>106</v>
      </c>
      <c r="H111" t="s">
        <v>101</v>
      </c>
      <c r="I111" t="s">
        <v>381</v>
      </c>
      <c r="J111" t="s">
        <v>355</v>
      </c>
      <c r="K111" t="s">
        <v>380</v>
      </c>
      <c r="L111" t="s">
        <v>379</v>
      </c>
      <c r="M111" t="s">
        <v>357</v>
      </c>
      <c r="N111" t="s">
        <v>392</v>
      </c>
      <c r="O111" t="s">
        <v>96</v>
      </c>
      <c r="P111" t="str">
        <f t="shared" si="43"/>
        <v>DFTL_CPU_CPUSRAM_MPX001_CPUBIR_H0XD_NRT_1W0_REPDAT_R75_SelsrmSSSS_</v>
      </c>
      <c r="S111">
        <v>0.85</v>
      </c>
      <c r="T111">
        <v>0.79900000000000004</v>
      </c>
      <c r="U111" t="s">
        <v>74</v>
      </c>
      <c r="V111" t="s">
        <v>104</v>
      </c>
      <c r="W111" t="s">
        <v>105</v>
      </c>
      <c r="X111" t="s">
        <v>393</v>
      </c>
      <c r="Y111" t="s">
        <v>385</v>
      </c>
      <c r="AF111" t="s">
        <v>384</v>
      </c>
      <c r="AG111" t="s">
        <v>383</v>
      </c>
      <c r="AM111" t="s">
        <v>166</v>
      </c>
      <c r="AN111">
        <v>0.74</v>
      </c>
      <c r="AO111">
        <v>0.74</v>
      </c>
      <c r="AQ111">
        <v>0.71499999999999997</v>
      </c>
      <c r="AR111">
        <v>0.71499999999999997</v>
      </c>
      <c r="AT111">
        <v>0.70499999999999996</v>
      </c>
      <c r="AU111">
        <v>0.70499999999999996</v>
      </c>
      <c r="AW111">
        <v>0.73</v>
      </c>
      <c r="AX111">
        <v>0.73</v>
      </c>
      <c r="AZ111">
        <v>0.71</v>
      </c>
      <c r="BA111">
        <v>0.71</v>
      </c>
      <c r="BC111">
        <v>0.75</v>
      </c>
      <c r="BD111">
        <v>0.75</v>
      </c>
      <c r="BF111">
        <v>0.65</v>
      </c>
      <c r="BG111">
        <v>0.25</v>
      </c>
      <c r="BH111">
        <v>5.0000000000000001E-3</v>
      </c>
      <c r="BI111">
        <v>0.82</v>
      </c>
      <c r="BJ111">
        <v>0.82</v>
      </c>
      <c r="BL111">
        <v>0.82</v>
      </c>
      <c r="BM111">
        <v>0.82</v>
      </c>
      <c r="BO111">
        <v>0.84</v>
      </c>
      <c r="BP111">
        <v>0.84</v>
      </c>
      <c r="BR111">
        <v>0.8</v>
      </c>
      <c r="BS111">
        <v>0.8</v>
      </c>
      <c r="BU111">
        <v>0.88500000000000001</v>
      </c>
      <c r="BV111">
        <v>0.88500000000000001</v>
      </c>
      <c r="BX111">
        <v>0.8</v>
      </c>
      <c r="BY111">
        <v>0.8</v>
      </c>
      <c r="CA111">
        <v>1.32</v>
      </c>
      <c r="CB111">
        <v>1.32</v>
      </c>
      <c r="CD111" s="11">
        <v>1.06</v>
      </c>
      <c r="CE111" s="11">
        <v>1.06</v>
      </c>
      <c r="CF111" s="11"/>
      <c r="CG111" s="11">
        <v>0.76500000000000001</v>
      </c>
      <c r="CH111" s="11">
        <v>0.76500000000000001</v>
      </c>
      <c r="CI111" s="11"/>
      <c r="CJ111" s="11">
        <v>0.76500000000000001</v>
      </c>
      <c r="CK111" s="11">
        <v>0.76500000000000001</v>
      </c>
      <c r="CL111" s="11"/>
      <c r="CM111" s="11">
        <v>1.06</v>
      </c>
      <c r="CN111" s="11">
        <v>1.06</v>
      </c>
      <c r="CO111" s="11"/>
      <c r="CP111" s="11">
        <v>1.06</v>
      </c>
      <c r="CQ111" s="11">
        <v>1.06</v>
      </c>
      <c r="CR111" s="11"/>
      <c r="CS111" s="11">
        <v>0.76500000000000001</v>
      </c>
      <c r="CT111" s="11">
        <v>0.76500000000000001</v>
      </c>
      <c r="CU111" s="11"/>
      <c r="CV111" s="11">
        <v>1.06</v>
      </c>
      <c r="CW111" s="11">
        <v>1.06</v>
      </c>
      <c r="CX111" s="11"/>
      <c r="CY111" s="11">
        <v>0.76500000000000001</v>
      </c>
      <c r="CZ111" s="11">
        <v>0.76500000000000001</v>
      </c>
      <c r="DA111" s="11"/>
      <c r="DB111" s="11">
        <v>1.06</v>
      </c>
      <c r="DC111" s="11">
        <v>1.06</v>
      </c>
      <c r="DD111" s="11"/>
      <c r="DE111" s="11">
        <v>0.70499999999999996</v>
      </c>
      <c r="DF111" s="11">
        <v>0.70499999999999996</v>
      </c>
      <c r="DH111" t="s">
        <v>80</v>
      </c>
      <c r="DI111">
        <v>0.5</v>
      </c>
      <c r="DJ111">
        <v>0.85</v>
      </c>
      <c r="DK111" s="13" t="s">
        <v>372</v>
      </c>
      <c r="DL111" t="s">
        <v>371</v>
      </c>
      <c r="DM111">
        <v>0</v>
      </c>
      <c r="DN111">
        <v>0</v>
      </c>
      <c r="DO111">
        <v>0</v>
      </c>
      <c r="DQ111" t="s">
        <v>273</v>
      </c>
      <c r="DR111" t="s">
        <v>273</v>
      </c>
    </row>
    <row r="112" spans="1:122" x14ac:dyDescent="0.2">
      <c r="A112" t="s">
        <v>67</v>
      </c>
      <c r="D112" s="14" t="s">
        <v>382</v>
      </c>
      <c r="E112" t="s">
        <v>84</v>
      </c>
      <c r="F112" t="s">
        <v>99</v>
      </c>
      <c r="G112" t="s">
        <v>106</v>
      </c>
      <c r="H112" t="s">
        <v>113</v>
      </c>
      <c r="I112" t="s">
        <v>381</v>
      </c>
      <c r="J112" t="s">
        <v>114</v>
      </c>
      <c r="K112" t="s">
        <v>380</v>
      </c>
      <c r="L112" t="s">
        <v>379</v>
      </c>
      <c r="M112" t="s">
        <v>357</v>
      </c>
      <c r="N112" t="s">
        <v>392</v>
      </c>
      <c r="O112" t="s">
        <v>96</v>
      </c>
      <c r="P112" t="str">
        <f t="shared" si="43"/>
        <v>DFTL_CPU_CPUSRAM_MEX001_CPUBIR_E0XD_NRT_1W0_REPDAT_R75_SelsrmSSSS_</v>
      </c>
      <c r="S112">
        <v>0.85</v>
      </c>
      <c r="T112">
        <v>0.79900000000000004</v>
      </c>
      <c r="U112" t="s">
        <v>74</v>
      </c>
      <c r="V112" t="s">
        <v>377</v>
      </c>
      <c r="W112" t="s">
        <v>376</v>
      </c>
      <c r="X112" t="s">
        <v>391</v>
      </c>
      <c r="Y112" t="s">
        <v>375</v>
      </c>
      <c r="AF112" t="s">
        <v>374</v>
      </c>
      <c r="AG112" t="s">
        <v>373</v>
      </c>
      <c r="AM112" t="s">
        <v>166</v>
      </c>
      <c r="AN112">
        <v>0.74</v>
      </c>
      <c r="AO112">
        <v>0.74</v>
      </c>
      <c r="AQ112">
        <v>0.71499999999999997</v>
      </c>
      <c r="AR112">
        <v>0.71499999999999997</v>
      </c>
      <c r="AT112">
        <v>0.70499999999999996</v>
      </c>
      <c r="AU112">
        <v>0.70499999999999996</v>
      </c>
      <c r="AW112">
        <v>0.73</v>
      </c>
      <c r="AX112">
        <v>0.73</v>
      </c>
      <c r="AZ112">
        <v>0.71</v>
      </c>
      <c r="BA112">
        <v>0.71</v>
      </c>
      <c r="BC112">
        <v>0.75</v>
      </c>
      <c r="BD112">
        <v>0.75</v>
      </c>
      <c r="BF112">
        <v>0.65</v>
      </c>
      <c r="BG112">
        <v>0.25</v>
      </c>
      <c r="BH112">
        <v>5.0000000000000001E-3</v>
      </c>
      <c r="BI112">
        <v>0.82</v>
      </c>
      <c r="BJ112">
        <v>0.82</v>
      </c>
      <c r="BL112">
        <v>0.82</v>
      </c>
      <c r="BM112">
        <v>0.82</v>
      </c>
      <c r="BO112">
        <v>0.84</v>
      </c>
      <c r="BP112">
        <v>0.84</v>
      </c>
      <c r="BR112">
        <v>0.8</v>
      </c>
      <c r="BS112">
        <v>0.8</v>
      </c>
      <c r="BU112">
        <v>0.88500000000000001</v>
      </c>
      <c r="BV112">
        <v>0.88500000000000001</v>
      </c>
      <c r="BX112">
        <v>0.8</v>
      </c>
      <c r="BY112">
        <v>0.8</v>
      </c>
      <c r="CA112">
        <v>1.32</v>
      </c>
      <c r="CB112">
        <v>1.32</v>
      </c>
      <c r="CD112" s="11">
        <v>1.06</v>
      </c>
      <c r="CE112" s="11">
        <v>1.06</v>
      </c>
      <c r="CF112" s="11"/>
      <c r="CG112" s="11">
        <v>0.76500000000000001</v>
      </c>
      <c r="CH112" s="11">
        <v>0.76500000000000001</v>
      </c>
      <c r="CI112" s="11"/>
      <c r="CJ112" s="11">
        <v>0.76500000000000001</v>
      </c>
      <c r="CK112" s="11">
        <v>0.76500000000000001</v>
      </c>
      <c r="CL112" s="11"/>
      <c r="CM112" s="11">
        <v>1.06</v>
      </c>
      <c r="CN112" s="11">
        <v>1.06</v>
      </c>
      <c r="CO112" s="11"/>
      <c r="CP112" s="11">
        <v>1.06</v>
      </c>
      <c r="CQ112" s="11">
        <v>1.06</v>
      </c>
      <c r="CR112" s="11"/>
      <c r="CS112" s="11">
        <v>0.76500000000000001</v>
      </c>
      <c r="CT112" s="11">
        <v>0.76500000000000001</v>
      </c>
      <c r="CU112" s="11"/>
      <c r="CV112" s="11">
        <v>1.06</v>
      </c>
      <c r="CW112" s="11">
        <v>1.06</v>
      </c>
      <c r="CX112" s="11"/>
      <c r="CY112" s="11">
        <v>0.76500000000000001</v>
      </c>
      <c r="CZ112" s="11">
        <v>0.76500000000000001</v>
      </c>
      <c r="DA112" s="11"/>
      <c r="DB112" s="11">
        <v>1.06</v>
      </c>
      <c r="DC112" s="11">
        <v>1.06</v>
      </c>
      <c r="DD112" s="11"/>
      <c r="DE112" s="11">
        <v>0.70499999999999996</v>
      </c>
      <c r="DF112" s="11">
        <v>0.70499999999999996</v>
      </c>
      <c r="DH112" t="s">
        <v>80</v>
      </c>
      <c r="DI112">
        <v>0.5</v>
      </c>
      <c r="DJ112">
        <v>0.85</v>
      </c>
      <c r="DK112" s="13" t="s">
        <v>372</v>
      </c>
      <c r="DL112" t="s">
        <v>371</v>
      </c>
      <c r="DM112">
        <v>0</v>
      </c>
      <c r="DN112">
        <v>0</v>
      </c>
      <c r="DO112">
        <v>0</v>
      </c>
      <c r="DQ112" t="s">
        <v>273</v>
      </c>
      <c r="DR112" t="s">
        <v>273</v>
      </c>
    </row>
    <row r="113" spans="1:122" s="20" customFormat="1" hidden="1" x14ac:dyDescent="0.2">
      <c r="A113" s="20" t="s">
        <v>481</v>
      </c>
      <c r="E113" s="20" t="s">
        <v>84</v>
      </c>
      <c r="F113" s="20" t="s">
        <v>99</v>
      </c>
      <c r="G113" s="20" t="s">
        <v>106</v>
      </c>
      <c r="H113" s="20" t="s">
        <v>120</v>
      </c>
      <c r="I113" s="20" t="s">
        <v>116</v>
      </c>
      <c r="J113" s="20" t="s">
        <v>355</v>
      </c>
      <c r="K113" s="20" t="s">
        <v>71</v>
      </c>
      <c r="L113" s="20" t="s">
        <v>102</v>
      </c>
      <c r="M113" s="20" t="s">
        <v>357</v>
      </c>
      <c r="N113" s="20" t="s">
        <v>378</v>
      </c>
      <c r="O113" s="20" t="s">
        <v>96</v>
      </c>
      <c r="P113" s="20" t="str">
        <f t="shared" si="43"/>
        <v>DFTL_CPU_CPUSRAM_MPXXXX_CPUBST_H0XD_PLLP_59N_REPDAT_R80_SelsrmSSSS_</v>
      </c>
      <c r="S113" s="20">
        <v>1.32</v>
      </c>
      <c r="T113" s="20">
        <v>1.2</v>
      </c>
      <c r="U113" s="20" t="s">
        <v>74</v>
      </c>
      <c r="V113" s="20" t="s">
        <v>104</v>
      </c>
      <c r="W113" s="20" t="s">
        <v>105</v>
      </c>
      <c r="X113" s="20" t="s">
        <v>413</v>
      </c>
      <c r="Y113" s="20" t="s">
        <v>385</v>
      </c>
      <c r="AF113" s="20" t="s">
        <v>407</v>
      </c>
      <c r="AM113" s="20" t="s">
        <v>166</v>
      </c>
      <c r="AN113" s="20">
        <v>0.74</v>
      </c>
      <c r="AO113" s="20">
        <v>0.74</v>
      </c>
      <c r="AQ113" s="20">
        <v>0.71499999999999997</v>
      </c>
      <c r="AR113" s="20">
        <v>0.71499999999999997</v>
      </c>
      <c r="AT113" s="20">
        <v>0.70499999999999996</v>
      </c>
      <c r="AU113" s="20">
        <v>0.70499999999999996</v>
      </c>
      <c r="AW113" s="20">
        <v>1.0349999999999999</v>
      </c>
      <c r="AX113" s="20">
        <v>1.0349999999999999</v>
      </c>
      <c r="AZ113" s="20">
        <v>0.71</v>
      </c>
      <c r="BA113" s="20">
        <v>0.71</v>
      </c>
      <c r="BC113" s="20">
        <v>0.75</v>
      </c>
      <c r="BD113" s="20">
        <v>0.75</v>
      </c>
      <c r="BF113" s="20">
        <v>0.8</v>
      </c>
      <c r="BG113" s="20">
        <v>0.3</v>
      </c>
      <c r="BH113" s="20">
        <v>0.01</v>
      </c>
      <c r="BI113" s="20">
        <v>0.82</v>
      </c>
      <c r="BJ113" s="20">
        <v>0.82</v>
      </c>
      <c r="BL113" s="20">
        <v>0.82</v>
      </c>
      <c r="BM113" s="20">
        <v>0.82</v>
      </c>
      <c r="BO113" s="20">
        <v>0.84</v>
      </c>
      <c r="BP113" s="20">
        <v>0.84</v>
      </c>
      <c r="BR113" s="20">
        <v>0.8</v>
      </c>
      <c r="BS113" s="20">
        <v>0.8</v>
      </c>
      <c r="BU113" s="20">
        <v>0.88500000000000001</v>
      </c>
      <c r="BV113" s="20">
        <v>0.88500000000000001</v>
      </c>
      <c r="BX113" s="20">
        <v>0.8</v>
      </c>
      <c r="BY113" s="20">
        <v>0.8</v>
      </c>
      <c r="CA113" s="20">
        <v>1.32</v>
      </c>
      <c r="CB113" s="20">
        <v>1.32</v>
      </c>
      <c r="CD113" s="21">
        <v>1.06</v>
      </c>
      <c r="CE113" s="21">
        <v>1.06</v>
      </c>
      <c r="CF113" s="21"/>
      <c r="CG113" s="21">
        <v>0.76500000000000001</v>
      </c>
      <c r="CH113" s="21">
        <v>0.76500000000000001</v>
      </c>
      <c r="CI113" s="21"/>
      <c r="CJ113" s="21">
        <v>0.76500000000000001</v>
      </c>
      <c r="CK113" s="21">
        <v>0.76500000000000001</v>
      </c>
      <c r="CL113" s="21"/>
      <c r="CM113" s="21">
        <v>1.06</v>
      </c>
      <c r="CN113" s="21">
        <v>1.06</v>
      </c>
      <c r="CO113" s="21"/>
      <c r="CP113" s="21">
        <v>1.06</v>
      </c>
      <c r="CQ113" s="21">
        <v>1.06</v>
      </c>
      <c r="CR113" s="21"/>
      <c r="CS113" s="21">
        <v>0.76500000000000001</v>
      </c>
      <c r="CT113" s="21">
        <v>0.76500000000000001</v>
      </c>
      <c r="CU113" s="21"/>
      <c r="CV113" s="21">
        <v>1.06</v>
      </c>
      <c r="CW113" s="21">
        <v>1.06</v>
      </c>
      <c r="CX113" s="21"/>
      <c r="CY113" s="21">
        <v>0.76500000000000001</v>
      </c>
      <c r="CZ113" s="21">
        <v>0.76500000000000001</v>
      </c>
      <c r="DA113" s="21"/>
      <c r="DB113" s="21">
        <v>1.06</v>
      </c>
      <c r="DC113" s="21">
        <v>1.06</v>
      </c>
      <c r="DD113" s="21"/>
      <c r="DE113" s="21">
        <v>0.70499999999999996</v>
      </c>
      <c r="DF113" s="21">
        <v>0.70499999999999996</v>
      </c>
      <c r="DH113" s="20" t="s">
        <v>80</v>
      </c>
      <c r="DI113" s="20">
        <v>1.32</v>
      </c>
      <c r="DJ113" s="20">
        <v>1.2</v>
      </c>
      <c r="DM113" s="20">
        <v>0</v>
      </c>
      <c r="DN113" s="20">
        <v>0</v>
      </c>
      <c r="DO113" s="20">
        <v>0</v>
      </c>
      <c r="DQ113" s="20" t="s">
        <v>273</v>
      </c>
      <c r="DR113" s="20" t="s">
        <v>273</v>
      </c>
    </row>
    <row r="114" spans="1:122" s="20" customFormat="1" hidden="1" x14ac:dyDescent="0.2">
      <c r="A114" s="20" t="s">
        <v>481</v>
      </c>
      <c r="E114" s="20" t="s">
        <v>84</v>
      </c>
      <c r="F114" s="20" t="s">
        <v>99</v>
      </c>
      <c r="G114" s="20" t="s">
        <v>106</v>
      </c>
      <c r="H114" s="20" t="s">
        <v>387</v>
      </c>
      <c r="I114" s="20" t="s">
        <v>116</v>
      </c>
      <c r="J114" s="20" t="s">
        <v>114</v>
      </c>
      <c r="K114" s="20" t="s">
        <v>71</v>
      </c>
      <c r="L114" s="20" t="s">
        <v>102</v>
      </c>
      <c r="M114" s="20" t="s">
        <v>357</v>
      </c>
      <c r="N114" s="20" t="s">
        <v>378</v>
      </c>
      <c r="O114" s="20" t="s">
        <v>96</v>
      </c>
      <c r="P114" s="20" t="str">
        <f t="shared" si="43"/>
        <v>DFTL_CPU_CPUSRAM_MEXXXX_CPUBST_E0XD_PLLP_59N_REPDAT_R80_SelsrmSSSS_</v>
      </c>
      <c r="S114" s="20">
        <v>1.2264999999999999</v>
      </c>
      <c r="T114" s="20">
        <v>1.115</v>
      </c>
      <c r="U114" s="20" t="s">
        <v>74</v>
      </c>
      <c r="V114" s="20" t="s">
        <v>377</v>
      </c>
      <c r="W114" s="20" t="s">
        <v>376</v>
      </c>
      <c r="X114" s="21" t="s">
        <v>411</v>
      </c>
      <c r="Y114" s="20" t="s">
        <v>375</v>
      </c>
      <c r="AF114" s="20" t="s">
        <v>408</v>
      </c>
      <c r="AM114" s="20" t="s">
        <v>166</v>
      </c>
      <c r="AN114" s="20">
        <v>0.74</v>
      </c>
      <c r="AO114" s="20">
        <v>0.74</v>
      </c>
      <c r="AQ114" s="20">
        <v>0.71499999999999997</v>
      </c>
      <c r="AR114" s="20">
        <v>0.71499999999999997</v>
      </c>
      <c r="AT114" s="20">
        <v>0.70499999999999996</v>
      </c>
      <c r="AU114" s="20">
        <v>0.70499999999999996</v>
      </c>
      <c r="AW114" s="20">
        <v>1.0349999999999999</v>
      </c>
      <c r="AX114" s="20">
        <v>1.0349999999999999</v>
      </c>
      <c r="AZ114" s="20">
        <v>0.71</v>
      </c>
      <c r="BA114" s="20">
        <v>0.71</v>
      </c>
      <c r="BC114" s="20">
        <v>0.75</v>
      </c>
      <c r="BD114" s="20">
        <v>0.75</v>
      </c>
      <c r="BF114" s="20">
        <v>0.8</v>
      </c>
      <c r="BG114" s="20">
        <v>0.3</v>
      </c>
      <c r="BH114" s="20">
        <v>0.01</v>
      </c>
      <c r="BI114" s="20">
        <v>0.82</v>
      </c>
      <c r="BJ114" s="20">
        <v>0.82</v>
      </c>
      <c r="BL114" s="20">
        <v>0.82</v>
      </c>
      <c r="BM114" s="20">
        <v>0.82</v>
      </c>
      <c r="BO114" s="20">
        <v>0.84</v>
      </c>
      <c r="BP114" s="20">
        <v>0.84</v>
      </c>
      <c r="BR114" s="20">
        <v>0.8</v>
      </c>
      <c r="BS114" s="20">
        <v>0.8</v>
      </c>
      <c r="BU114" s="20">
        <v>0.88500000000000001</v>
      </c>
      <c r="BV114" s="20">
        <v>0.88500000000000001</v>
      </c>
      <c r="BX114" s="20">
        <v>0.8</v>
      </c>
      <c r="BY114" s="20">
        <v>0.8</v>
      </c>
      <c r="CA114" s="20">
        <v>1.32</v>
      </c>
      <c r="CB114" s="20">
        <v>1.32</v>
      </c>
      <c r="CD114" s="21">
        <v>1.06</v>
      </c>
      <c r="CE114" s="21">
        <v>1.06</v>
      </c>
      <c r="CF114" s="21"/>
      <c r="CG114" s="21">
        <v>0.76500000000000001</v>
      </c>
      <c r="CH114" s="21">
        <v>0.76500000000000001</v>
      </c>
      <c r="CI114" s="21"/>
      <c r="CJ114" s="21">
        <v>0.76500000000000001</v>
      </c>
      <c r="CK114" s="21">
        <v>0.76500000000000001</v>
      </c>
      <c r="CL114" s="21"/>
      <c r="CM114" s="21">
        <v>1.06</v>
      </c>
      <c r="CN114" s="21">
        <v>1.06</v>
      </c>
      <c r="CO114" s="21"/>
      <c r="CP114" s="21">
        <v>1.06</v>
      </c>
      <c r="CQ114" s="21">
        <v>1.06</v>
      </c>
      <c r="CR114" s="21"/>
      <c r="CS114" s="21">
        <v>0.76500000000000001</v>
      </c>
      <c r="CT114" s="21">
        <v>0.76500000000000001</v>
      </c>
      <c r="CU114" s="21"/>
      <c r="CV114" s="21">
        <v>1.06</v>
      </c>
      <c r="CW114" s="21">
        <v>1.06</v>
      </c>
      <c r="CX114" s="21"/>
      <c r="CY114" s="21">
        <v>0.76500000000000001</v>
      </c>
      <c r="CZ114" s="21">
        <v>0.76500000000000001</v>
      </c>
      <c r="DA114" s="21"/>
      <c r="DB114" s="21">
        <v>1.06</v>
      </c>
      <c r="DC114" s="21">
        <v>1.06</v>
      </c>
      <c r="DD114" s="21"/>
      <c r="DE114" s="21">
        <v>0.70499999999999996</v>
      </c>
      <c r="DF114" s="21">
        <v>0.70499999999999996</v>
      </c>
      <c r="DH114" s="20" t="s">
        <v>80</v>
      </c>
      <c r="DI114" s="20">
        <v>1.2270000000000001</v>
      </c>
      <c r="DJ114" s="20">
        <v>1.115</v>
      </c>
      <c r="DM114" s="20">
        <v>0</v>
      </c>
      <c r="DN114" s="20">
        <v>0</v>
      </c>
      <c r="DO114" s="20">
        <v>0</v>
      </c>
      <c r="DQ114" s="20" t="s">
        <v>273</v>
      </c>
      <c r="DR114" s="20" t="s">
        <v>273</v>
      </c>
    </row>
    <row r="115" spans="1:122" s="20" customFormat="1" hidden="1" x14ac:dyDescent="0.2">
      <c r="A115" s="20" t="s">
        <v>481</v>
      </c>
      <c r="D115" s="22" t="s">
        <v>382</v>
      </c>
      <c r="E115" s="20" t="s">
        <v>84</v>
      </c>
      <c r="F115" s="20" t="s">
        <v>99</v>
      </c>
      <c r="G115" s="20" t="s">
        <v>106</v>
      </c>
      <c r="H115" s="20" t="s">
        <v>101</v>
      </c>
      <c r="I115" s="20" t="s">
        <v>116</v>
      </c>
      <c r="J115" s="20" t="s">
        <v>355</v>
      </c>
      <c r="K115" s="20" t="s">
        <v>380</v>
      </c>
      <c r="L115" s="20" t="s">
        <v>379</v>
      </c>
      <c r="M115" s="20" t="s">
        <v>357</v>
      </c>
      <c r="N115" s="20" t="s">
        <v>378</v>
      </c>
      <c r="O115" s="20" t="s">
        <v>96</v>
      </c>
      <c r="P115" s="20" t="str">
        <f t="shared" si="43"/>
        <v>DFTL_CPU_CPUSRAM_MPX001_CPUBST_H0XD_NRT_1W0_REPDAT_R80_SelsrmSSSS_</v>
      </c>
      <c r="S115" s="20">
        <v>0.85</v>
      </c>
      <c r="T115" s="20">
        <v>0.79900000000000004</v>
      </c>
      <c r="U115" s="20" t="s">
        <v>74</v>
      </c>
      <c r="V115" s="20" t="s">
        <v>104</v>
      </c>
      <c r="W115" s="20" t="s">
        <v>105</v>
      </c>
      <c r="X115" s="20" t="s">
        <v>414</v>
      </c>
      <c r="Y115" s="20" t="s">
        <v>385</v>
      </c>
      <c r="AF115" s="20" t="s">
        <v>384</v>
      </c>
      <c r="AG115" s="20" t="s">
        <v>390</v>
      </c>
      <c r="AM115" s="20" t="s">
        <v>166</v>
      </c>
      <c r="AN115" s="20">
        <v>0.74</v>
      </c>
      <c r="AO115" s="20">
        <v>0.74</v>
      </c>
      <c r="AQ115" s="20">
        <v>0.71499999999999997</v>
      </c>
      <c r="AR115" s="20">
        <v>0.71499999999999997</v>
      </c>
      <c r="AT115" s="20">
        <v>0.70499999999999996</v>
      </c>
      <c r="AU115" s="20">
        <v>0.70499999999999996</v>
      </c>
      <c r="AW115" s="20">
        <v>0.73</v>
      </c>
      <c r="AX115" s="20">
        <v>0.73</v>
      </c>
      <c r="AZ115" s="20">
        <v>0.71</v>
      </c>
      <c r="BA115" s="20">
        <v>0.71</v>
      </c>
      <c r="BC115" s="20">
        <v>0.75</v>
      </c>
      <c r="BD115" s="20">
        <v>0.75</v>
      </c>
      <c r="BF115" s="20">
        <v>0.65</v>
      </c>
      <c r="BG115" s="20">
        <v>0.25</v>
      </c>
      <c r="BH115" s="20">
        <v>5.0000000000000001E-3</v>
      </c>
      <c r="BI115" s="20">
        <v>0.82</v>
      </c>
      <c r="BJ115" s="20">
        <v>0.82</v>
      </c>
      <c r="BL115" s="20">
        <v>0.82</v>
      </c>
      <c r="BM115" s="20">
        <v>0.82</v>
      </c>
      <c r="BO115" s="20">
        <v>0.84</v>
      </c>
      <c r="BP115" s="20">
        <v>0.84</v>
      </c>
      <c r="BR115" s="20">
        <v>0.8</v>
      </c>
      <c r="BS115" s="20">
        <v>0.8</v>
      </c>
      <c r="BU115" s="20">
        <v>0.88500000000000001</v>
      </c>
      <c r="BV115" s="20">
        <v>0.88500000000000001</v>
      </c>
      <c r="BX115" s="20">
        <v>0.8</v>
      </c>
      <c r="BY115" s="20">
        <v>0.8</v>
      </c>
      <c r="CA115" s="20">
        <v>1.32</v>
      </c>
      <c r="CB115" s="20">
        <v>1.32</v>
      </c>
      <c r="CD115" s="21">
        <v>1.06</v>
      </c>
      <c r="CE115" s="21">
        <v>1.06</v>
      </c>
      <c r="CF115" s="21"/>
      <c r="CG115" s="21">
        <v>0.76500000000000001</v>
      </c>
      <c r="CH115" s="21">
        <v>0.76500000000000001</v>
      </c>
      <c r="CI115" s="21"/>
      <c r="CJ115" s="21">
        <v>0.76500000000000001</v>
      </c>
      <c r="CK115" s="21">
        <v>0.76500000000000001</v>
      </c>
      <c r="CL115" s="21"/>
      <c r="CM115" s="21">
        <v>1.06</v>
      </c>
      <c r="CN115" s="21">
        <v>1.06</v>
      </c>
      <c r="CO115" s="21"/>
      <c r="CP115" s="21">
        <v>1.06</v>
      </c>
      <c r="CQ115" s="21">
        <v>1.06</v>
      </c>
      <c r="CR115" s="21"/>
      <c r="CS115" s="21">
        <v>0.76500000000000001</v>
      </c>
      <c r="CT115" s="21">
        <v>0.76500000000000001</v>
      </c>
      <c r="CU115" s="21"/>
      <c r="CV115" s="21">
        <v>1.06</v>
      </c>
      <c r="CW115" s="21">
        <v>1.06</v>
      </c>
      <c r="CX115" s="21"/>
      <c r="CY115" s="21">
        <v>0.76500000000000001</v>
      </c>
      <c r="CZ115" s="21">
        <v>0.76500000000000001</v>
      </c>
      <c r="DA115" s="21"/>
      <c r="DB115" s="21">
        <v>1.06</v>
      </c>
      <c r="DC115" s="21">
        <v>1.06</v>
      </c>
      <c r="DD115" s="21"/>
      <c r="DE115" s="21">
        <v>0.70499999999999996</v>
      </c>
      <c r="DF115" s="21">
        <v>0.70499999999999996</v>
      </c>
      <c r="DH115" s="20" t="s">
        <v>80</v>
      </c>
      <c r="DI115" s="20">
        <v>0.5</v>
      </c>
      <c r="DJ115" s="20">
        <v>0.85</v>
      </c>
      <c r="DK115" s="23" t="s">
        <v>372</v>
      </c>
      <c r="DL115" s="20" t="s">
        <v>371</v>
      </c>
      <c r="DM115" s="20">
        <v>0</v>
      </c>
      <c r="DN115" s="20">
        <v>0</v>
      </c>
      <c r="DO115" s="20">
        <v>0</v>
      </c>
      <c r="DQ115" s="20" t="s">
        <v>273</v>
      </c>
      <c r="DR115" s="20" t="s">
        <v>273</v>
      </c>
    </row>
    <row r="116" spans="1:122" s="20" customFormat="1" hidden="1" x14ac:dyDescent="0.2">
      <c r="A116" s="20" t="s">
        <v>481</v>
      </c>
      <c r="D116" s="22" t="s">
        <v>382</v>
      </c>
      <c r="E116" s="20" t="s">
        <v>84</v>
      </c>
      <c r="F116" s="20" t="s">
        <v>99</v>
      </c>
      <c r="G116" s="20" t="s">
        <v>106</v>
      </c>
      <c r="H116" s="20" t="s">
        <v>113</v>
      </c>
      <c r="I116" s="20" t="s">
        <v>116</v>
      </c>
      <c r="J116" s="20" t="s">
        <v>114</v>
      </c>
      <c r="K116" s="20" t="s">
        <v>380</v>
      </c>
      <c r="L116" s="20" t="s">
        <v>379</v>
      </c>
      <c r="M116" s="20" t="s">
        <v>357</v>
      </c>
      <c r="N116" s="20" t="s">
        <v>378</v>
      </c>
      <c r="O116" s="20" t="s">
        <v>96</v>
      </c>
      <c r="P116" s="20" t="str">
        <f t="shared" si="43"/>
        <v>DFTL_CPU_CPUSRAM_MEX001_CPUBST_E0XD_NRT_1W0_REPDAT_R80_SelsrmSSSS_</v>
      </c>
      <c r="S116" s="20">
        <v>0.85</v>
      </c>
      <c r="T116" s="20">
        <v>0.79900000000000004</v>
      </c>
      <c r="U116" s="20" t="s">
        <v>74</v>
      </c>
      <c r="V116" s="20" t="s">
        <v>377</v>
      </c>
      <c r="W116" s="20" t="s">
        <v>376</v>
      </c>
      <c r="X116" s="20" t="s">
        <v>412</v>
      </c>
      <c r="Y116" s="20" t="s">
        <v>375</v>
      </c>
      <c r="AF116" s="20" t="s">
        <v>374</v>
      </c>
      <c r="AG116" s="20" t="s">
        <v>389</v>
      </c>
      <c r="AM116" s="20" t="s">
        <v>166</v>
      </c>
      <c r="AN116" s="20">
        <v>0.74</v>
      </c>
      <c r="AO116" s="20">
        <v>0.74</v>
      </c>
      <c r="AQ116" s="20">
        <v>0.71499999999999997</v>
      </c>
      <c r="AR116" s="20">
        <v>0.71499999999999997</v>
      </c>
      <c r="AT116" s="20">
        <v>0.70499999999999996</v>
      </c>
      <c r="AU116" s="20">
        <v>0.70499999999999996</v>
      </c>
      <c r="AW116" s="20">
        <v>0.73</v>
      </c>
      <c r="AX116" s="20">
        <v>0.73</v>
      </c>
      <c r="AZ116" s="20">
        <v>0.71</v>
      </c>
      <c r="BA116" s="20">
        <v>0.71</v>
      </c>
      <c r="BC116" s="20">
        <v>0.75</v>
      </c>
      <c r="BD116" s="20">
        <v>0.75</v>
      </c>
      <c r="BF116" s="20">
        <v>0.65</v>
      </c>
      <c r="BG116" s="20">
        <v>0.25</v>
      </c>
      <c r="BH116" s="20">
        <v>5.0000000000000001E-3</v>
      </c>
      <c r="BI116" s="20">
        <v>0.82</v>
      </c>
      <c r="BJ116" s="20">
        <v>0.82</v>
      </c>
      <c r="BL116" s="20">
        <v>0.82</v>
      </c>
      <c r="BM116" s="20">
        <v>0.82</v>
      </c>
      <c r="BO116" s="20">
        <v>0.84</v>
      </c>
      <c r="BP116" s="20">
        <v>0.84</v>
      </c>
      <c r="BR116" s="20">
        <v>0.8</v>
      </c>
      <c r="BS116" s="20">
        <v>0.8</v>
      </c>
      <c r="BU116" s="20">
        <v>0.88500000000000001</v>
      </c>
      <c r="BV116" s="20">
        <v>0.88500000000000001</v>
      </c>
      <c r="BX116" s="20">
        <v>0.8</v>
      </c>
      <c r="BY116" s="20">
        <v>0.8</v>
      </c>
      <c r="CA116" s="20">
        <v>1.32</v>
      </c>
      <c r="CB116" s="20">
        <v>1.32</v>
      </c>
      <c r="CD116" s="21">
        <v>1.06</v>
      </c>
      <c r="CE116" s="21">
        <v>1.06</v>
      </c>
      <c r="CF116" s="21"/>
      <c r="CG116" s="21">
        <v>0.76500000000000001</v>
      </c>
      <c r="CH116" s="21">
        <v>0.76500000000000001</v>
      </c>
      <c r="CI116" s="21"/>
      <c r="CJ116" s="21">
        <v>0.76500000000000001</v>
      </c>
      <c r="CK116" s="21">
        <v>0.76500000000000001</v>
      </c>
      <c r="CL116" s="21"/>
      <c r="CM116" s="21">
        <v>1.06</v>
      </c>
      <c r="CN116" s="21">
        <v>1.06</v>
      </c>
      <c r="CO116" s="21"/>
      <c r="CP116" s="21">
        <v>1.06</v>
      </c>
      <c r="CQ116" s="21">
        <v>1.06</v>
      </c>
      <c r="CR116" s="21"/>
      <c r="CS116" s="21">
        <v>0.76500000000000001</v>
      </c>
      <c r="CT116" s="21">
        <v>0.76500000000000001</v>
      </c>
      <c r="CU116" s="21"/>
      <c r="CV116" s="21">
        <v>1.06</v>
      </c>
      <c r="CW116" s="21">
        <v>1.06</v>
      </c>
      <c r="CX116" s="21"/>
      <c r="CY116" s="21">
        <v>0.76500000000000001</v>
      </c>
      <c r="CZ116" s="21">
        <v>0.76500000000000001</v>
      </c>
      <c r="DA116" s="21"/>
      <c r="DB116" s="21">
        <v>1.06</v>
      </c>
      <c r="DC116" s="21">
        <v>1.06</v>
      </c>
      <c r="DD116" s="21"/>
      <c r="DE116" s="21">
        <v>0.70499999999999996</v>
      </c>
      <c r="DF116" s="21">
        <v>0.70499999999999996</v>
      </c>
      <c r="DH116" s="20" t="s">
        <v>80</v>
      </c>
      <c r="DI116" s="20">
        <v>0.5</v>
      </c>
      <c r="DJ116" s="20">
        <v>0.85</v>
      </c>
      <c r="DK116" s="23" t="s">
        <v>372</v>
      </c>
      <c r="DL116" s="20" t="s">
        <v>371</v>
      </c>
      <c r="DM116" s="20">
        <v>0</v>
      </c>
      <c r="DN116" s="20">
        <v>0</v>
      </c>
      <c r="DO116" s="20">
        <v>0</v>
      </c>
      <c r="DQ116" s="20" t="s">
        <v>273</v>
      </c>
      <c r="DR116" s="20" t="s">
        <v>273</v>
      </c>
    </row>
    <row r="117" spans="1:122" s="20" customFormat="1" hidden="1" x14ac:dyDescent="0.2">
      <c r="A117" s="20" t="s">
        <v>481</v>
      </c>
      <c r="E117" s="20" t="s">
        <v>84</v>
      </c>
      <c r="F117" s="20" t="s">
        <v>99</v>
      </c>
      <c r="G117" s="20" t="s">
        <v>106</v>
      </c>
      <c r="H117" s="20" t="s">
        <v>120</v>
      </c>
      <c r="I117" s="20" t="s">
        <v>381</v>
      </c>
      <c r="J117" s="20" t="s">
        <v>355</v>
      </c>
      <c r="K117" s="20" t="s">
        <v>71</v>
      </c>
      <c r="L117" s="20" t="s">
        <v>102</v>
      </c>
      <c r="M117" s="20" t="s">
        <v>357</v>
      </c>
      <c r="N117" s="20" t="s">
        <v>378</v>
      </c>
      <c r="O117" s="20" t="s">
        <v>96</v>
      </c>
      <c r="P117" s="20" t="str">
        <f t="shared" si="43"/>
        <v>DFTL_CPU_CPUSRAM_MPXXXX_CPUBIR_H0XD_PLLP_59N_REPDAT_R80_SelsrmSSSS_</v>
      </c>
      <c r="S117" s="20">
        <v>1.32</v>
      </c>
      <c r="T117" s="20">
        <v>1.2</v>
      </c>
      <c r="U117" s="20" t="s">
        <v>74</v>
      </c>
      <c r="V117" s="20" t="s">
        <v>104</v>
      </c>
      <c r="W117" s="20" t="s">
        <v>105</v>
      </c>
      <c r="X117" s="20" t="s">
        <v>413</v>
      </c>
      <c r="Y117" s="20" t="s">
        <v>385</v>
      </c>
      <c r="AF117" s="20" t="s">
        <v>388</v>
      </c>
      <c r="AM117" s="20" t="s">
        <v>166</v>
      </c>
      <c r="AN117" s="20">
        <v>0.74</v>
      </c>
      <c r="AO117" s="20">
        <v>0.74</v>
      </c>
      <c r="AQ117" s="20">
        <v>0.71499999999999997</v>
      </c>
      <c r="AR117" s="20">
        <v>0.71499999999999997</v>
      </c>
      <c r="AT117" s="20">
        <v>0.70499999999999996</v>
      </c>
      <c r="AU117" s="20">
        <v>0.70499999999999996</v>
      </c>
      <c r="AW117" s="20">
        <v>1.0349999999999999</v>
      </c>
      <c r="AX117" s="20">
        <v>1.0349999999999999</v>
      </c>
      <c r="AZ117" s="20">
        <v>0.71</v>
      </c>
      <c r="BA117" s="20">
        <v>0.71</v>
      </c>
      <c r="BC117" s="20">
        <v>0.75</v>
      </c>
      <c r="BD117" s="20">
        <v>0.75</v>
      </c>
      <c r="BF117" s="20">
        <v>0.8</v>
      </c>
      <c r="BG117" s="20">
        <v>0.3</v>
      </c>
      <c r="BH117" s="20">
        <v>0.01</v>
      </c>
      <c r="BI117" s="20">
        <v>0.82</v>
      </c>
      <c r="BJ117" s="20">
        <v>0.82</v>
      </c>
      <c r="BL117" s="20">
        <v>0.82</v>
      </c>
      <c r="BM117" s="20">
        <v>0.82</v>
      </c>
      <c r="BO117" s="20">
        <v>0.84</v>
      </c>
      <c r="BP117" s="20">
        <v>0.84</v>
      </c>
      <c r="BR117" s="20">
        <v>0.8</v>
      </c>
      <c r="BS117" s="20">
        <v>0.8</v>
      </c>
      <c r="BU117" s="20">
        <v>0.88500000000000001</v>
      </c>
      <c r="BV117" s="20">
        <v>0.88500000000000001</v>
      </c>
      <c r="BX117" s="20">
        <v>0.8</v>
      </c>
      <c r="BY117" s="20">
        <v>0.8</v>
      </c>
      <c r="CA117" s="20">
        <v>1.32</v>
      </c>
      <c r="CB117" s="20">
        <v>1.32</v>
      </c>
      <c r="CD117" s="21">
        <v>1.06</v>
      </c>
      <c r="CE117" s="21">
        <v>1.06</v>
      </c>
      <c r="CF117" s="21"/>
      <c r="CG117" s="21">
        <v>0.76500000000000001</v>
      </c>
      <c r="CH117" s="21">
        <v>0.76500000000000001</v>
      </c>
      <c r="CI117" s="21"/>
      <c r="CJ117" s="21">
        <v>0.76500000000000001</v>
      </c>
      <c r="CK117" s="21">
        <v>0.76500000000000001</v>
      </c>
      <c r="CL117" s="21"/>
      <c r="CM117" s="21">
        <v>1.06</v>
      </c>
      <c r="CN117" s="21">
        <v>1.06</v>
      </c>
      <c r="CO117" s="21"/>
      <c r="CP117" s="21">
        <v>1.06</v>
      </c>
      <c r="CQ117" s="21">
        <v>1.06</v>
      </c>
      <c r="CR117" s="21"/>
      <c r="CS117" s="21">
        <v>0.76500000000000001</v>
      </c>
      <c r="CT117" s="21">
        <v>0.76500000000000001</v>
      </c>
      <c r="CU117" s="21"/>
      <c r="CV117" s="21">
        <v>1.06</v>
      </c>
      <c r="CW117" s="21">
        <v>1.06</v>
      </c>
      <c r="CX117" s="21"/>
      <c r="CY117" s="21">
        <v>0.76500000000000001</v>
      </c>
      <c r="CZ117" s="21">
        <v>0.76500000000000001</v>
      </c>
      <c r="DA117" s="21"/>
      <c r="DB117" s="21">
        <v>1.06</v>
      </c>
      <c r="DC117" s="21">
        <v>1.06</v>
      </c>
      <c r="DD117" s="21"/>
      <c r="DE117" s="21">
        <v>0.70499999999999996</v>
      </c>
      <c r="DF117" s="21">
        <v>0.70499999999999996</v>
      </c>
      <c r="DH117" s="20" t="s">
        <v>80</v>
      </c>
      <c r="DI117" s="20">
        <v>1.32</v>
      </c>
      <c r="DJ117" s="20">
        <v>1.2</v>
      </c>
      <c r="DM117" s="20">
        <v>0</v>
      </c>
      <c r="DN117" s="20">
        <v>0</v>
      </c>
      <c r="DO117" s="20">
        <v>0</v>
      </c>
      <c r="DQ117" s="20" t="s">
        <v>273</v>
      </c>
      <c r="DR117" s="20" t="s">
        <v>273</v>
      </c>
    </row>
    <row r="118" spans="1:122" s="20" customFormat="1" hidden="1" x14ac:dyDescent="0.2">
      <c r="A118" s="20" t="s">
        <v>481</v>
      </c>
      <c r="E118" s="20" t="s">
        <v>84</v>
      </c>
      <c r="F118" s="20" t="s">
        <v>99</v>
      </c>
      <c r="G118" s="20" t="s">
        <v>106</v>
      </c>
      <c r="H118" s="20" t="s">
        <v>387</v>
      </c>
      <c r="I118" s="20" t="s">
        <v>381</v>
      </c>
      <c r="J118" s="20" t="s">
        <v>114</v>
      </c>
      <c r="K118" s="20" t="s">
        <v>71</v>
      </c>
      <c r="L118" s="20" t="s">
        <v>102</v>
      </c>
      <c r="M118" s="20" t="s">
        <v>357</v>
      </c>
      <c r="N118" s="20" t="s">
        <v>378</v>
      </c>
      <c r="O118" s="20" t="s">
        <v>96</v>
      </c>
      <c r="P118" s="20" t="str">
        <f t="shared" si="43"/>
        <v>DFTL_CPU_CPUSRAM_MEXXXX_CPUBIR_E0XD_PLLP_59N_REPDAT_R80_SelsrmSSSS_</v>
      </c>
      <c r="S118" s="20">
        <v>1.2264999999999999</v>
      </c>
      <c r="T118" s="20">
        <v>1.115</v>
      </c>
      <c r="U118" s="20" t="s">
        <v>74</v>
      </c>
      <c r="V118" s="20" t="s">
        <v>377</v>
      </c>
      <c r="W118" s="20" t="s">
        <v>376</v>
      </c>
      <c r="X118" s="21" t="s">
        <v>411</v>
      </c>
      <c r="Y118" s="20" t="s">
        <v>375</v>
      </c>
      <c r="AF118" s="20" t="s">
        <v>386</v>
      </c>
      <c r="AM118" s="20" t="s">
        <v>166</v>
      </c>
      <c r="AN118" s="20">
        <v>0.74</v>
      </c>
      <c r="AO118" s="20">
        <v>0.74</v>
      </c>
      <c r="AQ118" s="20">
        <v>0.71499999999999997</v>
      </c>
      <c r="AR118" s="20">
        <v>0.71499999999999997</v>
      </c>
      <c r="AT118" s="20">
        <v>0.70499999999999996</v>
      </c>
      <c r="AU118" s="20">
        <v>0.70499999999999996</v>
      </c>
      <c r="AW118" s="20">
        <v>1.0349999999999999</v>
      </c>
      <c r="AX118" s="20">
        <v>1.0349999999999999</v>
      </c>
      <c r="AZ118" s="20">
        <v>0.71</v>
      </c>
      <c r="BA118" s="20">
        <v>0.71</v>
      </c>
      <c r="BC118" s="20">
        <v>0.75</v>
      </c>
      <c r="BD118" s="20">
        <v>0.75</v>
      </c>
      <c r="BF118" s="20">
        <v>0.8</v>
      </c>
      <c r="BG118" s="20">
        <v>0.3</v>
      </c>
      <c r="BH118" s="20">
        <v>0.01</v>
      </c>
      <c r="BI118" s="20">
        <v>0.82</v>
      </c>
      <c r="BJ118" s="20">
        <v>0.82</v>
      </c>
      <c r="BL118" s="20">
        <v>0.82</v>
      </c>
      <c r="BM118" s="20">
        <v>0.82</v>
      </c>
      <c r="BO118" s="20">
        <v>0.84</v>
      </c>
      <c r="BP118" s="20">
        <v>0.84</v>
      </c>
      <c r="BR118" s="20">
        <v>0.8</v>
      </c>
      <c r="BS118" s="20">
        <v>0.8</v>
      </c>
      <c r="BU118" s="20">
        <v>0.88500000000000001</v>
      </c>
      <c r="BV118" s="20">
        <v>0.88500000000000001</v>
      </c>
      <c r="BX118" s="20">
        <v>0.8</v>
      </c>
      <c r="BY118" s="20">
        <v>0.8</v>
      </c>
      <c r="CA118" s="20">
        <v>1.32</v>
      </c>
      <c r="CB118" s="20">
        <v>1.32</v>
      </c>
      <c r="CD118" s="21">
        <v>1.06</v>
      </c>
      <c r="CE118" s="21">
        <v>1.06</v>
      </c>
      <c r="CF118" s="21"/>
      <c r="CG118" s="21">
        <v>0.76500000000000001</v>
      </c>
      <c r="CH118" s="21">
        <v>0.76500000000000001</v>
      </c>
      <c r="CI118" s="21"/>
      <c r="CJ118" s="21">
        <v>0.76500000000000001</v>
      </c>
      <c r="CK118" s="21">
        <v>0.76500000000000001</v>
      </c>
      <c r="CL118" s="21"/>
      <c r="CM118" s="21">
        <v>1.06</v>
      </c>
      <c r="CN118" s="21">
        <v>1.06</v>
      </c>
      <c r="CO118" s="21"/>
      <c r="CP118" s="21">
        <v>1.06</v>
      </c>
      <c r="CQ118" s="21">
        <v>1.06</v>
      </c>
      <c r="CR118" s="21"/>
      <c r="CS118" s="21">
        <v>0.76500000000000001</v>
      </c>
      <c r="CT118" s="21">
        <v>0.76500000000000001</v>
      </c>
      <c r="CU118" s="21"/>
      <c r="CV118" s="21">
        <v>1.06</v>
      </c>
      <c r="CW118" s="21">
        <v>1.06</v>
      </c>
      <c r="CX118" s="21"/>
      <c r="CY118" s="21">
        <v>0.76500000000000001</v>
      </c>
      <c r="CZ118" s="21">
        <v>0.76500000000000001</v>
      </c>
      <c r="DA118" s="21"/>
      <c r="DB118" s="21">
        <v>1.06</v>
      </c>
      <c r="DC118" s="21">
        <v>1.06</v>
      </c>
      <c r="DD118" s="21"/>
      <c r="DE118" s="21">
        <v>0.70499999999999996</v>
      </c>
      <c r="DF118" s="21">
        <v>0.70499999999999996</v>
      </c>
      <c r="DH118" s="20" t="s">
        <v>80</v>
      </c>
      <c r="DI118" s="20">
        <v>1.2270000000000001</v>
      </c>
      <c r="DJ118" s="20">
        <v>1.115</v>
      </c>
      <c r="DM118" s="20">
        <v>0</v>
      </c>
      <c r="DN118" s="20">
        <v>0</v>
      </c>
      <c r="DO118" s="20">
        <v>0</v>
      </c>
      <c r="DQ118" s="20" t="s">
        <v>273</v>
      </c>
      <c r="DR118" s="20" t="s">
        <v>273</v>
      </c>
    </row>
    <row r="119" spans="1:122" s="20" customFormat="1" hidden="1" x14ac:dyDescent="0.2">
      <c r="A119" s="20" t="s">
        <v>481</v>
      </c>
      <c r="D119" s="22" t="s">
        <v>382</v>
      </c>
      <c r="E119" s="20" t="s">
        <v>84</v>
      </c>
      <c r="F119" s="20" t="s">
        <v>99</v>
      </c>
      <c r="G119" s="20" t="s">
        <v>106</v>
      </c>
      <c r="H119" s="20" t="s">
        <v>101</v>
      </c>
      <c r="I119" s="20" t="s">
        <v>381</v>
      </c>
      <c r="J119" s="20" t="s">
        <v>355</v>
      </c>
      <c r="K119" s="20" t="s">
        <v>380</v>
      </c>
      <c r="L119" s="20" t="s">
        <v>379</v>
      </c>
      <c r="M119" s="20" t="s">
        <v>357</v>
      </c>
      <c r="N119" s="20" t="s">
        <v>378</v>
      </c>
      <c r="O119" s="20" t="s">
        <v>96</v>
      </c>
      <c r="P119" s="20" t="str">
        <f t="shared" si="43"/>
        <v>DFTL_CPU_CPUSRAM_MPX001_CPUBIR_H0XD_NRT_1W0_REPDAT_R80_SelsrmSSSS_</v>
      </c>
      <c r="S119" s="20">
        <v>0.85</v>
      </c>
      <c r="T119" s="20">
        <v>0.79900000000000004</v>
      </c>
      <c r="U119" s="20" t="s">
        <v>74</v>
      </c>
      <c r="V119" s="20" t="s">
        <v>104</v>
      </c>
      <c r="W119" s="20" t="s">
        <v>105</v>
      </c>
      <c r="X119" s="20" t="s">
        <v>414</v>
      </c>
      <c r="Y119" s="20" t="s">
        <v>385</v>
      </c>
      <c r="AF119" s="20" t="s">
        <v>384</v>
      </c>
      <c r="AG119" s="20" t="s">
        <v>383</v>
      </c>
      <c r="AM119" s="20" t="s">
        <v>166</v>
      </c>
      <c r="AN119" s="20">
        <v>0.74</v>
      </c>
      <c r="AO119" s="20">
        <v>0.74</v>
      </c>
      <c r="AQ119" s="20">
        <v>0.71499999999999997</v>
      </c>
      <c r="AR119" s="20">
        <v>0.71499999999999997</v>
      </c>
      <c r="AT119" s="20">
        <v>0.70499999999999996</v>
      </c>
      <c r="AU119" s="20">
        <v>0.70499999999999996</v>
      </c>
      <c r="AW119" s="20">
        <v>0.73</v>
      </c>
      <c r="AX119" s="20">
        <v>0.73</v>
      </c>
      <c r="AZ119" s="20">
        <v>0.71</v>
      </c>
      <c r="BA119" s="20">
        <v>0.71</v>
      </c>
      <c r="BC119" s="20">
        <v>0.75</v>
      </c>
      <c r="BD119" s="20">
        <v>0.75</v>
      </c>
      <c r="BF119" s="20">
        <v>0.65</v>
      </c>
      <c r="BG119" s="20">
        <v>0.25</v>
      </c>
      <c r="BH119" s="20">
        <v>5.0000000000000001E-3</v>
      </c>
      <c r="BI119" s="20">
        <v>0.82</v>
      </c>
      <c r="BJ119" s="20">
        <v>0.82</v>
      </c>
      <c r="BL119" s="20">
        <v>0.82</v>
      </c>
      <c r="BM119" s="20">
        <v>0.82</v>
      </c>
      <c r="BO119" s="20">
        <v>0.84</v>
      </c>
      <c r="BP119" s="20">
        <v>0.84</v>
      </c>
      <c r="BR119" s="20">
        <v>0.8</v>
      </c>
      <c r="BS119" s="20">
        <v>0.8</v>
      </c>
      <c r="BU119" s="20">
        <v>0.88500000000000001</v>
      </c>
      <c r="BV119" s="20">
        <v>0.88500000000000001</v>
      </c>
      <c r="BX119" s="20">
        <v>0.8</v>
      </c>
      <c r="BY119" s="20">
        <v>0.8</v>
      </c>
      <c r="CA119" s="20">
        <v>1.32</v>
      </c>
      <c r="CB119" s="20">
        <v>1.32</v>
      </c>
      <c r="CD119" s="21">
        <v>1.06</v>
      </c>
      <c r="CE119" s="21">
        <v>1.06</v>
      </c>
      <c r="CF119" s="21"/>
      <c r="CG119" s="21">
        <v>0.76500000000000001</v>
      </c>
      <c r="CH119" s="21">
        <v>0.76500000000000001</v>
      </c>
      <c r="CI119" s="21"/>
      <c r="CJ119" s="21">
        <v>0.76500000000000001</v>
      </c>
      <c r="CK119" s="21">
        <v>0.76500000000000001</v>
      </c>
      <c r="CL119" s="21"/>
      <c r="CM119" s="21">
        <v>1.06</v>
      </c>
      <c r="CN119" s="21">
        <v>1.06</v>
      </c>
      <c r="CO119" s="21"/>
      <c r="CP119" s="21">
        <v>1.06</v>
      </c>
      <c r="CQ119" s="21">
        <v>1.06</v>
      </c>
      <c r="CR119" s="21"/>
      <c r="CS119" s="21">
        <v>0.76500000000000001</v>
      </c>
      <c r="CT119" s="21">
        <v>0.76500000000000001</v>
      </c>
      <c r="CU119" s="21"/>
      <c r="CV119" s="21">
        <v>1.06</v>
      </c>
      <c r="CW119" s="21">
        <v>1.06</v>
      </c>
      <c r="CX119" s="21"/>
      <c r="CY119" s="21">
        <v>0.76500000000000001</v>
      </c>
      <c r="CZ119" s="21">
        <v>0.76500000000000001</v>
      </c>
      <c r="DA119" s="21"/>
      <c r="DB119" s="21">
        <v>1.06</v>
      </c>
      <c r="DC119" s="21">
        <v>1.06</v>
      </c>
      <c r="DD119" s="21"/>
      <c r="DE119" s="21">
        <v>0.70499999999999996</v>
      </c>
      <c r="DF119" s="21">
        <v>0.70499999999999996</v>
      </c>
      <c r="DH119" s="20" t="s">
        <v>80</v>
      </c>
      <c r="DI119" s="20">
        <v>0.5</v>
      </c>
      <c r="DJ119" s="20">
        <v>0.85</v>
      </c>
      <c r="DK119" s="23" t="s">
        <v>372</v>
      </c>
      <c r="DL119" s="20" t="s">
        <v>371</v>
      </c>
      <c r="DM119" s="20">
        <v>0</v>
      </c>
      <c r="DN119" s="20">
        <v>0</v>
      </c>
      <c r="DO119" s="20">
        <v>0</v>
      </c>
      <c r="DQ119" s="20" t="s">
        <v>273</v>
      </c>
      <c r="DR119" s="20" t="s">
        <v>273</v>
      </c>
    </row>
    <row r="120" spans="1:122" s="20" customFormat="1" hidden="1" x14ac:dyDescent="0.2">
      <c r="A120" s="20" t="s">
        <v>481</v>
      </c>
      <c r="D120" s="22" t="s">
        <v>382</v>
      </c>
      <c r="E120" s="20" t="s">
        <v>84</v>
      </c>
      <c r="F120" s="20" t="s">
        <v>99</v>
      </c>
      <c r="G120" s="20" t="s">
        <v>106</v>
      </c>
      <c r="H120" s="20" t="s">
        <v>113</v>
      </c>
      <c r="I120" s="20" t="s">
        <v>381</v>
      </c>
      <c r="J120" s="20" t="s">
        <v>114</v>
      </c>
      <c r="K120" s="20" t="s">
        <v>380</v>
      </c>
      <c r="L120" s="20" t="s">
        <v>379</v>
      </c>
      <c r="M120" s="20" t="s">
        <v>357</v>
      </c>
      <c r="N120" s="20" t="s">
        <v>378</v>
      </c>
      <c r="O120" s="20" t="s">
        <v>96</v>
      </c>
      <c r="P120" s="20" t="str">
        <f t="shared" si="43"/>
        <v>DFTL_CPU_CPUSRAM_MEX001_CPUBIR_E0XD_NRT_1W0_REPDAT_R80_SelsrmSSSS_</v>
      </c>
      <c r="S120" s="20">
        <v>0.85</v>
      </c>
      <c r="T120" s="20">
        <v>0.79900000000000004</v>
      </c>
      <c r="U120" s="20" t="s">
        <v>74</v>
      </c>
      <c r="V120" s="20" t="s">
        <v>377</v>
      </c>
      <c r="W120" s="20" t="s">
        <v>376</v>
      </c>
      <c r="X120" s="20" t="s">
        <v>412</v>
      </c>
      <c r="Y120" s="20" t="s">
        <v>375</v>
      </c>
      <c r="AF120" s="20" t="s">
        <v>374</v>
      </c>
      <c r="AG120" s="20" t="s">
        <v>373</v>
      </c>
      <c r="AM120" s="20" t="s">
        <v>166</v>
      </c>
      <c r="AN120" s="20">
        <v>0.74</v>
      </c>
      <c r="AO120" s="20">
        <v>0.74</v>
      </c>
      <c r="AQ120" s="20">
        <v>0.71499999999999997</v>
      </c>
      <c r="AR120" s="20">
        <v>0.71499999999999997</v>
      </c>
      <c r="AT120" s="20">
        <v>0.70499999999999996</v>
      </c>
      <c r="AU120" s="20">
        <v>0.70499999999999996</v>
      </c>
      <c r="AW120" s="20">
        <v>0.73</v>
      </c>
      <c r="AX120" s="20">
        <v>0.73</v>
      </c>
      <c r="AZ120" s="20">
        <v>0.71</v>
      </c>
      <c r="BA120" s="20">
        <v>0.71</v>
      </c>
      <c r="BC120" s="20">
        <v>0.75</v>
      </c>
      <c r="BD120" s="20">
        <v>0.75</v>
      </c>
      <c r="BF120" s="20">
        <v>0.65</v>
      </c>
      <c r="BG120" s="20">
        <v>0.25</v>
      </c>
      <c r="BH120" s="20">
        <v>5.0000000000000001E-3</v>
      </c>
      <c r="BI120" s="20">
        <v>0.82</v>
      </c>
      <c r="BJ120" s="20">
        <v>0.82</v>
      </c>
      <c r="BL120" s="20">
        <v>0.82</v>
      </c>
      <c r="BM120" s="20">
        <v>0.82</v>
      </c>
      <c r="BO120" s="20">
        <v>0.84</v>
      </c>
      <c r="BP120" s="20">
        <v>0.84</v>
      </c>
      <c r="BR120" s="20">
        <v>0.8</v>
      </c>
      <c r="BS120" s="20">
        <v>0.8</v>
      </c>
      <c r="BU120" s="20">
        <v>0.88500000000000001</v>
      </c>
      <c r="BV120" s="20">
        <v>0.88500000000000001</v>
      </c>
      <c r="BX120" s="20">
        <v>0.8</v>
      </c>
      <c r="BY120" s="20">
        <v>0.8</v>
      </c>
      <c r="CA120" s="20">
        <v>1.32</v>
      </c>
      <c r="CB120" s="20">
        <v>1.32</v>
      </c>
      <c r="CD120" s="21">
        <v>1.06</v>
      </c>
      <c r="CE120" s="21">
        <v>1.06</v>
      </c>
      <c r="CF120" s="21"/>
      <c r="CG120" s="21">
        <v>0.76500000000000001</v>
      </c>
      <c r="CH120" s="21">
        <v>0.76500000000000001</v>
      </c>
      <c r="CI120" s="21"/>
      <c r="CJ120" s="21">
        <v>0.76500000000000001</v>
      </c>
      <c r="CK120" s="21">
        <v>0.76500000000000001</v>
      </c>
      <c r="CL120" s="21"/>
      <c r="CM120" s="21">
        <v>1.06</v>
      </c>
      <c r="CN120" s="21">
        <v>1.06</v>
      </c>
      <c r="CO120" s="21"/>
      <c r="CP120" s="21">
        <v>1.06</v>
      </c>
      <c r="CQ120" s="21">
        <v>1.06</v>
      </c>
      <c r="CR120" s="21"/>
      <c r="CS120" s="21">
        <v>0.76500000000000001</v>
      </c>
      <c r="CT120" s="21">
        <v>0.76500000000000001</v>
      </c>
      <c r="CU120" s="21"/>
      <c r="CV120" s="21">
        <v>1.06</v>
      </c>
      <c r="CW120" s="21">
        <v>1.06</v>
      </c>
      <c r="CX120" s="21"/>
      <c r="CY120" s="21">
        <v>0.76500000000000001</v>
      </c>
      <c r="CZ120" s="21">
        <v>0.76500000000000001</v>
      </c>
      <c r="DA120" s="21"/>
      <c r="DB120" s="21">
        <v>1.06</v>
      </c>
      <c r="DC120" s="21">
        <v>1.06</v>
      </c>
      <c r="DD120" s="21"/>
      <c r="DE120" s="21">
        <v>0.70499999999999996</v>
      </c>
      <c r="DF120" s="21">
        <v>0.70499999999999996</v>
      </c>
      <c r="DH120" s="20" t="s">
        <v>80</v>
      </c>
      <c r="DI120" s="20">
        <v>0.5</v>
      </c>
      <c r="DJ120" s="20">
        <v>0.85</v>
      </c>
      <c r="DK120" s="23" t="s">
        <v>372</v>
      </c>
      <c r="DL120" s="20" t="s">
        <v>371</v>
      </c>
      <c r="DM120" s="20">
        <v>0</v>
      </c>
      <c r="DN120" s="20">
        <v>0</v>
      </c>
      <c r="DO120" s="20">
        <v>0</v>
      </c>
      <c r="DQ120" s="20" t="s">
        <v>273</v>
      </c>
      <c r="DR120" s="20" t="s">
        <v>273</v>
      </c>
    </row>
    <row r="121" spans="1:122" x14ac:dyDescent="0.2">
      <c r="A121" t="s">
        <v>67</v>
      </c>
      <c r="E121" t="s">
        <v>84</v>
      </c>
      <c r="F121" t="s">
        <v>99</v>
      </c>
      <c r="G121" t="s">
        <v>106</v>
      </c>
      <c r="H121" t="s">
        <v>101</v>
      </c>
      <c r="I121" t="s">
        <v>116</v>
      </c>
      <c r="J121" t="s">
        <v>111</v>
      </c>
      <c r="K121" t="s">
        <v>71</v>
      </c>
      <c r="L121" t="s">
        <v>102</v>
      </c>
      <c r="M121" t="s">
        <v>103</v>
      </c>
      <c r="N121" t="s">
        <v>421</v>
      </c>
      <c r="O121" t="s">
        <v>96</v>
      </c>
      <c r="P121" t="str">
        <f t="shared" ref="P121:P131" si="44">E121&amp;"_"&amp;F121&amp;"_"&amp;G121&amp;"_"&amp;H121&amp;"_"&amp;I121&amp;"_"&amp;J121&amp;"_"&amp;K121&amp;"_"&amp;L121&amp;"_"&amp;M121&amp;"_"&amp;N121&amp;"_"&amp;O121&amp;"_"</f>
        <v>DFTL_CPU_CPUSRAM_MPX001_CPUBST_H0HX_PLLP_59N_REPREST_CZ_SelsrmSSSS_</v>
      </c>
      <c r="S121">
        <v>1.1850000000000001</v>
      </c>
      <c r="T121">
        <v>1.1138999999999999</v>
      </c>
      <c r="U121" t="s">
        <v>74</v>
      </c>
      <c r="V121" t="s">
        <v>104</v>
      </c>
      <c r="W121" t="s">
        <v>105</v>
      </c>
      <c r="X121" t="s">
        <v>417</v>
      </c>
      <c r="AF121" t="s">
        <v>119</v>
      </c>
      <c r="AM121" t="s">
        <v>166</v>
      </c>
      <c r="AN121">
        <v>0.74</v>
      </c>
      <c r="AO121">
        <v>0.74</v>
      </c>
      <c r="AQ121">
        <v>0.71499999999999997</v>
      </c>
      <c r="AR121">
        <v>0.71499999999999997</v>
      </c>
      <c r="AT121">
        <v>0.70499999999999996</v>
      </c>
      <c r="AU121">
        <v>0.70499999999999996</v>
      </c>
      <c r="AW121">
        <v>0.73</v>
      </c>
      <c r="AX121">
        <v>0.73</v>
      </c>
      <c r="AZ121">
        <v>0.71</v>
      </c>
      <c r="BA121">
        <v>0.71</v>
      </c>
      <c r="BC121">
        <v>0.75</v>
      </c>
      <c r="BD121">
        <v>0.75</v>
      </c>
      <c r="BF121">
        <v>0.8</v>
      </c>
      <c r="BG121">
        <v>0.5</v>
      </c>
      <c r="BH121">
        <v>0.01</v>
      </c>
      <c r="BI121">
        <v>0.82</v>
      </c>
      <c r="BJ121">
        <v>0.82</v>
      </c>
      <c r="BL121">
        <v>0.82</v>
      </c>
      <c r="BM121">
        <v>0.82</v>
      </c>
      <c r="BO121">
        <v>0.84</v>
      </c>
      <c r="BP121">
        <v>0.84</v>
      </c>
      <c r="BR121">
        <v>0.8</v>
      </c>
      <c r="BS121">
        <v>0.8</v>
      </c>
      <c r="BU121">
        <v>0.88500000000000001</v>
      </c>
      <c r="BV121">
        <v>0.88500000000000001</v>
      </c>
      <c r="BX121">
        <v>0.8</v>
      </c>
      <c r="BY121">
        <v>0.8</v>
      </c>
      <c r="CA121">
        <v>1.32</v>
      </c>
      <c r="CB121">
        <v>1.32</v>
      </c>
      <c r="CD121" s="11">
        <v>1.06</v>
      </c>
      <c r="CE121" s="11">
        <v>1.06</v>
      </c>
      <c r="CF121" s="11"/>
      <c r="CG121" s="11">
        <v>0.76500000000000001</v>
      </c>
      <c r="CH121" s="11">
        <v>0.76500000000000001</v>
      </c>
      <c r="CI121" s="11"/>
      <c r="CJ121" s="11">
        <v>0.76500000000000001</v>
      </c>
      <c r="CK121" s="11">
        <v>0.76500000000000001</v>
      </c>
      <c r="CL121" s="11"/>
      <c r="CM121" s="11">
        <v>1.06</v>
      </c>
      <c r="CN121" s="11">
        <v>1.06</v>
      </c>
      <c r="CO121" s="11"/>
      <c r="CP121" s="11">
        <v>1.06</v>
      </c>
      <c r="CQ121" s="11">
        <v>1.06</v>
      </c>
      <c r="CR121" s="11"/>
      <c r="CS121" s="11">
        <v>0.76500000000000001</v>
      </c>
      <c r="CT121" s="11">
        <v>0.76500000000000001</v>
      </c>
      <c r="CU121" s="11"/>
      <c r="CV121" s="11">
        <v>1.06</v>
      </c>
      <c r="CW121" s="11">
        <v>1.06</v>
      </c>
      <c r="CX121" s="11"/>
      <c r="CY121" s="11">
        <v>0.76500000000000001</v>
      </c>
      <c r="CZ121" s="11">
        <v>0.76500000000000001</v>
      </c>
      <c r="DA121" s="11"/>
      <c r="DB121" s="11">
        <v>1.06</v>
      </c>
      <c r="DC121" s="11">
        <v>1.06</v>
      </c>
      <c r="DD121" s="11"/>
      <c r="DE121" s="11">
        <v>0.70499999999999996</v>
      </c>
      <c r="DF121" s="11">
        <v>0.70499999999999996</v>
      </c>
      <c r="DH121" t="s">
        <v>80</v>
      </c>
      <c r="DI121">
        <v>0.5</v>
      </c>
      <c r="DJ121">
        <v>0.85</v>
      </c>
      <c r="DM121">
        <v>0</v>
      </c>
      <c r="DN121">
        <v>0</v>
      </c>
      <c r="DO121">
        <v>0</v>
      </c>
      <c r="DP121" t="s">
        <v>258</v>
      </c>
      <c r="DQ121" t="s">
        <v>274</v>
      </c>
      <c r="DR121" t="s">
        <v>274</v>
      </c>
    </row>
    <row r="122" spans="1:122" x14ac:dyDescent="0.2">
      <c r="A122" t="s">
        <v>67</v>
      </c>
      <c r="E122" t="s">
        <v>84</v>
      </c>
      <c r="F122" t="s">
        <v>99</v>
      </c>
      <c r="G122" t="s">
        <v>106</v>
      </c>
      <c r="H122" t="s">
        <v>415</v>
      </c>
      <c r="I122" t="s">
        <v>116</v>
      </c>
      <c r="J122" t="s">
        <v>111</v>
      </c>
      <c r="K122" t="s">
        <v>71</v>
      </c>
      <c r="L122" t="s">
        <v>102</v>
      </c>
      <c r="M122" t="s">
        <v>103</v>
      </c>
      <c r="N122" t="s">
        <v>421</v>
      </c>
      <c r="O122" t="s">
        <v>96</v>
      </c>
      <c r="P122" t="str">
        <f t="shared" si="44"/>
        <v>DFTL_CPU_CPUSRAM_MPX002_CPUBST_H0HX_PLLP_59N_REPREST_CZ_SelsrmSSSS_</v>
      </c>
      <c r="S122">
        <v>1.1850000000000001</v>
      </c>
      <c r="T122">
        <v>1.1138999999999999</v>
      </c>
      <c r="U122" t="s">
        <v>74</v>
      </c>
      <c r="V122" t="s">
        <v>104</v>
      </c>
      <c r="W122" t="s">
        <v>105</v>
      </c>
      <c r="X122" t="s">
        <v>418</v>
      </c>
      <c r="AF122" t="s">
        <v>119</v>
      </c>
      <c r="AM122" t="s">
        <v>166</v>
      </c>
      <c r="AN122">
        <v>0.76500000000000001</v>
      </c>
      <c r="AO122">
        <v>0.76500000000000001</v>
      </c>
      <c r="AQ122">
        <v>0.71499999999999997</v>
      </c>
      <c r="AR122">
        <v>0.71499999999999997</v>
      </c>
      <c r="AT122">
        <v>0.70499999999999996</v>
      </c>
      <c r="AU122">
        <v>0.70499999999999996</v>
      </c>
      <c r="AW122">
        <v>1.0349999999999999</v>
      </c>
      <c r="AX122">
        <v>1.0349999999999999</v>
      </c>
      <c r="AZ122">
        <v>0.71</v>
      </c>
      <c r="BA122">
        <v>0.71</v>
      </c>
      <c r="BC122">
        <v>0.75</v>
      </c>
      <c r="BD122">
        <v>0.75</v>
      </c>
      <c r="BF122">
        <v>1.05</v>
      </c>
      <c r="BG122">
        <v>0.5</v>
      </c>
      <c r="BH122">
        <v>0.01</v>
      </c>
      <c r="BI122">
        <v>0.82</v>
      </c>
      <c r="BJ122">
        <v>0.82</v>
      </c>
      <c r="BL122">
        <v>0.82</v>
      </c>
      <c r="BM122">
        <v>0.82</v>
      </c>
      <c r="BO122">
        <v>0.84</v>
      </c>
      <c r="BP122">
        <v>0.84</v>
      </c>
      <c r="BR122">
        <v>0.8</v>
      </c>
      <c r="BS122">
        <v>0.8</v>
      </c>
      <c r="BU122">
        <v>0.88500000000000001</v>
      </c>
      <c r="BV122">
        <v>0.88500000000000001</v>
      </c>
      <c r="BX122">
        <v>0.8</v>
      </c>
      <c r="BY122">
        <v>0.8</v>
      </c>
      <c r="CA122">
        <v>1.32</v>
      </c>
      <c r="CB122">
        <v>1.32</v>
      </c>
      <c r="CD122">
        <v>1.06</v>
      </c>
      <c r="CE122">
        <v>1.06</v>
      </c>
      <c r="CG122">
        <v>0.76500000000000001</v>
      </c>
      <c r="CH122">
        <v>0.76500000000000001</v>
      </c>
      <c r="CJ122">
        <v>0.76500000000000001</v>
      </c>
      <c r="CK122">
        <v>0.76500000000000001</v>
      </c>
      <c r="CM122">
        <v>1.06</v>
      </c>
      <c r="CN122">
        <v>1.06</v>
      </c>
      <c r="CP122">
        <v>1.06</v>
      </c>
      <c r="CQ122">
        <v>1.06</v>
      </c>
      <c r="CS122">
        <v>0.76500000000000001</v>
      </c>
      <c r="CT122">
        <v>0.76500000000000001</v>
      </c>
      <c r="CV122">
        <v>1.06</v>
      </c>
      <c r="CW122">
        <v>1.06</v>
      </c>
      <c r="CY122">
        <v>0.76500000000000001</v>
      </c>
      <c r="CZ122">
        <v>0.76500000000000001</v>
      </c>
      <c r="DB122">
        <v>1.06</v>
      </c>
      <c r="DC122">
        <v>1.06</v>
      </c>
      <c r="DE122">
        <v>0.70499999999999996</v>
      </c>
      <c r="DF122">
        <v>0.70499999999999996</v>
      </c>
      <c r="DH122" t="s">
        <v>80</v>
      </c>
      <c r="DI122">
        <v>1.1140000000000001</v>
      </c>
      <c r="DJ122">
        <v>1.1850000000000001</v>
      </c>
      <c r="DM122">
        <v>0</v>
      </c>
      <c r="DN122">
        <v>0</v>
      </c>
      <c r="DO122">
        <v>0</v>
      </c>
      <c r="DP122" t="s">
        <v>258</v>
      </c>
      <c r="DQ122" t="s">
        <v>274</v>
      </c>
      <c r="DR122" t="s">
        <v>274</v>
      </c>
    </row>
    <row r="123" spans="1:122" x14ac:dyDescent="0.2">
      <c r="A123" t="s">
        <v>67</v>
      </c>
      <c r="E123" t="s">
        <v>84</v>
      </c>
      <c r="F123" t="s">
        <v>99</v>
      </c>
      <c r="G123" t="s">
        <v>106</v>
      </c>
      <c r="H123" t="s">
        <v>416</v>
      </c>
      <c r="I123" t="s">
        <v>116</v>
      </c>
      <c r="J123" t="s">
        <v>111</v>
      </c>
      <c r="K123" t="s">
        <v>71</v>
      </c>
      <c r="L123" t="s">
        <v>102</v>
      </c>
      <c r="M123" t="s">
        <v>103</v>
      </c>
      <c r="N123" t="s">
        <v>421</v>
      </c>
      <c r="O123" t="s">
        <v>96</v>
      </c>
      <c r="P123" t="str">
        <f t="shared" si="44"/>
        <v>DFTL_CPU_CPUSRAM_MPX003_CPUBST_H0HX_PLLP_59N_REPREST_CZ_SelsrmSSSS_</v>
      </c>
      <c r="S123">
        <v>1.1850000000000001</v>
      </c>
      <c r="T123">
        <v>1.1138999999999999</v>
      </c>
      <c r="U123" t="s">
        <v>74</v>
      </c>
      <c r="V123" t="s">
        <v>104</v>
      </c>
      <c r="W123" t="s">
        <v>105</v>
      </c>
      <c r="X123" t="s">
        <v>419</v>
      </c>
      <c r="AF123" t="s">
        <v>119</v>
      </c>
      <c r="AM123" t="s">
        <v>166</v>
      </c>
      <c r="AN123">
        <v>0.78500000000000003</v>
      </c>
      <c r="AO123">
        <v>0.78500000000000003</v>
      </c>
      <c r="AQ123">
        <v>0.71499999999999997</v>
      </c>
      <c r="AR123">
        <v>0.71499999999999997</v>
      </c>
      <c r="AT123">
        <v>0.70499999999999996</v>
      </c>
      <c r="AU123">
        <v>0.70499999999999996</v>
      </c>
      <c r="AW123">
        <v>1.0349999999999999</v>
      </c>
      <c r="AX123">
        <v>1.0349999999999999</v>
      </c>
      <c r="AZ123">
        <v>0.71</v>
      </c>
      <c r="BA123">
        <v>0.71</v>
      </c>
      <c r="BC123">
        <v>0.75</v>
      </c>
      <c r="BD123">
        <v>0.75</v>
      </c>
      <c r="BF123">
        <v>1.06</v>
      </c>
      <c r="BG123">
        <v>0.5</v>
      </c>
      <c r="BH123">
        <v>0.01</v>
      </c>
      <c r="BI123">
        <v>0.82</v>
      </c>
      <c r="BJ123">
        <v>0.82</v>
      </c>
      <c r="BL123">
        <v>0.82</v>
      </c>
      <c r="BM123">
        <v>0.82</v>
      </c>
      <c r="BO123">
        <v>0.84</v>
      </c>
      <c r="BP123">
        <v>0.84</v>
      </c>
      <c r="BR123">
        <v>0.8</v>
      </c>
      <c r="BS123">
        <v>0.8</v>
      </c>
      <c r="BU123">
        <v>0.88500000000000001</v>
      </c>
      <c r="BV123">
        <v>0.88500000000000001</v>
      </c>
      <c r="BX123">
        <v>0.8</v>
      </c>
      <c r="BY123">
        <v>0.8</v>
      </c>
      <c r="CA123">
        <v>1.32</v>
      </c>
      <c r="CB123">
        <v>1.32</v>
      </c>
      <c r="CD123">
        <v>1.06</v>
      </c>
      <c r="CE123">
        <v>1.06</v>
      </c>
      <c r="CG123">
        <v>0.76500000000000001</v>
      </c>
      <c r="CH123">
        <v>0.76500000000000001</v>
      </c>
      <c r="CJ123">
        <v>0.76500000000000001</v>
      </c>
      <c r="CK123">
        <v>0.76500000000000001</v>
      </c>
      <c r="CM123">
        <v>1.06</v>
      </c>
      <c r="CN123">
        <v>1.06</v>
      </c>
      <c r="CP123">
        <v>1.06</v>
      </c>
      <c r="CQ123">
        <v>1.06</v>
      </c>
      <c r="CS123">
        <v>0.76500000000000001</v>
      </c>
      <c r="CT123">
        <v>0.76500000000000001</v>
      </c>
      <c r="CV123">
        <v>1.06</v>
      </c>
      <c r="CW123">
        <v>1.06</v>
      </c>
      <c r="CY123">
        <v>0.76500000000000001</v>
      </c>
      <c r="CZ123">
        <v>0.76500000000000001</v>
      </c>
      <c r="DB123">
        <v>1.06</v>
      </c>
      <c r="DC123">
        <v>1.06</v>
      </c>
      <c r="DE123">
        <v>0.70499999999999996</v>
      </c>
      <c r="DF123">
        <v>0.70499999999999996</v>
      </c>
      <c r="DH123" t="s">
        <v>80</v>
      </c>
      <c r="DI123">
        <v>1.1140000000000001</v>
      </c>
      <c r="DJ123">
        <v>1.1850000000000001</v>
      </c>
      <c r="DM123">
        <v>0</v>
      </c>
      <c r="DN123">
        <v>0</v>
      </c>
      <c r="DO123">
        <v>0</v>
      </c>
      <c r="DP123" t="s">
        <v>258</v>
      </c>
      <c r="DQ123" t="s">
        <v>274</v>
      </c>
      <c r="DR123" t="s">
        <v>274</v>
      </c>
    </row>
    <row r="124" spans="1:122" x14ac:dyDescent="0.2">
      <c r="A124" t="s">
        <v>67</v>
      </c>
      <c r="E124" t="s">
        <v>84</v>
      </c>
      <c r="F124" t="s">
        <v>99</v>
      </c>
      <c r="G124" t="s">
        <v>106</v>
      </c>
      <c r="H124" t="s">
        <v>360</v>
      </c>
      <c r="I124" t="s">
        <v>116</v>
      </c>
      <c r="J124" t="s">
        <v>111</v>
      </c>
      <c r="K124" t="s">
        <v>71</v>
      </c>
      <c r="L124" t="s">
        <v>102</v>
      </c>
      <c r="M124" t="s">
        <v>103</v>
      </c>
      <c r="N124" t="s">
        <v>421</v>
      </c>
      <c r="O124" t="s">
        <v>96</v>
      </c>
      <c r="P124" t="str">
        <f t="shared" si="44"/>
        <v>DFTL_CPU_CPUSRAM_MPX00I_CPUBST_H0HX_PLLP_59N_REPREST_CZ_SelsrmSSSS_</v>
      </c>
      <c r="S124">
        <v>1.1850000000000001</v>
      </c>
      <c r="T124">
        <v>1.1138999999999999</v>
      </c>
      <c r="U124" t="s">
        <v>74</v>
      </c>
      <c r="V124" t="s">
        <v>104</v>
      </c>
      <c r="W124" t="s">
        <v>105</v>
      </c>
      <c r="X124" t="s">
        <v>420</v>
      </c>
      <c r="AF124" t="s">
        <v>119</v>
      </c>
      <c r="AM124" t="s">
        <v>166</v>
      </c>
      <c r="AN124">
        <v>1.25</v>
      </c>
      <c r="AO124">
        <v>1.25</v>
      </c>
      <c r="AQ124">
        <v>0.71499999999999997</v>
      </c>
      <c r="AR124">
        <v>0.71499999999999997</v>
      </c>
      <c r="AT124">
        <v>0.745</v>
      </c>
      <c r="AU124">
        <v>0.745</v>
      </c>
      <c r="AW124">
        <v>1.0349999999999999</v>
      </c>
      <c r="AX124">
        <v>1.0349999999999999</v>
      </c>
      <c r="AZ124">
        <v>0.70499999999999996</v>
      </c>
      <c r="BA124">
        <v>0.70499999999999996</v>
      </c>
      <c r="BC124">
        <v>0.76</v>
      </c>
      <c r="BD124">
        <v>0.76</v>
      </c>
      <c r="BF124">
        <v>1.3</v>
      </c>
      <c r="BG124">
        <v>0.7</v>
      </c>
      <c r="BH124">
        <v>0.01</v>
      </c>
      <c r="BI124">
        <v>0.82</v>
      </c>
      <c r="BJ124">
        <v>0.82</v>
      </c>
      <c r="BL124">
        <v>0.82</v>
      </c>
      <c r="BM124">
        <v>0.82</v>
      </c>
      <c r="BO124">
        <v>0.84</v>
      </c>
      <c r="BP124">
        <v>0.84</v>
      </c>
      <c r="BR124">
        <v>0.8</v>
      </c>
      <c r="BS124">
        <v>0.8</v>
      </c>
      <c r="BU124">
        <v>0.88500000000000001</v>
      </c>
      <c r="BV124">
        <v>0.88500000000000001</v>
      </c>
      <c r="BX124">
        <v>0.8</v>
      </c>
      <c r="BY124">
        <v>0.8</v>
      </c>
      <c r="CA124">
        <v>1.32</v>
      </c>
      <c r="CB124">
        <v>1.32</v>
      </c>
      <c r="CD124">
        <v>1.06</v>
      </c>
      <c r="CE124">
        <v>1.06</v>
      </c>
      <c r="CG124">
        <v>0.76500000000000001</v>
      </c>
      <c r="CH124">
        <v>0.76500000000000001</v>
      </c>
      <c r="CJ124">
        <v>0.76500000000000001</v>
      </c>
      <c r="CK124">
        <v>0.76500000000000001</v>
      </c>
      <c r="CM124">
        <v>1.06</v>
      </c>
      <c r="CN124">
        <v>1.06</v>
      </c>
      <c r="CP124">
        <v>1.06</v>
      </c>
      <c r="CQ124">
        <v>1.06</v>
      </c>
      <c r="CS124">
        <v>0.76500000000000001</v>
      </c>
      <c r="CT124">
        <v>0.76500000000000001</v>
      </c>
      <c r="CV124">
        <v>1.06</v>
      </c>
      <c r="CW124">
        <v>1.06</v>
      </c>
      <c r="CY124">
        <v>0.76500000000000001</v>
      </c>
      <c r="CZ124">
        <v>0.76500000000000001</v>
      </c>
      <c r="DB124">
        <v>1.06</v>
      </c>
      <c r="DC124">
        <v>1.06</v>
      </c>
      <c r="DE124">
        <v>0.70499999999999996</v>
      </c>
      <c r="DF124">
        <v>0.70499999999999996</v>
      </c>
      <c r="DH124" t="s">
        <v>80</v>
      </c>
      <c r="DI124">
        <v>1.1140000000000001</v>
      </c>
      <c r="DJ124">
        <v>1.1850000000000001</v>
      </c>
      <c r="DM124">
        <v>0</v>
      </c>
      <c r="DN124">
        <v>0</v>
      </c>
      <c r="DO124">
        <v>0</v>
      </c>
      <c r="DP124" t="s">
        <v>258</v>
      </c>
      <c r="DQ124" t="s">
        <v>274</v>
      </c>
      <c r="DR124" t="s">
        <v>274</v>
      </c>
    </row>
    <row r="125" spans="1:122" x14ac:dyDescent="0.2">
      <c r="A125" t="s">
        <v>67</v>
      </c>
      <c r="E125" t="s">
        <v>84</v>
      </c>
      <c r="F125" t="s">
        <v>99</v>
      </c>
      <c r="G125" t="s">
        <v>106</v>
      </c>
      <c r="H125" t="s">
        <v>120</v>
      </c>
      <c r="I125" t="s">
        <v>116</v>
      </c>
      <c r="J125" t="s">
        <v>355</v>
      </c>
      <c r="K125" t="s">
        <v>71</v>
      </c>
      <c r="L125" t="s">
        <v>102</v>
      </c>
      <c r="M125" t="s">
        <v>357</v>
      </c>
      <c r="N125" t="s">
        <v>73</v>
      </c>
      <c r="O125" t="s">
        <v>96</v>
      </c>
      <c r="P125" t="str">
        <f t="shared" si="44"/>
        <v>DFTL_CPU_CPUSRAM_MPXXXX_CPUBST_H0XD_PLLP_59N_REPDAT_X_SelsrmSSSS_</v>
      </c>
      <c r="S125">
        <v>1.32</v>
      </c>
      <c r="T125">
        <v>1.2</v>
      </c>
      <c r="U125" t="s">
        <v>74</v>
      </c>
      <c r="V125" t="s">
        <v>104</v>
      </c>
      <c r="W125" t="s">
        <v>105</v>
      </c>
      <c r="X125" t="s">
        <v>121</v>
      </c>
      <c r="AF125" t="s">
        <v>407</v>
      </c>
      <c r="AM125" t="s">
        <v>166</v>
      </c>
      <c r="AN125">
        <v>0.74</v>
      </c>
      <c r="AO125">
        <v>0.74</v>
      </c>
      <c r="AQ125">
        <v>0.71499999999999997</v>
      </c>
      <c r="AR125">
        <v>0.71499999999999997</v>
      </c>
      <c r="AT125">
        <v>0.70499999999999996</v>
      </c>
      <c r="AU125">
        <v>0.70499999999999996</v>
      </c>
      <c r="AW125">
        <v>1.0349999999999999</v>
      </c>
      <c r="AX125">
        <v>1.0349999999999999</v>
      </c>
      <c r="AZ125">
        <v>0.71</v>
      </c>
      <c r="BA125">
        <v>0.71</v>
      </c>
      <c r="BC125">
        <v>0.75</v>
      </c>
      <c r="BD125">
        <v>0.75</v>
      </c>
      <c r="BF125">
        <v>0.8</v>
      </c>
      <c r="BG125">
        <v>0.3</v>
      </c>
      <c r="BH125">
        <v>0.01</v>
      </c>
      <c r="BI125">
        <v>0.82</v>
      </c>
      <c r="BJ125">
        <v>0.82</v>
      </c>
      <c r="BL125">
        <v>0.82</v>
      </c>
      <c r="BM125">
        <v>0.82</v>
      </c>
      <c r="BO125">
        <v>0.84</v>
      </c>
      <c r="BP125">
        <v>0.84</v>
      </c>
      <c r="BR125">
        <v>0.8</v>
      </c>
      <c r="BS125">
        <v>0.8</v>
      </c>
      <c r="BU125">
        <v>0.88500000000000001</v>
      </c>
      <c r="BV125">
        <v>0.88500000000000001</v>
      </c>
      <c r="BX125">
        <v>0.8</v>
      </c>
      <c r="BY125">
        <v>0.8</v>
      </c>
      <c r="CA125">
        <v>1.32</v>
      </c>
      <c r="CB125">
        <v>1.32</v>
      </c>
      <c r="CD125">
        <v>1.06</v>
      </c>
      <c r="CE125">
        <v>1.06</v>
      </c>
      <c r="CG125">
        <v>0.76500000000000001</v>
      </c>
      <c r="CH125">
        <v>0.76500000000000001</v>
      </c>
      <c r="CJ125">
        <v>0.76500000000000001</v>
      </c>
      <c r="CK125">
        <v>0.76500000000000001</v>
      </c>
      <c r="CM125">
        <v>1.06</v>
      </c>
      <c r="CN125">
        <v>1.06</v>
      </c>
      <c r="CP125">
        <v>1.06</v>
      </c>
      <c r="CQ125">
        <v>1.06</v>
      </c>
      <c r="CS125">
        <v>0.76500000000000001</v>
      </c>
      <c r="CT125">
        <v>0.76500000000000001</v>
      </c>
      <c r="CV125">
        <v>1.06</v>
      </c>
      <c r="CW125">
        <v>1.06</v>
      </c>
      <c r="CY125">
        <v>0.76500000000000001</v>
      </c>
      <c r="CZ125">
        <v>0.76500000000000001</v>
      </c>
      <c r="DB125">
        <v>1.06</v>
      </c>
      <c r="DC125">
        <v>1.06</v>
      </c>
      <c r="DE125">
        <v>0.70499999999999996</v>
      </c>
      <c r="DF125">
        <v>0.70499999999999996</v>
      </c>
      <c r="DH125" t="s">
        <v>80</v>
      </c>
      <c r="DI125">
        <v>1.32</v>
      </c>
      <c r="DJ125">
        <v>1.2</v>
      </c>
      <c r="DM125">
        <v>0</v>
      </c>
      <c r="DN125">
        <v>0</v>
      </c>
      <c r="DO125">
        <v>0</v>
      </c>
      <c r="DP125" t="s">
        <v>258</v>
      </c>
      <c r="DQ125" t="s">
        <v>273</v>
      </c>
      <c r="DR125" t="s">
        <v>273</v>
      </c>
    </row>
    <row r="126" spans="1:122" x14ac:dyDescent="0.2">
      <c r="A126" t="s">
        <v>67</v>
      </c>
      <c r="E126" t="s">
        <v>84</v>
      </c>
      <c r="F126" t="s">
        <v>99</v>
      </c>
      <c r="G126" t="s">
        <v>106</v>
      </c>
      <c r="H126" t="s">
        <v>120</v>
      </c>
      <c r="I126" t="s">
        <v>116</v>
      </c>
      <c r="J126" t="s">
        <v>111</v>
      </c>
      <c r="K126" t="s">
        <v>71</v>
      </c>
      <c r="L126" t="s">
        <v>102</v>
      </c>
      <c r="M126" t="s">
        <v>103</v>
      </c>
      <c r="N126" t="s">
        <v>73</v>
      </c>
      <c r="O126" t="s">
        <v>96</v>
      </c>
      <c r="P126" t="str">
        <f t="shared" si="44"/>
        <v>DFTL_CPU_CPUSRAM_MPXXXX_CPUBST_H0HX_PLLP_59N_REPREST_X_SelsrmSSSS_</v>
      </c>
      <c r="S126">
        <v>1.32</v>
      </c>
      <c r="T126">
        <v>1.2</v>
      </c>
      <c r="U126" t="s">
        <v>74</v>
      </c>
      <c r="V126" t="s">
        <v>104</v>
      </c>
      <c r="W126" t="s">
        <v>105</v>
      </c>
      <c r="X126" t="s">
        <v>121</v>
      </c>
      <c r="AF126" t="s">
        <v>119</v>
      </c>
      <c r="AM126" t="s">
        <v>166</v>
      </c>
      <c r="AN126">
        <v>0.74</v>
      </c>
      <c r="AO126">
        <v>0.74</v>
      </c>
      <c r="AQ126">
        <v>0.71499999999999997</v>
      </c>
      <c r="AR126">
        <v>0.71499999999999997</v>
      </c>
      <c r="AT126">
        <v>0.70499999999999996</v>
      </c>
      <c r="AU126">
        <v>0.70499999999999996</v>
      </c>
      <c r="AW126">
        <v>1.0349999999999999</v>
      </c>
      <c r="AX126">
        <v>1.0349999999999999</v>
      </c>
      <c r="AZ126">
        <v>0.71</v>
      </c>
      <c r="BA126">
        <v>0.71</v>
      </c>
      <c r="BC126">
        <v>0.75</v>
      </c>
      <c r="BD126">
        <v>0.75</v>
      </c>
      <c r="BF126">
        <v>0.8</v>
      </c>
      <c r="BG126">
        <v>0.3</v>
      </c>
      <c r="BH126">
        <v>0.01</v>
      </c>
      <c r="BI126">
        <v>0.82</v>
      </c>
      <c r="BJ126">
        <v>0.82</v>
      </c>
      <c r="BL126">
        <v>0.82</v>
      </c>
      <c r="BM126">
        <v>0.82</v>
      </c>
      <c r="BO126">
        <v>0.84</v>
      </c>
      <c r="BP126">
        <v>0.84</v>
      </c>
      <c r="BR126">
        <v>0.8</v>
      </c>
      <c r="BS126">
        <v>0.8</v>
      </c>
      <c r="BU126">
        <v>0.88500000000000001</v>
      </c>
      <c r="BV126">
        <v>0.88500000000000001</v>
      </c>
      <c r="BX126">
        <v>0.8</v>
      </c>
      <c r="BY126">
        <v>0.8</v>
      </c>
      <c r="CA126">
        <v>1.32</v>
      </c>
      <c r="CB126">
        <v>1.32</v>
      </c>
      <c r="CD126">
        <v>1.06</v>
      </c>
      <c r="CE126">
        <v>1.06</v>
      </c>
      <c r="CG126">
        <v>0.76500000000000001</v>
      </c>
      <c r="CH126">
        <v>0.76500000000000001</v>
      </c>
      <c r="CJ126">
        <v>0.76500000000000001</v>
      </c>
      <c r="CK126">
        <v>0.76500000000000001</v>
      </c>
      <c r="CM126">
        <v>1.06</v>
      </c>
      <c r="CN126">
        <v>1.06</v>
      </c>
      <c r="CP126">
        <v>1.06</v>
      </c>
      <c r="CQ126">
        <v>1.06</v>
      </c>
      <c r="CS126">
        <v>0.76500000000000001</v>
      </c>
      <c r="CT126">
        <v>0.76500000000000001</v>
      </c>
      <c r="CV126">
        <v>1.06</v>
      </c>
      <c r="CW126">
        <v>1.06</v>
      </c>
      <c r="CY126">
        <v>0.76500000000000001</v>
      </c>
      <c r="CZ126">
        <v>0.76500000000000001</v>
      </c>
      <c r="DB126">
        <v>1.06</v>
      </c>
      <c r="DC126">
        <v>1.06</v>
      </c>
      <c r="DE126">
        <v>0.70499999999999996</v>
      </c>
      <c r="DF126">
        <v>0.70499999999999996</v>
      </c>
      <c r="DH126" t="s">
        <v>80</v>
      </c>
      <c r="DI126">
        <v>1.32</v>
      </c>
      <c r="DJ126">
        <v>1.2</v>
      </c>
      <c r="DM126">
        <v>0</v>
      </c>
      <c r="DN126">
        <v>0</v>
      </c>
      <c r="DO126">
        <v>0</v>
      </c>
      <c r="DP126" t="s">
        <v>258</v>
      </c>
      <c r="DQ126" t="s">
        <v>273</v>
      </c>
      <c r="DR126" t="s">
        <v>273</v>
      </c>
    </row>
    <row r="127" spans="1:122" x14ac:dyDescent="0.2">
      <c r="A127" t="s">
        <v>67</v>
      </c>
      <c r="E127" t="s">
        <v>84</v>
      </c>
      <c r="F127" t="s">
        <v>69</v>
      </c>
      <c r="G127" t="s">
        <v>106</v>
      </c>
      <c r="H127" t="s">
        <v>101</v>
      </c>
      <c r="I127" t="s">
        <v>151</v>
      </c>
      <c r="J127" t="s">
        <v>126</v>
      </c>
      <c r="K127" t="s">
        <v>73</v>
      </c>
      <c r="L127" t="s">
        <v>73</v>
      </c>
      <c r="M127" t="s">
        <v>422</v>
      </c>
      <c r="N127" t="s">
        <v>423</v>
      </c>
      <c r="O127" t="s">
        <v>96</v>
      </c>
      <c r="P127" t="str">
        <f t="shared" si="44"/>
        <v>DFTL_SOC_CPUSRAM_MPX001_SOCBST_GR01_X_X_SRVT_CPA_SelsrmSSSS_</v>
      </c>
      <c r="S127">
        <v>0.85</v>
      </c>
      <c r="T127">
        <v>0.79900000000000004</v>
      </c>
      <c r="U127" t="s">
        <v>74</v>
      </c>
      <c r="V127" t="s">
        <v>128</v>
      </c>
      <c r="W127" t="s">
        <v>129</v>
      </c>
      <c r="X127" t="s">
        <v>130</v>
      </c>
      <c r="Y127" t="s">
        <v>131</v>
      </c>
      <c r="Z127" t="s">
        <v>132</v>
      </c>
      <c r="AA127" t="s">
        <v>424</v>
      </c>
      <c r="AB127" t="s">
        <v>133</v>
      </c>
      <c r="AC127" t="s">
        <v>134</v>
      </c>
      <c r="AD127" t="s">
        <v>425</v>
      </c>
      <c r="AF127" t="s">
        <v>426</v>
      </c>
      <c r="AM127" t="s">
        <v>166</v>
      </c>
      <c r="AN127">
        <v>0.74</v>
      </c>
      <c r="AO127">
        <v>0.74</v>
      </c>
      <c r="AQ127">
        <v>0.71499999999999997</v>
      </c>
      <c r="AR127">
        <v>0.71499999999999997</v>
      </c>
      <c r="AT127">
        <v>0.70499999999999996</v>
      </c>
      <c r="AU127">
        <v>0.70499999999999996</v>
      </c>
      <c r="AW127">
        <v>1.0349999999999999</v>
      </c>
      <c r="AX127">
        <v>1.0349999999999999</v>
      </c>
      <c r="AZ127">
        <v>0.71</v>
      </c>
      <c r="BA127">
        <v>0.71</v>
      </c>
      <c r="BC127">
        <v>0.75</v>
      </c>
      <c r="BD127">
        <v>0.75</v>
      </c>
      <c r="BF127">
        <v>0.85</v>
      </c>
      <c r="BG127">
        <v>0.35</v>
      </c>
      <c r="BH127">
        <v>0.01</v>
      </c>
      <c r="BI127">
        <v>0.82</v>
      </c>
      <c r="BJ127">
        <v>0.82</v>
      </c>
      <c r="BL127">
        <v>0.82</v>
      </c>
      <c r="BM127">
        <v>0.82</v>
      </c>
      <c r="BO127">
        <v>0.84</v>
      </c>
      <c r="BP127">
        <v>0.84</v>
      </c>
      <c r="BR127">
        <v>0.8</v>
      </c>
      <c r="BS127">
        <v>0.8</v>
      </c>
      <c r="BU127">
        <v>0.88500000000000001</v>
      </c>
      <c r="BV127">
        <v>0.88500000000000001</v>
      </c>
      <c r="BX127">
        <v>0.8</v>
      </c>
      <c r="BY127">
        <v>0.8</v>
      </c>
      <c r="CA127">
        <v>1.32</v>
      </c>
      <c r="CB127">
        <v>1.32</v>
      </c>
      <c r="CD127">
        <v>1.06</v>
      </c>
      <c r="CE127">
        <v>1.06</v>
      </c>
      <c r="CG127">
        <v>0.76500000000000001</v>
      </c>
      <c r="CH127">
        <v>0.76500000000000001</v>
      </c>
      <c r="CJ127">
        <v>0.76500000000000001</v>
      </c>
      <c r="CK127">
        <v>0.76500000000000001</v>
      </c>
      <c r="CM127">
        <v>1.06</v>
      </c>
      <c r="CN127">
        <v>1.06</v>
      </c>
      <c r="CP127">
        <v>1.06</v>
      </c>
      <c r="CQ127">
        <v>1.06</v>
      </c>
      <c r="CS127">
        <v>0.76500000000000001</v>
      </c>
      <c r="CT127">
        <v>0.76500000000000001</v>
      </c>
      <c r="CV127">
        <v>1.06</v>
      </c>
      <c r="CW127">
        <v>1.06</v>
      </c>
      <c r="CY127">
        <v>0.76500000000000001</v>
      </c>
      <c r="CZ127">
        <v>0.76500000000000001</v>
      </c>
      <c r="DB127">
        <v>1.06</v>
      </c>
      <c r="DC127">
        <v>1.06</v>
      </c>
      <c r="DE127">
        <v>0.70499999999999996</v>
      </c>
      <c r="DF127">
        <v>0.70499999999999996</v>
      </c>
      <c r="DH127" t="s">
        <v>80</v>
      </c>
      <c r="DI127">
        <v>0.79900000000000004</v>
      </c>
      <c r="DJ127">
        <v>0.85</v>
      </c>
      <c r="DM127">
        <v>0</v>
      </c>
      <c r="DN127">
        <v>0</v>
      </c>
      <c r="DO127">
        <v>0</v>
      </c>
      <c r="DP127" t="s">
        <v>258</v>
      </c>
      <c r="DQ127" t="s">
        <v>273</v>
      </c>
      <c r="DR127" t="s">
        <v>273</v>
      </c>
    </row>
    <row r="128" spans="1:122" x14ac:dyDescent="0.2">
      <c r="A128" t="s">
        <v>67</v>
      </c>
      <c r="E128" t="s">
        <v>84</v>
      </c>
      <c r="F128" t="s">
        <v>99</v>
      </c>
      <c r="G128" t="s">
        <v>106</v>
      </c>
      <c r="H128" t="s">
        <v>101</v>
      </c>
      <c r="I128" t="s">
        <v>116</v>
      </c>
      <c r="J128" t="s">
        <v>111</v>
      </c>
      <c r="K128" t="s">
        <v>71</v>
      </c>
      <c r="L128" t="s">
        <v>102</v>
      </c>
      <c r="M128" t="s">
        <v>103</v>
      </c>
      <c r="N128" t="s">
        <v>73</v>
      </c>
      <c r="O128" t="s">
        <v>96</v>
      </c>
      <c r="P128" t="str">
        <f t="shared" si="44"/>
        <v>DFTL_CPU_CPUSRAM_MPX001_CPUBST_H0HX_PLLP_59N_REPREST_X_SelsrmSSSS_</v>
      </c>
      <c r="S128">
        <v>0.85</v>
      </c>
      <c r="T128">
        <v>0.79900000000000004</v>
      </c>
      <c r="U128" t="s">
        <v>74</v>
      </c>
      <c r="V128" t="s">
        <v>104</v>
      </c>
      <c r="W128" t="s">
        <v>105</v>
      </c>
      <c r="X128" t="s">
        <v>427</v>
      </c>
      <c r="AF128" t="s">
        <v>119</v>
      </c>
      <c r="AM128" t="s">
        <v>166</v>
      </c>
      <c r="AN128">
        <v>0.74</v>
      </c>
      <c r="AO128">
        <v>0.74</v>
      </c>
      <c r="AQ128">
        <v>0.71499999999999997</v>
      </c>
      <c r="AR128">
        <v>0.71499999999999997</v>
      </c>
      <c r="AT128">
        <v>0.70499999999999996</v>
      </c>
      <c r="AU128">
        <v>0.70499999999999996</v>
      </c>
      <c r="AW128">
        <v>1.0349999999999999</v>
      </c>
      <c r="AX128">
        <v>1.0349999999999999</v>
      </c>
      <c r="AZ128">
        <v>0.71</v>
      </c>
      <c r="BA128">
        <v>0.71</v>
      </c>
      <c r="BC128">
        <v>0.75</v>
      </c>
      <c r="BD128">
        <v>0.75</v>
      </c>
      <c r="BF128">
        <v>0.85</v>
      </c>
      <c r="BG128">
        <v>0.35</v>
      </c>
      <c r="BH128">
        <v>0.01</v>
      </c>
      <c r="BI128">
        <v>0.82</v>
      </c>
      <c r="BJ128">
        <v>0.82</v>
      </c>
      <c r="BL128">
        <v>0.82</v>
      </c>
      <c r="BM128">
        <v>0.82</v>
      </c>
      <c r="BO128">
        <v>0.84</v>
      </c>
      <c r="BP128">
        <v>0.84</v>
      </c>
      <c r="BR128">
        <v>0.8</v>
      </c>
      <c r="BS128">
        <v>0.8</v>
      </c>
      <c r="BU128">
        <v>0.88500000000000001</v>
      </c>
      <c r="BV128">
        <v>0.88500000000000001</v>
      </c>
      <c r="BX128">
        <v>0.8</v>
      </c>
      <c r="BY128">
        <v>0.8</v>
      </c>
      <c r="CA128">
        <v>1.32</v>
      </c>
      <c r="CB128">
        <v>1.32</v>
      </c>
      <c r="CD128">
        <v>1.06</v>
      </c>
      <c r="CE128">
        <v>1.06</v>
      </c>
      <c r="CG128">
        <v>0.76500000000000001</v>
      </c>
      <c r="CH128">
        <v>0.76500000000000001</v>
      </c>
      <c r="CJ128">
        <v>0.76500000000000001</v>
      </c>
      <c r="CK128">
        <v>0.76500000000000001</v>
      </c>
      <c r="CM128">
        <v>1.06</v>
      </c>
      <c r="CN128">
        <v>1.06</v>
      </c>
      <c r="CP128">
        <v>1.06</v>
      </c>
      <c r="CQ128">
        <v>1.06</v>
      </c>
      <c r="CS128">
        <v>0.76500000000000001</v>
      </c>
      <c r="CT128">
        <v>0.76500000000000001</v>
      </c>
      <c r="CV128">
        <v>1.06</v>
      </c>
      <c r="CW128">
        <v>1.06</v>
      </c>
      <c r="CY128">
        <v>0.76500000000000001</v>
      </c>
      <c r="CZ128">
        <v>0.76500000000000001</v>
      </c>
      <c r="DB128">
        <v>1.06</v>
      </c>
      <c r="DC128">
        <v>1.06</v>
      </c>
      <c r="DE128">
        <v>0.70499999999999996</v>
      </c>
      <c r="DF128">
        <v>0.70499999999999996</v>
      </c>
      <c r="DH128" t="s">
        <v>80</v>
      </c>
      <c r="DI128">
        <v>0.79900000000000004</v>
      </c>
      <c r="DJ128">
        <v>0.85</v>
      </c>
      <c r="DM128">
        <v>0</v>
      </c>
      <c r="DN128">
        <v>0</v>
      </c>
      <c r="DO128">
        <v>0</v>
      </c>
      <c r="DP128" t="s">
        <v>258</v>
      </c>
      <c r="DQ128" t="s">
        <v>273</v>
      </c>
      <c r="DR128" t="s">
        <v>273</v>
      </c>
    </row>
    <row r="129" spans="1:122" x14ac:dyDescent="0.2">
      <c r="A129" t="s">
        <v>67</v>
      </c>
      <c r="E129" t="s">
        <v>84</v>
      </c>
      <c r="F129" t="s">
        <v>69</v>
      </c>
      <c r="G129" t="s">
        <v>106</v>
      </c>
      <c r="H129" t="s">
        <v>428</v>
      </c>
      <c r="I129" t="s">
        <v>151</v>
      </c>
      <c r="J129" t="s">
        <v>126</v>
      </c>
      <c r="K129" t="s">
        <v>73</v>
      </c>
      <c r="L129" t="s">
        <v>73</v>
      </c>
      <c r="M129" t="s">
        <v>422</v>
      </c>
      <c r="N129" t="s">
        <v>423</v>
      </c>
      <c r="O129" t="s">
        <v>96</v>
      </c>
      <c r="P129" t="str">
        <f t="shared" si="44"/>
        <v>DFTL_SOC_CPUSRAM_MPX00D_SOCBST_GR01_X_X_SRVT_CPA_SelsrmSSSS_</v>
      </c>
      <c r="S129">
        <v>1.1850000000000001</v>
      </c>
      <c r="T129">
        <v>1.1138999999999999</v>
      </c>
      <c r="U129" t="s">
        <v>74</v>
      </c>
      <c r="V129" t="s">
        <v>128</v>
      </c>
      <c r="W129" t="s">
        <v>129</v>
      </c>
      <c r="X129" t="s">
        <v>130</v>
      </c>
      <c r="Y129" t="s">
        <v>131</v>
      </c>
      <c r="Z129" t="s">
        <v>132</v>
      </c>
      <c r="AA129" t="s">
        <v>429</v>
      </c>
      <c r="AB129" t="s">
        <v>133</v>
      </c>
      <c r="AC129" t="s">
        <v>134</v>
      </c>
      <c r="AD129" t="s">
        <v>425</v>
      </c>
      <c r="AF129" t="s">
        <v>426</v>
      </c>
      <c r="AM129" t="s">
        <v>166</v>
      </c>
      <c r="AN129">
        <v>1.125</v>
      </c>
      <c r="AO129">
        <v>1.125</v>
      </c>
      <c r="AQ129">
        <v>0.71499999999999997</v>
      </c>
      <c r="AR129">
        <v>0.71499999999999997</v>
      </c>
      <c r="AT129">
        <v>0.70499999999999996</v>
      </c>
      <c r="AU129">
        <v>0.70499999999999996</v>
      </c>
      <c r="AW129">
        <v>1.0349999999999999</v>
      </c>
      <c r="AX129">
        <v>1.0349999999999999</v>
      </c>
      <c r="AZ129">
        <v>0.71</v>
      </c>
      <c r="BA129">
        <v>0.71</v>
      </c>
      <c r="BC129">
        <v>0.75</v>
      </c>
      <c r="BD129">
        <v>0.75</v>
      </c>
      <c r="BF129">
        <v>1.2</v>
      </c>
      <c r="BG129">
        <v>0.6</v>
      </c>
      <c r="BH129">
        <v>0.01</v>
      </c>
      <c r="BI129">
        <v>0.82</v>
      </c>
      <c r="BJ129">
        <v>0.82</v>
      </c>
      <c r="BL129">
        <v>0.82</v>
      </c>
      <c r="BM129">
        <v>0.82</v>
      </c>
      <c r="BO129">
        <v>0.84</v>
      </c>
      <c r="BP129">
        <v>0.84</v>
      </c>
      <c r="BR129">
        <v>0.8</v>
      </c>
      <c r="BS129">
        <v>0.8</v>
      </c>
      <c r="BU129">
        <v>0.88500000000000001</v>
      </c>
      <c r="BV129">
        <v>0.88500000000000001</v>
      </c>
      <c r="BX129">
        <v>0.8</v>
      </c>
      <c r="BY129">
        <v>0.8</v>
      </c>
      <c r="CA129">
        <v>1.32</v>
      </c>
      <c r="CB129">
        <v>1.32</v>
      </c>
      <c r="CD129">
        <v>1.06</v>
      </c>
      <c r="CE129">
        <v>1.06</v>
      </c>
      <c r="CG129">
        <v>0.76500000000000001</v>
      </c>
      <c r="CH129">
        <v>0.76500000000000001</v>
      </c>
      <c r="CJ129">
        <v>0.76500000000000001</v>
      </c>
      <c r="CK129">
        <v>0.76500000000000001</v>
      </c>
      <c r="CM129">
        <v>1.06</v>
      </c>
      <c r="CN129">
        <v>1.06</v>
      </c>
      <c r="CP129">
        <v>1.06</v>
      </c>
      <c r="CQ129">
        <v>1.06</v>
      </c>
      <c r="CS129">
        <v>0.76500000000000001</v>
      </c>
      <c r="CT129">
        <v>0.76500000000000001</v>
      </c>
      <c r="CV129">
        <v>1.06</v>
      </c>
      <c r="CW129">
        <v>1.06</v>
      </c>
      <c r="CY129">
        <v>0.76500000000000001</v>
      </c>
      <c r="CZ129">
        <v>0.76500000000000001</v>
      </c>
      <c r="DB129">
        <v>1.06</v>
      </c>
      <c r="DC129">
        <v>1.06</v>
      </c>
      <c r="DE129">
        <v>0.70499999999999996</v>
      </c>
      <c r="DF129">
        <v>0.70499999999999996</v>
      </c>
      <c r="DH129" t="s">
        <v>80</v>
      </c>
      <c r="DI129">
        <v>1.1140000000000001</v>
      </c>
      <c r="DJ129">
        <v>1.1850000000000001</v>
      </c>
      <c r="DM129">
        <v>0</v>
      </c>
      <c r="DN129">
        <v>0</v>
      </c>
      <c r="DO129">
        <v>0</v>
      </c>
      <c r="DP129" t="s">
        <v>258</v>
      </c>
      <c r="DQ129" t="s">
        <v>273</v>
      </c>
      <c r="DR129" t="s">
        <v>273</v>
      </c>
    </row>
    <row r="130" spans="1:122" s="18" customFormat="1" x14ac:dyDescent="0.2">
      <c r="A130" s="18" t="s">
        <v>67</v>
      </c>
      <c r="E130" s="18" t="s">
        <v>84</v>
      </c>
      <c r="F130" s="18" t="s">
        <v>99</v>
      </c>
      <c r="G130" s="18" t="s">
        <v>106</v>
      </c>
      <c r="H130" s="18" t="s">
        <v>360</v>
      </c>
      <c r="I130" s="18" t="s">
        <v>116</v>
      </c>
      <c r="J130" s="18" t="s">
        <v>111</v>
      </c>
      <c r="K130" s="18" t="s">
        <v>71</v>
      </c>
      <c r="L130" s="18" t="s">
        <v>102</v>
      </c>
      <c r="M130" s="18" t="s">
        <v>103</v>
      </c>
      <c r="N130" s="18" t="s">
        <v>73</v>
      </c>
      <c r="O130" s="18" t="s">
        <v>96</v>
      </c>
      <c r="P130" s="18" t="str">
        <f t="shared" si="44"/>
        <v>DFTL_CPU_CPUSRAM_MPX00I_CPUBST_H0HX_PLLP_59N_REPREST_X_SelsrmSSSS_</v>
      </c>
      <c r="S130" s="18">
        <v>0.85</v>
      </c>
      <c r="T130" s="18">
        <v>0.79900000000000004</v>
      </c>
      <c r="U130" s="18" t="s">
        <v>74</v>
      </c>
      <c r="V130" s="18" t="s">
        <v>104</v>
      </c>
      <c r="W130" s="18" t="s">
        <v>105</v>
      </c>
      <c r="X130" s="18" t="s">
        <v>361</v>
      </c>
      <c r="AF130" s="18" t="s">
        <v>119</v>
      </c>
      <c r="AM130" s="18" t="s">
        <v>166</v>
      </c>
      <c r="AN130" s="18">
        <v>1.25</v>
      </c>
      <c r="AO130" s="18">
        <v>1.25</v>
      </c>
      <c r="AQ130" s="18">
        <v>0.71499999999999997</v>
      </c>
      <c r="AR130" s="18">
        <v>0.71499999999999997</v>
      </c>
      <c r="AT130" s="18">
        <v>0.70499999999999996</v>
      </c>
      <c r="AU130" s="18">
        <v>0.70499999999999996</v>
      </c>
      <c r="AW130" s="18">
        <v>1.0349999999999999</v>
      </c>
      <c r="AX130" s="18">
        <v>1.0349999999999999</v>
      </c>
      <c r="AZ130" s="18">
        <v>0.71</v>
      </c>
      <c r="BA130" s="18">
        <v>0.71</v>
      </c>
      <c r="BC130" s="18">
        <v>0.75</v>
      </c>
      <c r="BD130" s="18">
        <v>0.75</v>
      </c>
      <c r="BF130" s="18">
        <v>1.3</v>
      </c>
      <c r="BG130" s="18">
        <v>0.7</v>
      </c>
      <c r="BH130" s="18">
        <v>0.01</v>
      </c>
      <c r="BI130" s="18">
        <v>0.82</v>
      </c>
      <c r="BJ130" s="18">
        <v>0.82</v>
      </c>
      <c r="BL130" s="18">
        <v>0.82</v>
      </c>
      <c r="BM130" s="18">
        <v>0.82</v>
      </c>
      <c r="BO130" s="18">
        <v>0.84</v>
      </c>
      <c r="BP130" s="18">
        <v>0.84</v>
      </c>
      <c r="BR130" s="18">
        <v>0.8</v>
      </c>
      <c r="BS130" s="18">
        <v>0.8</v>
      </c>
      <c r="BU130" s="18">
        <v>0.88500000000000001</v>
      </c>
      <c r="BV130" s="18">
        <v>0.88500000000000001</v>
      </c>
      <c r="BX130" s="18">
        <v>0.8</v>
      </c>
      <c r="BY130" s="18">
        <v>0.8</v>
      </c>
      <c r="CA130" s="18">
        <v>1.32</v>
      </c>
      <c r="CB130" s="18">
        <v>1.32</v>
      </c>
      <c r="CD130" s="18">
        <v>1.06</v>
      </c>
      <c r="CE130" s="18">
        <v>1.06</v>
      </c>
      <c r="CG130" s="18">
        <v>0.76500000000000001</v>
      </c>
      <c r="CH130" s="18">
        <v>0.76500000000000001</v>
      </c>
      <c r="CJ130" s="18">
        <v>0.76500000000000001</v>
      </c>
      <c r="CK130" s="18">
        <v>0.76500000000000001</v>
      </c>
      <c r="CM130" s="18">
        <v>1.06</v>
      </c>
      <c r="CN130" s="18">
        <v>1.06</v>
      </c>
      <c r="CP130" s="18">
        <v>1.06</v>
      </c>
      <c r="CQ130" s="18">
        <v>1.06</v>
      </c>
      <c r="CS130" s="18">
        <v>0.76500000000000001</v>
      </c>
      <c r="CT130" s="18">
        <v>0.76500000000000001</v>
      </c>
      <c r="CV130" s="18">
        <v>1.06</v>
      </c>
      <c r="CW130" s="18">
        <v>1.06</v>
      </c>
      <c r="CY130" s="18">
        <v>0.76500000000000001</v>
      </c>
      <c r="CZ130" s="18">
        <v>0.76500000000000001</v>
      </c>
      <c r="DB130" s="18">
        <v>1.06</v>
      </c>
      <c r="DC130" s="18">
        <v>1.06</v>
      </c>
      <c r="DE130" s="18">
        <v>0.70499999999999996</v>
      </c>
      <c r="DF130" s="18">
        <v>0.70499999999999996</v>
      </c>
      <c r="DH130" s="18" t="s">
        <v>80</v>
      </c>
      <c r="DI130" s="18">
        <v>0.79900000000000004</v>
      </c>
      <c r="DJ130" s="18">
        <v>0.85</v>
      </c>
      <c r="DM130" s="18">
        <v>0</v>
      </c>
      <c r="DN130" s="18">
        <v>0</v>
      </c>
      <c r="DO130" s="18">
        <v>0</v>
      </c>
      <c r="DP130" s="18" t="s">
        <v>258</v>
      </c>
      <c r="DQ130" s="18" t="s">
        <v>273</v>
      </c>
      <c r="DR130" s="18" t="s">
        <v>273</v>
      </c>
    </row>
    <row r="131" spans="1:122" s="18" customFormat="1" x14ac:dyDescent="0.2">
      <c r="A131" s="18" t="s">
        <v>67</v>
      </c>
      <c r="E131" s="18" t="s">
        <v>84</v>
      </c>
      <c r="F131" s="18" t="s">
        <v>99</v>
      </c>
      <c r="G131" s="18" t="s">
        <v>106</v>
      </c>
      <c r="H131" s="18" t="s">
        <v>109</v>
      </c>
      <c r="I131" s="18" t="s">
        <v>116</v>
      </c>
      <c r="J131" s="18" t="s">
        <v>355</v>
      </c>
      <c r="K131" s="18" t="s">
        <v>71</v>
      </c>
      <c r="L131" s="18" t="s">
        <v>102</v>
      </c>
      <c r="M131" s="18" t="s">
        <v>357</v>
      </c>
      <c r="N131" s="18" t="s">
        <v>73</v>
      </c>
      <c r="O131" s="18" t="s">
        <v>96</v>
      </c>
      <c r="P131" s="18" t="str">
        <f t="shared" si="44"/>
        <v>DFTL_CPU_CPUSRAM_MPX00J_CPUBST_H0XD_PLLP_59N_REPDAT_X_SelsrmSSSS_</v>
      </c>
      <c r="S131" s="18">
        <v>1.2</v>
      </c>
      <c r="T131" s="18">
        <v>1.1279999999999999</v>
      </c>
      <c r="U131" s="18" t="s">
        <v>74</v>
      </c>
      <c r="V131" s="18" t="s">
        <v>104</v>
      </c>
      <c r="W131" s="18" t="s">
        <v>105</v>
      </c>
      <c r="X131" s="18" t="s">
        <v>110</v>
      </c>
      <c r="AF131" s="18" t="s">
        <v>407</v>
      </c>
      <c r="AM131" s="18" t="s">
        <v>166</v>
      </c>
      <c r="AN131" s="18">
        <v>1.3</v>
      </c>
      <c r="AO131" s="18">
        <v>1.3</v>
      </c>
      <c r="AQ131" s="18">
        <v>0.71499999999999997</v>
      </c>
      <c r="AR131" s="18">
        <v>0.71499999999999997</v>
      </c>
      <c r="AT131" s="18">
        <v>0.70499999999999996</v>
      </c>
      <c r="AU131" s="18">
        <v>0.70499999999999996</v>
      </c>
      <c r="AW131" s="18">
        <v>1.0349999999999999</v>
      </c>
      <c r="AX131" s="18">
        <v>1.0349999999999999</v>
      </c>
      <c r="AZ131" s="18">
        <v>0.71</v>
      </c>
      <c r="BA131" s="18">
        <v>0.71</v>
      </c>
      <c r="BC131" s="18">
        <v>0.75</v>
      </c>
      <c r="BD131" s="18">
        <v>0.75</v>
      </c>
      <c r="BF131" s="18">
        <v>1.3</v>
      </c>
      <c r="BG131" s="18">
        <v>0.7</v>
      </c>
      <c r="BH131" s="18">
        <v>0.01</v>
      </c>
      <c r="BI131" s="18">
        <v>0.82</v>
      </c>
      <c r="BJ131" s="18">
        <v>0.82</v>
      </c>
      <c r="BL131" s="18">
        <v>0.82</v>
      </c>
      <c r="BM131" s="18">
        <v>0.82</v>
      </c>
      <c r="BO131" s="18">
        <v>0.84</v>
      </c>
      <c r="BP131" s="18">
        <v>0.84</v>
      </c>
      <c r="BR131" s="18">
        <v>0.8</v>
      </c>
      <c r="BS131" s="18">
        <v>0.8</v>
      </c>
      <c r="BU131" s="18">
        <v>0.88500000000000001</v>
      </c>
      <c r="BV131" s="18">
        <v>0.88500000000000001</v>
      </c>
      <c r="BX131" s="18">
        <v>0.8</v>
      </c>
      <c r="BY131" s="18">
        <v>0.8</v>
      </c>
      <c r="CA131" s="18">
        <v>1.2</v>
      </c>
      <c r="CB131" s="18">
        <v>1.2</v>
      </c>
      <c r="CD131" s="19">
        <v>1.06</v>
      </c>
      <c r="CE131" s="19">
        <v>1.06</v>
      </c>
      <c r="CF131" s="19"/>
      <c r="CG131" s="19">
        <v>0.76500000000000001</v>
      </c>
      <c r="CH131" s="19">
        <v>0.76500000000000001</v>
      </c>
      <c r="CI131" s="19"/>
      <c r="CJ131" s="19">
        <v>0.76500000000000001</v>
      </c>
      <c r="CK131" s="19">
        <v>0.76500000000000001</v>
      </c>
      <c r="CL131" s="19"/>
      <c r="CM131" s="19">
        <v>1.06</v>
      </c>
      <c r="CN131" s="19">
        <v>1.06</v>
      </c>
      <c r="CO131" s="19"/>
      <c r="CP131" s="19">
        <v>1.06</v>
      </c>
      <c r="CQ131" s="19">
        <v>1.06</v>
      </c>
      <c r="CR131" s="19"/>
      <c r="CS131" s="19">
        <v>0.76500000000000001</v>
      </c>
      <c r="CT131" s="19">
        <v>0.76500000000000001</v>
      </c>
      <c r="CU131" s="19"/>
      <c r="CV131" s="19">
        <v>1.06</v>
      </c>
      <c r="CW131" s="19">
        <v>1.06</v>
      </c>
      <c r="CX131" s="19"/>
      <c r="CY131" s="19">
        <v>0.76500000000000001</v>
      </c>
      <c r="CZ131" s="19">
        <v>0.76500000000000001</v>
      </c>
      <c r="DA131" s="19"/>
      <c r="DB131" s="19">
        <v>1.06</v>
      </c>
      <c r="DC131" s="19">
        <v>1.06</v>
      </c>
      <c r="DD131" s="19"/>
      <c r="DE131" s="19">
        <v>0.70499999999999996</v>
      </c>
      <c r="DF131" s="19">
        <v>0.70499999999999996</v>
      </c>
      <c r="DH131" s="18" t="s">
        <v>80</v>
      </c>
      <c r="DI131" s="18">
        <v>1.1279999999999999</v>
      </c>
      <c r="DJ131" s="18">
        <v>1.2</v>
      </c>
      <c r="DM131" s="18">
        <v>0</v>
      </c>
      <c r="DN131" s="18">
        <v>0</v>
      </c>
      <c r="DO131" s="18">
        <v>0</v>
      </c>
      <c r="DP131" s="18" t="s">
        <v>258</v>
      </c>
      <c r="DQ131" s="18" t="s">
        <v>273</v>
      </c>
      <c r="DR131" s="18" t="s">
        <v>273</v>
      </c>
    </row>
    <row r="132" spans="1:122" x14ac:dyDescent="0.2">
      <c r="A132" t="s">
        <v>67</v>
      </c>
      <c r="E132" t="s">
        <v>84</v>
      </c>
      <c r="F132" t="s">
        <v>99</v>
      </c>
      <c r="G132" t="s">
        <v>100</v>
      </c>
      <c r="H132" t="s">
        <v>455</v>
      </c>
      <c r="I132" t="s">
        <v>264</v>
      </c>
      <c r="J132" t="s">
        <v>209</v>
      </c>
      <c r="K132" t="s">
        <v>176</v>
      </c>
      <c r="L132" t="s">
        <v>276</v>
      </c>
      <c r="M132" t="s">
        <v>253</v>
      </c>
      <c r="N132" t="s">
        <v>228</v>
      </c>
      <c r="O132" t="s">
        <v>96</v>
      </c>
      <c r="P132" t="str">
        <f t="shared" ref="P132:P147" si="45">E132&amp;"_"&amp;F132&amp;"_"&amp;G132&amp;"_"&amp;H132&amp;"_"&amp;I132&amp;"_"&amp;J132&amp;"_"&amp;K132&amp;"_"&amp;L132&amp;"_"&amp;M132&amp;"_"&amp;N132&amp;"_"&amp;O132&amp;"_"</f>
        <v>DFTL_CPU_PCPU_MPX00L_CPUTDFM1331C_H0MX_PL10_1MC2_BLK_DIV133_SelsrmSSSS_</v>
      </c>
      <c r="S132">
        <v>1.2</v>
      </c>
      <c r="T132">
        <v>1.1279999999999999</v>
      </c>
      <c r="U132" t="s">
        <v>74</v>
      </c>
      <c r="V132" t="s">
        <v>210</v>
      </c>
      <c r="W132" t="s">
        <v>245</v>
      </c>
      <c r="X132" t="s">
        <v>456</v>
      </c>
      <c r="AF132" t="s">
        <v>254</v>
      </c>
      <c r="AM132" t="s">
        <v>166</v>
      </c>
      <c r="AN132">
        <v>1.3</v>
      </c>
      <c r="AO132">
        <v>0.8</v>
      </c>
      <c r="AP132">
        <v>5.0000000000000001E-3</v>
      </c>
      <c r="AQ132">
        <v>0.71499999999999997</v>
      </c>
      <c r="AR132">
        <v>0.71499999999999997</v>
      </c>
      <c r="AT132">
        <v>0.745</v>
      </c>
      <c r="AU132">
        <v>0.745</v>
      </c>
      <c r="AW132">
        <v>1</v>
      </c>
      <c r="AX132">
        <v>1</v>
      </c>
      <c r="AZ132">
        <v>0.70499999999999996</v>
      </c>
      <c r="BA132">
        <v>0.70499999999999996</v>
      </c>
      <c r="BC132">
        <v>0.76</v>
      </c>
      <c r="BD132">
        <v>0.76</v>
      </c>
      <c r="BF132">
        <v>1.2</v>
      </c>
      <c r="BG132">
        <v>1.2</v>
      </c>
      <c r="BI132">
        <v>0.77500000000000002</v>
      </c>
      <c r="BJ132">
        <v>0.77500000000000002</v>
      </c>
      <c r="BL132">
        <v>0.77500000000000002</v>
      </c>
      <c r="BM132">
        <v>0.77500000000000002</v>
      </c>
      <c r="BO132">
        <v>0.84</v>
      </c>
      <c r="BP132">
        <v>0.84</v>
      </c>
      <c r="BR132">
        <v>0.8</v>
      </c>
      <c r="BS132">
        <v>0.8</v>
      </c>
      <c r="BU132">
        <v>0.88500000000000001</v>
      </c>
      <c r="BV132">
        <v>0.88500000000000001</v>
      </c>
      <c r="BX132">
        <v>0.8</v>
      </c>
      <c r="BY132">
        <v>0.8</v>
      </c>
      <c r="CA132">
        <v>1.32</v>
      </c>
      <c r="CB132">
        <v>1.32</v>
      </c>
      <c r="CD132">
        <v>1.06</v>
      </c>
      <c r="CE132">
        <v>1.06</v>
      </c>
      <c r="CG132">
        <v>0.76500000000000001</v>
      </c>
      <c r="CH132">
        <v>0.76500000000000001</v>
      </c>
      <c r="CJ132">
        <v>0.76500000000000001</v>
      </c>
      <c r="CK132">
        <v>0.76500000000000001</v>
      </c>
      <c r="CM132">
        <v>1.06</v>
      </c>
      <c r="CN132">
        <v>1.06</v>
      </c>
      <c r="CP132">
        <v>1.06</v>
      </c>
      <c r="CQ132">
        <v>1.06</v>
      </c>
      <c r="CS132">
        <v>0.76500000000000001</v>
      </c>
      <c r="CT132">
        <v>0.76500000000000001</v>
      </c>
      <c r="CV132">
        <v>1.06</v>
      </c>
      <c r="CW132">
        <v>1.06</v>
      </c>
      <c r="CY132">
        <v>0.76500000000000001</v>
      </c>
      <c r="CZ132">
        <v>0.76500000000000001</v>
      </c>
      <c r="DB132">
        <v>1.06</v>
      </c>
      <c r="DC132">
        <v>1.06</v>
      </c>
      <c r="DE132">
        <v>0.70499999999999996</v>
      </c>
      <c r="DF132">
        <v>0.70499999999999996</v>
      </c>
      <c r="DH132" t="s">
        <v>80</v>
      </c>
      <c r="DI132">
        <v>1.1279999999999999</v>
      </c>
      <c r="DJ132">
        <v>1.2</v>
      </c>
      <c r="DM132">
        <v>0</v>
      </c>
      <c r="DN132">
        <v>0</v>
      </c>
      <c r="DO132">
        <v>0</v>
      </c>
      <c r="DP132" t="s">
        <v>258</v>
      </c>
      <c r="DQ132" t="s">
        <v>274</v>
      </c>
      <c r="DR132" t="s">
        <v>274</v>
      </c>
    </row>
    <row r="133" spans="1:122" x14ac:dyDescent="0.2">
      <c r="A133" t="s">
        <v>67</v>
      </c>
      <c r="E133" t="s">
        <v>84</v>
      </c>
      <c r="F133" t="s">
        <v>99</v>
      </c>
      <c r="G133" t="s">
        <v>100</v>
      </c>
      <c r="H133" t="s">
        <v>455</v>
      </c>
      <c r="I133" t="s">
        <v>264</v>
      </c>
      <c r="J133" t="s">
        <v>209</v>
      </c>
      <c r="K133" t="s">
        <v>176</v>
      </c>
      <c r="L133" t="s">
        <v>277</v>
      </c>
      <c r="M133" t="s">
        <v>253</v>
      </c>
      <c r="N133" t="s">
        <v>228</v>
      </c>
      <c r="O133" t="s">
        <v>96</v>
      </c>
      <c r="P133" t="str">
        <f t="shared" si="45"/>
        <v>DFTL_CPU_PCPU_MPX00L_CPUTDFM1331C_H0MX_PL10_1MC3_BLK_DIV133_SelsrmSSSS_</v>
      </c>
      <c r="S133">
        <v>1.2</v>
      </c>
      <c r="T133">
        <v>1.1279999999999999</v>
      </c>
      <c r="U133" t="s">
        <v>74</v>
      </c>
      <c r="V133" t="s">
        <v>210</v>
      </c>
      <c r="W133" t="s">
        <v>246</v>
      </c>
      <c r="X133" t="s">
        <v>456</v>
      </c>
      <c r="AF133" t="s">
        <v>254</v>
      </c>
      <c r="AM133" t="s">
        <v>166</v>
      </c>
      <c r="AN133">
        <v>1.3</v>
      </c>
      <c r="AO133">
        <v>0.8</v>
      </c>
      <c r="AP133">
        <v>5.0000000000000001E-3</v>
      </c>
      <c r="AQ133">
        <v>0.71499999999999997</v>
      </c>
      <c r="AR133">
        <v>0.71499999999999997</v>
      </c>
      <c r="AT133">
        <v>0.745</v>
      </c>
      <c r="AU133">
        <v>0.745</v>
      </c>
      <c r="AW133">
        <v>1</v>
      </c>
      <c r="AX133">
        <v>1</v>
      </c>
      <c r="AZ133">
        <v>0.70499999999999996</v>
      </c>
      <c r="BA133">
        <v>0.70499999999999996</v>
      </c>
      <c r="BC133">
        <v>0.76</v>
      </c>
      <c r="BD133">
        <v>0.76</v>
      </c>
      <c r="BF133">
        <v>1.2</v>
      </c>
      <c r="BG133">
        <v>1.2</v>
      </c>
      <c r="BI133">
        <v>0.77500000000000002</v>
      </c>
      <c r="BJ133">
        <v>0.77500000000000002</v>
      </c>
      <c r="BL133">
        <v>0.77500000000000002</v>
      </c>
      <c r="BM133">
        <v>0.77500000000000002</v>
      </c>
      <c r="BO133">
        <v>0.84</v>
      </c>
      <c r="BP133">
        <v>0.84</v>
      </c>
      <c r="BR133">
        <v>0.8</v>
      </c>
      <c r="BS133">
        <v>0.8</v>
      </c>
      <c r="BU133">
        <v>0.88500000000000001</v>
      </c>
      <c r="BV133">
        <v>0.88500000000000001</v>
      </c>
      <c r="BX133">
        <v>0.8</v>
      </c>
      <c r="BY133">
        <v>0.8</v>
      </c>
      <c r="CA133">
        <v>1.32</v>
      </c>
      <c r="CB133">
        <v>1.32</v>
      </c>
      <c r="CD133">
        <v>1.06</v>
      </c>
      <c r="CE133">
        <v>1.06</v>
      </c>
      <c r="CG133">
        <v>0.76500000000000001</v>
      </c>
      <c r="CH133">
        <v>0.76500000000000001</v>
      </c>
      <c r="CJ133">
        <v>0.76500000000000001</v>
      </c>
      <c r="CK133">
        <v>0.76500000000000001</v>
      </c>
      <c r="CM133">
        <v>1.06</v>
      </c>
      <c r="CN133">
        <v>1.06</v>
      </c>
      <c r="CP133">
        <v>1.06</v>
      </c>
      <c r="CQ133">
        <v>1.06</v>
      </c>
      <c r="CS133">
        <v>0.76500000000000001</v>
      </c>
      <c r="CT133">
        <v>0.76500000000000001</v>
      </c>
      <c r="CV133">
        <v>1.06</v>
      </c>
      <c r="CW133">
        <v>1.06</v>
      </c>
      <c r="CY133">
        <v>0.76500000000000001</v>
      </c>
      <c r="CZ133">
        <v>0.76500000000000001</v>
      </c>
      <c r="DB133">
        <v>1.06</v>
      </c>
      <c r="DC133">
        <v>1.06</v>
      </c>
      <c r="DE133">
        <v>0.70499999999999996</v>
      </c>
      <c r="DF133">
        <v>0.70499999999999996</v>
      </c>
      <c r="DH133" t="s">
        <v>80</v>
      </c>
      <c r="DI133">
        <v>1.1279999999999999</v>
      </c>
      <c r="DJ133">
        <v>1.2</v>
      </c>
      <c r="DM133">
        <v>0</v>
      </c>
      <c r="DN133">
        <v>0</v>
      </c>
      <c r="DO133">
        <v>0</v>
      </c>
      <c r="DP133" t="s">
        <v>258</v>
      </c>
      <c r="DQ133" t="s">
        <v>274</v>
      </c>
      <c r="DR133" t="s">
        <v>274</v>
      </c>
    </row>
    <row r="134" spans="1:122" x14ac:dyDescent="0.2">
      <c r="A134" t="s">
        <v>67</v>
      </c>
      <c r="E134" t="s">
        <v>84</v>
      </c>
      <c r="F134" t="s">
        <v>99</v>
      </c>
      <c r="G134" t="s">
        <v>100</v>
      </c>
      <c r="H134" t="s">
        <v>455</v>
      </c>
      <c r="I134" t="s">
        <v>264</v>
      </c>
      <c r="J134" t="s">
        <v>209</v>
      </c>
      <c r="K134" t="s">
        <v>176</v>
      </c>
      <c r="L134" t="s">
        <v>278</v>
      </c>
      <c r="M134" t="s">
        <v>253</v>
      </c>
      <c r="N134" t="s">
        <v>228</v>
      </c>
      <c r="O134" t="s">
        <v>96</v>
      </c>
      <c r="P134" t="str">
        <f t="shared" si="45"/>
        <v>DFTL_CPU_PCPU_MPX00L_CPUTDFM1331C_H0MX_PL10_1MC4_BLK_DIV133_SelsrmSSSS_</v>
      </c>
      <c r="S134">
        <v>1.2</v>
      </c>
      <c r="T134">
        <v>1.1279999999999999</v>
      </c>
      <c r="U134" t="s">
        <v>74</v>
      </c>
      <c r="V134" t="s">
        <v>210</v>
      </c>
      <c r="W134" t="s">
        <v>247</v>
      </c>
      <c r="X134" t="s">
        <v>456</v>
      </c>
      <c r="AF134" t="s">
        <v>254</v>
      </c>
      <c r="AM134" t="s">
        <v>166</v>
      </c>
      <c r="AN134">
        <v>1.3</v>
      </c>
      <c r="AO134">
        <v>0.8</v>
      </c>
      <c r="AP134">
        <v>5.0000000000000001E-3</v>
      </c>
      <c r="AQ134">
        <v>0.71499999999999997</v>
      </c>
      <c r="AR134">
        <v>0.71499999999999997</v>
      </c>
      <c r="AT134">
        <v>0.745</v>
      </c>
      <c r="AU134">
        <v>0.745</v>
      </c>
      <c r="AW134">
        <v>1</v>
      </c>
      <c r="AX134">
        <v>1</v>
      </c>
      <c r="AZ134">
        <v>0.70499999999999996</v>
      </c>
      <c r="BA134">
        <v>0.70499999999999996</v>
      </c>
      <c r="BC134">
        <v>0.76</v>
      </c>
      <c r="BD134">
        <v>0.76</v>
      </c>
      <c r="BF134">
        <v>1.2</v>
      </c>
      <c r="BG134">
        <v>1.2</v>
      </c>
      <c r="BI134">
        <v>0.77500000000000002</v>
      </c>
      <c r="BJ134">
        <v>0.77500000000000002</v>
      </c>
      <c r="BL134">
        <v>0.77500000000000002</v>
      </c>
      <c r="BM134">
        <v>0.77500000000000002</v>
      </c>
      <c r="BO134">
        <v>0.84</v>
      </c>
      <c r="BP134">
        <v>0.84</v>
      </c>
      <c r="BR134">
        <v>0.8</v>
      </c>
      <c r="BS134">
        <v>0.8</v>
      </c>
      <c r="BU134">
        <v>0.88500000000000001</v>
      </c>
      <c r="BV134">
        <v>0.88500000000000001</v>
      </c>
      <c r="BX134">
        <v>0.8</v>
      </c>
      <c r="BY134">
        <v>0.8</v>
      </c>
      <c r="CA134">
        <v>1.32</v>
      </c>
      <c r="CB134">
        <v>1.32</v>
      </c>
      <c r="CD134">
        <v>1.06</v>
      </c>
      <c r="CE134">
        <v>1.06</v>
      </c>
      <c r="CG134">
        <v>0.76500000000000001</v>
      </c>
      <c r="CH134">
        <v>0.76500000000000001</v>
      </c>
      <c r="CJ134">
        <v>0.76500000000000001</v>
      </c>
      <c r="CK134">
        <v>0.76500000000000001</v>
      </c>
      <c r="CM134">
        <v>1.06</v>
      </c>
      <c r="CN134">
        <v>1.06</v>
      </c>
      <c r="CP134">
        <v>1.06</v>
      </c>
      <c r="CQ134">
        <v>1.06</v>
      </c>
      <c r="CS134">
        <v>0.76500000000000001</v>
      </c>
      <c r="CT134">
        <v>0.76500000000000001</v>
      </c>
      <c r="CV134">
        <v>1.06</v>
      </c>
      <c r="CW134">
        <v>1.06</v>
      </c>
      <c r="CY134">
        <v>0.76500000000000001</v>
      </c>
      <c r="CZ134">
        <v>0.76500000000000001</v>
      </c>
      <c r="DB134">
        <v>1.06</v>
      </c>
      <c r="DC134">
        <v>1.06</v>
      </c>
      <c r="DE134">
        <v>0.70499999999999996</v>
      </c>
      <c r="DF134">
        <v>0.70499999999999996</v>
      </c>
      <c r="DH134" t="s">
        <v>80</v>
      </c>
      <c r="DI134">
        <v>1.1279999999999999</v>
      </c>
      <c r="DJ134">
        <v>1.2</v>
      </c>
      <c r="DM134">
        <v>0</v>
      </c>
      <c r="DN134">
        <v>0</v>
      </c>
      <c r="DO134">
        <v>0</v>
      </c>
      <c r="DP134" t="s">
        <v>258</v>
      </c>
      <c r="DQ134" t="s">
        <v>274</v>
      </c>
      <c r="DR134" t="s">
        <v>274</v>
      </c>
    </row>
    <row r="135" spans="1:122" x14ac:dyDescent="0.2">
      <c r="A135" t="s">
        <v>67</v>
      </c>
      <c r="E135" t="s">
        <v>84</v>
      </c>
      <c r="F135" t="s">
        <v>99</v>
      </c>
      <c r="G135" t="s">
        <v>100</v>
      </c>
      <c r="H135" t="s">
        <v>455</v>
      </c>
      <c r="I135" t="s">
        <v>264</v>
      </c>
      <c r="J135" t="s">
        <v>209</v>
      </c>
      <c r="K135" t="s">
        <v>176</v>
      </c>
      <c r="L135" t="s">
        <v>279</v>
      </c>
      <c r="M135" t="s">
        <v>253</v>
      </c>
      <c r="N135" t="s">
        <v>228</v>
      </c>
      <c r="O135" t="s">
        <v>96</v>
      </c>
      <c r="P135" t="str">
        <f t="shared" si="45"/>
        <v>DFTL_CPU_PCPU_MPX00L_CPUTDFM1331C_H0MX_PL10_1MC5_BLK_DIV133_SelsrmSSSS_</v>
      </c>
      <c r="S135">
        <v>1.2</v>
      </c>
      <c r="T135">
        <v>1.1279999999999999</v>
      </c>
      <c r="U135" t="s">
        <v>74</v>
      </c>
      <c r="V135" t="s">
        <v>210</v>
      </c>
      <c r="W135" t="s">
        <v>248</v>
      </c>
      <c r="X135" t="s">
        <v>456</v>
      </c>
      <c r="AF135" t="s">
        <v>254</v>
      </c>
      <c r="AM135" t="s">
        <v>166</v>
      </c>
      <c r="AN135">
        <v>1.3</v>
      </c>
      <c r="AO135">
        <v>0.8</v>
      </c>
      <c r="AP135">
        <v>5.0000000000000001E-3</v>
      </c>
      <c r="AQ135">
        <v>0.71499999999999997</v>
      </c>
      <c r="AR135">
        <v>0.71499999999999997</v>
      </c>
      <c r="AT135">
        <v>0.745</v>
      </c>
      <c r="AU135">
        <v>0.745</v>
      </c>
      <c r="AW135">
        <v>1</v>
      </c>
      <c r="AX135">
        <v>1</v>
      </c>
      <c r="AZ135">
        <v>0.70499999999999996</v>
      </c>
      <c r="BA135">
        <v>0.70499999999999996</v>
      </c>
      <c r="BC135">
        <v>0.76</v>
      </c>
      <c r="BD135">
        <v>0.76</v>
      </c>
      <c r="BF135">
        <v>1.2</v>
      </c>
      <c r="BG135">
        <v>1.2</v>
      </c>
      <c r="BI135">
        <v>0.77500000000000002</v>
      </c>
      <c r="BJ135">
        <v>0.77500000000000002</v>
      </c>
      <c r="BL135">
        <v>0.77500000000000002</v>
      </c>
      <c r="BM135">
        <v>0.77500000000000002</v>
      </c>
      <c r="BO135">
        <v>0.84</v>
      </c>
      <c r="BP135">
        <v>0.84</v>
      </c>
      <c r="BR135">
        <v>0.8</v>
      </c>
      <c r="BS135">
        <v>0.8</v>
      </c>
      <c r="BU135">
        <v>0.88500000000000001</v>
      </c>
      <c r="BV135">
        <v>0.88500000000000001</v>
      </c>
      <c r="BX135">
        <v>0.8</v>
      </c>
      <c r="BY135">
        <v>0.8</v>
      </c>
      <c r="CA135">
        <v>1.32</v>
      </c>
      <c r="CB135">
        <v>1.32</v>
      </c>
      <c r="CD135">
        <v>1.06</v>
      </c>
      <c r="CE135">
        <v>1.06</v>
      </c>
      <c r="CG135">
        <v>0.76500000000000001</v>
      </c>
      <c r="CH135">
        <v>0.76500000000000001</v>
      </c>
      <c r="CJ135">
        <v>0.76500000000000001</v>
      </c>
      <c r="CK135">
        <v>0.76500000000000001</v>
      </c>
      <c r="CM135">
        <v>1.06</v>
      </c>
      <c r="CN135">
        <v>1.06</v>
      </c>
      <c r="CP135">
        <v>1.06</v>
      </c>
      <c r="CQ135">
        <v>1.06</v>
      </c>
      <c r="CS135">
        <v>0.76500000000000001</v>
      </c>
      <c r="CT135">
        <v>0.76500000000000001</v>
      </c>
      <c r="CV135">
        <v>1.06</v>
      </c>
      <c r="CW135">
        <v>1.06</v>
      </c>
      <c r="CY135">
        <v>0.76500000000000001</v>
      </c>
      <c r="CZ135">
        <v>0.76500000000000001</v>
      </c>
      <c r="DB135">
        <v>1.06</v>
      </c>
      <c r="DC135">
        <v>1.06</v>
      </c>
      <c r="DE135">
        <v>0.70499999999999996</v>
      </c>
      <c r="DF135">
        <v>0.70499999999999996</v>
      </c>
      <c r="DH135" t="s">
        <v>80</v>
      </c>
      <c r="DI135">
        <v>1.1279999999999999</v>
      </c>
      <c r="DJ135">
        <v>1.2</v>
      </c>
      <c r="DM135">
        <v>0</v>
      </c>
      <c r="DN135">
        <v>0</v>
      </c>
      <c r="DO135">
        <v>0</v>
      </c>
      <c r="DP135" t="s">
        <v>258</v>
      </c>
      <c r="DQ135" t="s">
        <v>274</v>
      </c>
      <c r="DR135" t="s">
        <v>274</v>
      </c>
    </row>
    <row r="136" spans="1:122" x14ac:dyDescent="0.2">
      <c r="A136" t="s">
        <v>67</v>
      </c>
      <c r="E136" t="s">
        <v>84</v>
      </c>
      <c r="F136" t="s">
        <v>99</v>
      </c>
      <c r="G136" t="s">
        <v>100</v>
      </c>
      <c r="H136" t="s">
        <v>455</v>
      </c>
      <c r="I136" t="s">
        <v>265</v>
      </c>
      <c r="J136" t="s">
        <v>211</v>
      </c>
      <c r="K136" t="s">
        <v>176</v>
      </c>
      <c r="L136" t="s">
        <v>259</v>
      </c>
      <c r="M136" t="s">
        <v>253</v>
      </c>
      <c r="N136" t="s">
        <v>228</v>
      </c>
      <c r="O136" t="s">
        <v>96</v>
      </c>
      <c r="P136" t="str">
        <f t="shared" si="45"/>
        <v>DFTL_CPU_PCPU_MPX00L_CPUTDFP1331C_H0PD_PL10_1PC0_BLK_DIV133_SelsrmSSSS_</v>
      </c>
      <c r="S136">
        <v>1.2</v>
      </c>
      <c r="T136">
        <v>1.1279999999999999</v>
      </c>
      <c r="U136" t="s">
        <v>74</v>
      </c>
      <c r="V136" t="s">
        <v>210</v>
      </c>
      <c r="W136" t="s">
        <v>249</v>
      </c>
      <c r="X136" t="s">
        <v>456</v>
      </c>
      <c r="AF136" t="s">
        <v>255</v>
      </c>
      <c r="AM136" t="s">
        <v>166</v>
      </c>
      <c r="AN136">
        <v>1.3</v>
      </c>
      <c r="AO136">
        <v>0.8</v>
      </c>
      <c r="AP136">
        <v>5.0000000000000001E-3</v>
      </c>
      <c r="AQ136">
        <v>0.71499999999999997</v>
      </c>
      <c r="AR136">
        <v>0.71499999999999997</v>
      </c>
      <c r="AT136">
        <v>0.745</v>
      </c>
      <c r="AU136">
        <v>0.745</v>
      </c>
      <c r="AW136">
        <v>1</v>
      </c>
      <c r="AX136">
        <v>1</v>
      </c>
      <c r="AZ136">
        <v>0.70499999999999996</v>
      </c>
      <c r="BA136">
        <v>0.70499999999999996</v>
      </c>
      <c r="BC136">
        <v>0.76</v>
      </c>
      <c r="BD136">
        <v>0.76</v>
      </c>
      <c r="BF136">
        <v>1.2</v>
      </c>
      <c r="BG136">
        <v>1.2</v>
      </c>
      <c r="BI136">
        <v>0.77500000000000002</v>
      </c>
      <c r="BJ136">
        <v>0.77500000000000002</v>
      </c>
      <c r="BL136">
        <v>0.77500000000000002</v>
      </c>
      <c r="BM136">
        <v>0.77500000000000002</v>
      </c>
      <c r="BO136">
        <v>0.84</v>
      </c>
      <c r="BP136">
        <v>0.84</v>
      </c>
      <c r="BR136">
        <v>0.8</v>
      </c>
      <c r="BS136">
        <v>0.8</v>
      </c>
      <c r="BU136">
        <v>0.88500000000000001</v>
      </c>
      <c r="BV136">
        <v>0.88500000000000001</v>
      </c>
      <c r="BX136">
        <v>0.8</v>
      </c>
      <c r="BY136">
        <v>0.8</v>
      </c>
      <c r="CA136">
        <v>1.32</v>
      </c>
      <c r="CB136">
        <v>1.32</v>
      </c>
      <c r="CD136">
        <v>1.06</v>
      </c>
      <c r="CE136">
        <v>1.06</v>
      </c>
      <c r="CG136">
        <v>0.76500000000000001</v>
      </c>
      <c r="CH136">
        <v>0.76500000000000001</v>
      </c>
      <c r="CJ136">
        <v>0.76500000000000001</v>
      </c>
      <c r="CK136">
        <v>0.76500000000000001</v>
      </c>
      <c r="CM136">
        <v>1.06</v>
      </c>
      <c r="CN136">
        <v>1.06</v>
      </c>
      <c r="CP136">
        <v>1.06</v>
      </c>
      <c r="CQ136">
        <v>1.06</v>
      </c>
      <c r="CS136">
        <v>0.76500000000000001</v>
      </c>
      <c r="CT136">
        <v>0.76500000000000001</v>
      </c>
      <c r="CV136">
        <v>1.06</v>
      </c>
      <c r="CW136">
        <v>1.06</v>
      </c>
      <c r="CY136">
        <v>0.76500000000000001</v>
      </c>
      <c r="CZ136">
        <v>0.76500000000000001</v>
      </c>
      <c r="DB136">
        <v>1.06</v>
      </c>
      <c r="DC136">
        <v>1.06</v>
      </c>
      <c r="DE136">
        <v>0.70499999999999996</v>
      </c>
      <c r="DF136">
        <v>0.70499999999999996</v>
      </c>
      <c r="DH136" t="s">
        <v>80</v>
      </c>
      <c r="DI136">
        <v>1.1279999999999999</v>
      </c>
      <c r="DJ136">
        <v>1.2</v>
      </c>
      <c r="DM136">
        <v>0</v>
      </c>
      <c r="DN136">
        <v>0</v>
      </c>
      <c r="DO136">
        <v>0</v>
      </c>
      <c r="DP136" t="s">
        <v>258</v>
      </c>
      <c r="DQ136" t="s">
        <v>274</v>
      </c>
      <c r="DR136" t="s">
        <v>274</v>
      </c>
    </row>
    <row r="137" spans="1:122" x14ac:dyDescent="0.2">
      <c r="A137" t="s">
        <v>67</v>
      </c>
      <c r="E137" t="s">
        <v>84</v>
      </c>
      <c r="F137" t="s">
        <v>99</v>
      </c>
      <c r="G137" t="s">
        <v>100</v>
      </c>
      <c r="H137" t="s">
        <v>455</v>
      </c>
      <c r="I137" t="s">
        <v>265</v>
      </c>
      <c r="J137" t="s">
        <v>211</v>
      </c>
      <c r="K137" t="s">
        <v>176</v>
      </c>
      <c r="L137" t="s">
        <v>260</v>
      </c>
      <c r="M137" t="s">
        <v>253</v>
      </c>
      <c r="N137" t="s">
        <v>228</v>
      </c>
      <c r="O137" t="s">
        <v>96</v>
      </c>
      <c r="P137" t="str">
        <f t="shared" si="45"/>
        <v>DFTL_CPU_PCPU_MPX00L_CPUTDFP1331C_H0PD_PL10_1PC1_BLK_DIV133_SelsrmSSSS_</v>
      </c>
      <c r="S137">
        <v>1.2</v>
      </c>
      <c r="T137">
        <v>1.1279999999999999</v>
      </c>
      <c r="U137" t="s">
        <v>74</v>
      </c>
      <c r="V137" t="s">
        <v>210</v>
      </c>
      <c r="W137" t="s">
        <v>250</v>
      </c>
      <c r="X137" t="s">
        <v>456</v>
      </c>
      <c r="AF137" t="s">
        <v>255</v>
      </c>
      <c r="AM137" t="s">
        <v>166</v>
      </c>
      <c r="AN137">
        <v>1.3</v>
      </c>
      <c r="AO137">
        <v>0.8</v>
      </c>
      <c r="AP137">
        <v>5.0000000000000001E-3</v>
      </c>
      <c r="AQ137">
        <v>0.71499999999999997</v>
      </c>
      <c r="AR137">
        <v>0.71499999999999997</v>
      </c>
      <c r="AT137">
        <v>0.745</v>
      </c>
      <c r="AU137">
        <v>0.745</v>
      </c>
      <c r="AW137">
        <v>1</v>
      </c>
      <c r="AX137">
        <v>1</v>
      </c>
      <c r="AZ137">
        <v>0.70499999999999996</v>
      </c>
      <c r="BA137">
        <v>0.70499999999999996</v>
      </c>
      <c r="BC137">
        <v>0.76</v>
      </c>
      <c r="BD137">
        <v>0.76</v>
      </c>
      <c r="BF137">
        <v>1.2</v>
      </c>
      <c r="BG137">
        <v>1.2</v>
      </c>
      <c r="BI137">
        <v>0.77500000000000002</v>
      </c>
      <c r="BJ137">
        <v>0.77500000000000002</v>
      </c>
      <c r="BL137">
        <v>0.77500000000000002</v>
      </c>
      <c r="BM137">
        <v>0.77500000000000002</v>
      </c>
      <c r="BO137">
        <v>0.84</v>
      </c>
      <c r="BP137">
        <v>0.84</v>
      </c>
      <c r="BR137">
        <v>0.8</v>
      </c>
      <c r="BS137">
        <v>0.8</v>
      </c>
      <c r="BU137">
        <v>0.88500000000000001</v>
      </c>
      <c r="BV137">
        <v>0.88500000000000001</v>
      </c>
      <c r="BX137">
        <v>0.8</v>
      </c>
      <c r="BY137">
        <v>0.8</v>
      </c>
      <c r="CA137">
        <v>1.32</v>
      </c>
      <c r="CB137">
        <v>1.32</v>
      </c>
      <c r="CD137">
        <v>1.06</v>
      </c>
      <c r="CE137">
        <v>1.06</v>
      </c>
      <c r="CG137">
        <v>0.76500000000000001</v>
      </c>
      <c r="CH137">
        <v>0.76500000000000001</v>
      </c>
      <c r="CJ137">
        <v>0.76500000000000001</v>
      </c>
      <c r="CK137">
        <v>0.76500000000000001</v>
      </c>
      <c r="CM137">
        <v>1.06</v>
      </c>
      <c r="CN137">
        <v>1.06</v>
      </c>
      <c r="CP137">
        <v>1.06</v>
      </c>
      <c r="CQ137">
        <v>1.06</v>
      </c>
      <c r="CS137">
        <v>0.76500000000000001</v>
      </c>
      <c r="CT137">
        <v>0.76500000000000001</v>
      </c>
      <c r="CV137">
        <v>1.06</v>
      </c>
      <c r="CW137">
        <v>1.06</v>
      </c>
      <c r="CY137">
        <v>0.76500000000000001</v>
      </c>
      <c r="CZ137">
        <v>0.76500000000000001</v>
      </c>
      <c r="DB137">
        <v>1.06</v>
      </c>
      <c r="DC137">
        <v>1.06</v>
      </c>
      <c r="DE137">
        <v>0.70499999999999996</v>
      </c>
      <c r="DF137">
        <v>0.70499999999999996</v>
      </c>
      <c r="DH137" t="s">
        <v>80</v>
      </c>
      <c r="DI137">
        <v>1.1279999999999999</v>
      </c>
      <c r="DJ137">
        <v>1.2</v>
      </c>
      <c r="DM137">
        <v>0</v>
      </c>
      <c r="DN137">
        <v>0</v>
      </c>
      <c r="DO137">
        <v>0</v>
      </c>
      <c r="DP137" t="s">
        <v>258</v>
      </c>
      <c r="DQ137" t="s">
        <v>274</v>
      </c>
      <c r="DR137" t="s">
        <v>274</v>
      </c>
    </row>
    <row r="138" spans="1:122" s="20" customFormat="1" hidden="1" x14ac:dyDescent="0.2">
      <c r="A138" s="20" t="s">
        <v>481</v>
      </c>
      <c r="E138" s="20" t="s">
        <v>84</v>
      </c>
      <c r="F138" s="20" t="s">
        <v>99</v>
      </c>
      <c r="G138" s="20" t="s">
        <v>100</v>
      </c>
      <c r="H138" s="20" t="s">
        <v>455</v>
      </c>
      <c r="I138" s="20" t="s">
        <v>262</v>
      </c>
      <c r="J138" s="20" t="s">
        <v>209</v>
      </c>
      <c r="K138" s="20" t="s">
        <v>176</v>
      </c>
      <c r="L138" s="20" t="s">
        <v>73</v>
      </c>
      <c r="M138" s="20" t="s">
        <v>73</v>
      </c>
      <c r="N138" s="20" t="s">
        <v>213</v>
      </c>
      <c r="O138" s="20" t="s">
        <v>96</v>
      </c>
      <c r="P138" s="20" t="str">
        <f t="shared" si="45"/>
        <v>DFTL_CPU_PCPU_MPX00L_CPUTDFM166_H0MX_PL10_X_X_DIV166_SelsrmSSSS_</v>
      </c>
      <c r="S138" s="20">
        <v>1.1850000000000001</v>
      </c>
      <c r="T138" s="20">
        <v>1.1138999999999999</v>
      </c>
      <c r="U138" s="20" t="s">
        <v>74</v>
      </c>
      <c r="V138" s="20" t="s">
        <v>210</v>
      </c>
      <c r="W138" s="20" t="s">
        <v>218</v>
      </c>
      <c r="X138" s="20" t="s">
        <v>456</v>
      </c>
      <c r="AF138" s="20" t="s">
        <v>220</v>
      </c>
      <c r="AM138" s="20" t="s">
        <v>166</v>
      </c>
      <c r="AN138" s="20">
        <v>1.3</v>
      </c>
      <c r="AO138" s="20">
        <v>0.8</v>
      </c>
      <c r="AP138" s="20">
        <v>5.0000000000000001E-3</v>
      </c>
      <c r="AQ138" s="20">
        <v>0.71499999999999997</v>
      </c>
      <c r="AR138" s="20">
        <v>0.71499999999999997</v>
      </c>
      <c r="AT138" s="20">
        <v>0.745</v>
      </c>
      <c r="AU138" s="20">
        <v>0.745</v>
      </c>
      <c r="AW138" s="20">
        <v>1</v>
      </c>
      <c r="AX138" s="20">
        <v>1</v>
      </c>
      <c r="AZ138" s="20">
        <v>0.70499999999999996</v>
      </c>
      <c r="BA138" s="20">
        <v>0.70499999999999996</v>
      </c>
      <c r="BC138" s="20">
        <v>0.76</v>
      </c>
      <c r="BD138" s="20">
        <v>0.76</v>
      </c>
      <c r="BF138" s="20">
        <v>1.2</v>
      </c>
      <c r="BG138" s="20">
        <v>1.2</v>
      </c>
      <c r="BI138" s="20">
        <v>0.77500000000000002</v>
      </c>
      <c r="BJ138" s="20">
        <v>0.77500000000000002</v>
      </c>
      <c r="BL138" s="20">
        <v>0.77500000000000002</v>
      </c>
      <c r="BM138" s="20">
        <v>0.77500000000000002</v>
      </c>
      <c r="BO138" s="20">
        <v>0.84</v>
      </c>
      <c r="BP138" s="20">
        <v>0.84</v>
      </c>
      <c r="BR138" s="20">
        <v>0.8</v>
      </c>
      <c r="BS138" s="20">
        <v>0.8</v>
      </c>
      <c r="BU138" s="20">
        <v>0.88500000000000001</v>
      </c>
      <c r="BV138" s="20">
        <v>0.88500000000000001</v>
      </c>
      <c r="BX138" s="20">
        <v>0.8</v>
      </c>
      <c r="BY138" s="20">
        <v>0.8</v>
      </c>
      <c r="CA138" s="20">
        <v>1.32</v>
      </c>
      <c r="CB138" s="20">
        <v>1.32</v>
      </c>
      <c r="CD138" s="20">
        <v>1.06</v>
      </c>
      <c r="CE138" s="20">
        <v>1.06</v>
      </c>
      <c r="CG138" s="20">
        <v>0.76500000000000001</v>
      </c>
      <c r="CH138" s="20">
        <v>0.76500000000000001</v>
      </c>
      <c r="CJ138" s="20">
        <v>0.76500000000000001</v>
      </c>
      <c r="CK138" s="20">
        <v>0.76500000000000001</v>
      </c>
      <c r="CM138" s="20">
        <v>1.06</v>
      </c>
      <c r="CN138" s="20">
        <v>1.06</v>
      </c>
      <c r="CP138" s="20">
        <v>1.06</v>
      </c>
      <c r="CQ138" s="20">
        <v>1.06</v>
      </c>
      <c r="CS138" s="20">
        <v>0.76500000000000001</v>
      </c>
      <c r="CT138" s="20">
        <v>0.76500000000000001</v>
      </c>
      <c r="CV138" s="20">
        <v>1.06</v>
      </c>
      <c r="CW138" s="20">
        <v>1.06</v>
      </c>
      <c r="CY138" s="20">
        <v>0.76500000000000001</v>
      </c>
      <c r="CZ138" s="20">
        <v>0.76500000000000001</v>
      </c>
      <c r="DB138" s="20">
        <v>1.06</v>
      </c>
      <c r="DC138" s="20">
        <v>1.06</v>
      </c>
      <c r="DE138" s="20">
        <v>0.70499999999999996</v>
      </c>
      <c r="DF138" s="20">
        <v>0.70499999999999996</v>
      </c>
      <c r="DH138" s="20" t="s">
        <v>80</v>
      </c>
      <c r="DI138" s="20">
        <v>1.1279999999999999</v>
      </c>
      <c r="DJ138" s="20">
        <v>1.2</v>
      </c>
      <c r="DM138" s="20">
        <v>0</v>
      </c>
      <c r="DN138" s="20">
        <v>0</v>
      </c>
      <c r="DO138" s="20">
        <v>0</v>
      </c>
      <c r="DP138" s="20" t="s">
        <v>258</v>
      </c>
      <c r="DQ138" s="20" t="s">
        <v>274</v>
      </c>
      <c r="DR138" s="20" t="s">
        <v>274</v>
      </c>
    </row>
    <row r="139" spans="1:122" s="20" customFormat="1" hidden="1" x14ac:dyDescent="0.2">
      <c r="A139" s="20" t="s">
        <v>481</v>
      </c>
      <c r="E139" s="20" t="s">
        <v>84</v>
      </c>
      <c r="F139" s="20" t="s">
        <v>99</v>
      </c>
      <c r="G139" s="20" t="s">
        <v>100</v>
      </c>
      <c r="H139" s="20" t="s">
        <v>455</v>
      </c>
      <c r="I139" s="20" t="s">
        <v>261</v>
      </c>
      <c r="J139" s="20" t="s">
        <v>211</v>
      </c>
      <c r="K139" s="20" t="s">
        <v>176</v>
      </c>
      <c r="L139" s="20" t="s">
        <v>73</v>
      </c>
      <c r="M139" s="20" t="s">
        <v>73</v>
      </c>
      <c r="N139" s="20" t="s">
        <v>213</v>
      </c>
      <c r="O139" s="20" t="s">
        <v>96</v>
      </c>
      <c r="P139" s="20" t="str">
        <f t="shared" si="45"/>
        <v>DFTL_CPU_PCPU_MPX00L_CPUTDFP166_H0PD_PL10_X_X_DIV166_SelsrmSSSS_</v>
      </c>
      <c r="S139" s="20">
        <v>1.1850000000000001</v>
      </c>
      <c r="T139" s="20">
        <v>1.1138999999999999</v>
      </c>
      <c r="U139" s="20" t="s">
        <v>74</v>
      </c>
      <c r="V139" s="20" t="s">
        <v>210</v>
      </c>
      <c r="W139" s="20" t="s">
        <v>221</v>
      </c>
      <c r="X139" s="20" t="s">
        <v>456</v>
      </c>
      <c r="AF139" s="20" t="s">
        <v>222</v>
      </c>
      <c r="AM139" s="20" t="s">
        <v>166</v>
      </c>
      <c r="AN139" s="20">
        <v>1.3</v>
      </c>
      <c r="AO139" s="20">
        <v>0.8</v>
      </c>
      <c r="AP139" s="20">
        <v>5.0000000000000001E-3</v>
      </c>
      <c r="AQ139" s="20">
        <v>0.71499999999999997</v>
      </c>
      <c r="AR139" s="20">
        <v>0.71499999999999997</v>
      </c>
      <c r="AT139" s="20">
        <v>0.745</v>
      </c>
      <c r="AU139" s="20">
        <v>0.745</v>
      </c>
      <c r="AW139" s="20">
        <v>1</v>
      </c>
      <c r="AX139" s="20">
        <v>1</v>
      </c>
      <c r="AZ139" s="20">
        <v>0.70499999999999996</v>
      </c>
      <c r="BA139" s="20">
        <v>0.70499999999999996</v>
      </c>
      <c r="BC139" s="20">
        <v>0.76</v>
      </c>
      <c r="BD139" s="20">
        <v>0.76</v>
      </c>
      <c r="BF139" s="20">
        <v>1.2</v>
      </c>
      <c r="BG139" s="20">
        <v>1.2</v>
      </c>
      <c r="BI139" s="20">
        <v>0.77500000000000002</v>
      </c>
      <c r="BJ139" s="20">
        <v>0.77500000000000002</v>
      </c>
      <c r="BL139" s="20">
        <v>0.77500000000000002</v>
      </c>
      <c r="BM139" s="20">
        <v>0.77500000000000002</v>
      </c>
      <c r="BO139" s="20">
        <v>0.84</v>
      </c>
      <c r="BP139" s="20">
        <v>0.84</v>
      </c>
      <c r="BR139" s="20">
        <v>0.8</v>
      </c>
      <c r="BS139" s="20">
        <v>0.8</v>
      </c>
      <c r="BU139" s="20">
        <v>0.88500000000000001</v>
      </c>
      <c r="BV139" s="20">
        <v>0.88500000000000001</v>
      </c>
      <c r="BX139" s="20">
        <v>0.8</v>
      </c>
      <c r="BY139" s="20">
        <v>0.8</v>
      </c>
      <c r="CA139" s="20">
        <v>1.32</v>
      </c>
      <c r="CB139" s="20">
        <v>1.32</v>
      </c>
      <c r="CD139" s="20">
        <v>1.06</v>
      </c>
      <c r="CE139" s="20">
        <v>1.06</v>
      </c>
      <c r="CG139" s="20">
        <v>0.76500000000000001</v>
      </c>
      <c r="CH139" s="20">
        <v>0.76500000000000001</v>
      </c>
      <c r="CJ139" s="20">
        <v>0.76500000000000001</v>
      </c>
      <c r="CK139" s="20">
        <v>0.76500000000000001</v>
      </c>
      <c r="CM139" s="20">
        <v>1.06</v>
      </c>
      <c r="CN139" s="20">
        <v>1.06</v>
      </c>
      <c r="CP139" s="20">
        <v>1.06</v>
      </c>
      <c r="CQ139" s="20">
        <v>1.06</v>
      </c>
      <c r="CS139" s="20">
        <v>0.76500000000000001</v>
      </c>
      <c r="CT139" s="20">
        <v>0.76500000000000001</v>
      </c>
      <c r="CV139" s="20">
        <v>1.06</v>
      </c>
      <c r="CW139" s="20">
        <v>1.06</v>
      </c>
      <c r="CY139" s="20">
        <v>0.76500000000000001</v>
      </c>
      <c r="CZ139" s="20">
        <v>0.76500000000000001</v>
      </c>
      <c r="DB139" s="20">
        <v>1.06</v>
      </c>
      <c r="DC139" s="20">
        <v>1.06</v>
      </c>
      <c r="DE139" s="20">
        <v>0.70499999999999996</v>
      </c>
      <c r="DF139" s="20">
        <v>0.70499999999999996</v>
      </c>
      <c r="DH139" s="20" t="s">
        <v>80</v>
      </c>
      <c r="DI139" s="20">
        <v>1.1279999999999999</v>
      </c>
      <c r="DJ139" s="20">
        <v>1.2</v>
      </c>
      <c r="DM139" s="20">
        <v>0</v>
      </c>
      <c r="DN139" s="20">
        <v>0</v>
      </c>
      <c r="DO139" s="20">
        <v>0</v>
      </c>
      <c r="DP139" s="20" t="s">
        <v>258</v>
      </c>
      <c r="DQ139" s="20" t="s">
        <v>274</v>
      </c>
      <c r="DR139" s="20" t="s">
        <v>274</v>
      </c>
    </row>
    <row r="140" spans="1:122" hidden="1" x14ac:dyDescent="0.2">
      <c r="A140" t="s">
        <v>481</v>
      </c>
      <c r="D140" s="14" t="s">
        <v>482</v>
      </c>
      <c r="E140" t="s">
        <v>84</v>
      </c>
      <c r="F140" t="s">
        <v>99</v>
      </c>
      <c r="G140" t="s">
        <v>106</v>
      </c>
      <c r="H140" t="s">
        <v>113</v>
      </c>
      <c r="I140" t="s">
        <v>116</v>
      </c>
      <c r="J140" t="s">
        <v>460</v>
      </c>
      <c r="K140" t="s">
        <v>71</v>
      </c>
      <c r="L140" t="s">
        <v>102</v>
      </c>
      <c r="M140" t="s">
        <v>103</v>
      </c>
      <c r="N140" t="s">
        <v>73</v>
      </c>
      <c r="O140" t="s">
        <v>96</v>
      </c>
      <c r="P140" t="str">
        <f t="shared" si="45"/>
        <v>DFTL_CPU_CPUSRAM_MEX001_CPUBST_E0EX_PLLP_59N_REPREST_X_SelsrmSSSS_</v>
      </c>
      <c r="S140">
        <v>0.85</v>
      </c>
      <c r="T140">
        <v>0.79900000000000004</v>
      </c>
      <c r="U140" t="s">
        <v>74</v>
      </c>
      <c r="V140" t="s">
        <v>377</v>
      </c>
      <c r="W140" t="s">
        <v>376</v>
      </c>
      <c r="X140" t="s">
        <v>461</v>
      </c>
      <c r="AF140" t="s">
        <v>462</v>
      </c>
      <c r="AM140" t="s">
        <v>166</v>
      </c>
      <c r="AN140">
        <v>0.74</v>
      </c>
      <c r="AO140">
        <v>0.74</v>
      </c>
      <c r="AQ140">
        <v>0.71499999999999997</v>
      </c>
      <c r="AR140">
        <v>0.71499999999999997</v>
      </c>
      <c r="AT140">
        <v>0.70499999999999996</v>
      </c>
      <c r="AU140">
        <v>0.70499999999999996</v>
      </c>
      <c r="AW140">
        <v>1.0349999999999999</v>
      </c>
      <c r="AX140">
        <v>1.0349999999999999</v>
      </c>
      <c r="AZ140">
        <v>0.71</v>
      </c>
      <c r="BA140">
        <v>0.71</v>
      </c>
      <c r="BC140">
        <v>0.75</v>
      </c>
      <c r="BD140">
        <v>0.75</v>
      </c>
      <c r="BF140">
        <v>0.9</v>
      </c>
      <c r="BG140">
        <v>0.4</v>
      </c>
      <c r="BH140">
        <v>5.0000000000000001E-3</v>
      </c>
      <c r="BI140">
        <v>0.82</v>
      </c>
      <c r="BJ140">
        <v>0.82</v>
      </c>
      <c r="BL140">
        <v>0.82</v>
      </c>
      <c r="BM140">
        <v>0.82</v>
      </c>
      <c r="BO140">
        <v>0.84</v>
      </c>
      <c r="BP140">
        <v>0.84</v>
      </c>
      <c r="BR140">
        <v>0.8</v>
      </c>
      <c r="BS140">
        <v>0.8</v>
      </c>
      <c r="BU140">
        <v>0.88500000000000001</v>
      </c>
      <c r="BV140">
        <v>0.88500000000000001</v>
      </c>
      <c r="BX140">
        <v>0.8</v>
      </c>
      <c r="BY140">
        <v>0.8</v>
      </c>
      <c r="CA140">
        <v>1.2</v>
      </c>
      <c r="CB140">
        <v>1.2</v>
      </c>
      <c r="CD140" s="11">
        <v>1.06</v>
      </c>
      <c r="CE140" s="11">
        <v>1.06</v>
      </c>
      <c r="CF140" s="11"/>
      <c r="CG140" s="11">
        <v>0.76500000000000001</v>
      </c>
      <c r="CH140" s="11">
        <v>0.76500000000000001</v>
      </c>
      <c r="CI140" s="11"/>
      <c r="CJ140" s="11">
        <v>0.76500000000000001</v>
      </c>
      <c r="CK140" s="11">
        <v>0.76500000000000001</v>
      </c>
      <c r="CL140" s="11"/>
      <c r="CM140" s="11">
        <v>1.06</v>
      </c>
      <c r="CN140" s="11">
        <v>1.06</v>
      </c>
      <c r="CO140" s="11"/>
      <c r="CP140" s="11">
        <v>1.06</v>
      </c>
      <c r="CQ140" s="11">
        <v>1.06</v>
      </c>
      <c r="CR140" s="11"/>
      <c r="CS140" s="11">
        <v>0.76500000000000001</v>
      </c>
      <c r="CT140" s="11">
        <v>0.76500000000000001</v>
      </c>
      <c r="CU140" s="11"/>
      <c r="CV140" s="11">
        <v>1.06</v>
      </c>
      <c r="CW140" s="11">
        <v>1.06</v>
      </c>
      <c r="CX140" s="11"/>
      <c r="CY140" s="11">
        <v>0.76500000000000001</v>
      </c>
      <c r="CZ140" s="11">
        <v>0.76500000000000001</v>
      </c>
      <c r="DA140" s="11"/>
      <c r="DB140" s="11">
        <v>1.06</v>
      </c>
      <c r="DC140" s="11">
        <v>1.06</v>
      </c>
      <c r="DD140" s="11"/>
      <c r="DE140" s="11">
        <v>0.70499999999999996</v>
      </c>
      <c r="DF140" s="11">
        <v>0.70499999999999996</v>
      </c>
      <c r="DH140" t="s">
        <v>80</v>
      </c>
      <c r="DI140">
        <v>0.79900000000000004</v>
      </c>
      <c r="DJ140">
        <v>0.85</v>
      </c>
      <c r="DM140">
        <v>0</v>
      </c>
      <c r="DN140">
        <v>0</v>
      </c>
      <c r="DO140">
        <v>0</v>
      </c>
      <c r="DQ140" t="s">
        <v>274</v>
      </c>
      <c r="DR140" t="s">
        <v>274</v>
      </c>
    </row>
    <row r="141" spans="1:122" hidden="1" x14ac:dyDescent="0.2">
      <c r="A141" t="s">
        <v>481</v>
      </c>
      <c r="D141" s="14" t="s">
        <v>482</v>
      </c>
      <c r="E141" t="s">
        <v>84</v>
      </c>
      <c r="F141" t="s">
        <v>99</v>
      </c>
      <c r="G141" t="s">
        <v>106</v>
      </c>
      <c r="H141" t="s">
        <v>463</v>
      </c>
      <c r="I141" t="s">
        <v>116</v>
      </c>
      <c r="J141" t="s">
        <v>460</v>
      </c>
      <c r="K141" t="s">
        <v>71</v>
      </c>
      <c r="L141" t="s">
        <v>102</v>
      </c>
      <c r="M141" t="s">
        <v>103</v>
      </c>
      <c r="N141" t="s">
        <v>73</v>
      </c>
      <c r="O141" t="s">
        <v>96</v>
      </c>
      <c r="P141" t="str">
        <f t="shared" si="45"/>
        <v>DFTL_CPU_CPUSRAM_MEX009_CPUBST_E0EX_PLLP_59N_REPREST_X_SelsrmSSSS_</v>
      </c>
      <c r="S141">
        <v>1.2264999999999999</v>
      </c>
      <c r="T141">
        <v>1.115</v>
      </c>
      <c r="U141" t="s">
        <v>74</v>
      </c>
      <c r="V141" t="s">
        <v>377</v>
      </c>
      <c r="W141" t="s">
        <v>376</v>
      </c>
      <c r="X141" t="s">
        <v>464</v>
      </c>
      <c r="AF141" t="s">
        <v>462</v>
      </c>
      <c r="AM141" t="s">
        <v>166</v>
      </c>
      <c r="AN141">
        <v>0.74</v>
      </c>
      <c r="AO141">
        <v>0.74</v>
      </c>
      <c r="AQ141">
        <v>1.075</v>
      </c>
      <c r="AR141">
        <v>1.075</v>
      </c>
      <c r="AT141">
        <v>0.70499999999999996</v>
      </c>
      <c r="AU141">
        <v>0.70499999999999996</v>
      </c>
      <c r="AW141">
        <v>1.0349999999999999</v>
      </c>
      <c r="AX141">
        <v>1.0349999999999999</v>
      </c>
      <c r="AZ141">
        <v>0.71</v>
      </c>
      <c r="BA141">
        <v>0.71</v>
      </c>
      <c r="BC141">
        <v>0.75</v>
      </c>
      <c r="BD141">
        <v>0.75</v>
      </c>
      <c r="BF141">
        <v>1.2</v>
      </c>
      <c r="BG141">
        <v>0.55000000000000004</v>
      </c>
      <c r="BH141">
        <v>5.0000000000000001E-3</v>
      </c>
      <c r="BI141">
        <v>0.82</v>
      </c>
      <c r="BJ141">
        <v>0.82</v>
      </c>
      <c r="BL141">
        <v>0.82</v>
      </c>
      <c r="BM141">
        <v>0.82</v>
      </c>
      <c r="BO141">
        <v>0.84</v>
      </c>
      <c r="BP141">
        <v>0.84</v>
      </c>
      <c r="BR141">
        <v>0.8</v>
      </c>
      <c r="BS141">
        <v>0.8</v>
      </c>
      <c r="BU141">
        <v>0.88500000000000001</v>
      </c>
      <c r="BV141">
        <v>0.88500000000000001</v>
      </c>
      <c r="BX141">
        <v>0.8</v>
      </c>
      <c r="BY141">
        <v>0.8</v>
      </c>
      <c r="CA141">
        <v>1.2</v>
      </c>
      <c r="CB141">
        <v>1.2</v>
      </c>
      <c r="CD141" s="11">
        <v>1.06</v>
      </c>
      <c r="CE141" s="11">
        <v>1.06</v>
      </c>
      <c r="CF141" s="11"/>
      <c r="CG141" s="11">
        <v>0.76500000000000001</v>
      </c>
      <c r="CH141" s="11">
        <v>0.76500000000000001</v>
      </c>
      <c r="CI141" s="11"/>
      <c r="CJ141" s="11">
        <v>0.76500000000000001</v>
      </c>
      <c r="CK141" s="11">
        <v>0.76500000000000001</v>
      </c>
      <c r="CL141" s="11"/>
      <c r="CM141" s="11">
        <v>1.06</v>
      </c>
      <c r="CN141" s="11">
        <v>1.06</v>
      </c>
      <c r="CO141" s="11"/>
      <c r="CP141" s="11">
        <v>1.06</v>
      </c>
      <c r="CQ141" s="11">
        <v>1.06</v>
      </c>
      <c r="CR141" s="11"/>
      <c r="CS141" s="11">
        <v>0.76500000000000001</v>
      </c>
      <c r="CT141" s="11">
        <v>0.76500000000000001</v>
      </c>
      <c r="CU141" s="11"/>
      <c r="CV141" s="11">
        <v>1.06</v>
      </c>
      <c r="CW141" s="11">
        <v>1.06</v>
      </c>
      <c r="CX141" s="11"/>
      <c r="CY141" s="11">
        <v>0.76500000000000001</v>
      </c>
      <c r="CZ141" s="11">
        <v>0.76500000000000001</v>
      </c>
      <c r="DA141" s="11"/>
      <c r="DB141" s="11">
        <v>1.06</v>
      </c>
      <c r="DC141" s="11">
        <v>1.06</v>
      </c>
      <c r="DD141" s="11"/>
      <c r="DE141" s="11">
        <v>0.70499999999999996</v>
      </c>
      <c r="DF141" s="11">
        <v>0.70499999999999996</v>
      </c>
      <c r="DH141" t="s">
        <v>80</v>
      </c>
      <c r="DI141">
        <v>1.2270000000000001</v>
      </c>
      <c r="DJ141">
        <v>1.115</v>
      </c>
      <c r="DM141">
        <v>0</v>
      </c>
      <c r="DN141">
        <v>0</v>
      </c>
      <c r="DO141">
        <v>0</v>
      </c>
      <c r="DQ141" t="s">
        <v>274</v>
      </c>
      <c r="DR141" t="s">
        <v>274</v>
      </c>
    </row>
    <row r="142" spans="1:122" hidden="1" x14ac:dyDescent="0.2">
      <c r="A142" t="s">
        <v>481</v>
      </c>
      <c r="D142" s="14" t="s">
        <v>482</v>
      </c>
      <c r="E142" t="s">
        <v>84</v>
      </c>
      <c r="F142" t="s">
        <v>99</v>
      </c>
      <c r="G142" t="s">
        <v>106</v>
      </c>
      <c r="H142" t="s">
        <v>113</v>
      </c>
      <c r="I142" t="s">
        <v>116</v>
      </c>
      <c r="J142" t="s">
        <v>460</v>
      </c>
      <c r="K142" t="s">
        <v>71</v>
      </c>
      <c r="L142" t="s">
        <v>356</v>
      </c>
      <c r="M142" t="s">
        <v>103</v>
      </c>
      <c r="N142" t="s">
        <v>73</v>
      </c>
      <c r="O142" t="s">
        <v>96</v>
      </c>
      <c r="P142" t="str">
        <f t="shared" si="45"/>
        <v>DFTL_CPU_CPUSRAM_MEX001_CPUBST_E0EX_PLLP_SP1_REPREST_X_SelsrmSSSS_</v>
      </c>
      <c r="S142">
        <v>0.85</v>
      </c>
      <c r="T142">
        <v>0.79900000000000004</v>
      </c>
      <c r="U142" t="s">
        <v>74</v>
      </c>
      <c r="V142" t="s">
        <v>377</v>
      </c>
      <c r="W142" t="s">
        <v>376</v>
      </c>
      <c r="X142" t="s">
        <v>461</v>
      </c>
      <c r="AF142" t="s">
        <v>465</v>
      </c>
      <c r="AM142" t="s">
        <v>166</v>
      </c>
      <c r="AN142">
        <v>0.74</v>
      </c>
      <c r="AO142">
        <v>0.74</v>
      </c>
      <c r="AQ142">
        <v>0.71499999999999997</v>
      </c>
      <c r="AR142">
        <v>0.71499999999999997</v>
      </c>
      <c r="AT142">
        <v>0.70499999999999996</v>
      </c>
      <c r="AU142">
        <v>0.70499999999999996</v>
      </c>
      <c r="AW142">
        <v>1.0349999999999999</v>
      </c>
      <c r="AX142">
        <v>1.0349999999999999</v>
      </c>
      <c r="AZ142">
        <v>0.71</v>
      </c>
      <c r="BA142">
        <v>0.71</v>
      </c>
      <c r="BC142">
        <v>0.75</v>
      </c>
      <c r="BD142">
        <v>0.75</v>
      </c>
      <c r="BF142">
        <v>0.9</v>
      </c>
      <c r="BG142">
        <v>0.4</v>
      </c>
      <c r="BH142">
        <v>5.0000000000000001E-3</v>
      </c>
      <c r="BI142">
        <v>0.82</v>
      </c>
      <c r="BJ142">
        <v>0.82</v>
      </c>
      <c r="BL142">
        <v>0.82</v>
      </c>
      <c r="BM142">
        <v>0.82</v>
      </c>
      <c r="BO142">
        <v>0.84</v>
      </c>
      <c r="BP142">
        <v>0.84</v>
      </c>
      <c r="BR142">
        <v>0.8</v>
      </c>
      <c r="BS142">
        <v>0.8</v>
      </c>
      <c r="BU142">
        <v>0.88500000000000001</v>
      </c>
      <c r="BV142">
        <v>0.88500000000000001</v>
      </c>
      <c r="BX142">
        <v>0.8</v>
      </c>
      <c r="BY142">
        <v>0.8</v>
      </c>
      <c r="CA142">
        <v>1.2</v>
      </c>
      <c r="CB142">
        <v>1.2</v>
      </c>
      <c r="CD142" s="11">
        <v>1.06</v>
      </c>
      <c r="CE142" s="11">
        <v>1.06</v>
      </c>
      <c r="CF142" s="11"/>
      <c r="CG142" s="11">
        <v>0.76500000000000001</v>
      </c>
      <c r="CH142" s="11">
        <v>0.76500000000000001</v>
      </c>
      <c r="CI142" s="11"/>
      <c r="CJ142" s="11">
        <v>0.76500000000000001</v>
      </c>
      <c r="CK142" s="11">
        <v>0.76500000000000001</v>
      </c>
      <c r="CL142" s="11"/>
      <c r="CM142" s="11">
        <v>1.06</v>
      </c>
      <c r="CN142" s="11">
        <v>1.06</v>
      </c>
      <c r="CO142" s="11"/>
      <c r="CP142" s="11">
        <v>1.06</v>
      </c>
      <c r="CQ142" s="11">
        <v>1.06</v>
      </c>
      <c r="CR142" s="11"/>
      <c r="CS142" s="11">
        <v>0.76500000000000001</v>
      </c>
      <c r="CT142" s="11">
        <v>0.76500000000000001</v>
      </c>
      <c r="CU142" s="11"/>
      <c r="CV142" s="11">
        <v>1.06</v>
      </c>
      <c r="CW142" s="11">
        <v>1.06</v>
      </c>
      <c r="CX142" s="11"/>
      <c r="CY142" s="11">
        <v>0.76500000000000001</v>
      </c>
      <c r="CZ142" s="11">
        <v>0.76500000000000001</v>
      </c>
      <c r="DA142" s="11"/>
      <c r="DB142" s="11">
        <v>1.06</v>
      </c>
      <c r="DC142" s="11">
        <v>1.06</v>
      </c>
      <c r="DD142" s="11"/>
      <c r="DE142" s="11">
        <v>0.70499999999999996</v>
      </c>
      <c r="DF142" s="11">
        <v>0.70499999999999996</v>
      </c>
      <c r="DH142" t="s">
        <v>80</v>
      </c>
      <c r="DI142">
        <v>0.79900000000000004</v>
      </c>
      <c r="DJ142">
        <v>0.85</v>
      </c>
      <c r="DM142">
        <v>0</v>
      </c>
      <c r="DN142">
        <v>0</v>
      </c>
      <c r="DO142">
        <v>0</v>
      </c>
      <c r="DQ142" t="s">
        <v>274</v>
      </c>
      <c r="DR142" t="s">
        <v>274</v>
      </c>
    </row>
    <row r="143" spans="1:122" hidden="1" x14ac:dyDescent="0.2">
      <c r="A143" t="s">
        <v>481</v>
      </c>
      <c r="D143" s="14" t="s">
        <v>482</v>
      </c>
      <c r="E143" t="s">
        <v>84</v>
      </c>
      <c r="F143" t="s">
        <v>99</v>
      </c>
      <c r="G143" t="s">
        <v>106</v>
      </c>
      <c r="H143" t="s">
        <v>463</v>
      </c>
      <c r="I143" t="s">
        <v>116</v>
      </c>
      <c r="J143" t="s">
        <v>460</v>
      </c>
      <c r="K143" t="s">
        <v>71</v>
      </c>
      <c r="L143" t="s">
        <v>356</v>
      </c>
      <c r="M143" t="s">
        <v>103</v>
      </c>
      <c r="N143" t="s">
        <v>73</v>
      </c>
      <c r="O143" t="s">
        <v>96</v>
      </c>
      <c r="P143" t="str">
        <f t="shared" si="45"/>
        <v>DFTL_CPU_CPUSRAM_MEX009_CPUBST_E0EX_PLLP_SP1_REPREST_X_SelsrmSSSS_</v>
      </c>
      <c r="S143">
        <v>1.2264999999999999</v>
      </c>
      <c r="T143">
        <v>1.115</v>
      </c>
      <c r="U143" t="s">
        <v>74</v>
      </c>
      <c r="V143" t="s">
        <v>377</v>
      </c>
      <c r="W143" t="s">
        <v>376</v>
      </c>
      <c r="X143" t="s">
        <v>464</v>
      </c>
      <c r="AF143" t="s">
        <v>465</v>
      </c>
      <c r="AM143" t="s">
        <v>166</v>
      </c>
      <c r="AN143">
        <v>0.74</v>
      </c>
      <c r="AO143">
        <v>0.74</v>
      </c>
      <c r="AQ143">
        <v>1.075</v>
      </c>
      <c r="AR143">
        <v>1.075</v>
      </c>
      <c r="AT143">
        <v>0.70499999999999996</v>
      </c>
      <c r="AU143">
        <v>0.70499999999999996</v>
      </c>
      <c r="AW143">
        <v>1.0349999999999999</v>
      </c>
      <c r="AX143">
        <v>1.0349999999999999</v>
      </c>
      <c r="AZ143">
        <v>0.71</v>
      </c>
      <c r="BA143">
        <v>0.71</v>
      </c>
      <c r="BC143">
        <v>0.75</v>
      </c>
      <c r="BD143">
        <v>0.75</v>
      </c>
      <c r="BF143">
        <v>1.2</v>
      </c>
      <c r="BG143">
        <v>0.55000000000000004</v>
      </c>
      <c r="BH143">
        <v>5.0000000000000001E-3</v>
      </c>
      <c r="BI143">
        <v>0.82</v>
      </c>
      <c r="BJ143">
        <v>0.82</v>
      </c>
      <c r="BL143">
        <v>0.82</v>
      </c>
      <c r="BM143">
        <v>0.82</v>
      </c>
      <c r="BO143">
        <v>0.84</v>
      </c>
      <c r="BP143">
        <v>0.84</v>
      </c>
      <c r="BR143">
        <v>0.8</v>
      </c>
      <c r="BS143">
        <v>0.8</v>
      </c>
      <c r="BU143">
        <v>0.88500000000000001</v>
      </c>
      <c r="BV143">
        <v>0.88500000000000001</v>
      </c>
      <c r="BX143">
        <v>0.8</v>
      </c>
      <c r="BY143">
        <v>0.8</v>
      </c>
      <c r="CA143">
        <v>1.2</v>
      </c>
      <c r="CB143">
        <v>1.2</v>
      </c>
      <c r="CD143" s="11">
        <v>1.06</v>
      </c>
      <c r="CE143" s="11">
        <v>1.06</v>
      </c>
      <c r="CF143" s="11"/>
      <c r="CG143" s="11">
        <v>0.76500000000000001</v>
      </c>
      <c r="CH143" s="11">
        <v>0.76500000000000001</v>
      </c>
      <c r="CI143" s="11"/>
      <c r="CJ143" s="11">
        <v>0.76500000000000001</v>
      </c>
      <c r="CK143" s="11">
        <v>0.76500000000000001</v>
      </c>
      <c r="CL143" s="11"/>
      <c r="CM143" s="11">
        <v>1.06</v>
      </c>
      <c r="CN143" s="11">
        <v>1.06</v>
      </c>
      <c r="CO143" s="11"/>
      <c r="CP143" s="11">
        <v>1.06</v>
      </c>
      <c r="CQ143" s="11">
        <v>1.06</v>
      </c>
      <c r="CR143" s="11"/>
      <c r="CS143" s="11">
        <v>0.76500000000000001</v>
      </c>
      <c r="CT143" s="11">
        <v>0.76500000000000001</v>
      </c>
      <c r="CU143" s="11"/>
      <c r="CV143" s="11">
        <v>1.06</v>
      </c>
      <c r="CW143" s="11">
        <v>1.06</v>
      </c>
      <c r="CX143" s="11"/>
      <c r="CY143" s="11">
        <v>0.76500000000000001</v>
      </c>
      <c r="CZ143" s="11">
        <v>0.76500000000000001</v>
      </c>
      <c r="DA143" s="11"/>
      <c r="DB143" s="11">
        <v>1.06</v>
      </c>
      <c r="DC143" s="11">
        <v>1.06</v>
      </c>
      <c r="DD143" s="11"/>
      <c r="DE143" s="11">
        <v>0.70499999999999996</v>
      </c>
      <c r="DF143" s="11">
        <v>0.70499999999999996</v>
      </c>
      <c r="DH143" t="s">
        <v>80</v>
      </c>
      <c r="DI143">
        <v>1.2270000000000001</v>
      </c>
      <c r="DJ143">
        <v>1.115</v>
      </c>
      <c r="DM143">
        <v>0</v>
      </c>
      <c r="DN143">
        <v>0</v>
      </c>
      <c r="DO143">
        <v>0</v>
      </c>
      <c r="DQ143" t="s">
        <v>274</v>
      </c>
      <c r="DR143" t="s">
        <v>274</v>
      </c>
    </row>
    <row r="144" spans="1:122" hidden="1" x14ac:dyDescent="0.2">
      <c r="A144" t="s">
        <v>481</v>
      </c>
      <c r="D144" s="14" t="s">
        <v>482</v>
      </c>
      <c r="E144" t="s">
        <v>84</v>
      </c>
      <c r="F144" t="s">
        <v>99</v>
      </c>
      <c r="G144" t="s">
        <v>106</v>
      </c>
      <c r="H144" t="s">
        <v>113</v>
      </c>
      <c r="I144" t="s">
        <v>116</v>
      </c>
      <c r="J144" t="s">
        <v>114</v>
      </c>
      <c r="K144" t="s">
        <v>71</v>
      </c>
      <c r="L144" t="s">
        <v>466</v>
      </c>
      <c r="M144" t="s">
        <v>357</v>
      </c>
      <c r="N144" t="s">
        <v>73</v>
      </c>
      <c r="O144" t="s">
        <v>96</v>
      </c>
      <c r="P144" t="str">
        <f t="shared" si="45"/>
        <v>DFTL_CPU_CPUSRAM_MEX001_CPUBST_E0XD_PLLP_SP5_REPDAT_X_SelsrmSSSS_</v>
      </c>
      <c r="S144">
        <v>0.85</v>
      </c>
      <c r="T144">
        <v>0.79900000000000004</v>
      </c>
      <c r="U144" t="s">
        <v>74</v>
      </c>
      <c r="V144" t="s">
        <v>377</v>
      </c>
      <c r="W144" t="s">
        <v>376</v>
      </c>
      <c r="X144" t="s">
        <v>461</v>
      </c>
      <c r="Y144" t="s">
        <v>467</v>
      </c>
      <c r="AF144" t="s">
        <v>468</v>
      </c>
      <c r="AG144" t="s">
        <v>467</v>
      </c>
      <c r="AM144" t="s">
        <v>166</v>
      </c>
      <c r="AN144">
        <v>0.74</v>
      </c>
      <c r="AO144">
        <v>0.74</v>
      </c>
      <c r="AQ144">
        <v>0.71499999999999997</v>
      </c>
      <c r="AR144">
        <v>0.71499999999999997</v>
      </c>
      <c r="AT144">
        <v>0.70499999999999996</v>
      </c>
      <c r="AU144">
        <v>0.70499999999999996</v>
      </c>
      <c r="AW144">
        <v>1.0349999999999999</v>
      </c>
      <c r="AX144">
        <v>1.0349999999999999</v>
      </c>
      <c r="AZ144">
        <v>0.71</v>
      </c>
      <c r="BA144">
        <v>0.71</v>
      </c>
      <c r="BC144">
        <v>0.75</v>
      </c>
      <c r="BD144">
        <v>0.75</v>
      </c>
      <c r="BF144">
        <v>0.9</v>
      </c>
      <c r="BG144">
        <v>0.4</v>
      </c>
      <c r="BH144">
        <v>5.0000000000000001E-3</v>
      </c>
      <c r="BI144">
        <v>0.82</v>
      </c>
      <c r="BJ144">
        <v>0.82</v>
      </c>
      <c r="BL144">
        <v>0.82</v>
      </c>
      <c r="BM144">
        <v>0.82</v>
      </c>
      <c r="BO144">
        <v>0.84</v>
      </c>
      <c r="BP144">
        <v>0.84</v>
      </c>
      <c r="BR144">
        <v>0.8</v>
      </c>
      <c r="BS144">
        <v>0.8</v>
      </c>
      <c r="BU144">
        <v>0.88500000000000001</v>
      </c>
      <c r="BV144">
        <v>0.88500000000000001</v>
      </c>
      <c r="BX144">
        <v>0.8</v>
      </c>
      <c r="BY144">
        <v>0.8</v>
      </c>
      <c r="CA144">
        <v>1.2</v>
      </c>
      <c r="CB144">
        <v>1.2</v>
      </c>
      <c r="CD144" s="11">
        <v>1.06</v>
      </c>
      <c r="CE144" s="11">
        <v>1.06</v>
      </c>
      <c r="CF144" s="11"/>
      <c r="CG144" s="11">
        <v>0.76500000000000001</v>
      </c>
      <c r="CH144" s="11">
        <v>0.76500000000000001</v>
      </c>
      <c r="CI144" s="11"/>
      <c r="CJ144" s="11">
        <v>0.76500000000000001</v>
      </c>
      <c r="CK144" s="11">
        <v>0.76500000000000001</v>
      </c>
      <c r="CL144" s="11"/>
      <c r="CM144" s="11">
        <v>1.06</v>
      </c>
      <c r="CN144" s="11">
        <v>1.06</v>
      </c>
      <c r="CO144" s="11"/>
      <c r="CP144" s="11">
        <v>1.06</v>
      </c>
      <c r="CQ144" s="11">
        <v>1.06</v>
      </c>
      <c r="CR144" s="11"/>
      <c r="CS144" s="11">
        <v>0.76500000000000001</v>
      </c>
      <c r="CT144" s="11">
        <v>0.76500000000000001</v>
      </c>
      <c r="CU144" s="11"/>
      <c r="CV144" s="11">
        <v>1.06</v>
      </c>
      <c r="CW144" s="11">
        <v>1.06</v>
      </c>
      <c r="CX144" s="11"/>
      <c r="CY144" s="11">
        <v>0.76500000000000001</v>
      </c>
      <c r="CZ144" s="11">
        <v>0.76500000000000001</v>
      </c>
      <c r="DA144" s="11"/>
      <c r="DB144" s="11">
        <v>1.06</v>
      </c>
      <c r="DC144" s="11">
        <v>1.06</v>
      </c>
      <c r="DD144" s="11"/>
      <c r="DE144" s="11">
        <v>0.70499999999999996</v>
      </c>
      <c r="DF144" s="11">
        <v>0.70499999999999996</v>
      </c>
      <c r="DH144" t="s">
        <v>80</v>
      </c>
      <c r="DI144">
        <v>0.79900000000000004</v>
      </c>
      <c r="DJ144">
        <v>0.85</v>
      </c>
      <c r="DM144">
        <v>0</v>
      </c>
      <c r="DN144">
        <v>0</v>
      </c>
      <c r="DO144">
        <v>0</v>
      </c>
      <c r="DQ144" t="s">
        <v>274</v>
      </c>
      <c r="DR144" t="s">
        <v>274</v>
      </c>
    </row>
    <row r="145" spans="1:122" hidden="1" x14ac:dyDescent="0.2">
      <c r="A145" t="s">
        <v>481</v>
      </c>
      <c r="D145" s="14" t="s">
        <v>482</v>
      </c>
      <c r="E145" t="s">
        <v>84</v>
      </c>
      <c r="F145" t="s">
        <v>99</v>
      </c>
      <c r="G145" t="s">
        <v>106</v>
      </c>
      <c r="H145" t="s">
        <v>463</v>
      </c>
      <c r="I145" t="s">
        <v>116</v>
      </c>
      <c r="J145" t="s">
        <v>114</v>
      </c>
      <c r="K145" t="s">
        <v>71</v>
      </c>
      <c r="L145" t="s">
        <v>466</v>
      </c>
      <c r="M145" t="s">
        <v>357</v>
      </c>
      <c r="N145" t="s">
        <v>73</v>
      </c>
      <c r="O145" t="s">
        <v>96</v>
      </c>
      <c r="P145" t="str">
        <f t="shared" si="45"/>
        <v>DFTL_CPU_CPUSRAM_MEX009_CPUBST_E0XD_PLLP_SP5_REPDAT_X_SelsrmSSSS_</v>
      </c>
      <c r="S145">
        <v>1.2264999999999999</v>
      </c>
      <c r="T145">
        <v>1.115</v>
      </c>
      <c r="U145" t="s">
        <v>74</v>
      </c>
      <c r="V145" t="s">
        <v>377</v>
      </c>
      <c r="W145" t="s">
        <v>376</v>
      </c>
      <c r="X145" t="s">
        <v>464</v>
      </c>
      <c r="Y145" t="s">
        <v>467</v>
      </c>
      <c r="AF145" t="s">
        <v>468</v>
      </c>
      <c r="AG145" t="s">
        <v>467</v>
      </c>
      <c r="AM145" t="s">
        <v>166</v>
      </c>
      <c r="AN145">
        <v>0.74</v>
      </c>
      <c r="AO145">
        <v>0.74</v>
      </c>
      <c r="AQ145">
        <v>1.075</v>
      </c>
      <c r="AR145">
        <v>1.075</v>
      </c>
      <c r="AT145">
        <v>0.70499999999999996</v>
      </c>
      <c r="AU145">
        <v>0.70499999999999996</v>
      </c>
      <c r="AW145">
        <v>1.0349999999999999</v>
      </c>
      <c r="AX145">
        <v>1.0349999999999999</v>
      </c>
      <c r="AZ145">
        <v>0.71</v>
      </c>
      <c r="BA145">
        <v>0.71</v>
      </c>
      <c r="BC145">
        <v>0.75</v>
      </c>
      <c r="BD145">
        <v>0.75</v>
      </c>
      <c r="BF145">
        <v>1.2</v>
      </c>
      <c r="BG145">
        <v>0.55000000000000004</v>
      </c>
      <c r="BH145">
        <v>5.0000000000000001E-3</v>
      </c>
      <c r="BI145">
        <v>0.82</v>
      </c>
      <c r="BJ145">
        <v>0.82</v>
      </c>
      <c r="BL145">
        <v>0.82</v>
      </c>
      <c r="BM145">
        <v>0.82</v>
      </c>
      <c r="BO145">
        <v>0.84</v>
      </c>
      <c r="BP145">
        <v>0.84</v>
      </c>
      <c r="BR145">
        <v>0.8</v>
      </c>
      <c r="BS145">
        <v>0.8</v>
      </c>
      <c r="BU145">
        <v>0.88500000000000001</v>
      </c>
      <c r="BV145">
        <v>0.88500000000000001</v>
      </c>
      <c r="BX145">
        <v>0.8</v>
      </c>
      <c r="BY145">
        <v>0.8</v>
      </c>
      <c r="CA145">
        <v>1.2</v>
      </c>
      <c r="CB145">
        <v>1.2</v>
      </c>
      <c r="CD145" s="11">
        <v>1.06</v>
      </c>
      <c r="CE145" s="11">
        <v>1.06</v>
      </c>
      <c r="CF145" s="11"/>
      <c r="CG145" s="11">
        <v>0.76500000000000001</v>
      </c>
      <c r="CH145" s="11">
        <v>0.76500000000000001</v>
      </c>
      <c r="CI145" s="11"/>
      <c r="CJ145" s="11">
        <v>0.76500000000000001</v>
      </c>
      <c r="CK145" s="11">
        <v>0.76500000000000001</v>
      </c>
      <c r="CL145" s="11"/>
      <c r="CM145" s="11">
        <v>1.06</v>
      </c>
      <c r="CN145" s="11">
        <v>1.06</v>
      </c>
      <c r="CO145" s="11"/>
      <c r="CP145" s="11">
        <v>1.06</v>
      </c>
      <c r="CQ145" s="11">
        <v>1.06</v>
      </c>
      <c r="CR145" s="11"/>
      <c r="CS145" s="11">
        <v>0.76500000000000001</v>
      </c>
      <c r="CT145" s="11">
        <v>0.76500000000000001</v>
      </c>
      <c r="CU145" s="11"/>
      <c r="CV145" s="11">
        <v>1.06</v>
      </c>
      <c r="CW145" s="11">
        <v>1.06</v>
      </c>
      <c r="CX145" s="11"/>
      <c r="CY145" s="11">
        <v>0.76500000000000001</v>
      </c>
      <c r="CZ145" s="11">
        <v>0.76500000000000001</v>
      </c>
      <c r="DA145" s="11"/>
      <c r="DB145" s="11">
        <v>1.06</v>
      </c>
      <c r="DC145" s="11">
        <v>1.06</v>
      </c>
      <c r="DD145" s="11"/>
      <c r="DE145" s="11">
        <v>0.70499999999999996</v>
      </c>
      <c r="DF145" s="11">
        <v>0.70499999999999996</v>
      </c>
      <c r="DH145" t="s">
        <v>80</v>
      </c>
      <c r="DI145">
        <v>1.2270000000000001</v>
      </c>
      <c r="DJ145">
        <v>1.115</v>
      </c>
      <c r="DM145">
        <v>0</v>
      </c>
      <c r="DN145">
        <v>0</v>
      </c>
      <c r="DO145">
        <v>0</v>
      </c>
      <c r="DQ145" t="s">
        <v>274</v>
      </c>
      <c r="DR145" t="s">
        <v>274</v>
      </c>
    </row>
    <row r="146" spans="1:122" x14ac:dyDescent="0.2">
      <c r="A146" t="s">
        <v>67</v>
      </c>
      <c r="B146" s="16"/>
      <c r="E146" t="s">
        <v>84</v>
      </c>
      <c r="F146" t="s">
        <v>68</v>
      </c>
      <c r="G146" t="s">
        <v>68</v>
      </c>
      <c r="H146" t="s">
        <v>89</v>
      </c>
      <c r="I146" t="s">
        <v>471</v>
      </c>
      <c r="J146" t="s">
        <v>469</v>
      </c>
      <c r="K146" t="s">
        <v>71</v>
      </c>
      <c r="L146" t="s">
        <v>73</v>
      </c>
      <c r="M146" t="s">
        <v>73</v>
      </c>
      <c r="N146" s="7" t="s">
        <v>496</v>
      </c>
      <c r="O146" t="s">
        <v>96</v>
      </c>
      <c r="P146" t="str">
        <f t="shared" si="45"/>
        <v>DFTL_GPU_GPU_MGX00F_GPUPDF_GT30GOVD_PLLP_X_X_FSTP10_SelsrmSSSS_</v>
      </c>
      <c r="S146">
        <v>1.085</v>
      </c>
      <c r="T146">
        <v>1.0199</v>
      </c>
      <c r="U146" t="s">
        <v>74</v>
      </c>
      <c r="V146" t="s">
        <v>230</v>
      </c>
      <c r="Y146" t="s">
        <v>231</v>
      </c>
      <c r="Z146" t="s">
        <v>232</v>
      </c>
      <c r="AA146" t="s">
        <v>233</v>
      </c>
      <c r="AB146" t="s">
        <v>238</v>
      </c>
      <c r="AC146" t="s">
        <v>495</v>
      </c>
      <c r="AF146" t="s">
        <v>470</v>
      </c>
      <c r="AM146" t="s">
        <v>290</v>
      </c>
      <c r="AN146">
        <v>0.73499999999999999</v>
      </c>
      <c r="AO146">
        <v>0.73499999999999999</v>
      </c>
      <c r="AQ146">
        <v>0.7</v>
      </c>
      <c r="AR146">
        <v>0.7</v>
      </c>
      <c r="AT146">
        <v>1.3</v>
      </c>
      <c r="AU146">
        <v>0.7</v>
      </c>
      <c r="AV146">
        <v>5.0000000000000001E-3</v>
      </c>
      <c r="AW146">
        <v>1.1200000000000001</v>
      </c>
      <c r="AX146">
        <v>1.1200000000000001</v>
      </c>
      <c r="AZ146">
        <v>0.70499999999999996</v>
      </c>
      <c r="BA146">
        <v>0.70499999999999996</v>
      </c>
      <c r="BC146">
        <v>0.76</v>
      </c>
      <c r="BD146">
        <v>0.76</v>
      </c>
      <c r="BF146">
        <v>0.73499999999999999</v>
      </c>
      <c r="BG146">
        <v>0.73499999999999999</v>
      </c>
      <c r="BI146">
        <v>0.77500000000000002</v>
      </c>
      <c r="BJ146">
        <v>0.77500000000000002</v>
      </c>
      <c r="BL146">
        <v>0.77500000000000002</v>
      </c>
      <c r="BM146">
        <v>0.77500000000000002</v>
      </c>
      <c r="BO146">
        <v>0.81</v>
      </c>
      <c r="BP146">
        <v>0.81</v>
      </c>
      <c r="BR146">
        <v>0.72</v>
      </c>
      <c r="BS146">
        <v>0.72</v>
      </c>
      <c r="BU146">
        <v>0.8</v>
      </c>
      <c r="BV146">
        <v>0.8</v>
      </c>
      <c r="BX146">
        <v>0.8</v>
      </c>
      <c r="BY146">
        <v>0.8</v>
      </c>
      <c r="CA146">
        <v>1.32</v>
      </c>
      <c r="CB146">
        <v>1.32</v>
      </c>
      <c r="CD146" s="11">
        <v>1.06</v>
      </c>
      <c r="CE146" s="11">
        <v>1.06</v>
      </c>
      <c r="CF146" s="11"/>
      <c r="CG146" s="11">
        <v>0.76500000000000001</v>
      </c>
      <c r="CH146" s="11">
        <v>0.76500000000000001</v>
      </c>
      <c r="CI146" s="11"/>
      <c r="CJ146" s="11">
        <v>0.76500000000000001</v>
      </c>
      <c r="CK146" s="11">
        <v>0.76500000000000001</v>
      </c>
      <c r="CL146" s="11"/>
      <c r="CM146" s="11">
        <v>1.06</v>
      </c>
      <c r="CN146" s="11">
        <v>1.06</v>
      </c>
      <c r="CO146" s="11"/>
      <c r="CP146" s="11">
        <v>1.06</v>
      </c>
      <c r="CQ146" s="11">
        <v>1.06</v>
      </c>
      <c r="CR146" s="11"/>
      <c r="CS146" s="11">
        <v>0.76500000000000001</v>
      </c>
      <c r="CT146" s="11">
        <v>0.76500000000000001</v>
      </c>
      <c r="CU146" s="11"/>
      <c r="CV146" s="11">
        <v>1.06</v>
      </c>
      <c r="CW146" s="11">
        <v>1.06</v>
      </c>
      <c r="CX146" s="11"/>
      <c r="CY146" s="11">
        <v>0.76500000000000001</v>
      </c>
      <c r="CZ146" s="11">
        <v>0.76500000000000001</v>
      </c>
      <c r="DA146" s="11"/>
      <c r="DB146" s="11">
        <v>1.06</v>
      </c>
      <c r="DC146" s="11">
        <v>1.06</v>
      </c>
      <c r="DD146" s="11"/>
      <c r="DE146" s="11">
        <v>0.70499999999999996</v>
      </c>
      <c r="DF146" s="11">
        <v>0.70499999999999996</v>
      </c>
      <c r="DH146" t="s">
        <v>80</v>
      </c>
      <c r="DI146">
        <v>1.02</v>
      </c>
      <c r="DJ146">
        <v>1.085</v>
      </c>
      <c r="DM146">
        <v>0</v>
      </c>
      <c r="DN146">
        <v>0</v>
      </c>
      <c r="DO146">
        <v>0</v>
      </c>
      <c r="DP146" t="s">
        <v>258</v>
      </c>
      <c r="DQ146" t="s">
        <v>274</v>
      </c>
      <c r="DR146" t="s">
        <v>274</v>
      </c>
    </row>
    <row r="147" spans="1:122" x14ac:dyDescent="0.2">
      <c r="A147" t="s">
        <v>67</v>
      </c>
      <c r="B147" s="16"/>
      <c r="E147" t="s">
        <v>84</v>
      </c>
      <c r="F147" t="s">
        <v>68</v>
      </c>
      <c r="G147" t="s">
        <v>68</v>
      </c>
      <c r="H147" t="s">
        <v>88</v>
      </c>
      <c r="I147" t="s">
        <v>471</v>
      </c>
      <c r="J147" t="s">
        <v>469</v>
      </c>
      <c r="K147" t="s">
        <v>71</v>
      </c>
      <c r="L147" t="s">
        <v>73</v>
      </c>
      <c r="M147" t="s">
        <v>73</v>
      </c>
      <c r="N147" s="7" t="s">
        <v>496</v>
      </c>
      <c r="O147" t="s">
        <v>96</v>
      </c>
      <c r="P147" t="str">
        <f t="shared" si="45"/>
        <v>DFTL_GPU_GPU_MGX00E_GPUPDF_GT30GOVD_PLLP_X_X_FSTP10_SelsrmSSSS_</v>
      </c>
      <c r="S147">
        <v>1.085</v>
      </c>
      <c r="T147">
        <v>1.0199</v>
      </c>
      <c r="U147" t="s">
        <v>74</v>
      </c>
      <c r="V147" t="s">
        <v>230</v>
      </c>
      <c r="Y147" t="s">
        <v>231</v>
      </c>
      <c r="Z147" t="s">
        <v>232</v>
      </c>
      <c r="AA147" t="s">
        <v>233</v>
      </c>
      <c r="AB147" t="s">
        <v>237</v>
      </c>
      <c r="AC147" t="s">
        <v>495</v>
      </c>
      <c r="AF147" t="s">
        <v>470</v>
      </c>
      <c r="AM147" t="s">
        <v>290</v>
      </c>
      <c r="AN147">
        <v>0.73499999999999999</v>
      </c>
      <c r="AO147">
        <v>0.73499999999999999</v>
      </c>
      <c r="AQ147">
        <v>0.7</v>
      </c>
      <c r="AR147">
        <v>0.7</v>
      </c>
      <c r="AT147">
        <v>1.25</v>
      </c>
      <c r="AU147">
        <v>0.7</v>
      </c>
      <c r="AV147">
        <v>5.0000000000000001E-3</v>
      </c>
      <c r="AW147">
        <v>1.1200000000000001</v>
      </c>
      <c r="AX147">
        <v>1.1200000000000001</v>
      </c>
      <c r="AZ147">
        <v>0.70499999999999996</v>
      </c>
      <c r="BA147">
        <v>0.70499999999999996</v>
      </c>
      <c r="BC147">
        <v>0.76</v>
      </c>
      <c r="BD147">
        <v>0.76</v>
      </c>
      <c r="BF147">
        <v>0.73499999999999999</v>
      </c>
      <c r="BG147">
        <v>0.73499999999999999</v>
      </c>
      <c r="BI147">
        <v>0.77500000000000002</v>
      </c>
      <c r="BJ147">
        <v>0.77500000000000002</v>
      </c>
      <c r="BL147">
        <v>0.77500000000000002</v>
      </c>
      <c r="BM147">
        <v>0.77500000000000002</v>
      </c>
      <c r="BO147">
        <v>0.81</v>
      </c>
      <c r="BP147">
        <v>0.81</v>
      </c>
      <c r="BR147">
        <v>0.72</v>
      </c>
      <c r="BS147">
        <v>0.72</v>
      </c>
      <c r="BU147">
        <v>0.8</v>
      </c>
      <c r="BV147">
        <v>0.8</v>
      </c>
      <c r="BX147">
        <v>0.8</v>
      </c>
      <c r="BY147">
        <v>0.8</v>
      </c>
      <c r="CA147">
        <v>1.32</v>
      </c>
      <c r="CB147">
        <v>1.32</v>
      </c>
      <c r="CD147" s="11">
        <v>1.06</v>
      </c>
      <c r="CE147" s="11">
        <v>1.06</v>
      </c>
      <c r="CF147" s="11"/>
      <c r="CG147" s="11">
        <v>0.76500000000000001</v>
      </c>
      <c r="CH147" s="11">
        <v>0.76500000000000001</v>
      </c>
      <c r="CI147" s="11"/>
      <c r="CJ147" s="11">
        <v>0.76500000000000001</v>
      </c>
      <c r="CK147" s="11">
        <v>0.76500000000000001</v>
      </c>
      <c r="CL147" s="11"/>
      <c r="CM147" s="11">
        <v>1.06</v>
      </c>
      <c r="CN147" s="11">
        <v>1.06</v>
      </c>
      <c r="CO147" s="11"/>
      <c r="CP147" s="11">
        <v>1.06</v>
      </c>
      <c r="CQ147" s="11">
        <v>1.06</v>
      </c>
      <c r="CR147" s="11"/>
      <c r="CS147" s="11">
        <v>0.76500000000000001</v>
      </c>
      <c r="CT147" s="11">
        <v>0.76500000000000001</v>
      </c>
      <c r="CU147" s="11"/>
      <c r="CV147" s="11">
        <v>1.06</v>
      </c>
      <c r="CW147" s="11">
        <v>1.06</v>
      </c>
      <c r="CX147" s="11"/>
      <c r="CY147" s="11">
        <v>0.76500000000000001</v>
      </c>
      <c r="CZ147" s="11">
        <v>0.76500000000000001</v>
      </c>
      <c r="DA147" s="11"/>
      <c r="DB147" s="11">
        <v>1.06</v>
      </c>
      <c r="DC147" s="11">
        <v>1.06</v>
      </c>
      <c r="DD147" s="11"/>
      <c r="DE147" s="11">
        <v>0.70499999999999996</v>
      </c>
      <c r="DF147" s="11">
        <v>0.70499999999999996</v>
      </c>
      <c r="DH147" t="s">
        <v>80</v>
      </c>
      <c r="DI147">
        <v>1.02</v>
      </c>
      <c r="DJ147">
        <v>1.085</v>
      </c>
      <c r="DM147">
        <v>0</v>
      </c>
      <c r="DN147">
        <v>0</v>
      </c>
      <c r="DO147">
        <v>0</v>
      </c>
      <c r="DP147" t="s">
        <v>258</v>
      </c>
      <c r="DQ147" t="s">
        <v>274</v>
      </c>
      <c r="DR147" t="s">
        <v>274</v>
      </c>
    </row>
    <row r="148" spans="1:122" x14ac:dyDescent="0.2">
      <c r="A148" t="s">
        <v>67</v>
      </c>
      <c r="E148" t="s">
        <v>84</v>
      </c>
      <c r="F148" t="s">
        <v>99</v>
      </c>
      <c r="G148" t="s">
        <v>100</v>
      </c>
      <c r="H148" t="s">
        <v>455</v>
      </c>
      <c r="I148" t="s">
        <v>472</v>
      </c>
      <c r="J148" t="s">
        <v>477</v>
      </c>
      <c r="K148" t="s">
        <v>223</v>
      </c>
      <c r="L148" t="s">
        <v>259</v>
      </c>
      <c r="M148" t="s">
        <v>478</v>
      </c>
      <c r="N148" t="s">
        <v>73</v>
      </c>
      <c r="O148" t="s">
        <v>96</v>
      </c>
      <c r="P148" t="str">
        <f t="shared" ref="P148:P151" si="46">E148&amp;"_"&amp;F148&amp;"_"&amp;G148&amp;"_"&amp;H148&amp;"_"&amp;I148&amp;"_"&amp;J148&amp;"_"&amp;K148&amp;"_"&amp;L148&amp;"_"&amp;M148&amp;"_"&amp;N148&amp;"_"&amp;O148&amp;"_"</f>
        <v>DFTL_CPU_PCPU_MPX00L_CPUPDF_H0PX_PL00_1PC0_RC40_X_SelsrmSSSS_</v>
      </c>
      <c r="S148">
        <v>1.2</v>
      </c>
      <c r="T148">
        <v>1.1279999999999999</v>
      </c>
      <c r="U148" t="s">
        <v>74</v>
      </c>
      <c r="V148" s="17" t="s">
        <v>210</v>
      </c>
      <c r="W148" s="17" t="s">
        <v>473</v>
      </c>
      <c r="X148" s="17" t="s">
        <v>456</v>
      </c>
      <c r="AF148" s="17" t="s">
        <v>474</v>
      </c>
      <c r="AM148" t="s">
        <v>166</v>
      </c>
      <c r="AN148">
        <v>1.3</v>
      </c>
      <c r="AO148">
        <v>0.7</v>
      </c>
      <c r="AP148">
        <v>5.0000000000000001E-3</v>
      </c>
      <c r="AQ148">
        <v>0.71499999999999997</v>
      </c>
      <c r="AR148">
        <v>0.71499999999999997</v>
      </c>
      <c r="AT148">
        <v>0.745</v>
      </c>
      <c r="AU148">
        <v>0.745</v>
      </c>
      <c r="AW148">
        <v>1</v>
      </c>
      <c r="AX148">
        <v>1</v>
      </c>
      <c r="AZ148">
        <v>0.70499999999999996</v>
      </c>
      <c r="BA148">
        <v>0.70499999999999996</v>
      </c>
      <c r="BC148">
        <v>0.76</v>
      </c>
      <c r="BD148">
        <v>0.76</v>
      </c>
      <c r="BF148">
        <v>1.2</v>
      </c>
      <c r="BG148">
        <v>1.2</v>
      </c>
      <c r="BI148">
        <v>0.77500000000000002</v>
      </c>
      <c r="BJ148">
        <v>0.77500000000000002</v>
      </c>
      <c r="BL148">
        <v>0.77500000000000002</v>
      </c>
      <c r="BM148">
        <v>0.77500000000000002</v>
      </c>
      <c r="BO148">
        <v>0.84</v>
      </c>
      <c r="BP148">
        <v>0.84</v>
      </c>
      <c r="BR148">
        <v>0.8</v>
      </c>
      <c r="BS148">
        <v>0.8</v>
      </c>
      <c r="BU148">
        <v>0.88500000000000001</v>
      </c>
      <c r="BV148">
        <v>0.88500000000000001</v>
      </c>
      <c r="BX148">
        <v>0.8</v>
      </c>
      <c r="BY148">
        <v>0.8</v>
      </c>
      <c r="CA148">
        <v>1.32</v>
      </c>
      <c r="CB148">
        <v>1.32</v>
      </c>
      <c r="CD148">
        <v>1.06</v>
      </c>
      <c r="CE148">
        <v>1.06</v>
      </c>
      <c r="CG148">
        <v>0.76500000000000001</v>
      </c>
      <c r="CH148">
        <v>0.76500000000000001</v>
      </c>
      <c r="CJ148">
        <v>0.76500000000000001</v>
      </c>
      <c r="CK148">
        <v>0.76500000000000001</v>
      </c>
      <c r="CM148">
        <v>1.06</v>
      </c>
      <c r="CN148">
        <v>1.06</v>
      </c>
      <c r="CP148">
        <v>1.06</v>
      </c>
      <c r="CQ148">
        <v>1.06</v>
      </c>
      <c r="CS148">
        <v>0.76500000000000001</v>
      </c>
      <c r="CT148">
        <v>0.76500000000000001</v>
      </c>
      <c r="CV148">
        <v>1.06</v>
      </c>
      <c r="CW148">
        <v>1.06</v>
      </c>
      <c r="CY148">
        <v>0.76500000000000001</v>
      </c>
      <c r="CZ148">
        <v>0.76500000000000001</v>
      </c>
      <c r="DB148">
        <v>1.06</v>
      </c>
      <c r="DC148">
        <v>1.06</v>
      </c>
      <c r="DE148">
        <v>0.70499999999999996</v>
      </c>
      <c r="DF148">
        <v>0.70499999999999996</v>
      </c>
      <c r="DH148" t="s">
        <v>80</v>
      </c>
      <c r="DI148">
        <v>1.1279999999999999</v>
      </c>
      <c r="DJ148">
        <v>1.2</v>
      </c>
      <c r="DM148">
        <v>0</v>
      </c>
      <c r="DN148">
        <v>0</v>
      </c>
      <c r="DO148">
        <v>0</v>
      </c>
      <c r="DP148" t="s">
        <v>258</v>
      </c>
      <c r="DQ148" t="s">
        <v>274</v>
      </c>
      <c r="DR148" t="s">
        <v>274</v>
      </c>
    </row>
    <row r="149" spans="1:122" x14ac:dyDescent="0.2">
      <c r="A149" t="s">
        <v>67</v>
      </c>
      <c r="E149" t="s">
        <v>84</v>
      </c>
      <c r="F149" t="s">
        <v>99</v>
      </c>
      <c r="G149" t="s">
        <v>100</v>
      </c>
      <c r="H149" t="s">
        <v>455</v>
      </c>
      <c r="I149" t="s">
        <v>472</v>
      </c>
      <c r="J149" t="s">
        <v>477</v>
      </c>
      <c r="K149" t="s">
        <v>223</v>
      </c>
      <c r="L149" t="s">
        <v>260</v>
      </c>
      <c r="M149" t="s">
        <v>478</v>
      </c>
      <c r="N149" t="s">
        <v>73</v>
      </c>
      <c r="O149" t="s">
        <v>96</v>
      </c>
      <c r="P149" t="str">
        <f t="shared" si="46"/>
        <v>DFTL_CPU_PCPU_MPX00L_CPUPDF_H0PX_PL00_1PC1_RC40_X_SelsrmSSSS_</v>
      </c>
      <c r="S149">
        <v>1.2</v>
      </c>
      <c r="T149">
        <v>1.1279999999999999</v>
      </c>
      <c r="U149" t="s">
        <v>74</v>
      </c>
      <c r="V149" s="17" t="s">
        <v>210</v>
      </c>
      <c r="W149" s="17" t="s">
        <v>475</v>
      </c>
      <c r="X149" s="17" t="s">
        <v>456</v>
      </c>
      <c r="AF149" s="17" t="s">
        <v>474</v>
      </c>
      <c r="AM149" t="s">
        <v>166</v>
      </c>
      <c r="AN149">
        <v>1.3</v>
      </c>
      <c r="AO149">
        <v>0.7</v>
      </c>
      <c r="AP149">
        <v>5.0000000000000001E-3</v>
      </c>
      <c r="AQ149">
        <v>0.71499999999999997</v>
      </c>
      <c r="AR149">
        <v>0.71499999999999997</v>
      </c>
      <c r="AT149">
        <v>0.745</v>
      </c>
      <c r="AU149">
        <v>0.745</v>
      </c>
      <c r="AW149">
        <v>1</v>
      </c>
      <c r="AX149">
        <v>1</v>
      </c>
      <c r="AZ149">
        <v>0.70499999999999996</v>
      </c>
      <c r="BA149">
        <v>0.70499999999999996</v>
      </c>
      <c r="BC149">
        <v>0.76</v>
      </c>
      <c r="BD149">
        <v>0.76</v>
      </c>
      <c r="BF149">
        <v>1.2</v>
      </c>
      <c r="BG149">
        <v>1.2</v>
      </c>
      <c r="BI149">
        <v>0.77500000000000002</v>
      </c>
      <c r="BJ149">
        <v>0.77500000000000002</v>
      </c>
      <c r="BL149">
        <v>0.77500000000000002</v>
      </c>
      <c r="BM149">
        <v>0.77500000000000002</v>
      </c>
      <c r="BO149">
        <v>0.84</v>
      </c>
      <c r="BP149">
        <v>0.84</v>
      </c>
      <c r="BR149">
        <v>0.8</v>
      </c>
      <c r="BS149">
        <v>0.8</v>
      </c>
      <c r="BU149">
        <v>0.88500000000000001</v>
      </c>
      <c r="BV149">
        <v>0.88500000000000001</v>
      </c>
      <c r="BX149">
        <v>0.8</v>
      </c>
      <c r="BY149">
        <v>0.8</v>
      </c>
      <c r="CA149">
        <v>1.32</v>
      </c>
      <c r="CB149">
        <v>1.32</v>
      </c>
      <c r="CD149">
        <v>1.06</v>
      </c>
      <c r="CE149">
        <v>1.06</v>
      </c>
      <c r="CG149">
        <v>0.76500000000000001</v>
      </c>
      <c r="CH149">
        <v>0.76500000000000001</v>
      </c>
      <c r="CJ149">
        <v>0.76500000000000001</v>
      </c>
      <c r="CK149">
        <v>0.76500000000000001</v>
      </c>
      <c r="CM149">
        <v>1.06</v>
      </c>
      <c r="CN149">
        <v>1.06</v>
      </c>
      <c r="CP149">
        <v>1.06</v>
      </c>
      <c r="CQ149">
        <v>1.06</v>
      </c>
      <c r="CS149">
        <v>0.76500000000000001</v>
      </c>
      <c r="CT149">
        <v>0.76500000000000001</v>
      </c>
      <c r="CV149">
        <v>1.06</v>
      </c>
      <c r="CW149">
        <v>1.06</v>
      </c>
      <c r="CY149">
        <v>0.76500000000000001</v>
      </c>
      <c r="CZ149">
        <v>0.76500000000000001</v>
      </c>
      <c r="DB149">
        <v>1.06</v>
      </c>
      <c r="DC149">
        <v>1.06</v>
      </c>
      <c r="DE149">
        <v>0.70499999999999996</v>
      </c>
      <c r="DF149">
        <v>0.70499999999999996</v>
      </c>
      <c r="DH149" t="s">
        <v>80</v>
      </c>
      <c r="DI149">
        <v>1.1279999999999999</v>
      </c>
      <c r="DJ149">
        <v>1.2</v>
      </c>
      <c r="DM149">
        <v>0</v>
      </c>
      <c r="DN149">
        <v>0</v>
      </c>
      <c r="DO149">
        <v>0</v>
      </c>
      <c r="DP149" t="s">
        <v>258</v>
      </c>
      <c r="DQ149" t="s">
        <v>274</v>
      </c>
      <c r="DR149" t="s">
        <v>274</v>
      </c>
    </row>
    <row r="150" spans="1:122" x14ac:dyDescent="0.2">
      <c r="A150" t="s">
        <v>67</v>
      </c>
      <c r="E150" t="s">
        <v>84</v>
      </c>
      <c r="F150" t="s">
        <v>99</v>
      </c>
      <c r="G150" t="s">
        <v>100</v>
      </c>
      <c r="H150" t="s">
        <v>455</v>
      </c>
      <c r="I150" t="s">
        <v>472</v>
      </c>
      <c r="J150" t="s">
        <v>477</v>
      </c>
      <c r="K150" t="s">
        <v>223</v>
      </c>
      <c r="L150" t="s">
        <v>259</v>
      </c>
      <c r="M150" t="s">
        <v>479</v>
      </c>
      <c r="N150" t="s">
        <v>73</v>
      </c>
      <c r="O150" t="s">
        <v>96</v>
      </c>
      <c r="P150" t="str">
        <f t="shared" si="46"/>
        <v>DFTL_CPU_PCPU_MPX00L_CPUPDF_H0PX_PL00_1PC0_Gdelay70_X_SelsrmSSSS_</v>
      </c>
      <c r="S150">
        <v>1.2</v>
      </c>
      <c r="T150">
        <v>1.1279999999999999</v>
      </c>
      <c r="U150" t="s">
        <v>74</v>
      </c>
      <c r="V150" s="17" t="s">
        <v>210</v>
      </c>
      <c r="W150" s="17" t="s">
        <v>473</v>
      </c>
      <c r="X150" s="17" t="s">
        <v>456</v>
      </c>
      <c r="AF150" s="17" t="s">
        <v>476</v>
      </c>
      <c r="AM150" t="s">
        <v>166</v>
      </c>
      <c r="AN150">
        <v>1.3</v>
      </c>
      <c r="AO150">
        <v>0.7</v>
      </c>
      <c r="AP150">
        <v>5.0000000000000001E-3</v>
      </c>
      <c r="AQ150">
        <v>0.71499999999999997</v>
      </c>
      <c r="AR150">
        <v>0.71499999999999997</v>
      </c>
      <c r="AT150">
        <v>0.745</v>
      </c>
      <c r="AU150">
        <v>0.745</v>
      </c>
      <c r="AW150">
        <v>1</v>
      </c>
      <c r="AX150">
        <v>1</v>
      </c>
      <c r="AZ150">
        <v>0.70499999999999996</v>
      </c>
      <c r="BA150">
        <v>0.70499999999999996</v>
      </c>
      <c r="BC150">
        <v>0.76</v>
      </c>
      <c r="BD150">
        <v>0.76</v>
      </c>
      <c r="BF150">
        <v>1.2</v>
      </c>
      <c r="BG150">
        <v>1.2</v>
      </c>
      <c r="BI150">
        <v>0.77500000000000002</v>
      </c>
      <c r="BJ150">
        <v>0.77500000000000002</v>
      </c>
      <c r="BL150">
        <v>0.77500000000000002</v>
      </c>
      <c r="BM150">
        <v>0.77500000000000002</v>
      </c>
      <c r="BO150">
        <v>0.84</v>
      </c>
      <c r="BP150">
        <v>0.84</v>
      </c>
      <c r="BR150">
        <v>0.8</v>
      </c>
      <c r="BS150">
        <v>0.8</v>
      </c>
      <c r="BU150">
        <v>0.88500000000000001</v>
      </c>
      <c r="BV150">
        <v>0.88500000000000001</v>
      </c>
      <c r="BX150">
        <v>0.8</v>
      </c>
      <c r="BY150">
        <v>0.8</v>
      </c>
      <c r="CA150">
        <v>1.32</v>
      </c>
      <c r="CB150">
        <v>1.32</v>
      </c>
      <c r="CD150">
        <v>1.06</v>
      </c>
      <c r="CE150">
        <v>1.06</v>
      </c>
      <c r="CG150">
        <v>0.76500000000000001</v>
      </c>
      <c r="CH150">
        <v>0.76500000000000001</v>
      </c>
      <c r="CJ150">
        <v>0.76500000000000001</v>
      </c>
      <c r="CK150">
        <v>0.76500000000000001</v>
      </c>
      <c r="CM150">
        <v>1.06</v>
      </c>
      <c r="CN150">
        <v>1.06</v>
      </c>
      <c r="CP150">
        <v>1.06</v>
      </c>
      <c r="CQ150">
        <v>1.06</v>
      </c>
      <c r="CS150">
        <v>0.76500000000000001</v>
      </c>
      <c r="CT150">
        <v>0.76500000000000001</v>
      </c>
      <c r="CV150">
        <v>1.06</v>
      </c>
      <c r="CW150">
        <v>1.06</v>
      </c>
      <c r="CY150">
        <v>0.76500000000000001</v>
      </c>
      <c r="CZ150">
        <v>0.76500000000000001</v>
      </c>
      <c r="DB150">
        <v>1.06</v>
      </c>
      <c r="DC150">
        <v>1.06</v>
      </c>
      <c r="DE150">
        <v>0.70499999999999996</v>
      </c>
      <c r="DF150">
        <v>0.70499999999999996</v>
      </c>
      <c r="DH150" t="s">
        <v>80</v>
      </c>
      <c r="DI150">
        <v>1.1279999999999999</v>
      </c>
      <c r="DJ150">
        <v>1.2</v>
      </c>
      <c r="DM150">
        <v>0</v>
      </c>
      <c r="DN150">
        <v>0</v>
      </c>
      <c r="DO150">
        <v>0</v>
      </c>
      <c r="DP150" t="s">
        <v>258</v>
      </c>
      <c r="DQ150" t="s">
        <v>274</v>
      </c>
      <c r="DR150" t="s">
        <v>274</v>
      </c>
    </row>
    <row r="151" spans="1:122" x14ac:dyDescent="0.2">
      <c r="A151" t="s">
        <v>67</v>
      </c>
      <c r="E151" t="s">
        <v>84</v>
      </c>
      <c r="F151" t="s">
        <v>99</v>
      </c>
      <c r="G151" t="s">
        <v>100</v>
      </c>
      <c r="H151" t="s">
        <v>455</v>
      </c>
      <c r="I151" t="s">
        <v>472</v>
      </c>
      <c r="J151" t="s">
        <v>477</v>
      </c>
      <c r="K151" t="s">
        <v>223</v>
      </c>
      <c r="L151" t="s">
        <v>260</v>
      </c>
      <c r="M151" t="s">
        <v>479</v>
      </c>
      <c r="N151" t="s">
        <v>73</v>
      </c>
      <c r="O151" t="s">
        <v>96</v>
      </c>
      <c r="P151" t="str">
        <f t="shared" si="46"/>
        <v>DFTL_CPU_PCPU_MPX00L_CPUPDF_H0PX_PL00_1PC1_Gdelay70_X_SelsrmSSSS_</v>
      </c>
      <c r="S151">
        <v>1.2</v>
      </c>
      <c r="T151">
        <v>1.1279999999999999</v>
      </c>
      <c r="U151" t="s">
        <v>74</v>
      </c>
      <c r="V151" s="17" t="s">
        <v>210</v>
      </c>
      <c r="W151" s="17" t="s">
        <v>475</v>
      </c>
      <c r="X151" s="17" t="s">
        <v>456</v>
      </c>
      <c r="AF151" s="17" t="s">
        <v>476</v>
      </c>
      <c r="AM151" t="s">
        <v>166</v>
      </c>
      <c r="AN151">
        <v>1.3</v>
      </c>
      <c r="AO151">
        <v>0.7</v>
      </c>
      <c r="AP151">
        <v>5.0000000000000001E-3</v>
      </c>
      <c r="AQ151">
        <v>0.71499999999999997</v>
      </c>
      <c r="AR151">
        <v>0.71499999999999997</v>
      </c>
      <c r="AT151">
        <v>0.745</v>
      </c>
      <c r="AU151">
        <v>0.745</v>
      </c>
      <c r="AW151">
        <v>1</v>
      </c>
      <c r="AX151">
        <v>1</v>
      </c>
      <c r="AZ151">
        <v>0.70499999999999996</v>
      </c>
      <c r="BA151">
        <v>0.70499999999999996</v>
      </c>
      <c r="BC151">
        <v>0.76</v>
      </c>
      <c r="BD151">
        <v>0.76</v>
      </c>
      <c r="BF151">
        <v>1.2</v>
      </c>
      <c r="BG151">
        <v>1.2</v>
      </c>
      <c r="BI151">
        <v>0.77500000000000002</v>
      </c>
      <c r="BJ151">
        <v>0.77500000000000002</v>
      </c>
      <c r="BL151">
        <v>0.77500000000000002</v>
      </c>
      <c r="BM151">
        <v>0.77500000000000002</v>
      </c>
      <c r="BO151">
        <v>0.84</v>
      </c>
      <c r="BP151">
        <v>0.84</v>
      </c>
      <c r="BR151">
        <v>0.8</v>
      </c>
      <c r="BS151">
        <v>0.8</v>
      </c>
      <c r="BU151">
        <v>0.88500000000000001</v>
      </c>
      <c r="BV151">
        <v>0.88500000000000001</v>
      </c>
      <c r="BX151">
        <v>0.8</v>
      </c>
      <c r="BY151">
        <v>0.8</v>
      </c>
      <c r="CA151">
        <v>1.32</v>
      </c>
      <c r="CB151">
        <v>1.32</v>
      </c>
      <c r="CD151">
        <v>1.06</v>
      </c>
      <c r="CE151">
        <v>1.06</v>
      </c>
      <c r="CG151">
        <v>0.76500000000000001</v>
      </c>
      <c r="CH151">
        <v>0.76500000000000001</v>
      </c>
      <c r="CJ151">
        <v>0.76500000000000001</v>
      </c>
      <c r="CK151">
        <v>0.76500000000000001</v>
      </c>
      <c r="CM151">
        <v>1.06</v>
      </c>
      <c r="CN151">
        <v>1.06</v>
      </c>
      <c r="CP151">
        <v>1.06</v>
      </c>
      <c r="CQ151">
        <v>1.06</v>
      </c>
      <c r="CS151">
        <v>0.76500000000000001</v>
      </c>
      <c r="CT151">
        <v>0.76500000000000001</v>
      </c>
      <c r="CV151">
        <v>1.06</v>
      </c>
      <c r="CW151">
        <v>1.06</v>
      </c>
      <c r="CY151">
        <v>0.76500000000000001</v>
      </c>
      <c r="CZ151">
        <v>0.76500000000000001</v>
      </c>
      <c r="DB151">
        <v>1.06</v>
      </c>
      <c r="DC151">
        <v>1.06</v>
      </c>
      <c r="DE151">
        <v>0.70499999999999996</v>
      </c>
      <c r="DF151">
        <v>0.70499999999999996</v>
      </c>
      <c r="DH151" t="s">
        <v>80</v>
      </c>
      <c r="DI151">
        <v>1.1279999999999999</v>
      </c>
      <c r="DJ151">
        <v>1.2</v>
      </c>
      <c r="DM151">
        <v>0</v>
      </c>
      <c r="DN151">
        <v>0</v>
      </c>
      <c r="DO151">
        <v>0</v>
      </c>
      <c r="DP151" t="s">
        <v>258</v>
      </c>
      <c r="DQ151" t="s">
        <v>274</v>
      </c>
      <c r="DR151" t="s">
        <v>274</v>
      </c>
    </row>
    <row r="152" spans="1:122" x14ac:dyDescent="0.2">
      <c r="A152" t="s">
        <v>67</v>
      </c>
      <c r="E152" t="s">
        <v>84</v>
      </c>
      <c r="F152" t="s">
        <v>99</v>
      </c>
      <c r="G152" t="s">
        <v>100</v>
      </c>
      <c r="H152" t="s">
        <v>485</v>
      </c>
      <c r="I152" t="s">
        <v>472</v>
      </c>
      <c r="J152" t="s">
        <v>477</v>
      </c>
      <c r="K152" t="s">
        <v>223</v>
      </c>
      <c r="L152" t="s">
        <v>259</v>
      </c>
      <c r="M152" t="s">
        <v>478</v>
      </c>
      <c r="N152" t="s">
        <v>73</v>
      </c>
      <c r="O152" t="s">
        <v>96</v>
      </c>
      <c r="P152" t="str">
        <f t="shared" ref="P152:P157" si="47">E152&amp;"_"&amp;F152&amp;"_"&amp;G152&amp;"_"&amp;H152&amp;"_"&amp;I152&amp;"_"&amp;J152&amp;"_"&amp;K152&amp;"_"&amp;L152&amp;"_"&amp;M152&amp;"_"&amp;N152&amp;"_"&amp;O152&amp;"_"</f>
        <v>DFTL_CPU_PCPU_MPX00G_CPUPDF_H0PX_PL00_1PC0_RC40_X_SelsrmSSSS_</v>
      </c>
      <c r="S152">
        <v>0.73499999999999999</v>
      </c>
      <c r="T152">
        <v>0.69089999999999996</v>
      </c>
      <c r="U152" t="s">
        <v>74</v>
      </c>
      <c r="V152" s="17" t="s">
        <v>210</v>
      </c>
      <c r="W152" s="17" t="s">
        <v>473</v>
      </c>
      <c r="X152" s="17" t="s">
        <v>486</v>
      </c>
      <c r="AF152" s="17" t="s">
        <v>474</v>
      </c>
      <c r="AM152" t="s">
        <v>166</v>
      </c>
      <c r="AN152">
        <v>1.3</v>
      </c>
      <c r="AO152">
        <v>0.7</v>
      </c>
      <c r="AP152">
        <v>5.0000000000000001E-3</v>
      </c>
      <c r="AQ152">
        <v>0.71499999999999997</v>
      </c>
      <c r="AR152">
        <v>0.71499999999999997</v>
      </c>
      <c r="AT152">
        <v>0.745</v>
      </c>
      <c r="AU152">
        <v>0.745</v>
      </c>
      <c r="AW152">
        <v>1</v>
      </c>
      <c r="AX152">
        <v>1</v>
      </c>
      <c r="AZ152">
        <v>0.70499999999999996</v>
      </c>
      <c r="BA152">
        <v>0.70499999999999996</v>
      </c>
      <c r="BC152">
        <v>0.76</v>
      </c>
      <c r="BD152">
        <v>0.76</v>
      </c>
      <c r="BF152">
        <v>0.73499999999999999</v>
      </c>
      <c r="BG152">
        <v>0.73499999999999999</v>
      </c>
      <c r="BI152">
        <v>0.77500000000000002</v>
      </c>
      <c r="BJ152">
        <v>0.77500000000000002</v>
      </c>
      <c r="BL152">
        <v>0.77500000000000002</v>
      </c>
      <c r="BM152">
        <v>0.77500000000000002</v>
      </c>
      <c r="BO152">
        <v>0.84</v>
      </c>
      <c r="BP152">
        <v>0.84</v>
      </c>
      <c r="BR152">
        <v>0.8</v>
      </c>
      <c r="BS152">
        <v>0.8</v>
      </c>
      <c r="BU152">
        <v>0.88500000000000001</v>
      </c>
      <c r="BV152">
        <v>0.88500000000000001</v>
      </c>
      <c r="BX152">
        <v>0.8</v>
      </c>
      <c r="BY152">
        <v>0.8</v>
      </c>
      <c r="CA152">
        <v>1.32</v>
      </c>
      <c r="CB152">
        <v>1.32</v>
      </c>
      <c r="CD152">
        <v>1.06</v>
      </c>
      <c r="CE152">
        <v>1.06</v>
      </c>
      <c r="CG152">
        <v>0.76500000000000001</v>
      </c>
      <c r="CH152">
        <v>0.76500000000000001</v>
      </c>
      <c r="CJ152">
        <v>0.76500000000000001</v>
      </c>
      <c r="CK152">
        <v>0.76500000000000001</v>
      </c>
      <c r="CM152">
        <v>1.06</v>
      </c>
      <c r="CN152">
        <v>1.06</v>
      </c>
      <c r="CP152">
        <v>1.06</v>
      </c>
      <c r="CQ152">
        <v>1.06</v>
      </c>
      <c r="CS152">
        <v>0.76500000000000001</v>
      </c>
      <c r="CT152">
        <v>0.76500000000000001</v>
      </c>
      <c r="CV152">
        <v>1.06</v>
      </c>
      <c r="CW152">
        <v>1.06</v>
      </c>
      <c r="CY152">
        <v>0.76500000000000001</v>
      </c>
      <c r="CZ152">
        <v>0.76500000000000001</v>
      </c>
      <c r="DB152">
        <v>1.06</v>
      </c>
      <c r="DC152">
        <v>1.06</v>
      </c>
      <c r="DE152">
        <v>0.70499999999999996</v>
      </c>
      <c r="DF152">
        <v>0.70499999999999996</v>
      </c>
      <c r="DH152" t="s">
        <v>80</v>
      </c>
      <c r="DI152">
        <v>0.69099999999999995</v>
      </c>
      <c r="DJ152">
        <v>0.73499999999999999</v>
      </c>
      <c r="DM152">
        <v>0</v>
      </c>
      <c r="DN152">
        <v>0</v>
      </c>
      <c r="DO152">
        <v>0</v>
      </c>
      <c r="DP152" t="s">
        <v>258</v>
      </c>
      <c r="DQ152" t="s">
        <v>274</v>
      </c>
      <c r="DR152" t="s">
        <v>274</v>
      </c>
    </row>
    <row r="153" spans="1:122" x14ac:dyDescent="0.2">
      <c r="A153" t="s">
        <v>67</v>
      </c>
      <c r="E153" t="s">
        <v>84</v>
      </c>
      <c r="F153" t="s">
        <v>99</v>
      </c>
      <c r="G153" t="s">
        <v>100</v>
      </c>
      <c r="H153" t="s">
        <v>485</v>
      </c>
      <c r="I153" t="s">
        <v>472</v>
      </c>
      <c r="J153" t="s">
        <v>477</v>
      </c>
      <c r="K153" t="s">
        <v>223</v>
      </c>
      <c r="L153" t="s">
        <v>260</v>
      </c>
      <c r="M153" t="s">
        <v>478</v>
      </c>
      <c r="N153" t="s">
        <v>73</v>
      </c>
      <c r="O153" t="s">
        <v>96</v>
      </c>
      <c r="P153" t="str">
        <f t="shared" si="47"/>
        <v>DFTL_CPU_PCPU_MPX00G_CPUPDF_H0PX_PL00_1PC1_RC40_X_SelsrmSSSS_</v>
      </c>
      <c r="S153">
        <v>0.73499999999999999</v>
      </c>
      <c r="T153">
        <v>0.69089999999999996</v>
      </c>
      <c r="U153" t="s">
        <v>74</v>
      </c>
      <c r="V153" s="17" t="s">
        <v>210</v>
      </c>
      <c r="W153" s="17" t="s">
        <v>475</v>
      </c>
      <c r="X153" s="17" t="s">
        <v>486</v>
      </c>
      <c r="AF153" s="17" t="s">
        <v>474</v>
      </c>
      <c r="AM153" t="s">
        <v>166</v>
      </c>
      <c r="AN153">
        <v>1.3</v>
      </c>
      <c r="AO153">
        <v>0.7</v>
      </c>
      <c r="AP153">
        <v>5.0000000000000001E-3</v>
      </c>
      <c r="AQ153">
        <v>0.71499999999999997</v>
      </c>
      <c r="AR153">
        <v>0.71499999999999997</v>
      </c>
      <c r="AT153">
        <v>0.745</v>
      </c>
      <c r="AU153">
        <v>0.745</v>
      </c>
      <c r="AW153">
        <v>1</v>
      </c>
      <c r="AX153">
        <v>1</v>
      </c>
      <c r="AZ153">
        <v>0.70499999999999996</v>
      </c>
      <c r="BA153">
        <v>0.70499999999999996</v>
      </c>
      <c r="BC153">
        <v>0.76</v>
      </c>
      <c r="BD153">
        <v>0.76</v>
      </c>
      <c r="BF153">
        <v>0.73499999999999999</v>
      </c>
      <c r="BG153">
        <v>0.73499999999999999</v>
      </c>
      <c r="BI153">
        <v>0.77500000000000002</v>
      </c>
      <c r="BJ153">
        <v>0.77500000000000002</v>
      </c>
      <c r="BL153">
        <v>0.77500000000000002</v>
      </c>
      <c r="BM153">
        <v>0.77500000000000002</v>
      </c>
      <c r="BO153">
        <v>0.84</v>
      </c>
      <c r="BP153">
        <v>0.84</v>
      </c>
      <c r="BR153">
        <v>0.8</v>
      </c>
      <c r="BS153">
        <v>0.8</v>
      </c>
      <c r="BU153">
        <v>0.88500000000000001</v>
      </c>
      <c r="BV153">
        <v>0.88500000000000001</v>
      </c>
      <c r="BX153">
        <v>0.8</v>
      </c>
      <c r="BY153">
        <v>0.8</v>
      </c>
      <c r="CA153">
        <v>1.32</v>
      </c>
      <c r="CB153">
        <v>1.32</v>
      </c>
      <c r="CD153">
        <v>1.06</v>
      </c>
      <c r="CE153">
        <v>1.06</v>
      </c>
      <c r="CG153">
        <v>0.76500000000000001</v>
      </c>
      <c r="CH153">
        <v>0.76500000000000001</v>
      </c>
      <c r="CJ153">
        <v>0.76500000000000001</v>
      </c>
      <c r="CK153">
        <v>0.76500000000000001</v>
      </c>
      <c r="CM153">
        <v>1.06</v>
      </c>
      <c r="CN153">
        <v>1.06</v>
      </c>
      <c r="CP153">
        <v>1.06</v>
      </c>
      <c r="CQ153">
        <v>1.06</v>
      </c>
      <c r="CS153">
        <v>0.76500000000000001</v>
      </c>
      <c r="CT153">
        <v>0.76500000000000001</v>
      </c>
      <c r="CV153">
        <v>1.06</v>
      </c>
      <c r="CW153">
        <v>1.06</v>
      </c>
      <c r="CY153">
        <v>0.76500000000000001</v>
      </c>
      <c r="CZ153">
        <v>0.76500000000000001</v>
      </c>
      <c r="DB153">
        <v>1.06</v>
      </c>
      <c r="DC153">
        <v>1.06</v>
      </c>
      <c r="DE153">
        <v>0.70499999999999996</v>
      </c>
      <c r="DF153">
        <v>0.70499999999999996</v>
      </c>
      <c r="DH153" t="s">
        <v>80</v>
      </c>
      <c r="DI153">
        <v>0.69099999999999995</v>
      </c>
      <c r="DJ153">
        <v>0.73499999999999999</v>
      </c>
      <c r="DM153">
        <v>0</v>
      </c>
      <c r="DN153">
        <v>0</v>
      </c>
      <c r="DO153">
        <v>0</v>
      </c>
      <c r="DP153" t="s">
        <v>258</v>
      </c>
      <c r="DQ153" t="s">
        <v>274</v>
      </c>
      <c r="DR153" t="s">
        <v>274</v>
      </c>
    </row>
    <row r="154" spans="1:122" x14ac:dyDescent="0.2">
      <c r="A154" t="s">
        <v>67</v>
      </c>
      <c r="E154" t="s">
        <v>84</v>
      </c>
      <c r="F154" t="s">
        <v>99</v>
      </c>
      <c r="G154" t="s">
        <v>100</v>
      </c>
      <c r="H154" t="s">
        <v>485</v>
      </c>
      <c r="I154" t="s">
        <v>472</v>
      </c>
      <c r="J154" t="s">
        <v>477</v>
      </c>
      <c r="K154" t="s">
        <v>223</v>
      </c>
      <c r="L154" t="s">
        <v>259</v>
      </c>
      <c r="M154" t="s">
        <v>479</v>
      </c>
      <c r="N154" t="s">
        <v>73</v>
      </c>
      <c r="O154" t="s">
        <v>96</v>
      </c>
      <c r="P154" t="str">
        <f t="shared" si="47"/>
        <v>DFTL_CPU_PCPU_MPX00G_CPUPDF_H0PX_PL00_1PC0_Gdelay70_X_SelsrmSSSS_</v>
      </c>
      <c r="S154">
        <v>0.73499999999999999</v>
      </c>
      <c r="T154">
        <v>0.69089999999999996</v>
      </c>
      <c r="U154" t="s">
        <v>74</v>
      </c>
      <c r="V154" s="17" t="s">
        <v>210</v>
      </c>
      <c r="W154" s="17" t="s">
        <v>473</v>
      </c>
      <c r="X154" s="17" t="s">
        <v>486</v>
      </c>
      <c r="AF154" s="17" t="s">
        <v>476</v>
      </c>
      <c r="AM154" t="s">
        <v>166</v>
      </c>
      <c r="AN154">
        <v>1.3</v>
      </c>
      <c r="AO154">
        <v>0.7</v>
      </c>
      <c r="AP154">
        <v>5.0000000000000001E-3</v>
      </c>
      <c r="AQ154">
        <v>0.71499999999999997</v>
      </c>
      <c r="AR154">
        <v>0.71499999999999997</v>
      </c>
      <c r="AT154">
        <v>0.745</v>
      </c>
      <c r="AU154">
        <v>0.745</v>
      </c>
      <c r="AW154">
        <v>1</v>
      </c>
      <c r="AX154">
        <v>1</v>
      </c>
      <c r="AZ154">
        <v>0.70499999999999996</v>
      </c>
      <c r="BA154">
        <v>0.70499999999999996</v>
      </c>
      <c r="BC154">
        <v>0.76</v>
      </c>
      <c r="BD154">
        <v>0.76</v>
      </c>
      <c r="BF154">
        <v>0.73499999999999999</v>
      </c>
      <c r="BG154">
        <v>0.73499999999999999</v>
      </c>
      <c r="BI154">
        <v>0.77500000000000002</v>
      </c>
      <c r="BJ154">
        <v>0.77500000000000002</v>
      </c>
      <c r="BL154">
        <v>0.77500000000000002</v>
      </c>
      <c r="BM154">
        <v>0.77500000000000002</v>
      </c>
      <c r="BO154">
        <v>0.84</v>
      </c>
      <c r="BP154">
        <v>0.84</v>
      </c>
      <c r="BR154">
        <v>0.8</v>
      </c>
      <c r="BS154">
        <v>0.8</v>
      </c>
      <c r="BU154">
        <v>0.88500000000000001</v>
      </c>
      <c r="BV154">
        <v>0.88500000000000001</v>
      </c>
      <c r="BX154">
        <v>0.8</v>
      </c>
      <c r="BY154">
        <v>0.8</v>
      </c>
      <c r="CA154">
        <v>1.32</v>
      </c>
      <c r="CB154">
        <v>1.32</v>
      </c>
      <c r="CD154">
        <v>1.06</v>
      </c>
      <c r="CE154">
        <v>1.06</v>
      </c>
      <c r="CG154">
        <v>0.76500000000000001</v>
      </c>
      <c r="CH154">
        <v>0.76500000000000001</v>
      </c>
      <c r="CJ154">
        <v>0.76500000000000001</v>
      </c>
      <c r="CK154">
        <v>0.76500000000000001</v>
      </c>
      <c r="CM154">
        <v>1.06</v>
      </c>
      <c r="CN154">
        <v>1.06</v>
      </c>
      <c r="CP154">
        <v>1.06</v>
      </c>
      <c r="CQ154">
        <v>1.06</v>
      </c>
      <c r="CS154">
        <v>0.76500000000000001</v>
      </c>
      <c r="CT154">
        <v>0.76500000000000001</v>
      </c>
      <c r="CV154">
        <v>1.06</v>
      </c>
      <c r="CW154">
        <v>1.06</v>
      </c>
      <c r="CY154">
        <v>0.76500000000000001</v>
      </c>
      <c r="CZ154">
        <v>0.76500000000000001</v>
      </c>
      <c r="DB154">
        <v>1.06</v>
      </c>
      <c r="DC154">
        <v>1.06</v>
      </c>
      <c r="DE154">
        <v>0.70499999999999996</v>
      </c>
      <c r="DF154">
        <v>0.70499999999999996</v>
      </c>
      <c r="DH154" t="s">
        <v>80</v>
      </c>
      <c r="DI154">
        <v>0.69099999999999995</v>
      </c>
      <c r="DJ154">
        <v>0.73499999999999999</v>
      </c>
      <c r="DM154">
        <v>0</v>
      </c>
      <c r="DN154">
        <v>0</v>
      </c>
      <c r="DO154">
        <v>0</v>
      </c>
      <c r="DP154" t="s">
        <v>258</v>
      </c>
      <c r="DQ154" t="s">
        <v>274</v>
      </c>
      <c r="DR154" t="s">
        <v>274</v>
      </c>
    </row>
    <row r="155" spans="1:122" x14ac:dyDescent="0.2">
      <c r="A155" t="s">
        <v>67</v>
      </c>
      <c r="E155" t="s">
        <v>84</v>
      </c>
      <c r="F155" t="s">
        <v>99</v>
      </c>
      <c r="G155" t="s">
        <v>100</v>
      </c>
      <c r="H155" t="s">
        <v>485</v>
      </c>
      <c r="I155" t="s">
        <v>472</v>
      </c>
      <c r="J155" t="s">
        <v>477</v>
      </c>
      <c r="K155" t="s">
        <v>223</v>
      </c>
      <c r="L155" t="s">
        <v>260</v>
      </c>
      <c r="M155" t="s">
        <v>479</v>
      </c>
      <c r="N155" t="s">
        <v>73</v>
      </c>
      <c r="O155" t="s">
        <v>96</v>
      </c>
      <c r="P155" t="str">
        <f t="shared" si="47"/>
        <v>DFTL_CPU_PCPU_MPX00G_CPUPDF_H0PX_PL00_1PC1_Gdelay70_X_SelsrmSSSS_</v>
      </c>
      <c r="S155">
        <v>0.73499999999999999</v>
      </c>
      <c r="T155">
        <v>0.69089999999999996</v>
      </c>
      <c r="U155" t="s">
        <v>74</v>
      </c>
      <c r="V155" s="17" t="s">
        <v>210</v>
      </c>
      <c r="W155" s="17" t="s">
        <v>475</v>
      </c>
      <c r="X155" s="17" t="s">
        <v>486</v>
      </c>
      <c r="AF155" s="17" t="s">
        <v>476</v>
      </c>
      <c r="AM155" t="s">
        <v>166</v>
      </c>
      <c r="AN155">
        <v>1.3</v>
      </c>
      <c r="AO155">
        <v>0.7</v>
      </c>
      <c r="AP155">
        <v>5.0000000000000001E-3</v>
      </c>
      <c r="AQ155">
        <v>0.71499999999999997</v>
      </c>
      <c r="AR155">
        <v>0.71499999999999997</v>
      </c>
      <c r="AT155">
        <v>0.745</v>
      </c>
      <c r="AU155">
        <v>0.745</v>
      </c>
      <c r="AW155">
        <v>1</v>
      </c>
      <c r="AX155">
        <v>1</v>
      </c>
      <c r="AZ155">
        <v>0.70499999999999996</v>
      </c>
      <c r="BA155">
        <v>0.70499999999999996</v>
      </c>
      <c r="BC155">
        <v>0.76</v>
      </c>
      <c r="BD155">
        <v>0.76</v>
      </c>
      <c r="BF155">
        <v>0.73499999999999999</v>
      </c>
      <c r="BG155">
        <v>0.73499999999999999</v>
      </c>
      <c r="BI155">
        <v>0.77500000000000002</v>
      </c>
      <c r="BJ155">
        <v>0.77500000000000002</v>
      </c>
      <c r="BL155">
        <v>0.77500000000000002</v>
      </c>
      <c r="BM155">
        <v>0.77500000000000002</v>
      </c>
      <c r="BO155">
        <v>0.84</v>
      </c>
      <c r="BP155">
        <v>0.84</v>
      </c>
      <c r="BR155">
        <v>0.8</v>
      </c>
      <c r="BS155">
        <v>0.8</v>
      </c>
      <c r="BU155">
        <v>0.88500000000000001</v>
      </c>
      <c r="BV155">
        <v>0.88500000000000001</v>
      </c>
      <c r="BX155">
        <v>0.8</v>
      </c>
      <c r="BY155">
        <v>0.8</v>
      </c>
      <c r="CA155">
        <v>1.32</v>
      </c>
      <c r="CB155">
        <v>1.32</v>
      </c>
      <c r="CD155">
        <v>1.06</v>
      </c>
      <c r="CE155">
        <v>1.06</v>
      </c>
      <c r="CG155">
        <v>0.76500000000000001</v>
      </c>
      <c r="CH155">
        <v>0.76500000000000001</v>
      </c>
      <c r="CJ155">
        <v>0.76500000000000001</v>
      </c>
      <c r="CK155">
        <v>0.76500000000000001</v>
      </c>
      <c r="CM155">
        <v>1.06</v>
      </c>
      <c r="CN155">
        <v>1.06</v>
      </c>
      <c r="CP155">
        <v>1.06</v>
      </c>
      <c r="CQ155">
        <v>1.06</v>
      </c>
      <c r="CS155">
        <v>0.76500000000000001</v>
      </c>
      <c r="CT155">
        <v>0.76500000000000001</v>
      </c>
      <c r="CV155">
        <v>1.06</v>
      </c>
      <c r="CW155">
        <v>1.06</v>
      </c>
      <c r="CY155">
        <v>0.76500000000000001</v>
      </c>
      <c r="CZ155">
        <v>0.76500000000000001</v>
      </c>
      <c r="DB155">
        <v>1.06</v>
      </c>
      <c r="DC155">
        <v>1.06</v>
      </c>
      <c r="DE155">
        <v>0.70499999999999996</v>
      </c>
      <c r="DF155">
        <v>0.70499999999999996</v>
      </c>
      <c r="DH155" t="s">
        <v>80</v>
      </c>
      <c r="DI155">
        <v>0.69099999999999995</v>
      </c>
      <c r="DJ155">
        <v>0.73499999999999999</v>
      </c>
      <c r="DM155">
        <v>0</v>
      </c>
      <c r="DN155">
        <v>0</v>
      </c>
      <c r="DO155">
        <v>0</v>
      </c>
      <c r="DP155" t="s">
        <v>258</v>
      </c>
      <c r="DQ155" t="s">
        <v>274</v>
      </c>
      <c r="DR155" t="s">
        <v>274</v>
      </c>
    </row>
    <row r="156" spans="1:122" s="18" customFormat="1" x14ac:dyDescent="0.2">
      <c r="A156" s="18" t="s">
        <v>67</v>
      </c>
      <c r="D156" s="18" t="s">
        <v>484</v>
      </c>
      <c r="E156" s="18" t="s">
        <v>84</v>
      </c>
      <c r="F156" s="18" t="s">
        <v>99</v>
      </c>
      <c r="G156" s="18" t="s">
        <v>106</v>
      </c>
      <c r="H156" s="18" t="s">
        <v>455</v>
      </c>
      <c r="I156" s="18" t="s">
        <v>116</v>
      </c>
      <c r="J156" s="18" t="s">
        <v>111</v>
      </c>
      <c r="K156" s="18" t="s">
        <v>71</v>
      </c>
      <c r="L156" s="18" t="s">
        <v>102</v>
      </c>
      <c r="M156" s="18" t="s">
        <v>103</v>
      </c>
      <c r="N156" s="18" t="s">
        <v>73</v>
      </c>
      <c r="O156" s="18" t="s">
        <v>96</v>
      </c>
      <c r="P156" s="18" t="str">
        <f t="shared" si="47"/>
        <v>DFTL_CPU_CPUSRAM_MPX00L_CPUBST_H0HX_PLLP_59N_REPREST_X_SelsrmSSSS_</v>
      </c>
      <c r="S156" s="18">
        <v>1.2</v>
      </c>
      <c r="T156" s="18">
        <v>1.1279999999999999</v>
      </c>
      <c r="U156" s="18" t="s">
        <v>74</v>
      </c>
      <c r="V156" s="18" t="s">
        <v>104</v>
      </c>
      <c r="W156" s="18" t="s">
        <v>105</v>
      </c>
      <c r="X156" s="18" t="s">
        <v>483</v>
      </c>
      <c r="AF156" s="18" t="s">
        <v>119</v>
      </c>
      <c r="AM156" s="18" t="s">
        <v>166</v>
      </c>
      <c r="AN156" s="18">
        <v>1.25</v>
      </c>
      <c r="AO156" s="18">
        <v>1.25</v>
      </c>
      <c r="AQ156" s="18">
        <v>0.71499999999999997</v>
      </c>
      <c r="AR156" s="18">
        <v>0.71499999999999997</v>
      </c>
      <c r="AT156" s="18">
        <v>0.70499999999999996</v>
      </c>
      <c r="AU156" s="18">
        <v>0.70499999999999996</v>
      </c>
      <c r="AW156" s="18">
        <v>1.0349999999999999</v>
      </c>
      <c r="AX156" s="18">
        <v>1.0349999999999999</v>
      </c>
      <c r="AZ156" s="18">
        <v>0.71</v>
      </c>
      <c r="BA156" s="18">
        <v>0.71</v>
      </c>
      <c r="BC156" s="18">
        <v>0.75</v>
      </c>
      <c r="BD156" s="18">
        <v>0.75</v>
      </c>
      <c r="BF156" s="18">
        <v>1.3</v>
      </c>
      <c r="BG156" s="18">
        <v>0.7</v>
      </c>
      <c r="BH156" s="18">
        <v>0.01</v>
      </c>
      <c r="BI156" s="18">
        <v>0.82</v>
      </c>
      <c r="BJ156" s="18">
        <v>0.82</v>
      </c>
      <c r="BL156" s="18">
        <v>0.82</v>
      </c>
      <c r="BM156" s="18">
        <v>0.82</v>
      </c>
      <c r="BO156" s="18">
        <v>0.84</v>
      </c>
      <c r="BP156" s="18">
        <v>0.84</v>
      </c>
      <c r="BR156" s="18">
        <v>0.8</v>
      </c>
      <c r="BS156" s="18">
        <v>0.8</v>
      </c>
      <c r="BU156" s="18">
        <v>0.88500000000000001</v>
      </c>
      <c r="BV156" s="18">
        <v>0.88500000000000001</v>
      </c>
      <c r="BX156" s="18">
        <v>0.8</v>
      </c>
      <c r="BY156" s="18">
        <v>0.8</v>
      </c>
      <c r="CA156" s="18">
        <v>1.32</v>
      </c>
      <c r="CB156" s="18">
        <v>1.32</v>
      </c>
      <c r="CD156" s="18">
        <v>1.06</v>
      </c>
      <c r="CE156" s="18">
        <v>1.06</v>
      </c>
      <c r="CG156" s="18">
        <v>0.76500000000000001</v>
      </c>
      <c r="CH156" s="18">
        <v>0.76500000000000001</v>
      </c>
      <c r="CJ156" s="18">
        <v>0.76500000000000001</v>
      </c>
      <c r="CK156" s="18">
        <v>0.76500000000000001</v>
      </c>
      <c r="CM156" s="18">
        <v>1.06</v>
      </c>
      <c r="CN156" s="18">
        <v>1.06</v>
      </c>
      <c r="CP156" s="18">
        <v>1.06</v>
      </c>
      <c r="CQ156" s="18">
        <v>1.06</v>
      </c>
      <c r="CS156" s="18">
        <v>0.76500000000000001</v>
      </c>
      <c r="CT156" s="18">
        <v>0.76500000000000001</v>
      </c>
      <c r="CV156" s="18">
        <v>1.06</v>
      </c>
      <c r="CW156" s="18">
        <v>1.06</v>
      </c>
      <c r="CY156" s="18">
        <v>0.76500000000000001</v>
      </c>
      <c r="CZ156" s="18">
        <v>0.76500000000000001</v>
      </c>
      <c r="DB156" s="18">
        <v>1.06</v>
      </c>
      <c r="DC156" s="18">
        <v>1.06</v>
      </c>
      <c r="DE156" s="18">
        <v>0.70499999999999996</v>
      </c>
      <c r="DF156" s="18">
        <v>0.70499999999999996</v>
      </c>
      <c r="DH156" s="18" t="s">
        <v>80</v>
      </c>
      <c r="DI156" s="18">
        <v>0.79900000000000004</v>
      </c>
      <c r="DJ156" s="18">
        <v>0.85</v>
      </c>
      <c r="DM156" s="18">
        <v>0</v>
      </c>
      <c r="DN156" s="18">
        <v>0</v>
      </c>
      <c r="DO156" s="18">
        <v>0</v>
      </c>
      <c r="DP156" s="18" t="s">
        <v>258</v>
      </c>
      <c r="DQ156" s="18" t="s">
        <v>273</v>
      </c>
      <c r="DR156" s="18" t="s">
        <v>273</v>
      </c>
    </row>
    <row r="157" spans="1:122" s="18" customFormat="1" x14ac:dyDescent="0.2">
      <c r="A157" s="18" t="s">
        <v>67</v>
      </c>
      <c r="D157" s="18" t="s">
        <v>484</v>
      </c>
      <c r="E157" s="18" t="s">
        <v>84</v>
      </c>
      <c r="F157" s="18" t="s">
        <v>99</v>
      </c>
      <c r="G157" s="18" t="s">
        <v>106</v>
      </c>
      <c r="H157" s="18" t="s">
        <v>455</v>
      </c>
      <c r="I157" s="18" t="s">
        <v>116</v>
      </c>
      <c r="J157" s="18" t="s">
        <v>355</v>
      </c>
      <c r="K157" s="18" t="s">
        <v>71</v>
      </c>
      <c r="L157" s="18" t="s">
        <v>102</v>
      </c>
      <c r="M157" s="18" t="s">
        <v>357</v>
      </c>
      <c r="N157" s="18" t="s">
        <v>73</v>
      </c>
      <c r="O157" s="18" t="s">
        <v>96</v>
      </c>
      <c r="P157" s="18" t="str">
        <f t="shared" si="47"/>
        <v>DFTL_CPU_CPUSRAM_MPX00L_CPUBST_H0XD_PLLP_59N_REPDAT_X_SelsrmSSSS_</v>
      </c>
      <c r="S157" s="18">
        <v>1.2</v>
      </c>
      <c r="T157" s="18">
        <v>1.1279999999999999</v>
      </c>
      <c r="U157" s="18" t="s">
        <v>74</v>
      </c>
      <c r="V157" s="18" t="s">
        <v>104</v>
      </c>
      <c r="W157" s="18" t="s">
        <v>105</v>
      </c>
      <c r="X157" s="18" t="s">
        <v>483</v>
      </c>
      <c r="AF157" s="18" t="s">
        <v>407</v>
      </c>
      <c r="AM157" s="18" t="s">
        <v>166</v>
      </c>
      <c r="AN157" s="18">
        <v>1.3</v>
      </c>
      <c r="AO157" s="18">
        <v>1.3</v>
      </c>
      <c r="AQ157" s="18">
        <v>0.71499999999999997</v>
      </c>
      <c r="AR157" s="18">
        <v>0.71499999999999997</v>
      </c>
      <c r="AT157" s="18">
        <v>0.70499999999999996</v>
      </c>
      <c r="AU157" s="18">
        <v>0.70499999999999996</v>
      </c>
      <c r="AW157" s="18">
        <v>1.0349999999999999</v>
      </c>
      <c r="AX157" s="18">
        <v>1.0349999999999999</v>
      </c>
      <c r="AZ157" s="18">
        <v>0.71</v>
      </c>
      <c r="BA157" s="18">
        <v>0.71</v>
      </c>
      <c r="BC157" s="18">
        <v>0.75</v>
      </c>
      <c r="BD157" s="18">
        <v>0.75</v>
      </c>
      <c r="BF157" s="18">
        <v>1.3</v>
      </c>
      <c r="BG157" s="18">
        <v>0.7</v>
      </c>
      <c r="BH157" s="18">
        <v>0.01</v>
      </c>
      <c r="BI157" s="18">
        <v>0.82</v>
      </c>
      <c r="BJ157" s="18">
        <v>0.82</v>
      </c>
      <c r="BL157" s="18">
        <v>0.82</v>
      </c>
      <c r="BM157" s="18">
        <v>0.82</v>
      </c>
      <c r="BO157" s="18">
        <v>0.84</v>
      </c>
      <c r="BP157" s="18">
        <v>0.84</v>
      </c>
      <c r="BR157" s="18">
        <v>0.8</v>
      </c>
      <c r="BS157" s="18">
        <v>0.8</v>
      </c>
      <c r="BU157" s="18">
        <v>0.88500000000000001</v>
      </c>
      <c r="BV157" s="18">
        <v>0.88500000000000001</v>
      </c>
      <c r="BX157" s="18">
        <v>0.8</v>
      </c>
      <c r="BY157" s="18">
        <v>0.8</v>
      </c>
      <c r="CA157" s="18">
        <v>1.2</v>
      </c>
      <c r="CB157" s="18">
        <v>1.2</v>
      </c>
      <c r="CD157" s="19">
        <v>1.06</v>
      </c>
      <c r="CE157" s="19">
        <v>1.06</v>
      </c>
      <c r="CF157" s="19"/>
      <c r="CG157" s="19">
        <v>0.76500000000000001</v>
      </c>
      <c r="CH157" s="19">
        <v>0.76500000000000001</v>
      </c>
      <c r="CI157" s="19"/>
      <c r="CJ157" s="19">
        <v>0.76500000000000001</v>
      </c>
      <c r="CK157" s="19">
        <v>0.76500000000000001</v>
      </c>
      <c r="CL157" s="19"/>
      <c r="CM157" s="19">
        <v>1.06</v>
      </c>
      <c r="CN157" s="19">
        <v>1.06</v>
      </c>
      <c r="CO157" s="19"/>
      <c r="CP157" s="19">
        <v>1.06</v>
      </c>
      <c r="CQ157" s="19">
        <v>1.06</v>
      </c>
      <c r="CR157" s="19"/>
      <c r="CS157" s="19">
        <v>0.76500000000000001</v>
      </c>
      <c r="CT157" s="19">
        <v>0.76500000000000001</v>
      </c>
      <c r="CU157" s="19"/>
      <c r="CV157" s="19">
        <v>1.06</v>
      </c>
      <c r="CW157" s="19">
        <v>1.06</v>
      </c>
      <c r="CX157" s="19"/>
      <c r="CY157" s="19">
        <v>0.76500000000000001</v>
      </c>
      <c r="CZ157" s="19">
        <v>0.76500000000000001</v>
      </c>
      <c r="DA157" s="19"/>
      <c r="DB157" s="19">
        <v>1.06</v>
      </c>
      <c r="DC157" s="19">
        <v>1.06</v>
      </c>
      <c r="DD157" s="19"/>
      <c r="DE157" s="19">
        <v>0.70499999999999996</v>
      </c>
      <c r="DF157" s="19">
        <v>0.70499999999999996</v>
      </c>
      <c r="DH157" s="18" t="s">
        <v>80</v>
      </c>
      <c r="DI157" s="18">
        <v>1.1279999999999999</v>
      </c>
      <c r="DJ157" s="18">
        <v>1.2</v>
      </c>
      <c r="DM157" s="18">
        <v>0</v>
      </c>
      <c r="DN157" s="18">
        <v>0</v>
      </c>
      <c r="DO157" s="18">
        <v>0</v>
      </c>
      <c r="DP157" s="18" t="s">
        <v>258</v>
      </c>
      <c r="DQ157" s="18" t="s">
        <v>273</v>
      </c>
      <c r="DR157" s="18" t="s">
        <v>273</v>
      </c>
    </row>
    <row r="158" spans="1:122" x14ac:dyDescent="0.2">
      <c r="A158" t="s">
        <v>67</v>
      </c>
      <c r="D158" s="18" t="s">
        <v>509</v>
      </c>
      <c r="E158" t="s">
        <v>84</v>
      </c>
      <c r="F158" t="s">
        <v>68</v>
      </c>
      <c r="G158" t="s">
        <v>68</v>
      </c>
      <c r="H158" t="s">
        <v>85</v>
      </c>
      <c r="I158" t="s">
        <v>234</v>
      </c>
      <c r="J158" t="s">
        <v>499</v>
      </c>
      <c r="K158" t="s">
        <v>176</v>
      </c>
      <c r="L158" t="s">
        <v>73</v>
      </c>
      <c r="M158" t="s">
        <v>73</v>
      </c>
      <c r="N158" t="s">
        <v>73</v>
      </c>
      <c r="O158" t="s">
        <v>96</v>
      </c>
      <c r="P158" t="s">
        <v>500</v>
      </c>
      <c r="S158">
        <v>0.745</v>
      </c>
      <c r="T158">
        <v>0.70030000000000003</v>
      </c>
      <c r="U158" t="s">
        <v>74</v>
      </c>
      <c r="V158" t="s">
        <v>230</v>
      </c>
      <c r="Y158" t="s">
        <v>231</v>
      </c>
      <c r="Z158" t="s">
        <v>232</v>
      </c>
      <c r="AA158" t="s">
        <v>233</v>
      </c>
      <c r="AB158" t="s">
        <v>235</v>
      </c>
      <c r="AC158" t="s">
        <v>501</v>
      </c>
      <c r="AF158" t="s">
        <v>502</v>
      </c>
      <c r="AM158" t="s">
        <v>166</v>
      </c>
      <c r="AN158">
        <v>0.74</v>
      </c>
      <c r="AO158">
        <v>0.74</v>
      </c>
      <c r="AQ158">
        <v>0.71499999999999997</v>
      </c>
      <c r="AR158">
        <v>0.71499999999999997</v>
      </c>
      <c r="AT158">
        <v>0.745</v>
      </c>
      <c r="AU158">
        <v>0.745</v>
      </c>
      <c r="AW158">
        <v>1.0349999999999999</v>
      </c>
      <c r="AX158">
        <v>1.0349999999999999</v>
      </c>
      <c r="AZ158">
        <v>0.71</v>
      </c>
      <c r="BA158">
        <v>0.71</v>
      </c>
      <c r="BC158">
        <v>0.75</v>
      </c>
      <c r="BD158">
        <v>0.75</v>
      </c>
      <c r="BF158">
        <v>0.85</v>
      </c>
      <c r="BG158">
        <v>0.85</v>
      </c>
      <c r="BI158">
        <v>0.82</v>
      </c>
      <c r="BJ158">
        <v>0.82</v>
      </c>
      <c r="BL158">
        <v>1.02</v>
      </c>
      <c r="BM158">
        <v>0.42</v>
      </c>
      <c r="BN158">
        <v>5.0000000000000001E-3</v>
      </c>
      <c r="BO158">
        <v>0.84</v>
      </c>
      <c r="BP158">
        <v>0.84</v>
      </c>
      <c r="BR158">
        <v>0.8</v>
      </c>
      <c r="BS158">
        <v>0.8</v>
      </c>
      <c r="BU158">
        <v>0.88500000000000001</v>
      </c>
      <c r="BV158">
        <v>0.88500000000000001</v>
      </c>
      <c r="BX158">
        <v>0.8</v>
      </c>
      <c r="BY158">
        <v>0.8</v>
      </c>
      <c r="CA158">
        <v>1.32</v>
      </c>
      <c r="CB158">
        <v>1.32</v>
      </c>
      <c r="CD158" s="19">
        <v>1.06</v>
      </c>
      <c r="CE158" s="19">
        <v>1.06</v>
      </c>
      <c r="CF158" s="19"/>
      <c r="CG158" s="19">
        <v>0.76500000000000001</v>
      </c>
      <c r="CH158" s="19">
        <v>0.76500000000000001</v>
      </c>
      <c r="CI158" s="19"/>
      <c r="CJ158" s="19">
        <v>0.76500000000000001</v>
      </c>
      <c r="CK158" s="19">
        <v>0.76500000000000001</v>
      </c>
      <c r="CM158" s="19">
        <v>1.06</v>
      </c>
      <c r="CN158" s="19">
        <v>1.06</v>
      </c>
      <c r="CO158" s="19"/>
      <c r="CP158" s="19">
        <v>1.06</v>
      </c>
      <c r="CQ158" s="19">
        <v>1.06</v>
      </c>
      <c r="CR158" s="19"/>
      <c r="CS158" s="19">
        <v>0.76500000000000001</v>
      </c>
      <c r="CT158" s="19">
        <v>0.76500000000000001</v>
      </c>
      <c r="CU158" s="19"/>
      <c r="CV158" s="19">
        <v>1.06</v>
      </c>
      <c r="CW158" s="19">
        <v>1.06</v>
      </c>
      <c r="CX158" s="19"/>
      <c r="CY158" s="19">
        <v>0.76500000000000001</v>
      </c>
      <c r="CZ158" s="19">
        <v>0.76500000000000001</v>
      </c>
      <c r="DA158" s="19"/>
      <c r="DB158" s="19">
        <v>1.06</v>
      </c>
      <c r="DC158" s="19">
        <v>1.06</v>
      </c>
      <c r="DD158" s="19"/>
      <c r="DE158" s="19">
        <v>0.70499999999999996</v>
      </c>
      <c r="DF158" s="19">
        <v>0.70499999999999996</v>
      </c>
      <c r="DH158" t="s">
        <v>80</v>
      </c>
      <c r="DI158">
        <v>0.77100000000000002</v>
      </c>
      <c r="DJ158">
        <v>0.82</v>
      </c>
      <c r="DM158">
        <v>0</v>
      </c>
      <c r="DN158">
        <v>1</v>
      </c>
      <c r="DO158">
        <v>0</v>
      </c>
      <c r="DQ158" t="s">
        <v>274</v>
      </c>
      <c r="DR158" t="s">
        <v>274</v>
      </c>
    </row>
    <row r="159" spans="1:122" x14ac:dyDescent="0.2">
      <c r="A159" t="s">
        <v>67</v>
      </c>
      <c r="D159" s="18" t="s">
        <v>509</v>
      </c>
      <c r="E159" t="s">
        <v>84</v>
      </c>
      <c r="F159" t="s">
        <v>68</v>
      </c>
      <c r="G159" t="s">
        <v>68</v>
      </c>
      <c r="H159" t="s">
        <v>87</v>
      </c>
      <c r="I159" t="s">
        <v>234</v>
      </c>
      <c r="J159" t="s">
        <v>499</v>
      </c>
      <c r="K159" t="s">
        <v>176</v>
      </c>
      <c r="L159" t="s">
        <v>73</v>
      </c>
      <c r="M159" t="s">
        <v>73</v>
      </c>
      <c r="N159" t="s">
        <v>73</v>
      </c>
      <c r="O159" t="s">
        <v>96</v>
      </c>
      <c r="P159" t="s">
        <v>503</v>
      </c>
      <c r="S159">
        <v>1.1200000000000001</v>
      </c>
      <c r="T159">
        <v>1.0528</v>
      </c>
      <c r="U159" t="s">
        <v>74</v>
      </c>
      <c r="V159" t="s">
        <v>230</v>
      </c>
      <c r="Y159" t="s">
        <v>231</v>
      </c>
      <c r="Z159" t="s">
        <v>232</v>
      </c>
      <c r="AA159" t="s">
        <v>233</v>
      </c>
      <c r="AB159" t="s">
        <v>236</v>
      </c>
      <c r="AC159" t="s">
        <v>501</v>
      </c>
      <c r="AF159" t="s">
        <v>502</v>
      </c>
      <c r="AM159" t="s">
        <v>166</v>
      </c>
      <c r="AN159">
        <v>0.74</v>
      </c>
      <c r="AO159">
        <v>0.74</v>
      </c>
      <c r="AQ159">
        <v>0.71499999999999997</v>
      </c>
      <c r="AR159">
        <v>0.71499999999999997</v>
      </c>
      <c r="AT159">
        <v>1.1200000000000001</v>
      </c>
      <c r="AU159">
        <v>1.1200000000000001</v>
      </c>
      <c r="AW159">
        <v>1.0349999999999999</v>
      </c>
      <c r="AX159">
        <v>1.0349999999999999</v>
      </c>
      <c r="AZ159">
        <v>0.71</v>
      </c>
      <c r="BA159">
        <v>0.71</v>
      </c>
      <c r="BC159">
        <v>0.75</v>
      </c>
      <c r="BD159">
        <v>0.75</v>
      </c>
      <c r="BF159">
        <v>0.85</v>
      </c>
      <c r="BG159">
        <v>0.85</v>
      </c>
      <c r="BI159">
        <v>0.82</v>
      </c>
      <c r="BJ159">
        <v>0.82</v>
      </c>
      <c r="BL159">
        <v>1.02</v>
      </c>
      <c r="BM159">
        <v>0.42</v>
      </c>
      <c r="BN159">
        <v>5.0000000000000001E-3</v>
      </c>
      <c r="BO159">
        <v>0.84</v>
      </c>
      <c r="BP159">
        <v>0.84</v>
      </c>
      <c r="BR159">
        <v>0.8</v>
      </c>
      <c r="BS159">
        <v>0.8</v>
      </c>
      <c r="BU159">
        <v>0.88500000000000001</v>
      </c>
      <c r="BV159">
        <v>0.88500000000000001</v>
      </c>
      <c r="BX159">
        <v>0.8</v>
      </c>
      <c r="BY159">
        <v>0.8</v>
      </c>
      <c r="CA159">
        <v>1.32</v>
      </c>
      <c r="CB159">
        <v>1.32</v>
      </c>
      <c r="CD159" s="19">
        <v>1.06</v>
      </c>
      <c r="CE159" s="19">
        <v>1.06</v>
      </c>
      <c r="CF159" s="19"/>
      <c r="CG159" s="19">
        <v>0.76500000000000001</v>
      </c>
      <c r="CH159" s="19">
        <v>0.76500000000000001</v>
      </c>
      <c r="CI159" s="19"/>
      <c r="CJ159" s="19">
        <v>0.76500000000000001</v>
      </c>
      <c r="CK159" s="19">
        <v>0.76500000000000001</v>
      </c>
      <c r="CM159" s="19">
        <v>1.06</v>
      </c>
      <c r="CN159" s="19">
        <v>1.06</v>
      </c>
      <c r="CO159" s="19"/>
      <c r="CP159" s="19">
        <v>1.06</v>
      </c>
      <c r="CQ159" s="19">
        <v>1.06</v>
      </c>
      <c r="CR159" s="19"/>
      <c r="CS159" s="19">
        <v>0.76500000000000001</v>
      </c>
      <c r="CT159" s="19">
        <v>0.76500000000000001</v>
      </c>
      <c r="CU159" s="19"/>
      <c r="CV159" s="19">
        <v>1.06</v>
      </c>
      <c r="CW159" s="19">
        <v>1.06</v>
      </c>
      <c r="CX159" s="19"/>
      <c r="CY159" s="19">
        <v>0.76500000000000001</v>
      </c>
      <c r="CZ159" s="19">
        <v>0.76500000000000001</v>
      </c>
      <c r="DA159" s="19"/>
      <c r="DB159" s="19">
        <v>1.06</v>
      </c>
      <c r="DC159" s="19">
        <v>1.06</v>
      </c>
      <c r="DD159" s="19"/>
      <c r="DE159" s="19">
        <v>0.70499999999999996</v>
      </c>
      <c r="DF159" s="19">
        <v>0.70499999999999996</v>
      </c>
      <c r="DH159" t="s">
        <v>80</v>
      </c>
      <c r="DI159">
        <v>0.77100000000000002</v>
      </c>
      <c r="DJ159">
        <v>0.82</v>
      </c>
      <c r="DM159">
        <v>0</v>
      </c>
      <c r="DN159">
        <v>1</v>
      </c>
      <c r="DO159">
        <v>0</v>
      </c>
      <c r="DP159" t="s">
        <v>258</v>
      </c>
      <c r="DQ159" t="s">
        <v>274</v>
      </c>
      <c r="DR159" t="s">
        <v>274</v>
      </c>
    </row>
    <row r="160" spans="1:122" x14ac:dyDescent="0.2">
      <c r="A160" t="s">
        <v>67</v>
      </c>
      <c r="D160" s="18" t="s">
        <v>509</v>
      </c>
      <c r="E160" t="s">
        <v>84</v>
      </c>
      <c r="F160" t="s">
        <v>68</v>
      </c>
      <c r="G160" t="s">
        <v>68</v>
      </c>
      <c r="H160" t="s">
        <v>85</v>
      </c>
      <c r="I160" t="s">
        <v>234</v>
      </c>
      <c r="J160" t="s">
        <v>504</v>
      </c>
      <c r="K160" t="s">
        <v>176</v>
      </c>
      <c r="L160" t="s">
        <v>73</v>
      </c>
      <c r="M160" t="s">
        <v>73</v>
      </c>
      <c r="N160" t="s">
        <v>73</v>
      </c>
      <c r="O160" t="s">
        <v>96</v>
      </c>
      <c r="P160" t="s">
        <v>505</v>
      </c>
      <c r="S160">
        <v>0.745</v>
      </c>
      <c r="T160">
        <v>0.70030000000000003</v>
      </c>
      <c r="U160" t="s">
        <v>74</v>
      </c>
      <c r="V160" t="s">
        <v>230</v>
      </c>
      <c r="Y160" t="s">
        <v>231</v>
      </c>
      <c r="Z160" t="s">
        <v>232</v>
      </c>
      <c r="AA160" t="s">
        <v>233</v>
      </c>
      <c r="AB160" t="s">
        <v>235</v>
      </c>
      <c r="AC160" t="s">
        <v>506</v>
      </c>
      <c r="AF160" t="s">
        <v>507</v>
      </c>
      <c r="AM160" t="s">
        <v>166</v>
      </c>
      <c r="AN160">
        <v>0.74</v>
      </c>
      <c r="AO160">
        <v>0.74</v>
      </c>
      <c r="AQ160">
        <v>0.71499999999999997</v>
      </c>
      <c r="AR160">
        <v>0.71499999999999997</v>
      </c>
      <c r="AT160">
        <v>0.745</v>
      </c>
      <c r="AU160">
        <v>0.745</v>
      </c>
      <c r="AW160">
        <v>1.0349999999999999</v>
      </c>
      <c r="AX160">
        <v>1.0349999999999999</v>
      </c>
      <c r="AZ160">
        <v>0.71</v>
      </c>
      <c r="BA160">
        <v>0.71</v>
      </c>
      <c r="BC160">
        <v>0.75</v>
      </c>
      <c r="BD160">
        <v>0.75</v>
      </c>
      <c r="BF160">
        <v>0.85</v>
      </c>
      <c r="BG160">
        <v>0.85</v>
      </c>
      <c r="BI160">
        <v>0.82</v>
      </c>
      <c r="BJ160">
        <v>0.82</v>
      </c>
      <c r="BL160">
        <v>1.02</v>
      </c>
      <c r="BM160">
        <v>0.42</v>
      </c>
      <c r="BN160">
        <v>5.0000000000000001E-3</v>
      </c>
      <c r="BO160">
        <v>0.84</v>
      </c>
      <c r="BP160">
        <v>0.84</v>
      </c>
      <c r="BR160">
        <v>0.8</v>
      </c>
      <c r="BS160">
        <v>0.8</v>
      </c>
      <c r="BU160">
        <v>0.88500000000000001</v>
      </c>
      <c r="BV160">
        <v>0.88500000000000001</v>
      </c>
      <c r="BX160">
        <v>0.8</v>
      </c>
      <c r="BY160">
        <v>0.8</v>
      </c>
      <c r="CA160">
        <v>1.32</v>
      </c>
      <c r="CB160">
        <v>1.32</v>
      </c>
      <c r="CD160" s="19">
        <v>1.06</v>
      </c>
      <c r="CE160" s="19">
        <v>1.06</v>
      </c>
      <c r="CF160" s="19"/>
      <c r="CG160" s="19">
        <v>0.76500000000000001</v>
      </c>
      <c r="CH160" s="19">
        <v>0.76500000000000001</v>
      </c>
      <c r="CI160" s="19"/>
      <c r="CJ160" s="19">
        <v>0.76500000000000001</v>
      </c>
      <c r="CK160" s="19">
        <v>0.76500000000000001</v>
      </c>
      <c r="CM160" s="19">
        <v>1.06</v>
      </c>
      <c r="CN160" s="19">
        <v>1.06</v>
      </c>
      <c r="CO160" s="19"/>
      <c r="CP160" s="19">
        <v>1.06</v>
      </c>
      <c r="CQ160" s="19">
        <v>1.06</v>
      </c>
      <c r="CR160" s="19"/>
      <c r="CS160" s="19">
        <v>0.76500000000000001</v>
      </c>
      <c r="CT160" s="19">
        <v>0.76500000000000001</v>
      </c>
      <c r="CU160" s="19"/>
      <c r="CV160" s="19">
        <v>1.06</v>
      </c>
      <c r="CW160" s="19">
        <v>1.06</v>
      </c>
      <c r="CX160" s="19"/>
      <c r="CY160" s="19">
        <v>0.76500000000000001</v>
      </c>
      <c r="CZ160" s="19">
        <v>0.76500000000000001</v>
      </c>
      <c r="DA160" s="19"/>
      <c r="DB160" s="19">
        <v>1.06</v>
      </c>
      <c r="DC160" s="19">
        <v>1.06</v>
      </c>
      <c r="DD160" s="19"/>
      <c r="DE160" s="19">
        <v>0.70499999999999996</v>
      </c>
      <c r="DF160" s="19">
        <v>0.70499999999999996</v>
      </c>
      <c r="DH160" t="s">
        <v>80</v>
      </c>
      <c r="DI160">
        <v>0.77100000000000002</v>
      </c>
      <c r="DJ160">
        <v>0.82</v>
      </c>
      <c r="DM160">
        <v>0</v>
      </c>
      <c r="DN160">
        <v>1</v>
      </c>
      <c r="DO160">
        <v>0</v>
      </c>
      <c r="DQ160" t="s">
        <v>274</v>
      </c>
      <c r="DR160" t="s">
        <v>274</v>
      </c>
    </row>
    <row r="161" spans="1:122" x14ac:dyDescent="0.2">
      <c r="A161" t="s">
        <v>67</v>
      </c>
      <c r="D161" s="18" t="s">
        <v>509</v>
      </c>
      <c r="E161" t="s">
        <v>84</v>
      </c>
      <c r="F161" t="s">
        <v>68</v>
      </c>
      <c r="G161" t="s">
        <v>68</v>
      </c>
      <c r="H161" t="s">
        <v>87</v>
      </c>
      <c r="I161" t="s">
        <v>234</v>
      </c>
      <c r="J161" t="s">
        <v>504</v>
      </c>
      <c r="K161" t="s">
        <v>176</v>
      </c>
      <c r="L161" t="s">
        <v>73</v>
      </c>
      <c r="M161" t="s">
        <v>73</v>
      </c>
      <c r="N161" t="s">
        <v>73</v>
      </c>
      <c r="O161" t="s">
        <v>96</v>
      </c>
      <c r="P161" t="s">
        <v>508</v>
      </c>
      <c r="S161">
        <v>1.1200000000000001</v>
      </c>
      <c r="T161">
        <v>1.0528</v>
      </c>
      <c r="U161" t="s">
        <v>74</v>
      </c>
      <c r="V161" t="s">
        <v>230</v>
      </c>
      <c r="Y161" t="s">
        <v>231</v>
      </c>
      <c r="Z161" t="s">
        <v>232</v>
      </c>
      <c r="AA161" t="s">
        <v>233</v>
      </c>
      <c r="AB161" t="s">
        <v>236</v>
      </c>
      <c r="AC161" t="s">
        <v>506</v>
      </c>
      <c r="AF161" t="s">
        <v>507</v>
      </c>
      <c r="AM161" t="s">
        <v>166</v>
      </c>
      <c r="AN161">
        <v>0.74</v>
      </c>
      <c r="AO161">
        <v>0.74</v>
      </c>
      <c r="AQ161">
        <v>0.71499999999999997</v>
      </c>
      <c r="AR161">
        <v>0.71499999999999997</v>
      </c>
      <c r="AT161">
        <v>1.1200000000000001</v>
      </c>
      <c r="AU161">
        <v>1.1200000000000001</v>
      </c>
      <c r="AW161">
        <v>1.0349999999999999</v>
      </c>
      <c r="AX161">
        <v>1.0349999999999999</v>
      </c>
      <c r="AZ161">
        <v>0.71</v>
      </c>
      <c r="BA161">
        <v>0.71</v>
      </c>
      <c r="BC161">
        <v>0.75</v>
      </c>
      <c r="BD161">
        <v>0.75</v>
      </c>
      <c r="BF161">
        <v>0.85</v>
      </c>
      <c r="BG161">
        <v>0.85</v>
      </c>
      <c r="BI161">
        <v>0.82</v>
      </c>
      <c r="BJ161">
        <v>0.82</v>
      </c>
      <c r="BL161">
        <v>1.02</v>
      </c>
      <c r="BM161">
        <v>0.42</v>
      </c>
      <c r="BN161">
        <v>5.0000000000000001E-3</v>
      </c>
      <c r="BO161">
        <v>0.84</v>
      </c>
      <c r="BP161">
        <v>0.84</v>
      </c>
      <c r="BR161">
        <v>0.8</v>
      </c>
      <c r="BS161">
        <v>0.8</v>
      </c>
      <c r="BU161">
        <v>0.88500000000000001</v>
      </c>
      <c r="BV161">
        <v>0.88500000000000001</v>
      </c>
      <c r="BX161">
        <v>0.8</v>
      </c>
      <c r="BY161">
        <v>0.8</v>
      </c>
      <c r="CA161">
        <v>1.32</v>
      </c>
      <c r="CB161">
        <v>1.32</v>
      </c>
      <c r="CD161" s="19">
        <v>1.06</v>
      </c>
      <c r="CE161" s="19">
        <v>1.06</v>
      </c>
      <c r="CF161" s="19"/>
      <c r="CG161" s="19">
        <v>0.76500000000000001</v>
      </c>
      <c r="CH161" s="19">
        <v>0.76500000000000001</v>
      </c>
      <c r="CI161" s="19"/>
      <c r="CJ161" s="19">
        <v>0.76500000000000001</v>
      </c>
      <c r="CK161" s="19">
        <v>0.76500000000000001</v>
      </c>
      <c r="CM161" s="19">
        <v>1.06</v>
      </c>
      <c r="CN161" s="19">
        <v>1.06</v>
      </c>
      <c r="CO161" s="19"/>
      <c r="CP161" s="19">
        <v>1.06</v>
      </c>
      <c r="CQ161" s="19">
        <v>1.06</v>
      </c>
      <c r="CR161" s="19"/>
      <c r="CS161" s="19">
        <v>0.76500000000000001</v>
      </c>
      <c r="CT161" s="19">
        <v>0.76500000000000001</v>
      </c>
      <c r="CU161" s="19"/>
      <c r="CV161" s="19">
        <v>1.06</v>
      </c>
      <c r="CW161" s="19">
        <v>1.06</v>
      </c>
      <c r="CX161" s="19"/>
      <c r="CY161" s="19">
        <v>0.76500000000000001</v>
      </c>
      <c r="CZ161" s="19">
        <v>0.76500000000000001</v>
      </c>
      <c r="DA161" s="19"/>
      <c r="DB161" s="19">
        <v>1.06</v>
      </c>
      <c r="DC161" s="19">
        <v>1.06</v>
      </c>
      <c r="DD161" s="19"/>
      <c r="DE161" s="19">
        <v>0.70499999999999996</v>
      </c>
      <c r="DF161" s="19">
        <v>0.70499999999999996</v>
      </c>
      <c r="DH161" t="s">
        <v>80</v>
      </c>
      <c r="DI161">
        <v>0.77100000000000002</v>
      </c>
      <c r="DJ161">
        <v>0.82</v>
      </c>
      <c r="DM161">
        <v>0</v>
      </c>
      <c r="DN161">
        <v>1</v>
      </c>
      <c r="DO161">
        <v>0</v>
      </c>
      <c r="DP161" t="s">
        <v>258</v>
      </c>
      <c r="DQ161" t="s">
        <v>274</v>
      </c>
      <c r="DR161" t="s">
        <v>274</v>
      </c>
    </row>
  </sheetData>
  <autoFilter ref="A2:DT157" xr:uid="{CD4BA4F1-FBD4-134E-AEBD-98AB8B48AC70}">
    <filterColumn colId="0">
      <filters>
        <filter val="Use"/>
      </filters>
    </filterColumn>
  </autoFilter>
  <phoneticPr fontId="6" type="noConversion"/>
  <conditionalFormatting sqref="P1:P2">
    <cfRule type="duplicateValues" dxfId="37" priority="76"/>
  </conditionalFormatting>
  <conditionalFormatting sqref="P3:P31 P35 P38:P120">
    <cfRule type="duplicateValues" dxfId="36" priority="98"/>
    <cfRule type="duplicateValues" dxfId="35" priority="97"/>
  </conditionalFormatting>
  <conditionalFormatting sqref="P32">
    <cfRule type="duplicateValues" dxfId="34" priority="33"/>
    <cfRule type="duplicateValues" dxfId="33" priority="32"/>
  </conditionalFormatting>
  <conditionalFormatting sqref="P33">
    <cfRule type="duplicateValues" dxfId="32" priority="31"/>
    <cfRule type="duplicateValues" dxfId="31" priority="30"/>
  </conditionalFormatting>
  <conditionalFormatting sqref="P34">
    <cfRule type="duplicateValues" dxfId="30" priority="29"/>
    <cfRule type="duplicateValues" dxfId="29" priority="28"/>
  </conditionalFormatting>
  <conditionalFormatting sqref="P36">
    <cfRule type="duplicateValues" dxfId="28" priority="26"/>
    <cfRule type="duplicateValues" dxfId="27" priority="27"/>
  </conditionalFormatting>
  <conditionalFormatting sqref="P37">
    <cfRule type="duplicateValues" dxfId="26" priority="24"/>
    <cfRule type="duplicateValues" dxfId="25" priority="25"/>
  </conditionalFormatting>
  <conditionalFormatting sqref="P121">
    <cfRule type="duplicateValues" dxfId="24" priority="41"/>
    <cfRule type="duplicateValues" dxfId="23" priority="42"/>
  </conditionalFormatting>
  <conditionalFormatting sqref="P122">
    <cfRule type="duplicateValues" dxfId="22" priority="39"/>
    <cfRule type="duplicateValues" dxfId="21" priority="40"/>
  </conditionalFormatting>
  <conditionalFormatting sqref="P123">
    <cfRule type="duplicateValues" dxfId="20" priority="37"/>
    <cfRule type="duplicateValues" dxfId="19" priority="38"/>
  </conditionalFormatting>
  <conditionalFormatting sqref="P124:P131 P140:P147">
    <cfRule type="duplicateValues" dxfId="18" priority="35"/>
    <cfRule type="duplicateValues" dxfId="17" priority="36"/>
  </conditionalFormatting>
  <conditionalFormatting sqref="P131">
    <cfRule type="duplicateValues" dxfId="16" priority="23"/>
    <cfRule type="duplicateValues" dxfId="15" priority="22"/>
  </conditionalFormatting>
  <conditionalFormatting sqref="P132:P139">
    <cfRule type="duplicateValues" dxfId="14" priority="21"/>
    <cfRule type="duplicateValues" dxfId="13" priority="20"/>
  </conditionalFormatting>
  <conditionalFormatting sqref="P138:P139">
    <cfRule type="duplicateValues" dxfId="12" priority="19"/>
    <cfRule type="duplicateValues" dxfId="11" priority="18"/>
  </conditionalFormatting>
  <conditionalFormatting sqref="P148:P155">
    <cfRule type="duplicateValues" dxfId="10" priority="108"/>
    <cfRule type="duplicateValues" dxfId="9" priority="105"/>
    <cfRule type="duplicateValues" dxfId="8" priority="106"/>
    <cfRule type="duplicateValues" dxfId="7" priority="107"/>
  </conditionalFormatting>
  <conditionalFormatting sqref="P156:P157 P1:P31 P35 P38:P147 P162:P1048576">
    <cfRule type="duplicateValues" dxfId="6" priority="50"/>
    <cfRule type="duplicateValues" dxfId="5" priority="72"/>
  </conditionalFormatting>
  <conditionalFormatting sqref="P156:P157">
    <cfRule type="duplicateValues" dxfId="4" priority="5"/>
    <cfRule type="duplicateValues" dxfId="3" priority="4"/>
  </conditionalFormatting>
  <conditionalFormatting sqref="P157">
    <cfRule type="duplicateValues" dxfId="2" priority="3"/>
    <cfRule type="duplicateValues" dxfId="1" priority="2"/>
  </conditionalFormatting>
  <conditionalFormatting sqref="P158:P1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</vt:lpstr>
      <vt:lpstr>DFTL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Bakshi</dc:creator>
  <cp:lastModifiedBy>Alan Lee</cp:lastModifiedBy>
  <dcterms:created xsi:type="dcterms:W3CDTF">2025-03-13T20:23:28Z</dcterms:created>
  <dcterms:modified xsi:type="dcterms:W3CDTF">2025-08-06T04:02:38Z</dcterms:modified>
</cp:coreProperties>
</file>