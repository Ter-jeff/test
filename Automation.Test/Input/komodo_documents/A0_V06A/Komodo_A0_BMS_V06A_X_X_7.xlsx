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261A7581-F110-B24D-A2F4-E264C535788C}" xr6:coauthVersionLast="47" xr6:coauthVersionMax="47" xr10:uidLastSave="{00000000-0000-0000-0000-000000000000}"/>
  <bookViews>
    <workbookView xWindow="0" yWindow="760" windowWidth="34560" windowHeight="20420" xr2:uid="{00000000-000D-0000-FFFF-FFFF00000000}"/>
  </bookViews>
  <sheets>
    <sheet name="Revision" sheetId="2" r:id="rId1"/>
    <sheet name="preflow" sheetId="13" r:id="rId2"/>
    <sheet name="BV" sheetId="7" r:id="rId3"/>
    <sheet name="HBV" sheetId="11" r:id="rId4"/>
    <sheet name="PBC" sheetId="12" r:id="rId5"/>
  </sheets>
  <definedNames>
    <definedName name="_xlnm._FilterDatabase" localSheetId="2" hidden="1">BV!$A$1:$L$234</definedName>
    <definedName name="_xlnm._FilterDatabase" localSheetId="3" hidden="1">HBV!$A$1:$L$16</definedName>
    <definedName name="_xlnm._FilterDatabase" localSheetId="4" hidden="1">PBC!$A$1:$L$21</definedName>
    <definedName name="_xlnm._FilterDatabase" localSheetId="1" hidden="1">preflow!$A$1:$L$2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1" l="1"/>
  <c r="L19" i="11"/>
  <c r="L18" i="11"/>
  <c r="L17" i="11"/>
  <c r="L107" i="7" l="1"/>
  <c r="L106" i="7"/>
  <c r="L105" i="7"/>
  <c r="L104" i="7"/>
  <c r="L99" i="7"/>
  <c r="L98" i="7"/>
  <c r="L97" i="7"/>
  <c r="L96" i="7"/>
  <c r="L91" i="7"/>
  <c r="L90" i="7"/>
  <c r="L89" i="7"/>
  <c r="L88" i="7"/>
  <c r="L83" i="7"/>
  <c r="L82" i="7"/>
  <c r="L81" i="7"/>
  <c r="L80" i="7"/>
  <c r="L75" i="7"/>
  <c r="L74" i="7"/>
  <c r="L73" i="7"/>
  <c r="L72" i="7"/>
  <c r="L67" i="7"/>
  <c r="L66" i="7"/>
  <c r="L65" i="7"/>
  <c r="L64" i="7"/>
  <c r="L59" i="7"/>
  <c r="L58" i="7"/>
  <c r="L57" i="7"/>
  <c r="L56" i="7"/>
  <c r="L42" i="7"/>
  <c r="L41" i="7"/>
  <c r="L40" i="7"/>
  <c r="L39" i="7"/>
  <c r="L51" i="7"/>
  <c r="L50" i="7"/>
  <c r="L47" i="7"/>
  <c r="L48" i="7"/>
  <c r="L23" i="12" l="1"/>
  <c r="L22" i="12"/>
  <c r="L21" i="12" l="1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6" i="11" l="1"/>
  <c r="L94" i="7"/>
  <c r="L86" i="7"/>
  <c r="L70" i="7"/>
  <c r="L62" i="7"/>
  <c r="L54" i="7"/>
  <c r="L34" i="7"/>
  <c r="L33" i="7"/>
  <c r="L22" i="7"/>
  <c r="L21" i="7"/>
  <c r="L27" i="7"/>
  <c r="L16" i="7"/>
  <c r="L7" i="7"/>
  <c r="L8" i="7"/>
  <c r="L182" i="7"/>
  <c r="L46" i="7"/>
  <c r="L101" i="7"/>
  <c r="L77" i="7" l="1"/>
  <c r="L28" i="7" l="1"/>
  <c r="L186" i="7"/>
  <c r="L127" i="7"/>
  <c r="L126" i="7"/>
  <c r="L125" i="7"/>
  <c r="L111" i="7"/>
  <c r="L110" i="7"/>
  <c r="L103" i="7"/>
  <c r="L102" i="7"/>
  <c r="L100" i="7"/>
  <c r="L45" i="7"/>
  <c r="L37" i="7"/>
  <c r="L32" i="7" l="1"/>
  <c r="L26" i="7"/>
  <c r="L20" i="7"/>
  <c r="L14" i="7"/>
  <c r="L13" i="7"/>
  <c r="L6" i="7"/>
  <c r="L16" i="11" l="1"/>
  <c r="L12" i="11"/>
  <c r="L124" i="7"/>
  <c r="L123" i="7"/>
  <c r="L122" i="7"/>
  <c r="L15" i="11"/>
  <c r="L14" i="11"/>
  <c r="L13" i="11"/>
  <c r="L11" i="11"/>
  <c r="L10" i="11"/>
  <c r="L9" i="11"/>
  <c r="L8" i="11"/>
  <c r="L7" i="11"/>
  <c r="L5" i="11"/>
  <c r="L4" i="11"/>
  <c r="L3" i="11"/>
  <c r="L2" i="11"/>
  <c r="L226" i="7"/>
  <c r="L225" i="7"/>
  <c r="L224" i="7"/>
  <c r="L223" i="7"/>
  <c r="L222" i="7"/>
  <c r="L221" i="7"/>
  <c r="L220" i="7"/>
  <c r="L219" i="7"/>
  <c r="L214" i="7"/>
  <c r="L213" i="7"/>
  <c r="L212" i="7"/>
  <c r="L211" i="7"/>
  <c r="L210" i="7"/>
  <c r="L209" i="7"/>
  <c r="L208" i="7"/>
  <c r="L207" i="7"/>
  <c r="L202" i="7"/>
  <c r="L201" i="7"/>
  <c r="L200" i="7"/>
  <c r="L199" i="7"/>
  <c r="L198" i="7"/>
  <c r="L197" i="7"/>
  <c r="L196" i="7"/>
  <c r="L195" i="7"/>
  <c r="L234" i="7"/>
  <c r="L233" i="7"/>
  <c r="L232" i="7"/>
  <c r="L231" i="7"/>
  <c r="L230" i="7"/>
  <c r="L229" i="7"/>
  <c r="L228" i="7"/>
  <c r="L227" i="7"/>
  <c r="L218" i="7"/>
  <c r="L217" i="7"/>
  <c r="L216" i="7"/>
  <c r="L215" i="7"/>
  <c r="L206" i="7"/>
  <c r="L205" i="7"/>
  <c r="L204" i="7"/>
  <c r="L203" i="7"/>
  <c r="L194" i="7"/>
  <c r="L193" i="7"/>
  <c r="L192" i="7"/>
  <c r="L191" i="7"/>
  <c r="L190" i="7"/>
  <c r="L189" i="7"/>
  <c r="L188" i="7"/>
  <c r="L187" i="7"/>
  <c r="L185" i="7"/>
  <c r="L184" i="7"/>
  <c r="L183" i="7"/>
  <c r="L181" i="7"/>
  <c r="L180" i="7"/>
  <c r="L179" i="7"/>
  <c r="L178" i="7"/>
  <c r="L177" i="7"/>
  <c r="L176" i="7"/>
  <c r="L173" i="7"/>
  <c r="L172" i="7"/>
  <c r="L171" i="7"/>
  <c r="L170" i="7"/>
  <c r="L167" i="7"/>
  <c r="L166" i="7"/>
  <c r="L175" i="7"/>
  <c r="L174" i="7"/>
  <c r="L169" i="7"/>
  <c r="L168" i="7"/>
  <c r="L165" i="7"/>
  <c r="L164" i="7"/>
  <c r="L163" i="7"/>
  <c r="L162" i="7"/>
  <c r="L161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2" i="7"/>
  <c r="L141" i="7"/>
  <c r="L140" i="7"/>
  <c r="L139" i="7"/>
  <c r="L138" i="7"/>
  <c r="L137" i="7"/>
  <c r="L136" i="7"/>
  <c r="L135" i="7"/>
  <c r="L134" i="7"/>
  <c r="L130" i="7"/>
  <c r="L129" i="7"/>
  <c r="L128" i="7"/>
  <c r="L145" i="7"/>
  <c r="L144" i="7"/>
  <c r="L143" i="7"/>
  <c r="L133" i="7"/>
  <c r="L132" i="7"/>
  <c r="L131" i="7"/>
  <c r="L121" i="7"/>
  <c r="L120" i="7"/>
  <c r="L119" i="7"/>
  <c r="L160" i="7"/>
  <c r="L159" i="7"/>
  <c r="L158" i="7"/>
  <c r="L118" i="7"/>
  <c r="L117" i="7"/>
  <c r="L116" i="7"/>
  <c r="L115" i="7"/>
  <c r="L114" i="7"/>
  <c r="L113" i="7"/>
  <c r="L112" i="7"/>
  <c r="L109" i="7"/>
  <c r="L108" i="7"/>
  <c r="L95" i="7"/>
  <c r="L93" i="7"/>
  <c r="L92" i="7"/>
  <c r="L87" i="7"/>
  <c r="L85" i="7"/>
  <c r="L84" i="7"/>
  <c r="L71" i="7"/>
  <c r="L69" i="7"/>
  <c r="L68" i="7"/>
  <c r="L63" i="7"/>
  <c r="L61" i="7"/>
  <c r="L60" i="7"/>
  <c r="L79" i="7"/>
  <c r="L78" i="7"/>
  <c r="L76" i="7"/>
  <c r="L55" i="7"/>
  <c r="L53" i="7"/>
  <c r="L52" i="7"/>
  <c r="L49" i="7"/>
  <c r="L44" i="7"/>
  <c r="L43" i="7"/>
  <c r="L38" i="7"/>
  <c r="L36" i="7"/>
  <c r="L35" i="7"/>
  <c r="L31" i="7"/>
  <c r="L30" i="7"/>
  <c r="L29" i="7"/>
  <c r="L25" i="7"/>
  <c r="L24" i="7"/>
  <c r="L23" i="7"/>
  <c r="L19" i="7"/>
  <c r="L18" i="7"/>
  <c r="L17" i="7"/>
  <c r="L15" i="7"/>
  <c r="L12" i="7"/>
  <c r="L11" i="7"/>
  <c r="L10" i="7"/>
  <c r="L9" i="7"/>
  <c r="L5" i="7"/>
  <c r="L4" i="7"/>
  <c r="L3" i="7"/>
  <c r="L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tc={791D783D-4BDF-2347-8CEE-4B391EA5A4E0}</author>
    <author>tc={6C7E95ED-B06E-3340-B311-61639660D375}</author>
    <author>tc={2F68822E-AAD0-4042-876F-018495437664}</author>
    <author>tc={7E1AEF66-AB79-9D4A-BDA3-129A3C848443}</author>
    <author>tc={8BF2ACF9-546F-7940-860B-E002B234140D}</author>
  </authors>
  <commentList>
    <comment ref="A1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1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1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tc={CA1C6AC1-B6D5-4D48-AEAB-5674673060A6}</author>
    <author>tc={87ADF591-9FC7-FD4E-B2C5-11ECA6E2B45B}</author>
    <author>tc={DD44A62E-9BDB-CA49-B45F-2B4DE74695F3}</author>
    <author>tc={7C9A7B21-1E9B-0749-B0FC-870DA47B30C2}</author>
    <author>tc={2840B0EA-702B-6C41-BD86-C313580C92D0}</author>
  </authors>
  <commentList>
    <comment ref="A1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tc={EFB5306B-F9E9-CF44-AAF0-FBE2D697161C}</author>
    <author>tc={33B722BA-9025-7A48-963A-755DAE82C1F7}</author>
    <author>tc={D9DF3235-31FD-8046-A57B-9016D2D388D6}</author>
    <author>tc={3F609DAD-D97C-EF4E-993C-939A53F34BBB}</author>
    <author>tc={38744B11-E8E0-754E-B60B-A8367BCAB71B}</author>
  </authors>
  <commentList>
    <comment ref="A1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3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3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3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3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tc={A3D49017-5991-A94B-BA97-115034751D76}</author>
    <author>tc={4B9F0448-AADE-EC40-81C5-B24ECC776E42}</author>
    <author>tc={050FE8B8-129E-1C4A-B08C-EDDEAF28715A}</author>
    <author>tc={C1DD1B37-47C0-D84C-B573-BEE1753451A6}</author>
    <author>tc={4157022E-40D6-1945-B9E3-C98A28F45914}</author>
    <author>tc={34E1BF17-3597-AF45-86DA-DCC00305C445}</author>
    <author>tc={401B3975-7977-8644-964C-8331AC2A0472}</author>
    <author>tc={97C52589-384A-654E-8C61-8237AFB19779}</author>
  </authors>
  <commentList>
    <comment ref="A1" authorId="0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4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4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4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4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  <comment ref="C12" authorId="5" shapeId="0" xr:uid="{00000000-0006-0000-04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Hidra 01A ??</t>
      </text>
    </comment>
    <comment ref="C16" authorId="6" shapeId="0" xr:uid="{00000000-0006-0000-04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MRLC001 in Hidra???</t>
      </text>
    </comment>
    <comment ref="C19" authorId="7" shapeId="0" xr:uid="{00000000-0006-0000-04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F ??</t>
      </text>
    </comment>
  </commentList>
</comments>
</file>

<file path=xl/sharedStrings.xml><?xml version="1.0" encoding="utf-8"?>
<sst xmlns="http://schemas.openxmlformats.org/spreadsheetml/2006/main" count="2399" uniqueCount="427">
  <si>
    <t>Performance Mode</t>
  </si>
  <si>
    <t>MS001</t>
  </si>
  <si>
    <t>MS002</t>
  </si>
  <si>
    <t>MS003</t>
  </si>
  <si>
    <t>MD001</t>
  </si>
  <si>
    <t>MD002</t>
  </si>
  <si>
    <t>MD003</t>
  </si>
  <si>
    <t>MD004</t>
  </si>
  <si>
    <t>MD005</t>
  </si>
  <si>
    <t>MI001</t>
  </si>
  <si>
    <t>MI002</t>
  </si>
  <si>
    <t>MI003</t>
  </si>
  <si>
    <t>MG001</t>
  </si>
  <si>
    <t>MG002</t>
  </si>
  <si>
    <t>MG003</t>
  </si>
  <si>
    <t>MG004</t>
  </si>
  <si>
    <t>MG005</t>
  </si>
  <si>
    <t>MG006</t>
  </si>
  <si>
    <t>MG007</t>
  </si>
  <si>
    <t>MG008</t>
  </si>
  <si>
    <t>ME001</t>
  </si>
  <si>
    <t>ME002</t>
  </si>
  <si>
    <t>ME003</t>
  </si>
  <si>
    <t>ME004</t>
  </si>
  <si>
    <t>ME005</t>
  </si>
  <si>
    <t>MP001</t>
  </si>
  <si>
    <t>MP002</t>
  </si>
  <si>
    <t>MP003</t>
  </si>
  <si>
    <t>MP004</t>
  </si>
  <si>
    <t>MP005</t>
  </si>
  <si>
    <t>MP006</t>
  </si>
  <si>
    <t>MP007</t>
  </si>
  <si>
    <t>MP008</t>
  </si>
  <si>
    <t>MP009</t>
  </si>
  <si>
    <t>MP00A</t>
  </si>
  <si>
    <t>MP00B</t>
  </si>
  <si>
    <t>MP00C</t>
  </si>
  <si>
    <t>MP00D</t>
  </si>
  <si>
    <t>Author</t>
  </si>
  <si>
    <t>Date</t>
  </si>
  <si>
    <t>Change Description</t>
  </si>
  <si>
    <t>CP1</t>
  </si>
  <si>
    <t>CP2</t>
  </si>
  <si>
    <t>ME006</t>
  </si>
  <si>
    <t>ME007</t>
  </si>
  <si>
    <t>Program</t>
  </si>
  <si>
    <t>Silicon</t>
  </si>
  <si>
    <t>A0</t>
  </si>
  <si>
    <t>MD006</t>
  </si>
  <si>
    <t>MS004</t>
  </si>
  <si>
    <t>MG009</t>
  </si>
  <si>
    <t>FT1</t>
  </si>
  <si>
    <t>FT2</t>
  </si>
  <si>
    <t>comment</t>
  </si>
  <si>
    <t>MS001_SRT_PBC</t>
  </si>
  <si>
    <t>PBC</t>
  </si>
  <si>
    <t>Index</t>
  </si>
  <si>
    <t>MS005</t>
  </si>
  <si>
    <t>MD007</t>
  </si>
  <si>
    <t>MG00C</t>
  </si>
  <si>
    <t>MG00A</t>
  </si>
  <si>
    <t>MG00B</t>
  </si>
  <si>
    <t>blue</t>
  </si>
  <si>
    <t>orange</t>
  </si>
  <si>
    <t>yellow</t>
  </si>
  <si>
    <t>Color</t>
  </si>
  <si>
    <t>None</t>
  </si>
  <si>
    <t>Low Mode</t>
  </si>
  <si>
    <t>High Mode</t>
  </si>
  <si>
    <t>Mid Mode</t>
  </si>
  <si>
    <t>ME009_WUS_PBC</t>
  </si>
  <si>
    <t>MS005_SFT_PBC</t>
  </si>
  <si>
    <t>MS005_TD_PBC</t>
  </si>
  <si>
    <t>Low Mode - 59N SP1 SP3 SP5 LATR</t>
  </si>
  <si>
    <t>High Mode - 59N SP1 SP3 SP5 LATRNAMX</t>
  </si>
  <si>
    <t>High Mode - LATR</t>
  </si>
  <si>
    <t>Mid Mode - LATR</t>
  </si>
  <si>
    <t>Low Mode - 59N SP1 SP3 SP4 SP5 LATR</t>
  </si>
  <si>
    <t>High Mode - 59N SP1 SP3 SP4 SP5 LATRNAMX</t>
  </si>
  <si>
    <t>ME009</t>
  </si>
  <si>
    <t>SRT + NRT</t>
  </si>
  <si>
    <t>ME009_24N_PBC</t>
  </si>
  <si>
    <t>SubFlow</t>
  </si>
  <si>
    <t>MS001_SSBI_PBC</t>
  </si>
  <si>
    <t>MS001_Domain_PBC</t>
  </si>
  <si>
    <t>MS005_Domain_PBC</t>
  </si>
  <si>
    <t>run all Domain# once</t>
  </si>
  <si>
    <t>MP002 / ME003</t>
  </si>
  <si>
    <t>MP001 / ME001</t>
  </si>
  <si>
    <t>MP001_CEXTEST_PBC</t>
  </si>
  <si>
    <t>MP00H_CEXTEST_PBC</t>
  </si>
  <si>
    <t>ME001_CEXTEST_PBC</t>
  </si>
  <si>
    <t>ME009_CEXTEST_PBC</t>
  </si>
  <si>
    <t>Low Mode - UNC TD Low/High Modes only</t>
  </si>
  <si>
    <t>High Mode - UNC TD Low/High Modes only</t>
  </si>
  <si>
    <t>MD008</t>
  </si>
  <si>
    <t>MG00D</t>
  </si>
  <si>
    <t>MP00I</t>
  </si>
  <si>
    <t>MP00J_WUS_PBC</t>
  </si>
  <si>
    <t>Turbo</t>
  </si>
  <si>
    <t>Turbo - 59N SP1 SP3 SP4 SP5 LATRNAMX</t>
  </si>
  <si>
    <t>Turbo - CPUTD 1P DIV133</t>
  </si>
  <si>
    <t>MS001_CXT_PBC</t>
  </si>
  <si>
    <t>MS005_CXT_PBC</t>
  </si>
  <si>
    <t>MP00J</t>
  </si>
  <si>
    <t>Enable</t>
  </si>
  <si>
    <t>none</t>
  </si>
  <si>
    <t>MSX001 SOC TD</t>
  </si>
  <si>
    <t>MSX001 SOC BIST</t>
  </si>
  <si>
    <t>MS001_GPU</t>
  </si>
  <si>
    <t>MSX001 GPU TD</t>
  </si>
  <si>
    <t>MSX001 GPU BIST</t>
  </si>
  <si>
    <t>MSX005 SOC TD</t>
  </si>
  <si>
    <t>MSX005 SOC BIST MRCL</t>
  </si>
  <si>
    <t>MS005_GPU</t>
  </si>
  <si>
    <t>MSX005 GPU TD</t>
  </si>
  <si>
    <t>MSX005 GPU BIST</t>
  </si>
  <si>
    <t>MSX005 SOC SBST</t>
  </si>
  <si>
    <t>MSX003 SOC TD</t>
  </si>
  <si>
    <t>MS003_GPU</t>
  </si>
  <si>
    <t>MSX003 GPU TD</t>
  </si>
  <si>
    <t>MSX003 SOC BIST</t>
  </si>
  <si>
    <t>MSX002 SOC TD</t>
  </si>
  <si>
    <t>MS002_GPU</t>
  </si>
  <si>
    <t>MSX002 GPU TD</t>
  </si>
  <si>
    <t>MSX002 SOC BIST</t>
  </si>
  <si>
    <t>MSX004 SOC TD</t>
  </si>
  <si>
    <t>MS004_GPU</t>
  </si>
  <si>
    <t>MSX004 GPU TD</t>
  </si>
  <si>
    <t>MSX004 SOC BIST</t>
  </si>
  <si>
    <t>MDX001 SOC TD</t>
  </si>
  <si>
    <t>MDX001 SOC BIST</t>
  </si>
  <si>
    <t>MDX001 HIP</t>
  </si>
  <si>
    <t>MDX008 SOC TD</t>
  </si>
  <si>
    <t>MDX008 SOC BIST</t>
  </si>
  <si>
    <t>MDX008 HIP</t>
  </si>
  <si>
    <t>MDX002 SOC TD</t>
  </si>
  <si>
    <t>MDX002 SOC BIST</t>
  </si>
  <si>
    <t>MDX002 HIP</t>
  </si>
  <si>
    <t>MDX005 SOC TD</t>
  </si>
  <si>
    <t>MDX005 SOC BIST</t>
  </si>
  <si>
    <t>MDX005 HIP</t>
  </si>
  <si>
    <t>MDX003 SOC TD</t>
  </si>
  <si>
    <t>MDX003 SOC BIST</t>
  </si>
  <si>
    <t>MDX003 HIP</t>
  </si>
  <si>
    <t>MDX004 SOC TD</t>
  </si>
  <si>
    <t>MDX004 SOC BIST</t>
  </si>
  <si>
    <t>MDX004 HIP</t>
  </si>
  <si>
    <t>MDX006 SOC TD</t>
  </si>
  <si>
    <t>MDX006 SOC BIST</t>
  </si>
  <si>
    <t>MDX006 HIP</t>
  </si>
  <si>
    <t>MDX007 SOC TD</t>
  </si>
  <si>
    <t>MDX007 SOC BIST</t>
  </si>
  <si>
    <t>MDX007 HIP</t>
  </si>
  <si>
    <t>MIX001 SOC TD</t>
  </si>
  <si>
    <t>MIX001 SOC BIST</t>
  </si>
  <si>
    <t>MIX002 SOC TD</t>
  </si>
  <si>
    <t>MIX002 SOC BIST</t>
  </si>
  <si>
    <t>MIX003 SOC TD</t>
  </si>
  <si>
    <t>MIX003 SOC BIST</t>
  </si>
  <si>
    <t>MGX001 GPU TD</t>
  </si>
  <si>
    <t>MGX001 GPU BIST</t>
  </si>
  <si>
    <t>Set_E1_Voltage</t>
  </si>
  <si>
    <t>MGX00C GPU TD</t>
  </si>
  <si>
    <t>MGX00C GPU BIST</t>
  </si>
  <si>
    <t>MGX00D GPU TD</t>
  </si>
  <si>
    <t>MGX00D GPU BIST</t>
  </si>
  <si>
    <t>MGX003 GPU TD</t>
  </si>
  <si>
    <t>MGX003 GPU BIST</t>
  </si>
  <si>
    <t>MGX007 GPU TD</t>
  </si>
  <si>
    <t>MGX007 GPU BIST</t>
  </si>
  <si>
    <t>MGX002 GPU TD</t>
  </si>
  <si>
    <t>MGX002 GPU BIST</t>
  </si>
  <si>
    <t>MGX004 GPU TD</t>
  </si>
  <si>
    <t>MGX004 GPU BIST</t>
  </si>
  <si>
    <t>MGX005 GPU TD</t>
  </si>
  <si>
    <t>MGX005 GPU BIST</t>
  </si>
  <si>
    <t>MGX006 GPU TD</t>
  </si>
  <si>
    <t>MGX006 GPU BIST</t>
  </si>
  <si>
    <t>MGX008 GPU TD</t>
  </si>
  <si>
    <t>MGX008 GPU BIST</t>
  </si>
  <si>
    <t>MGX009 GPU TD</t>
  </si>
  <si>
    <t>MGX009 GPU BIST</t>
  </si>
  <si>
    <t>MGX00A GPU TD</t>
  </si>
  <si>
    <t>MGX00A GPU BIST</t>
  </si>
  <si>
    <t>MGX00B GPU TD</t>
  </si>
  <si>
    <t>MGX00B GPU BIST</t>
  </si>
  <si>
    <t>MEX001 CPU TD</t>
  </si>
  <si>
    <t>ME001_CXD</t>
  </si>
  <si>
    <t>MEX001 CPU BIST</t>
  </si>
  <si>
    <t>MEX008 CPU TD</t>
  </si>
  <si>
    <t>MEX009 CPU BIST</t>
  </si>
  <si>
    <t>MEX007 CPU BIST</t>
  </si>
  <si>
    <t>MEX003 CPU TD</t>
  </si>
  <si>
    <t>MEX003 CPU BIST</t>
  </si>
  <si>
    <t>MEX006 CPU TD</t>
  </si>
  <si>
    <t>MEX006 CPU BIST</t>
  </si>
  <si>
    <t>MEX002 CPU TD</t>
  </si>
  <si>
    <t>MEX002 CPU BIST</t>
  </si>
  <si>
    <t>MEX004 CPU TD</t>
  </si>
  <si>
    <t>MEX004 CPU BIST</t>
  </si>
  <si>
    <t>MEX005 CPU TD</t>
  </si>
  <si>
    <t>MEX005 CPU BIST</t>
  </si>
  <si>
    <t>MPX001 CPU TD</t>
  </si>
  <si>
    <t>MPX001 SOC TD</t>
  </si>
  <si>
    <t>MP001_CXD</t>
  </si>
  <si>
    <t>MPX001 CPU BIST</t>
  </si>
  <si>
    <t>MPX001 SOC BIST</t>
  </si>
  <si>
    <t>MPX00D SOC TD</t>
  </si>
  <si>
    <t>MPX00D SOC BIST</t>
  </si>
  <si>
    <t>MPX00I CPU TD</t>
  </si>
  <si>
    <t>MPX002 CPU TD</t>
  </si>
  <si>
    <t>MPX002 SOC TD</t>
  </si>
  <si>
    <t>MPX002 CPU BIST</t>
  </si>
  <si>
    <t>MPX002 SOC BIST</t>
  </si>
  <si>
    <t>MPX005 CPU TD</t>
  </si>
  <si>
    <t>MPX005 SOC TD</t>
  </si>
  <si>
    <t>MPX005 CPU BIST</t>
  </si>
  <si>
    <t>MPX005 SOC BIST</t>
  </si>
  <si>
    <t>MPX008 CPU TD</t>
  </si>
  <si>
    <t>MPX008 SOC TD</t>
  </si>
  <si>
    <t>MPX008 CPU BIST</t>
  </si>
  <si>
    <t>MPX008 SOC BIST</t>
  </si>
  <si>
    <t>MPX00B CPU TD</t>
  </si>
  <si>
    <t>MPX00B SOC TD</t>
  </si>
  <si>
    <t>MPX00B CPU BIST</t>
  </si>
  <si>
    <t>MPX00B SOC BIST</t>
  </si>
  <si>
    <t>MPX00C CPU TD</t>
  </si>
  <si>
    <t>MPX00C SOC TD</t>
  </si>
  <si>
    <t>MPX00C CPU BIST</t>
  </si>
  <si>
    <t>MPX00C SOC BIST</t>
  </si>
  <si>
    <t>MPX003 CPU TD</t>
  </si>
  <si>
    <t>MPX003 SOC TD</t>
  </si>
  <si>
    <t>MPX003 CPU BIST</t>
  </si>
  <si>
    <t>MPX003 SOC BIST</t>
  </si>
  <si>
    <t>MPX004 CPU TD</t>
  </si>
  <si>
    <t>MPX004 SOC TD</t>
  </si>
  <si>
    <t>MPX004 CPU BIST</t>
  </si>
  <si>
    <t>MPX004 SOC BIST</t>
  </si>
  <si>
    <t>MPX006 CPU TD</t>
  </si>
  <si>
    <t>MPX006 SOC TD</t>
  </si>
  <si>
    <t>MPX006 CPU BIST</t>
  </si>
  <si>
    <t>MPX006 SOC BIST</t>
  </si>
  <si>
    <t>MPX007 CPU TD</t>
  </si>
  <si>
    <t>MPX007 SOC TD</t>
  </si>
  <si>
    <t>MPX007 CPU BIST</t>
  </si>
  <si>
    <t>MPX007 SOC BIST</t>
  </si>
  <si>
    <t>MPX009 CPU TD</t>
  </si>
  <si>
    <t>MPX009 SOC TD</t>
  </si>
  <si>
    <t>MPX009 CPU BIST</t>
  </si>
  <si>
    <t>MPX009 SOC BIST</t>
  </si>
  <si>
    <t>MPX00A CPU TD</t>
  </si>
  <si>
    <t>MPX00A SOC TD</t>
  </si>
  <si>
    <t>MPX00A CPU BIST</t>
  </si>
  <si>
    <t>MPX00A SOC BIST</t>
  </si>
  <si>
    <t>MEX008 CPU TD HBV</t>
  </si>
  <si>
    <t>MEX007 CPU BIST LATR HBV</t>
  </si>
  <si>
    <t>MEX008 TD CEXTEST HBV</t>
  </si>
  <si>
    <t>MGX00D GPU TD HBV</t>
  </si>
  <si>
    <t>MSX005 CPU TD DOMAIN HBV</t>
  </si>
  <si>
    <t>MSX001 BIST SRT PBC</t>
  </si>
  <si>
    <t>MSX005 BIST SFT PBC</t>
  </si>
  <si>
    <t>MSX001 CPU TD DOMAIN PBC</t>
  </si>
  <si>
    <t>MSX005 CPU TD DOMAIN PBC</t>
  </si>
  <si>
    <t>MEX009 BIST WUS PBC</t>
  </si>
  <si>
    <t>MEX009 BIST 24N PBC</t>
  </si>
  <si>
    <t>MDX001 SOC SBST PBC</t>
  </si>
  <si>
    <t>MSX001 SOC TD CUX PBC</t>
  </si>
  <si>
    <t>MSX001 SOC TD CXT PBC</t>
  </si>
  <si>
    <t>MSX005 SOC TD CXT PBC</t>
  </si>
  <si>
    <t>MPX001 TD CEXTEST PBC</t>
  </si>
  <si>
    <t>MPX00F TD CEXTEST PBC</t>
  </si>
  <si>
    <t>MEX001 TD CEXTEST PBC</t>
  </si>
  <si>
    <t>MEX008 TD CEXTEST PBC</t>
  </si>
  <si>
    <t>Type</t>
  </si>
  <si>
    <t>BV</t>
  </si>
  <si>
    <t>HBV</t>
  </si>
  <si>
    <t>TRUE</t>
  </si>
  <si>
    <t/>
  </si>
  <si>
    <t>PRE</t>
  </si>
  <si>
    <t>MG00E</t>
  </si>
  <si>
    <t>MGX00E GPU TD</t>
  </si>
  <si>
    <t>MGX00E GPU BIST</t>
  </si>
  <si>
    <t>MGX00E GPU TD HBV</t>
  </si>
  <si>
    <t>Strted from Hidra BMS</t>
  </si>
  <si>
    <t>Srinivason</t>
  </si>
  <si>
    <t>MS001_CPU</t>
  </si>
  <si>
    <t>MS005_CPU</t>
  </si>
  <si>
    <t>MSX005 CPU TD DOMAIN</t>
  </si>
  <si>
    <t>MSX005 SOC TD MRCL</t>
  </si>
  <si>
    <t>MS003_CPU</t>
  </si>
  <si>
    <t>MSX003 CPU TD DOMAIN</t>
  </si>
  <si>
    <t>MS002_CPU</t>
  </si>
  <si>
    <t>MSX002 CPU TD DOMAIN</t>
  </si>
  <si>
    <t>MS004_CPU</t>
  </si>
  <si>
    <t>MSX004 CPU TD DOMAIN</t>
  </si>
  <si>
    <t>MD009</t>
  </si>
  <si>
    <t>MDX009 SOC TD</t>
  </si>
  <si>
    <t>MDX009 SOC BIST</t>
  </si>
  <si>
    <t>MDX009 HIP</t>
  </si>
  <si>
    <t>MI004</t>
  </si>
  <si>
    <t>MIX004 SOC TD</t>
  </si>
  <si>
    <t>MIX004 SOC BIST</t>
  </si>
  <si>
    <t>MG00F</t>
  </si>
  <si>
    <t>MGX00F GPU TD</t>
  </si>
  <si>
    <t>MGX00F GPU BIST</t>
  </si>
  <si>
    <t>High Mode (last ANE freq change)</t>
  </si>
  <si>
    <t>MPX00E CPU TD</t>
  </si>
  <si>
    <t>High Mode (last 6C mode)</t>
  </si>
  <si>
    <t>MPX00H CPU BIST</t>
  </si>
  <si>
    <t>MPX00J CPU TD</t>
  </si>
  <si>
    <t>MPX00K CPU TD</t>
  </si>
  <si>
    <t>MPX00K CPU BIST</t>
  </si>
  <si>
    <t>POR TOP mode - 1P pattern</t>
  </si>
  <si>
    <t>MP00K</t>
  </si>
  <si>
    <t>High Mode - LATR only</t>
  </si>
  <si>
    <t>High Mode - MS003 voltage</t>
  </si>
  <si>
    <t>Mid Mode - MD009 voltage</t>
  </si>
  <si>
    <t>MPX00J CPU TD HBV</t>
  </si>
  <si>
    <t>MGX00F GPU TD HBV</t>
  </si>
  <si>
    <t>MDS059 SOC SBST HBV</t>
  </si>
  <si>
    <t>GPU Turbo</t>
  </si>
  <si>
    <t>HCPU Turbo - 1P div133</t>
  </si>
  <si>
    <t>MP00I_WUS_PBC</t>
  </si>
  <si>
    <t>MP00I_24N_PBC</t>
  </si>
  <si>
    <t>MDS059 SOC SBST PBC</t>
  </si>
  <si>
    <t>MPX00I BIST WUS PBC</t>
  </si>
  <si>
    <t>MPX00I BIST 24N PBC</t>
  </si>
  <si>
    <t>Turbo No Binout</t>
  </si>
  <si>
    <t>MPX00K BIST 24N PBC</t>
  </si>
  <si>
    <t>MPX00K BIST WUS PBC</t>
  </si>
  <si>
    <t>Mp00D-MP00I binned together</t>
  </si>
  <si>
    <t>MPX00I CPU TD HBV</t>
  </si>
  <si>
    <t>MD005_SSB</t>
  </si>
  <si>
    <t>Mid Mode - MS001 voltage</t>
  </si>
  <si>
    <t>MD008_SSB</t>
  </si>
  <si>
    <t>Mid Mode - MS002 voltage</t>
  </si>
  <si>
    <t>High Mode - MS005 voltage</t>
  </si>
  <si>
    <t>Made changes to PBC and HBV sections based on review with TE's</t>
  </si>
  <si>
    <t>Revision</t>
  </si>
  <si>
    <t>MPX00E CPU BIST</t>
  </si>
  <si>
    <t>MD009_SSBI_PBC</t>
  </si>
  <si>
    <t>MDX009 SOC SBST PBC</t>
  </si>
  <si>
    <t xml:space="preserve">Added MPX00E for PCPU LATR. </t>
  </si>
  <si>
    <t>MSX003 SOC SBST</t>
  </si>
  <si>
    <t>MDX001 SOC SBST</t>
  </si>
  <si>
    <t>MDX009 SOC SBST</t>
  </si>
  <si>
    <t>MDX005 SOC SBST</t>
  </si>
  <si>
    <t>MDX008 SOC SBST</t>
  </si>
  <si>
    <t>Alan</t>
  </si>
  <si>
    <t>Standardize SBST SubFlow name to &lt;pmode&gt; SOC SBST</t>
  </si>
  <si>
    <t>MS003_SSB</t>
  </si>
  <si>
    <t>Matched PerfMode MS003_SSB with Bincut Table</t>
  </si>
  <si>
    <t>MSX005 SOC TD HBV</t>
  </si>
  <si>
    <t xml:space="preserve">Removed name "FT2" from subflow name MS005 SOC TD HBV FT2 </t>
  </si>
  <si>
    <t>V01A</t>
  </si>
  <si>
    <t>Added name "TD" to subflow name MSX001 CPU Domain</t>
  </si>
  <si>
    <t>MSX001 CPU TD DOMAIN</t>
  </si>
  <si>
    <t>BV: Changed "MSX001 CPU DOMAIN" to "MSX001 CPU TD DOMAIN". (added "TD").</t>
  </si>
  <si>
    <t>Toby</t>
  </si>
  <si>
    <t>MPX00G CPU TD</t>
  </si>
  <si>
    <t>High Mode (2C mode)</t>
  </si>
  <si>
    <t>MPX00G CPU TD HBV</t>
  </si>
  <si>
    <t>MPX00G TD CEXTEST HBV</t>
  </si>
  <si>
    <t>Changed High mode CPU TD from Mode F -&gt; Mode G based on Ben's feedback.</t>
  </si>
  <si>
    <t>Fred</t>
  </si>
  <si>
    <t>updated MPX00D bin together mode CPUTD test.</t>
  </si>
  <si>
    <t>updated HBV for PCPU top mode</t>
  </si>
  <si>
    <t>added additional SSB tests</t>
  </si>
  <si>
    <t>MSX001 SOC SBST</t>
  </si>
  <si>
    <t>MS001_SSB</t>
  </si>
  <si>
    <t>MS005_SSB</t>
  </si>
  <si>
    <t>MD009_SSB</t>
  </si>
  <si>
    <t>MD001_SSB</t>
  </si>
  <si>
    <t>MS002_SSB</t>
  </si>
  <si>
    <t>MSX002 SOC SBST</t>
  </si>
  <si>
    <t>MS004_SSB</t>
  </si>
  <si>
    <t>MSX004 SOC SBST</t>
  </si>
  <si>
    <t>MD002_SSB</t>
  </si>
  <si>
    <t>MDX002 SOC SBST</t>
  </si>
  <si>
    <t>MD003_SSB</t>
  </si>
  <si>
    <t>MDX003 SOC SBST</t>
  </si>
  <si>
    <t>MD004_SSB</t>
  </si>
  <si>
    <t>MDX004 SOC SBST</t>
  </si>
  <si>
    <t>MD006_SSB</t>
  </si>
  <si>
    <t>MDX006 SOC SBST</t>
  </si>
  <si>
    <t>MD007_SSB</t>
  </si>
  <si>
    <t>MDX007 SOC SBST</t>
  </si>
  <si>
    <t>MD009_SSB59</t>
  </si>
  <si>
    <t>MDS049 SOC SBST</t>
  </si>
  <si>
    <t>MDS039 SOC SBST</t>
  </si>
  <si>
    <t>MDS059 SOC SBST</t>
  </si>
  <si>
    <t>MDS015 SOC SBST</t>
  </si>
  <si>
    <t>MDS028 SOC SBST</t>
  </si>
  <si>
    <t>Rename SBST SubFlow names with SSBI to SOC SBST</t>
  </si>
  <si>
    <t>MPX00D SOC TD HBV</t>
  </si>
  <si>
    <t>Add MPX00D SOC TD HBV across stages.  Remove SOC HBV in CP1 - covered in Outsdie BV.</t>
  </si>
  <si>
    <t>Add missing CP2 MP High Mode HBV</t>
  </si>
  <si>
    <t>added ANE to PBC for CP2/FT2</t>
  </si>
  <si>
    <t>V04A</t>
  </si>
  <si>
    <t>Copied V01A V17 to V04A V1 as baseline</t>
  </si>
  <si>
    <t>Removed ANE in PB fo CP2/FT2.  This was never implemented in V01A</t>
  </si>
  <si>
    <t>MDX009 HIP HBV</t>
  </si>
  <si>
    <t>Removed MGX00E and updated MDX008-&gt;MDX009 in HBV matching Voltage Binning doc</t>
  </si>
  <si>
    <t>V05A</t>
  </si>
  <si>
    <t>Copied from V04A#3.</t>
  </si>
  <si>
    <t>FT3</t>
  </si>
  <si>
    <t>Removed non PROD columns like T0TX and RMA.  Add FT3 with no content.</t>
  </si>
  <si>
    <t>Added CXT in PBC</t>
  </si>
  <si>
    <t>V06A</t>
  </si>
  <si>
    <t>CP2 - remove TD for top state except MG00E and MG00F
CP2 HBV removal except MP00G TD HBV
CP1 HBV removal - coverage in outside TD harvest
SRT / NRT / SFT / WUS / 24N remove from CP1 / CP2.  Keep FT1 / FT2</t>
  </si>
  <si>
    <t>F_MP00J_Fuse_E1</t>
  </si>
  <si>
    <t>Update Set E1 voltage Flag name to perPmode.  Remove options to Set E1 for non-Turbo GPU Pmodes</t>
  </si>
  <si>
    <t>F_MG00E_Fuse_E1</t>
  </si>
  <si>
    <t>F_MG00F_Fuse_E1</t>
  </si>
  <si>
    <t>Fixed Enable Flag names for CPU Turbo</t>
  </si>
  <si>
    <t>MG001_CMS_PBC</t>
  </si>
  <si>
    <t>MG00D_CMS_PBC</t>
  </si>
  <si>
    <t>MGX001 TD CMS PBC</t>
  </si>
  <si>
    <t>MGX00D TD CMS PBC</t>
  </si>
  <si>
    <t>Add MGX001 / MGX00D CMS PBC for CP1</t>
  </si>
  <si>
    <t>Flow_nWire_Default_Disable</t>
  </si>
  <si>
    <t>Relay_On_HARDIP</t>
  </si>
  <si>
    <t>Flow_nWire_Default_Enable</t>
  </si>
  <si>
    <t>Relay_Off_HARDIP</t>
  </si>
  <si>
    <t>Update HIP BV to reflect TP implmentation and add HIP Relay and FRC control for autogen compatibility</t>
  </si>
  <si>
    <t>Change FT GPU Turbo HBV to MGX00E from MGX00F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</si>
</sst>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???.###E+00;\-???.###E+00;0"/>
  </numFmts>
  <fonts count="30" x14ac:knownFonts="1">
    <font>
      <sz val="10"/>
      <name val="Arial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ourier New"/>
      <family val="1"/>
    </font>
    <font>
      <sz val="10"/>
      <name val="Courier New"/>
      <family val="1"/>
    </font>
    <font>
      <sz val="12"/>
      <color theme="5" tint="-0.249977111117893"/>
      <name val="Courier New"/>
      <family val="1"/>
    </font>
    <font>
      <b/>
      <sz val="12"/>
      <color theme="5" tint="-0.249977111117893"/>
      <name val="Courier New"/>
      <family val="1"/>
    </font>
    <font>
      <b/>
      <sz val="12"/>
      <name val="Courier New"/>
      <family val="1"/>
    </font>
    <font>
      <sz val="12"/>
      <color rgb="FFFF0000"/>
      <name val="Courier New"/>
      <family val="1"/>
    </font>
    <font>
      <sz val="12"/>
      <color theme="1"/>
      <name val="Courier New"/>
      <family val="1"/>
    </font>
    <font>
      <sz val="8"/>
      <name val="Arial"/>
      <family val="2"/>
    </font>
    <font>
      <b/>
      <sz val="12"/>
      <color theme="1"/>
      <name val="Courier New"/>
      <family val="1"/>
    </font>
    <font>
      <sz val="12"/>
      <color rgb="FF0432FF"/>
      <name val="Courier New"/>
      <family val="1"/>
    </font>
    <font>
      <sz val="12"/>
      <color theme="5"/>
      <name val="Courier New"/>
      <family val="1"/>
    </font>
    <font>
      <sz val="12"/>
      <name val="Calibri"/>
      <family val="2"/>
    </font>
    <font>
      <sz val="10"/>
      <name val="Arial"/>
      <family val="2"/>
    </font>
    <font>
      <sz val="10"/>
      <color rgb="FF808080"/>
      <name val="Arial"/>
      <family val="2"/>
    </font>
    <font>
      <sz val="10"/>
      <name val="Courier New"/>
      <family val="3"/>
    </font>
    <font>
      <sz val="10"/>
      <color rgb="FF808080"/>
      <name val="Courier New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indexed="47"/>
      <name val="Arial"/>
      <family val="2"/>
    </font>
    <font>
      <b/>
      <sz val="10"/>
      <color indexed="47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color indexed="4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hair">
        <color indexed="23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25">
    <xf numFmtId="0" fontId="0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0" fontId="17" fillId="0" borderId="4"/>
    <xf numFmtId="0" fontId="18" fillId="4" borderId="4"/>
    <xf numFmtId="0" fontId="17" fillId="0" borderId="4">
      <alignment wrapText="1"/>
    </xf>
    <xf numFmtId="165" fontId="19" fillId="0" borderId="4"/>
    <xf numFmtId="165" fontId="20" fillId="4" borderId="4"/>
    <xf numFmtId="49" fontId="21" fillId="0" borderId="4"/>
    <xf numFmtId="165" fontId="21" fillId="5" borderId="4"/>
    <xf numFmtId="0" fontId="22" fillId="0" borderId="4"/>
    <xf numFmtId="0" fontId="23" fillId="6" borderId="0"/>
    <xf numFmtId="0" fontId="24" fillId="6" borderId="0"/>
    <xf numFmtId="0" fontId="25" fillId="7" borderId="5">
      <alignment wrapText="1"/>
    </xf>
    <xf numFmtId="0" fontId="26" fillId="7" borderId="5">
      <alignment wrapText="1"/>
    </xf>
    <xf numFmtId="0" fontId="25" fillId="8" borderId="5">
      <alignment horizontal="center"/>
    </xf>
    <xf numFmtId="0" fontId="26" fillId="8" borderId="5">
      <alignment horizontal="center"/>
    </xf>
    <xf numFmtId="0" fontId="27" fillId="9" borderId="5">
      <alignment wrapText="1"/>
    </xf>
    <xf numFmtId="0" fontId="28" fillId="9" borderId="5">
      <alignment wrapText="1"/>
    </xf>
    <xf numFmtId="0" fontId="29" fillId="6" borderId="0"/>
    <xf numFmtId="0" fontId="27" fillId="0" borderId="0"/>
    <xf numFmtId="49" fontId="21" fillId="10" borderId="4"/>
    <xf numFmtId="49" fontId="21" fillId="11" borderId="4"/>
  </cellStyleXfs>
  <cellXfs count="57">
    <xf numFmtId="0" fontId="0" fillId="0" borderId="0" xfId="0"/>
    <xf numFmtId="0" fontId="5" fillId="0" borderId="0" xfId="0" applyFont="1" applyFill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right" vertical="top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5" fillId="0" borderId="1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center" vertical="top"/>
    </xf>
    <xf numFmtId="0" fontId="5" fillId="0" borderId="1" xfId="2" applyFont="1" applyBorder="1" applyAlignment="1">
      <alignment horizontal="left" vertical="top"/>
    </xf>
    <xf numFmtId="0" fontId="5" fillId="0" borderId="1" xfId="2" applyFont="1" applyBorder="1" applyAlignment="1">
      <alignment horizontal="left" vertical="center"/>
    </xf>
    <xf numFmtId="0" fontId="7" fillId="0" borderId="1" xfId="2" applyFont="1" applyBorder="1" applyAlignment="1">
      <alignment horizontal="left" vertical="top"/>
    </xf>
    <xf numFmtId="0" fontId="8" fillId="0" borderId="1" xfId="2" applyFont="1" applyBorder="1" applyAlignment="1">
      <alignment horizontal="left" vertical="top"/>
    </xf>
    <xf numFmtId="0" fontId="8" fillId="0" borderId="1" xfId="2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 vertical="top"/>
    </xf>
    <xf numFmtId="0" fontId="5" fillId="0" borderId="2" xfId="2" applyFont="1" applyBorder="1" applyAlignment="1">
      <alignment horizontal="left" vertical="top"/>
    </xf>
    <xf numFmtId="0" fontId="11" fillId="0" borderId="1" xfId="2" applyFont="1" applyBorder="1" applyAlignment="1">
      <alignment horizontal="left" vertical="top"/>
    </xf>
    <xf numFmtId="0" fontId="5" fillId="0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3" xfId="2" applyFont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/>
    </xf>
    <xf numFmtId="0" fontId="10" fillId="0" borderId="3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11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3" borderId="1" xfId="2" applyFont="1" applyFill="1" applyBorder="1" applyAlignment="1">
      <alignment horizontal="left" vertical="top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9" fillId="0" borderId="0" xfId="0" applyFont="1" applyFill="1"/>
    <xf numFmtId="0" fontId="13" fillId="0" borderId="1" xfId="2" applyFont="1" applyBorder="1" applyAlignment="1">
      <alignment horizontal="left" vertical="top"/>
    </xf>
    <xf numFmtId="0" fontId="13" fillId="3" borderId="1" xfId="2" applyFont="1" applyFill="1" applyBorder="1" applyAlignment="1">
      <alignment horizontal="left" vertical="top"/>
    </xf>
    <xf numFmtId="0" fontId="9" fillId="0" borderId="0" xfId="0" applyFont="1" applyFill="1" applyAlignment="1">
      <alignment horizontal="center"/>
    </xf>
    <xf numFmtId="0" fontId="10" fillId="0" borderId="1" xfId="2" applyFont="1" applyBorder="1" applyAlignment="1">
      <alignment horizontal="left" vertical="top"/>
    </xf>
    <xf numFmtId="0" fontId="14" fillId="2" borderId="1" xfId="2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center" vertical="top"/>
    </xf>
    <xf numFmtId="0" fontId="11" fillId="0" borderId="2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center" vertical="top"/>
    </xf>
    <xf numFmtId="0" fontId="7" fillId="0" borderId="1" xfId="2" applyFont="1" applyBorder="1" applyAlignment="1">
      <alignment horizontal="center" vertical="top"/>
    </xf>
    <xf numFmtId="0" fontId="16" fillId="0" borderId="1" xfId="2" applyFont="1" applyBorder="1" applyAlignment="1">
      <alignment horizontal="left" vertical="center" wrapText="1"/>
    </xf>
    <xf numFmtId="49" fontId="21" fillId="0" borderId="1" xfId="10" applyBorder="1"/>
  </cellXfs>
  <cellStyles count="25">
    <cellStyle name="Normal" xfId="0" builtinId="0"/>
    <cellStyle name="Normal 2" xfId="3" xr:uid="{00000000-0005-0000-0000-000001000000}"/>
    <cellStyle name="Normal 2 2" xfId="1" xr:uid="{00000000-0005-0000-0000-000002000000}"/>
    <cellStyle name="Normal 2 2 2" xfId="2" xr:uid="{00000000-0005-0000-0000-000003000000}"/>
    <cellStyle name="Normal 3" xfId="4" xr:uid="{00000000-0005-0000-0000-000004000000}"/>
    <cellStyle name="terColOpt" xfId="19" xr:uid="{00000000-0005-0000-0000-000005000000}"/>
    <cellStyle name="terColOptEditable" xfId="20" xr:uid="{00000000-0005-0000-0000-000006000000}"/>
    <cellStyle name="terColReqd" xfId="15" xr:uid="{00000000-0005-0000-0000-000007000000}"/>
    <cellStyle name="terColReqdEditable" xfId="16" xr:uid="{00000000-0005-0000-0000-000008000000}"/>
    <cellStyle name="terColTop" xfId="17" xr:uid="{00000000-0005-0000-0000-000009000000}"/>
    <cellStyle name="terColTopEditable" xfId="18" xr:uid="{00000000-0005-0000-0000-00000A000000}"/>
    <cellStyle name="terEngr" xfId="8" xr:uid="{00000000-0005-0000-0000-00000B000000}"/>
    <cellStyle name="terEngrReadOnly" xfId="9" xr:uid="{00000000-0005-0000-0000-00000C000000}"/>
    <cellStyle name="terError" xfId="11" xr:uid="{00000000-0005-0000-0000-00000D000000}"/>
    <cellStyle name="terGroup" xfId="12" xr:uid="{00000000-0005-0000-0000-00000E000000}"/>
    <cellStyle name="terLabel" xfId="22" xr:uid="{00000000-0005-0000-0000-00000F000000}"/>
    <cellStyle name="terNormal" xfId="5" xr:uid="{00000000-0005-0000-0000-000010000000}"/>
    <cellStyle name="terNormalReadOnly" xfId="6" xr:uid="{00000000-0005-0000-0000-000011000000}"/>
    <cellStyle name="terNormalWrapped" xfId="7" xr:uid="{00000000-0005-0000-0000-000012000000}"/>
    <cellStyle name="terTestFailed" xfId="24" xr:uid="{00000000-0005-0000-0000-000013000000}"/>
    <cellStyle name="terTestPassed" xfId="23" xr:uid="{00000000-0005-0000-0000-000014000000}"/>
    <cellStyle name="terText" xfId="10" xr:uid="{00000000-0005-0000-0000-000015000000}"/>
    <cellStyle name="terTitle" xfId="13" xr:uid="{00000000-0005-0000-0000-000016000000}"/>
    <cellStyle name="terTitleBar" xfId="14" xr:uid="{00000000-0005-0000-0000-000017000000}"/>
    <cellStyle name="terVersion" xfId="21" xr:uid="{00000000-0005-0000-0000-000018000000}"/>
  </cellStyles>
  <dxfs count="249"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numFmt numFmtId="164" formatCode="[$-F800]dddd\,\ mmmm\ dd\,\ yyyy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0432FF"/>
      <color rgb="FFFFFC00"/>
      <color rgb="FF00FA00"/>
      <color rgb="FFFF40FF"/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inivason Samppath" id="{F4DFF670-CC9D-AD45-8A89-455CC596FE06}" userId="S::s_samppath@apple.com::07d6644f-c748-489b-816d-a1f8569eb190" providerId="AD"/>
  <person displayName="Toby McPheeters" id="{AC306AA3-F91D-7A40-BA54-D20D4112BE48}" userId="S::tmcpheeters@apple.com::ea164c1c-a960-4a66-bbdc-2aa32855cb8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F36" totalsRowShown="0" headerRowDxfId="248" dataDxfId="247">
  <tableColumns count="6">
    <tableColumn id="6" xr3:uid="{00000000-0010-0000-0000-000006000000}" name="Silicon" dataDxfId="246"/>
    <tableColumn id="7" xr3:uid="{00000000-0010-0000-0000-000007000000}" name="Program" dataDxfId="245"/>
    <tableColumn id="2" xr3:uid="{00000000-0010-0000-0000-000002000000}" name="Revision" dataDxfId="244"/>
    <tableColumn id="3" xr3:uid="{00000000-0010-0000-0000-000003000000}" name="Date" dataDxfId="243"/>
    <tableColumn id="4" xr3:uid="{00000000-0010-0000-0000-000004000000}" name="Author" dataDxfId="242"/>
    <tableColumn id="5" xr3:uid="{00000000-0010-0000-0000-000005000000}" name="Change Description" dataDxfId="24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791D783D-4BDF-2347-8CEE-4B391EA5A4E0}">
    <text>Type must match: BV, HBV, or PBV.</text>
  </threadedComment>
  <threadedComment ref="B1" dT="2024-01-29T23:45:55.10" personId="{AC306AA3-F91D-7A40-BA54-D20D4112BE48}" id="{6C7E95ED-B06E-3340-B311-61639660D375}">
    <text>Must match one of:
1) Bincut Performance Mode
2) PBC Performance Mode</text>
  </threadedComment>
  <threadedComment ref="C1" dT="2024-01-29T23:46:42.33" personId="{AC306AA3-F91D-7A40-BA54-D20D4112BE48}" id="{2F68822E-AAD0-4042-876F-018495437664}">
    <text>Must match TestPlan / Instance_sheet / Sub Flow.
Blank cells mean no content to run.</text>
  </threadedComment>
  <threadedComment ref="E1" dT="2024-01-29T23:52:40.13" personId="{AC306AA3-F91D-7A40-BA54-D20D4112BE48}" id="{7E1AEF66-AB79-9D4A-BDA3-129A3C848443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8BF2ACF9-546F-7940-860B-E002B234140D}">
    <text>This is a number used for sorting and organizing rows.  It is NOT used to control flow sequence.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CA1C6AC1-B6D5-4D48-AEAB-5674673060A6}">
    <text>Type must match: BV, HBV, or PBV.</text>
  </threadedComment>
  <threadedComment ref="B1" dT="2024-01-29T23:45:55.10" personId="{AC306AA3-F91D-7A40-BA54-D20D4112BE48}" id="{87ADF591-9FC7-FD4E-B2C5-11ECA6E2B45B}">
    <text>Must match one of:
1) Bincut Performance Mode
2) PBC Performance Mode</text>
  </threadedComment>
  <threadedComment ref="C1" dT="2024-01-29T23:46:42.33" personId="{AC306AA3-F91D-7A40-BA54-D20D4112BE48}" id="{DD44A62E-9BDB-CA49-B45F-2B4DE74695F3}">
    <text>Must match TestPlan / Instance_sheet / Sub Flow.
Blank cells mean no content to run.</text>
  </threadedComment>
  <threadedComment ref="E1" dT="2024-01-29T23:52:40.13" personId="{AC306AA3-F91D-7A40-BA54-D20D4112BE48}" id="{7C9A7B21-1E9B-0749-B0FC-870DA47B30C2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2840B0EA-702B-6C41-BD86-C313580C92D0}">
    <text>This is a number used for sorting and organizing rows.  It is NOT used to control flow sequence.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EFB5306B-F9E9-CF44-AAF0-FBE2D697161C}">
    <text>Type must match: BV, HBV, or PBV.</text>
  </threadedComment>
  <threadedComment ref="B1" dT="2024-01-29T23:45:55.10" personId="{AC306AA3-F91D-7A40-BA54-D20D4112BE48}" id="{33B722BA-9025-7A48-963A-755DAE82C1F7}">
    <text>Must match one of:
1) Bincut Performance Mode
2) PBC Performance Mode</text>
  </threadedComment>
  <threadedComment ref="C1" dT="2024-01-29T23:46:42.33" personId="{AC306AA3-F91D-7A40-BA54-D20D4112BE48}" id="{D9DF3235-31FD-8046-A57B-9016D2D388D6}">
    <text>Must match TestPlan / Instance_sheet / Sub Flow.
Blank cells mean no content to run.</text>
  </threadedComment>
  <threadedComment ref="E1" dT="2024-01-29T23:52:40.13" personId="{AC306AA3-F91D-7A40-BA54-D20D4112BE48}" id="{3F609DAD-D97C-EF4E-993C-939A53F34BBB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38744B11-E8E0-754E-B60B-A8367BCAB71B}">
    <text>This is a number used for sorting and organizing rows.  It is NOT used to control flow sequence.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A3D49017-5991-A94B-BA97-115034751D76}">
    <text>Type must match: BV, HBV, or PBV.</text>
  </threadedComment>
  <threadedComment ref="B1" dT="2024-01-29T23:45:55.10" personId="{AC306AA3-F91D-7A40-BA54-D20D4112BE48}" id="{4B9F0448-AADE-EC40-81C5-B24ECC776E42}">
    <text>Must match one of:
1) Bincut Performance Mode
2) PBC Performance Mode</text>
  </threadedComment>
  <threadedComment ref="C1" dT="2024-01-29T23:46:42.33" personId="{AC306AA3-F91D-7A40-BA54-D20D4112BE48}" id="{050FE8B8-129E-1C4A-B08C-EDDEAF28715A}">
    <text>Must match TestPlan / Instance_sheet / Sub Flow.
Blank cells mean no content to run.</text>
  </threadedComment>
  <threadedComment ref="E1" dT="2024-01-29T23:52:40.13" personId="{AC306AA3-F91D-7A40-BA54-D20D4112BE48}" id="{C1DD1B37-47C0-D84C-B573-BEE1753451A6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4157022E-40D6-1945-B9E3-C98A28F45914}">
    <text>This is a number used for sorting and organizing rows.  It is NOT used to control flow sequence.</text>
  </threadedComment>
  <threadedComment ref="C12" dT="2025-03-10T19:21:56.74" personId="{F4DFF670-CC9D-AD45-8A89-455CC596FE06}" id="{34E1BF17-3597-AF45-86DA-DCC00305C445}">
    <text>Not in Hidra 01A ??</text>
  </threadedComment>
  <threadedComment ref="C16" dT="2025-03-10T19:23:07.31" personId="{F4DFF670-CC9D-AD45-8A89-455CC596FE06}" id="{401B3975-7977-8644-964C-8331AC2A0472}">
    <text>MRLC001 in Hidra???</text>
  </threadedComment>
  <threadedComment ref="C19" dT="2025-03-10T19:21:42.15" personId="{F4DFF670-CC9D-AD45-8A89-455CC596FE06}" id="{97C52589-384A-654E-8C61-8237AFB19779}">
    <text>Why F ??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Normal="100" workbookViewId="0">
      <selection activeCell="F31" sqref="F31"/>
    </sheetView>
  </sheetViews>
  <sheetFormatPr baseColWidth="10" defaultColWidth="10.83203125" defaultRowHeight="14" x14ac:dyDescent="0.15"/>
  <cols>
    <col min="1" max="1" width="8.5" style="6" customWidth="1"/>
    <col min="2" max="2" width="9.5" style="6" bestFit="1" customWidth="1"/>
    <col min="3" max="3" width="19.33203125" style="6" bestFit="1" customWidth="1"/>
    <col min="4" max="4" width="26.6640625" style="8" bestFit="1" customWidth="1"/>
    <col min="5" max="5" width="11.1640625" style="6" bestFit="1" customWidth="1"/>
    <col min="6" max="6" width="143.33203125" style="9" bestFit="1" customWidth="1"/>
    <col min="7" max="16384" width="10.83203125" style="6"/>
  </cols>
  <sheetData>
    <row r="1" spans="1:6" x14ac:dyDescent="0.15">
      <c r="A1" s="6" t="s">
        <v>46</v>
      </c>
      <c r="B1" s="6" t="s">
        <v>45</v>
      </c>
      <c r="C1" s="6" t="s">
        <v>339</v>
      </c>
      <c r="D1" s="7" t="s">
        <v>39</v>
      </c>
      <c r="E1" s="6" t="s">
        <v>38</v>
      </c>
      <c r="F1" s="6" t="s">
        <v>40</v>
      </c>
    </row>
    <row r="2" spans="1:6" ht="15" x14ac:dyDescent="0.15">
      <c r="A2" s="6" t="s">
        <v>47</v>
      </c>
      <c r="C2" s="6">
        <v>1</v>
      </c>
      <c r="D2" s="8">
        <v>45722</v>
      </c>
      <c r="E2" s="6" t="s">
        <v>285</v>
      </c>
      <c r="F2" s="10" t="s">
        <v>284</v>
      </c>
    </row>
    <row r="3" spans="1:6" x14ac:dyDescent="0.15">
      <c r="A3" s="6" t="s">
        <v>47</v>
      </c>
      <c r="C3" s="6">
        <v>2</v>
      </c>
      <c r="D3" s="8">
        <v>45726</v>
      </c>
      <c r="E3" s="6" t="s">
        <v>285</v>
      </c>
      <c r="F3" s="9" t="s">
        <v>338</v>
      </c>
    </row>
    <row r="4" spans="1:6" x14ac:dyDescent="0.15">
      <c r="A4" s="6" t="s">
        <v>47</v>
      </c>
      <c r="C4" s="6">
        <v>3</v>
      </c>
      <c r="D4" s="8">
        <v>45733</v>
      </c>
      <c r="E4" s="6" t="s">
        <v>285</v>
      </c>
      <c r="F4" s="9" t="s">
        <v>343</v>
      </c>
    </row>
    <row r="5" spans="1:6" x14ac:dyDescent="0.15">
      <c r="C5" s="6">
        <v>4</v>
      </c>
    </row>
    <row r="6" spans="1:6" x14ac:dyDescent="0.15">
      <c r="A6" s="6" t="s">
        <v>47</v>
      </c>
      <c r="C6" s="6">
        <v>5</v>
      </c>
      <c r="D6" s="8">
        <v>45735</v>
      </c>
      <c r="E6" s="6" t="s">
        <v>349</v>
      </c>
      <c r="F6" s="9" t="s">
        <v>350</v>
      </c>
    </row>
    <row r="7" spans="1:6" x14ac:dyDescent="0.15">
      <c r="C7" s="6">
        <v>6</v>
      </c>
      <c r="D7" s="8">
        <v>45735</v>
      </c>
      <c r="E7" s="6" t="s">
        <v>349</v>
      </c>
      <c r="F7" s="9" t="s">
        <v>352</v>
      </c>
    </row>
    <row r="8" spans="1:6" x14ac:dyDescent="0.15">
      <c r="A8" s="6" t="s">
        <v>47</v>
      </c>
      <c r="B8" s="6" t="s">
        <v>355</v>
      </c>
      <c r="C8" s="6">
        <v>7</v>
      </c>
      <c r="D8" s="8">
        <v>45737</v>
      </c>
      <c r="E8" s="6" t="s">
        <v>349</v>
      </c>
      <c r="F8" s="9" t="s">
        <v>354</v>
      </c>
    </row>
    <row r="9" spans="1:6" x14ac:dyDescent="0.15">
      <c r="A9" s="6" t="s">
        <v>47</v>
      </c>
      <c r="B9" s="6" t="s">
        <v>355</v>
      </c>
      <c r="C9" s="6">
        <v>8</v>
      </c>
      <c r="D9" s="8">
        <v>45737</v>
      </c>
      <c r="E9" s="6" t="s">
        <v>349</v>
      </c>
      <c r="F9" s="9" t="s">
        <v>356</v>
      </c>
    </row>
    <row r="10" spans="1:6" x14ac:dyDescent="0.15">
      <c r="A10" s="6" t="s">
        <v>47</v>
      </c>
      <c r="B10" s="6" t="s">
        <v>355</v>
      </c>
      <c r="C10" s="6">
        <v>9</v>
      </c>
      <c r="D10" s="8">
        <v>45740</v>
      </c>
      <c r="E10" s="6" t="s">
        <v>359</v>
      </c>
      <c r="F10" s="9" t="s">
        <v>358</v>
      </c>
    </row>
    <row r="11" spans="1:6" x14ac:dyDescent="0.15">
      <c r="A11" s="6" t="s">
        <v>47</v>
      </c>
      <c r="B11" s="6" t="s">
        <v>355</v>
      </c>
      <c r="C11" s="6">
        <v>10</v>
      </c>
      <c r="D11" s="8">
        <v>45742</v>
      </c>
      <c r="E11" s="6" t="s">
        <v>285</v>
      </c>
      <c r="F11" s="9" t="s">
        <v>364</v>
      </c>
    </row>
    <row r="12" spans="1:6" x14ac:dyDescent="0.15">
      <c r="A12" s="6" t="s">
        <v>47</v>
      </c>
      <c r="B12" s="6" t="s">
        <v>355</v>
      </c>
      <c r="C12" s="6">
        <v>11</v>
      </c>
      <c r="D12" s="8">
        <v>45743</v>
      </c>
      <c r="E12" s="6" t="s">
        <v>365</v>
      </c>
      <c r="F12" s="9" t="s">
        <v>366</v>
      </c>
    </row>
    <row r="13" spans="1:6" x14ac:dyDescent="0.15">
      <c r="A13" s="6" t="s">
        <v>47</v>
      </c>
      <c r="B13" s="6" t="s">
        <v>355</v>
      </c>
      <c r="C13" s="6">
        <v>12</v>
      </c>
      <c r="D13" s="8">
        <v>45743</v>
      </c>
      <c r="E13" s="6" t="s">
        <v>365</v>
      </c>
      <c r="F13" s="9" t="s">
        <v>367</v>
      </c>
    </row>
    <row r="14" spans="1:6" x14ac:dyDescent="0.15">
      <c r="A14" s="6" t="s">
        <v>47</v>
      </c>
      <c r="B14" s="6" t="s">
        <v>355</v>
      </c>
      <c r="C14" s="6">
        <v>13</v>
      </c>
      <c r="D14" s="8">
        <v>45745</v>
      </c>
      <c r="E14" s="6" t="s">
        <v>285</v>
      </c>
      <c r="F14" s="9" t="s">
        <v>368</v>
      </c>
    </row>
    <row r="15" spans="1:6" x14ac:dyDescent="0.15">
      <c r="A15" s="6" t="s">
        <v>47</v>
      </c>
      <c r="B15" s="6" t="s">
        <v>355</v>
      </c>
      <c r="C15" s="6">
        <v>14</v>
      </c>
      <c r="D15" s="8">
        <v>45745</v>
      </c>
      <c r="E15" s="6" t="s">
        <v>349</v>
      </c>
      <c r="F15" s="9" t="s">
        <v>394</v>
      </c>
    </row>
    <row r="16" spans="1:6" x14ac:dyDescent="0.15">
      <c r="A16" s="6" t="s">
        <v>47</v>
      </c>
      <c r="B16" s="6" t="s">
        <v>355</v>
      </c>
      <c r="C16" s="6">
        <v>15</v>
      </c>
      <c r="D16" s="8">
        <v>45756</v>
      </c>
      <c r="E16" s="6" t="s">
        <v>349</v>
      </c>
      <c r="F16" s="9" t="s">
        <v>396</v>
      </c>
    </row>
    <row r="17" spans="1:6" x14ac:dyDescent="0.15">
      <c r="A17" s="6" t="s">
        <v>47</v>
      </c>
      <c r="B17" s="6" t="s">
        <v>355</v>
      </c>
      <c r="C17" s="6">
        <v>16</v>
      </c>
      <c r="D17" s="8">
        <v>45757</v>
      </c>
      <c r="E17" s="6" t="s">
        <v>349</v>
      </c>
      <c r="F17" s="9" t="s">
        <v>397</v>
      </c>
    </row>
    <row r="18" spans="1:6" x14ac:dyDescent="0.15">
      <c r="A18" s="6" t="s">
        <v>47</v>
      </c>
      <c r="B18" s="6" t="s">
        <v>355</v>
      </c>
      <c r="C18" s="6">
        <v>17</v>
      </c>
      <c r="D18" s="8">
        <v>45758</v>
      </c>
      <c r="E18" s="6" t="s">
        <v>365</v>
      </c>
      <c r="F18" s="9" t="s">
        <v>398</v>
      </c>
    </row>
    <row r="19" spans="1:6" x14ac:dyDescent="0.15">
      <c r="A19" s="6" t="s">
        <v>47</v>
      </c>
      <c r="B19" s="6" t="s">
        <v>399</v>
      </c>
      <c r="C19" s="6">
        <v>1</v>
      </c>
      <c r="D19" s="8">
        <v>45768</v>
      </c>
      <c r="E19" s="6" t="s">
        <v>349</v>
      </c>
      <c r="F19" s="9" t="s">
        <v>400</v>
      </c>
    </row>
    <row r="20" spans="1:6" x14ac:dyDescent="0.15">
      <c r="A20" s="6" t="s">
        <v>47</v>
      </c>
      <c r="B20" s="6" t="s">
        <v>399</v>
      </c>
      <c r="C20" s="6">
        <v>2</v>
      </c>
      <c r="D20" s="8">
        <v>45769</v>
      </c>
      <c r="E20" s="6" t="s">
        <v>349</v>
      </c>
      <c r="F20" s="9" t="s">
        <v>401</v>
      </c>
    </row>
    <row r="21" spans="1:6" x14ac:dyDescent="0.15">
      <c r="A21" s="6" t="s">
        <v>47</v>
      </c>
      <c r="B21" s="6" t="s">
        <v>399</v>
      </c>
      <c r="C21" s="6">
        <v>3</v>
      </c>
      <c r="D21" s="8">
        <v>45770</v>
      </c>
      <c r="E21" s="6" t="s">
        <v>285</v>
      </c>
      <c r="F21" s="9" t="s">
        <v>403</v>
      </c>
    </row>
    <row r="22" spans="1:6" x14ac:dyDescent="0.15">
      <c r="A22" s="6" t="s">
        <v>47</v>
      </c>
      <c r="B22" s="6" t="s">
        <v>404</v>
      </c>
      <c r="C22" s="6">
        <v>1</v>
      </c>
      <c r="D22" s="8">
        <v>45804</v>
      </c>
      <c r="E22" s="6" t="s">
        <v>359</v>
      </c>
      <c r="F22" s="9" t="s">
        <v>405</v>
      </c>
    </row>
    <row r="23" spans="1:6" x14ac:dyDescent="0.15">
      <c r="A23" s="6" t="s">
        <v>47</v>
      </c>
      <c r="B23" s="6" t="s">
        <v>404</v>
      </c>
      <c r="C23" s="6">
        <v>2</v>
      </c>
      <c r="D23" s="8">
        <v>45804</v>
      </c>
      <c r="E23" s="6" t="s">
        <v>359</v>
      </c>
      <c r="F23" s="9" t="s">
        <v>407</v>
      </c>
    </row>
    <row r="24" spans="1:6" x14ac:dyDescent="0.15">
      <c r="A24" s="6" t="s">
        <v>47</v>
      </c>
      <c r="B24" s="6" t="s">
        <v>404</v>
      </c>
      <c r="C24" s="6">
        <v>3</v>
      </c>
      <c r="D24" s="8">
        <v>45810</v>
      </c>
      <c r="E24" s="6" t="s">
        <v>285</v>
      </c>
      <c r="F24" s="9" t="s">
        <v>408</v>
      </c>
    </row>
    <row r="25" spans="1:6" ht="60" x14ac:dyDescent="0.15">
      <c r="A25" s="6" t="s">
        <v>47</v>
      </c>
      <c r="B25" s="6" t="s">
        <v>409</v>
      </c>
      <c r="C25" s="6">
        <v>2</v>
      </c>
      <c r="D25" s="8">
        <v>45855</v>
      </c>
      <c r="E25" s="6" t="s">
        <v>349</v>
      </c>
      <c r="F25" s="10" t="s">
        <v>410</v>
      </c>
    </row>
    <row r="26" spans="1:6" x14ac:dyDescent="0.15">
      <c r="A26" s="6" t="s">
        <v>47</v>
      </c>
      <c r="B26" s="6" t="s">
        <v>409</v>
      </c>
      <c r="C26" s="6">
        <v>3</v>
      </c>
      <c r="D26" s="8">
        <v>45860</v>
      </c>
      <c r="E26" s="6" t="s">
        <v>349</v>
      </c>
      <c r="F26" s="9" t="s">
        <v>412</v>
      </c>
    </row>
    <row r="27" spans="1:6" x14ac:dyDescent="0.15">
      <c r="A27" s="6" t="s">
        <v>47</v>
      </c>
      <c r="B27" s="6" t="s">
        <v>409</v>
      </c>
      <c r="C27" s="6">
        <v>4</v>
      </c>
      <c r="D27" s="8">
        <v>45860</v>
      </c>
      <c r="E27" s="6" t="s">
        <v>349</v>
      </c>
      <c r="F27" s="9" t="s">
        <v>415</v>
      </c>
    </row>
    <row r="28" spans="1:6" x14ac:dyDescent="0.15">
      <c r="A28" s="6" t="s">
        <v>47</v>
      </c>
      <c r="B28" s="6" t="s">
        <v>409</v>
      </c>
      <c r="C28" s="6">
        <v>5</v>
      </c>
      <c r="D28" s="8">
        <v>45862</v>
      </c>
      <c r="E28" s="6" t="s">
        <v>349</v>
      </c>
      <c r="F28" s="9" t="s">
        <v>420</v>
      </c>
    </row>
    <row r="29" spans="1:6" x14ac:dyDescent="0.15">
      <c r="A29" s="6" t="s">
        <v>47</v>
      </c>
      <c r="B29" s="6" t="s">
        <v>409</v>
      </c>
      <c r="C29" s="6">
        <v>6</v>
      </c>
      <c r="D29" s="8">
        <v>45866</v>
      </c>
      <c r="E29" s="6" t="s">
        <v>349</v>
      </c>
      <c r="F29" s="9" t="s">
        <v>425</v>
      </c>
    </row>
    <row r="30" spans="1:6" x14ac:dyDescent="0.15">
      <c r="A30" s="6" t="s">
        <v>47</v>
      </c>
      <c r="B30" s="6" t="s">
        <v>409</v>
      </c>
      <c r="C30" s="6">
        <v>7</v>
      </c>
      <c r="D30" s="8">
        <v>45883</v>
      </c>
      <c r="E30" s="6" t="s">
        <v>349</v>
      </c>
      <c r="F30" s="9" t="s">
        <v>426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0" sqref="J10"/>
    </sheetView>
  </sheetViews>
  <sheetFormatPr baseColWidth="10" defaultColWidth="10.83203125" defaultRowHeight="17" x14ac:dyDescent="0.25"/>
  <cols>
    <col min="1" max="1" width="5.83203125" style="14" bestFit="1" customWidth="1"/>
    <col min="2" max="2" width="21.1640625" style="1" bestFit="1" customWidth="1"/>
    <col min="3" max="3" width="29.6640625" style="1" bestFit="1" customWidth="1"/>
    <col min="4" max="4" width="22.5" style="1" bestFit="1" customWidth="1"/>
    <col min="5" max="5" width="14" style="4" bestFit="1" customWidth="1"/>
    <col min="6" max="9" width="5.83203125" style="4" bestFit="1" customWidth="1"/>
    <col min="10" max="10" width="49" style="3" customWidth="1"/>
    <col min="11" max="11" width="8.1640625" style="3" bestFit="1" customWidth="1"/>
    <col min="12" max="12" width="7" style="14" bestFit="1" customWidth="1"/>
    <col min="13" max="16384" width="10.83203125" style="3"/>
  </cols>
  <sheetData>
    <row r="1" spans="1:12" s="12" customFormat="1" ht="17" customHeight="1" thickBot="1" x14ac:dyDescent="0.3">
      <c r="A1" s="17" t="s">
        <v>274</v>
      </c>
      <c r="B1" s="30" t="s">
        <v>0</v>
      </c>
      <c r="C1" s="31" t="s">
        <v>82</v>
      </c>
      <c r="D1" s="32" t="s">
        <v>105</v>
      </c>
      <c r="E1" s="33" t="s">
        <v>41</v>
      </c>
      <c r="F1" s="33" t="s">
        <v>42</v>
      </c>
      <c r="G1" s="33" t="s">
        <v>51</v>
      </c>
      <c r="H1" s="33" t="s">
        <v>52</v>
      </c>
      <c r="I1" s="33" t="s">
        <v>406</v>
      </c>
      <c r="J1" s="34" t="s">
        <v>53</v>
      </c>
      <c r="K1" s="34" t="s">
        <v>65</v>
      </c>
      <c r="L1" s="17" t="s">
        <v>56</v>
      </c>
    </row>
    <row r="2" spans="1:12" x14ac:dyDescent="0.25">
      <c r="A2" s="28" t="s">
        <v>279</v>
      </c>
      <c r="B2" s="26"/>
      <c r="C2" s="26"/>
      <c r="D2" s="26"/>
      <c r="E2" s="15"/>
      <c r="F2" s="15"/>
      <c r="G2" s="15"/>
      <c r="H2" s="15"/>
      <c r="I2" s="15"/>
      <c r="J2" s="16"/>
      <c r="K2" s="16"/>
      <c r="L2" s="15"/>
    </row>
  </sheetData>
  <conditionalFormatting sqref="A2:L2">
    <cfRule type="expression" dxfId="240" priority="204" stopIfTrue="1">
      <formula>$K2="None"</formula>
    </cfRule>
    <cfRule type="expression" dxfId="239" priority="205" stopIfTrue="1">
      <formula>$K2="orange"</formula>
    </cfRule>
    <cfRule type="expression" dxfId="238" priority="206" stopIfTrue="1">
      <formula>$K2="blue"</formula>
    </cfRule>
    <cfRule type="expression" dxfId="237" priority="207" stopIfTrue="1">
      <formula>$K2="yellow"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4"/>
  <sheetViews>
    <sheetView zoomScale="115" zoomScaleNormal="115" workbookViewId="0">
      <pane xSplit="3" ySplit="1" topLeftCell="D114" activePane="bottomRight" state="frozen"/>
      <selection pane="topRight" activeCell="D1" sqref="D1"/>
      <selection pane="bottomLeft" activeCell="A2" sqref="A2"/>
      <selection pane="bottomRight" activeCell="C38" sqref="C38:C39"/>
    </sheetView>
  </sheetViews>
  <sheetFormatPr baseColWidth="10" defaultColWidth="10.83203125" defaultRowHeight="17" x14ac:dyDescent="0.25"/>
  <cols>
    <col min="1" max="1" width="10.83203125" style="14" bestFit="1" customWidth="1"/>
    <col min="2" max="2" width="23" style="1" bestFit="1" customWidth="1"/>
    <col min="3" max="3" width="25.83203125" style="1" bestFit="1" customWidth="1"/>
    <col min="4" max="4" width="23.1640625" style="1" bestFit="1" customWidth="1"/>
    <col min="5" max="9" width="9.6640625" style="4" bestFit="1" customWidth="1"/>
    <col min="10" max="10" width="50.83203125" style="3" bestFit="1" customWidth="1"/>
    <col min="11" max="11" width="9.5" style="3" bestFit="1" customWidth="1"/>
    <col min="12" max="12" width="12" style="14" bestFit="1" customWidth="1"/>
    <col min="13" max="16384" width="10.83203125" style="3"/>
  </cols>
  <sheetData>
    <row r="1" spans="1:12" s="12" customFormat="1" ht="17" customHeight="1" thickBot="1" x14ac:dyDescent="0.3">
      <c r="A1" s="17" t="s">
        <v>274</v>
      </c>
      <c r="B1" s="30" t="s">
        <v>0</v>
      </c>
      <c r="C1" s="31" t="s">
        <v>82</v>
      </c>
      <c r="D1" s="32" t="s">
        <v>105</v>
      </c>
      <c r="E1" s="33" t="s">
        <v>41</v>
      </c>
      <c r="F1" s="33" t="s">
        <v>42</v>
      </c>
      <c r="G1" s="33" t="s">
        <v>51</v>
      </c>
      <c r="H1" s="33" t="s">
        <v>52</v>
      </c>
      <c r="I1" s="33" t="s">
        <v>406</v>
      </c>
      <c r="J1" s="34" t="s">
        <v>53</v>
      </c>
      <c r="K1" s="34" t="s">
        <v>65</v>
      </c>
      <c r="L1" s="17" t="s">
        <v>56</v>
      </c>
    </row>
    <row r="2" spans="1:12" x14ac:dyDescent="0.25">
      <c r="A2" s="28" t="s">
        <v>275</v>
      </c>
      <c r="B2" s="26" t="s">
        <v>1</v>
      </c>
      <c r="C2" s="26" t="s">
        <v>107</v>
      </c>
      <c r="D2" s="26"/>
      <c r="E2" s="15" t="s">
        <v>277</v>
      </c>
      <c r="F2" s="15" t="s">
        <v>277</v>
      </c>
      <c r="G2" s="15"/>
      <c r="H2" s="15" t="s">
        <v>277</v>
      </c>
      <c r="I2" s="15"/>
      <c r="J2" s="16" t="s">
        <v>93</v>
      </c>
      <c r="K2" s="16" t="s">
        <v>66</v>
      </c>
      <c r="L2" s="15">
        <f>ROW()-1</f>
        <v>1</v>
      </c>
    </row>
    <row r="3" spans="1:12" x14ac:dyDescent="0.25">
      <c r="A3" s="29" t="s">
        <v>275</v>
      </c>
      <c r="B3" s="18" t="s">
        <v>1</v>
      </c>
      <c r="C3" s="18" t="s">
        <v>108</v>
      </c>
      <c r="D3" s="18"/>
      <c r="E3" s="13" t="s">
        <v>277</v>
      </c>
      <c r="F3" s="13" t="s">
        <v>277</v>
      </c>
      <c r="H3" s="13" t="s">
        <v>277</v>
      </c>
      <c r="I3" s="13"/>
      <c r="J3" s="11" t="s">
        <v>67</v>
      </c>
      <c r="K3" s="11" t="s">
        <v>66</v>
      </c>
      <c r="L3" s="13">
        <f t="shared" ref="L3:L160" si="0">ROW()-1</f>
        <v>2</v>
      </c>
    </row>
    <row r="4" spans="1:12" x14ac:dyDescent="0.25">
      <c r="A4" s="29" t="s">
        <v>275</v>
      </c>
      <c r="B4" s="18" t="s">
        <v>109</v>
      </c>
      <c r="C4" s="18" t="s">
        <v>110</v>
      </c>
      <c r="D4" s="18"/>
      <c r="E4" s="13" t="s">
        <v>277</v>
      </c>
      <c r="F4" s="13" t="s">
        <v>277</v>
      </c>
      <c r="H4" s="13" t="s">
        <v>277</v>
      </c>
      <c r="I4" s="13"/>
      <c r="J4" s="11" t="s">
        <v>67</v>
      </c>
      <c r="K4" s="11" t="s">
        <v>66</v>
      </c>
      <c r="L4" s="13">
        <f t="shared" si="0"/>
        <v>3</v>
      </c>
    </row>
    <row r="5" spans="1:12" x14ac:dyDescent="0.25">
      <c r="A5" s="29" t="s">
        <v>275</v>
      </c>
      <c r="B5" s="18" t="s">
        <v>109</v>
      </c>
      <c r="C5" s="18" t="s">
        <v>111</v>
      </c>
      <c r="D5" s="18"/>
      <c r="E5" s="13" t="s">
        <v>277</v>
      </c>
      <c r="F5" s="13" t="s">
        <v>277</v>
      </c>
      <c r="H5" s="13" t="s">
        <v>277</v>
      </c>
      <c r="I5" s="13"/>
      <c r="J5" s="11" t="s">
        <v>67</v>
      </c>
      <c r="K5" s="11" t="s">
        <v>66</v>
      </c>
      <c r="L5" s="13">
        <f t="shared" si="0"/>
        <v>4</v>
      </c>
    </row>
    <row r="6" spans="1:12" x14ac:dyDescent="0.25">
      <c r="A6" s="29" t="s">
        <v>275</v>
      </c>
      <c r="B6" s="18" t="s">
        <v>286</v>
      </c>
      <c r="C6" s="46" t="s">
        <v>357</v>
      </c>
      <c r="D6" s="18"/>
      <c r="E6" s="13" t="s">
        <v>277</v>
      </c>
      <c r="F6" s="13" t="s">
        <v>277</v>
      </c>
      <c r="H6" s="13" t="s">
        <v>277</v>
      </c>
      <c r="I6" s="13"/>
      <c r="J6" s="11" t="s">
        <v>67</v>
      </c>
      <c r="K6" s="11" t="s">
        <v>66</v>
      </c>
      <c r="L6" s="13">
        <f t="shared" si="0"/>
        <v>5</v>
      </c>
    </row>
    <row r="7" spans="1:12" s="42" customFormat="1" x14ac:dyDescent="0.25">
      <c r="A7" s="39" t="s">
        <v>275</v>
      </c>
      <c r="B7" s="35" t="s">
        <v>370</v>
      </c>
      <c r="C7" s="42" t="s">
        <v>369</v>
      </c>
      <c r="D7" s="35"/>
      <c r="E7" s="24" t="s">
        <v>277</v>
      </c>
      <c r="F7" s="24" t="s">
        <v>277</v>
      </c>
      <c r="G7" s="45"/>
      <c r="H7" s="24" t="s">
        <v>277</v>
      </c>
      <c r="I7" s="24"/>
      <c r="J7" s="41" t="s">
        <v>67</v>
      </c>
      <c r="K7" s="41" t="s">
        <v>66</v>
      </c>
      <c r="L7" s="24">
        <f t="shared" si="0"/>
        <v>6</v>
      </c>
    </row>
    <row r="8" spans="1:12" s="42" customFormat="1" x14ac:dyDescent="0.25">
      <c r="A8" s="39" t="s">
        <v>275</v>
      </c>
      <c r="B8" s="35" t="s">
        <v>1</v>
      </c>
      <c r="C8" s="35" t="s">
        <v>392</v>
      </c>
      <c r="D8" s="35"/>
      <c r="E8" s="24" t="s">
        <v>277</v>
      </c>
      <c r="F8" s="24" t="s">
        <v>277</v>
      </c>
      <c r="G8" s="45"/>
      <c r="H8" s="24" t="s">
        <v>277</v>
      </c>
      <c r="I8" s="24"/>
      <c r="J8" s="41" t="s">
        <v>67</v>
      </c>
      <c r="K8" s="41" t="s">
        <v>66</v>
      </c>
      <c r="L8" s="24">
        <f t="shared" si="0"/>
        <v>7</v>
      </c>
    </row>
    <row r="9" spans="1:12" x14ac:dyDescent="0.25">
      <c r="A9" s="29" t="s">
        <v>275</v>
      </c>
      <c r="B9" s="18" t="s">
        <v>57</v>
      </c>
      <c r="C9" s="18" t="s">
        <v>112</v>
      </c>
      <c r="D9" s="18"/>
      <c r="E9" s="13" t="s">
        <v>277</v>
      </c>
      <c r="F9" s="13"/>
      <c r="G9" s="13"/>
      <c r="H9" s="13" t="s">
        <v>277</v>
      </c>
      <c r="I9" s="13"/>
      <c r="J9" s="11" t="s">
        <v>94</v>
      </c>
      <c r="K9" s="11" t="s">
        <v>62</v>
      </c>
      <c r="L9" s="13">
        <f t="shared" si="0"/>
        <v>8</v>
      </c>
    </row>
    <row r="10" spans="1:12" x14ac:dyDescent="0.25">
      <c r="A10" s="29" t="s">
        <v>275</v>
      </c>
      <c r="B10" s="18" t="s">
        <v>57</v>
      </c>
      <c r="C10" s="18" t="s">
        <v>113</v>
      </c>
      <c r="D10" s="18"/>
      <c r="E10" s="13" t="s">
        <v>277</v>
      </c>
      <c r="F10" s="13" t="b">
        <v>1</v>
      </c>
      <c r="G10" s="5" t="s">
        <v>278</v>
      </c>
      <c r="H10" s="13" t="s">
        <v>277</v>
      </c>
      <c r="I10" s="13"/>
      <c r="J10" s="11" t="s">
        <v>68</v>
      </c>
      <c r="K10" s="11" t="s">
        <v>62</v>
      </c>
      <c r="L10" s="13">
        <f t="shared" si="0"/>
        <v>9</v>
      </c>
    </row>
    <row r="11" spans="1:12" x14ac:dyDescent="0.25">
      <c r="A11" s="29" t="s">
        <v>275</v>
      </c>
      <c r="B11" s="18" t="s">
        <v>114</v>
      </c>
      <c r="C11" s="18" t="s">
        <v>115</v>
      </c>
      <c r="D11" s="18"/>
      <c r="E11" s="13" t="s">
        <v>277</v>
      </c>
      <c r="F11" s="13"/>
      <c r="G11" s="5" t="s">
        <v>278</v>
      </c>
      <c r="H11" s="13" t="s">
        <v>277</v>
      </c>
      <c r="I11" s="13"/>
      <c r="J11" s="11" t="s">
        <v>68</v>
      </c>
      <c r="K11" s="11" t="s">
        <v>62</v>
      </c>
      <c r="L11" s="13">
        <f t="shared" si="0"/>
        <v>10</v>
      </c>
    </row>
    <row r="12" spans="1:12" x14ac:dyDescent="0.25">
      <c r="A12" s="29" t="s">
        <v>275</v>
      </c>
      <c r="B12" s="18" t="s">
        <v>114</v>
      </c>
      <c r="C12" s="18" t="s">
        <v>116</v>
      </c>
      <c r="D12" s="18"/>
      <c r="E12" s="13" t="s">
        <v>277</v>
      </c>
      <c r="F12" s="13" t="b">
        <v>1</v>
      </c>
      <c r="G12" s="5" t="s">
        <v>278</v>
      </c>
      <c r="H12" s="13" t="s">
        <v>277</v>
      </c>
      <c r="I12" s="13"/>
      <c r="J12" s="11" t="s">
        <v>68</v>
      </c>
      <c r="K12" s="11" t="s">
        <v>62</v>
      </c>
      <c r="L12" s="13">
        <f t="shared" si="0"/>
        <v>11</v>
      </c>
    </row>
    <row r="13" spans="1:12" x14ac:dyDescent="0.25">
      <c r="A13" s="29" t="s">
        <v>275</v>
      </c>
      <c r="B13" s="18" t="s">
        <v>287</v>
      </c>
      <c r="C13" s="18" t="s">
        <v>288</v>
      </c>
      <c r="D13" s="18"/>
      <c r="E13" s="13" t="s">
        <v>277</v>
      </c>
      <c r="F13" s="13"/>
      <c r="G13" s="5" t="s">
        <v>278</v>
      </c>
      <c r="H13" s="13" t="s">
        <v>277</v>
      </c>
      <c r="I13" s="13"/>
      <c r="J13" s="11" t="s">
        <v>68</v>
      </c>
      <c r="K13" s="11" t="s">
        <v>62</v>
      </c>
      <c r="L13" s="13">
        <f t="shared" si="0"/>
        <v>12</v>
      </c>
    </row>
    <row r="14" spans="1:12" x14ac:dyDescent="0.25">
      <c r="A14" s="29" t="s">
        <v>275</v>
      </c>
      <c r="B14" s="18" t="s">
        <v>57</v>
      </c>
      <c r="C14" s="18" t="s">
        <v>289</v>
      </c>
      <c r="D14" s="18"/>
      <c r="E14" s="13" t="s">
        <v>277</v>
      </c>
      <c r="F14" s="13"/>
      <c r="G14" s="5" t="s">
        <v>278</v>
      </c>
      <c r="H14" s="13" t="s">
        <v>277</v>
      </c>
      <c r="I14" s="13"/>
      <c r="J14" s="11" t="s">
        <v>68</v>
      </c>
      <c r="K14" s="11" t="s">
        <v>62</v>
      </c>
      <c r="L14" s="13">
        <f t="shared" si="0"/>
        <v>13</v>
      </c>
    </row>
    <row r="15" spans="1:12" s="42" customFormat="1" x14ac:dyDescent="0.25">
      <c r="A15" s="39" t="s">
        <v>275</v>
      </c>
      <c r="B15" s="35" t="s">
        <v>371</v>
      </c>
      <c r="C15" s="35" t="s">
        <v>117</v>
      </c>
      <c r="D15" s="35"/>
      <c r="E15" s="24" t="s">
        <v>277</v>
      </c>
      <c r="F15" s="24"/>
      <c r="G15" s="40" t="s">
        <v>278</v>
      </c>
      <c r="H15" s="24" t="s">
        <v>277</v>
      </c>
      <c r="I15" s="24"/>
      <c r="J15" s="41" t="s">
        <v>68</v>
      </c>
      <c r="K15" s="41" t="s">
        <v>62</v>
      </c>
      <c r="L15" s="24">
        <f t="shared" si="0"/>
        <v>14</v>
      </c>
    </row>
    <row r="16" spans="1:12" s="42" customFormat="1" x14ac:dyDescent="0.25">
      <c r="A16" s="39" t="s">
        <v>275</v>
      </c>
      <c r="B16" s="35" t="s">
        <v>57</v>
      </c>
      <c r="C16" s="35" t="s">
        <v>391</v>
      </c>
      <c r="D16" s="35"/>
      <c r="E16" s="24" t="s">
        <v>277</v>
      </c>
      <c r="F16" s="24"/>
      <c r="G16" s="40" t="s">
        <v>278</v>
      </c>
      <c r="H16" s="24" t="s">
        <v>277</v>
      </c>
      <c r="I16" s="24"/>
      <c r="J16" s="41" t="s">
        <v>68</v>
      </c>
      <c r="K16" s="41" t="s">
        <v>62</v>
      </c>
      <c r="L16" s="24">
        <f t="shared" si="0"/>
        <v>15</v>
      </c>
    </row>
    <row r="17" spans="1:12" x14ac:dyDescent="0.25">
      <c r="A17" s="29" t="s">
        <v>275</v>
      </c>
      <c r="B17" s="18" t="s">
        <v>2</v>
      </c>
      <c r="C17" s="18" t="s">
        <v>122</v>
      </c>
      <c r="D17" s="18"/>
      <c r="E17" s="13" t="s">
        <v>277</v>
      </c>
      <c r="F17" s="13" t="s">
        <v>278</v>
      </c>
      <c r="G17" s="5" t="s">
        <v>278</v>
      </c>
      <c r="H17" s="5" t="s">
        <v>278</v>
      </c>
      <c r="I17" s="5"/>
      <c r="J17" s="11" t="s">
        <v>69</v>
      </c>
      <c r="K17" s="11" t="s">
        <v>106</v>
      </c>
      <c r="L17" s="13">
        <f t="shared" si="0"/>
        <v>16</v>
      </c>
    </row>
    <row r="18" spans="1:12" x14ac:dyDescent="0.25">
      <c r="A18" s="29" t="s">
        <v>275</v>
      </c>
      <c r="B18" s="18" t="s">
        <v>123</v>
      </c>
      <c r="C18" s="18" t="s">
        <v>124</v>
      </c>
      <c r="D18" s="18"/>
      <c r="E18" s="13" t="s">
        <v>277</v>
      </c>
      <c r="F18" s="13" t="s">
        <v>278</v>
      </c>
      <c r="G18" s="5" t="s">
        <v>278</v>
      </c>
      <c r="H18" s="5" t="s">
        <v>278</v>
      </c>
      <c r="I18" s="5"/>
      <c r="J18" s="11" t="s">
        <v>69</v>
      </c>
      <c r="K18" s="11" t="s">
        <v>106</v>
      </c>
      <c r="L18" s="13">
        <f t="shared" si="0"/>
        <v>17</v>
      </c>
    </row>
    <row r="19" spans="1:12" x14ac:dyDescent="0.25">
      <c r="A19" s="29" t="s">
        <v>275</v>
      </c>
      <c r="B19" s="18" t="s">
        <v>2</v>
      </c>
      <c r="C19" s="18" t="s">
        <v>125</v>
      </c>
      <c r="D19" s="18"/>
      <c r="E19" s="13" t="s">
        <v>277</v>
      </c>
      <c r="F19" s="13" t="s">
        <v>278</v>
      </c>
      <c r="G19" s="5" t="s">
        <v>278</v>
      </c>
      <c r="H19" s="5" t="s">
        <v>278</v>
      </c>
      <c r="I19" s="5"/>
      <c r="J19" s="11" t="s">
        <v>69</v>
      </c>
      <c r="K19" s="11" t="s">
        <v>106</v>
      </c>
      <c r="L19" s="13">
        <f t="shared" si="0"/>
        <v>18</v>
      </c>
    </row>
    <row r="20" spans="1:12" x14ac:dyDescent="0.25">
      <c r="A20" s="29" t="s">
        <v>275</v>
      </c>
      <c r="B20" s="18" t="s">
        <v>292</v>
      </c>
      <c r="C20" s="18" t="s">
        <v>293</v>
      </c>
      <c r="D20" s="18"/>
      <c r="E20" s="13" t="s">
        <v>277</v>
      </c>
      <c r="F20" s="13" t="s">
        <v>278</v>
      </c>
      <c r="G20" s="5" t="s">
        <v>278</v>
      </c>
      <c r="H20" s="5" t="s">
        <v>278</v>
      </c>
      <c r="I20" s="5"/>
      <c r="J20" s="11" t="s">
        <v>69</v>
      </c>
      <c r="K20" s="11" t="s">
        <v>106</v>
      </c>
      <c r="L20" s="13">
        <f t="shared" si="0"/>
        <v>19</v>
      </c>
    </row>
    <row r="21" spans="1:12" s="42" customFormat="1" x14ac:dyDescent="0.25">
      <c r="A21" s="39" t="s">
        <v>275</v>
      </c>
      <c r="B21" s="35" t="s">
        <v>374</v>
      </c>
      <c r="C21" s="35" t="s">
        <v>375</v>
      </c>
      <c r="D21" s="35"/>
      <c r="E21" s="24" t="s">
        <v>277</v>
      </c>
      <c r="F21" s="24" t="s">
        <v>278</v>
      </c>
      <c r="G21" s="40" t="s">
        <v>278</v>
      </c>
      <c r="H21" s="40" t="s">
        <v>278</v>
      </c>
      <c r="I21" s="40"/>
      <c r="J21" s="41" t="s">
        <v>69</v>
      </c>
      <c r="K21" s="41" t="s">
        <v>62</v>
      </c>
      <c r="L21" s="24">
        <f t="shared" si="0"/>
        <v>20</v>
      </c>
    </row>
    <row r="22" spans="1:12" s="42" customFormat="1" x14ac:dyDescent="0.25">
      <c r="A22" s="39" t="s">
        <v>275</v>
      </c>
      <c r="B22" s="35" t="s">
        <v>2</v>
      </c>
      <c r="C22" s="35" t="s">
        <v>393</v>
      </c>
      <c r="D22" s="35"/>
      <c r="E22" s="24" t="s">
        <v>277</v>
      </c>
      <c r="F22" s="24" t="s">
        <v>278</v>
      </c>
      <c r="G22" s="40" t="s">
        <v>278</v>
      </c>
      <c r="H22" s="40" t="s">
        <v>278</v>
      </c>
      <c r="I22" s="40"/>
      <c r="J22" s="41" t="s">
        <v>69</v>
      </c>
      <c r="K22" s="41" t="s">
        <v>62</v>
      </c>
      <c r="L22" s="24">
        <f t="shared" si="0"/>
        <v>21</v>
      </c>
    </row>
    <row r="23" spans="1:12" x14ac:dyDescent="0.25">
      <c r="A23" s="29" t="s">
        <v>275</v>
      </c>
      <c r="B23" s="18" t="s">
        <v>3</v>
      </c>
      <c r="C23" s="18" t="s">
        <v>118</v>
      </c>
      <c r="D23" s="18"/>
      <c r="E23" s="13" t="s">
        <v>277</v>
      </c>
      <c r="F23" s="13" t="s">
        <v>278</v>
      </c>
      <c r="G23" s="5" t="s">
        <v>278</v>
      </c>
      <c r="H23" s="5" t="s">
        <v>278</v>
      </c>
      <c r="I23" s="5"/>
      <c r="J23" s="11" t="s">
        <v>69</v>
      </c>
      <c r="K23" s="11" t="s">
        <v>62</v>
      </c>
      <c r="L23" s="13">
        <f t="shared" si="0"/>
        <v>22</v>
      </c>
    </row>
    <row r="24" spans="1:12" x14ac:dyDescent="0.25">
      <c r="A24" s="29" t="s">
        <v>275</v>
      </c>
      <c r="B24" s="18" t="s">
        <v>119</v>
      </c>
      <c r="C24" s="18" t="s">
        <v>120</v>
      </c>
      <c r="D24" s="18"/>
      <c r="E24" s="13" t="s">
        <v>277</v>
      </c>
      <c r="F24" s="13" t="s">
        <v>278</v>
      </c>
      <c r="G24" s="5" t="s">
        <v>278</v>
      </c>
      <c r="H24" s="5" t="s">
        <v>278</v>
      </c>
      <c r="I24" s="5"/>
      <c r="J24" s="11" t="s">
        <v>69</v>
      </c>
      <c r="K24" s="11" t="s">
        <v>62</v>
      </c>
      <c r="L24" s="13">
        <f t="shared" si="0"/>
        <v>23</v>
      </c>
    </row>
    <row r="25" spans="1:12" x14ac:dyDescent="0.25">
      <c r="A25" s="29" t="s">
        <v>275</v>
      </c>
      <c r="B25" s="18" t="s">
        <v>3</v>
      </c>
      <c r="C25" s="18" t="s">
        <v>121</v>
      </c>
      <c r="D25" s="18"/>
      <c r="E25" s="13" t="s">
        <v>277</v>
      </c>
      <c r="F25" s="13" t="s">
        <v>278</v>
      </c>
      <c r="G25" s="5" t="s">
        <v>278</v>
      </c>
      <c r="H25" s="5" t="s">
        <v>278</v>
      </c>
      <c r="I25" s="5"/>
      <c r="J25" s="11" t="s">
        <v>69</v>
      </c>
      <c r="K25" s="11" t="s">
        <v>62</v>
      </c>
      <c r="L25" s="13">
        <f t="shared" si="0"/>
        <v>24</v>
      </c>
    </row>
    <row r="26" spans="1:12" x14ac:dyDescent="0.25">
      <c r="A26" s="29" t="s">
        <v>275</v>
      </c>
      <c r="B26" s="18" t="s">
        <v>290</v>
      </c>
      <c r="C26" s="18" t="s">
        <v>291</v>
      </c>
      <c r="D26" s="18"/>
      <c r="E26" s="13" t="s">
        <v>277</v>
      </c>
      <c r="F26" s="13" t="s">
        <v>278</v>
      </c>
      <c r="G26" s="5" t="s">
        <v>278</v>
      </c>
      <c r="H26" s="5" t="s">
        <v>278</v>
      </c>
      <c r="I26" s="5"/>
      <c r="J26" s="11" t="s">
        <v>69</v>
      </c>
      <c r="K26" s="11" t="s">
        <v>62</v>
      </c>
      <c r="L26" s="13">
        <f t="shared" si="0"/>
        <v>25</v>
      </c>
    </row>
    <row r="27" spans="1:12" s="42" customFormat="1" x14ac:dyDescent="0.25">
      <c r="A27" s="39" t="s">
        <v>275</v>
      </c>
      <c r="B27" s="35" t="s">
        <v>351</v>
      </c>
      <c r="C27" s="35" t="s">
        <v>344</v>
      </c>
      <c r="D27" s="35"/>
      <c r="E27" s="24" t="s">
        <v>277</v>
      </c>
      <c r="F27" s="24" t="s">
        <v>278</v>
      </c>
      <c r="G27" s="40" t="s">
        <v>278</v>
      </c>
      <c r="H27" s="40" t="s">
        <v>278</v>
      </c>
      <c r="I27" s="40"/>
      <c r="J27" s="41" t="s">
        <v>317</v>
      </c>
      <c r="K27" s="41" t="s">
        <v>62</v>
      </c>
      <c r="L27" s="24">
        <f t="shared" si="0"/>
        <v>26</v>
      </c>
    </row>
    <row r="28" spans="1:12" s="42" customFormat="1" x14ac:dyDescent="0.25">
      <c r="A28" s="39" t="s">
        <v>275</v>
      </c>
      <c r="B28" s="35" t="s">
        <v>3</v>
      </c>
      <c r="C28" s="35" t="s">
        <v>390</v>
      </c>
      <c r="D28" s="35"/>
      <c r="E28" s="24" t="s">
        <v>277</v>
      </c>
      <c r="F28" s="24" t="s">
        <v>278</v>
      </c>
      <c r="G28" s="40" t="s">
        <v>278</v>
      </c>
      <c r="H28" s="40" t="s">
        <v>278</v>
      </c>
      <c r="I28" s="40"/>
      <c r="J28" s="41" t="s">
        <v>69</v>
      </c>
      <c r="K28" s="41" t="s">
        <v>62</v>
      </c>
      <c r="L28" s="24">
        <f t="shared" si="0"/>
        <v>27</v>
      </c>
    </row>
    <row r="29" spans="1:12" x14ac:dyDescent="0.25">
      <c r="A29" s="29" t="s">
        <v>275</v>
      </c>
      <c r="B29" s="18" t="s">
        <v>49</v>
      </c>
      <c r="C29" s="18" t="s">
        <v>126</v>
      </c>
      <c r="D29" s="18"/>
      <c r="E29" s="13" t="s">
        <v>277</v>
      </c>
      <c r="F29" s="13" t="s">
        <v>278</v>
      </c>
      <c r="G29" s="5" t="s">
        <v>278</v>
      </c>
      <c r="H29" s="5" t="s">
        <v>278</v>
      </c>
      <c r="I29" s="5"/>
      <c r="J29" s="11" t="s">
        <v>69</v>
      </c>
      <c r="K29" s="11" t="s">
        <v>106</v>
      </c>
      <c r="L29" s="13">
        <f t="shared" si="0"/>
        <v>28</v>
      </c>
    </row>
    <row r="30" spans="1:12" x14ac:dyDescent="0.25">
      <c r="A30" s="29" t="s">
        <v>275</v>
      </c>
      <c r="B30" s="18" t="s">
        <v>127</v>
      </c>
      <c r="C30" s="18" t="s">
        <v>128</v>
      </c>
      <c r="D30" s="18"/>
      <c r="E30" s="13" t="s">
        <v>277</v>
      </c>
      <c r="F30" s="13" t="s">
        <v>278</v>
      </c>
      <c r="G30" s="5" t="s">
        <v>278</v>
      </c>
      <c r="H30" s="5" t="s">
        <v>278</v>
      </c>
      <c r="I30" s="5"/>
      <c r="J30" s="11" t="s">
        <v>69</v>
      </c>
      <c r="K30" s="11" t="s">
        <v>106</v>
      </c>
      <c r="L30" s="13">
        <f t="shared" si="0"/>
        <v>29</v>
      </c>
    </row>
    <row r="31" spans="1:12" x14ac:dyDescent="0.25">
      <c r="A31" s="29" t="s">
        <v>275</v>
      </c>
      <c r="B31" s="18" t="s">
        <v>49</v>
      </c>
      <c r="C31" s="18" t="s">
        <v>129</v>
      </c>
      <c r="D31" s="18"/>
      <c r="E31" s="13" t="s">
        <v>277</v>
      </c>
      <c r="F31" s="13" t="s">
        <v>278</v>
      </c>
      <c r="G31" s="5" t="s">
        <v>278</v>
      </c>
      <c r="H31" s="5" t="s">
        <v>278</v>
      </c>
      <c r="I31" s="5"/>
      <c r="J31" s="11" t="s">
        <v>69</v>
      </c>
      <c r="K31" s="11" t="s">
        <v>106</v>
      </c>
      <c r="L31" s="13">
        <f t="shared" si="0"/>
        <v>30</v>
      </c>
    </row>
    <row r="32" spans="1:12" x14ac:dyDescent="0.25">
      <c r="A32" s="29" t="s">
        <v>275</v>
      </c>
      <c r="B32" s="18" t="s">
        <v>294</v>
      </c>
      <c r="C32" s="18" t="s">
        <v>295</v>
      </c>
      <c r="D32" s="18"/>
      <c r="E32" s="13" t="s">
        <v>277</v>
      </c>
      <c r="F32" s="13" t="s">
        <v>278</v>
      </c>
      <c r="G32" s="5" t="s">
        <v>278</v>
      </c>
      <c r="H32" s="5" t="s">
        <v>278</v>
      </c>
      <c r="I32" s="5"/>
      <c r="J32" s="11" t="s">
        <v>69</v>
      </c>
      <c r="K32" s="11" t="s">
        <v>106</v>
      </c>
      <c r="L32" s="13">
        <f t="shared" si="0"/>
        <v>31</v>
      </c>
    </row>
    <row r="33" spans="1:12" s="42" customFormat="1" x14ac:dyDescent="0.25">
      <c r="A33" s="39" t="s">
        <v>275</v>
      </c>
      <c r="B33" s="35" t="s">
        <v>376</v>
      </c>
      <c r="C33" s="35" t="s">
        <v>377</v>
      </c>
      <c r="D33" s="35"/>
      <c r="E33" s="24" t="s">
        <v>277</v>
      </c>
      <c r="F33" s="24" t="s">
        <v>278</v>
      </c>
      <c r="G33" s="40" t="s">
        <v>278</v>
      </c>
      <c r="H33" s="40" t="s">
        <v>278</v>
      </c>
      <c r="I33" s="40"/>
      <c r="J33" s="41" t="s">
        <v>317</v>
      </c>
      <c r="K33" s="41" t="s">
        <v>62</v>
      </c>
      <c r="L33" s="24">
        <f t="shared" si="0"/>
        <v>32</v>
      </c>
    </row>
    <row r="34" spans="1:12" s="42" customFormat="1" x14ac:dyDescent="0.25">
      <c r="A34" s="39" t="s">
        <v>275</v>
      </c>
      <c r="B34" s="35" t="s">
        <v>49</v>
      </c>
      <c r="C34" s="35" t="s">
        <v>389</v>
      </c>
      <c r="D34" s="35"/>
      <c r="E34" s="24" t="s">
        <v>277</v>
      </c>
      <c r="F34" s="24" t="s">
        <v>278</v>
      </c>
      <c r="G34" s="40" t="s">
        <v>278</v>
      </c>
      <c r="H34" s="40" t="s">
        <v>278</v>
      </c>
      <c r="I34" s="40"/>
      <c r="J34" s="41" t="s">
        <v>69</v>
      </c>
      <c r="K34" s="41" t="s">
        <v>62</v>
      </c>
      <c r="L34" s="24">
        <f t="shared" si="0"/>
        <v>33</v>
      </c>
    </row>
    <row r="35" spans="1:12" x14ac:dyDescent="0.25">
      <c r="A35" s="29" t="s">
        <v>275</v>
      </c>
      <c r="B35" s="18" t="s">
        <v>4</v>
      </c>
      <c r="C35" s="18" t="s">
        <v>130</v>
      </c>
      <c r="D35" s="18"/>
      <c r="E35" s="13" t="s">
        <v>277</v>
      </c>
      <c r="F35" s="13" t="s">
        <v>277</v>
      </c>
      <c r="G35" s="13"/>
      <c r="H35" s="13" t="s">
        <v>277</v>
      </c>
      <c r="I35" s="13"/>
      <c r="J35" s="11" t="s">
        <v>67</v>
      </c>
      <c r="K35" s="11" t="s">
        <v>62</v>
      </c>
      <c r="L35" s="13">
        <f t="shared" si="0"/>
        <v>34</v>
      </c>
    </row>
    <row r="36" spans="1:12" x14ac:dyDescent="0.25">
      <c r="A36" s="29" t="s">
        <v>275</v>
      </c>
      <c r="B36" s="18" t="s">
        <v>4</v>
      </c>
      <c r="C36" s="18" t="s">
        <v>131</v>
      </c>
      <c r="D36" s="18"/>
      <c r="E36" s="13" t="s">
        <v>277</v>
      </c>
      <c r="F36" s="13" t="s">
        <v>277</v>
      </c>
      <c r="G36" s="13"/>
      <c r="H36" s="13" t="s">
        <v>277</v>
      </c>
      <c r="I36" s="13"/>
      <c r="J36" s="11" t="s">
        <v>67</v>
      </c>
      <c r="K36" s="11" t="s">
        <v>62</v>
      </c>
      <c r="L36" s="13">
        <f t="shared" si="0"/>
        <v>35</v>
      </c>
    </row>
    <row r="37" spans="1:12" x14ac:dyDescent="0.25">
      <c r="A37" s="29" t="s">
        <v>275</v>
      </c>
      <c r="B37" s="18" t="s">
        <v>373</v>
      </c>
      <c r="C37" s="18" t="s">
        <v>345</v>
      </c>
      <c r="D37" s="18"/>
      <c r="E37" s="13" t="s">
        <v>277</v>
      </c>
      <c r="F37" s="13" t="s">
        <v>277</v>
      </c>
      <c r="G37" s="13"/>
      <c r="H37" s="13" t="s">
        <v>277</v>
      </c>
      <c r="I37" s="13"/>
      <c r="J37" s="11" t="s">
        <v>67</v>
      </c>
      <c r="K37" s="11" t="s">
        <v>62</v>
      </c>
      <c r="L37" s="13">
        <f t="shared" si="0"/>
        <v>36</v>
      </c>
    </row>
    <row r="38" spans="1:12" x14ac:dyDescent="0.25">
      <c r="A38" s="29" t="s">
        <v>275</v>
      </c>
      <c r="B38" s="47" t="s">
        <v>4</v>
      </c>
      <c r="C38" s="56" t="s">
        <v>421</v>
      </c>
      <c r="D38" s="18"/>
      <c r="E38" s="13" t="s">
        <v>277</v>
      </c>
      <c r="F38" s="13" t="s">
        <v>277</v>
      </c>
      <c r="G38" s="13" t="s">
        <v>277</v>
      </c>
      <c r="H38" s="13" t="s">
        <v>277</v>
      </c>
      <c r="I38" s="13"/>
      <c r="J38" s="11" t="s">
        <v>67</v>
      </c>
      <c r="K38" s="11" t="s">
        <v>62</v>
      </c>
      <c r="L38" s="13">
        <f t="shared" si="0"/>
        <v>37</v>
      </c>
    </row>
    <row r="39" spans="1:12" x14ac:dyDescent="0.25">
      <c r="A39" s="29" t="s">
        <v>275</v>
      </c>
      <c r="B39" s="47" t="s">
        <v>4</v>
      </c>
      <c r="C39" s="56" t="s">
        <v>422</v>
      </c>
      <c r="D39" s="18"/>
      <c r="E39" s="13" t="s">
        <v>277</v>
      </c>
      <c r="F39" s="13" t="s">
        <v>277</v>
      </c>
      <c r="G39" s="13" t="s">
        <v>277</v>
      </c>
      <c r="H39" s="13" t="s">
        <v>277</v>
      </c>
      <c r="I39" s="13"/>
      <c r="J39" s="11" t="s">
        <v>67</v>
      </c>
      <c r="K39" s="11" t="s">
        <v>62</v>
      </c>
      <c r="L39" s="13">
        <f t="shared" si="0"/>
        <v>38</v>
      </c>
    </row>
    <row r="40" spans="1:12" x14ac:dyDescent="0.25">
      <c r="A40" s="29" t="s">
        <v>275</v>
      </c>
      <c r="B40" s="47" t="s">
        <v>4</v>
      </c>
      <c r="C40" s="47" t="s">
        <v>132</v>
      </c>
      <c r="D40" s="18"/>
      <c r="E40" s="13" t="s">
        <v>277</v>
      </c>
      <c r="F40" s="13" t="s">
        <v>277</v>
      </c>
      <c r="G40" s="13" t="s">
        <v>277</v>
      </c>
      <c r="H40" s="13" t="s">
        <v>277</v>
      </c>
      <c r="I40" s="13"/>
      <c r="J40" s="11" t="s">
        <v>67</v>
      </c>
      <c r="K40" s="11" t="s">
        <v>62</v>
      </c>
      <c r="L40" s="13">
        <f t="shared" si="0"/>
        <v>39</v>
      </c>
    </row>
    <row r="41" spans="1:12" x14ac:dyDescent="0.25">
      <c r="A41" s="29" t="s">
        <v>275</v>
      </c>
      <c r="B41" s="47" t="s">
        <v>4</v>
      </c>
      <c r="C41" s="56" t="s">
        <v>423</v>
      </c>
      <c r="D41" s="18"/>
      <c r="E41" s="13" t="s">
        <v>277</v>
      </c>
      <c r="F41" s="13" t="s">
        <v>277</v>
      </c>
      <c r="G41" s="13" t="s">
        <v>277</v>
      </c>
      <c r="H41" s="13" t="s">
        <v>277</v>
      </c>
      <c r="I41" s="13"/>
      <c r="J41" s="11" t="s">
        <v>67</v>
      </c>
      <c r="K41" s="11" t="s">
        <v>62</v>
      </c>
      <c r="L41" s="13">
        <f t="shared" si="0"/>
        <v>40</v>
      </c>
    </row>
    <row r="42" spans="1:12" x14ac:dyDescent="0.25">
      <c r="A42" s="29" t="s">
        <v>275</v>
      </c>
      <c r="B42" s="47" t="s">
        <v>4</v>
      </c>
      <c r="C42" s="56" t="s">
        <v>424</v>
      </c>
      <c r="D42" s="18"/>
      <c r="E42" s="13" t="s">
        <v>277</v>
      </c>
      <c r="F42" s="13" t="s">
        <v>277</v>
      </c>
      <c r="G42" s="13" t="s">
        <v>277</v>
      </c>
      <c r="H42" s="13" t="s">
        <v>277</v>
      </c>
      <c r="I42" s="13"/>
      <c r="J42" s="11" t="s">
        <v>67</v>
      </c>
      <c r="K42" s="11" t="s">
        <v>62</v>
      </c>
      <c r="L42" s="13">
        <f t="shared" si="0"/>
        <v>41</v>
      </c>
    </row>
    <row r="43" spans="1:12" x14ac:dyDescent="0.25">
      <c r="A43" s="29" t="s">
        <v>275</v>
      </c>
      <c r="B43" s="20" t="s">
        <v>296</v>
      </c>
      <c r="C43" s="20" t="s">
        <v>297</v>
      </c>
      <c r="D43" s="20"/>
      <c r="E43" s="13" t="s">
        <v>277</v>
      </c>
      <c r="F43" s="13"/>
      <c r="G43" s="13" t="s">
        <v>278</v>
      </c>
      <c r="H43" s="13" t="s">
        <v>277</v>
      </c>
      <c r="I43" s="13"/>
      <c r="J43" s="11" t="s">
        <v>68</v>
      </c>
      <c r="K43" s="11" t="s">
        <v>66</v>
      </c>
      <c r="L43" s="13">
        <f t="shared" si="0"/>
        <v>42</v>
      </c>
    </row>
    <row r="44" spans="1:12" x14ac:dyDescent="0.25">
      <c r="A44" s="29" t="s">
        <v>275</v>
      </c>
      <c r="B44" s="20" t="s">
        <v>296</v>
      </c>
      <c r="C44" s="20" t="s">
        <v>298</v>
      </c>
      <c r="D44" s="20"/>
      <c r="E44" s="13" t="s">
        <v>277</v>
      </c>
      <c r="F44" s="13" t="b">
        <v>1</v>
      </c>
      <c r="G44" s="13" t="s">
        <v>278</v>
      </c>
      <c r="H44" s="13" t="s">
        <v>277</v>
      </c>
      <c r="I44" s="13"/>
      <c r="J44" s="11" t="s">
        <v>68</v>
      </c>
      <c r="K44" s="11" t="s">
        <v>66</v>
      </c>
      <c r="L44" s="13">
        <f t="shared" si="0"/>
        <v>43</v>
      </c>
    </row>
    <row r="45" spans="1:12" x14ac:dyDescent="0.25">
      <c r="A45" s="29" t="s">
        <v>275</v>
      </c>
      <c r="B45" s="20" t="s">
        <v>372</v>
      </c>
      <c r="C45" s="20" t="s">
        <v>346</v>
      </c>
      <c r="D45" s="20"/>
      <c r="E45" s="13" t="s">
        <v>277</v>
      </c>
      <c r="F45" s="13"/>
      <c r="G45" s="13" t="s">
        <v>278</v>
      </c>
      <c r="H45" s="13" t="s">
        <v>277</v>
      </c>
      <c r="I45" s="13"/>
      <c r="J45" s="11" t="s">
        <v>316</v>
      </c>
      <c r="K45" s="11" t="s">
        <v>66</v>
      </c>
      <c r="L45" s="13">
        <f t="shared" si="0"/>
        <v>44</v>
      </c>
    </row>
    <row r="46" spans="1:12" x14ac:dyDescent="0.25">
      <c r="A46" s="29" t="s">
        <v>275</v>
      </c>
      <c r="B46" s="20" t="s">
        <v>388</v>
      </c>
      <c r="C46" s="20" t="s">
        <v>391</v>
      </c>
      <c r="D46" s="20"/>
      <c r="E46" s="13" t="s">
        <v>277</v>
      </c>
      <c r="F46" s="13"/>
      <c r="G46" s="13" t="s">
        <v>278</v>
      </c>
      <c r="H46" s="13" t="s">
        <v>277</v>
      </c>
      <c r="I46" s="13"/>
      <c r="J46" s="11" t="s">
        <v>337</v>
      </c>
      <c r="K46" s="11" t="s">
        <v>66</v>
      </c>
      <c r="L46" s="13">
        <f t="shared" si="0"/>
        <v>45</v>
      </c>
    </row>
    <row r="47" spans="1:12" x14ac:dyDescent="0.25">
      <c r="A47" s="29" t="s">
        <v>275</v>
      </c>
      <c r="B47" s="20" t="s">
        <v>296</v>
      </c>
      <c r="C47" s="56" t="s">
        <v>421</v>
      </c>
      <c r="D47" s="20"/>
      <c r="E47" s="13" t="s">
        <v>277</v>
      </c>
      <c r="F47" s="13" t="s">
        <v>277</v>
      </c>
      <c r="G47" s="13" t="s">
        <v>277</v>
      </c>
      <c r="H47" s="13" t="s">
        <v>277</v>
      </c>
      <c r="I47" s="13"/>
      <c r="J47" s="11" t="s">
        <v>68</v>
      </c>
      <c r="K47" s="11" t="s">
        <v>66</v>
      </c>
      <c r="L47" s="13">
        <f t="shared" si="0"/>
        <v>46</v>
      </c>
    </row>
    <row r="48" spans="1:12" x14ac:dyDescent="0.25">
      <c r="A48" s="29" t="s">
        <v>275</v>
      </c>
      <c r="B48" s="20" t="s">
        <v>296</v>
      </c>
      <c r="C48" s="56" t="s">
        <v>422</v>
      </c>
      <c r="D48" s="20"/>
      <c r="E48" s="13" t="s">
        <v>277</v>
      </c>
      <c r="F48" s="13" t="s">
        <v>277</v>
      </c>
      <c r="G48" s="13" t="s">
        <v>277</v>
      </c>
      <c r="H48" s="13" t="s">
        <v>277</v>
      </c>
      <c r="I48" s="13"/>
      <c r="J48" s="11" t="s">
        <v>68</v>
      </c>
      <c r="K48" s="11" t="s">
        <v>66</v>
      </c>
      <c r="L48" s="13">
        <f t="shared" si="0"/>
        <v>47</v>
      </c>
    </row>
    <row r="49" spans="1:12" x14ac:dyDescent="0.25">
      <c r="A49" s="29" t="s">
        <v>275</v>
      </c>
      <c r="B49" s="20" t="s">
        <v>296</v>
      </c>
      <c r="C49" s="47" t="s">
        <v>299</v>
      </c>
      <c r="D49" s="20"/>
      <c r="E49" s="13" t="s">
        <v>277</v>
      </c>
      <c r="F49" s="13" t="s">
        <v>277</v>
      </c>
      <c r="G49" s="13" t="s">
        <v>277</v>
      </c>
      <c r="H49" s="13" t="s">
        <v>277</v>
      </c>
      <c r="I49" s="13"/>
      <c r="J49" s="11" t="s">
        <v>68</v>
      </c>
      <c r="K49" s="11" t="s">
        <v>66</v>
      </c>
      <c r="L49" s="13">
        <f t="shared" si="0"/>
        <v>48</v>
      </c>
    </row>
    <row r="50" spans="1:12" x14ac:dyDescent="0.25">
      <c r="A50" s="29" t="s">
        <v>275</v>
      </c>
      <c r="B50" s="20" t="s">
        <v>296</v>
      </c>
      <c r="C50" s="56" t="s">
        <v>423</v>
      </c>
      <c r="D50" s="20"/>
      <c r="E50" s="13" t="s">
        <v>277</v>
      </c>
      <c r="F50" s="13" t="s">
        <v>277</v>
      </c>
      <c r="G50" s="13" t="s">
        <v>277</v>
      </c>
      <c r="H50" s="13" t="s">
        <v>277</v>
      </c>
      <c r="I50" s="13"/>
      <c r="J50" s="11" t="s">
        <v>68</v>
      </c>
      <c r="K50" s="11" t="s">
        <v>66</v>
      </c>
      <c r="L50" s="13">
        <f t="shared" si="0"/>
        <v>49</v>
      </c>
    </row>
    <row r="51" spans="1:12" x14ac:dyDescent="0.25">
      <c r="A51" s="29" t="s">
        <v>275</v>
      </c>
      <c r="B51" s="20" t="s">
        <v>296</v>
      </c>
      <c r="C51" s="56" t="s">
        <v>424</v>
      </c>
      <c r="D51" s="20"/>
      <c r="E51" s="13" t="s">
        <v>277</v>
      </c>
      <c r="F51" s="13" t="s">
        <v>277</v>
      </c>
      <c r="G51" s="13" t="s">
        <v>277</v>
      </c>
      <c r="H51" s="13" t="s">
        <v>277</v>
      </c>
      <c r="I51" s="13"/>
      <c r="J51" s="11" t="s">
        <v>68</v>
      </c>
      <c r="K51" s="11" t="s">
        <v>66</v>
      </c>
      <c r="L51" s="13">
        <f t="shared" si="0"/>
        <v>50</v>
      </c>
    </row>
    <row r="52" spans="1:12" x14ac:dyDescent="0.25">
      <c r="A52" s="29" t="s">
        <v>275</v>
      </c>
      <c r="B52" s="18" t="s">
        <v>5</v>
      </c>
      <c r="C52" s="18" t="s">
        <v>136</v>
      </c>
      <c r="D52" s="18"/>
      <c r="E52" s="13" t="s">
        <v>277</v>
      </c>
      <c r="F52" s="13" t="s">
        <v>278</v>
      </c>
      <c r="G52" s="5" t="s">
        <v>278</v>
      </c>
      <c r="H52" s="5" t="s">
        <v>278</v>
      </c>
      <c r="I52" s="5"/>
      <c r="J52" s="11" t="s">
        <v>69</v>
      </c>
      <c r="K52" s="11" t="s">
        <v>62</v>
      </c>
      <c r="L52" s="13">
        <f t="shared" si="0"/>
        <v>51</v>
      </c>
    </row>
    <row r="53" spans="1:12" x14ac:dyDescent="0.25">
      <c r="A53" s="29" t="s">
        <v>275</v>
      </c>
      <c r="B53" s="18" t="s">
        <v>5</v>
      </c>
      <c r="C53" s="18" t="s">
        <v>137</v>
      </c>
      <c r="D53" s="18"/>
      <c r="E53" s="13" t="s">
        <v>277</v>
      </c>
      <c r="F53" s="13" t="s">
        <v>278</v>
      </c>
      <c r="G53" s="5" t="s">
        <v>278</v>
      </c>
      <c r="H53" s="5" t="s">
        <v>278</v>
      </c>
      <c r="I53" s="5"/>
      <c r="J53" s="11" t="s">
        <v>69</v>
      </c>
      <c r="K53" s="11" t="s">
        <v>62</v>
      </c>
      <c r="L53" s="13">
        <f t="shared" si="0"/>
        <v>52</v>
      </c>
    </row>
    <row r="54" spans="1:12" x14ac:dyDescent="0.25">
      <c r="A54" s="29" t="s">
        <v>275</v>
      </c>
      <c r="B54" s="18" t="s">
        <v>378</v>
      </c>
      <c r="C54" s="18" t="s">
        <v>379</v>
      </c>
      <c r="D54" s="18"/>
      <c r="E54" s="13" t="s">
        <v>277</v>
      </c>
      <c r="F54" s="13" t="s">
        <v>277</v>
      </c>
      <c r="G54" s="13"/>
      <c r="H54" s="13" t="s">
        <v>277</v>
      </c>
      <c r="I54" s="13"/>
      <c r="J54" s="11" t="s">
        <v>67</v>
      </c>
      <c r="K54" s="11" t="s">
        <v>62</v>
      </c>
      <c r="L54" s="13">
        <f t="shared" si="0"/>
        <v>53</v>
      </c>
    </row>
    <row r="55" spans="1:12" x14ac:dyDescent="0.25">
      <c r="A55" s="29" t="s">
        <v>275</v>
      </c>
      <c r="B55" s="47" t="s">
        <v>5</v>
      </c>
      <c r="C55" s="56" t="s">
        <v>421</v>
      </c>
      <c r="D55" s="18"/>
      <c r="E55" s="13" t="s">
        <v>277</v>
      </c>
      <c r="F55" s="13" t="s">
        <v>277</v>
      </c>
      <c r="G55" s="13" t="s">
        <v>277</v>
      </c>
      <c r="H55" s="13" t="s">
        <v>277</v>
      </c>
      <c r="I55" s="5"/>
      <c r="J55" s="11" t="s">
        <v>69</v>
      </c>
      <c r="K55" s="11" t="s">
        <v>62</v>
      </c>
      <c r="L55" s="13">
        <f t="shared" si="0"/>
        <v>54</v>
      </c>
    </row>
    <row r="56" spans="1:12" x14ac:dyDescent="0.25">
      <c r="A56" s="29" t="s">
        <v>275</v>
      </c>
      <c r="B56" s="47" t="s">
        <v>5</v>
      </c>
      <c r="C56" s="56" t="s">
        <v>422</v>
      </c>
      <c r="D56" s="18"/>
      <c r="E56" s="13" t="s">
        <v>277</v>
      </c>
      <c r="F56" s="13" t="s">
        <v>277</v>
      </c>
      <c r="G56" s="13" t="s">
        <v>277</v>
      </c>
      <c r="H56" s="13" t="s">
        <v>277</v>
      </c>
      <c r="I56" s="5"/>
      <c r="J56" s="11" t="s">
        <v>69</v>
      </c>
      <c r="K56" s="11" t="s">
        <v>62</v>
      </c>
      <c r="L56" s="13">
        <f t="shared" si="0"/>
        <v>55</v>
      </c>
    </row>
    <row r="57" spans="1:12" x14ac:dyDescent="0.25">
      <c r="A57" s="29" t="s">
        <v>275</v>
      </c>
      <c r="B57" s="47" t="s">
        <v>5</v>
      </c>
      <c r="C57" s="47" t="s">
        <v>138</v>
      </c>
      <c r="D57" s="18"/>
      <c r="E57" s="13" t="s">
        <v>277</v>
      </c>
      <c r="F57" s="13" t="s">
        <v>277</v>
      </c>
      <c r="G57" s="13" t="s">
        <v>277</v>
      </c>
      <c r="H57" s="13" t="s">
        <v>277</v>
      </c>
      <c r="I57" s="5"/>
      <c r="J57" s="11" t="s">
        <v>69</v>
      </c>
      <c r="K57" s="11" t="s">
        <v>62</v>
      </c>
      <c r="L57" s="13">
        <f t="shared" si="0"/>
        <v>56</v>
      </c>
    </row>
    <row r="58" spans="1:12" x14ac:dyDescent="0.25">
      <c r="A58" s="29" t="s">
        <v>275</v>
      </c>
      <c r="B58" s="47" t="s">
        <v>5</v>
      </c>
      <c r="C58" s="56" t="s">
        <v>423</v>
      </c>
      <c r="D58" s="18"/>
      <c r="E58" s="13" t="s">
        <v>277</v>
      </c>
      <c r="F58" s="13" t="s">
        <v>277</v>
      </c>
      <c r="G58" s="13" t="s">
        <v>277</v>
      </c>
      <c r="H58" s="13" t="s">
        <v>277</v>
      </c>
      <c r="I58" s="5"/>
      <c r="J58" s="11" t="s">
        <v>69</v>
      </c>
      <c r="K58" s="11" t="s">
        <v>62</v>
      </c>
      <c r="L58" s="13">
        <f t="shared" si="0"/>
        <v>57</v>
      </c>
    </row>
    <row r="59" spans="1:12" x14ac:dyDescent="0.25">
      <c r="A59" s="29" t="s">
        <v>275</v>
      </c>
      <c r="B59" s="47" t="s">
        <v>5</v>
      </c>
      <c r="C59" s="56" t="s">
        <v>424</v>
      </c>
      <c r="D59" s="18"/>
      <c r="E59" s="13" t="s">
        <v>277</v>
      </c>
      <c r="F59" s="13" t="s">
        <v>277</v>
      </c>
      <c r="G59" s="13" t="s">
        <v>277</v>
      </c>
      <c r="H59" s="13" t="s">
        <v>277</v>
      </c>
      <c r="I59" s="5"/>
      <c r="J59" s="11" t="s">
        <v>69</v>
      </c>
      <c r="K59" s="11" t="s">
        <v>62</v>
      </c>
      <c r="L59" s="13">
        <f t="shared" si="0"/>
        <v>58</v>
      </c>
    </row>
    <row r="60" spans="1:12" x14ac:dyDescent="0.25">
      <c r="A60" s="29" t="s">
        <v>275</v>
      </c>
      <c r="B60" s="18" t="s">
        <v>6</v>
      </c>
      <c r="C60" s="18" t="s">
        <v>142</v>
      </c>
      <c r="D60" s="18"/>
      <c r="E60" s="13" t="s">
        <v>277</v>
      </c>
      <c r="F60" s="13" t="s">
        <v>278</v>
      </c>
      <c r="G60" s="5" t="s">
        <v>278</v>
      </c>
      <c r="H60" s="5" t="s">
        <v>278</v>
      </c>
      <c r="I60" s="5"/>
      <c r="J60" s="11" t="s">
        <v>69</v>
      </c>
      <c r="K60" s="11" t="s">
        <v>64</v>
      </c>
      <c r="L60" s="13">
        <f t="shared" si="0"/>
        <v>59</v>
      </c>
    </row>
    <row r="61" spans="1:12" x14ac:dyDescent="0.25">
      <c r="A61" s="29" t="s">
        <v>275</v>
      </c>
      <c r="B61" s="18" t="s">
        <v>6</v>
      </c>
      <c r="C61" s="18" t="s">
        <v>143</v>
      </c>
      <c r="D61" s="18"/>
      <c r="E61" s="13" t="s">
        <v>277</v>
      </c>
      <c r="F61" s="13" t="s">
        <v>278</v>
      </c>
      <c r="G61" s="5" t="s">
        <v>278</v>
      </c>
      <c r="H61" s="5" t="s">
        <v>278</v>
      </c>
      <c r="I61" s="5"/>
      <c r="J61" s="11" t="s">
        <v>69</v>
      </c>
      <c r="K61" s="11" t="s">
        <v>64</v>
      </c>
      <c r="L61" s="13">
        <f t="shared" si="0"/>
        <v>60</v>
      </c>
    </row>
    <row r="62" spans="1:12" x14ac:dyDescent="0.25">
      <c r="A62" s="29" t="s">
        <v>275</v>
      </c>
      <c r="B62" s="18" t="s">
        <v>380</v>
      </c>
      <c r="C62" s="18" t="s">
        <v>381</v>
      </c>
      <c r="D62" s="18"/>
      <c r="E62" s="13" t="s">
        <v>277</v>
      </c>
      <c r="F62" s="13" t="s">
        <v>277</v>
      </c>
      <c r="G62" s="13"/>
      <c r="H62" s="13" t="s">
        <v>277</v>
      </c>
      <c r="I62" s="13"/>
      <c r="J62" s="11" t="s">
        <v>69</v>
      </c>
      <c r="K62" s="11" t="s">
        <v>64</v>
      </c>
      <c r="L62" s="13">
        <f t="shared" si="0"/>
        <v>61</v>
      </c>
    </row>
    <row r="63" spans="1:12" x14ac:dyDescent="0.25">
      <c r="A63" s="29" t="s">
        <v>275</v>
      </c>
      <c r="B63" s="47" t="s">
        <v>6</v>
      </c>
      <c r="C63" s="56" t="s">
        <v>421</v>
      </c>
      <c r="D63" s="18"/>
      <c r="E63" s="13" t="s">
        <v>277</v>
      </c>
      <c r="F63" s="13" t="s">
        <v>277</v>
      </c>
      <c r="G63" s="13" t="s">
        <v>277</v>
      </c>
      <c r="H63" s="13" t="s">
        <v>277</v>
      </c>
      <c r="I63" s="5"/>
      <c r="J63" s="11" t="s">
        <v>69</v>
      </c>
      <c r="K63" s="11" t="s">
        <v>64</v>
      </c>
      <c r="L63" s="13">
        <f t="shared" si="0"/>
        <v>62</v>
      </c>
    </row>
    <row r="64" spans="1:12" x14ac:dyDescent="0.25">
      <c r="A64" s="29" t="s">
        <v>275</v>
      </c>
      <c r="B64" s="47" t="s">
        <v>6</v>
      </c>
      <c r="C64" s="56" t="s">
        <v>422</v>
      </c>
      <c r="D64" s="18"/>
      <c r="E64" s="13" t="s">
        <v>277</v>
      </c>
      <c r="F64" s="13" t="s">
        <v>277</v>
      </c>
      <c r="G64" s="13" t="s">
        <v>277</v>
      </c>
      <c r="H64" s="13" t="s">
        <v>277</v>
      </c>
      <c r="I64" s="5"/>
      <c r="J64" s="11" t="s">
        <v>69</v>
      </c>
      <c r="K64" s="11" t="s">
        <v>64</v>
      </c>
      <c r="L64" s="13">
        <f t="shared" si="0"/>
        <v>63</v>
      </c>
    </row>
    <row r="65" spans="1:12" x14ac:dyDescent="0.25">
      <c r="A65" s="29" t="s">
        <v>275</v>
      </c>
      <c r="B65" s="47" t="s">
        <v>6</v>
      </c>
      <c r="C65" s="47" t="s">
        <v>144</v>
      </c>
      <c r="D65" s="18"/>
      <c r="E65" s="13" t="s">
        <v>277</v>
      </c>
      <c r="F65" s="13" t="s">
        <v>277</v>
      </c>
      <c r="G65" s="13" t="s">
        <v>277</v>
      </c>
      <c r="H65" s="13" t="s">
        <v>277</v>
      </c>
      <c r="I65" s="5"/>
      <c r="J65" s="11" t="s">
        <v>69</v>
      </c>
      <c r="K65" s="11" t="s">
        <v>64</v>
      </c>
      <c r="L65" s="13">
        <f t="shared" si="0"/>
        <v>64</v>
      </c>
    </row>
    <row r="66" spans="1:12" x14ac:dyDescent="0.25">
      <c r="A66" s="29" t="s">
        <v>275</v>
      </c>
      <c r="B66" s="47" t="s">
        <v>6</v>
      </c>
      <c r="C66" s="56" t="s">
        <v>423</v>
      </c>
      <c r="D66" s="18"/>
      <c r="E66" s="13" t="s">
        <v>277</v>
      </c>
      <c r="F66" s="13" t="s">
        <v>277</v>
      </c>
      <c r="G66" s="13" t="s">
        <v>277</v>
      </c>
      <c r="H66" s="13" t="s">
        <v>277</v>
      </c>
      <c r="I66" s="5"/>
      <c r="J66" s="11" t="s">
        <v>69</v>
      </c>
      <c r="K66" s="11" t="s">
        <v>64</v>
      </c>
      <c r="L66" s="13">
        <f t="shared" si="0"/>
        <v>65</v>
      </c>
    </row>
    <row r="67" spans="1:12" x14ac:dyDescent="0.25">
      <c r="A67" s="29" t="s">
        <v>275</v>
      </c>
      <c r="B67" s="47" t="s">
        <v>6</v>
      </c>
      <c r="C67" s="56" t="s">
        <v>424</v>
      </c>
      <c r="D67" s="18"/>
      <c r="E67" s="13" t="s">
        <v>277</v>
      </c>
      <c r="F67" s="13" t="s">
        <v>277</v>
      </c>
      <c r="G67" s="13" t="s">
        <v>277</v>
      </c>
      <c r="H67" s="13" t="s">
        <v>277</v>
      </c>
      <c r="I67" s="5"/>
      <c r="J67" s="11" t="s">
        <v>69</v>
      </c>
      <c r="K67" s="11" t="s">
        <v>64</v>
      </c>
      <c r="L67" s="13">
        <f t="shared" si="0"/>
        <v>66</v>
      </c>
    </row>
    <row r="68" spans="1:12" x14ac:dyDescent="0.25">
      <c r="A68" s="29" t="s">
        <v>275</v>
      </c>
      <c r="B68" s="18" t="s">
        <v>7</v>
      </c>
      <c r="C68" s="18" t="s">
        <v>145</v>
      </c>
      <c r="D68" s="18"/>
      <c r="E68" s="13" t="s">
        <v>277</v>
      </c>
      <c r="F68" s="13" t="s">
        <v>278</v>
      </c>
      <c r="G68" s="5" t="s">
        <v>278</v>
      </c>
      <c r="H68" s="5" t="s">
        <v>278</v>
      </c>
      <c r="I68" s="5"/>
      <c r="J68" s="11" t="s">
        <v>69</v>
      </c>
      <c r="K68" s="11" t="s">
        <v>64</v>
      </c>
      <c r="L68" s="13">
        <f t="shared" si="0"/>
        <v>67</v>
      </c>
    </row>
    <row r="69" spans="1:12" x14ac:dyDescent="0.25">
      <c r="A69" s="29" t="s">
        <v>275</v>
      </c>
      <c r="B69" s="18" t="s">
        <v>7</v>
      </c>
      <c r="C69" s="18" t="s">
        <v>146</v>
      </c>
      <c r="D69" s="18"/>
      <c r="E69" s="13" t="s">
        <v>277</v>
      </c>
      <c r="F69" s="13" t="s">
        <v>278</v>
      </c>
      <c r="G69" s="5" t="s">
        <v>278</v>
      </c>
      <c r="H69" s="5" t="s">
        <v>278</v>
      </c>
      <c r="I69" s="5"/>
      <c r="J69" s="11" t="s">
        <v>69</v>
      </c>
      <c r="K69" s="11" t="s">
        <v>64</v>
      </c>
      <c r="L69" s="13">
        <f t="shared" si="0"/>
        <v>68</v>
      </c>
    </row>
    <row r="70" spans="1:12" x14ac:dyDescent="0.25">
      <c r="A70" s="29" t="s">
        <v>275</v>
      </c>
      <c r="B70" s="18" t="s">
        <v>382</v>
      </c>
      <c r="C70" s="18" t="s">
        <v>383</v>
      </c>
      <c r="D70" s="18"/>
      <c r="E70" s="13" t="s">
        <v>277</v>
      </c>
      <c r="F70" s="13" t="s">
        <v>277</v>
      </c>
      <c r="G70" s="13"/>
      <c r="H70" s="13" t="s">
        <v>277</v>
      </c>
      <c r="I70" s="13"/>
      <c r="J70" s="11" t="s">
        <v>69</v>
      </c>
      <c r="K70" s="11" t="s">
        <v>64</v>
      </c>
      <c r="L70" s="13">
        <f t="shared" si="0"/>
        <v>69</v>
      </c>
    </row>
    <row r="71" spans="1:12" x14ac:dyDescent="0.25">
      <c r="A71" s="29" t="s">
        <v>275</v>
      </c>
      <c r="B71" s="47" t="s">
        <v>7</v>
      </c>
      <c r="C71" s="56" t="s">
        <v>421</v>
      </c>
      <c r="D71" s="18"/>
      <c r="E71" s="13" t="s">
        <v>277</v>
      </c>
      <c r="F71" s="13" t="s">
        <v>277</v>
      </c>
      <c r="G71" s="13" t="s">
        <v>277</v>
      </c>
      <c r="H71" s="13" t="s">
        <v>277</v>
      </c>
      <c r="I71" s="5"/>
      <c r="J71" s="11" t="s">
        <v>69</v>
      </c>
      <c r="K71" s="11" t="s">
        <v>64</v>
      </c>
      <c r="L71" s="13">
        <f t="shared" si="0"/>
        <v>70</v>
      </c>
    </row>
    <row r="72" spans="1:12" x14ac:dyDescent="0.25">
      <c r="A72" s="29" t="s">
        <v>275</v>
      </c>
      <c r="B72" s="47" t="s">
        <v>7</v>
      </c>
      <c r="C72" s="56" t="s">
        <v>422</v>
      </c>
      <c r="D72" s="18"/>
      <c r="E72" s="13" t="s">
        <v>277</v>
      </c>
      <c r="F72" s="13" t="s">
        <v>277</v>
      </c>
      <c r="G72" s="13" t="s">
        <v>277</v>
      </c>
      <c r="H72" s="13" t="s">
        <v>277</v>
      </c>
      <c r="I72" s="5"/>
      <c r="J72" s="11" t="s">
        <v>69</v>
      </c>
      <c r="K72" s="11" t="s">
        <v>64</v>
      </c>
      <c r="L72" s="13">
        <f t="shared" si="0"/>
        <v>71</v>
      </c>
    </row>
    <row r="73" spans="1:12" x14ac:dyDescent="0.25">
      <c r="A73" s="29" t="s">
        <v>275</v>
      </c>
      <c r="B73" s="47" t="s">
        <v>7</v>
      </c>
      <c r="C73" s="47" t="s">
        <v>147</v>
      </c>
      <c r="D73" s="18"/>
      <c r="E73" s="13" t="s">
        <v>277</v>
      </c>
      <c r="F73" s="13" t="s">
        <v>277</v>
      </c>
      <c r="G73" s="13" t="s">
        <v>277</v>
      </c>
      <c r="H73" s="13" t="s">
        <v>277</v>
      </c>
      <c r="I73" s="5"/>
      <c r="J73" s="11" t="s">
        <v>69</v>
      </c>
      <c r="K73" s="11" t="s">
        <v>64</v>
      </c>
      <c r="L73" s="13">
        <f t="shared" si="0"/>
        <v>72</v>
      </c>
    </row>
    <row r="74" spans="1:12" x14ac:dyDescent="0.25">
      <c r="A74" s="29" t="s">
        <v>275</v>
      </c>
      <c r="B74" s="47" t="s">
        <v>7</v>
      </c>
      <c r="C74" s="56" t="s">
        <v>423</v>
      </c>
      <c r="D74" s="18"/>
      <c r="E74" s="13" t="s">
        <v>277</v>
      </c>
      <c r="F74" s="13" t="s">
        <v>277</v>
      </c>
      <c r="G74" s="13" t="s">
        <v>277</v>
      </c>
      <c r="H74" s="13" t="s">
        <v>277</v>
      </c>
      <c r="I74" s="5"/>
      <c r="J74" s="11" t="s">
        <v>69</v>
      </c>
      <c r="K74" s="11" t="s">
        <v>64</v>
      </c>
      <c r="L74" s="13">
        <f t="shared" si="0"/>
        <v>73</v>
      </c>
    </row>
    <row r="75" spans="1:12" x14ac:dyDescent="0.25">
      <c r="A75" s="29" t="s">
        <v>275</v>
      </c>
      <c r="B75" s="47" t="s">
        <v>7</v>
      </c>
      <c r="C75" s="56" t="s">
        <v>424</v>
      </c>
      <c r="D75" s="18"/>
      <c r="E75" s="13" t="s">
        <v>277</v>
      </c>
      <c r="F75" s="13" t="s">
        <v>277</v>
      </c>
      <c r="G75" s="13" t="s">
        <v>277</v>
      </c>
      <c r="H75" s="13" t="s">
        <v>277</v>
      </c>
      <c r="I75" s="5"/>
      <c r="J75" s="11" t="s">
        <v>69</v>
      </c>
      <c r="K75" s="11" t="s">
        <v>64</v>
      </c>
      <c r="L75" s="13">
        <f t="shared" si="0"/>
        <v>74</v>
      </c>
    </row>
    <row r="76" spans="1:12" x14ac:dyDescent="0.25">
      <c r="A76" s="29" t="s">
        <v>275</v>
      </c>
      <c r="B76" s="18" t="s">
        <v>8</v>
      </c>
      <c r="C76" s="18" t="s">
        <v>139</v>
      </c>
      <c r="D76" s="18"/>
      <c r="E76" s="13" t="s">
        <v>277</v>
      </c>
      <c r="F76" s="13" t="s">
        <v>278</v>
      </c>
      <c r="G76" s="5" t="s">
        <v>278</v>
      </c>
      <c r="H76" s="5" t="s">
        <v>278</v>
      </c>
      <c r="I76" s="5"/>
      <c r="J76" s="11" t="s">
        <v>69</v>
      </c>
      <c r="K76" s="11" t="s">
        <v>66</v>
      </c>
      <c r="L76" s="13">
        <f t="shared" si="0"/>
        <v>75</v>
      </c>
    </row>
    <row r="77" spans="1:12" x14ac:dyDescent="0.25">
      <c r="A77" s="29" t="s">
        <v>275</v>
      </c>
      <c r="B77" s="18" t="s">
        <v>333</v>
      </c>
      <c r="C77" s="18" t="s">
        <v>347</v>
      </c>
      <c r="D77" s="18"/>
      <c r="E77" s="13" t="s">
        <v>277</v>
      </c>
      <c r="F77" s="13" t="s">
        <v>278</v>
      </c>
      <c r="G77" s="5" t="s">
        <v>278</v>
      </c>
      <c r="H77" s="5" t="s">
        <v>278</v>
      </c>
      <c r="I77" s="5"/>
      <c r="J77" s="11" t="s">
        <v>334</v>
      </c>
      <c r="K77" s="11" t="s">
        <v>66</v>
      </c>
      <c r="L77" s="13">
        <f t="shared" si="0"/>
        <v>76</v>
      </c>
    </row>
    <row r="78" spans="1:12" x14ac:dyDescent="0.25">
      <c r="A78" s="29" t="s">
        <v>275</v>
      </c>
      <c r="B78" s="18" t="s">
        <v>8</v>
      </c>
      <c r="C78" s="18" t="s">
        <v>140</v>
      </c>
      <c r="D78" s="18"/>
      <c r="E78" s="13" t="s">
        <v>277</v>
      </c>
      <c r="F78" s="13" t="s">
        <v>278</v>
      </c>
      <c r="G78" s="5" t="s">
        <v>278</v>
      </c>
      <c r="H78" s="5" t="s">
        <v>278</v>
      </c>
      <c r="I78" s="5"/>
      <c r="J78" s="11" t="s">
        <v>69</v>
      </c>
      <c r="K78" s="11" t="s">
        <v>66</v>
      </c>
      <c r="L78" s="13">
        <f t="shared" si="0"/>
        <v>77</v>
      </c>
    </row>
    <row r="79" spans="1:12" x14ac:dyDescent="0.25">
      <c r="A79" s="29" t="s">
        <v>275</v>
      </c>
      <c r="B79" s="47" t="s">
        <v>8</v>
      </c>
      <c r="C79" s="56" t="s">
        <v>421</v>
      </c>
      <c r="D79" s="18"/>
      <c r="E79" s="13" t="s">
        <v>277</v>
      </c>
      <c r="F79" s="13" t="s">
        <v>277</v>
      </c>
      <c r="G79" s="13" t="s">
        <v>277</v>
      </c>
      <c r="H79" s="13" t="s">
        <v>277</v>
      </c>
      <c r="I79" s="5"/>
      <c r="J79" s="11" t="s">
        <v>69</v>
      </c>
      <c r="K79" s="11" t="s">
        <v>66</v>
      </c>
      <c r="L79" s="13">
        <f t="shared" si="0"/>
        <v>78</v>
      </c>
    </row>
    <row r="80" spans="1:12" x14ac:dyDescent="0.25">
      <c r="A80" s="29" t="s">
        <v>275</v>
      </c>
      <c r="B80" s="47" t="s">
        <v>8</v>
      </c>
      <c r="C80" s="56" t="s">
        <v>422</v>
      </c>
      <c r="D80" s="18"/>
      <c r="E80" s="13" t="s">
        <v>277</v>
      </c>
      <c r="F80" s="13" t="s">
        <v>277</v>
      </c>
      <c r="G80" s="13" t="s">
        <v>277</v>
      </c>
      <c r="H80" s="13" t="s">
        <v>277</v>
      </c>
      <c r="I80" s="5"/>
      <c r="J80" s="11" t="s">
        <v>69</v>
      </c>
      <c r="K80" s="11" t="s">
        <v>66</v>
      </c>
      <c r="L80" s="13">
        <f t="shared" si="0"/>
        <v>79</v>
      </c>
    </row>
    <row r="81" spans="1:12" x14ac:dyDescent="0.25">
      <c r="A81" s="29" t="s">
        <v>275</v>
      </c>
      <c r="B81" s="47" t="s">
        <v>8</v>
      </c>
      <c r="C81" s="47" t="s">
        <v>141</v>
      </c>
      <c r="D81" s="18"/>
      <c r="E81" s="13" t="s">
        <v>277</v>
      </c>
      <c r="F81" s="13" t="s">
        <v>277</v>
      </c>
      <c r="G81" s="13" t="s">
        <v>277</v>
      </c>
      <c r="H81" s="13" t="s">
        <v>277</v>
      </c>
      <c r="I81" s="5"/>
      <c r="J81" s="11" t="s">
        <v>69</v>
      </c>
      <c r="K81" s="11" t="s">
        <v>66</v>
      </c>
      <c r="L81" s="13">
        <f t="shared" si="0"/>
        <v>80</v>
      </c>
    </row>
    <row r="82" spans="1:12" x14ac:dyDescent="0.25">
      <c r="A82" s="29" t="s">
        <v>275</v>
      </c>
      <c r="B82" s="47" t="s">
        <v>8</v>
      </c>
      <c r="C82" s="56" t="s">
        <v>423</v>
      </c>
      <c r="D82" s="18"/>
      <c r="E82" s="13" t="s">
        <v>277</v>
      </c>
      <c r="F82" s="13" t="s">
        <v>277</v>
      </c>
      <c r="G82" s="13" t="s">
        <v>277</v>
      </c>
      <c r="H82" s="13" t="s">
        <v>277</v>
      </c>
      <c r="I82" s="5"/>
      <c r="J82" s="11" t="s">
        <v>69</v>
      </c>
      <c r="K82" s="11" t="s">
        <v>66</v>
      </c>
      <c r="L82" s="13">
        <f t="shared" si="0"/>
        <v>81</v>
      </c>
    </row>
    <row r="83" spans="1:12" x14ac:dyDescent="0.25">
      <c r="A83" s="29" t="s">
        <v>275</v>
      </c>
      <c r="B83" s="47" t="s">
        <v>8</v>
      </c>
      <c r="C83" s="56" t="s">
        <v>424</v>
      </c>
      <c r="D83" s="18"/>
      <c r="E83" s="13" t="s">
        <v>277</v>
      </c>
      <c r="F83" s="13" t="s">
        <v>277</v>
      </c>
      <c r="G83" s="13" t="s">
        <v>277</v>
      </c>
      <c r="H83" s="13" t="s">
        <v>277</v>
      </c>
      <c r="I83" s="5"/>
      <c r="J83" s="11" t="s">
        <v>69</v>
      </c>
      <c r="K83" s="11" t="s">
        <v>66</v>
      </c>
      <c r="L83" s="13">
        <f t="shared" si="0"/>
        <v>82</v>
      </c>
    </row>
    <row r="84" spans="1:12" x14ac:dyDescent="0.25">
      <c r="A84" s="29" t="s">
        <v>275</v>
      </c>
      <c r="B84" s="18" t="s">
        <v>48</v>
      </c>
      <c r="C84" s="18" t="s">
        <v>148</v>
      </c>
      <c r="D84" s="18"/>
      <c r="E84" s="13" t="s">
        <v>277</v>
      </c>
      <c r="F84" s="13" t="s">
        <v>278</v>
      </c>
      <c r="G84" s="5" t="s">
        <v>278</v>
      </c>
      <c r="H84" s="5" t="s">
        <v>278</v>
      </c>
      <c r="I84" s="5"/>
      <c r="J84" s="11" t="s">
        <v>69</v>
      </c>
      <c r="K84" s="11" t="s">
        <v>64</v>
      </c>
      <c r="L84" s="13">
        <f t="shared" si="0"/>
        <v>83</v>
      </c>
    </row>
    <row r="85" spans="1:12" x14ac:dyDescent="0.25">
      <c r="A85" s="29" t="s">
        <v>275</v>
      </c>
      <c r="B85" s="18" t="s">
        <v>48</v>
      </c>
      <c r="C85" s="18" t="s">
        <v>149</v>
      </c>
      <c r="D85" s="18"/>
      <c r="E85" s="13" t="s">
        <v>277</v>
      </c>
      <c r="F85" s="13" t="s">
        <v>278</v>
      </c>
      <c r="G85" s="5" t="s">
        <v>278</v>
      </c>
      <c r="H85" s="5" t="s">
        <v>278</v>
      </c>
      <c r="I85" s="5"/>
      <c r="J85" s="11" t="s">
        <v>69</v>
      </c>
      <c r="K85" s="11" t="s">
        <v>64</v>
      </c>
      <c r="L85" s="13">
        <f t="shared" si="0"/>
        <v>84</v>
      </c>
    </row>
    <row r="86" spans="1:12" x14ac:dyDescent="0.25">
      <c r="A86" s="29" t="s">
        <v>275</v>
      </c>
      <c r="B86" s="18" t="s">
        <v>384</v>
      </c>
      <c r="C86" s="18" t="s">
        <v>385</v>
      </c>
      <c r="D86" s="18"/>
      <c r="E86" s="13" t="s">
        <v>277</v>
      </c>
      <c r="F86" s="13" t="s">
        <v>278</v>
      </c>
      <c r="G86" s="5" t="s">
        <v>278</v>
      </c>
      <c r="H86" s="5" t="s">
        <v>278</v>
      </c>
      <c r="I86" s="5"/>
      <c r="J86" s="11" t="s">
        <v>336</v>
      </c>
      <c r="K86" s="11" t="s">
        <v>64</v>
      </c>
      <c r="L86" s="13">
        <f t="shared" si="0"/>
        <v>85</v>
      </c>
    </row>
    <row r="87" spans="1:12" x14ac:dyDescent="0.25">
      <c r="A87" s="29" t="s">
        <v>275</v>
      </c>
      <c r="B87" s="47" t="s">
        <v>48</v>
      </c>
      <c r="C87" s="56" t="s">
        <v>421</v>
      </c>
      <c r="D87" s="18"/>
      <c r="E87" s="13" t="s">
        <v>277</v>
      </c>
      <c r="F87" s="13" t="s">
        <v>277</v>
      </c>
      <c r="G87" s="13" t="s">
        <v>277</v>
      </c>
      <c r="H87" s="13" t="s">
        <v>277</v>
      </c>
      <c r="I87" s="5"/>
      <c r="J87" s="11" t="s">
        <v>69</v>
      </c>
      <c r="K87" s="11" t="s">
        <v>64</v>
      </c>
      <c r="L87" s="13">
        <f t="shared" si="0"/>
        <v>86</v>
      </c>
    </row>
    <row r="88" spans="1:12" x14ac:dyDescent="0.25">
      <c r="A88" s="29" t="s">
        <v>275</v>
      </c>
      <c r="B88" s="47" t="s">
        <v>48</v>
      </c>
      <c r="C88" s="56" t="s">
        <v>422</v>
      </c>
      <c r="D88" s="18"/>
      <c r="E88" s="13" t="s">
        <v>277</v>
      </c>
      <c r="F88" s="13" t="s">
        <v>277</v>
      </c>
      <c r="G88" s="13" t="s">
        <v>277</v>
      </c>
      <c r="H88" s="13" t="s">
        <v>277</v>
      </c>
      <c r="I88" s="5"/>
      <c r="J88" s="11" t="s">
        <v>69</v>
      </c>
      <c r="K88" s="11" t="s">
        <v>64</v>
      </c>
      <c r="L88" s="13">
        <f t="shared" si="0"/>
        <v>87</v>
      </c>
    </row>
    <row r="89" spans="1:12" x14ac:dyDescent="0.25">
      <c r="A89" s="29" t="s">
        <v>275</v>
      </c>
      <c r="B89" s="47" t="s">
        <v>48</v>
      </c>
      <c r="C89" s="47" t="s">
        <v>150</v>
      </c>
      <c r="D89" s="18"/>
      <c r="E89" s="13" t="s">
        <v>277</v>
      </c>
      <c r="F89" s="13" t="s">
        <v>277</v>
      </c>
      <c r="G89" s="13" t="s">
        <v>277</v>
      </c>
      <c r="H89" s="13" t="s">
        <v>277</v>
      </c>
      <c r="I89" s="5"/>
      <c r="J89" s="11" t="s">
        <v>69</v>
      </c>
      <c r="K89" s="11" t="s">
        <v>64</v>
      </c>
      <c r="L89" s="13">
        <f t="shared" si="0"/>
        <v>88</v>
      </c>
    </row>
    <row r="90" spans="1:12" x14ac:dyDescent="0.25">
      <c r="A90" s="29" t="s">
        <v>275</v>
      </c>
      <c r="B90" s="47" t="s">
        <v>48</v>
      </c>
      <c r="C90" s="56" t="s">
        <v>423</v>
      </c>
      <c r="D90" s="18"/>
      <c r="E90" s="13" t="s">
        <v>277</v>
      </c>
      <c r="F90" s="13" t="s">
        <v>277</v>
      </c>
      <c r="G90" s="13" t="s">
        <v>277</v>
      </c>
      <c r="H90" s="13" t="s">
        <v>277</v>
      </c>
      <c r="I90" s="5"/>
      <c r="J90" s="11" t="s">
        <v>69</v>
      </c>
      <c r="K90" s="11" t="s">
        <v>64</v>
      </c>
      <c r="L90" s="13">
        <f t="shared" si="0"/>
        <v>89</v>
      </c>
    </row>
    <row r="91" spans="1:12" x14ac:dyDescent="0.25">
      <c r="A91" s="29" t="s">
        <v>275</v>
      </c>
      <c r="B91" s="47" t="s">
        <v>48</v>
      </c>
      <c r="C91" s="56" t="s">
        <v>424</v>
      </c>
      <c r="D91" s="18"/>
      <c r="E91" s="13" t="s">
        <v>277</v>
      </c>
      <c r="F91" s="13" t="s">
        <v>277</v>
      </c>
      <c r="G91" s="13" t="s">
        <v>277</v>
      </c>
      <c r="H91" s="13" t="s">
        <v>277</v>
      </c>
      <c r="I91" s="5"/>
      <c r="J91" s="11" t="s">
        <v>69</v>
      </c>
      <c r="K91" s="11" t="s">
        <v>64</v>
      </c>
      <c r="L91" s="13">
        <f t="shared" si="0"/>
        <v>90</v>
      </c>
    </row>
    <row r="92" spans="1:12" x14ac:dyDescent="0.25">
      <c r="A92" s="29" t="s">
        <v>275</v>
      </c>
      <c r="B92" s="27" t="s">
        <v>58</v>
      </c>
      <c r="C92" s="27" t="s">
        <v>151</v>
      </c>
      <c r="D92" s="20"/>
      <c r="E92" s="13" t="s">
        <v>277</v>
      </c>
      <c r="F92" s="13" t="s">
        <v>278</v>
      </c>
      <c r="G92" s="5" t="s">
        <v>278</v>
      </c>
      <c r="H92" s="5" t="s">
        <v>278</v>
      </c>
      <c r="I92" s="5"/>
      <c r="J92" s="11" t="s">
        <v>69</v>
      </c>
      <c r="K92" s="11" t="s">
        <v>64</v>
      </c>
      <c r="L92" s="13">
        <f t="shared" si="0"/>
        <v>91</v>
      </c>
    </row>
    <row r="93" spans="1:12" x14ac:dyDescent="0.25">
      <c r="A93" s="29" t="s">
        <v>275</v>
      </c>
      <c r="B93" s="27" t="s">
        <v>58</v>
      </c>
      <c r="C93" s="27" t="s">
        <v>152</v>
      </c>
      <c r="D93" s="20"/>
      <c r="E93" s="13" t="s">
        <v>277</v>
      </c>
      <c r="F93" s="13" t="s">
        <v>278</v>
      </c>
      <c r="G93" s="5" t="s">
        <v>278</v>
      </c>
      <c r="H93" s="5" t="s">
        <v>278</v>
      </c>
      <c r="I93" s="5"/>
      <c r="J93" s="11" t="s">
        <v>69</v>
      </c>
      <c r="K93" s="11" t="s">
        <v>64</v>
      </c>
      <c r="L93" s="13">
        <f t="shared" si="0"/>
        <v>92</v>
      </c>
    </row>
    <row r="94" spans="1:12" x14ac:dyDescent="0.25">
      <c r="A94" s="29" t="s">
        <v>275</v>
      </c>
      <c r="B94" s="18" t="s">
        <v>386</v>
      </c>
      <c r="C94" s="18" t="s">
        <v>387</v>
      </c>
      <c r="D94" s="18"/>
      <c r="E94" s="13" t="s">
        <v>277</v>
      </c>
      <c r="F94" s="13" t="s">
        <v>278</v>
      </c>
      <c r="G94" s="5" t="s">
        <v>278</v>
      </c>
      <c r="H94" s="5" t="s">
        <v>278</v>
      </c>
      <c r="I94" s="5"/>
      <c r="J94" s="11" t="s">
        <v>336</v>
      </c>
      <c r="K94" s="11" t="s">
        <v>64</v>
      </c>
      <c r="L94" s="13">
        <f t="shared" si="0"/>
        <v>93</v>
      </c>
    </row>
    <row r="95" spans="1:12" x14ac:dyDescent="0.25">
      <c r="A95" s="29" t="s">
        <v>275</v>
      </c>
      <c r="B95" s="47" t="s">
        <v>58</v>
      </c>
      <c r="C95" s="56" t="s">
        <v>421</v>
      </c>
      <c r="D95" s="20"/>
      <c r="E95" s="13" t="s">
        <v>277</v>
      </c>
      <c r="F95" s="13" t="s">
        <v>277</v>
      </c>
      <c r="G95" s="13" t="s">
        <v>277</v>
      </c>
      <c r="H95" s="13" t="s">
        <v>277</v>
      </c>
      <c r="I95" s="5"/>
      <c r="J95" s="11" t="s">
        <v>69</v>
      </c>
      <c r="K95" s="11" t="s">
        <v>64</v>
      </c>
      <c r="L95" s="13">
        <f t="shared" si="0"/>
        <v>94</v>
      </c>
    </row>
    <row r="96" spans="1:12" x14ac:dyDescent="0.25">
      <c r="A96" s="29" t="s">
        <v>275</v>
      </c>
      <c r="B96" s="47" t="s">
        <v>58</v>
      </c>
      <c r="C96" s="56" t="s">
        <v>422</v>
      </c>
      <c r="D96" s="20"/>
      <c r="E96" s="13" t="s">
        <v>277</v>
      </c>
      <c r="F96" s="13" t="s">
        <v>277</v>
      </c>
      <c r="G96" s="13" t="s">
        <v>277</v>
      </c>
      <c r="H96" s="13" t="s">
        <v>277</v>
      </c>
      <c r="I96" s="5"/>
      <c r="J96" s="11" t="s">
        <v>69</v>
      </c>
      <c r="K96" s="11" t="s">
        <v>64</v>
      </c>
      <c r="L96" s="13">
        <f t="shared" si="0"/>
        <v>95</v>
      </c>
    </row>
    <row r="97" spans="1:12" x14ac:dyDescent="0.25">
      <c r="A97" s="29" t="s">
        <v>275</v>
      </c>
      <c r="B97" s="47" t="s">
        <v>58</v>
      </c>
      <c r="C97" s="47" t="s">
        <v>153</v>
      </c>
      <c r="D97" s="20"/>
      <c r="E97" s="13" t="s">
        <v>277</v>
      </c>
      <c r="F97" s="13" t="s">
        <v>277</v>
      </c>
      <c r="G97" s="13" t="s">
        <v>277</v>
      </c>
      <c r="H97" s="13" t="s">
        <v>277</v>
      </c>
      <c r="I97" s="5"/>
      <c r="J97" s="11" t="s">
        <v>69</v>
      </c>
      <c r="K97" s="11" t="s">
        <v>64</v>
      </c>
      <c r="L97" s="13">
        <f t="shared" si="0"/>
        <v>96</v>
      </c>
    </row>
    <row r="98" spans="1:12" x14ac:dyDescent="0.25">
      <c r="A98" s="29" t="s">
        <v>275</v>
      </c>
      <c r="B98" s="47" t="s">
        <v>58</v>
      </c>
      <c r="C98" s="56" t="s">
        <v>423</v>
      </c>
      <c r="D98" s="20"/>
      <c r="E98" s="13" t="s">
        <v>277</v>
      </c>
      <c r="F98" s="13" t="s">
        <v>277</v>
      </c>
      <c r="G98" s="13" t="s">
        <v>277</v>
      </c>
      <c r="H98" s="13" t="s">
        <v>277</v>
      </c>
      <c r="I98" s="5"/>
      <c r="J98" s="11" t="s">
        <v>69</v>
      </c>
      <c r="K98" s="11" t="s">
        <v>64</v>
      </c>
      <c r="L98" s="13">
        <f t="shared" si="0"/>
        <v>97</v>
      </c>
    </row>
    <row r="99" spans="1:12" x14ac:dyDescent="0.25">
      <c r="A99" s="29" t="s">
        <v>275</v>
      </c>
      <c r="B99" s="47" t="s">
        <v>58</v>
      </c>
      <c r="C99" s="56" t="s">
        <v>424</v>
      </c>
      <c r="D99" s="20"/>
      <c r="E99" s="13" t="s">
        <v>277</v>
      </c>
      <c r="F99" s="13" t="s">
        <v>277</v>
      </c>
      <c r="G99" s="13" t="s">
        <v>277</v>
      </c>
      <c r="H99" s="13" t="s">
        <v>277</v>
      </c>
      <c r="I99" s="5"/>
      <c r="J99" s="11" t="s">
        <v>69</v>
      </c>
      <c r="K99" s="11" t="s">
        <v>64</v>
      </c>
      <c r="L99" s="13">
        <f t="shared" si="0"/>
        <v>98</v>
      </c>
    </row>
    <row r="100" spans="1:12" x14ac:dyDescent="0.25">
      <c r="A100" s="29" t="s">
        <v>275</v>
      </c>
      <c r="B100" s="27" t="s">
        <v>95</v>
      </c>
      <c r="C100" s="27" t="s">
        <v>133</v>
      </c>
      <c r="D100" s="20"/>
      <c r="E100" s="13" t="s">
        <v>277</v>
      </c>
      <c r="F100" s="13" t="s">
        <v>278</v>
      </c>
      <c r="G100" s="5" t="s">
        <v>278</v>
      </c>
      <c r="H100" s="5" t="s">
        <v>278</v>
      </c>
      <c r="I100" s="5"/>
      <c r="J100" s="11" t="s">
        <v>69</v>
      </c>
      <c r="K100" s="11" t="s">
        <v>64</v>
      </c>
      <c r="L100" s="13">
        <f t="shared" si="0"/>
        <v>99</v>
      </c>
    </row>
    <row r="101" spans="1:12" x14ac:dyDescent="0.25">
      <c r="A101" s="29" t="s">
        <v>275</v>
      </c>
      <c r="B101" s="18" t="s">
        <v>335</v>
      </c>
      <c r="C101" s="18" t="s">
        <v>348</v>
      </c>
      <c r="D101" s="18"/>
      <c r="E101" s="13" t="s">
        <v>277</v>
      </c>
      <c r="F101" s="13" t="s">
        <v>278</v>
      </c>
      <c r="G101" s="5" t="s">
        <v>278</v>
      </c>
      <c r="H101" s="5" t="s">
        <v>278</v>
      </c>
      <c r="I101" s="5"/>
      <c r="J101" s="11" t="s">
        <v>336</v>
      </c>
      <c r="K101" s="11" t="s">
        <v>66</v>
      </c>
      <c r="L101" s="13">
        <f t="shared" si="0"/>
        <v>100</v>
      </c>
    </row>
    <row r="102" spans="1:12" x14ac:dyDescent="0.25">
      <c r="A102" s="29" t="s">
        <v>275</v>
      </c>
      <c r="B102" s="27" t="s">
        <v>95</v>
      </c>
      <c r="C102" s="27" t="s">
        <v>134</v>
      </c>
      <c r="D102" s="20"/>
      <c r="E102" s="13" t="s">
        <v>277</v>
      </c>
      <c r="F102" s="13" t="s">
        <v>278</v>
      </c>
      <c r="G102" s="5" t="s">
        <v>278</v>
      </c>
      <c r="H102" s="5" t="s">
        <v>278</v>
      </c>
      <c r="I102" s="5"/>
      <c r="J102" s="11" t="s">
        <v>69</v>
      </c>
      <c r="K102" s="11" t="s">
        <v>64</v>
      </c>
      <c r="L102" s="13">
        <f t="shared" si="0"/>
        <v>101</v>
      </c>
    </row>
    <row r="103" spans="1:12" x14ac:dyDescent="0.25">
      <c r="A103" s="29" t="s">
        <v>275</v>
      </c>
      <c r="B103" s="27" t="s">
        <v>95</v>
      </c>
      <c r="C103" s="56" t="s">
        <v>421</v>
      </c>
      <c r="D103" s="20"/>
      <c r="E103" s="13" t="s">
        <v>277</v>
      </c>
      <c r="F103" s="13" t="s">
        <v>277</v>
      </c>
      <c r="G103" s="13" t="s">
        <v>277</v>
      </c>
      <c r="H103" s="13" t="s">
        <v>277</v>
      </c>
      <c r="I103" s="13"/>
      <c r="J103" s="11" t="s">
        <v>69</v>
      </c>
      <c r="K103" s="11" t="s">
        <v>64</v>
      </c>
      <c r="L103" s="13">
        <f t="shared" si="0"/>
        <v>102</v>
      </c>
    </row>
    <row r="104" spans="1:12" x14ac:dyDescent="0.25">
      <c r="A104" s="29" t="s">
        <v>275</v>
      </c>
      <c r="B104" s="27" t="s">
        <v>95</v>
      </c>
      <c r="C104" s="56" t="s">
        <v>422</v>
      </c>
      <c r="D104" s="20"/>
      <c r="E104" s="13" t="s">
        <v>277</v>
      </c>
      <c r="F104" s="13" t="s">
        <v>277</v>
      </c>
      <c r="G104" s="13" t="s">
        <v>277</v>
      </c>
      <c r="H104" s="13" t="s">
        <v>277</v>
      </c>
      <c r="I104" s="13"/>
      <c r="J104" s="11" t="s">
        <v>69</v>
      </c>
      <c r="K104" s="11" t="s">
        <v>64</v>
      </c>
      <c r="L104" s="13">
        <f t="shared" si="0"/>
        <v>103</v>
      </c>
    </row>
    <row r="105" spans="1:12" x14ac:dyDescent="0.25">
      <c r="A105" s="29" t="s">
        <v>275</v>
      </c>
      <c r="B105" s="27" t="s">
        <v>95</v>
      </c>
      <c r="C105" s="47" t="s">
        <v>135</v>
      </c>
      <c r="D105" s="20"/>
      <c r="E105" s="13" t="s">
        <v>277</v>
      </c>
      <c r="F105" s="13" t="s">
        <v>277</v>
      </c>
      <c r="G105" s="13" t="s">
        <v>277</v>
      </c>
      <c r="H105" s="13" t="s">
        <v>277</v>
      </c>
      <c r="I105" s="13"/>
      <c r="J105" s="11" t="s">
        <v>69</v>
      </c>
      <c r="K105" s="11" t="s">
        <v>64</v>
      </c>
      <c r="L105" s="13">
        <f t="shared" si="0"/>
        <v>104</v>
      </c>
    </row>
    <row r="106" spans="1:12" x14ac:dyDescent="0.25">
      <c r="A106" s="29" t="s">
        <v>275</v>
      </c>
      <c r="B106" s="27" t="s">
        <v>95</v>
      </c>
      <c r="C106" s="56" t="s">
        <v>423</v>
      </c>
      <c r="D106" s="20"/>
      <c r="E106" s="13" t="s">
        <v>277</v>
      </c>
      <c r="F106" s="13" t="s">
        <v>277</v>
      </c>
      <c r="G106" s="13" t="s">
        <v>277</v>
      </c>
      <c r="H106" s="13" t="s">
        <v>277</v>
      </c>
      <c r="I106" s="13"/>
      <c r="J106" s="11" t="s">
        <v>69</v>
      </c>
      <c r="K106" s="11" t="s">
        <v>64</v>
      </c>
      <c r="L106" s="13">
        <f t="shared" si="0"/>
        <v>105</v>
      </c>
    </row>
    <row r="107" spans="1:12" x14ac:dyDescent="0.25">
      <c r="A107" s="29" t="s">
        <v>275</v>
      </c>
      <c r="B107" s="27" t="s">
        <v>95</v>
      </c>
      <c r="C107" s="56" t="s">
        <v>424</v>
      </c>
      <c r="D107" s="20"/>
      <c r="E107" s="13" t="s">
        <v>277</v>
      </c>
      <c r="F107" s="13" t="s">
        <v>277</v>
      </c>
      <c r="G107" s="13" t="s">
        <v>277</v>
      </c>
      <c r="H107" s="13" t="s">
        <v>277</v>
      </c>
      <c r="I107" s="13"/>
      <c r="J107" s="11" t="s">
        <v>69</v>
      </c>
      <c r="K107" s="11" t="s">
        <v>64</v>
      </c>
      <c r="L107" s="13">
        <f t="shared" si="0"/>
        <v>106</v>
      </c>
    </row>
    <row r="108" spans="1:12" x14ac:dyDescent="0.25">
      <c r="A108" s="29" t="s">
        <v>275</v>
      </c>
      <c r="B108" s="18" t="s">
        <v>9</v>
      </c>
      <c r="C108" s="18" t="s">
        <v>154</v>
      </c>
      <c r="D108" s="18"/>
      <c r="E108" s="13" t="s">
        <v>277</v>
      </c>
      <c r="F108" s="13" t="s">
        <v>277</v>
      </c>
      <c r="H108" s="13" t="s">
        <v>277</v>
      </c>
      <c r="I108" s="13"/>
      <c r="J108" s="11" t="s">
        <v>67</v>
      </c>
      <c r="K108" s="11" t="s">
        <v>66</v>
      </c>
      <c r="L108" s="13">
        <f t="shared" si="0"/>
        <v>107</v>
      </c>
    </row>
    <row r="109" spans="1:12" x14ac:dyDescent="0.25">
      <c r="A109" s="29" t="s">
        <v>275</v>
      </c>
      <c r="B109" s="18" t="s">
        <v>9</v>
      </c>
      <c r="C109" s="18" t="s">
        <v>155</v>
      </c>
      <c r="D109" s="18"/>
      <c r="E109" s="13" t="s">
        <v>277</v>
      </c>
      <c r="F109" s="13" t="s">
        <v>277</v>
      </c>
      <c r="H109" s="13" t="s">
        <v>277</v>
      </c>
      <c r="I109" s="13"/>
      <c r="J109" s="11" t="s">
        <v>67</v>
      </c>
      <c r="K109" s="11" t="s">
        <v>66</v>
      </c>
      <c r="L109" s="13">
        <f t="shared" si="0"/>
        <v>108</v>
      </c>
    </row>
    <row r="110" spans="1:12" x14ac:dyDescent="0.25">
      <c r="A110" s="29" t="s">
        <v>275</v>
      </c>
      <c r="B110" s="18" t="s">
        <v>300</v>
      </c>
      <c r="C110" s="18" t="s">
        <v>301</v>
      </c>
      <c r="D110" s="18"/>
      <c r="E110" s="13" t="s">
        <v>277</v>
      </c>
      <c r="F110" s="13"/>
      <c r="G110" s="5" t="s">
        <v>278</v>
      </c>
      <c r="H110" s="13" t="s">
        <v>277</v>
      </c>
      <c r="I110" s="13"/>
      <c r="J110" s="11" t="s">
        <v>69</v>
      </c>
      <c r="K110" s="11" t="s">
        <v>64</v>
      </c>
      <c r="L110" s="13">
        <f t="shared" si="0"/>
        <v>109</v>
      </c>
    </row>
    <row r="111" spans="1:12" x14ac:dyDescent="0.25">
      <c r="A111" s="29" t="s">
        <v>275</v>
      </c>
      <c r="B111" s="18" t="s">
        <v>300</v>
      </c>
      <c r="C111" s="18" t="s">
        <v>302</v>
      </c>
      <c r="D111" s="18"/>
      <c r="E111" s="13" t="s">
        <v>277</v>
      </c>
      <c r="F111" s="13" t="b">
        <v>1</v>
      </c>
      <c r="G111" s="5" t="s">
        <v>278</v>
      </c>
      <c r="H111" s="13" t="s">
        <v>277</v>
      </c>
      <c r="I111" s="13"/>
      <c r="J111" s="11" t="s">
        <v>69</v>
      </c>
      <c r="K111" s="11" t="s">
        <v>64</v>
      </c>
      <c r="L111" s="13">
        <f t="shared" si="0"/>
        <v>110</v>
      </c>
    </row>
    <row r="112" spans="1:12" x14ac:dyDescent="0.25">
      <c r="A112" s="29" t="s">
        <v>275</v>
      </c>
      <c r="B112" s="18" t="s">
        <v>10</v>
      </c>
      <c r="C112" s="18" t="s">
        <v>156</v>
      </c>
      <c r="D112" s="18"/>
      <c r="E112" s="13" t="s">
        <v>277</v>
      </c>
      <c r="F112" s="13"/>
      <c r="G112" s="5" t="s">
        <v>278</v>
      </c>
      <c r="H112" s="5" t="s">
        <v>278</v>
      </c>
      <c r="I112" s="5"/>
      <c r="J112" s="11" t="s">
        <v>69</v>
      </c>
      <c r="K112" s="11" t="s">
        <v>62</v>
      </c>
      <c r="L112" s="13">
        <f t="shared" si="0"/>
        <v>111</v>
      </c>
    </row>
    <row r="113" spans="1:12" x14ac:dyDescent="0.25">
      <c r="A113" s="29" t="s">
        <v>275</v>
      </c>
      <c r="B113" s="18" t="s">
        <v>10</v>
      </c>
      <c r="C113" s="18" t="s">
        <v>157</v>
      </c>
      <c r="D113" s="18"/>
      <c r="E113" s="13" t="s">
        <v>277</v>
      </c>
      <c r="F113" s="13"/>
      <c r="G113" s="5" t="s">
        <v>278</v>
      </c>
      <c r="H113" s="5" t="s">
        <v>278</v>
      </c>
      <c r="I113" s="5"/>
      <c r="J113" s="11" t="s">
        <v>69</v>
      </c>
      <c r="K113" s="11" t="s">
        <v>62</v>
      </c>
      <c r="L113" s="13">
        <f t="shared" si="0"/>
        <v>112</v>
      </c>
    </row>
    <row r="114" spans="1:12" x14ac:dyDescent="0.25">
      <c r="A114" s="29" t="s">
        <v>275</v>
      </c>
      <c r="B114" s="18" t="s">
        <v>11</v>
      </c>
      <c r="C114" s="18" t="s">
        <v>158</v>
      </c>
      <c r="D114" s="18"/>
      <c r="E114" s="13" t="s">
        <v>277</v>
      </c>
      <c r="F114" s="13"/>
      <c r="G114" s="5" t="s">
        <v>278</v>
      </c>
      <c r="H114" s="13"/>
      <c r="I114" s="13"/>
      <c r="J114" s="11" t="s">
        <v>69</v>
      </c>
      <c r="K114" s="11" t="s">
        <v>64</v>
      </c>
      <c r="L114" s="13">
        <f t="shared" si="0"/>
        <v>113</v>
      </c>
    </row>
    <row r="115" spans="1:12" x14ac:dyDescent="0.25">
      <c r="A115" s="29" t="s">
        <v>275</v>
      </c>
      <c r="B115" s="18" t="s">
        <v>11</v>
      </c>
      <c r="C115" s="18" t="s">
        <v>159</v>
      </c>
      <c r="D115" s="18"/>
      <c r="E115" s="13" t="s">
        <v>277</v>
      </c>
      <c r="F115" s="13"/>
      <c r="G115" s="5" t="s">
        <v>278</v>
      </c>
      <c r="H115" s="13"/>
      <c r="I115" s="13"/>
      <c r="J115" s="11" t="s">
        <v>69</v>
      </c>
      <c r="K115" s="11" t="s">
        <v>64</v>
      </c>
      <c r="L115" s="13">
        <f t="shared" si="0"/>
        <v>114</v>
      </c>
    </row>
    <row r="116" spans="1:12" x14ac:dyDescent="0.25">
      <c r="A116" s="29" t="s">
        <v>275</v>
      </c>
      <c r="B116" s="18" t="s">
        <v>12</v>
      </c>
      <c r="C116" s="18" t="s">
        <v>160</v>
      </c>
      <c r="D116" s="18"/>
      <c r="E116" s="13" t="s">
        <v>277</v>
      </c>
      <c r="F116" s="13"/>
      <c r="G116" s="13" t="s">
        <v>278</v>
      </c>
      <c r="H116" s="13" t="s">
        <v>277</v>
      </c>
      <c r="I116" s="13"/>
      <c r="J116" s="11" t="s">
        <v>67</v>
      </c>
      <c r="K116" s="11" t="s">
        <v>66</v>
      </c>
      <c r="L116" s="13">
        <f t="shared" si="0"/>
        <v>115</v>
      </c>
    </row>
    <row r="117" spans="1:12" x14ac:dyDescent="0.25">
      <c r="A117" s="29" t="s">
        <v>275</v>
      </c>
      <c r="B117" s="18" t="s">
        <v>12</v>
      </c>
      <c r="C117" s="18" t="s">
        <v>161</v>
      </c>
      <c r="D117" s="18"/>
      <c r="E117" s="13" t="s">
        <v>277</v>
      </c>
      <c r="F117" s="13" t="s">
        <v>277</v>
      </c>
      <c r="G117" s="13" t="s">
        <v>278</v>
      </c>
      <c r="H117" s="13" t="s">
        <v>277</v>
      </c>
      <c r="I117" s="13"/>
      <c r="J117" s="11" t="s">
        <v>67</v>
      </c>
      <c r="K117" s="11" t="s">
        <v>66</v>
      </c>
      <c r="L117" s="13">
        <f t="shared" si="0"/>
        <v>116</v>
      </c>
    </row>
    <row r="118" spans="1:12" x14ac:dyDescent="0.25">
      <c r="A118" s="29" t="s">
        <v>275</v>
      </c>
      <c r="B118" s="18" t="s">
        <v>12</v>
      </c>
      <c r="C118" s="18" t="s">
        <v>162</v>
      </c>
      <c r="D118" s="13"/>
      <c r="E118" s="13"/>
      <c r="F118" s="13" t="s">
        <v>278</v>
      </c>
      <c r="G118" s="13" t="s">
        <v>278</v>
      </c>
      <c r="H118" s="5" t="s">
        <v>278</v>
      </c>
      <c r="I118" s="5"/>
      <c r="J118" s="11"/>
      <c r="K118" s="11" t="s">
        <v>66</v>
      </c>
      <c r="L118" s="13">
        <f t="shared" si="0"/>
        <v>117</v>
      </c>
    </row>
    <row r="119" spans="1:12" x14ac:dyDescent="0.25">
      <c r="A119" s="29" t="s">
        <v>275</v>
      </c>
      <c r="B119" s="27" t="s">
        <v>96</v>
      </c>
      <c r="C119" s="27" t="s">
        <v>165</v>
      </c>
      <c r="D119" s="13"/>
      <c r="E119" s="13" t="s">
        <v>277</v>
      </c>
      <c r="F119" s="13"/>
      <c r="G119" s="13" t="s">
        <v>278</v>
      </c>
      <c r="H119" s="13" t="s">
        <v>277</v>
      </c>
      <c r="I119" s="13"/>
      <c r="J119" s="11" t="s">
        <v>68</v>
      </c>
      <c r="K119" s="11" t="s">
        <v>106</v>
      </c>
      <c r="L119" s="13">
        <f t="shared" si="0"/>
        <v>118</v>
      </c>
    </row>
    <row r="120" spans="1:12" x14ac:dyDescent="0.25">
      <c r="A120" s="29" t="s">
        <v>275</v>
      </c>
      <c r="B120" s="27" t="s">
        <v>96</v>
      </c>
      <c r="C120" s="27" t="s">
        <v>166</v>
      </c>
      <c r="D120" s="13"/>
      <c r="E120" s="13" t="s">
        <v>277</v>
      </c>
      <c r="F120" s="13" t="s">
        <v>277</v>
      </c>
      <c r="G120" s="5" t="s">
        <v>278</v>
      </c>
      <c r="H120" s="13" t="s">
        <v>277</v>
      </c>
      <c r="I120" s="13"/>
      <c r="J120" s="11" t="s">
        <v>68</v>
      </c>
      <c r="K120" s="11" t="s">
        <v>106</v>
      </c>
      <c r="L120" s="13">
        <f t="shared" si="0"/>
        <v>119</v>
      </c>
    </row>
    <row r="121" spans="1:12" x14ac:dyDescent="0.25">
      <c r="A121" s="29" t="s">
        <v>275</v>
      </c>
      <c r="B121" s="27" t="s">
        <v>96</v>
      </c>
      <c r="C121" s="27" t="s">
        <v>162</v>
      </c>
      <c r="D121" s="13"/>
      <c r="E121" s="13"/>
      <c r="F121" s="13" t="s">
        <v>278</v>
      </c>
      <c r="G121" s="5" t="s">
        <v>278</v>
      </c>
      <c r="H121" s="13" t="s">
        <v>278</v>
      </c>
      <c r="I121" s="13"/>
      <c r="J121" s="11"/>
      <c r="K121" s="11" t="s">
        <v>66</v>
      </c>
      <c r="L121" s="13">
        <f t="shared" si="0"/>
        <v>120</v>
      </c>
    </row>
    <row r="122" spans="1:12" x14ac:dyDescent="0.25">
      <c r="A122" s="29" t="s">
        <v>275</v>
      </c>
      <c r="B122" s="20" t="s">
        <v>280</v>
      </c>
      <c r="C122" s="20" t="s">
        <v>281</v>
      </c>
      <c r="D122" s="13"/>
      <c r="E122" s="13" t="s">
        <v>277</v>
      </c>
      <c r="F122" s="13" t="s">
        <v>277</v>
      </c>
      <c r="G122" s="13" t="s">
        <v>278</v>
      </c>
      <c r="H122" s="13" t="s">
        <v>277</v>
      </c>
      <c r="I122" s="13"/>
      <c r="J122" s="48" t="s">
        <v>99</v>
      </c>
      <c r="K122" s="11" t="s">
        <v>106</v>
      </c>
      <c r="L122" s="13">
        <f t="shared" si="0"/>
        <v>121</v>
      </c>
    </row>
    <row r="123" spans="1:12" x14ac:dyDescent="0.25">
      <c r="A123" s="29" t="s">
        <v>275</v>
      </c>
      <c r="B123" s="20" t="s">
        <v>280</v>
      </c>
      <c r="C123" s="20" t="s">
        <v>282</v>
      </c>
      <c r="D123" s="13"/>
      <c r="E123" s="13" t="s">
        <v>277</v>
      </c>
      <c r="F123" s="13" t="s">
        <v>277</v>
      </c>
      <c r="G123" s="5" t="s">
        <v>278</v>
      </c>
      <c r="H123" s="13" t="s">
        <v>277</v>
      </c>
      <c r="I123" s="13"/>
      <c r="J123" s="48" t="s">
        <v>99</v>
      </c>
      <c r="K123" s="11" t="s">
        <v>106</v>
      </c>
      <c r="L123" s="13">
        <f t="shared" si="0"/>
        <v>122</v>
      </c>
    </row>
    <row r="124" spans="1:12" x14ac:dyDescent="0.25">
      <c r="A124" s="29" t="s">
        <v>275</v>
      </c>
      <c r="B124" s="27" t="s">
        <v>280</v>
      </c>
      <c r="C124" s="27" t="s">
        <v>162</v>
      </c>
      <c r="D124" s="13" t="s">
        <v>413</v>
      </c>
      <c r="E124" s="13" t="s">
        <v>277</v>
      </c>
      <c r="F124" s="13" t="s">
        <v>278</v>
      </c>
      <c r="G124" s="5" t="s">
        <v>278</v>
      </c>
      <c r="H124" s="13" t="s">
        <v>278</v>
      </c>
      <c r="I124" s="13"/>
      <c r="J124" s="11"/>
      <c r="K124" s="11" t="s">
        <v>66</v>
      </c>
      <c r="L124" s="13">
        <f t="shared" si="0"/>
        <v>123</v>
      </c>
    </row>
    <row r="125" spans="1:12" x14ac:dyDescent="0.25">
      <c r="A125" s="29" t="s">
        <v>275</v>
      </c>
      <c r="B125" s="20" t="s">
        <v>303</v>
      </c>
      <c r="C125" s="20" t="s">
        <v>304</v>
      </c>
      <c r="D125" s="13"/>
      <c r="E125" s="13" t="s">
        <v>277</v>
      </c>
      <c r="F125" s="13" t="s">
        <v>277</v>
      </c>
      <c r="G125" s="13" t="s">
        <v>278</v>
      </c>
      <c r="H125" s="13" t="s">
        <v>277</v>
      </c>
      <c r="I125" s="13"/>
      <c r="J125" s="48" t="s">
        <v>99</v>
      </c>
      <c r="K125" s="11" t="s">
        <v>106</v>
      </c>
      <c r="L125" s="13">
        <f t="shared" si="0"/>
        <v>124</v>
      </c>
    </row>
    <row r="126" spans="1:12" x14ac:dyDescent="0.25">
      <c r="A126" s="29" t="s">
        <v>275</v>
      </c>
      <c r="B126" s="20" t="s">
        <v>303</v>
      </c>
      <c r="C126" s="20" t="s">
        <v>305</v>
      </c>
      <c r="D126" s="13"/>
      <c r="E126" s="13" t="s">
        <v>277</v>
      </c>
      <c r="F126" s="13" t="s">
        <v>277</v>
      </c>
      <c r="G126" s="5" t="s">
        <v>278</v>
      </c>
      <c r="H126" s="13" t="s">
        <v>277</v>
      </c>
      <c r="I126" s="13"/>
      <c r="J126" s="48" t="s">
        <v>99</v>
      </c>
      <c r="K126" s="11" t="s">
        <v>106</v>
      </c>
      <c r="L126" s="13">
        <f t="shared" si="0"/>
        <v>125</v>
      </c>
    </row>
    <row r="127" spans="1:12" x14ac:dyDescent="0.25">
      <c r="A127" s="29" t="s">
        <v>275</v>
      </c>
      <c r="B127" s="27" t="s">
        <v>303</v>
      </c>
      <c r="C127" s="27" t="s">
        <v>162</v>
      </c>
      <c r="D127" s="13" t="s">
        <v>414</v>
      </c>
      <c r="E127" s="13" t="s">
        <v>277</v>
      </c>
      <c r="F127" s="13" t="s">
        <v>278</v>
      </c>
      <c r="G127" s="5" t="s">
        <v>278</v>
      </c>
      <c r="H127" s="13" t="s">
        <v>278</v>
      </c>
      <c r="I127" s="13"/>
      <c r="J127" s="11"/>
      <c r="K127" s="11" t="s">
        <v>66</v>
      </c>
      <c r="L127" s="13">
        <f t="shared" si="0"/>
        <v>126</v>
      </c>
    </row>
    <row r="128" spans="1:12" x14ac:dyDescent="0.25">
      <c r="A128" s="29" t="s">
        <v>275</v>
      </c>
      <c r="B128" s="18" t="s">
        <v>13</v>
      </c>
      <c r="C128" s="18" t="s">
        <v>171</v>
      </c>
      <c r="D128" s="13"/>
      <c r="E128" s="13" t="s">
        <v>277</v>
      </c>
      <c r="F128" s="13" t="s">
        <v>278</v>
      </c>
      <c r="G128" s="5" t="s">
        <v>278</v>
      </c>
      <c r="H128" s="5" t="s">
        <v>278</v>
      </c>
      <c r="I128" s="5"/>
      <c r="J128" s="36" t="s">
        <v>69</v>
      </c>
      <c r="K128" s="11" t="s">
        <v>64</v>
      </c>
      <c r="L128" s="13">
        <f t="shared" si="0"/>
        <v>127</v>
      </c>
    </row>
    <row r="129" spans="1:12" x14ac:dyDescent="0.25">
      <c r="A129" s="29" t="s">
        <v>275</v>
      </c>
      <c r="B129" s="18" t="s">
        <v>13</v>
      </c>
      <c r="C129" s="18" t="s">
        <v>172</v>
      </c>
      <c r="D129" s="13"/>
      <c r="E129" s="13" t="s">
        <v>277</v>
      </c>
      <c r="F129" s="13" t="s">
        <v>278</v>
      </c>
      <c r="G129" s="5" t="s">
        <v>278</v>
      </c>
      <c r="H129" s="5" t="s">
        <v>278</v>
      </c>
      <c r="I129" s="5"/>
      <c r="J129" s="36" t="s">
        <v>69</v>
      </c>
      <c r="K129" s="11" t="s">
        <v>64</v>
      </c>
      <c r="L129" s="13">
        <f t="shared" si="0"/>
        <v>128</v>
      </c>
    </row>
    <row r="130" spans="1:12" x14ac:dyDescent="0.25">
      <c r="A130" s="29" t="s">
        <v>275</v>
      </c>
      <c r="B130" s="18" t="s">
        <v>13</v>
      </c>
      <c r="C130" s="18" t="s">
        <v>162</v>
      </c>
      <c r="D130" s="13"/>
      <c r="E130" s="13"/>
      <c r="F130" s="13" t="s">
        <v>278</v>
      </c>
      <c r="G130" s="5" t="s">
        <v>278</v>
      </c>
      <c r="H130" s="5" t="s">
        <v>278</v>
      </c>
      <c r="I130" s="5"/>
      <c r="J130" s="49"/>
      <c r="K130" s="11" t="s">
        <v>106</v>
      </c>
      <c r="L130" s="13">
        <f t="shared" si="0"/>
        <v>129</v>
      </c>
    </row>
    <row r="131" spans="1:12" x14ac:dyDescent="0.25">
      <c r="A131" s="29" t="s">
        <v>275</v>
      </c>
      <c r="B131" s="18" t="s">
        <v>14</v>
      </c>
      <c r="C131" s="18" t="s">
        <v>167</v>
      </c>
      <c r="D131" s="13"/>
      <c r="E131" s="13" t="s">
        <v>277</v>
      </c>
      <c r="F131" s="13" t="s">
        <v>278</v>
      </c>
      <c r="G131" s="5" t="s">
        <v>278</v>
      </c>
      <c r="H131" s="5" t="s">
        <v>278</v>
      </c>
      <c r="I131" s="5"/>
      <c r="J131" s="36" t="s">
        <v>69</v>
      </c>
      <c r="K131" s="11" t="s">
        <v>62</v>
      </c>
      <c r="L131" s="13">
        <f t="shared" si="0"/>
        <v>130</v>
      </c>
    </row>
    <row r="132" spans="1:12" x14ac:dyDescent="0.25">
      <c r="A132" s="29" t="s">
        <v>275</v>
      </c>
      <c r="B132" s="18" t="s">
        <v>14</v>
      </c>
      <c r="C132" s="18" t="s">
        <v>168</v>
      </c>
      <c r="D132" s="13"/>
      <c r="E132" s="13" t="s">
        <v>277</v>
      </c>
      <c r="F132" s="13" t="s">
        <v>278</v>
      </c>
      <c r="G132" s="5" t="s">
        <v>278</v>
      </c>
      <c r="H132" s="5" t="s">
        <v>278</v>
      </c>
      <c r="I132" s="5"/>
      <c r="J132" s="36" t="s">
        <v>69</v>
      </c>
      <c r="K132" s="11" t="s">
        <v>62</v>
      </c>
      <c r="L132" s="13">
        <f t="shared" si="0"/>
        <v>131</v>
      </c>
    </row>
    <row r="133" spans="1:12" x14ac:dyDescent="0.25">
      <c r="A133" s="29" t="s">
        <v>275</v>
      </c>
      <c r="B133" s="18" t="s">
        <v>14</v>
      </c>
      <c r="C133" s="18" t="s">
        <v>162</v>
      </c>
      <c r="D133" s="13"/>
      <c r="E133" s="13"/>
      <c r="F133" s="13" t="s">
        <v>278</v>
      </c>
      <c r="G133" s="5" t="s">
        <v>278</v>
      </c>
      <c r="H133" s="5" t="s">
        <v>278</v>
      </c>
      <c r="I133" s="5"/>
      <c r="J133" s="49"/>
      <c r="K133" s="11" t="s">
        <v>66</v>
      </c>
      <c r="L133" s="13">
        <f t="shared" si="0"/>
        <v>132</v>
      </c>
    </row>
    <row r="134" spans="1:12" x14ac:dyDescent="0.25">
      <c r="A134" s="29" t="s">
        <v>275</v>
      </c>
      <c r="B134" s="18" t="s">
        <v>15</v>
      </c>
      <c r="C134" s="18" t="s">
        <v>173</v>
      </c>
      <c r="D134" s="13"/>
      <c r="E134" s="13" t="s">
        <v>277</v>
      </c>
      <c r="F134" s="13" t="s">
        <v>278</v>
      </c>
      <c r="G134" s="5" t="s">
        <v>278</v>
      </c>
      <c r="H134" s="5" t="s">
        <v>278</v>
      </c>
      <c r="I134" s="5"/>
      <c r="J134" s="36" t="s">
        <v>69</v>
      </c>
      <c r="K134" s="11" t="s">
        <v>64</v>
      </c>
      <c r="L134" s="13">
        <f t="shared" si="0"/>
        <v>133</v>
      </c>
    </row>
    <row r="135" spans="1:12" x14ac:dyDescent="0.25">
      <c r="A135" s="29" t="s">
        <v>275</v>
      </c>
      <c r="B135" s="18" t="s">
        <v>15</v>
      </c>
      <c r="C135" s="18" t="s">
        <v>174</v>
      </c>
      <c r="D135" s="13"/>
      <c r="E135" s="13" t="s">
        <v>277</v>
      </c>
      <c r="F135" s="13" t="s">
        <v>278</v>
      </c>
      <c r="G135" s="5" t="s">
        <v>278</v>
      </c>
      <c r="H135" s="5" t="s">
        <v>278</v>
      </c>
      <c r="I135" s="5"/>
      <c r="J135" s="36" t="s">
        <v>69</v>
      </c>
      <c r="K135" s="11" t="s">
        <v>64</v>
      </c>
      <c r="L135" s="13">
        <f t="shared" si="0"/>
        <v>134</v>
      </c>
    </row>
    <row r="136" spans="1:12" x14ac:dyDescent="0.25">
      <c r="A136" s="29" t="s">
        <v>275</v>
      </c>
      <c r="B136" s="18" t="s">
        <v>15</v>
      </c>
      <c r="C136" s="18" t="s">
        <v>162</v>
      </c>
      <c r="D136" s="13"/>
      <c r="E136" s="13"/>
      <c r="F136" s="13" t="s">
        <v>278</v>
      </c>
      <c r="G136" s="5" t="s">
        <v>278</v>
      </c>
      <c r="H136" s="5" t="s">
        <v>278</v>
      </c>
      <c r="I136" s="5"/>
      <c r="J136" s="49"/>
      <c r="K136" s="11" t="s">
        <v>106</v>
      </c>
      <c r="L136" s="13">
        <f t="shared" si="0"/>
        <v>135</v>
      </c>
    </row>
    <row r="137" spans="1:12" x14ac:dyDescent="0.25">
      <c r="A137" s="29" t="s">
        <v>275</v>
      </c>
      <c r="B137" s="18" t="s">
        <v>16</v>
      </c>
      <c r="C137" s="18" t="s">
        <v>175</v>
      </c>
      <c r="D137" s="13"/>
      <c r="E137" s="13" t="s">
        <v>277</v>
      </c>
      <c r="F137" s="13" t="s">
        <v>278</v>
      </c>
      <c r="G137" s="5" t="s">
        <v>278</v>
      </c>
      <c r="H137" s="5" t="s">
        <v>278</v>
      </c>
      <c r="I137" s="5"/>
      <c r="J137" s="36" t="s">
        <v>69</v>
      </c>
      <c r="K137" s="11" t="s">
        <v>64</v>
      </c>
      <c r="L137" s="13">
        <f t="shared" si="0"/>
        <v>136</v>
      </c>
    </row>
    <row r="138" spans="1:12" x14ac:dyDescent="0.25">
      <c r="A138" s="29" t="s">
        <v>275</v>
      </c>
      <c r="B138" s="18" t="s">
        <v>16</v>
      </c>
      <c r="C138" s="18" t="s">
        <v>176</v>
      </c>
      <c r="D138" s="13"/>
      <c r="E138" s="13" t="s">
        <v>277</v>
      </c>
      <c r="F138" s="13" t="s">
        <v>278</v>
      </c>
      <c r="G138" s="5" t="s">
        <v>278</v>
      </c>
      <c r="H138" s="5" t="s">
        <v>278</v>
      </c>
      <c r="I138" s="5"/>
      <c r="J138" s="36" t="s">
        <v>69</v>
      </c>
      <c r="K138" s="11" t="s">
        <v>64</v>
      </c>
      <c r="L138" s="13">
        <f t="shared" si="0"/>
        <v>137</v>
      </c>
    </row>
    <row r="139" spans="1:12" x14ac:dyDescent="0.25">
      <c r="A139" s="29" t="s">
        <v>275</v>
      </c>
      <c r="B139" s="18" t="s">
        <v>16</v>
      </c>
      <c r="C139" s="18" t="s">
        <v>162</v>
      </c>
      <c r="D139" s="13"/>
      <c r="E139" s="13"/>
      <c r="F139" s="13" t="s">
        <v>278</v>
      </c>
      <c r="G139" s="5" t="s">
        <v>278</v>
      </c>
      <c r="H139" s="5" t="s">
        <v>278</v>
      </c>
      <c r="I139" s="5"/>
      <c r="J139" s="49"/>
      <c r="K139" s="11" t="s">
        <v>106</v>
      </c>
      <c r="L139" s="13">
        <f t="shared" ref="L139:L234" si="1">ROW()-1</f>
        <v>138</v>
      </c>
    </row>
    <row r="140" spans="1:12" x14ac:dyDescent="0.25">
      <c r="A140" s="29" t="s">
        <v>275</v>
      </c>
      <c r="B140" s="18" t="s">
        <v>17</v>
      </c>
      <c r="C140" s="18" t="s">
        <v>177</v>
      </c>
      <c r="D140" s="13"/>
      <c r="E140" s="13" t="s">
        <v>277</v>
      </c>
      <c r="F140" s="13" t="s">
        <v>278</v>
      </c>
      <c r="G140" s="5" t="s">
        <v>278</v>
      </c>
      <c r="H140" s="5" t="s">
        <v>278</v>
      </c>
      <c r="I140" s="5"/>
      <c r="J140" s="36" t="s">
        <v>69</v>
      </c>
      <c r="K140" s="11" t="s">
        <v>64</v>
      </c>
      <c r="L140" s="13">
        <f t="shared" si="1"/>
        <v>139</v>
      </c>
    </row>
    <row r="141" spans="1:12" x14ac:dyDescent="0.25">
      <c r="A141" s="29" t="s">
        <v>275</v>
      </c>
      <c r="B141" s="18" t="s">
        <v>17</v>
      </c>
      <c r="C141" s="18" t="s">
        <v>178</v>
      </c>
      <c r="D141" s="13"/>
      <c r="E141" s="13" t="s">
        <v>277</v>
      </c>
      <c r="F141" s="13" t="s">
        <v>278</v>
      </c>
      <c r="G141" s="5" t="s">
        <v>278</v>
      </c>
      <c r="H141" s="5" t="s">
        <v>278</v>
      </c>
      <c r="I141" s="5"/>
      <c r="J141" s="36" t="s">
        <v>69</v>
      </c>
      <c r="K141" s="11" t="s">
        <v>64</v>
      </c>
      <c r="L141" s="13">
        <f t="shared" si="1"/>
        <v>140</v>
      </c>
    </row>
    <row r="142" spans="1:12" x14ac:dyDescent="0.25">
      <c r="A142" s="29" t="s">
        <v>275</v>
      </c>
      <c r="B142" s="18" t="s">
        <v>17</v>
      </c>
      <c r="C142" s="18" t="s">
        <v>162</v>
      </c>
      <c r="D142" s="13"/>
      <c r="E142" s="13"/>
      <c r="F142" s="13" t="s">
        <v>278</v>
      </c>
      <c r="G142" s="5" t="s">
        <v>278</v>
      </c>
      <c r="H142" s="5" t="s">
        <v>278</v>
      </c>
      <c r="I142" s="5"/>
      <c r="J142" s="49"/>
      <c r="K142" s="11" t="s">
        <v>106</v>
      </c>
      <c r="L142" s="13">
        <f t="shared" si="1"/>
        <v>141</v>
      </c>
    </row>
    <row r="143" spans="1:12" x14ac:dyDescent="0.25">
      <c r="A143" s="29" t="s">
        <v>275</v>
      </c>
      <c r="B143" s="18" t="s">
        <v>18</v>
      </c>
      <c r="C143" s="18" t="s">
        <v>169</v>
      </c>
      <c r="D143" s="13"/>
      <c r="E143" s="13" t="s">
        <v>277</v>
      </c>
      <c r="F143" s="13" t="s">
        <v>278</v>
      </c>
      <c r="G143" s="5" t="s">
        <v>278</v>
      </c>
      <c r="H143" s="5" t="s">
        <v>278</v>
      </c>
      <c r="I143" s="5"/>
      <c r="J143" s="36" t="s">
        <v>69</v>
      </c>
      <c r="K143" s="11" t="s">
        <v>106</v>
      </c>
      <c r="L143" s="13">
        <f t="shared" si="0"/>
        <v>142</v>
      </c>
    </row>
    <row r="144" spans="1:12" x14ac:dyDescent="0.25">
      <c r="A144" s="29" t="s">
        <v>275</v>
      </c>
      <c r="B144" s="18" t="s">
        <v>18</v>
      </c>
      <c r="C144" s="18" t="s">
        <v>170</v>
      </c>
      <c r="D144" s="13"/>
      <c r="E144" s="13" t="s">
        <v>277</v>
      </c>
      <c r="F144" s="13" t="s">
        <v>278</v>
      </c>
      <c r="G144" s="5" t="s">
        <v>278</v>
      </c>
      <c r="H144" s="5" t="s">
        <v>278</v>
      </c>
      <c r="I144" s="5"/>
      <c r="J144" s="36" t="s">
        <v>69</v>
      </c>
      <c r="K144" s="11" t="s">
        <v>106</v>
      </c>
      <c r="L144" s="13">
        <f t="shared" si="0"/>
        <v>143</v>
      </c>
    </row>
    <row r="145" spans="1:12" x14ac:dyDescent="0.25">
      <c r="A145" s="29" t="s">
        <v>275</v>
      </c>
      <c r="B145" s="18" t="s">
        <v>18</v>
      </c>
      <c r="C145" s="18" t="s">
        <v>162</v>
      </c>
      <c r="D145" s="13"/>
      <c r="E145" s="13"/>
      <c r="F145" s="13" t="s">
        <v>278</v>
      </c>
      <c r="G145" s="5" t="s">
        <v>278</v>
      </c>
      <c r="H145" s="5" t="s">
        <v>278</v>
      </c>
      <c r="I145" s="5"/>
      <c r="J145" s="49"/>
      <c r="K145" s="11" t="s">
        <v>106</v>
      </c>
      <c r="L145" s="13">
        <f t="shared" si="0"/>
        <v>144</v>
      </c>
    </row>
    <row r="146" spans="1:12" x14ac:dyDescent="0.25">
      <c r="A146" s="29" t="s">
        <v>275</v>
      </c>
      <c r="B146" s="18" t="s">
        <v>19</v>
      </c>
      <c r="C146" s="18" t="s">
        <v>179</v>
      </c>
      <c r="D146" s="13"/>
      <c r="E146" s="13" t="s">
        <v>277</v>
      </c>
      <c r="F146" s="13" t="s">
        <v>278</v>
      </c>
      <c r="G146" s="5" t="s">
        <v>278</v>
      </c>
      <c r="H146" s="5" t="s">
        <v>278</v>
      </c>
      <c r="I146" s="5"/>
      <c r="J146" s="36" t="s">
        <v>69</v>
      </c>
      <c r="K146" s="11" t="s">
        <v>64</v>
      </c>
      <c r="L146" s="13">
        <f t="shared" si="1"/>
        <v>145</v>
      </c>
    </row>
    <row r="147" spans="1:12" x14ac:dyDescent="0.25">
      <c r="A147" s="29" t="s">
        <v>275</v>
      </c>
      <c r="B147" s="18" t="s">
        <v>19</v>
      </c>
      <c r="C147" s="18" t="s">
        <v>180</v>
      </c>
      <c r="D147" s="13"/>
      <c r="E147" s="13" t="s">
        <v>277</v>
      </c>
      <c r="F147" s="13" t="s">
        <v>278</v>
      </c>
      <c r="G147" s="5" t="s">
        <v>278</v>
      </c>
      <c r="H147" s="5" t="s">
        <v>278</v>
      </c>
      <c r="I147" s="5"/>
      <c r="J147" s="36" t="s">
        <v>69</v>
      </c>
      <c r="K147" s="11" t="s">
        <v>64</v>
      </c>
      <c r="L147" s="13">
        <f t="shared" si="1"/>
        <v>146</v>
      </c>
    </row>
    <row r="148" spans="1:12" x14ac:dyDescent="0.25">
      <c r="A148" s="29" t="s">
        <v>275</v>
      </c>
      <c r="B148" s="18" t="s">
        <v>19</v>
      </c>
      <c r="C148" s="18" t="s">
        <v>162</v>
      </c>
      <c r="D148" s="13"/>
      <c r="E148" s="13"/>
      <c r="F148" s="13" t="s">
        <v>278</v>
      </c>
      <c r="G148" s="5" t="s">
        <v>278</v>
      </c>
      <c r="H148" s="5" t="s">
        <v>278</v>
      </c>
      <c r="I148" s="5"/>
      <c r="J148" s="49"/>
      <c r="K148" s="11" t="s">
        <v>106</v>
      </c>
      <c r="L148" s="13">
        <f t="shared" si="1"/>
        <v>147</v>
      </c>
    </row>
    <row r="149" spans="1:12" x14ac:dyDescent="0.25">
      <c r="A149" s="29" t="s">
        <v>275</v>
      </c>
      <c r="B149" s="18" t="s">
        <v>50</v>
      </c>
      <c r="C149" s="18" t="s">
        <v>181</v>
      </c>
      <c r="D149" s="13"/>
      <c r="E149" s="13" t="s">
        <v>277</v>
      </c>
      <c r="F149" s="13" t="s">
        <v>278</v>
      </c>
      <c r="G149" s="5" t="s">
        <v>278</v>
      </c>
      <c r="H149" s="5" t="s">
        <v>278</v>
      </c>
      <c r="I149" s="5"/>
      <c r="J149" s="36" t="s">
        <v>69</v>
      </c>
      <c r="K149" s="11" t="s">
        <v>64</v>
      </c>
      <c r="L149" s="13">
        <f t="shared" si="1"/>
        <v>148</v>
      </c>
    </row>
    <row r="150" spans="1:12" x14ac:dyDescent="0.25">
      <c r="A150" s="29" t="s">
        <v>275</v>
      </c>
      <c r="B150" s="18" t="s">
        <v>50</v>
      </c>
      <c r="C150" s="18" t="s">
        <v>182</v>
      </c>
      <c r="D150" s="13"/>
      <c r="E150" s="13" t="s">
        <v>277</v>
      </c>
      <c r="F150" s="13" t="s">
        <v>278</v>
      </c>
      <c r="G150" s="5" t="s">
        <v>278</v>
      </c>
      <c r="H150" s="5" t="s">
        <v>278</v>
      </c>
      <c r="I150" s="5"/>
      <c r="J150" s="36" t="s">
        <v>69</v>
      </c>
      <c r="K150" s="11" t="s">
        <v>64</v>
      </c>
      <c r="L150" s="13">
        <f t="shared" si="1"/>
        <v>149</v>
      </c>
    </row>
    <row r="151" spans="1:12" x14ac:dyDescent="0.25">
      <c r="A151" s="29" t="s">
        <v>275</v>
      </c>
      <c r="B151" s="18" t="s">
        <v>50</v>
      </c>
      <c r="C151" s="18" t="s">
        <v>162</v>
      </c>
      <c r="D151" s="13"/>
      <c r="E151" s="13"/>
      <c r="F151" s="13" t="s">
        <v>278</v>
      </c>
      <c r="G151" s="5" t="s">
        <v>278</v>
      </c>
      <c r="H151" s="5" t="s">
        <v>278</v>
      </c>
      <c r="I151" s="5"/>
      <c r="J151" s="49"/>
      <c r="K151" s="11" t="s">
        <v>106</v>
      </c>
      <c r="L151" s="13">
        <f t="shared" si="1"/>
        <v>150</v>
      </c>
    </row>
    <row r="152" spans="1:12" x14ac:dyDescent="0.25">
      <c r="A152" s="29" t="s">
        <v>275</v>
      </c>
      <c r="B152" s="18" t="s">
        <v>60</v>
      </c>
      <c r="C152" s="18" t="s">
        <v>183</v>
      </c>
      <c r="D152" s="13"/>
      <c r="E152" s="13" t="s">
        <v>277</v>
      </c>
      <c r="F152" s="13" t="s">
        <v>278</v>
      </c>
      <c r="G152" s="5" t="s">
        <v>278</v>
      </c>
      <c r="H152" s="5" t="s">
        <v>278</v>
      </c>
      <c r="I152" s="5"/>
      <c r="J152" s="36" t="s">
        <v>69</v>
      </c>
      <c r="K152" s="11" t="s">
        <v>64</v>
      </c>
      <c r="L152" s="13">
        <f t="shared" si="1"/>
        <v>151</v>
      </c>
    </row>
    <row r="153" spans="1:12" x14ac:dyDescent="0.25">
      <c r="A153" s="29" t="s">
        <v>275</v>
      </c>
      <c r="B153" s="18" t="s">
        <v>60</v>
      </c>
      <c r="C153" s="18" t="s">
        <v>184</v>
      </c>
      <c r="D153" s="13"/>
      <c r="E153" s="13" t="s">
        <v>277</v>
      </c>
      <c r="F153" s="13" t="s">
        <v>278</v>
      </c>
      <c r="G153" s="5" t="s">
        <v>278</v>
      </c>
      <c r="H153" s="5" t="s">
        <v>278</v>
      </c>
      <c r="I153" s="5"/>
      <c r="J153" s="36" t="s">
        <v>69</v>
      </c>
      <c r="K153" s="11" t="s">
        <v>64</v>
      </c>
      <c r="L153" s="13">
        <f t="shared" si="1"/>
        <v>152</v>
      </c>
    </row>
    <row r="154" spans="1:12" x14ac:dyDescent="0.25">
      <c r="A154" s="29" t="s">
        <v>275</v>
      </c>
      <c r="B154" s="18" t="s">
        <v>60</v>
      </c>
      <c r="C154" s="18" t="s">
        <v>162</v>
      </c>
      <c r="D154" s="13"/>
      <c r="E154" s="13"/>
      <c r="F154" s="13" t="s">
        <v>278</v>
      </c>
      <c r="G154" s="5" t="s">
        <v>278</v>
      </c>
      <c r="H154" s="5" t="s">
        <v>278</v>
      </c>
      <c r="I154" s="5"/>
      <c r="J154" s="49"/>
      <c r="K154" s="11" t="s">
        <v>106</v>
      </c>
      <c r="L154" s="13">
        <f t="shared" si="1"/>
        <v>153</v>
      </c>
    </row>
    <row r="155" spans="1:12" x14ac:dyDescent="0.25">
      <c r="A155" s="29" t="s">
        <v>275</v>
      </c>
      <c r="B155" s="18" t="s">
        <v>61</v>
      </c>
      <c r="C155" s="18" t="s">
        <v>185</v>
      </c>
      <c r="D155" s="13"/>
      <c r="E155" s="13" t="s">
        <v>277</v>
      </c>
      <c r="F155" s="13" t="s">
        <v>278</v>
      </c>
      <c r="G155" s="5" t="s">
        <v>278</v>
      </c>
      <c r="H155" s="5" t="s">
        <v>278</v>
      </c>
      <c r="I155" s="5"/>
      <c r="J155" s="36" t="s">
        <v>69</v>
      </c>
      <c r="K155" s="11" t="s">
        <v>64</v>
      </c>
      <c r="L155" s="13">
        <f t="shared" si="1"/>
        <v>154</v>
      </c>
    </row>
    <row r="156" spans="1:12" x14ac:dyDescent="0.25">
      <c r="A156" s="29" t="s">
        <v>275</v>
      </c>
      <c r="B156" s="18" t="s">
        <v>61</v>
      </c>
      <c r="C156" s="18" t="s">
        <v>186</v>
      </c>
      <c r="D156" s="13"/>
      <c r="E156" s="13" t="s">
        <v>277</v>
      </c>
      <c r="F156" s="13" t="s">
        <v>278</v>
      </c>
      <c r="G156" s="5" t="s">
        <v>278</v>
      </c>
      <c r="H156" s="5" t="s">
        <v>278</v>
      </c>
      <c r="I156" s="5"/>
      <c r="J156" s="36" t="s">
        <v>69</v>
      </c>
      <c r="K156" s="11" t="s">
        <v>64</v>
      </c>
      <c r="L156" s="13">
        <f t="shared" si="1"/>
        <v>155</v>
      </c>
    </row>
    <row r="157" spans="1:12" ht="18" customHeight="1" x14ac:dyDescent="0.25">
      <c r="A157" s="29" t="s">
        <v>275</v>
      </c>
      <c r="B157" s="18" t="s">
        <v>61</v>
      </c>
      <c r="C157" s="18" t="s">
        <v>162</v>
      </c>
      <c r="D157" s="13"/>
      <c r="E157" s="13"/>
      <c r="F157" s="13" t="s">
        <v>278</v>
      </c>
      <c r="G157" s="5" t="s">
        <v>278</v>
      </c>
      <c r="H157" s="5" t="s">
        <v>278</v>
      </c>
      <c r="I157" s="5"/>
      <c r="J157" s="49"/>
      <c r="K157" s="11" t="s">
        <v>106</v>
      </c>
      <c r="L157" s="13">
        <f t="shared" si="1"/>
        <v>156</v>
      </c>
    </row>
    <row r="158" spans="1:12" x14ac:dyDescent="0.25">
      <c r="A158" s="29" t="s">
        <v>275</v>
      </c>
      <c r="B158" s="18" t="s">
        <v>59</v>
      </c>
      <c r="C158" s="18" t="s">
        <v>163</v>
      </c>
      <c r="D158" s="13"/>
      <c r="E158" s="13" t="s">
        <v>277</v>
      </c>
      <c r="F158" s="13" t="s">
        <v>278</v>
      </c>
      <c r="G158" s="13" t="s">
        <v>278</v>
      </c>
      <c r="H158" s="13" t="s">
        <v>277</v>
      </c>
      <c r="I158" s="13"/>
      <c r="J158" s="36" t="s">
        <v>69</v>
      </c>
      <c r="K158" s="11" t="s">
        <v>62</v>
      </c>
      <c r="L158" s="13">
        <f t="shared" si="0"/>
        <v>157</v>
      </c>
    </row>
    <row r="159" spans="1:12" x14ac:dyDescent="0.25">
      <c r="A159" s="29" t="s">
        <v>275</v>
      </c>
      <c r="B159" s="18" t="s">
        <v>59</v>
      </c>
      <c r="C159" s="18" t="s">
        <v>164</v>
      </c>
      <c r="D159" s="13"/>
      <c r="E159" s="13" t="s">
        <v>277</v>
      </c>
      <c r="F159" s="13" t="s">
        <v>278</v>
      </c>
      <c r="G159" s="5" t="s">
        <v>278</v>
      </c>
      <c r="H159" s="13" t="s">
        <v>277</v>
      </c>
      <c r="I159" s="13"/>
      <c r="J159" s="36" t="s">
        <v>69</v>
      </c>
      <c r="K159" s="11" t="s">
        <v>62</v>
      </c>
      <c r="L159" s="13">
        <f t="shared" si="0"/>
        <v>158</v>
      </c>
    </row>
    <row r="160" spans="1:12" x14ac:dyDescent="0.25">
      <c r="A160" s="29" t="s">
        <v>275</v>
      </c>
      <c r="B160" s="18" t="s">
        <v>59</v>
      </c>
      <c r="C160" s="18" t="s">
        <v>162</v>
      </c>
      <c r="D160" s="13"/>
      <c r="E160" s="13"/>
      <c r="F160" s="13" t="s">
        <v>278</v>
      </c>
      <c r="G160" s="5" t="s">
        <v>278</v>
      </c>
      <c r="H160" s="13" t="s">
        <v>278</v>
      </c>
      <c r="I160" s="13"/>
      <c r="J160" s="49"/>
      <c r="K160" s="11" t="s">
        <v>66</v>
      </c>
      <c r="L160" s="13">
        <f t="shared" si="0"/>
        <v>159</v>
      </c>
    </row>
    <row r="161" spans="1:12" x14ac:dyDescent="0.25">
      <c r="A161" s="29" t="s">
        <v>275</v>
      </c>
      <c r="B161" s="18" t="s">
        <v>20</v>
      </c>
      <c r="C161" s="18" t="s">
        <v>187</v>
      </c>
      <c r="D161" s="18"/>
      <c r="E161" s="13" t="s">
        <v>277</v>
      </c>
      <c r="F161" s="13" t="s">
        <v>277</v>
      </c>
      <c r="H161" s="13" t="s">
        <v>277</v>
      </c>
      <c r="I161" s="13"/>
      <c r="J161" s="11" t="s">
        <v>67</v>
      </c>
      <c r="K161" s="11" t="s">
        <v>66</v>
      </c>
      <c r="L161" s="13">
        <f t="shared" si="1"/>
        <v>160</v>
      </c>
    </row>
    <row r="162" spans="1:12" x14ac:dyDescent="0.25">
      <c r="A162" s="29" t="s">
        <v>275</v>
      </c>
      <c r="B162" s="18" t="s">
        <v>188</v>
      </c>
      <c r="C162" s="18" t="s">
        <v>189</v>
      </c>
      <c r="D162" s="18"/>
      <c r="E162" s="13" t="s">
        <v>277</v>
      </c>
      <c r="F162" s="13" t="s">
        <v>277</v>
      </c>
      <c r="H162" s="13" t="s">
        <v>277</v>
      </c>
      <c r="I162" s="13"/>
      <c r="J162" s="11" t="s">
        <v>73</v>
      </c>
      <c r="K162" s="11" t="s">
        <v>66</v>
      </c>
      <c r="L162" s="13">
        <f t="shared" si="1"/>
        <v>161</v>
      </c>
    </row>
    <row r="163" spans="1:12" x14ac:dyDescent="0.25">
      <c r="A163" s="29" t="s">
        <v>275</v>
      </c>
      <c r="B163" s="18" t="s">
        <v>44</v>
      </c>
      <c r="C163" s="18" t="s">
        <v>190</v>
      </c>
      <c r="D163" s="18"/>
      <c r="E163" s="13" t="s">
        <v>277</v>
      </c>
      <c r="F163" s="13"/>
      <c r="G163" s="5" t="s">
        <v>278</v>
      </c>
      <c r="H163" s="13" t="s">
        <v>277</v>
      </c>
      <c r="I163" s="13"/>
      <c r="J163" s="11" t="s">
        <v>68</v>
      </c>
      <c r="K163" s="11" t="s">
        <v>62</v>
      </c>
      <c r="L163" s="13">
        <f t="shared" si="1"/>
        <v>162</v>
      </c>
    </row>
    <row r="164" spans="1:12" x14ac:dyDescent="0.25">
      <c r="A164" s="29" t="s">
        <v>275</v>
      </c>
      <c r="B164" s="18" t="s">
        <v>44</v>
      </c>
      <c r="C164" s="18" t="s">
        <v>191</v>
      </c>
      <c r="D164" s="18"/>
      <c r="E164" s="13" t="s">
        <v>277</v>
      </c>
      <c r="F164" s="13" t="b">
        <v>1</v>
      </c>
      <c r="G164" s="5" t="s">
        <v>278</v>
      </c>
      <c r="H164" s="13" t="s">
        <v>277</v>
      </c>
      <c r="I164" s="13"/>
      <c r="J164" s="11" t="s">
        <v>74</v>
      </c>
      <c r="K164" s="11" t="s">
        <v>62</v>
      </c>
      <c r="L164" s="13">
        <f t="shared" si="1"/>
        <v>163</v>
      </c>
    </row>
    <row r="165" spans="1:12" x14ac:dyDescent="0.25">
      <c r="A165" s="29" t="s">
        <v>275</v>
      </c>
      <c r="B165" s="18" t="s">
        <v>44</v>
      </c>
      <c r="C165" s="18" t="s">
        <v>192</v>
      </c>
      <c r="D165" s="18"/>
      <c r="E165" s="13" t="s">
        <v>277</v>
      </c>
      <c r="F165" s="13" t="b">
        <v>1</v>
      </c>
      <c r="G165" s="5" t="s">
        <v>278</v>
      </c>
      <c r="H165" s="13" t="s">
        <v>277</v>
      </c>
      <c r="I165" s="13"/>
      <c r="J165" s="11" t="s">
        <v>315</v>
      </c>
      <c r="K165" s="11" t="s">
        <v>62</v>
      </c>
      <c r="L165" s="13">
        <f t="shared" si="1"/>
        <v>164</v>
      </c>
    </row>
    <row r="166" spans="1:12" x14ac:dyDescent="0.25">
      <c r="A166" s="29" t="s">
        <v>275</v>
      </c>
      <c r="B166" s="18" t="s">
        <v>21</v>
      </c>
      <c r="C166" s="18" t="s">
        <v>197</v>
      </c>
      <c r="D166" s="18"/>
      <c r="E166" s="13" t="s">
        <v>277</v>
      </c>
      <c r="F166" s="13" t="s">
        <v>278</v>
      </c>
      <c r="G166" s="5" t="s">
        <v>278</v>
      </c>
      <c r="H166" s="5" t="s">
        <v>278</v>
      </c>
      <c r="I166" s="5"/>
      <c r="J166" s="11" t="s">
        <v>69</v>
      </c>
      <c r="K166" s="11" t="s">
        <v>64</v>
      </c>
      <c r="L166" s="13">
        <f t="shared" si="1"/>
        <v>165</v>
      </c>
    </row>
    <row r="167" spans="1:12" x14ac:dyDescent="0.25">
      <c r="A167" s="29" t="s">
        <v>275</v>
      </c>
      <c r="B167" s="18" t="s">
        <v>21</v>
      </c>
      <c r="C167" s="18" t="s">
        <v>198</v>
      </c>
      <c r="D167" s="18"/>
      <c r="E167" s="13" t="s">
        <v>277</v>
      </c>
      <c r="F167" s="13" t="s">
        <v>278</v>
      </c>
      <c r="G167" s="5" t="s">
        <v>278</v>
      </c>
      <c r="H167" s="5" t="s">
        <v>278</v>
      </c>
      <c r="I167" s="5"/>
      <c r="J167" s="37" t="s">
        <v>76</v>
      </c>
      <c r="K167" s="11" t="s">
        <v>64</v>
      </c>
      <c r="L167" s="13">
        <f t="shared" si="1"/>
        <v>166</v>
      </c>
    </row>
    <row r="168" spans="1:12" x14ac:dyDescent="0.25">
      <c r="A168" s="29" t="s">
        <v>275</v>
      </c>
      <c r="B168" s="18" t="s">
        <v>22</v>
      </c>
      <c r="C168" s="18" t="s">
        <v>193</v>
      </c>
      <c r="D168" s="18"/>
      <c r="E168" s="13" t="s">
        <v>277</v>
      </c>
      <c r="F168" s="13" t="s">
        <v>278</v>
      </c>
      <c r="G168" s="5" t="s">
        <v>278</v>
      </c>
      <c r="H168" s="5" t="s">
        <v>278</v>
      </c>
      <c r="I168" s="5"/>
      <c r="J168" s="11" t="s">
        <v>69</v>
      </c>
      <c r="K168" s="11" t="s">
        <v>106</v>
      </c>
      <c r="L168" s="13">
        <f t="shared" si="1"/>
        <v>167</v>
      </c>
    </row>
    <row r="169" spans="1:12" x14ac:dyDescent="0.25">
      <c r="A169" s="29" t="s">
        <v>275</v>
      </c>
      <c r="B169" s="18" t="s">
        <v>22</v>
      </c>
      <c r="C169" s="18" t="s">
        <v>194</v>
      </c>
      <c r="D169" s="18"/>
      <c r="E169" s="13" t="s">
        <v>277</v>
      </c>
      <c r="F169" s="13" t="s">
        <v>278</v>
      </c>
      <c r="G169" s="5" t="s">
        <v>278</v>
      </c>
      <c r="H169" s="5" t="s">
        <v>278</v>
      </c>
      <c r="I169" s="5"/>
      <c r="J169" s="11" t="s">
        <v>76</v>
      </c>
      <c r="K169" s="11" t="s">
        <v>106</v>
      </c>
      <c r="L169" s="13">
        <f t="shared" si="1"/>
        <v>168</v>
      </c>
    </row>
    <row r="170" spans="1:12" x14ac:dyDescent="0.25">
      <c r="A170" s="29" t="s">
        <v>275</v>
      </c>
      <c r="B170" s="18" t="s">
        <v>23</v>
      </c>
      <c r="C170" s="18" t="s">
        <v>199</v>
      </c>
      <c r="D170" s="18"/>
      <c r="E170" s="13" t="s">
        <v>277</v>
      </c>
      <c r="F170" s="13" t="s">
        <v>278</v>
      </c>
      <c r="G170" s="5" t="s">
        <v>278</v>
      </c>
      <c r="H170" s="5" t="s">
        <v>278</v>
      </c>
      <c r="I170" s="5"/>
      <c r="J170" s="11" t="s">
        <v>69</v>
      </c>
      <c r="K170" s="11" t="s">
        <v>64</v>
      </c>
      <c r="L170" s="13">
        <f t="shared" si="1"/>
        <v>169</v>
      </c>
    </row>
    <row r="171" spans="1:12" x14ac:dyDescent="0.25">
      <c r="A171" s="29" t="s">
        <v>275</v>
      </c>
      <c r="B171" s="18" t="s">
        <v>23</v>
      </c>
      <c r="C171" s="18" t="s">
        <v>200</v>
      </c>
      <c r="D171" s="18"/>
      <c r="E171" s="13" t="s">
        <v>277</v>
      </c>
      <c r="F171" s="13" t="s">
        <v>278</v>
      </c>
      <c r="G171" s="5" t="s">
        <v>278</v>
      </c>
      <c r="H171" s="5" t="s">
        <v>278</v>
      </c>
      <c r="I171" s="5"/>
      <c r="J171" s="11" t="s">
        <v>76</v>
      </c>
      <c r="K171" s="11" t="s">
        <v>64</v>
      </c>
      <c r="L171" s="13">
        <f t="shared" si="1"/>
        <v>170</v>
      </c>
    </row>
    <row r="172" spans="1:12" x14ac:dyDescent="0.25">
      <c r="A172" s="29" t="s">
        <v>275</v>
      </c>
      <c r="B172" s="18" t="s">
        <v>24</v>
      </c>
      <c r="C172" s="18" t="s">
        <v>201</v>
      </c>
      <c r="D172" s="18"/>
      <c r="E172" s="13" t="s">
        <v>277</v>
      </c>
      <c r="F172" s="13" t="s">
        <v>278</v>
      </c>
      <c r="G172" s="5" t="s">
        <v>278</v>
      </c>
      <c r="H172" s="5" t="s">
        <v>278</v>
      </c>
      <c r="I172" s="5"/>
      <c r="J172" s="11" t="s">
        <v>69</v>
      </c>
      <c r="K172" s="11" t="s">
        <v>64</v>
      </c>
      <c r="L172" s="13">
        <f t="shared" si="1"/>
        <v>171</v>
      </c>
    </row>
    <row r="173" spans="1:12" x14ac:dyDescent="0.25">
      <c r="A173" s="29" t="s">
        <v>275</v>
      </c>
      <c r="B173" s="18" t="s">
        <v>24</v>
      </c>
      <c r="C173" s="18" t="s">
        <v>202</v>
      </c>
      <c r="D173" s="18"/>
      <c r="E173" s="13" t="s">
        <v>277</v>
      </c>
      <c r="F173" s="13" t="s">
        <v>278</v>
      </c>
      <c r="G173" s="5" t="s">
        <v>278</v>
      </c>
      <c r="H173" s="5" t="s">
        <v>278</v>
      </c>
      <c r="I173" s="5"/>
      <c r="J173" s="11" t="s">
        <v>76</v>
      </c>
      <c r="K173" s="11" t="s">
        <v>64</v>
      </c>
      <c r="L173" s="13">
        <f t="shared" si="1"/>
        <v>172</v>
      </c>
    </row>
    <row r="174" spans="1:12" x14ac:dyDescent="0.25">
      <c r="A174" s="29" t="s">
        <v>275</v>
      </c>
      <c r="B174" s="18" t="s">
        <v>43</v>
      </c>
      <c r="C174" s="18" t="s">
        <v>195</v>
      </c>
      <c r="D174" s="18"/>
      <c r="E174" s="13" t="s">
        <v>277</v>
      </c>
      <c r="F174" s="13" t="s">
        <v>278</v>
      </c>
      <c r="G174" s="5" t="s">
        <v>278</v>
      </c>
      <c r="H174" s="5" t="s">
        <v>278</v>
      </c>
      <c r="I174" s="5"/>
      <c r="J174" s="11" t="s">
        <v>69</v>
      </c>
      <c r="K174" s="11" t="s">
        <v>62</v>
      </c>
      <c r="L174" s="13">
        <f t="shared" si="1"/>
        <v>173</v>
      </c>
    </row>
    <row r="175" spans="1:12" x14ac:dyDescent="0.25">
      <c r="A175" s="29" t="s">
        <v>275</v>
      </c>
      <c r="B175" s="18" t="s">
        <v>43</v>
      </c>
      <c r="C175" s="18" t="s">
        <v>196</v>
      </c>
      <c r="D175" s="18"/>
      <c r="E175" s="13" t="s">
        <v>277</v>
      </c>
      <c r="F175" s="13" t="s">
        <v>278</v>
      </c>
      <c r="G175" s="5" t="s">
        <v>278</v>
      </c>
      <c r="H175" s="5" t="s">
        <v>278</v>
      </c>
      <c r="I175" s="5"/>
      <c r="J175" s="11" t="s">
        <v>76</v>
      </c>
      <c r="K175" s="11" t="s">
        <v>62</v>
      </c>
      <c r="L175" s="13">
        <f t="shared" si="1"/>
        <v>174</v>
      </c>
    </row>
    <row r="176" spans="1:12" x14ac:dyDescent="0.25">
      <c r="A176" s="29" t="s">
        <v>275</v>
      </c>
      <c r="B176" s="18" t="s">
        <v>25</v>
      </c>
      <c r="C176" s="18" t="s">
        <v>203</v>
      </c>
      <c r="D176" s="18"/>
      <c r="E176" s="13" t="s">
        <v>277</v>
      </c>
      <c r="F176" s="13"/>
      <c r="G176" s="13"/>
      <c r="H176" s="13" t="s">
        <v>277</v>
      </c>
      <c r="I176" s="13"/>
      <c r="J176" s="11" t="s">
        <v>67</v>
      </c>
      <c r="K176" s="11" t="s">
        <v>62</v>
      </c>
      <c r="L176" s="13">
        <f t="shared" si="1"/>
        <v>175</v>
      </c>
    </row>
    <row r="177" spans="1:12" x14ac:dyDescent="0.25">
      <c r="A177" s="29" t="s">
        <v>275</v>
      </c>
      <c r="B177" s="18" t="s">
        <v>25</v>
      </c>
      <c r="C177" s="18" t="s">
        <v>204</v>
      </c>
      <c r="D177" s="18"/>
      <c r="E177" s="13" t="s">
        <v>277</v>
      </c>
      <c r="F177" s="13" t="s">
        <v>277</v>
      </c>
      <c r="G177" s="13"/>
      <c r="H177" s="13" t="s">
        <v>277</v>
      </c>
      <c r="I177" s="13"/>
      <c r="J177" s="11" t="s">
        <v>67</v>
      </c>
      <c r="K177" s="11" t="s">
        <v>62</v>
      </c>
      <c r="L177" s="13">
        <f t="shared" si="1"/>
        <v>176</v>
      </c>
    </row>
    <row r="178" spans="1:12" x14ac:dyDescent="0.25">
      <c r="A178" s="29" t="s">
        <v>275</v>
      </c>
      <c r="B178" s="18" t="s">
        <v>205</v>
      </c>
      <c r="C178" s="18" t="s">
        <v>206</v>
      </c>
      <c r="D178" s="18"/>
      <c r="E178" s="13" t="s">
        <v>277</v>
      </c>
      <c r="F178" s="13" t="s">
        <v>277</v>
      </c>
      <c r="G178" s="13"/>
      <c r="H178" s="13" t="s">
        <v>277</v>
      </c>
      <c r="I178" s="13"/>
      <c r="J178" s="11" t="s">
        <v>77</v>
      </c>
      <c r="K178" s="11" t="s">
        <v>62</v>
      </c>
      <c r="L178" s="13">
        <f t="shared" si="1"/>
        <v>177</v>
      </c>
    </row>
    <row r="179" spans="1:12" x14ac:dyDescent="0.25">
      <c r="A179" s="29" t="s">
        <v>275</v>
      </c>
      <c r="B179" s="18" t="s">
        <v>25</v>
      </c>
      <c r="C179" s="18" t="s">
        <v>207</v>
      </c>
      <c r="D179" s="18"/>
      <c r="E179" s="13" t="s">
        <v>277</v>
      </c>
      <c r="F179" s="13" t="s">
        <v>277</v>
      </c>
      <c r="G179" s="13"/>
      <c r="H179" s="13" t="s">
        <v>277</v>
      </c>
      <c r="I179" s="13"/>
      <c r="J179" s="11" t="s">
        <v>67</v>
      </c>
      <c r="K179" s="11" t="s">
        <v>62</v>
      </c>
      <c r="L179" s="13">
        <f t="shared" si="1"/>
        <v>178</v>
      </c>
    </row>
    <row r="180" spans="1:12" x14ac:dyDescent="0.25">
      <c r="A180" s="29" t="s">
        <v>275</v>
      </c>
      <c r="B180" s="18" t="s">
        <v>37</v>
      </c>
      <c r="C180" s="18" t="s">
        <v>360</v>
      </c>
      <c r="D180" s="18"/>
      <c r="E180" s="13" t="s">
        <v>277</v>
      </c>
      <c r="F180" s="13"/>
      <c r="G180" s="13" t="s">
        <v>278</v>
      </c>
      <c r="H180" s="13" t="s">
        <v>277</v>
      </c>
      <c r="I180" s="13"/>
      <c r="J180" s="11" t="s">
        <v>361</v>
      </c>
      <c r="K180" s="11" t="s">
        <v>66</v>
      </c>
      <c r="L180" s="13">
        <f t="shared" si="1"/>
        <v>179</v>
      </c>
    </row>
    <row r="181" spans="1:12" x14ac:dyDescent="0.25">
      <c r="A181" s="29" t="s">
        <v>275</v>
      </c>
      <c r="B181" s="18" t="s">
        <v>37</v>
      </c>
      <c r="C181" s="18" t="s">
        <v>208</v>
      </c>
      <c r="D181" s="18"/>
      <c r="E181" s="13" t="s">
        <v>277</v>
      </c>
      <c r="F181" s="13"/>
      <c r="G181" s="13" t="s">
        <v>278</v>
      </c>
      <c r="H181" s="13" t="s">
        <v>277</v>
      </c>
      <c r="I181" s="13"/>
      <c r="J181" s="11" t="s">
        <v>306</v>
      </c>
      <c r="K181" s="11" t="s">
        <v>66</v>
      </c>
      <c r="L181" s="13">
        <f t="shared" si="1"/>
        <v>180</v>
      </c>
    </row>
    <row r="182" spans="1:12" x14ac:dyDescent="0.25">
      <c r="A182" s="29" t="s">
        <v>275</v>
      </c>
      <c r="B182" s="18" t="s">
        <v>37</v>
      </c>
      <c r="C182" s="18" t="s">
        <v>340</v>
      </c>
      <c r="D182" s="18"/>
      <c r="E182" s="13" t="s">
        <v>277</v>
      </c>
      <c r="F182" s="13" t="b">
        <v>1</v>
      </c>
      <c r="G182" s="13" t="s">
        <v>278</v>
      </c>
      <c r="H182" s="13" t="s">
        <v>277</v>
      </c>
      <c r="I182" s="13"/>
      <c r="J182" s="11" t="s">
        <v>315</v>
      </c>
      <c r="K182" s="11" t="s">
        <v>66</v>
      </c>
      <c r="L182" s="13">
        <f t="shared" si="1"/>
        <v>181</v>
      </c>
    </row>
    <row r="183" spans="1:12" x14ac:dyDescent="0.25">
      <c r="A183" s="29" t="s">
        <v>275</v>
      </c>
      <c r="B183" s="18" t="s">
        <v>37</v>
      </c>
      <c r="C183" s="18" t="s">
        <v>307</v>
      </c>
      <c r="D183" s="18"/>
      <c r="E183" s="13"/>
      <c r="F183" s="13"/>
      <c r="G183" s="13" t="s">
        <v>278</v>
      </c>
      <c r="H183" s="13"/>
      <c r="I183" s="13"/>
      <c r="J183" s="11" t="s">
        <v>308</v>
      </c>
      <c r="K183" s="11" t="s">
        <v>66</v>
      </c>
      <c r="L183" s="13">
        <f t="shared" si="1"/>
        <v>182</v>
      </c>
    </row>
    <row r="184" spans="1:12" x14ac:dyDescent="0.25">
      <c r="A184" s="29" t="s">
        <v>275</v>
      </c>
      <c r="B184" s="18" t="s">
        <v>37</v>
      </c>
      <c r="C184" s="18" t="s">
        <v>209</v>
      </c>
      <c r="D184" s="18"/>
      <c r="E184" s="13" t="s">
        <v>277</v>
      </c>
      <c r="F184" s="13" t="b">
        <v>1</v>
      </c>
      <c r="G184" s="13" t="s">
        <v>278</v>
      </c>
      <c r="H184" s="13" t="s">
        <v>277</v>
      </c>
      <c r="I184" s="13"/>
      <c r="J184" s="11" t="s">
        <v>68</v>
      </c>
      <c r="K184" s="11" t="s">
        <v>66</v>
      </c>
      <c r="L184" s="13">
        <f t="shared" si="1"/>
        <v>183</v>
      </c>
    </row>
    <row r="185" spans="1:12" x14ac:dyDescent="0.25">
      <c r="A185" s="29" t="s">
        <v>275</v>
      </c>
      <c r="B185" s="18" t="s">
        <v>37</v>
      </c>
      <c r="C185" s="18" t="s">
        <v>309</v>
      </c>
      <c r="D185" s="18"/>
      <c r="E185" s="13" t="s">
        <v>277</v>
      </c>
      <c r="F185" s="13" t="b">
        <v>1</v>
      </c>
      <c r="G185" s="13" t="s">
        <v>278</v>
      </c>
      <c r="H185" s="13" t="s">
        <v>277</v>
      </c>
      <c r="I185" s="13"/>
      <c r="J185" s="11" t="s">
        <v>78</v>
      </c>
      <c r="K185" s="11" t="s">
        <v>66</v>
      </c>
      <c r="L185" s="13">
        <f t="shared" si="1"/>
        <v>184</v>
      </c>
    </row>
    <row r="186" spans="1:12" x14ac:dyDescent="0.25">
      <c r="A186" s="29" t="s">
        <v>275</v>
      </c>
      <c r="B186" s="18" t="s">
        <v>37</v>
      </c>
      <c r="C186" s="18" t="s">
        <v>210</v>
      </c>
      <c r="D186" s="18"/>
      <c r="E186" s="13"/>
      <c r="F186" s="13"/>
      <c r="G186" s="13"/>
      <c r="H186" s="13"/>
      <c r="I186" s="13"/>
      <c r="J186" s="11" t="s">
        <v>313</v>
      </c>
      <c r="K186" s="11" t="s">
        <v>66</v>
      </c>
      <c r="L186" s="13">
        <f t="shared" si="1"/>
        <v>185</v>
      </c>
    </row>
    <row r="187" spans="1:12" x14ac:dyDescent="0.25">
      <c r="A187" s="29" t="s">
        <v>275</v>
      </c>
      <c r="B187" s="20" t="s">
        <v>104</v>
      </c>
      <c r="C187" s="20" t="s">
        <v>310</v>
      </c>
      <c r="D187" s="20"/>
      <c r="E187" s="13" t="s">
        <v>277</v>
      </c>
      <c r="F187" s="13" t="s">
        <v>278</v>
      </c>
      <c r="G187" s="13" t="s">
        <v>278</v>
      </c>
      <c r="H187" s="13" t="s">
        <v>277</v>
      </c>
      <c r="I187" s="13"/>
      <c r="J187" s="48" t="s">
        <v>101</v>
      </c>
      <c r="K187" s="11" t="s">
        <v>62</v>
      </c>
      <c r="L187" s="13">
        <f t="shared" si="1"/>
        <v>186</v>
      </c>
    </row>
    <row r="188" spans="1:12" x14ac:dyDescent="0.25">
      <c r="A188" s="29" t="s">
        <v>275</v>
      </c>
      <c r="B188" s="20" t="s">
        <v>104</v>
      </c>
      <c r="C188" s="20" t="s">
        <v>311</v>
      </c>
      <c r="D188" s="20"/>
      <c r="E188" s="13" t="s">
        <v>277</v>
      </c>
      <c r="F188" s="13" t="s">
        <v>278</v>
      </c>
      <c r="G188" s="13"/>
      <c r="H188" s="13" t="s">
        <v>277</v>
      </c>
      <c r="I188" s="13"/>
      <c r="J188" s="48" t="s">
        <v>101</v>
      </c>
      <c r="K188" s="11" t="s">
        <v>62</v>
      </c>
      <c r="L188" s="13">
        <f t="shared" si="1"/>
        <v>187</v>
      </c>
    </row>
    <row r="189" spans="1:12" x14ac:dyDescent="0.25">
      <c r="A189" s="29" t="s">
        <v>275</v>
      </c>
      <c r="B189" s="20" t="s">
        <v>104</v>
      </c>
      <c r="C189" s="20" t="s">
        <v>312</v>
      </c>
      <c r="D189" s="20"/>
      <c r="E189" s="13" t="s">
        <v>277</v>
      </c>
      <c r="F189" s="13" t="s">
        <v>278</v>
      </c>
      <c r="G189" s="13" t="s">
        <v>278</v>
      </c>
      <c r="H189" s="13" t="s">
        <v>277</v>
      </c>
      <c r="I189" s="13"/>
      <c r="J189" s="48" t="s">
        <v>100</v>
      </c>
      <c r="K189" s="11" t="s">
        <v>62</v>
      </c>
      <c r="L189" s="13">
        <f t="shared" si="1"/>
        <v>188</v>
      </c>
    </row>
    <row r="190" spans="1:12" x14ac:dyDescent="0.25">
      <c r="A190" s="29" t="s">
        <v>275</v>
      </c>
      <c r="B190" s="20" t="s">
        <v>104</v>
      </c>
      <c r="C190" s="20" t="s">
        <v>162</v>
      </c>
      <c r="D190" s="54" t="s">
        <v>411</v>
      </c>
      <c r="E190" s="13" t="b">
        <v>1</v>
      </c>
      <c r="F190" s="13" t="s">
        <v>278</v>
      </c>
      <c r="G190" s="13" t="s">
        <v>278</v>
      </c>
      <c r="H190" s="13"/>
      <c r="I190" s="13"/>
      <c r="J190" s="48"/>
      <c r="K190" s="11" t="s">
        <v>62</v>
      </c>
      <c r="L190" s="13">
        <f t="shared" si="1"/>
        <v>189</v>
      </c>
    </row>
    <row r="191" spans="1:12" x14ac:dyDescent="0.25">
      <c r="A191" s="29" t="s">
        <v>275</v>
      </c>
      <c r="B191" s="18" t="s">
        <v>26</v>
      </c>
      <c r="C191" s="18" t="s">
        <v>211</v>
      </c>
      <c r="D191" s="18"/>
      <c r="E191" s="13" t="s">
        <v>277</v>
      </c>
      <c r="F191" s="13" t="s">
        <v>278</v>
      </c>
      <c r="G191" s="5" t="s">
        <v>278</v>
      </c>
      <c r="H191" s="5" t="s">
        <v>278</v>
      </c>
      <c r="I191" s="5"/>
      <c r="J191" s="11" t="s">
        <v>69</v>
      </c>
      <c r="K191" s="11" t="s">
        <v>106</v>
      </c>
      <c r="L191" s="13">
        <f t="shared" si="1"/>
        <v>190</v>
      </c>
    </row>
    <row r="192" spans="1:12" x14ac:dyDescent="0.25">
      <c r="A192" s="29" t="s">
        <v>275</v>
      </c>
      <c r="B192" s="18" t="s">
        <v>26</v>
      </c>
      <c r="C192" s="18" t="s">
        <v>212</v>
      </c>
      <c r="D192" s="18"/>
      <c r="E192" s="13" t="s">
        <v>277</v>
      </c>
      <c r="F192" s="13" t="s">
        <v>278</v>
      </c>
      <c r="G192" s="5" t="s">
        <v>278</v>
      </c>
      <c r="H192" s="5" t="s">
        <v>278</v>
      </c>
      <c r="I192" s="5"/>
      <c r="J192" s="11" t="s">
        <v>69</v>
      </c>
      <c r="K192" s="11" t="s">
        <v>106</v>
      </c>
      <c r="L192" s="13">
        <f t="shared" si="1"/>
        <v>191</v>
      </c>
    </row>
    <row r="193" spans="1:12" x14ac:dyDescent="0.25">
      <c r="A193" s="29" t="s">
        <v>275</v>
      </c>
      <c r="B193" s="18" t="s">
        <v>26</v>
      </c>
      <c r="C193" s="18" t="s">
        <v>213</v>
      </c>
      <c r="D193" s="18"/>
      <c r="E193" s="13" t="s">
        <v>277</v>
      </c>
      <c r="F193" s="13" t="s">
        <v>278</v>
      </c>
      <c r="G193" s="5" t="s">
        <v>278</v>
      </c>
      <c r="H193" s="5" t="s">
        <v>278</v>
      </c>
      <c r="I193" s="5"/>
      <c r="J193" s="11" t="s">
        <v>76</v>
      </c>
      <c r="K193" s="11" t="s">
        <v>106</v>
      </c>
      <c r="L193" s="13">
        <f t="shared" si="1"/>
        <v>192</v>
      </c>
    </row>
    <row r="194" spans="1:12" x14ac:dyDescent="0.25">
      <c r="A194" s="29" t="s">
        <v>275</v>
      </c>
      <c r="B194" s="18" t="s">
        <v>26</v>
      </c>
      <c r="C194" s="18" t="s">
        <v>214</v>
      </c>
      <c r="D194" s="18"/>
      <c r="E194" s="13" t="s">
        <v>277</v>
      </c>
      <c r="F194" s="13" t="s">
        <v>278</v>
      </c>
      <c r="G194" s="5" t="s">
        <v>278</v>
      </c>
      <c r="H194" s="5" t="s">
        <v>278</v>
      </c>
      <c r="I194" s="5"/>
      <c r="J194" s="11" t="s">
        <v>69</v>
      </c>
      <c r="K194" s="11" t="s">
        <v>106</v>
      </c>
      <c r="L194" s="13">
        <f t="shared" si="1"/>
        <v>193</v>
      </c>
    </row>
    <row r="195" spans="1:12" x14ac:dyDescent="0.25">
      <c r="A195" s="29" t="s">
        <v>275</v>
      </c>
      <c r="B195" s="18" t="s">
        <v>27</v>
      </c>
      <c r="C195" s="18" t="s">
        <v>231</v>
      </c>
      <c r="D195" s="18"/>
      <c r="E195" s="13" t="s">
        <v>277</v>
      </c>
      <c r="F195" s="13" t="s">
        <v>278</v>
      </c>
      <c r="G195" s="5" t="s">
        <v>278</v>
      </c>
      <c r="H195" s="5" t="s">
        <v>278</v>
      </c>
      <c r="I195" s="5"/>
      <c r="J195" s="11" t="s">
        <v>69</v>
      </c>
      <c r="K195" s="11" t="s">
        <v>64</v>
      </c>
      <c r="L195" s="13">
        <f t="shared" si="1"/>
        <v>194</v>
      </c>
    </row>
    <row r="196" spans="1:12" x14ac:dyDescent="0.25">
      <c r="A196" s="29" t="s">
        <v>275</v>
      </c>
      <c r="B196" s="18" t="s">
        <v>27</v>
      </c>
      <c r="C196" s="18" t="s">
        <v>232</v>
      </c>
      <c r="D196" s="18"/>
      <c r="E196" s="13" t="s">
        <v>277</v>
      </c>
      <c r="F196" s="13" t="s">
        <v>278</v>
      </c>
      <c r="G196" s="5" t="s">
        <v>278</v>
      </c>
      <c r="H196" s="5" t="s">
        <v>278</v>
      </c>
      <c r="I196" s="5"/>
      <c r="J196" s="11" t="s">
        <v>69</v>
      </c>
      <c r="K196" s="11" t="s">
        <v>64</v>
      </c>
      <c r="L196" s="13">
        <f t="shared" si="1"/>
        <v>195</v>
      </c>
    </row>
    <row r="197" spans="1:12" x14ac:dyDescent="0.25">
      <c r="A197" s="29" t="s">
        <v>275</v>
      </c>
      <c r="B197" s="18" t="s">
        <v>27</v>
      </c>
      <c r="C197" s="18" t="s">
        <v>233</v>
      </c>
      <c r="D197" s="18"/>
      <c r="E197" s="13" t="s">
        <v>277</v>
      </c>
      <c r="F197" s="13" t="s">
        <v>278</v>
      </c>
      <c r="G197" s="5" t="s">
        <v>278</v>
      </c>
      <c r="H197" s="5" t="s">
        <v>278</v>
      </c>
      <c r="I197" s="5"/>
      <c r="J197" s="11" t="s">
        <v>76</v>
      </c>
      <c r="K197" s="11" t="s">
        <v>64</v>
      </c>
      <c r="L197" s="13">
        <f t="shared" si="1"/>
        <v>196</v>
      </c>
    </row>
    <row r="198" spans="1:12" x14ac:dyDescent="0.25">
      <c r="A198" s="29" t="s">
        <v>275</v>
      </c>
      <c r="B198" s="18" t="s">
        <v>27</v>
      </c>
      <c r="C198" s="18" t="s">
        <v>234</v>
      </c>
      <c r="D198" s="18"/>
      <c r="E198" s="13" t="s">
        <v>277</v>
      </c>
      <c r="F198" s="13" t="s">
        <v>278</v>
      </c>
      <c r="G198" s="5" t="s">
        <v>278</v>
      </c>
      <c r="H198" s="5" t="s">
        <v>278</v>
      </c>
      <c r="I198" s="5"/>
      <c r="J198" s="11" t="s">
        <v>69</v>
      </c>
      <c r="K198" s="11" t="s">
        <v>64</v>
      </c>
      <c r="L198" s="13">
        <f t="shared" si="1"/>
        <v>197</v>
      </c>
    </row>
    <row r="199" spans="1:12" x14ac:dyDescent="0.25">
      <c r="A199" s="29" t="s">
        <v>275</v>
      </c>
      <c r="B199" s="18" t="s">
        <v>28</v>
      </c>
      <c r="C199" s="18" t="s">
        <v>235</v>
      </c>
      <c r="D199" s="18"/>
      <c r="E199" s="13" t="s">
        <v>277</v>
      </c>
      <c r="F199" s="13" t="s">
        <v>278</v>
      </c>
      <c r="G199" s="5" t="s">
        <v>278</v>
      </c>
      <c r="H199" s="5" t="s">
        <v>278</v>
      </c>
      <c r="I199" s="5"/>
      <c r="J199" s="11" t="s">
        <v>69</v>
      </c>
      <c r="K199" s="11" t="s">
        <v>64</v>
      </c>
      <c r="L199" s="13">
        <f t="shared" si="1"/>
        <v>198</v>
      </c>
    </row>
    <row r="200" spans="1:12" x14ac:dyDescent="0.25">
      <c r="A200" s="29" t="s">
        <v>275</v>
      </c>
      <c r="B200" s="18" t="s">
        <v>28</v>
      </c>
      <c r="C200" s="18" t="s">
        <v>236</v>
      </c>
      <c r="D200" s="18"/>
      <c r="E200" s="13" t="s">
        <v>277</v>
      </c>
      <c r="F200" s="13" t="s">
        <v>278</v>
      </c>
      <c r="G200" s="5" t="s">
        <v>278</v>
      </c>
      <c r="H200" s="5" t="s">
        <v>278</v>
      </c>
      <c r="I200" s="5"/>
      <c r="J200" s="11" t="s">
        <v>69</v>
      </c>
      <c r="K200" s="11" t="s">
        <v>64</v>
      </c>
      <c r="L200" s="13">
        <f t="shared" si="1"/>
        <v>199</v>
      </c>
    </row>
    <row r="201" spans="1:12" x14ac:dyDescent="0.25">
      <c r="A201" s="29" t="s">
        <v>275</v>
      </c>
      <c r="B201" s="18" t="s">
        <v>28</v>
      </c>
      <c r="C201" s="18" t="s">
        <v>237</v>
      </c>
      <c r="D201" s="18"/>
      <c r="E201" s="13" t="s">
        <v>277</v>
      </c>
      <c r="F201" s="13" t="s">
        <v>278</v>
      </c>
      <c r="G201" s="5" t="s">
        <v>278</v>
      </c>
      <c r="H201" s="5" t="s">
        <v>278</v>
      </c>
      <c r="I201" s="5"/>
      <c r="J201" s="11" t="s">
        <v>76</v>
      </c>
      <c r="K201" s="11" t="s">
        <v>64</v>
      </c>
      <c r="L201" s="13">
        <f t="shared" si="1"/>
        <v>200</v>
      </c>
    </row>
    <row r="202" spans="1:12" x14ac:dyDescent="0.25">
      <c r="A202" s="29" t="s">
        <v>275</v>
      </c>
      <c r="B202" s="18" t="s">
        <v>28</v>
      </c>
      <c r="C202" s="18" t="s">
        <v>238</v>
      </c>
      <c r="D202" s="18"/>
      <c r="E202" s="13" t="s">
        <v>277</v>
      </c>
      <c r="F202" s="13" t="s">
        <v>278</v>
      </c>
      <c r="G202" s="5" t="s">
        <v>278</v>
      </c>
      <c r="H202" s="5" t="s">
        <v>278</v>
      </c>
      <c r="I202" s="5"/>
      <c r="J202" s="11" t="s">
        <v>69</v>
      </c>
      <c r="K202" s="11" t="s">
        <v>64</v>
      </c>
      <c r="L202" s="13">
        <f t="shared" si="1"/>
        <v>201</v>
      </c>
    </row>
    <row r="203" spans="1:12" x14ac:dyDescent="0.25">
      <c r="A203" s="29" t="s">
        <v>275</v>
      </c>
      <c r="B203" s="18" t="s">
        <v>29</v>
      </c>
      <c r="C203" s="18" t="s">
        <v>215</v>
      </c>
      <c r="D203" s="18"/>
      <c r="E203" s="13" t="s">
        <v>277</v>
      </c>
      <c r="F203" s="13" t="s">
        <v>278</v>
      </c>
      <c r="G203" s="5" t="s">
        <v>278</v>
      </c>
      <c r="H203" s="5" t="s">
        <v>278</v>
      </c>
      <c r="I203" s="5"/>
      <c r="J203" s="11" t="s">
        <v>69</v>
      </c>
      <c r="K203" s="11" t="s">
        <v>62</v>
      </c>
      <c r="L203" s="13">
        <f t="shared" si="1"/>
        <v>202</v>
      </c>
    </row>
    <row r="204" spans="1:12" x14ac:dyDescent="0.25">
      <c r="A204" s="29" t="s">
        <v>275</v>
      </c>
      <c r="B204" s="18" t="s">
        <v>29</v>
      </c>
      <c r="C204" s="18" t="s">
        <v>216</v>
      </c>
      <c r="D204" s="18"/>
      <c r="E204" s="13" t="s">
        <v>277</v>
      </c>
      <c r="F204" s="13" t="s">
        <v>278</v>
      </c>
      <c r="G204" s="5" t="s">
        <v>278</v>
      </c>
      <c r="H204" s="5" t="s">
        <v>278</v>
      </c>
      <c r="I204" s="5"/>
      <c r="J204" s="11" t="s">
        <v>69</v>
      </c>
      <c r="K204" s="11" t="s">
        <v>62</v>
      </c>
      <c r="L204" s="13">
        <f t="shared" si="1"/>
        <v>203</v>
      </c>
    </row>
    <row r="205" spans="1:12" x14ac:dyDescent="0.25">
      <c r="A205" s="29" t="s">
        <v>275</v>
      </c>
      <c r="B205" s="18" t="s">
        <v>29</v>
      </c>
      <c r="C205" s="18" t="s">
        <v>217</v>
      </c>
      <c r="D205" s="18"/>
      <c r="E205" s="13" t="s">
        <v>277</v>
      </c>
      <c r="F205" s="13" t="s">
        <v>278</v>
      </c>
      <c r="G205" s="5" t="s">
        <v>278</v>
      </c>
      <c r="H205" s="5" t="s">
        <v>278</v>
      </c>
      <c r="I205" s="5"/>
      <c r="J205" s="11" t="s">
        <v>76</v>
      </c>
      <c r="K205" s="11" t="s">
        <v>62</v>
      </c>
      <c r="L205" s="13">
        <f t="shared" si="1"/>
        <v>204</v>
      </c>
    </row>
    <row r="206" spans="1:12" x14ac:dyDescent="0.25">
      <c r="A206" s="29" t="s">
        <v>275</v>
      </c>
      <c r="B206" s="18" t="s">
        <v>29</v>
      </c>
      <c r="C206" s="18" t="s">
        <v>218</v>
      </c>
      <c r="D206" s="18"/>
      <c r="E206" s="13" t="s">
        <v>277</v>
      </c>
      <c r="F206" s="13" t="s">
        <v>278</v>
      </c>
      <c r="G206" s="5" t="s">
        <v>278</v>
      </c>
      <c r="H206" s="5" t="s">
        <v>278</v>
      </c>
      <c r="I206" s="5"/>
      <c r="J206" s="11" t="s">
        <v>69</v>
      </c>
      <c r="K206" s="11" t="s">
        <v>62</v>
      </c>
      <c r="L206" s="13">
        <f t="shared" si="1"/>
        <v>205</v>
      </c>
    </row>
    <row r="207" spans="1:12" x14ac:dyDescent="0.25">
      <c r="A207" s="29" t="s">
        <v>275</v>
      </c>
      <c r="B207" s="18" t="s">
        <v>30</v>
      </c>
      <c r="C207" s="18" t="s">
        <v>239</v>
      </c>
      <c r="D207" s="18"/>
      <c r="E207" s="13" t="s">
        <v>277</v>
      </c>
      <c r="F207" s="13" t="s">
        <v>278</v>
      </c>
      <c r="G207" s="5" t="s">
        <v>278</v>
      </c>
      <c r="H207" s="5" t="s">
        <v>278</v>
      </c>
      <c r="I207" s="5"/>
      <c r="J207" s="11" t="s">
        <v>69</v>
      </c>
      <c r="K207" s="11" t="s">
        <v>64</v>
      </c>
      <c r="L207" s="13">
        <f t="shared" si="1"/>
        <v>206</v>
      </c>
    </row>
    <row r="208" spans="1:12" x14ac:dyDescent="0.25">
      <c r="A208" s="29" t="s">
        <v>275</v>
      </c>
      <c r="B208" s="18" t="s">
        <v>30</v>
      </c>
      <c r="C208" s="18" t="s">
        <v>240</v>
      </c>
      <c r="D208" s="18"/>
      <c r="E208" s="13" t="s">
        <v>277</v>
      </c>
      <c r="F208" s="13" t="s">
        <v>278</v>
      </c>
      <c r="G208" s="5" t="s">
        <v>278</v>
      </c>
      <c r="H208" s="5" t="s">
        <v>278</v>
      </c>
      <c r="I208" s="5"/>
      <c r="J208" s="11" t="s">
        <v>69</v>
      </c>
      <c r="K208" s="11" t="s">
        <v>64</v>
      </c>
      <c r="L208" s="13">
        <f t="shared" si="1"/>
        <v>207</v>
      </c>
    </row>
    <row r="209" spans="1:12" x14ac:dyDescent="0.25">
      <c r="A209" s="29" t="s">
        <v>275</v>
      </c>
      <c r="B209" s="18" t="s">
        <v>30</v>
      </c>
      <c r="C209" s="18" t="s">
        <v>241</v>
      </c>
      <c r="D209" s="18"/>
      <c r="E209" s="13" t="s">
        <v>277</v>
      </c>
      <c r="F209" s="13" t="s">
        <v>278</v>
      </c>
      <c r="G209" s="5" t="s">
        <v>278</v>
      </c>
      <c r="H209" s="5" t="s">
        <v>278</v>
      </c>
      <c r="I209" s="5"/>
      <c r="J209" s="11" t="s">
        <v>76</v>
      </c>
      <c r="K209" s="11" t="s">
        <v>64</v>
      </c>
      <c r="L209" s="13">
        <f t="shared" si="1"/>
        <v>208</v>
      </c>
    </row>
    <row r="210" spans="1:12" x14ac:dyDescent="0.25">
      <c r="A210" s="29" t="s">
        <v>275</v>
      </c>
      <c r="B210" s="18" t="s">
        <v>30</v>
      </c>
      <c r="C210" s="18" t="s">
        <v>242</v>
      </c>
      <c r="D210" s="18"/>
      <c r="E210" s="13" t="s">
        <v>277</v>
      </c>
      <c r="F210" s="13" t="s">
        <v>278</v>
      </c>
      <c r="G210" s="5" t="s">
        <v>278</v>
      </c>
      <c r="H210" s="5" t="s">
        <v>278</v>
      </c>
      <c r="I210" s="5"/>
      <c r="J210" s="11" t="s">
        <v>69</v>
      </c>
      <c r="K210" s="11" t="s">
        <v>64</v>
      </c>
      <c r="L210" s="13">
        <f t="shared" si="1"/>
        <v>209</v>
      </c>
    </row>
    <row r="211" spans="1:12" x14ac:dyDescent="0.25">
      <c r="A211" s="29" t="s">
        <v>275</v>
      </c>
      <c r="B211" s="18" t="s">
        <v>31</v>
      </c>
      <c r="C211" s="18" t="s">
        <v>243</v>
      </c>
      <c r="D211" s="18"/>
      <c r="E211" s="13" t="s">
        <v>277</v>
      </c>
      <c r="F211" s="13" t="s">
        <v>278</v>
      </c>
      <c r="G211" s="5" t="s">
        <v>278</v>
      </c>
      <c r="H211" s="5" t="s">
        <v>278</v>
      </c>
      <c r="I211" s="5"/>
      <c r="J211" s="11" t="s">
        <v>69</v>
      </c>
      <c r="K211" s="11" t="s">
        <v>64</v>
      </c>
      <c r="L211" s="13">
        <f t="shared" si="1"/>
        <v>210</v>
      </c>
    </row>
    <row r="212" spans="1:12" x14ac:dyDescent="0.25">
      <c r="A212" s="29" t="s">
        <v>275</v>
      </c>
      <c r="B212" s="18" t="s">
        <v>31</v>
      </c>
      <c r="C212" s="18" t="s">
        <v>244</v>
      </c>
      <c r="D212" s="18"/>
      <c r="E212" s="13" t="s">
        <v>277</v>
      </c>
      <c r="F212" s="13" t="s">
        <v>278</v>
      </c>
      <c r="G212" s="5" t="s">
        <v>278</v>
      </c>
      <c r="H212" s="5" t="s">
        <v>278</v>
      </c>
      <c r="I212" s="5"/>
      <c r="J212" s="11" t="s">
        <v>69</v>
      </c>
      <c r="K212" s="11" t="s">
        <v>64</v>
      </c>
      <c r="L212" s="13">
        <f t="shared" si="1"/>
        <v>211</v>
      </c>
    </row>
    <row r="213" spans="1:12" x14ac:dyDescent="0.25">
      <c r="A213" s="29" t="s">
        <v>275</v>
      </c>
      <c r="B213" s="18" t="s">
        <v>31</v>
      </c>
      <c r="C213" s="18" t="s">
        <v>245</v>
      </c>
      <c r="D213" s="18"/>
      <c r="E213" s="13" t="s">
        <v>277</v>
      </c>
      <c r="F213" s="13" t="s">
        <v>278</v>
      </c>
      <c r="G213" s="5" t="s">
        <v>278</v>
      </c>
      <c r="H213" s="5" t="s">
        <v>278</v>
      </c>
      <c r="I213" s="5"/>
      <c r="J213" s="11" t="s">
        <v>76</v>
      </c>
      <c r="K213" s="11" t="s">
        <v>64</v>
      </c>
      <c r="L213" s="13">
        <f t="shared" si="1"/>
        <v>212</v>
      </c>
    </row>
    <row r="214" spans="1:12" x14ac:dyDescent="0.25">
      <c r="A214" s="29" t="s">
        <v>275</v>
      </c>
      <c r="B214" s="18" t="s">
        <v>31</v>
      </c>
      <c r="C214" s="18" t="s">
        <v>246</v>
      </c>
      <c r="D214" s="18"/>
      <c r="E214" s="13" t="s">
        <v>277</v>
      </c>
      <c r="F214" s="13" t="s">
        <v>278</v>
      </c>
      <c r="G214" s="5" t="s">
        <v>278</v>
      </c>
      <c r="H214" s="5" t="s">
        <v>278</v>
      </c>
      <c r="I214" s="5"/>
      <c r="J214" s="11" t="s">
        <v>69</v>
      </c>
      <c r="K214" s="11" t="s">
        <v>64</v>
      </c>
      <c r="L214" s="13">
        <f t="shared" si="1"/>
        <v>213</v>
      </c>
    </row>
    <row r="215" spans="1:12" x14ac:dyDescent="0.25">
      <c r="A215" s="29" t="s">
        <v>275</v>
      </c>
      <c r="B215" s="18" t="s">
        <v>32</v>
      </c>
      <c r="C215" s="18" t="s">
        <v>219</v>
      </c>
      <c r="D215" s="18"/>
      <c r="E215" s="13" t="s">
        <v>277</v>
      </c>
      <c r="F215" s="13" t="s">
        <v>278</v>
      </c>
      <c r="G215" s="5" t="s">
        <v>278</v>
      </c>
      <c r="H215" s="5" t="s">
        <v>278</v>
      </c>
      <c r="I215" s="5"/>
      <c r="J215" s="11" t="s">
        <v>69</v>
      </c>
      <c r="K215" s="11" t="s">
        <v>106</v>
      </c>
      <c r="L215" s="13">
        <f t="shared" si="1"/>
        <v>214</v>
      </c>
    </row>
    <row r="216" spans="1:12" x14ac:dyDescent="0.25">
      <c r="A216" s="29" t="s">
        <v>275</v>
      </c>
      <c r="B216" s="18" t="s">
        <v>32</v>
      </c>
      <c r="C216" s="18" t="s">
        <v>220</v>
      </c>
      <c r="D216" s="18"/>
      <c r="E216" s="13" t="s">
        <v>277</v>
      </c>
      <c r="F216" s="13" t="s">
        <v>278</v>
      </c>
      <c r="G216" s="5" t="s">
        <v>278</v>
      </c>
      <c r="H216" s="5" t="s">
        <v>278</v>
      </c>
      <c r="I216" s="5"/>
      <c r="J216" s="11" t="s">
        <v>69</v>
      </c>
      <c r="K216" s="11" t="s">
        <v>106</v>
      </c>
      <c r="L216" s="13">
        <f t="shared" si="1"/>
        <v>215</v>
      </c>
    </row>
    <row r="217" spans="1:12" x14ac:dyDescent="0.25">
      <c r="A217" s="29" t="s">
        <v>275</v>
      </c>
      <c r="B217" s="18" t="s">
        <v>32</v>
      </c>
      <c r="C217" s="18" t="s">
        <v>221</v>
      </c>
      <c r="D217" s="18"/>
      <c r="E217" s="13" t="s">
        <v>277</v>
      </c>
      <c r="F217" s="13" t="s">
        <v>278</v>
      </c>
      <c r="G217" s="5" t="s">
        <v>278</v>
      </c>
      <c r="H217" s="5" t="s">
        <v>278</v>
      </c>
      <c r="I217" s="5"/>
      <c r="J217" s="11" t="s">
        <v>76</v>
      </c>
      <c r="K217" s="11" t="s">
        <v>106</v>
      </c>
      <c r="L217" s="13">
        <f t="shared" si="1"/>
        <v>216</v>
      </c>
    </row>
    <row r="218" spans="1:12" x14ac:dyDescent="0.25">
      <c r="A218" s="29" t="s">
        <v>275</v>
      </c>
      <c r="B218" s="18" t="s">
        <v>32</v>
      </c>
      <c r="C218" s="18" t="s">
        <v>222</v>
      </c>
      <c r="D218" s="18"/>
      <c r="E218" s="13" t="s">
        <v>277</v>
      </c>
      <c r="F218" s="13" t="s">
        <v>278</v>
      </c>
      <c r="G218" s="5" t="s">
        <v>278</v>
      </c>
      <c r="H218" s="5" t="s">
        <v>278</v>
      </c>
      <c r="I218" s="5"/>
      <c r="J218" s="11" t="s">
        <v>69</v>
      </c>
      <c r="K218" s="11" t="s">
        <v>106</v>
      </c>
      <c r="L218" s="13">
        <f t="shared" si="1"/>
        <v>217</v>
      </c>
    </row>
    <row r="219" spans="1:12" x14ac:dyDescent="0.25">
      <c r="A219" s="29" t="s">
        <v>275</v>
      </c>
      <c r="B219" s="18" t="s">
        <v>33</v>
      </c>
      <c r="C219" s="18" t="s">
        <v>247</v>
      </c>
      <c r="D219" s="18"/>
      <c r="E219" s="13" t="s">
        <v>277</v>
      </c>
      <c r="F219" s="13" t="s">
        <v>278</v>
      </c>
      <c r="G219" s="5" t="s">
        <v>278</v>
      </c>
      <c r="H219" s="5" t="s">
        <v>278</v>
      </c>
      <c r="I219" s="5"/>
      <c r="J219" s="11" t="s">
        <v>69</v>
      </c>
      <c r="K219" s="11" t="s">
        <v>64</v>
      </c>
      <c r="L219" s="13">
        <f t="shared" si="1"/>
        <v>218</v>
      </c>
    </row>
    <row r="220" spans="1:12" x14ac:dyDescent="0.25">
      <c r="A220" s="29" t="s">
        <v>275</v>
      </c>
      <c r="B220" s="18" t="s">
        <v>33</v>
      </c>
      <c r="C220" s="18" t="s">
        <v>248</v>
      </c>
      <c r="D220" s="18"/>
      <c r="E220" s="13" t="s">
        <v>277</v>
      </c>
      <c r="F220" s="13" t="s">
        <v>278</v>
      </c>
      <c r="G220" s="5" t="s">
        <v>278</v>
      </c>
      <c r="H220" s="5" t="s">
        <v>278</v>
      </c>
      <c r="I220" s="5"/>
      <c r="J220" s="11" t="s">
        <v>69</v>
      </c>
      <c r="K220" s="11" t="s">
        <v>64</v>
      </c>
      <c r="L220" s="13">
        <f t="shared" si="1"/>
        <v>219</v>
      </c>
    </row>
    <row r="221" spans="1:12" x14ac:dyDescent="0.25">
      <c r="A221" s="29" t="s">
        <v>275</v>
      </c>
      <c r="B221" s="18" t="s">
        <v>33</v>
      </c>
      <c r="C221" s="18" t="s">
        <v>249</v>
      </c>
      <c r="D221" s="18"/>
      <c r="E221" s="13" t="s">
        <v>277</v>
      </c>
      <c r="F221" s="13" t="s">
        <v>278</v>
      </c>
      <c r="G221" s="5" t="s">
        <v>278</v>
      </c>
      <c r="H221" s="5" t="s">
        <v>278</v>
      </c>
      <c r="I221" s="5"/>
      <c r="J221" s="11" t="s">
        <v>76</v>
      </c>
      <c r="K221" s="11" t="s">
        <v>64</v>
      </c>
      <c r="L221" s="13">
        <f t="shared" si="1"/>
        <v>220</v>
      </c>
    </row>
    <row r="222" spans="1:12" x14ac:dyDescent="0.25">
      <c r="A222" s="29" t="s">
        <v>275</v>
      </c>
      <c r="B222" s="18" t="s">
        <v>33</v>
      </c>
      <c r="C222" s="18" t="s">
        <v>250</v>
      </c>
      <c r="D222" s="18"/>
      <c r="E222" s="13" t="s">
        <v>277</v>
      </c>
      <c r="F222" s="13" t="s">
        <v>278</v>
      </c>
      <c r="G222" s="5" t="s">
        <v>278</v>
      </c>
      <c r="H222" s="5" t="s">
        <v>278</v>
      </c>
      <c r="I222" s="5"/>
      <c r="J222" s="11" t="s">
        <v>69</v>
      </c>
      <c r="K222" s="11" t="s">
        <v>64</v>
      </c>
      <c r="L222" s="13">
        <f t="shared" si="1"/>
        <v>221</v>
      </c>
    </row>
    <row r="223" spans="1:12" x14ac:dyDescent="0.25">
      <c r="A223" s="29" t="s">
        <v>275</v>
      </c>
      <c r="B223" s="18" t="s">
        <v>34</v>
      </c>
      <c r="C223" s="18" t="s">
        <v>251</v>
      </c>
      <c r="D223" s="18"/>
      <c r="E223" s="13" t="s">
        <v>277</v>
      </c>
      <c r="F223" s="13" t="s">
        <v>278</v>
      </c>
      <c r="G223" s="5" t="s">
        <v>278</v>
      </c>
      <c r="H223" s="5" t="s">
        <v>278</v>
      </c>
      <c r="I223" s="5"/>
      <c r="J223" s="11" t="s">
        <v>69</v>
      </c>
      <c r="K223" s="11" t="s">
        <v>64</v>
      </c>
      <c r="L223" s="13">
        <f t="shared" ref="L223:L226" si="2">ROW()-1</f>
        <v>222</v>
      </c>
    </row>
    <row r="224" spans="1:12" x14ac:dyDescent="0.25">
      <c r="A224" s="29" t="s">
        <v>275</v>
      </c>
      <c r="B224" s="18" t="s">
        <v>34</v>
      </c>
      <c r="C224" s="18" t="s">
        <v>252</v>
      </c>
      <c r="D224" s="18"/>
      <c r="E224" s="13" t="s">
        <v>277</v>
      </c>
      <c r="F224" s="13" t="s">
        <v>278</v>
      </c>
      <c r="G224" s="5" t="s">
        <v>278</v>
      </c>
      <c r="H224" s="5" t="s">
        <v>278</v>
      </c>
      <c r="I224" s="5"/>
      <c r="J224" s="11" t="s">
        <v>69</v>
      </c>
      <c r="K224" s="11" t="s">
        <v>64</v>
      </c>
      <c r="L224" s="13">
        <f t="shared" si="2"/>
        <v>223</v>
      </c>
    </row>
    <row r="225" spans="1:12" x14ac:dyDescent="0.25">
      <c r="A225" s="29" t="s">
        <v>275</v>
      </c>
      <c r="B225" s="18" t="s">
        <v>34</v>
      </c>
      <c r="C225" s="18" t="s">
        <v>253</v>
      </c>
      <c r="D225" s="18"/>
      <c r="E225" s="13" t="s">
        <v>277</v>
      </c>
      <c r="F225" s="13" t="s">
        <v>278</v>
      </c>
      <c r="G225" s="5" t="s">
        <v>278</v>
      </c>
      <c r="H225" s="5" t="s">
        <v>278</v>
      </c>
      <c r="I225" s="5"/>
      <c r="J225" s="11" t="s">
        <v>76</v>
      </c>
      <c r="K225" s="11" t="s">
        <v>64</v>
      </c>
      <c r="L225" s="13">
        <f t="shared" si="2"/>
        <v>224</v>
      </c>
    </row>
    <row r="226" spans="1:12" x14ac:dyDescent="0.25">
      <c r="A226" s="29" t="s">
        <v>275</v>
      </c>
      <c r="B226" s="18" t="s">
        <v>34</v>
      </c>
      <c r="C226" s="18" t="s">
        <v>254</v>
      </c>
      <c r="D226" s="18"/>
      <c r="E226" s="13" t="s">
        <v>277</v>
      </c>
      <c r="F226" s="13" t="s">
        <v>278</v>
      </c>
      <c r="G226" s="5" t="s">
        <v>278</v>
      </c>
      <c r="H226" s="5" t="s">
        <v>278</v>
      </c>
      <c r="I226" s="5"/>
      <c r="J226" s="11" t="s">
        <v>69</v>
      </c>
      <c r="K226" s="11" t="s">
        <v>64</v>
      </c>
      <c r="L226" s="13">
        <f t="shared" si="2"/>
        <v>225</v>
      </c>
    </row>
    <row r="227" spans="1:12" x14ac:dyDescent="0.25">
      <c r="A227" s="29" t="s">
        <v>275</v>
      </c>
      <c r="B227" s="18" t="s">
        <v>35</v>
      </c>
      <c r="C227" s="18" t="s">
        <v>223</v>
      </c>
      <c r="D227" s="18"/>
      <c r="E227" s="13" t="s">
        <v>277</v>
      </c>
      <c r="F227" s="13" t="s">
        <v>278</v>
      </c>
      <c r="G227" s="5" t="s">
        <v>278</v>
      </c>
      <c r="H227" s="5" t="s">
        <v>278</v>
      </c>
      <c r="I227" s="5"/>
      <c r="J227" s="11" t="s">
        <v>69</v>
      </c>
      <c r="K227" s="11" t="s">
        <v>62</v>
      </c>
      <c r="L227" s="13">
        <f t="shared" si="1"/>
        <v>226</v>
      </c>
    </row>
    <row r="228" spans="1:12" x14ac:dyDescent="0.25">
      <c r="A228" s="29" t="s">
        <v>275</v>
      </c>
      <c r="B228" s="18" t="s">
        <v>35</v>
      </c>
      <c r="C228" s="18" t="s">
        <v>224</v>
      </c>
      <c r="D228" s="18"/>
      <c r="E228" s="13" t="s">
        <v>277</v>
      </c>
      <c r="F228" s="13" t="s">
        <v>278</v>
      </c>
      <c r="G228" s="5" t="s">
        <v>278</v>
      </c>
      <c r="H228" s="5" t="s">
        <v>278</v>
      </c>
      <c r="I228" s="5"/>
      <c r="J228" s="11" t="s">
        <v>69</v>
      </c>
      <c r="K228" s="11" t="s">
        <v>62</v>
      </c>
      <c r="L228" s="13">
        <f t="shared" si="1"/>
        <v>227</v>
      </c>
    </row>
    <row r="229" spans="1:12" x14ac:dyDescent="0.25">
      <c r="A229" s="29" t="s">
        <v>275</v>
      </c>
      <c r="B229" s="18" t="s">
        <v>35</v>
      </c>
      <c r="C229" s="18" t="s">
        <v>225</v>
      </c>
      <c r="D229" s="18"/>
      <c r="E229" s="13" t="s">
        <v>277</v>
      </c>
      <c r="F229" s="13" t="s">
        <v>278</v>
      </c>
      <c r="G229" s="5" t="s">
        <v>278</v>
      </c>
      <c r="H229" s="5" t="s">
        <v>278</v>
      </c>
      <c r="I229" s="5"/>
      <c r="J229" s="11" t="s">
        <v>76</v>
      </c>
      <c r="K229" s="11" t="s">
        <v>62</v>
      </c>
      <c r="L229" s="13">
        <f t="shared" si="1"/>
        <v>228</v>
      </c>
    </row>
    <row r="230" spans="1:12" x14ac:dyDescent="0.25">
      <c r="A230" s="29" t="s">
        <v>275</v>
      </c>
      <c r="B230" s="18" t="s">
        <v>35</v>
      </c>
      <c r="C230" s="18" t="s">
        <v>226</v>
      </c>
      <c r="D230" s="18"/>
      <c r="E230" s="13" t="s">
        <v>277</v>
      </c>
      <c r="F230" s="13" t="s">
        <v>278</v>
      </c>
      <c r="G230" s="5" t="s">
        <v>278</v>
      </c>
      <c r="H230" s="5" t="s">
        <v>278</v>
      </c>
      <c r="I230" s="5"/>
      <c r="J230" s="11" t="s">
        <v>69</v>
      </c>
      <c r="K230" s="11" t="s">
        <v>62</v>
      </c>
      <c r="L230" s="13">
        <f t="shared" si="1"/>
        <v>229</v>
      </c>
    </row>
    <row r="231" spans="1:12" x14ac:dyDescent="0.25">
      <c r="A231" s="29" t="s">
        <v>275</v>
      </c>
      <c r="B231" s="18" t="s">
        <v>36</v>
      </c>
      <c r="C231" s="18" t="s">
        <v>227</v>
      </c>
      <c r="D231" s="18"/>
      <c r="E231" s="13" t="s">
        <v>277</v>
      </c>
      <c r="F231" s="13" t="s">
        <v>278</v>
      </c>
      <c r="G231" s="5" t="s">
        <v>278</v>
      </c>
      <c r="H231" s="5" t="s">
        <v>278</v>
      </c>
      <c r="I231" s="5"/>
      <c r="J231" s="11" t="s">
        <v>69</v>
      </c>
      <c r="K231" s="11" t="s">
        <v>106</v>
      </c>
      <c r="L231" s="13">
        <f t="shared" si="1"/>
        <v>230</v>
      </c>
    </row>
    <row r="232" spans="1:12" x14ac:dyDescent="0.25">
      <c r="A232" s="29" t="s">
        <v>275</v>
      </c>
      <c r="B232" s="18" t="s">
        <v>36</v>
      </c>
      <c r="C232" s="18" t="s">
        <v>228</v>
      </c>
      <c r="D232" s="18"/>
      <c r="E232" s="13" t="s">
        <v>277</v>
      </c>
      <c r="F232" s="13" t="s">
        <v>278</v>
      </c>
      <c r="G232" s="5" t="s">
        <v>278</v>
      </c>
      <c r="H232" s="5" t="s">
        <v>278</v>
      </c>
      <c r="I232" s="5"/>
      <c r="J232" s="11" t="s">
        <v>69</v>
      </c>
      <c r="K232" s="11" t="s">
        <v>106</v>
      </c>
      <c r="L232" s="13">
        <f t="shared" si="1"/>
        <v>231</v>
      </c>
    </row>
    <row r="233" spans="1:12" x14ac:dyDescent="0.25">
      <c r="A233" s="29" t="s">
        <v>275</v>
      </c>
      <c r="B233" s="18" t="s">
        <v>36</v>
      </c>
      <c r="C233" s="18" t="s">
        <v>229</v>
      </c>
      <c r="D233" s="18"/>
      <c r="E233" s="13" t="s">
        <v>277</v>
      </c>
      <c r="F233" s="13" t="s">
        <v>278</v>
      </c>
      <c r="G233" s="5" t="s">
        <v>278</v>
      </c>
      <c r="H233" s="5" t="s">
        <v>278</v>
      </c>
      <c r="I233" s="5"/>
      <c r="J233" s="11" t="s">
        <v>76</v>
      </c>
      <c r="K233" s="11" t="s">
        <v>106</v>
      </c>
      <c r="L233" s="13">
        <f t="shared" si="1"/>
        <v>232</v>
      </c>
    </row>
    <row r="234" spans="1:12" x14ac:dyDescent="0.25">
      <c r="A234" s="29" t="s">
        <v>275</v>
      </c>
      <c r="B234" s="18" t="s">
        <v>36</v>
      </c>
      <c r="C234" s="18" t="s">
        <v>230</v>
      </c>
      <c r="D234" s="18"/>
      <c r="E234" s="13" t="s">
        <v>277</v>
      </c>
      <c r="F234" s="13" t="s">
        <v>278</v>
      </c>
      <c r="G234" s="5" t="s">
        <v>278</v>
      </c>
      <c r="H234" s="5" t="s">
        <v>278</v>
      </c>
      <c r="I234" s="5"/>
      <c r="J234" s="11" t="s">
        <v>69</v>
      </c>
      <c r="K234" s="11" t="s">
        <v>106</v>
      </c>
      <c r="L234" s="13">
        <f t="shared" si="1"/>
        <v>233</v>
      </c>
    </row>
  </sheetData>
  <autoFilter ref="A1:L234" xr:uid="{00000000-0009-0000-0000-000002000000}"/>
  <phoneticPr fontId="12" type="noConversion"/>
  <conditionalFormatting sqref="A116:A169 I168:L234 A2:G2 J2:L20 H2:I22 A3:F6 A7:B8 D7:F8 A9:G22 K21:L22 K27:L28 I27:I34 J29:L32 K33:L34 A108:F109 A161:F161 J161:L166 I161:I167 B162:F162 B163:G169 K167:L167 A170:G234">
    <cfRule type="expression" dxfId="236" priority="440" stopIfTrue="1">
      <formula>$K2="None"</formula>
    </cfRule>
  </conditionalFormatting>
  <conditionalFormatting sqref="A176">
    <cfRule type="expression" dxfId="235" priority="450" stopIfTrue="1">
      <formula>#REF!="blue"</formula>
    </cfRule>
    <cfRule type="expression" dxfId="234" priority="449" stopIfTrue="1">
      <formula>#REF!="orange"</formula>
    </cfRule>
    <cfRule type="expression" dxfId="233" priority="448" stopIfTrue="1">
      <formula>#REF!="None"</formula>
    </cfRule>
    <cfRule type="expression" dxfId="232" priority="451" stopIfTrue="1">
      <formula>#REF!="yellow"</formula>
    </cfRule>
  </conditionalFormatting>
  <conditionalFormatting sqref="A38:B39">
    <cfRule type="expression" dxfId="231" priority="282" stopIfTrue="1">
      <formula>$K38="orange"</formula>
    </cfRule>
    <cfRule type="expression" dxfId="230" priority="283" stopIfTrue="1">
      <formula>$K38="blue"</formula>
    </cfRule>
    <cfRule type="expression" dxfId="229" priority="284" stopIfTrue="1">
      <formula>$K38="yellow"</formula>
    </cfRule>
  </conditionalFormatting>
  <conditionalFormatting sqref="A103:B104">
    <cfRule type="expression" dxfId="228" priority="226" stopIfTrue="1">
      <formula>$K103="orange"</formula>
    </cfRule>
    <cfRule type="expression" dxfId="227" priority="227" stopIfTrue="1">
      <formula>$K103="blue"</formula>
    </cfRule>
    <cfRule type="expression" dxfId="226" priority="228" stopIfTrue="1">
      <formula>$K103="yellow"</formula>
    </cfRule>
  </conditionalFormatting>
  <conditionalFormatting sqref="A2:G2 J2:L20 H2:I22 A3:F6 A7:B8 D7:F8 A9:G22 K21:L22 K27:L28 I27:I34 J29:L32 K33:L34 A108:F109 A116:A169 B161:F162 J161:L166 I161:I167 B163:G169 K167:L167 I168:L234 A170:G234">
    <cfRule type="expression" dxfId="225" priority="443" stopIfTrue="1">
      <formula>$K2="yellow"</formula>
    </cfRule>
    <cfRule type="expression" dxfId="224" priority="442" stopIfTrue="1">
      <formula>$K2="blue"</formula>
    </cfRule>
    <cfRule type="expression" dxfId="223" priority="441" stopIfTrue="1">
      <formula>$K2="orange"</formula>
    </cfRule>
  </conditionalFormatting>
  <conditionalFormatting sqref="A27:G37 D38:G38 E38:H42 A43:L46 A49:H49 A100:G102 D103:G103 E103:I107">
    <cfRule type="expression" dxfId="222" priority="324" stopIfTrue="1">
      <formula>$K27="yellow"</formula>
    </cfRule>
    <cfRule type="expression" dxfId="221" priority="323" stopIfTrue="1">
      <formula>$K27="blue"</formula>
    </cfRule>
  </conditionalFormatting>
  <conditionalFormatting sqref="A27:G42">
    <cfRule type="expression" dxfId="220" priority="1" stopIfTrue="1">
      <formula>$K27="None"</formula>
    </cfRule>
  </conditionalFormatting>
  <conditionalFormatting sqref="A40:G42">
    <cfRule type="expression" dxfId="219" priority="4" stopIfTrue="1">
      <formula>$K40="yellow"</formula>
    </cfRule>
    <cfRule type="expression" dxfId="218" priority="3" stopIfTrue="1">
      <formula>$K40="blue"</formula>
    </cfRule>
    <cfRule type="expression" dxfId="217" priority="2" stopIfTrue="1">
      <formula>$K40="orange"</formula>
    </cfRule>
  </conditionalFormatting>
  <conditionalFormatting sqref="A47:G47 E47:H48">
    <cfRule type="expression" dxfId="216" priority="307" stopIfTrue="1">
      <formula>$K47="blue"</formula>
    </cfRule>
    <cfRule type="expression" dxfId="215" priority="308" stopIfTrue="1">
      <formula>$K47="yellow"</formula>
    </cfRule>
    <cfRule type="expression" dxfId="214" priority="305" stopIfTrue="1">
      <formula>$K47="None"</formula>
    </cfRule>
    <cfRule type="expression" dxfId="213" priority="306" stopIfTrue="1">
      <formula>$K47="orange"</formula>
    </cfRule>
  </conditionalFormatting>
  <conditionalFormatting sqref="A50:G50 H50:H51 E51:G51">
    <cfRule type="expression" dxfId="212" priority="289" stopIfTrue="1">
      <formula>$K50="None"</formula>
    </cfRule>
    <cfRule type="expression" dxfId="211" priority="290" stopIfTrue="1">
      <formula>$K50="orange"</formula>
    </cfRule>
    <cfRule type="expression" dxfId="210" priority="291" stopIfTrue="1">
      <formula>$K50="blue"</formula>
    </cfRule>
    <cfRule type="expression" dxfId="209" priority="292" stopIfTrue="1">
      <formula>$K50="yellow"</formula>
    </cfRule>
  </conditionalFormatting>
  <conditionalFormatting sqref="A100:G107">
    <cfRule type="expression" dxfId="208" priority="113" stopIfTrue="1">
      <formula>$K100="None"</formula>
    </cfRule>
  </conditionalFormatting>
  <conditionalFormatting sqref="A105:G107">
    <cfRule type="expression" dxfId="207" priority="164" stopIfTrue="1">
      <formula>$K105="yellow"</formula>
    </cfRule>
    <cfRule type="expression" dxfId="206" priority="163" stopIfTrue="1">
      <formula>$K105="blue"</formula>
    </cfRule>
    <cfRule type="expression" dxfId="205" priority="162" stopIfTrue="1">
      <formula>$K105="orange"</formula>
    </cfRule>
  </conditionalFormatting>
  <conditionalFormatting sqref="A23:L26 H27:H38 I35:L38 H49:L49 H100:L103 I108:L118 H108:H234 A110:G116 B117:G160 I119:I121 K119:L121 I122:L160">
    <cfRule type="expression" dxfId="204" priority="357" stopIfTrue="1">
      <formula>$K23="orange"</formula>
    </cfRule>
    <cfRule type="expression" dxfId="203" priority="358" stopIfTrue="1">
      <formula>$K23="blue"</formula>
    </cfRule>
    <cfRule type="expression" dxfId="202" priority="359" stopIfTrue="1">
      <formula>$K23="yellow"</formula>
    </cfRule>
  </conditionalFormatting>
  <conditionalFormatting sqref="A48:L48">
    <cfRule type="expression" dxfId="201" priority="313" stopIfTrue="1">
      <formula>$K48="None"</formula>
    </cfRule>
    <cfRule type="expression" dxfId="200" priority="314" stopIfTrue="1">
      <formula>$K48="orange"</formula>
    </cfRule>
    <cfRule type="expression" dxfId="199" priority="315" stopIfTrue="1">
      <formula>$K48="blue"</formula>
    </cfRule>
    <cfRule type="expression" dxfId="198" priority="316" stopIfTrue="1">
      <formula>$K48="yellow"</formula>
    </cfRule>
  </conditionalFormatting>
  <conditionalFormatting sqref="A51:L54">
    <cfRule type="expression" dxfId="197" priority="300" stopIfTrue="1">
      <formula>$K51="yellow"</formula>
    </cfRule>
    <cfRule type="expression" dxfId="196" priority="299" stopIfTrue="1">
      <formula>$K51="blue"</formula>
    </cfRule>
    <cfRule type="expression" dxfId="195" priority="298" stopIfTrue="1">
      <formula>$K51="orange"</formula>
    </cfRule>
    <cfRule type="expression" dxfId="194" priority="297" stopIfTrue="1">
      <formula>$K51="None"</formula>
    </cfRule>
  </conditionalFormatting>
  <conditionalFormatting sqref="A55:L59">
    <cfRule type="expression" dxfId="193" priority="25" stopIfTrue="1">
      <formula>$K55="None"</formula>
    </cfRule>
    <cfRule type="expression" dxfId="192" priority="28" stopIfTrue="1">
      <formula>$K55="yellow"</formula>
    </cfRule>
    <cfRule type="expression" dxfId="191" priority="26" stopIfTrue="1">
      <formula>$K55="orange"</formula>
    </cfRule>
    <cfRule type="expression" dxfId="190" priority="27" stopIfTrue="1">
      <formula>$K55="blue"</formula>
    </cfRule>
  </conditionalFormatting>
  <conditionalFormatting sqref="A60:L67">
    <cfRule type="expression" dxfId="189" priority="44" stopIfTrue="1">
      <formula>$K60="yellow"</formula>
    </cfRule>
    <cfRule type="expression" dxfId="188" priority="43" stopIfTrue="1">
      <formula>$K60="blue"</formula>
    </cfRule>
    <cfRule type="expression" dxfId="187" priority="42" stopIfTrue="1">
      <formula>$K60="orange"</formula>
    </cfRule>
    <cfRule type="expression" dxfId="186" priority="41" stopIfTrue="1">
      <formula>$K60="None"</formula>
    </cfRule>
  </conditionalFormatting>
  <conditionalFormatting sqref="A68:L75">
    <cfRule type="expression" dxfId="185" priority="60" stopIfTrue="1">
      <formula>$K68="yellow"</formula>
    </cfRule>
    <cfRule type="expression" dxfId="184" priority="59" stopIfTrue="1">
      <formula>$K68="blue"</formula>
    </cfRule>
    <cfRule type="expression" dxfId="183" priority="58" stopIfTrue="1">
      <formula>$K68="orange"</formula>
    </cfRule>
    <cfRule type="expression" dxfId="182" priority="57" stopIfTrue="1">
      <formula>$K68="None"</formula>
    </cfRule>
  </conditionalFormatting>
  <conditionalFormatting sqref="A76:L83">
    <cfRule type="expression" dxfId="181" priority="73" stopIfTrue="1">
      <formula>$K76="None"</formula>
    </cfRule>
    <cfRule type="expression" dxfId="180" priority="74" stopIfTrue="1">
      <formula>$K76="orange"</formula>
    </cfRule>
    <cfRule type="expression" dxfId="179" priority="75" stopIfTrue="1">
      <formula>$K76="blue"</formula>
    </cfRule>
    <cfRule type="expression" dxfId="178" priority="76" stopIfTrue="1">
      <formula>$K76="yellow"</formula>
    </cfRule>
  </conditionalFormatting>
  <conditionalFormatting sqref="A84:L91">
    <cfRule type="expression" dxfId="177" priority="90" stopIfTrue="1">
      <formula>$K84="orange"</formula>
    </cfRule>
    <cfRule type="expression" dxfId="176" priority="92" stopIfTrue="1">
      <formula>$K84="yellow"</formula>
    </cfRule>
    <cfRule type="expression" dxfId="175" priority="91" stopIfTrue="1">
      <formula>$K84="blue"</formula>
    </cfRule>
    <cfRule type="expression" dxfId="174" priority="89" stopIfTrue="1">
      <formula>$K84="None"</formula>
    </cfRule>
  </conditionalFormatting>
  <conditionalFormatting sqref="A92:L99">
    <cfRule type="expression" dxfId="173" priority="105" stopIfTrue="1">
      <formula>$K92="None"</formula>
    </cfRule>
    <cfRule type="expression" dxfId="172" priority="107" stopIfTrue="1">
      <formula>$K92="blue"</formula>
    </cfRule>
    <cfRule type="expression" dxfId="171" priority="108" stopIfTrue="1">
      <formula>$K92="yellow"</formula>
    </cfRule>
    <cfRule type="expression" dxfId="170" priority="106" stopIfTrue="1">
      <formula>$K92="orange"</formula>
    </cfRule>
  </conditionalFormatting>
  <conditionalFormatting sqref="C8">
    <cfRule type="expression" dxfId="169" priority="531" stopIfTrue="1">
      <formula>$K7="yellow"</formula>
    </cfRule>
    <cfRule type="expression" dxfId="168" priority="529" stopIfTrue="1">
      <formula>$K7="orange"</formula>
    </cfRule>
    <cfRule type="expression" dxfId="167" priority="525" stopIfTrue="1">
      <formula>$K7="None"</formula>
    </cfRule>
    <cfRule type="expression" dxfId="166" priority="530" stopIfTrue="1">
      <formula>$K7="blue"</formula>
    </cfRule>
  </conditionalFormatting>
  <conditionalFormatting sqref="C38">
    <cfRule type="expression" dxfId="165" priority="10" stopIfTrue="1">
      <formula>$K38="orange"</formula>
    </cfRule>
    <cfRule type="expression" dxfId="164" priority="11" stopIfTrue="1">
      <formula>$K38="blue"</formula>
    </cfRule>
    <cfRule type="expression" dxfId="163" priority="12" stopIfTrue="1">
      <formula>$K38="yellow"</formula>
    </cfRule>
  </conditionalFormatting>
  <conditionalFormatting sqref="C103">
    <cfRule type="expression" dxfId="162" priority="114" stopIfTrue="1">
      <formula>$K103="orange"</formula>
    </cfRule>
    <cfRule type="expression" dxfId="161" priority="115" stopIfTrue="1">
      <formula>$K103="blue"</formula>
    </cfRule>
    <cfRule type="expression" dxfId="160" priority="116" stopIfTrue="1">
      <formula>$K103="yellow"</formula>
    </cfRule>
  </conditionalFormatting>
  <conditionalFormatting sqref="C39:G39">
    <cfRule type="expression" dxfId="159" priority="16" stopIfTrue="1">
      <formula>$K39="yellow"</formula>
    </cfRule>
    <cfRule type="expression" dxfId="158" priority="15" stopIfTrue="1">
      <formula>$K39="blue"</formula>
    </cfRule>
    <cfRule type="expression" dxfId="157" priority="14" stopIfTrue="1">
      <formula>$K39="orange"</formula>
    </cfRule>
  </conditionalFormatting>
  <conditionalFormatting sqref="C104:G104">
    <cfRule type="expression" dxfId="156" priority="120" stopIfTrue="1">
      <formula>$K104="yellow"</formula>
    </cfRule>
    <cfRule type="expression" dxfId="155" priority="119" stopIfTrue="1">
      <formula>$K104="blue"</formula>
    </cfRule>
    <cfRule type="expression" dxfId="154" priority="118" stopIfTrue="1">
      <formula>$K104="orange"</formula>
    </cfRule>
  </conditionalFormatting>
  <conditionalFormatting sqref="D38:G38 E38:H42 A43:L46 A49:H49 D103:G103 E103:I107 A100:G102 A27:G37">
    <cfRule type="expression" dxfId="153" priority="322" stopIfTrue="1">
      <formula>$K27="orange"</formula>
    </cfRule>
  </conditionalFormatting>
  <conditionalFormatting sqref="E38:H42 E103:I107 A43:L46 A49:H49">
    <cfRule type="expression" dxfId="152" priority="321" stopIfTrue="1">
      <formula>$K38="None"</formula>
    </cfRule>
  </conditionalFormatting>
  <conditionalFormatting sqref="E56:H59">
    <cfRule type="expression" dxfId="151" priority="19" stopIfTrue="1">
      <formula>$K56="blue"</formula>
    </cfRule>
    <cfRule type="expression" dxfId="150" priority="20" stopIfTrue="1">
      <formula>$K56="yellow"</formula>
    </cfRule>
    <cfRule type="expression" dxfId="149" priority="17" stopIfTrue="1">
      <formula>$K56="None"</formula>
    </cfRule>
    <cfRule type="expression" dxfId="148" priority="18" stopIfTrue="1">
      <formula>$K56="orange"</formula>
    </cfRule>
  </conditionalFormatting>
  <conditionalFormatting sqref="E64:H67">
    <cfRule type="expression" dxfId="147" priority="33" stopIfTrue="1">
      <formula>$K64="None"</formula>
    </cfRule>
    <cfRule type="expression" dxfId="146" priority="34" stopIfTrue="1">
      <formula>$K64="orange"</formula>
    </cfRule>
    <cfRule type="expression" dxfId="145" priority="35" stopIfTrue="1">
      <formula>$K64="blue"</formula>
    </cfRule>
    <cfRule type="expression" dxfId="144" priority="36" stopIfTrue="1">
      <formula>$K64="yellow"</formula>
    </cfRule>
  </conditionalFormatting>
  <conditionalFormatting sqref="E72:H75">
    <cfRule type="expression" dxfId="143" priority="51" stopIfTrue="1">
      <formula>$K72="blue"</formula>
    </cfRule>
    <cfRule type="expression" dxfId="142" priority="52" stopIfTrue="1">
      <formula>$K72="yellow"</formula>
    </cfRule>
    <cfRule type="expression" dxfId="141" priority="49" stopIfTrue="1">
      <formula>$K72="None"</formula>
    </cfRule>
    <cfRule type="expression" dxfId="140" priority="50" stopIfTrue="1">
      <formula>$K72="orange"</formula>
    </cfRule>
  </conditionalFormatting>
  <conditionalFormatting sqref="E80:H83">
    <cfRule type="expression" dxfId="139" priority="67" stopIfTrue="1">
      <formula>$K80="blue"</formula>
    </cfRule>
    <cfRule type="expression" dxfId="138" priority="68" stopIfTrue="1">
      <formula>$K80="yellow"</formula>
    </cfRule>
    <cfRule type="expression" dxfId="137" priority="66" stopIfTrue="1">
      <formula>$K80="orange"</formula>
    </cfRule>
    <cfRule type="expression" dxfId="136" priority="65" stopIfTrue="1">
      <formula>$K80="None"</formula>
    </cfRule>
  </conditionalFormatting>
  <conditionalFormatting sqref="E88:H91">
    <cfRule type="expression" dxfId="135" priority="81" stopIfTrue="1">
      <formula>$K88="None"</formula>
    </cfRule>
    <cfRule type="expression" dxfId="134" priority="82" stopIfTrue="1">
      <formula>$K88="orange"</formula>
    </cfRule>
    <cfRule type="expression" dxfId="133" priority="83" stopIfTrue="1">
      <formula>$K88="blue"</formula>
    </cfRule>
    <cfRule type="expression" dxfId="132" priority="84" stopIfTrue="1">
      <formula>$K88="yellow"</formula>
    </cfRule>
  </conditionalFormatting>
  <conditionalFormatting sqref="E96:H99">
    <cfRule type="expression" dxfId="131" priority="100" stopIfTrue="1">
      <formula>$K96="yellow"</formula>
    </cfRule>
    <cfRule type="expression" dxfId="130" priority="99" stopIfTrue="1">
      <formula>$K96="blue"</formula>
    </cfRule>
    <cfRule type="expression" dxfId="129" priority="98" stopIfTrue="1">
      <formula>$K96="orange"</formula>
    </cfRule>
    <cfRule type="expression" dxfId="128" priority="97" stopIfTrue="1">
      <formula>$K96="None"</formula>
    </cfRule>
  </conditionalFormatting>
  <conditionalFormatting sqref="H27:H38 H49:L49 H100:L103 A23:L26 I35:L38 I108:L118 H108:H234 A110:G116 B117:G160 I119:I121 K119:L121 I122:L160">
    <cfRule type="expression" dxfId="127" priority="356" stopIfTrue="1">
      <formula>$K23="None"</formula>
    </cfRule>
  </conditionalFormatting>
  <conditionalFormatting sqref="H55">
    <cfRule type="expression" dxfId="126" priority="29" stopIfTrue="1">
      <formula>$K55="None"</formula>
    </cfRule>
    <cfRule type="expression" dxfId="125" priority="30" stopIfTrue="1">
      <formula>$K55="orange"</formula>
    </cfRule>
    <cfRule type="expression" dxfId="124" priority="31" stopIfTrue="1">
      <formula>$K55="blue"</formula>
    </cfRule>
    <cfRule type="expression" dxfId="123" priority="32" stopIfTrue="1">
      <formula>$K55="yellow"</formula>
    </cfRule>
  </conditionalFormatting>
  <conditionalFormatting sqref="H63">
    <cfRule type="expression" dxfId="122" priority="47" stopIfTrue="1">
      <formula>$K63="blue"</formula>
    </cfRule>
    <cfRule type="expression" dxfId="121" priority="48" stopIfTrue="1">
      <formula>$K63="yellow"</formula>
    </cfRule>
    <cfRule type="expression" dxfId="120" priority="46" stopIfTrue="1">
      <formula>$K63="orange"</formula>
    </cfRule>
    <cfRule type="expression" dxfId="119" priority="45" stopIfTrue="1">
      <formula>$K63="None"</formula>
    </cfRule>
  </conditionalFormatting>
  <conditionalFormatting sqref="H71">
    <cfRule type="expression" dxfId="118" priority="61" stopIfTrue="1">
      <formula>$K71="None"</formula>
    </cfRule>
    <cfRule type="expression" dxfId="117" priority="64" stopIfTrue="1">
      <formula>$K71="yellow"</formula>
    </cfRule>
    <cfRule type="expression" dxfId="116" priority="63" stopIfTrue="1">
      <formula>$K71="blue"</formula>
    </cfRule>
    <cfRule type="expression" dxfId="115" priority="62" stopIfTrue="1">
      <formula>$K71="orange"</formula>
    </cfRule>
  </conditionalFormatting>
  <conditionalFormatting sqref="H79">
    <cfRule type="expression" dxfId="114" priority="77" stopIfTrue="1">
      <formula>$K79="None"</formula>
    </cfRule>
    <cfRule type="expression" dxfId="113" priority="80" stopIfTrue="1">
      <formula>$K79="yellow"</formula>
    </cfRule>
    <cfRule type="expression" dxfId="112" priority="79" stopIfTrue="1">
      <formula>$K79="blue"</formula>
    </cfRule>
    <cfRule type="expression" dxfId="111" priority="78" stopIfTrue="1">
      <formula>$K79="orange"</formula>
    </cfRule>
  </conditionalFormatting>
  <conditionalFormatting sqref="H87">
    <cfRule type="expression" dxfId="110" priority="93" stopIfTrue="1">
      <formula>$K87="None"</formula>
    </cfRule>
    <cfRule type="expression" dxfId="109" priority="94" stopIfTrue="1">
      <formula>$K87="orange"</formula>
    </cfRule>
    <cfRule type="expression" dxfId="108" priority="96" stopIfTrue="1">
      <formula>$K87="yellow"</formula>
    </cfRule>
    <cfRule type="expression" dxfId="107" priority="95" stopIfTrue="1">
      <formula>$K87="blue"</formula>
    </cfRule>
  </conditionalFormatting>
  <conditionalFormatting sqref="H95">
    <cfRule type="expression" dxfId="106" priority="109" stopIfTrue="1">
      <formula>$K95="None"</formula>
    </cfRule>
    <cfRule type="expression" dxfId="105" priority="110" stopIfTrue="1">
      <formula>$K95="orange"</formula>
    </cfRule>
    <cfRule type="expression" dxfId="104" priority="111" stopIfTrue="1">
      <formula>$K95="blue"</formula>
    </cfRule>
    <cfRule type="expression" dxfId="103" priority="112" stopIfTrue="1">
      <formula>$K95="yellow"</formula>
    </cfRule>
  </conditionalFormatting>
  <conditionalFormatting sqref="H39:L42">
    <cfRule type="expression" dxfId="102" priority="288" stopIfTrue="1">
      <formula>$K39="yellow"</formula>
    </cfRule>
    <cfRule type="expression" dxfId="101" priority="287" stopIfTrue="1">
      <formula>$K39="blue"</formula>
    </cfRule>
    <cfRule type="expression" dxfId="100" priority="286" stopIfTrue="1">
      <formula>$K39="orange"</formula>
    </cfRule>
    <cfRule type="expression" dxfId="99" priority="285" stopIfTrue="1">
      <formula>$K39="None"</formula>
    </cfRule>
  </conditionalFormatting>
  <conditionalFormatting sqref="H47:L47">
    <cfRule type="expression" dxfId="98" priority="310" stopIfTrue="1">
      <formula>$K47="orange"</formula>
    </cfRule>
    <cfRule type="expression" dxfId="97" priority="311" stopIfTrue="1">
      <formula>$K47="blue"</formula>
    </cfRule>
    <cfRule type="expression" dxfId="96" priority="312" stopIfTrue="1">
      <formula>$K47="yellow"</formula>
    </cfRule>
    <cfRule type="expression" dxfId="95" priority="309" stopIfTrue="1">
      <formula>$K47="None"</formula>
    </cfRule>
  </conditionalFormatting>
  <conditionalFormatting sqref="H50:L50">
    <cfRule type="expression" dxfId="94" priority="296" stopIfTrue="1">
      <formula>$K50="yellow"</formula>
    </cfRule>
    <cfRule type="expression" dxfId="93" priority="294" stopIfTrue="1">
      <formula>$K50="orange"</formula>
    </cfRule>
    <cfRule type="expression" dxfId="92" priority="295" stopIfTrue="1">
      <formula>$K50="blue"</formula>
    </cfRule>
    <cfRule type="expression" dxfId="91" priority="293" stopIfTrue="1">
      <formula>$K50="None"</formula>
    </cfRule>
  </conditionalFormatting>
  <conditionalFormatting sqref="H104:L107">
    <cfRule type="expression" dxfId="90" priority="232" stopIfTrue="1">
      <formula>$K104="yellow"</formula>
    </cfRule>
    <cfRule type="expression" dxfId="89" priority="231" stopIfTrue="1">
      <formula>$K104="blue"</formula>
    </cfRule>
    <cfRule type="expression" dxfId="88" priority="230" stopIfTrue="1">
      <formula>$K104="orange"</formula>
    </cfRule>
    <cfRule type="expression" dxfId="87" priority="229" stopIfTrue="1">
      <formula>$K104="None"</formula>
    </cfRule>
  </conditionalFormatting>
  <conditionalFormatting sqref="J21:J22">
    <cfRule type="expression" dxfId="86" priority="336" stopIfTrue="1">
      <formula>$K17="yellow"</formula>
    </cfRule>
    <cfRule type="expression" dxfId="85" priority="335" stopIfTrue="1">
      <formula>$K17="blue"</formula>
    </cfRule>
    <cfRule type="expression" dxfId="84" priority="334" stopIfTrue="1">
      <formula>$K17="orange"</formula>
    </cfRule>
    <cfRule type="expression" dxfId="83" priority="333" stopIfTrue="1">
      <formula>$K17="None"</formula>
    </cfRule>
  </conditionalFormatting>
  <conditionalFormatting sqref="J27:J28">
    <cfRule type="expression" dxfId="82" priority="517" stopIfTrue="1">
      <formula>$K23="None"</formula>
    </cfRule>
    <cfRule type="expression" dxfId="81" priority="521" stopIfTrue="1">
      <formula>$K23="orange"</formula>
    </cfRule>
    <cfRule type="expression" dxfId="80" priority="522" stopIfTrue="1">
      <formula>$K23="blue"</formula>
    </cfRule>
    <cfRule type="expression" dxfId="79" priority="523" stopIfTrue="1">
      <formula>$K23="yellow"</formula>
    </cfRule>
  </conditionalFormatting>
  <conditionalFormatting sqref="J33:J34">
    <cfRule type="expression" dxfId="78" priority="332" stopIfTrue="1">
      <formula>$K29="yellow"</formula>
    </cfRule>
    <cfRule type="expression" dxfId="77" priority="331" stopIfTrue="1">
      <formula>$K29="blue"</formula>
    </cfRule>
    <cfRule type="expression" dxfId="76" priority="330" stopIfTrue="1">
      <formula>$K29="orange"</formula>
    </cfRule>
    <cfRule type="expression" dxfId="75" priority="329" stopIfTrue="1">
      <formula>$K29="None"</formula>
    </cfRule>
  </conditionalFormatting>
  <conditionalFormatting sqref="J119:J121">
    <cfRule type="expression" dxfId="74" priority="512" stopIfTrue="1">
      <formula>$K158="None"</formula>
    </cfRule>
    <cfRule type="expression" dxfId="73" priority="513" stopIfTrue="1">
      <formula>$K158="orange"</formula>
    </cfRule>
    <cfRule type="expression" dxfId="72" priority="514" stopIfTrue="1">
      <formula>$K158="blue"</formula>
    </cfRule>
    <cfRule type="expression" dxfId="71" priority="515" stopIfTrue="1">
      <formula>$K158="yellow"</formula>
    </cfRule>
  </conditionalFormatting>
  <conditionalFormatting sqref="J174:J175">
    <cfRule type="expression" dxfId="70" priority="346" stopIfTrue="1">
      <formula>$K174="blue"</formula>
    </cfRule>
    <cfRule type="expression" dxfId="69" priority="347" stopIfTrue="1">
      <formula>$K174="yellow"</formula>
    </cfRule>
    <cfRule type="expression" dxfId="68" priority="345" stopIfTrue="1">
      <formula>$K174="orange"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zoomScale="140" zoomScaleNormal="14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5" sqref="F15"/>
    </sheetView>
  </sheetViews>
  <sheetFormatPr baseColWidth="10" defaultColWidth="10.83203125" defaultRowHeight="17" x14ac:dyDescent="0.25"/>
  <cols>
    <col min="1" max="1" width="5.83203125" style="14" bestFit="1" customWidth="1"/>
    <col min="2" max="2" width="21.1640625" style="1" bestFit="1" customWidth="1"/>
    <col min="3" max="3" width="29.6640625" style="1" bestFit="1" customWidth="1"/>
    <col min="4" max="4" width="22.5" style="1" bestFit="1" customWidth="1"/>
    <col min="5" max="5" width="14" style="4" bestFit="1" customWidth="1"/>
    <col min="6" max="9" width="9.6640625" style="4" bestFit="1" customWidth="1"/>
    <col min="10" max="10" width="49" style="3" customWidth="1"/>
    <col min="11" max="11" width="8.1640625" style="3" bestFit="1" customWidth="1"/>
    <col min="12" max="12" width="7" style="14" bestFit="1" customWidth="1"/>
    <col min="13" max="16384" width="10.83203125" style="3"/>
  </cols>
  <sheetData>
    <row r="1" spans="1:12" s="12" customFormat="1" ht="17" customHeight="1" thickBot="1" x14ac:dyDescent="0.3">
      <c r="A1" s="17" t="s">
        <v>274</v>
      </c>
      <c r="B1" s="30" t="s">
        <v>0</v>
      </c>
      <c r="C1" s="31" t="s">
        <v>82</v>
      </c>
      <c r="D1" s="32" t="s">
        <v>105</v>
      </c>
      <c r="E1" s="33" t="s">
        <v>41</v>
      </c>
      <c r="F1" s="33" t="s">
        <v>42</v>
      </c>
      <c r="G1" s="33" t="s">
        <v>51</v>
      </c>
      <c r="H1" s="33" t="s">
        <v>52</v>
      </c>
      <c r="I1" s="33" t="s">
        <v>406</v>
      </c>
      <c r="J1" s="34" t="s">
        <v>53</v>
      </c>
      <c r="K1" s="34" t="s">
        <v>65</v>
      </c>
      <c r="L1" s="17" t="s">
        <v>56</v>
      </c>
    </row>
    <row r="2" spans="1:12" x14ac:dyDescent="0.25">
      <c r="A2" s="28" t="s">
        <v>276</v>
      </c>
      <c r="B2" s="25" t="s">
        <v>79</v>
      </c>
      <c r="C2" s="25" t="s">
        <v>255</v>
      </c>
      <c r="D2" s="25"/>
      <c r="E2" s="50"/>
      <c r="F2" s="50"/>
      <c r="G2" s="15" t="s">
        <v>277</v>
      </c>
      <c r="H2" s="15" t="s">
        <v>277</v>
      </c>
      <c r="I2" s="15"/>
      <c r="J2" s="16"/>
      <c r="K2" s="16" t="s">
        <v>63</v>
      </c>
      <c r="L2" s="15">
        <f t="shared" ref="L2:L20" si="0">ROW()-1</f>
        <v>1</v>
      </c>
    </row>
    <row r="3" spans="1:12" x14ac:dyDescent="0.25">
      <c r="A3" s="29" t="s">
        <v>276</v>
      </c>
      <c r="B3" s="2" t="s">
        <v>79</v>
      </c>
      <c r="C3" s="2" t="s">
        <v>256</v>
      </c>
      <c r="D3" s="2"/>
      <c r="E3" s="13" t="s">
        <v>277</v>
      </c>
      <c r="F3" s="51"/>
      <c r="G3" s="13" t="s">
        <v>277</v>
      </c>
      <c r="H3" s="13" t="s">
        <v>277</v>
      </c>
      <c r="I3" s="13"/>
      <c r="J3" s="11" t="s">
        <v>75</v>
      </c>
      <c r="K3" s="11" t="s">
        <v>63</v>
      </c>
      <c r="L3" s="13">
        <f t="shared" si="0"/>
        <v>2</v>
      </c>
    </row>
    <row r="4" spans="1:12" x14ac:dyDescent="0.25">
      <c r="A4" s="29" t="s">
        <v>276</v>
      </c>
      <c r="B4" s="18" t="s">
        <v>79</v>
      </c>
      <c r="C4" s="18" t="s">
        <v>257</v>
      </c>
      <c r="D4" s="18"/>
      <c r="E4" s="52" t="s">
        <v>277</v>
      </c>
      <c r="F4" s="52" t="s">
        <v>277</v>
      </c>
      <c r="G4" s="15" t="s">
        <v>277</v>
      </c>
      <c r="H4" s="15" t="s">
        <v>277</v>
      </c>
      <c r="I4" s="15"/>
      <c r="J4" s="11"/>
      <c r="K4" s="11" t="s">
        <v>63</v>
      </c>
      <c r="L4" s="13">
        <f t="shared" si="0"/>
        <v>3</v>
      </c>
    </row>
    <row r="5" spans="1:12" x14ac:dyDescent="0.25">
      <c r="A5" s="29" t="s">
        <v>276</v>
      </c>
      <c r="B5" s="18" t="s">
        <v>97</v>
      </c>
      <c r="C5" s="18" t="s">
        <v>362</v>
      </c>
      <c r="D5" s="18"/>
      <c r="E5" s="50"/>
      <c r="F5" s="52" t="s">
        <v>277</v>
      </c>
      <c r="G5" s="15" t="s">
        <v>277</v>
      </c>
      <c r="H5" s="15" t="s">
        <v>277</v>
      </c>
      <c r="I5" s="15"/>
      <c r="J5" s="11"/>
      <c r="K5" s="11" t="s">
        <v>63</v>
      </c>
      <c r="L5" s="13">
        <f t="shared" si="0"/>
        <v>4</v>
      </c>
    </row>
    <row r="6" spans="1:12" x14ac:dyDescent="0.25">
      <c r="A6" s="29" t="s">
        <v>276</v>
      </c>
      <c r="B6" s="18" t="s">
        <v>97</v>
      </c>
      <c r="C6" s="18" t="s">
        <v>395</v>
      </c>
      <c r="D6" s="18"/>
      <c r="E6" s="50"/>
      <c r="F6" s="50"/>
      <c r="G6" s="15" t="s">
        <v>277</v>
      </c>
      <c r="H6" s="15" t="s">
        <v>277</v>
      </c>
      <c r="I6" s="15"/>
      <c r="J6" s="11"/>
      <c r="K6" s="11" t="s">
        <v>63</v>
      </c>
      <c r="L6" s="13">
        <f t="shared" si="0"/>
        <v>5</v>
      </c>
    </row>
    <row r="7" spans="1:12" x14ac:dyDescent="0.25">
      <c r="A7" s="29" t="s">
        <v>276</v>
      </c>
      <c r="B7" s="18" t="s">
        <v>97</v>
      </c>
      <c r="C7" s="18" t="s">
        <v>363</v>
      </c>
      <c r="D7" s="18"/>
      <c r="E7" s="15" t="s">
        <v>277</v>
      </c>
      <c r="F7" s="52" t="s">
        <v>277</v>
      </c>
      <c r="G7" s="15" t="s">
        <v>277</v>
      </c>
      <c r="H7" s="15" t="s">
        <v>277</v>
      </c>
      <c r="I7" s="15"/>
      <c r="J7" s="11"/>
      <c r="K7" s="11" t="s">
        <v>63</v>
      </c>
      <c r="L7" s="13">
        <f t="shared" si="0"/>
        <v>6</v>
      </c>
    </row>
    <row r="8" spans="1:12" x14ac:dyDescent="0.25">
      <c r="A8" s="29" t="s">
        <v>276</v>
      </c>
      <c r="B8" s="18" t="s">
        <v>97</v>
      </c>
      <c r="C8" s="18" t="s">
        <v>332</v>
      </c>
      <c r="D8" s="18"/>
      <c r="E8" s="15"/>
      <c r="F8" s="50"/>
      <c r="G8" s="15"/>
      <c r="H8" s="15"/>
      <c r="I8" s="15"/>
      <c r="J8" s="11" t="s">
        <v>313</v>
      </c>
      <c r="K8" s="11" t="s">
        <v>63</v>
      </c>
      <c r="L8" s="13">
        <f t="shared" si="0"/>
        <v>7</v>
      </c>
    </row>
    <row r="9" spans="1:12" x14ac:dyDescent="0.25">
      <c r="A9" s="29" t="s">
        <v>276</v>
      </c>
      <c r="B9" s="18" t="s">
        <v>314</v>
      </c>
      <c r="C9" s="18" t="s">
        <v>318</v>
      </c>
      <c r="D9" s="18"/>
      <c r="E9" s="50"/>
      <c r="F9" s="50"/>
      <c r="G9" s="15" t="s">
        <v>277</v>
      </c>
      <c r="H9" s="15" t="s">
        <v>277</v>
      </c>
      <c r="I9" s="15"/>
      <c r="J9" s="11" t="s">
        <v>322</v>
      </c>
      <c r="K9" s="11" t="s">
        <v>63</v>
      </c>
      <c r="L9" s="13">
        <f t="shared" si="0"/>
        <v>8</v>
      </c>
    </row>
    <row r="10" spans="1:12" x14ac:dyDescent="0.25">
      <c r="A10" s="29" t="s">
        <v>276</v>
      </c>
      <c r="B10" s="18" t="s">
        <v>96</v>
      </c>
      <c r="C10" s="18" t="s">
        <v>258</v>
      </c>
      <c r="D10" s="18"/>
      <c r="E10" s="50"/>
      <c r="F10" s="50"/>
      <c r="G10" s="15" t="s">
        <v>277</v>
      </c>
      <c r="H10" s="15" t="s">
        <v>277</v>
      </c>
      <c r="I10" s="15"/>
      <c r="J10" s="11"/>
      <c r="K10" s="11" t="s">
        <v>63</v>
      </c>
      <c r="L10" s="13">
        <f t="shared" si="0"/>
        <v>9</v>
      </c>
    </row>
    <row r="11" spans="1:12" x14ac:dyDescent="0.25">
      <c r="A11" s="39" t="s">
        <v>276</v>
      </c>
      <c r="B11" s="35" t="s">
        <v>280</v>
      </c>
      <c r="C11" s="35" t="s">
        <v>283</v>
      </c>
      <c r="D11" s="18"/>
      <c r="E11" s="15"/>
      <c r="F11" s="50"/>
      <c r="G11" s="15" t="b">
        <v>1</v>
      </c>
      <c r="H11" s="15" t="b">
        <v>1</v>
      </c>
      <c r="I11" s="15"/>
      <c r="J11" s="11" t="s">
        <v>321</v>
      </c>
      <c r="K11" s="11" t="s">
        <v>63</v>
      </c>
      <c r="L11" s="13">
        <f t="shared" si="0"/>
        <v>10</v>
      </c>
    </row>
    <row r="12" spans="1:12" x14ac:dyDescent="0.25">
      <c r="A12" s="29" t="s">
        <v>276</v>
      </c>
      <c r="B12" s="18" t="s">
        <v>303</v>
      </c>
      <c r="C12" s="18" t="s">
        <v>319</v>
      </c>
      <c r="D12" s="18"/>
      <c r="E12" s="50"/>
      <c r="F12" s="50"/>
      <c r="G12" s="15"/>
      <c r="H12" s="15"/>
      <c r="I12" s="15"/>
      <c r="J12" s="11" t="s">
        <v>321</v>
      </c>
      <c r="K12" s="11" t="s">
        <v>63</v>
      </c>
      <c r="L12" s="13">
        <f t="shared" si="0"/>
        <v>11</v>
      </c>
    </row>
    <row r="13" spans="1:12" x14ac:dyDescent="0.25">
      <c r="A13" s="29" t="s">
        <v>276</v>
      </c>
      <c r="B13" s="18" t="s">
        <v>57</v>
      </c>
      <c r="C13" s="18" t="s">
        <v>353</v>
      </c>
      <c r="D13" s="18"/>
      <c r="E13" s="15"/>
      <c r="F13" s="50"/>
      <c r="G13" s="15" t="s">
        <v>277</v>
      </c>
      <c r="H13" s="15" t="s">
        <v>277</v>
      </c>
      <c r="I13" s="15"/>
      <c r="J13" s="11"/>
      <c r="K13" s="11" t="s">
        <v>63</v>
      </c>
      <c r="L13" s="13">
        <f t="shared" si="0"/>
        <v>12</v>
      </c>
    </row>
    <row r="14" spans="1:12" x14ac:dyDescent="0.25">
      <c r="A14" s="29" t="s">
        <v>276</v>
      </c>
      <c r="B14" s="18" t="s">
        <v>57</v>
      </c>
      <c r="C14" s="18" t="s">
        <v>320</v>
      </c>
      <c r="D14" s="18"/>
      <c r="E14" s="13"/>
      <c r="F14" s="53" t="s">
        <v>277</v>
      </c>
      <c r="G14" s="13" t="s">
        <v>277</v>
      </c>
      <c r="H14" s="13" t="s">
        <v>277</v>
      </c>
      <c r="I14" s="13"/>
      <c r="J14" s="11"/>
      <c r="K14" s="11" t="s">
        <v>63</v>
      </c>
      <c r="L14" s="13">
        <f t="shared" si="0"/>
        <v>13</v>
      </c>
    </row>
    <row r="15" spans="1:12" x14ac:dyDescent="0.25">
      <c r="A15" s="29" t="s">
        <v>276</v>
      </c>
      <c r="B15" s="18" t="s">
        <v>57</v>
      </c>
      <c r="C15" s="18" t="s">
        <v>259</v>
      </c>
      <c r="D15" s="18"/>
      <c r="E15" s="15"/>
      <c r="F15" s="50"/>
      <c r="G15" s="15" t="s">
        <v>277</v>
      </c>
      <c r="H15" s="15" t="s">
        <v>277</v>
      </c>
      <c r="I15" s="15"/>
      <c r="J15" s="11" t="s">
        <v>86</v>
      </c>
      <c r="K15" s="11" t="s">
        <v>63</v>
      </c>
      <c r="L15" s="13">
        <f t="shared" si="0"/>
        <v>14</v>
      </c>
    </row>
    <row r="16" spans="1:12" x14ac:dyDescent="0.25">
      <c r="A16" s="39" t="s">
        <v>276</v>
      </c>
      <c r="B16" s="35" t="s">
        <v>296</v>
      </c>
      <c r="C16" s="56" t="s">
        <v>421</v>
      </c>
      <c r="D16" s="18"/>
      <c r="E16" s="13" t="b">
        <v>1</v>
      </c>
      <c r="F16" s="53" t="s">
        <v>277</v>
      </c>
      <c r="G16" s="53" t="s">
        <v>277</v>
      </c>
      <c r="H16" s="53" t="s">
        <v>277</v>
      </c>
      <c r="I16" s="13"/>
      <c r="J16" s="11"/>
      <c r="K16" s="11" t="s">
        <v>63</v>
      </c>
      <c r="L16" s="13">
        <f t="shared" si="0"/>
        <v>15</v>
      </c>
    </row>
    <row r="17" spans="1:12" x14ac:dyDescent="0.25">
      <c r="A17" s="39" t="s">
        <v>276</v>
      </c>
      <c r="B17" s="35" t="s">
        <v>296</v>
      </c>
      <c r="C17" s="56" t="s">
        <v>422</v>
      </c>
      <c r="D17" s="18"/>
      <c r="E17" s="13" t="b">
        <v>1</v>
      </c>
      <c r="F17" s="53" t="s">
        <v>277</v>
      </c>
      <c r="G17" s="53" t="s">
        <v>277</v>
      </c>
      <c r="H17" s="53" t="s">
        <v>277</v>
      </c>
      <c r="I17" s="13"/>
      <c r="J17" s="11"/>
      <c r="K17" s="11" t="s">
        <v>63</v>
      </c>
      <c r="L17" s="13">
        <f t="shared" si="0"/>
        <v>16</v>
      </c>
    </row>
    <row r="18" spans="1:12" x14ac:dyDescent="0.25">
      <c r="A18" s="39" t="s">
        <v>276</v>
      </c>
      <c r="B18" s="35" t="s">
        <v>296</v>
      </c>
      <c r="C18" s="35" t="s">
        <v>402</v>
      </c>
      <c r="D18" s="18"/>
      <c r="E18" s="13" t="b">
        <v>1</v>
      </c>
      <c r="F18" s="53" t="s">
        <v>277</v>
      </c>
      <c r="G18" s="53" t="s">
        <v>277</v>
      </c>
      <c r="H18" s="53" t="s">
        <v>277</v>
      </c>
      <c r="I18" s="13"/>
      <c r="J18" s="11"/>
      <c r="K18" s="11" t="s">
        <v>63</v>
      </c>
      <c r="L18" s="13">
        <f t="shared" si="0"/>
        <v>17</v>
      </c>
    </row>
    <row r="19" spans="1:12" x14ac:dyDescent="0.25">
      <c r="A19" s="39" t="s">
        <v>276</v>
      </c>
      <c r="B19" s="35" t="s">
        <v>296</v>
      </c>
      <c r="C19" s="56" t="s">
        <v>423</v>
      </c>
      <c r="D19" s="18"/>
      <c r="E19" s="13" t="b">
        <v>1</v>
      </c>
      <c r="F19" s="53" t="s">
        <v>277</v>
      </c>
      <c r="G19" s="53" t="s">
        <v>277</v>
      </c>
      <c r="H19" s="53" t="s">
        <v>277</v>
      </c>
      <c r="I19" s="13"/>
      <c r="J19" s="11"/>
      <c r="K19" s="11" t="s">
        <v>63</v>
      </c>
      <c r="L19" s="13">
        <f t="shared" si="0"/>
        <v>18</v>
      </c>
    </row>
    <row r="20" spans="1:12" x14ac:dyDescent="0.25">
      <c r="A20" s="39" t="s">
        <v>276</v>
      </c>
      <c r="B20" s="35" t="s">
        <v>296</v>
      </c>
      <c r="C20" s="56" t="s">
        <v>424</v>
      </c>
      <c r="D20" s="18"/>
      <c r="E20" s="13" t="b">
        <v>1</v>
      </c>
      <c r="F20" s="53" t="s">
        <v>277</v>
      </c>
      <c r="G20" s="53" t="s">
        <v>277</v>
      </c>
      <c r="H20" s="53" t="s">
        <v>277</v>
      </c>
      <c r="I20" s="13"/>
      <c r="J20" s="11"/>
      <c r="K20" s="11" t="s">
        <v>63</v>
      </c>
      <c r="L20" s="13">
        <f t="shared" si="0"/>
        <v>19</v>
      </c>
    </row>
  </sheetData>
  <autoFilter ref="A1:L16" xr:uid="{00000000-0009-0000-0000-000003000000}"/>
  <conditionalFormatting sqref="A2:A20 E2:L20">
    <cfRule type="expression" dxfId="67" priority="24" stopIfTrue="1">
      <formula>$K2="yellow"</formula>
    </cfRule>
    <cfRule type="expression" dxfId="66" priority="23" stopIfTrue="1">
      <formula>$K2="blue"</formula>
    </cfRule>
    <cfRule type="expression" dxfId="65" priority="22" stopIfTrue="1">
      <formula>$K2="orange"</formula>
    </cfRule>
    <cfRule type="expression" dxfId="64" priority="21" stopIfTrue="1">
      <formula>$K2="None"</formula>
    </cfRule>
  </conditionalFormatting>
  <conditionalFormatting sqref="B16:B17 D16:D17 B18:D18 B19:B20 D19:D20">
    <cfRule type="expression" dxfId="63" priority="17" stopIfTrue="1">
      <formula>$K15="None"</formula>
    </cfRule>
    <cfRule type="expression" dxfId="62" priority="20" stopIfTrue="1">
      <formula>$K15="yellow"</formula>
    </cfRule>
    <cfRule type="expression" dxfId="61" priority="19" stopIfTrue="1">
      <formula>$K15="blue"</formula>
    </cfRule>
    <cfRule type="expression" dxfId="60" priority="18" stopIfTrue="1">
      <formula>$K15="orange"</formula>
    </cfRule>
  </conditionalFormatting>
  <conditionalFormatting sqref="B2:D3">
    <cfRule type="expression" dxfId="59" priority="39" stopIfTrue="1">
      <formula>$K2="yellow"</formula>
    </cfRule>
    <cfRule type="expression" dxfId="58" priority="36" stopIfTrue="1">
      <formula>$K2="None"</formula>
    </cfRule>
    <cfRule type="expression" dxfId="57" priority="37" stopIfTrue="1">
      <formula>$K2="orange"</formula>
    </cfRule>
    <cfRule type="expression" dxfId="56" priority="38" stopIfTrue="1">
      <formula>$K2="blue"</formula>
    </cfRule>
  </conditionalFormatting>
  <conditionalFormatting sqref="B4:D4 B7:D7 B10:D12">
    <cfRule type="expression" dxfId="55" priority="61" stopIfTrue="1">
      <formula>$K2="orange"</formula>
    </cfRule>
    <cfRule type="expression" dxfId="54" priority="62" stopIfTrue="1">
      <formula>$K2="blue"</formula>
    </cfRule>
    <cfRule type="expression" dxfId="53" priority="63" stopIfTrue="1">
      <formula>$K2="yellow"</formula>
    </cfRule>
    <cfRule type="expression" dxfId="52" priority="60" stopIfTrue="1">
      <formula>$K2="None"</formula>
    </cfRule>
  </conditionalFormatting>
  <conditionalFormatting sqref="B5:D6 B8 B9:D9">
    <cfRule type="expression" dxfId="51" priority="64" stopIfTrue="1">
      <formula>$K4="None"</formula>
    </cfRule>
    <cfRule type="expression" dxfId="50" priority="65" stopIfTrue="1">
      <formula>$K4="orange"</formula>
    </cfRule>
    <cfRule type="expression" dxfId="49" priority="66" stopIfTrue="1">
      <formula>$K4="blue"</formula>
    </cfRule>
    <cfRule type="expression" dxfId="48" priority="67" stopIfTrue="1">
      <formula>$K4="yellow"</formula>
    </cfRule>
  </conditionalFormatting>
  <conditionalFormatting sqref="B14:D15">
    <cfRule type="expression" dxfId="47" priority="29" stopIfTrue="1">
      <formula>$K13="None"</formula>
    </cfRule>
    <cfRule type="expression" dxfId="46" priority="30" stopIfTrue="1">
      <formula>$K13="orange"</formula>
    </cfRule>
    <cfRule type="expression" dxfId="45" priority="31" stopIfTrue="1">
      <formula>$K13="blue"</formula>
    </cfRule>
    <cfRule type="expression" dxfId="44" priority="32" stopIfTrue="1">
      <formula>$K13="yellow"</formula>
    </cfRule>
  </conditionalFormatting>
  <conditionalFormatting sqref="C16:C17">
    <cfRule type="expression" dxfId="43" priority="1" stopIfTrue="1">
      <formula>$K16="None"</formula>
    </cfRule>
    <cfRule type="expression" dxfId="42" priority="4" stopIfTrue="1">
      <formula>$K16="yellow"</formula>
    </cfRule>
    <cfRule type="expression" dxfId="41" priority="3" stopIfTrue="1">
      <formula>$K16="blue"</formula>
    </cfRule>
    <cfRule type="expression" dxfId="40" priority="2" stopIfTrue="1">
      <formula>$K16="orange"</formula>
    </cfRule>
  </conditionalFormatting>
  <conditionalFormatting sqref="C19:C20">
    <cfRule type="expression" dxfId="39" priority="12" stopIfTrue="1">
      <formula>$K19="yellow"</formula>
    </cfRule>
    <cfRule type="expression" dxfId="38" priority="11" stopIfTrue="1">
      <formula>$K19="blue"</formula>
    </cfRule>
    <cfRule type="expression" dxfId="37" priority="10" stopIfTrue="1">
      <formula>$K19="orange"</formula>
    </cfRule>
    <cfRule type="expression" dxfId="36" priority="9" stopIfTrue="1">
      <formula>$K19="None"</formula>
    </cfRule>
  </conditionalFormatting>
  <conditionalFormatting sqref="C8:D8 B13:D13">
    <cfRule type="expression" dxfId="35" priority="152" stopIfTrue="1">
      <formula>$K5="None"</formula>
    </cfRule>
    <cfRule type="expression" dxfId="34" priority="153" stopIfTrue="1">
      <formula>$K5="orange"</formula>
    </cfRule>
    <cfRule type="expression" dxfId="33" priority="154" stopIfTrue="1">
      <formula>$K5="blue"</formula>
    </cfRule>
    <cfRule type="expression" dxfId="32" priority="155" stopIfTrue="1">
      <formula>$K5="yellow"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zoomScale="140" zoomScaleNormal="14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28" sqref="C28"/>
    </sheetView>
  </sheetViews>
  <sheetFormatPr baseColWidth="10" defaultColWidth="10.83203125" defaultRowHeight="17" x14ac:dyDescent="0.25"/>
  <cols>
    <col min="1" max="1" width="5.83203125" style="14" bestFit="1" customWidth="1"/>
    <col min="2" max="2" width="21.1640625" style="1" bestFit="1" customWidth="1"/>
    <col min="3" max="3" width="29.6640625" style="1" bestFit="1" customWidth="1"/>
    <col min="4" max="4" width="22.5" style="1" bestFit="1" customWidth="1"/>
    <col min="5" max="5" width="14" style="4" bestFit="1" customWidth="1"/>
    <col min="6" max="9" width="5.83203125" style="4" bestFit="1" customWidth="1"/>
    <col min="10" max="10" width="49" style="3" customWidth="1"/>
    <col min="11" max="11" width="8.1640625" style="3" bestFit="1" customWidth="1"/>
    <col min="12" max="12" width="7" style="14" bestFit="1" customWidth="1"/>
    <col min="13" max="16384" width="10.83203125" style="3"/>
  </cols>
  <sheetData>
    <row r="1" spans="1:12" s="12" customFormat="1" ht="17" customHeight="1" thickBot="1" x14ac:dyDescent="0.3">
      <c r="A1" s="17" t="s">
        <v>274</v>
      </c>
      <c r="B1" s="30" t="s">
        <v>0</v>
      </c>
      <c r="C1" s="31" t="s">
        <v>82</v>
      </c>
      <c r="D1" s="32" t="s">
        <v>105</v>
      </c>
      <c r="E1" s="33" t="s">
        <v>41</v>
      </c>
      <c r="F1" s="33" t="s">
        <v>42</v>
      </c>
      <c r="G1" s="33" t="s">
        <v>51</v>
      </c>
      <c r="H1" s="33" t="s">
        <v>52</v>
      </c>
      <c r="I1" s="33" t="s">
        <v>406</v>
      </c>
      <c r="J1" s="34" t="s">
        <v>53</v>
      </c>
      <c r="K1" s="34" t="s">
        <v>65</v>
      </c>
      <c r="L1" s="17" t="s">
        <v>56</v>
      </c>
    </row>
    <row r="2" spans="1:12" x14ac:dyDescent="0.25">
      <c r="A2" s="28" t="s">
        <v>55</v>
      </c>
      <c r="B2" s="26" t="s">
        <v>54</v>
      </c>
      <c r="C2" s="26" t="s">
        <v>260</v>
      </c>
      <c r="D2" s="26"/>
      <c r="E2" s="50"/>
      <c r="F2" s="50"/>
      <c r="G2" s="15" t="b">
        <v>1</v>
      </c>
      <c r="H2" s="15" t="b">
        <v>1</v>
      </c>
      <c r="I2" s="15"/>
      <c r="J2" s="16" t="s">
        <v>80</v>
      </c>
      <c r="K2" s="16" t="s">
        <v>64</v>
      </c>
      <c r="L2" s="15">
        <f t="shared" ref="L2:L23" si="0">ROW()-1</f>
        <v>1</v>
      </c>
    </row>
    <row r="3" spans="1:12" x14ac:dyDescent="0.25">
      <c r="A3" s="29" t="s">
        <v>55</v>
      </c>
      <c r="B3" s="18" t="s">
        <v>71</v>
      </c>
      <c r="C3" s="18" t="s">
        <v>261</v>
      </c>
      <c r="D3" s="18"/>
      <c r="E3" s="50"/>
      <c r="F3" s="50"/>
      <c r="G3" s="15" t="b">
        <v>1</v>
      </c>
      <c r="H3" s="15" t="b">
        <v>1</v>
      </c>
      <c r="I3" s="15"/>
      <c r="J3" s="11"/>
      <c r="K3" s="11" t="s">
        <v>64</v>
      </c>
      <c r="L3" s="13">
        <f t="shared" si="0"/>
        <v>2</v>
      </c>
    </row>
    <row r="4" spans="1:12" x14ac:dyDescent="0.25">
      <c r="A4" s="29" t="s">
        <v>55</v>
      </c>
      <c r="B4" s="18" t="s">
        <v>84</v>
      </c>
      <c r="C4" s="18" t="s">
        <v>262</v>
      </c>
      <c r="D4" s="18"/>
      <c r="E4" s="13"/>
      <c r="F4" s="13"/>
      <c r="G4" s="13"/>
      <c r="H4" s="13"/>
      <c r="I4" s="13"/>
      <c r="J4" s="11" t="s">
        <v>88</v>
      </c>
      <c r="K4" s="11" t="s">
        <v>64</v>
      </c>
      <c r="L4" s="13">
        <f t="shared" si="0"/>
        <v>3</v>
      </c>
    </row>
    <row r="5" spans="1:12" x14ac:dyDescent="0.25">
      <c r="A5" s="29" t="s">
        <v>55</v>
      </c>
      <c r="B5" s="18" t="s">
        <v>85</v>
      </c>
      <c r="C5" s="18" t="s">
        <v>263</v>
      </c>
      <c r="D5" s="18"/>
      <c r="E5" s="13"/>
      <c r="F5" s="13"/>
      <c r="G5" s="13"/>
      <c r="H5" s="13"/>
      <c r="I5" s="13"/>
      <c r="J5" s="11" t="s">
        <v>87</v>
      </c>
      <c r="K5" s="11" t="s">
        <v>64</v>
      </c>
      <c r="L5" s="13">
        <f t="shared" si="0"/>
        <v>4</v>
      </c>
    </row>
    <row r="6" spans="1:12" x14ac:dyDescent="0.25">
      <c r="A6" s="29" t="s">
        <v>55</v>
      </c>
      <c r="B6" s="18" t="s">
        <v>323</v>
      </c>
      <c r="C6" s="18" t="s">
        <v>326</v>
      </c>
      <c r="D6" s="18"/>
      <c r="E6" s="50"/>
      <c r="F6" s="50"/>
      <c r="G6" s="15" t="b">
        <v>1</v>
      </c>
      <c r="H6" s="15" t="b">
        <v>1</v>
      </c>
      <c r="I6" s="15"/>
      <c r="J6" s="11" t="s">
        <v>331</v>
      </c>
      <c r="K6" s="11" t="s">
        <v>64</v>
      </c>
      <c r="L6" s="13">
        <f t="shared" si="0"/>
        <v>5</v>
      </c>
    </row>
    <row r="7" spans="1:12" x14ac:dyDescent="0.25">
      <c r="A7" s="29" t="s">
        <v>55</v>
      </c>
      <c r="B7" s="19" t="s">
        <v>324</v>
      </c>
      <c r="C7" s="19" t="s">
        <v>327</v>
      </c>
      <c r="D7" s="19"/>
      <c r="E7" s="50"/>
      <c r="F7" s="50"/>
      <c r="G7" s="15"/>
      <c r="H7" s="15" t="b">
        <v>1</v>
      </c>
      <c r="I7" s="15"/>
      <c r="J7" s="11" t="s">
        <v>331</v>
      </c>
      <c r="K7" s="11" t="s">
        <v>64</v>
      </c>
      <c r="L7" s="13">
        <f t="shared" si="0"/>
        <v>6</v>
      </c>
    </row>
    <row r="8" spans="1:12" x14ac:dyDescent="0.25">
      <c r="A8" s="29" t="s">
        <v>55</v>
      </c>
      <c r="B8" s="21" t="s">
        <v>98</v>
      </c>
      <c r="C8" s="21" t="s">
        <v>330</v>
      </c>
      <c r="D8" s="21"/>
      <c r="E8" s="50"/>
      <c r="F8" s="50"/>
      <c r="G8" s="15" t="b">
        <v>1</v>
      </c>
      <c r="H8" s="15" t="b">
        <v>1</v>
      </c>
      <c r="I8" s="15"/>
      <c r="J8" s="23" t="s">
        <v>328</v>
      </c>
      <c r="K8" s="11" t="s">
        <v>64</v>
      </c>
      <c r="L8" s="13">
        <f t="shared" si="0"/>
        <v>7</v>
      </c>
    </row>
    <row r="9" spans="1:12" x14ac:dyDescent="0.25">
      <c r="A9" s="29" t="s">
        <v>55</v>
      </c>
      <c r="B9" s="21" t="s">
        <v>98</v>
      </c>
      <c r="C9" s="22" t="s">
        <v>329</v>
      </c>
      <c r="D9" s="22"/>
      <c r="E9" s="50"/>
      <c r="F9" s="50"/>
      <c r="G9" s="15"/>
      <c r="H9" s="15" t="b">
        <v>1</v>
      </c>
      <c r="I9" s="15"/>
      <c r="J9" s="23" t="s">
        <v>328</v>
      </c>
      <c r="K9" s="11" t="s">
        <v>64</v>
      </c>
      <c r="L9" s="13">
        <f t="shared" si="0"/>
        <v>8</v>
      </c>
    </row>
    <row r="10" spans="1:12" x14ac:dyDescent="0.25">
      <c r="A10" s="29" t="s">
        <v>55</v>
      </c>
      <c r="B10" s="18" t="s">
        <v>70</v>
      </c>
      <c r="C10" s="18" t="s">
        <v>264</v>
      </c>
      <c r="D10" s="18"/>
      <c r="E10" s="50"/>
      <c r="F10" s="50"/>
      <c r="G10" s="15" t="b">
        <v>1</v>
      </c>
      <c r="H10" s="15" t="b">
        <v>1</v>
      </c>
      <c r="I10" s="15"/>
      <c r="J10" s="11"/>
      <c r="K10" s="11" t="s">
        <v>64</v>
      </c>
      <c r="L10" s="13">
        <f t="shared" si="0"/>
        <v>9</v>
      </c>
    </row>
    <row r="11" spans="1:12" x14ac:dyDescent="0.25">
      <c r="A11" s="29" t="s">
        <v>55</v>
      </c>
      <c r="B11" s="19" t="s">
        <v>81</v>
      </c>
      <c r="C11" s="19" t="s">
        <v>265</v>
      </c>
      <c r="D11" s="19"/>
      <c r="E11" s="50"/>
      <c r="F11" s="50"/>
      <c r="G11" s="15"/>
      <c r="H11" s="15" t="b">
        <v>1</v>
      </c>
      <c r="I11" s="15"/>
      <c r="J11" s="11"/>
      <c r="K11" s="11" t="s">
        <v>64</v>
      </c>
      <c r="L11" s="13">
        <f t="shared" si="0"/>
        <v>10</v>
      </c>
    </row>
    <row r="12" spans="1:12" x14ac:dyDescent="0.25">
      <c r="A12" s="29" t="s">
        <v>55</v>
      </c>
      <c r="B12" s="18" t="s">
        <v>83</v>
      </c>
      <c r="C12" s="38" t="s">
        <v>266</v>
      </c>
      <c r="D12" s="18"/>
      <c r="E12" s="13" t="s">
        <v>278</v>
      </c>
      <c r="F12" s="13" t="s">
        <v>278</v>
      </c>
      <c r="G12" s="13"/>
      <c r="H12" s="13"/>
      <c r="I12" s="13"/>
      <c r="J12" s="11"/>
      <c r="K12" s="11" t="s">
        <v>64</v>
      </c>
      <c r="L12" s="13">
        <f t="shared" si="0"/>
        <v>11</v>
      </c>
    </row>
    <row r="13" spans="1:12" x14ac:dyDescent="0.25">
      <c r="A13" s="29" t="s">
        <v>55</v>
      </c>
      <c r="B13" s="18" t="s">
        <v>72</v>
      </c>
      <c r="C13" s="18" t="s">
        <v>267</v>
      </c>
      <c r="D13" s="18"/>
      <c r="E13" s="13"/>
      <c r="F13" s="13" t="s">
        <v>278</v>
      </c>
      <c r="G13" s="13"/>
      <c r="H13" s="13"/>
      <c r="I13" s="13"/>
      <c r="J13" s="11"/>
      <c r="K13" s="11" t="s">
        <v>64</v>
      </c>
      <c r="L13" s="13">
        <f t="shared" si="0"/>
        <v>12</v>
      </c>
    </row>
    <row r="14" spans="1:12" x14ac:dyDescent="0.25">
      <c r="A14" s="29" t="s">
        <v>55</v>
      </c>
      <c r="B14" s="43" t="s">
        <v>341</v>
      </c>
      <c r="C14" s="44" t="s">
        <v>325</v>
      </c>
      <c r="D14" s="21"/>
      <c r="E14" s="13"/>
      <c r="F14" s="13"/>
      <c r="G14" s="13"/>
      <c r="H14" s="13"/>
      <c r="I14" s="13"/>
      <c r="J14" s="11"/>
      <c r="K14" s="11" t="s">
        <v>64</v>
      </c>
      <c r="L14" s="13">
        <f t="shared" si="0"/>
        <v>13</v>
      </c>
    </row>
    <row r="15" spans="1:12" x14ac:dyDescent="0.25">
      <c r="A15" s="29" t="s">
        <v>55</v>
      </c>
      <c r="B15" s="43" t="s">
        <v>341</v>
      </c>
      <c r="C15" s="44" t="s">
        <v>342</v>
      </c>
      <c r="D15" s="21"/>
      <c r="E15" s="13" t="s">
        <v>278</v>
      </c>
      <c r="F15" s="13" t="s">
        <v>278</v>
      </c>
      <c r="G15" s="13"/>
      <c r="H15" s="13"/>
      <c r="I15" s="13"/>
      <c r="J15" s="11"/>
      <c r="K15" s="11" t="s">
        <v>64</v>
      </c>
      <c r="L15" s="13">
        <f t="shared" si="0"/>
        <v>14</v>
      </c>
    </row>
    <row r="16" spans="1:12" x14ac:dyDescent="0.25">
      <c r="A16" s="29" t="s">
        <v>55</v>
      </c>
      <c r="B16" s="18" t="s">
        <v>102</v>
      </c>
      <c r="C16" s="18" t="s">
        <v>268</v>
      </c>
      <c r="D16" s="18"/>
      <c r="E16" s="13" t="b">
        <v>1</v>
      </c>
      <c r="F16" s="13" t="b">
        <v>1</v>
      </c>
      <c r="G16" s="13" t="b">
        <v>1</v>
      </c>
      <c r="H16" s="13" t="b">
        <v>1</v>
      </c>
      <c r="I16" s="13"/>
      <c r="J16" s="11"/>
      <c r="K16" s="11" t="s">
        <v>64</v>
      </c>
      <c r="L16" s="13">
        <f t="shared" si="0"/>
        <v>15</v>
      </c>
    </row>
    <row r="17" spans="1:12" x14ac:dyDescent="0.25">
      <c r="A17" s="29" t="s">
        <v>55</v>
      </c>
      <c r="B17" s="18" t="s">
        <v>103</v>
      </c>
      <c r="C17" s="18" t="s">
        <v>269</v>
      </c>
      <c r="D17" s="18"/>
      <c r="E17" s="13" t="b">
        <v>1</v>
      </c>
      <c r="F17" s="13" t="b">
        <v>1</v>
      </c>
      <c r="G17" s="13" t="b">
        <v>1</v>
      </c>
      <c r="H17" s="13" t="b">
        <v>1</v>
      </c>
      <c r="I17" s="13"/>
      <c r="J17" s="11"/>
      <c r="K17" s="11" t="s">
        <v>64</v>
      </c>
      <c r="L17" s="13">
        <f t="shared" si="0"/>
        <v>16</v>
      </c>
    </row>
    <row r="18" spans="1:12" x14ac:dyDescent="0.25">
      <c r="A18" s="29" t="s">
        <v>55</v>
      </c>
      <c r="B18" s="18" t="s">
        <v>89</v>
      </c>
      <c r="C18" s="18" t="s">
        <v>270</v>
      </c>
      <c r="D18" s="18"/>
      <c r="E18" s="13" t="s">
        <v>278</v>
      </c>
      <c r="F18" s="13"/>
      <c r="G18" s="13"/>
      <c r="H18" s="13"/>
      <c r="I18" s="13"/>
      <c r="J18" s="11"/>
      <c r="K18" s="11" t="s">
        <v>64</v>
      </c>
      <c r="L18" s="13">
        <f t="shared" si="0"/>
        <v>17</v>
      </c>
    </row>
    <row r="19" spans="1:12" x14ac:dyDescent="0.25">
      <c r="A19" s="29" t="s">
        <v>55</v>
      </c>
      <c r="B19" s="18" t="s">
        <v>90</v>
      </c>
      <c r="C19" s="38" t="s">
        <v>271</v>
      </c>
      <c r="D19" s="18"/>
      <c r="E19" s="13" t="s">
        <v>278</v>
      </c>
      <c r="F19" s="13"/>
      <c r="G19" s="13"/>
      <c r="H19" s="13"/>
      <c r="I19" s="13"/>
      <c r="J19" s="11"/>
      <c r="K19" s="11" t="s">
        <v>64</v>
      </c>
      <c r="L19" s="13">
        <f t="shared" si="0"/>
        <v>18</v>
      </c>
    </row>
    <row r="20" spans="1:12" x14ac:dyDescent="0.25">
      <c r="A20" s="29" t="s">
        <v>55</v>
      </c>
      <c r="B20" s="18" t="s">
        <v>91</v>
      </c>
      <c r="C20" s="18" t="s">
        <v>272</v>
      </c>
      <c r="D20" s="18"/>
      <c r="E20" s="13" t="s">
        <v>278</v>
      </c>
      <c r="F20" s="13"/>
      <c r="G20" s="13"/>
      <c r="H20" s="13"/>
      <c r="I20" s="13"/>
      <c r="J20" s="11"/>
      <c r="K20" s="11" t="s">
        <v>64</v>
      </c>
      <c r="L20" s="13">
        <f t="shared" si="0"/>
        <v>19</v>
      </c>
    </row>
    <row r="21" spans="1:12" x14ac:dyDescent="0.25">
      <c r="A21" s="29" t="s">
        <v>55</v>
      </c>
      <c r="B21" s="18" t="s">
        <v>92</v>
      </c>
      <c r="C21" s="18" t="s">
        <v>273</v>
      </c>
      <c r="D21" s="18"/>
      <c r="E21" s="13" t="s">
        <v>278</v>
      </c>
      <c r="F21" s="13"/>
      <c r="G21" s="13"/>
      <c r="H21" s="13"/>
      <c r="I21" s="13"/>
      <c r="J21" s="11"/>
      <c r="K21" s="11" t="s">
        <v>64</v>
      </c>
      <c r="L21" s="13">
        <f t="shared" si="0"/>
        <v>20</v>
      </c>
    </row>
    <row r="22" spans="1:12" x14ac:dyDescent="0.25">
      <c r="A22" s="29" t="s">
        <v>55</v>
      </c>
      <c r="B22" s="55" t="s">
        <v>416</v>
      </c>
      <c r="C22" s="18" t="s">
        <v>418</v>
      </c>
      <c r="D22" s="18"/>
      <c r="E22" s="13" t="b">
        <v>1</v>
      </c>
      <c r="F22" s="13"/>
      <c r="G22" s="13"/>
      <c r="H22" s="13"/>
      <c r="I22" s="13"/>
      <c r="J22" s="11"/>
      <c r="K22" s="11" t="s">
        <v>64</v>
      </c>
      <c r="L22" s="13">
        <f t="shared" si="0"/>
        <v>21</v>
      </c>
    </row>
    <row r="23" spans="1:12" x14ac:dyDescent="0.25">
      <c r="A23" s="29" t="s">
        <v>55</v>
      </c>
      <c r="B23" s="55" t="s">
        <v>417</v>
      </c>
      <c r="C23" s="18" t="s">
        <v>419</v>
      </c>
      <c r="D23" s="18"/>
      <c r="E23" s="13" t="b">
        <v>1</v>
      </c>
      <c r="F23" s="13"/>
      <c r="G23" s="13"/>
      <c r="H23" s="13"/>
      <c r="I23" s="13"/>
      <c r="J23" s="11"/>
      <c r="K23" s="11" t="s">
        <v>64</v>
      </c>
      <c r="L23" s="13">
        <f t="shared" si="0"/>
        <v>22</v>
      </c>
    </row>
  </sheetData>
  <conditionalFormatting sqref="A2:A23 E2:L23">
    <cfRule type="expression" dxfId="31" priority="9" stopIfTrue="1">
      <formula>$K2="None"</formula>
    </cfRule>
    <cfRule type="expression" dxfId="30" priority="10" stopIfTrue="1">
      <formula>$K2="orange"</formula>
    </cfRule>
    <cfRule type="expression" dxfId="29" priority="11" stopIfTrue="1">
      <formula>$K2="blue"</formula>
    </cfRule>
    <cfRule type="expression" dxfId="28" priority="12" stopIfTrue="1">
      <formula>$K2="yellow"</formula>
    </cfRule>
  </conditionalFormatting>
  <conditionalFormatting sqref="B2:D11">
    <cfRule type="expression" dxfId="27" priority="5" stopIfTrue="1">
      <formula>$K2="None"</formula>
    </cfRule>
    <cfRule type="expression" dxfId="26" priority="6" stopIfTrue="1">
      <formula>$K2="orange"</formula>
    </cfRule>
    <cfRule type="expression" dxfId="25" priority="7" stopIfTrue="1">
      <formula>$K2="blue"</formula>
    </cfRule>
    <cfRule type="expression" dxfId="24" priority="8" stopIfTrue="1">
      <formula>$K2="yellow"</formula>
    </cfRule>
  </conditionalFormatting>
  <conditionalFormatting sqref="B12:D12 B16:D17">
    <cfRule type="expression" dxfId="23" priority="17" stopIfTrue="1">
      <formula>$K11="None"</formula>
    </cfRule>
    <cfRule type="expression" dxfId="22" priority="18" stopIfTrue="1">
      <formula>$K11="orange"</formula>
    </cfRule>
    <cfRule type="expression" dxfId="21" priority="19" stopIfTrue="1">
      <formula>$K11="blue"</formula>
    </cfRule>
    <cfRule type="expression" dxfId="20" priority="20" stopIfTrue="1">
      <formula>$K11="yellow"</formula>
    </cfRule>
  </conditionalFormatting>
  <conditionalFormatting sqref="B13:D14">
    <cfRule type="expression" dxfId="19" priority="21" stopIfTrue="1">
      <formula>$K10="None"</formula>
    </cfRule>
    <cfRule type="expression" dxfId="18" priority="24" stopIfTrue="1">
      <formula>$K10="yellow"</formula>
    </cfRule>
    <cfRule type="expression" dxfId="17" priority="23" stopIfTrue="1">
      <formula>$K10="blue"</formula>
    </cfRule>
    <cfRule type="expression" dxfId="16" priority="22" stopIfTrue="1">
      <formula>$K10="orange"</formula>
    </cfRule>
  </conditionalFormatting>
  <conditionalFormatting sqref="B15:D15">
    <cfRule type="expression" dxfId="15" priority="28" stopIfTrue="1">
      <formula>$K11="yellow"</formula>
    </cfRule>
    <cfRule type="expression" dxfId="14" priority="25" stopIfTrue="1">
      <formula>$K11="None"</formula>
    </cfRule>
    <cfRule type="expression" dxfId="13" priority="26" stopIfTrue="1">
      <formula>$K11="orange"</formula>
    </cfRule>
    <cfRule type="expression" dxfId="12" priority="27" stopIfTrue="1">
      <formula>$K11="blue"</formula>
    </cfRule>
  </conditionalFormatting>
  <conditionalFormatting sqref="B18:D18">
    <cfRule type="expression" dxfId="11" priority="30" stopIfTrue="1">
      <formula>$K11="orange"</formula>
    </cfRule>
    <cfRule type="expression" dxfId="10" priority="31" stopIfTrue="1">
      <formula>$K11="blue"</formula>
    </cfRule>
    <cfRule type="expression" dxfId="9" priority="32" stopIfTrue="1">
      <formula>$K11="yellow"</formula>
    </cfRule>
    <cfRule type="expression" dxfId="8" priority="29" stopIfTrue="1">
      <formula>$K11="None"</formula>
    </cfRule>
  </conditionalFormatting>
  <conditionalFormatting sqref="B19:D19">
    <cfRule type="expression" dxfId="7" priority="36" stopIfTrue="1">
      <formula>$K13="yellow"</formula>
    </cfRule>
    <cfRule type="expression" dxfId="6" priority="33" stopIfTrue="1">
      <formula>$K13="None"</formula>
    </cfRule>
    <cfRule type="expression" dxfId="5" priority="34" stopIfTrue="1">
      <formula>$K13="orange"</formula>
    </cfRule>
    <cfRule type="expression" dxfId="4" priority="35" stopIfTrue="1">
      <formula>$K13="blue"</formula>
    </cfRule>
  </conditionalFormatting>
  <conditionalFormatting sqref="B20:D23">
    <cfRule type="expression" dxfId="3" priority="4" stopIfTrue="1">
      <formula>$K18="yellow"</formula>
    </cfRule>
    <cfRule type="expression" dxfId="2" priority="3" stopIfTrue="1">
      <formula>$K18="blue"</formula>
    </cfRule>
    <cfRule type="expression" dxfId="1" priority="2" stopIfTrue="1">
      <formula>$K18="orange"</formula>
    </cfRule>
    <cfRule type="expression" dxfId="0" priority="1" stopIfTrue="1">
      <formula>$K18="None"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</vt:lpstr>
      <vt:lpstr>preflow</vt:lpstr>
      <vt:lpstr>BV</vt:lpstr>
      <vt:lpstr>HBV</vt:lpstr>
      <vt:lpstr>PBC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McPheeters</dc:creator>
  <cp:lastModifiedBy>Alan Lee</cp:lastModifiedBy>
  <dcterms:created xsi:type="dcterms:W3CDTF">2021-09-14T05:48:51Z</dcterms:created>
  <dcterms:modified xsi:type="dcterms:W3CDTF">2025-08-15T06:41:45Z</dcterms:modified>
</cp:coreProperties>
</file>