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D:\komodo_documents\IGXLFiles\Repo\Settings\Basic\"/>
    </mc:Choice>
  </mc:AlternateContent>
  <bookViews>
    <workbookView xWindow="28680" yWindow="1080" windowWidth="29040" windowHeight="15840"/>
  </bookViews>
  <sheets>
    <sheet name="Block_TestNumber" sheetId="2" r:id="rId1"/>
  </sheets>
  <definedNames>
    <definedName name="_xlnm._FilterDatabase" localSheetId="0" hidden="1">Block_TestNumber!$A$3:$H$224</definedName>
  </definedNames>
  <calcPr calcId="162913" iterateDelta="1E-4"/>
</workbook>
</file>

<file path=xl/calcChain.xml><?xml version="1.0" encoding="utf-8"?>
<calcChain xmlns="http://schemas.openxmlformats.org/spreadsheetml/2006/main">
  <c r="E61" i="2" l="1"/>
  <c r="E60" i="2"/>
  <c r="E59" i="2"/>
  <c r="E58" i="2"/>
  <c r="E57" i="2"/>
  <c r="E56" i="2"/>
  <c r="E55" i="2"/>
  <c r="E63" i="2"/>
  <c r="E62" i="2"/>
  <c r="E128" i="2" l="1"/>
  <c r="E127" i="2"/>
  <c r="E126" i="2"/>
  <c r="E125" i="2"/>
  <c r="E124" i="2"/>
  <c r="E123" i="2"/>
  <c r="E122" i="2"/>
  <c r="E121" i="2"/>
  <c r="E120" i="2"/>
  <c r="E119" i="2"/>
  <c r="E118" i="2"/>
  <c r="E117" i="2"/>
  <c r="D117" i="2" s="1"/>
  <c r="C118" i="2" s="1"/>
  <c r="D118" i="2" l="1"/>
  <c r="C119" i="2" s="1"/>
  <c r="H117" i="2"/>
  <c r="E81" i="2"/>
  <c r="D119" i="2" l="1"/>
  <c r="C120" i="2" s="1"/>
  <c r="H118" i="2"/>
  <c r="H119" i="2" l="1"/>
  <c r="D120" i="2"/>
  <c r="C121" i="2" s="1"/>
  <c r="E210" i="2"/>
  <c r="E209" i="2"/>
  <c r="E208" i="2"/>
  <c r="E207" i="2"/>
  <c r="E206" i="2"/>
  <c r="E205" i="2"/>
  <c r="E204" i="2"/>
  <c r="E203" i="2"/>
  <c r="E202" i="2"/>
  <c r="E201" i="2"/>
  <c r="E200" i="2"/>
  <c r="E199" i="2"/>
  <c r="E198" i="2"/>
  <c r="E197" i="2"/>
  <c r="E196" i="2"/>
  <c r="E195" i="2"/>
  <c r="E194" i="2"/>
  <c r="E193" i="2"/>
  <c r="E192" i="2"/>
  <c r="E191" i="2"/>
  <c r="E190" i="2"/>
  <c r="E189" i="2"/>
  <c r="E188" i="2"/>
  <c r="E187" i="2"/>
  <c r="E186" i="2"/>
  <c r="E185" i="2"/>
  <c r="E184" i="2"/>
  <c r="E183" i="2"/>
  <c r="E182" i="2"/>
  <c r="E181" i="2"/>
  <c r="E180" i="2"/>
  <c r="E179" i="2"/>
  <c r="E178" i="2"/>
  <c r="E177" i="2"/>
  <c r="E176" i="2"/>
  <c r="E175" i="2"/>
  <c r="E174" i="2"/>
  <c r="E173" i="2"/>
  <c r="E172" i="2"/>
  <c r="E171" i="2"/>
  <c r="E170" i="2"/>
  <c r="E169" i="2"/>
  <c r="E168" i="2"/>
  <c r="E167" i="2"/>
  <c r="E166" i="2"/>
  <c r="E165" i="2"/>
  <c r="E164" i="2"/>
  <c r="E163" i="2"/>
  <c r="E162" i="2"/>
  <c r="E161" i="2"/>
  <c r="E160" i="2"/>
  <c r="E159" i="2"/>
  <c r="E158" i="2"/>
  <c r="E157" i="2"/>
  <c r="D121" i="2" l="1"/>
  <c r="C122" i="2" s="1"/>
  <c r="H120" i="2"/>
  <c r="E220" i="2"/>
  <c r="E221" i="2"/>
  <c r="E222" i="2"/>
  <c r="E223" i="2"/>
  <c r="E224" i="2"/>
  <c r="H121" i="2" l="1"/>
  <c r="D122" i="2"/>
  <c r="C123" i="2" s="1"/>
  <c r="E219" i="2"/>
  <c r="E218" i="2"/>
  <c r="E217" i="2"/>
  <c r="E216" i="2"/>
  <c r="E215" i="2"/>
  <c r="D123" i="2" l="1"/>
  <c r="C124" i="2" s="1"/>
  <c r="H122" i="2"/>
  <c r="E7" i="2"/>
  <c r="E8" i="2"/>
  <c r="E9" i="2"/>
  <c r="E10" i="2"/>
  <c r="E11" i="2"/>
  <c r="E12" i="2"/>
  <c r="E13" i="2"/>
  <c r="E14" i="2"/>
  <c r="E15" i="2"/>
  <c r="E16" i="2"/>
  <c r="E17" i="2"/>
  <c r="E18" i="2"/>
  <c r="E19" i="2"/>
  <c r="E20" i="2"/>
  <c r="E21" i="2"/>
  <c r="E22" i="2"/>
  <c r="E23" i="2"/>
  <c r="E24" i="2"/>
  <c r="E25" i="2"/>
  <c r="E26" i="2"/>
  <c r="E27" i="2"/>
  <c r="E28" i="2"/>
  <c r="E29" i="2"/>
  <c r="E30" i="2"/>
  <c r="E31" i="2"/>
  <c r="E32" i="2"/>
  <c r="E33" i="2"/>
  <c r="E34" i="2"/>
  <c r="E35" i="2"/>
  <c r="E36" i="2"/>
  <c r="E37" i="2"/>
  <c r="E38" i="2"/>
  <c r="E39" i="2"/>
  <c r="E40" i="2"/>
  <c r="E41" i="2"/>
  <c r="E42" i="2"/>
  <c r="E43" i="2"/>
  <c r="E44" i="2"/>
  <c r="E45" i="2"/>
  <c r="E46" i="2"/>
  <c r="E47" i="2"/>
  <c r="E48" i="2"/>
  <c r="E49" i="2"/>
  <c r="E50" i="2"/>
  <c r="E51" i="2"/>
  <c r="E52" i="2"/>
  <c r="E53" i="2"/>
  <c r="E54" i="2"/>
  <c r="E64" i="2"/>
  <c r="E65" i="2"/>
  <c r="E66" i="2"/>
  <c r="E67" i="2"/>
  <c r="E68" i="2"/>
  <c r="E69" i="2"/>
  <c r="E70" i="2"/>
  <c r="E71" i="2"/>
  <c r="E72" i="2"/>
  <c r="E73" i="2"/>
  <c r="E74" i="2"/>
  <c r="E75" i="2"/>
  <c r="E76" i="2"/>
  <c r="E77" i="2"/>
  <c r="E78" i="2"/>
  <c r="E79" i="2"/>
  <c r="E80" i="2"/>
  <c r="E82" i="2"/>
  <c r="E83" i="2"/>
  <c r="E84" i="2"/>
  <c r="E85" i="2"/>
  <c r="E86" i="2"/>
  <c r="E87" i="2"/>
  <c r="E88" i="2"/>
  <c r="E89" i="2"/>
  <c r="E90" i="2"/>
  <c r="E91" i="2"/>
  <c r="E92" i="2"/>
  <c r="E93" i="2"/>
  <c r="E94" i="2"/>
  <c r="E95" i="2"/>
  <c r="E96" i="2"/>
  <c r="E97" i="2"/>
  <c r="E98" i="2"/>
  <c r="E99" i="2"/>
  <c r="E100" i="2"/>
  <c r="E101" i="2"/>
  <c r="E102" i="2"/>
  <c r="E103" i="2"/>
  <c r="E104" i="2"/>
  <c r="E105" i="2"/>
  <c r="E106" i="2"/>
  <c r="E107" i="2"/>
  <c r="E108" i="2"/>
  <c r="E109" i="2"/>
  <c r="E110" i="2"/>
  <c r="E111" i="2"/>
  <c r="E112" i="2"/>
  <c r="E113" i="2"/>
  <c r="E114" i="2"/>
  <c r="E115" i="2"/>
  <c r="E116" i="2"/>
  <c r="E129" i="2"/>
  <c r="E130" i="2"/>
  <c r="E131" i="2"/>
  <c r="E132" i="2"/>
  <c r="E133" i="2"/>
  <c r="E134" i="2"/>
  <c r="E135" i="2"/>
  <c r="E136" i="2"/>
  <c r="E137" i="2"/>
  <c r="E138" i="2"/>
  <c r="E139" i="2"/>
  <c r="E140" i="2"/>
  <c r="E141" i="2"/>
  <c r="E142" i="2"/>
  <c r="E143" i="2"/>
  <c r="E144" i="2"/>
  <c r="E145" i="2"/>
  <c r="E146" i="2"/>
  <c r="E147" i="2"/>
  <c r="E148" i="2"/>
  <c r="E149" i="2"/>
  <c r="E150" i="2"/>
  <c r="E151" i="2"/>
  <c r="E152" i="2"/>
  <c r="E153" i="2"/>
  <c r="E154" i="2"/>
  <c r="E155" i="2"/>
  <c r="E156" i="2"/>
  <c r="E211" i="2"/>
  <c r="E212" i="2"/>
  <c r="E213" i="2"/>
  <c r="E214" i="2"/>
  <c r="E6" i="2"/>
  <c r="E5" i="2"/>
  <c r="E4" i="2"/>
  <c r="D4" i="2" s="1"/>
  <c r="H4" i="2" s="1"/>
  <c r="D124" i="2" l="1"/>
  <c r="C125" i="2" s="1"/>
  <c r="H123" i="2"/>
  <c r="D5" i="2"/>
  <c r="C6" i="2" s="1"/>
  <c r="H5" i="2" s="1"/>
  <c r="D125" i="2" l="1"/>
  <c r="C126" i="2" s="1"/>
  <c r="H124" i="2"/>
  <c r="D6" i="2"/>
  <c r="D126" i="2" l="1"/>
  <c r="C127" i="2" s="1"/>
  <c r="H125" i="2"/>
  <c r="C7" i="2"/>
  <c r="H6" i="2" s="1"/>
  <c r="H126" i="2" l="1"/>
  <c r="D127" i="2"/>
  <c r="C128" i="2" s="1"/>
  <c r="D7" i="2"/>
  <c r="C8" i="2" s="1"/>
  <c r="H7" i="2" s="1"/>
  <c r="H127" i="2" l="1"/>
  <c r="D128" i="2"/>
  <c r="H128" i="2" s="1"/>
  <c r="D8" i="2"/>
  <c r="C9" i="2" s="1"/>
  <c r="H8" i="2" s="1"/>
  <c r="D9" i="2" l="1"/>
  <c r="C10" i="2" s="1"/>
  <c r="H9" i="2" s="1"/>
  <c r="D10" i="2" l="1"/>
  <c r="C11" i="2" s="1"/>
  <c r="H10" i="2" s="1"/>
  <c r="D11" i="2" l="1"/>
  <c r="C12" i="2" s="1"/>
  <c r="H11" i="2" s="1"/>
  <c r="D12" i="2" l="1"/>
  <c r="C13" i="2" s="1"/>
  <c r="H12" i="2" s="1"/>
  <c r="D13" i="2" l="1"/>
  <c r="C14" i="2" s="1"/>
  <c r="H13" i="2" s="1"/>
  <c r="D14" i="2" l="1"/>
  <c r="C15" i="2" s="1"/>
  <c r="H14" i="2" s="1"/>
  <c r="D15" i="2" l="1"/>
  <c r="C16" i="2" s="1"/>
  <c r="H15" i="2" s="1"/>
  <c r="D16" i="2" l="1"/>
  <c r="C17" i="2" s="1"/>
  <c r="H16" i="2" s="1"/>
  <c r="D17" i="2" l="1"/>
  <c r="C18" i="2" s="1"/>
  <c r="H17" i="2" s="1"/>
  <c r="D18" i="2" l="1"/>
  <c r="C19" i="2" s="1"/>
  <c r="H18" i="2" s="1"/>
  <c r="D19" i="2" l="1"/>
  <c r="C20" i="2" s="1"/>
  <c r="H19" i="2" s="1"/>
  <c r="D20" i="2" l="1"/>
  <c r="C21" i="2" s="1"/>
  <c r="H20" i="2" s="1"/>
  <c r="D21" i="2" l="1"/>
  <c r="C22" i="2" s="1"/>
  <c r="H21" i="2" s="1"/>
  <c r="D22" i="2" l="1"/>
  <c r="C23" i="2" s="1"/>
  <c r="H22" i="2" s="1"/>
  <c r="D23" i="2" l="1"/>
  <c r="C24" i="2" s="1"/>
  <c r="H23" i="2" s="1"/>
  <c r="D24" i="2" l="1"/>
  <c r="C25" i="2" s="1"/>
  <c r="H24" i="2" s="1"/>
  <c r="D25" i="2" l="1"/>
  <c r="C26" i="2" s="1"/>
  <c r="H25" i="2" s="1"/>
  <c r="D26" i="2"/>
  <c r="C27" i="2" s="1"/>
  <c r="H26" i="2" s="1"/>
  <c r="D27" i="2" l="1"/>
  <c r="C28" i="2" s="1"/>
  <c r="H27" i="2" s="1"/>
  <c r="D28" i="2" l="1"/>
  <c r="C29" i="2" s="1"/>
  <c r="H28" i="2" s="1"/>
  <c r="D29" i="2" l="1"/>
  <c r="C30" i="2" s="1"/>
  <c r="H29" i="2" s="1"/>
  <c r="D30" i="2" l="1"/>
  <c r="C31" i="2" s="1"/>
  <c r="H30" i="2" s="1"/>
  <c r="D31" i="2" l="1"/>
  <c r="C32" i="2" s="1"/>
  <c r="H31" i="2" s="1"/>
  <c r="D32" i="2" l="1"/>
  <c r="C33" i="2" s="1"/>
  <c r="H32" i="2" s="1"/>
  <c r="D33" i="2" l="1"/>
  <c r="C34" i="2" s="1"/>
  <c r="H33" i="2" s="1"/>
  <c r="D34" i="2" l="1"/>
  <c r="C35" i="2" s="1"/>
  <c r="H34" i="2" s="1"/>
  <c r="D35" i="2" l="1"/>
  <c r="C36" i="2" s="1"/>
  <c r="H35" i="2" s="1"/>
  <c r="D36" i="2" l="1"/>
  <c r="C37" i="2" s="1"/>
  <c r="H36" i="2" s="1"/>
  <c r="D37" i="2" l="1"/>
  <c r="C38" i="2" s="1"/>
  <c r="H37" i="2" s="1"/>
  <c r="D38" i="2" l="1"/>
  <c r="C39" i="2" s="1"/>
  <c r="H38" i="2" s="1"/>
  <c r="D39" i="2" l="1"/>
  <c r="C40" i="2" s="1"/>
  <c r="H39" i="2" s="1"/>
  <c r="D40" i="2" l="1"/>
  <c r="C41" i="2" s="1"/>
  <c r="H40" i="2" s="1"/>
  <c r="D41" i="2" l="1"/>
  <c r="C42" i="2" s="1"/>
  <c r="H41" i="2" s="1"/>
  <c r="D42" i="2" l="1"/>
  <c r="C43" i="2" s="1"/>
  <c r="H42" i="2" s="1"/>
  <c r="D64" i="2"/>
  <c r="C65" i="2" s="1"/>
  <c r="D43" i="2" l="1"/>
  <c r="C44" i="2" s="1"/>
  <c r="H43" i="2" s="1"/>
  <c r="H64" i="2"/>
  <c r="D44" i="2" l="1"/>
  <c r="C45" i="2" s="1"/>
  <c r="H44" i="2" s="1"/>
  <c r="D65" i="2"/>
  <c r="C66" i="2" s="1"/>
  <c r="H65" i="2" l="1"/>
  <c r="D45" i="2"/>
  <c r="C46" i="2" s="1"/>
  <c r="H45" i="2" s="1"/>
  <c r="D66" i="2"/>
  <c r="C67" i="2" s="1"/>
  <c r="H66" i="2" l="1"/>
  <c r="D46" i="2"/>
  <c r="C47" i="2" s="1"/>
  <c r="H46" i="2" s="1"/>
  <c r="D67" i="2"/>
  <c r="C68" i="2" s="1"/>
  <c r="H67" i="2" l="1"/>
  <c r="D47" i="2"/>
  <c r="C48" i="2" s="1"/>
  <c r="H47" i="2" s="1"/>
  <c r="D68" i="2"/>
  <c r="C69" i="2" s="1"/>
  <c r="H68" i="2" l="1"/>
  <c r="D48" i="2"/>
  <c r="C49" i="2" s="1"/>
  <c r="H48" i="2" s="1"/>
  <c r="D69" i="2"/>
  <c r="C70" i="2" s="1"/>
  <c r="H69" i="2" l="1"/>
  <c r="D49" i="2"/>
  <c r="C50" i="2" s="1"/>
  <c r="H49" i="2" s="1"/>
  <c r="D70" i="2"/>
  <c r="C71" i="2" s="1"/>
  <c r="H70" i="2" l="1"/>
  <c r="D50" i="2"/>
  <c r="C51" i="2" s="1"/>
  <c r="H50" i="2" s="1"/>
  <c r="D71" i="2"/>
  <c r="C72" i="2" s="1"/>
  <c r="H71" i="2" s="1"/>
  <c r="D51" i="2" l="1"/>
  <c r="C52" i="2" s="1"/>
  <c r="H51" i="2" s="1"/>
  <c r="D72" i="2"/>
  <c r="C73" i="2" s="1"/>
  <c r="H72" i="2" s="1"/>
  <c r="D52" i="2" l="1"/>
  <c r="C53" i="2" s="1"/>
  <c r="H52" i="2" s="1"/>
  <c r="D73" i="2"/>
  <c r="C74" i="2" s="1"/>
  <c r="H73" i="2" s="1"/>
  <c r="D53" i="2" l="1"/>
  <c r="C54" i="2" s="1"/>
  <c r="H53" i="2" s="1"/>
  <c r="D74" i="2"/>
  <c r="C75" i="2" s="1"/>
  <c r="H74" i="2" s="1"/>
  <c r="D54" i="2" l="1"/>
  <c r="D75" i="2"/>
  <c r="C76" i="2" s="1"/>
  <c r="H75" i="2" s="1"/>
  <c r="H54" i="2" l="1"/>
  <c r="C62" i="2"/>
  <c r="D62" i="2" s="1"/>
  <c r="C63" i="2" s="1"/>
  <c r="C55" i="2"/>
  <c r="D55" i="2" s="1"/>
  <c r="D76" i="2"/>
  <c r="C77" i="2" s="1"/>
  <c r="H76" i="2" s="1"/>
  <c r="H62" i="2" l="1"/>
  <c r="D63" i="2"/>
  <c r="H63" i="2" s="1"/>
  <c r="C56" i="2"/>
  <c r="D56" i="2" s="1"/>
  <c r="H55" i="2"/>
  <c r="D77" i="2"/>
  <c r="C78" i="2" s="1"/>
  <c r="H77" i="2" s="1"/>
  <c r="C57" i="2" l="1"/>
  <c r="D57" i="2" s="1"/>
  <c r="H56" i="2"/>
  <c r="D78" i="2"/>
  <c r="C79" i="2" s="1"/>
  <c r="H78" i="2" s="1"/>
  <c r="C58" i="2" l="1"/>
  <c r="D58" i="2" s="1"/>
  <c r="H57" i="2"/>
  <c r="D79" i="2"/>
  <c r="C80" i="2" s="1"/>
  <c r="H79" i="2" s="1"/>
  <c r="C59" i="2" l="1"/>
  <c r="D59" i="2" s="1"/>
  <c r="H58" i="2"/>
  <c r="D80" i="2"/>
  <c r="C81" i="2" s="1"/>
  <c r="D81" i="2" s="1"/>
  <c r="C60" i="2" l="1"/>
  <c r="D60" i="2" s="1"/>
  <c r="H59" i="2"/>
  <c r="H80" i="2"/>
  <c r="D82" i="2"/>
  <c r="C83" i="2" s="1"/>
  <c r="H82" i="2" s="1"/>
  <c r="C61" i="2" l="1"/>
  <c r="D61" i="2" s="1"/>
  <c r="H61" i="2" s="1"/>
  <c r="H60" i="2"/>
  <c r="H81" i="2"/>
  <c r="D83" i="2"/>
  <c r="C84" i="2" s="1"/>
  <c r="H83" i="2" s="1"/>
  <c r="D84" i="2" l="1"/>
  <c r="C85" i="2" s="1"/>
  <c r="H84" i="2" s="1"/>
  <c r="D85" i="2" l="1"/>
  <c r="C86" i="2" s="1"/>
  <c r="H85" i="2" s="1"/>
  <c r="D86" i="2" l="1"/>
  <c r="C87" i="2" s="1"/>
  <c r="H86" i="2" s="1"/>
  <c r="D87" i="2" l="1"/>
  <c r="C88" i="2" s="1"/>
  <c r="H87" i="2" s="1"/>
  <c r="D88" i="2" l="1"/>
  <c r="C89" i="2" s="1"/>
  <c r="H88" i="2" s="1"/>
  <c r="D89" i="2" l="1"/>
  <c r="C90" i="2" s="1"/>
  <c r="H89" i="2" s="1"/>
  <c r="D90" i="2" l="1"/>
  <c r="C91" i="2" s="1"/>
  <c r="H90" i="2" s="1"/>
  <c r="D91" i="2" l="1"/>
  <c r="C92" i="2" s="1"/>
  <c r="H91" i="2" s="1"/>
  <c r="D92" i="2" l="1"/>
  <c r="C93" i="2" s="1"/>
  <c r="H92" i="2" s="1"/>
  <c r="D93" i="2" l="1"/>
  <c r="C94" i="2" s="1"/>
  <c r="H93" i="2" s="1"/>
  <c r="D94" i="2" l="1"/>
  <c r="C95" i="2" s="1"/>
  <c r="H94" i="2" s="1"/>
  <c r="D95" i="2" l="1"/>
  <c r="C96" i="2" s="1"/>
  <c r="H95" i="2" s="1"/>
  <c r="D96" i="2" l="1"/>
  <c r="C97" i="2" s="1"/>
  <c r="H96" i="2" s="1"/>
  <c r="D97" i="2" l="1"/>
  <c r="C98" i="2" s="1"/>
  <c r="H97" i="2" s="1"/>
  <c r="D98" i="2" l="1"/>
  <c r="C99" i="2" s="1"/>
  <c r="H98" i="2" s="1"/>
  <c r="D99" i="2" l="1"/>
  <c r="C100" i="2" s="1"/>
  <c r="H99" i="2" s="1"/>
  <c r="D100" i="2" l="1"/>
  <c r="H100" i="2" s="1"/>
  <c r="D101" i="2" l="1"/>
  <c r="C102" i="2" s="1"/>
  <c r="H101" i="2" s="1"/>
  <c r="D102" i="2" l="1"/>
  <c r="C103" i="2" s="1"/>
  <c r="H102" i="2" s="1"/>
  <c r="D103" i="2" l="1"/>
  <c r="C104" i="2" s="1"/>
  <c r="H103" i="2" s="1"/>
  <c r="D104" i="2" l="1"/>
  <c r="C105" i="2" s="1"/>
  <c r="H104" i="2" s="1"/>
  <c r="D105" i="2" l="1"/>
  <c r="C106" i="2" s="1"/>
  <c r="H105" i="2" s="1"/>
  <c r="D106" i="2" l="1"/>
  <c r="H106" i="2" s="1"/>
  <c r="D107" i="2"/>
  <c r="C108" i="2" s="1"/>
  <c r="H107" i="2" s="1"/>
  <c r="D108" i="2" l="1"/>
  <c r="C109" i="2" s="1"/>
  <c r="H108" i="2" s="1"/>
  <c r="D109" i="2" l="1"/>
  <c r="C110" i="2" s="1"/>
  <c r="H109" i="2" s="1"/>
  <c r="D110" i="2" l="1"/>
  <c r="C111" i="2" s="1"/>
  <c r="H110" i="2" s="1"/>
  <c r="D111" i="2" l="1"/>
  <c r="C112" i="2" s="1"/>
  <c r="H111" i="2" s="1"/>
  <c r="D112" i="2" l="1"/>
  <c r="C113" i="2" s="1"/>
  <c r="H112" i="2" s="1"/>
  <c r="D113" i="2" l="1"/>
  <c r="C114" i="2" s="1"/>
  <c r="H113" i="2" s="1"/>
  <c r="D114" i="2" l="1"/>
  <c r="C115" i="2" s="1"/>
  <c r="H114" i="2" s="1"/>
  <c r="D115" i="2" l="1"/>
  <c r="C116" i="2" s="1"/>
  <c r="H115" i="2" s="1"/>
  <c r="D116" i="2" l="1"/>
  <c r="H116" i="2" s="1"/>
  <c r="D129" i="2" l="1"/>
  <c r="C130" i="2" s="1"/>
  <c r="H129" i="2" s="1"/>
  <c r="D130" i="2" l="1"/>
  <c r="C131" i="2" s="1"/>
  <c r="H130" i="2" s="1"/>
  <c r="D131" i="2" l="1"/>
  <c r="C132" i="2" s="1"/>
  <c r="H131" i="2" s="1"/>
  <c r="D132" i="2" l="1"/>
  <c r="C133" i="2" s="1"/>
  <c r="H132" i="2" s="1"/>
  <c r="D133" i="2" l="1"/>
  <c r="C134" i="2" s="1"/>
  <c r="H133" i="2" s="1"/>
  <c r="D134" i="2" l="1"/>
  <c r="C135" i="2" s="1"/>
  <c r="H134" i="2" s="1"/>
  <c r="D135" i="2" l="1"/>
  <c r="C136" i="2" s="1"/>
  <c r="H135" i="2" s="1"/>
  <c r="D136" i="2" l="1"/>
  <c r="C137" i="2" s="1"/>
  <c r="H136" i="2" s="1"/>
  <c r="D137" i="2" l="1"/>
  <c r="C138" i="2" s="1"/>
  <c r="H137" i="2" s="1"/>
  <c r="D138" i="2" l="1"/>
  <c r="C139" i="2" s="1"/>
  <c r="H138" i="2" s="1"/>
  <c r="D139" i="2" l="1"/>
  <c r="C140" i="2" s="1"/>
  <c r="H139" i="2" s="1"/>
  <c r="D140" i="2" l="1"/>
  <c r="H140" i="2" s="1"/>
  <c r="D141" i="2" l="1"/>
  <c r="C142" i="2" s="1"/>
  <c r="H141" i="2" s="1"/>
  <c r="D142" i="2" l="1"/>
  <c r="C143" i="2" s="1"/>
  <c r="H142" i="2" s="1"/>
  <c r="D143" i="2" l="1"/>
  <c r="C144" i="2" s="1"/>
  <c r="H143" i="2" s="1"/>
  <c r="D144" i="2" l="1"/>
  <c r="C145" i="2" s="1"/>
  <c r="H144" i="2" s="1"/>
  <c r="D145" i="2" l="1"/>
  <c r="C146" i="2" s="1"/>
  <c r="H145" i="2" s="1"/>
  <c r="D146" i="2" l="1"/>
  <c r="C147" i="2" s="1"/>
  <c r="H146" i="2" s="1"/>
  <c r="D147" i="2" l="1"/>
  <c r="C148" i="2" s="1"/>
  <c r="H147" i="2" s="1"/>
  <c r="D148" i="2" l="1"/>
  <c r="C149" i="2" s="1"/>
  <c r="H148" i="2" s="1"/>
  <c r="D149" i="2" l="1"/>
  <c r="C150" i="2" s="1"/>
  <c r="H149" i="2" s="1"/>
  <c r="D150" i="2" l="1"/>
  <c r="C151" i="2" s="1"/>
  <c r="H150" i="2" s="1"/>
  <c r="D151" i="2" l="1"/>
  <c r="C152" i="2" s="1"/>
  <c r="H151" i="2" s="1"/>
  <c r="D152" i="2" l="1"/>
  <c r="C153" i="2" s="1"/>
  <c r="H152" i="2" s="1"/>
  <c r="D153" i="2" l="1"/>
  <c r="C154" i="2" s="1"/>
  <c r="H153" i="2" s="1"/>
  <c r="D154" i="2" l="1"/>
  <c r="H154" i="2" s="1"/>
  <c r="D155" i="2" l="1"/>
  <c r="C156" i="2" s="1"/>
  <c r="H155" i="2" s="1"/>
  <c r="D156" i="2" l="1"/>
  <c r="C157" i="2" l="1"/>
  <c r="D211" i="2"/>
  <c r="C212" i="2" s="1"/>
  <c r="H211" i="2" s="1"/>
  <c r="D157" i="2" l="1"/>
  <c r="C158" i="2" s="1"/>
  <c r="H157" i="2" s="1"/>
  <c r="H156" i="2"/>
  <c r="D212" i="2"/>
  <c r="H212" i="2" s="1"/>
  <c r="D158" i="2" l="1"/>
  <c r="C159" i="2" s="1"/>
  <c r="H158" i="2" s="1"/>
  <c r="D213" i="2"/>
  <c r="H213" i="2" s="1"/>
  <c r="D159" i="2" l="1"/>
  <c r="C160" i="2" s="1"/>
  <c r="H159" i="2" s="1"/>
  <c r="D160" i="2"/>
  <c r="C161" i="2" s="1"/>
  <c r="H160" i="2" s="1"/>
  <c r="D214" i="2"/>
  <c r="H214" i="2" s="1"/>
  <c r="D161" i="2" l="1"/>
  <c r="C162" i="2" s="1"/>
  <c r="H161" i="2" s="1"/>
  <c r="D215" i="2"/>
  <c r="C216" i="2" s="1"/>
  <c r="H215" i="2" s="1"/>
  <c r="D162" i="2" l="1"/>
  <c r="C163" i="2" s="1"/>
  <c r="D216" i="2"/>
  <c r="C217" i="2" s="1"/>
  <c r="H216" i="2" s="1"/>
  <c r="D163" i="2" l="1"/>
  <c r="C164" i="2" s="1"/>
  <c r="H163" i="2" s="1"/>
  <c r="H162" i="2"/>
  <c r="D217" i="2"/>
  <c r="C218" i="2" s="1"/>
  <c r="H217" i="2" s="1"/>
  <c r="D164" i="2" l="1"/>
  <c r="C165" i="2" s="1"/>
  <c r="H164" i="2" s="1"/>
  <c r="D165" i="2"/>
  <c r="C166" i="2" s="1"/>
  <c r="H165" i="2" s="1"/>
  <c r="D218" i="2"/>
  <c r="C219" i="2" s="1"/>
  <c r="H218" i="2" s="1"/>
  <c r="D166" i="2" l="1"/>
  <c r="C167" i="2" s="1"/>
  <c r="H166" i="2" s="1"/>
  <c r="D219" i="2"/>
  <c r="C220" i="2" s="1"/>
  <c r="H219" i="2" s="1"/>
  <c r="D167" i="2" l="1"/>
  <c r="C168" i="2" s="1"/>
  <c r="H167" i="2" s="1"/>
  <c r="D220" i="2"/>
  <c r="C221" i="2" s="1"/>
  <c r="H220" i="2" s="1"/>
  <c r="D168" i="2" l="1"/>
  <c r="C169" i="2" s="1"/>
  <c r="H168" i="2" s="1"/>
  <c r="D221" i="2"/>
  <c r="C222" i="2" s="1"/>
  <c r="H221" i="2" s="1"/>
  <c r="D169" i="2" l="1"/>
  <c r="C170" i="2" s="1"/>
  <c r="H169" i="2" s="1"/>
  <c r="D222" i="2"/>
  <c r="C223" i="2" s="1"/>
  <c r="H222" i="2" s="1"/>
  <c r="D170" i="2" l="1"/>
  <c r="C171" i="2" s="1"/>
  <c r="H170" i="2" s="1"/>
  <c r="D223" i="2"/>
  <c r="C224" i="2" s="1"/>
  <c r="H223" i="2" s="1"/>
  <c r="D171" i="2" l="1"/>
  <c r="C172" i="2" s="1"/>
  <c r="H171" i="2" s="1"/>
  <c r="D224" i="2"/>
  <c r="H224" i="2" s="1"/>
  <c r="D172" i="2" l="1"/>
  <c r="C173" i="2" s="1"/>
  <c r="D173" i="2" l="1"/>
  <c r="C174" i="2" s="1"/>
  <c r="H173" i="2" s="1"/>
  <c r="H172" i="2"/>
  <c r="D174" i="2" l="1"/>
  <c r="C175" i="2" s="1"/>
  <c r="H174" i="2" s="1"/>
  <c r="D175" i="2" l="1"/>
  <c r="C176" i="2" s="1"/>
  <c r="H175" i="2" s="1"/>
  <c r="D176" i="2" l="1"/>
  <c r="C177" i="2" s="1"/>
  <c r="H176" i="2" s="1"/>
  <c r="D177" i="2" l="1"/>
  <c r="C178" i="2" s="1"/>
  <c r="D178" i="2"/>
  <c r="C179" i="2" s="1"/>
  <c r="H178" i="2" s="1"/>
  <c r="H177" i="2"/>
  <c r="D179" i="2"/>
  <c r="C180" i="2" s="1"/>
  <c r="H179" i="2" s="1"/>
  <c r="D180" i="2" l="1"/>
  <c r="C181" i="2" s="1"/>
  <c r="H180" i="2" s="1"/>
  <c r="D181" i="2" l="1"/>
  <c r="C182" i="2" s="1"/>
  <c r="H181" i="2" s="1"/>
  <c r="D182" i="2" l="1"/>
  <c r="C183" i="2" s="1"/>
  <c r="H182" i="2" s="1"/>
  <c r="D183" i="2" l="1"/>
  <c r="C184" i="2" s="1"/>
  <c r="H183" i="2" s="1"/>
  <c r="D184" i="2" l="1"/>
  <c r="C185" i="2" s="1"/>
  <c r="H184" i="2" s="1"/>
  <c r="D185" i="2" l="1"/>
  <c r="C186" i="2" s="1"/>
  <c r="H185" i="2" s="1"/>
  <c r="D186" i="2" l="1"/>
  <c r="C187" i="2" s="1"/>
  <c r="H186" i="2" s="1"/>
  <c r="D187" i="2" l="1"/>
  <c r="C188" i="2" s="1"/>
  <c r="H187" i="2" s="1"/>
  <c r="D188" i="2" l="1"/>
  <c r="C189" i="2" s="1"/>
  <c r="H188" i="2" s="1"/>
  <c r="D189" i="2" l="1"/>
  <c r="C190" i="2" s="1"/>
  <c r="H189" i="2" s="1"/>
  <c r="D190" i="2" l="1"/>
  <c r="C191" i="2" s="1"/>
  <c r="H190" i="2" s="1"/>
  <c r="D191" i="2" l="1"/>
  <c r="C192" i="2" s="1"/>
  <c r="H191" i="2" s="1"/>
  <c r="D192" i="2" l="1"/>
  <c r="C193" i="2" s="1"/>
  <c r="H192" i="2" s="1"/>
  <c r="D193" i="2" l="1"/>
  <c r="C194" i="2" s="1"/>
  <c r="H193" i="2" s="1"/>
  <c r="D194" i="2" l="1"/>
  <c r="C195" i="2" s="1"/>
  <c r="H194" i="2" s="1"/>
  <c r="D195" i="2" l="1"/>
  <c r="C196" i="2" s="1"/>
  <c r="H195" i="2" s="1"/>
  <c r="D196" i="2" l="1"/>
  <c r="C197" i="2" s="1"/>
  <c r="H196" i="2" s="1"/>
  <c r="D197" i="2" l="1"/>
  <c r="C198" i="2" s="1"/>
  <c r="H197" i="2" s="1"/>
  <c r="D198" i="2" l="1"/>
  <c r="C199" i="2" s="1"/>
  <c r="H198" i="2" s="1"/>
  <c r="D199" i="2" l="1"/>
  <c r="C200" i="2" s="1"/>
  <c r="H199" i="2" s="1"/>
  <c r="D200" i="2" l="1"/>
  <c r="C201" i="2" s="1"/>
  <c r="H200" i="2" s="1"/>
  <c r="D201" i="2" l="1"/>
  <c r="C202" i="2" s="1"/>
  <c r="H201" i="2" s="1"/>
  <c r="D202" i="2" l="1"/>
  <c r="C203" i="2" s="1"/>
  <c r="H202" i="2" s="1"/>
  <c r="D203" i="2" l="1"/>
  <c r="C204" i="2" s="1"/>
  <c r="H203" i="2" s="1"/>
  <c r="D204" i="2" l="1"/>
  <c r="C205" i="2" s="1"/>
  <c r="H204" i="2" s="1"/>
  <c r="D205" i="2" l="1"/>
  <c r="C206" i="2" s="1"/>
  <c r="H205" i="2" s="1"/>
  <c r="D206" i="2" l="1"/>
  <c r="C207" i="2" s="1"/>
  <c r="H206" i="2" s="1"/>
  <c r="D207" i="2" l="1"/>
  <c r="C208" i="2" s="1"/>
  <c r="H207" i="2" s="1"/>
  <c r="D208" i="2" l="1"/>
  <c r="C209" i="2" s="1"/>
  <c r="H208" i="2" s="1"/>
  <c r="D209" i="2" l="1"/>
  <c r="C210" i="2" s="1"/>
  <c r="H209" i="2" s="1"/>
  <c r="D210" i="2" l="1"/>
  <c r="H210" i="2" s="1"/>
</calcChain>
</file>

<file path=xl/sharedStrings.xml><?xml version="1.0" encoding="utf-8"?>
<sst xmlns="http://schemas.openxmlformats.org/spreadsheetml/2006/main" count="230" uniqueCount="230">
  <si>
    <t>Test number (start)</t>
  </si>
  <si>
    <t>Test number (end)</t>
  </si>
  <si>
    <t>Totoal number</t>
  </si>
  <si>
    <t>Step Num</t>
    <phoneticPr fontId="5" type="noConversion"/>
  </si>
  <si>
    <t>Flow_DC_Conti</t>
  </si>
  <si>
    <t>Flow_eFuse_ECID_Blank_Check</t>
    <phoneticPr fontId="8" type="noConversion"/>
  </si>
  <si>
    <t>Flow_EVS</t>
  </si>
  <si>
    <t>Flow_eFuse_ECID_DEID</t>
    <phoneticPr fontId="8" type="noConversion"/>
  </si>
  <si>
    <t>Flow_SPI</t>
    <phoneticPr fontId="4" type="noConversion"/>
  </si>
  <si>
    <t>Flow_eFuse_ECID_nonDEID</t>
    <phoneticPr fontId="8" type="noConversion"/>
  </si>
  <si>
    <t>Flow_eFuse_UID</t>
    <phoneticPr fontId="8" type="noConversion"/>
  </si>
  <si>
    <t>Flow_eFuse_Config</t>
    <phoneticPr fontId="8" type="noConversion"/>
  </si>
  <si>
    <t>Flow_eFuse_UDR</t>
    <phoneticPr fontId="8" type="noConversion"/>
  </si>
  <si>
    <t>Flow_eFuse_Sensor</t>
    <phoneticPr fontId="8" type="noConversion"/>
  </si>
  <si>
    <t>Flow_eFuse_ECID</t>
    <phoneticPr fontId="8" type="noConversion"/>
  </si>
  <si>
    <t>Flow_eFuse_CFG_UDR_SEN_Read</t>
    <phoneticPr fontId="8" type="noConversion"/>
  </si>
  <si>
    <t>Sub Flow Name</t>
    <phoneticPr fontId="5" type="noConversion"/>
  </si>
  <si>
    <t>Default =100</t>
    <phoneticPr fontId="5" type="noConversion"/>
  </si>
  <si>
    <t>without the value, will set to (next_start-1)</t>
    <phoneticPr fontId="5" type="noConversion"/>
  </si>
  <si>
    <t>Flow_SOC_SAA_EQN_LV</t>
  </si>
  <si>
    <t>Flow_SOC_SAA_EQN_HV</t>
  </si>
  <si>
    <t>Flow_GFX_SAA_EQN_LV</t>
  </si>
  <si>
    <t>Flow_GFX_SAA_EQN_HV</t>
  </si>
  <si>
    <t>Flow_CPU_SAA_EQN_LV</t>
  </si>
  <si>
    <t>Flow_CPU_SAA_EQN_HV</t>
  </si>
  <si>
    <t>FLOW_SOC_TD_MS005_EQN_HV</t>
  </si>
  <si>
    <t>Flow_GFX_TD_MG00C_EQN_LV</t>
  </si>
  <si>
    <t>Flow_GFX_TD_MG001_EQN_LV</t>
  </si>
  <si>
    <t>FLOW_ECPU_TD_ME008_EQN_LV</t>
  </si>
  <si>
    <t>FLOW_ECPU_TD_ME001_EQN_LV</t>
  </si>
  <si>
    <t>FLOW_PCPU_TD_MP00F_EQN_LV</t>
  </si>
  <si>
    <t>FLOW_PCPU_TD_MP001_EQN_LV</t>
  </si>
  <si>
    <t>FLOW_SOC_TD_MP001_EQN_LV</t>
  </si>
  <si>
    <t>FLOW_SOC_TD_MP00D_EQN_LV</t>
  </si>
  <si>
    <t>Flow_Vddbinning</t>
    <phoneticPr fontId="8" type="noConversion"/>
  </si>
  <si>
    <t>Flow_PostBincut</t>
  </si>
  <si>
    <t>Flow_HARDIP_PWRDET</t>
  </si>
  <si>
    <t>Flow_HARDIP_DSGVTHSENSER</t>
  </si>
  <si>
    <t>Flow_DCTEST_IDS</t>
  </si>
  <si>
    <t>Flow_HARDIP_FRO</t>
  </si>
  <si>
    <t>Flow_HARDIP_PCIE5</t>
  </si>
  <si>
    <t>Flow_HARDIP_PCIEREFBUF</t>
  </si>
  <si>
    <t>Flow_HARDIP_ACIPHY</t>
  </si>
  <si>
    <t>Flow_HARDIP_SEPF2M</t>
  </si>
  <si>
    <t>Flow_HARDIP_IVDM</t>
  </si>
  <si>
    <t>Flow_HARDIP_ULPPLL</t>
  </si>
  <si>
    <t>Flow_HARDIP_FLPPLL</t>
  </si>
  <si>
    <t>Flow_HARDIP_ADCLK</t>
  </si>
  <si>
    <t>Flow_HARDIP_PCIEREFPLL</t>
  </si>
  <si>
    <t>Flow_S_BI_PP_CP1</t>
  </si>
  <si>
    <t>Flow_S_BI_PP_CP2</t>
  </si>
  <si>
    <t>Flow_S_BI_PP_FT1</t>
  </si>
  <si>
    <t>Flow_S_BI_PP_FT2</t>
  </si>
  <si>
    <t>Flow_C_BI_PP_CP1</t>
  </si>
  <si>
    <t>Flow_C_BI_PP_CP2</t>
  </si>
  <si>
    <t>Flow_C_BI_PP_FT1</t>
  </si>
  <si>
    <t>Flow_C_BI_PP_FT2</t>
  </si>
  <si>
    <t>Flow_L_BI_PP_CP1</t>
  </si>
  <si>
    <t>Flow_L_BI_PP_CP2</t>
  </si>
  <si>
    <t>Flow_L_BI_PP_FT1</t>
  </si>
  <si>
    <t>Flow_L_BI_PP_FT2</t>
  </si>
  <si>
    <t>Test Itmes</t>
  </si>
  <si>
    <t>Flow_MS001_TD_Mbist_BV</t>
  </si>
  <si>
    <t>Flow_MS005_TD_Mbist_BV</t>
  </si>
  <si>
    <t>Flow_MS002_TD_Mbist_BV</t>
  </si>
  <si>
    <t>Flow_MS003_TD_Mbist_BV</t>
  </si>
  <si>
    <t>Flow_MS004_TD_Mbist_BV</t>
  </si>
  <si>
    <t>Flow_MD001_TD_Mbist_BV</t>
  </si>
  <si>
    <t>Flow_MD008_TD_Mbist_BV</t>
  </si>
  <si>
    <t>Flow_MD002_TD_Mbist_BV</t>
  </si>
  <si>
    <t>Flow_MD003_TD_Mbist_BV</t>
  </si>
  <si>
    <t>Flow_MD004_TD_Mbist_BV</t>
  </si>
  <si>
    <t>Flow_MD005_TD_Mbist_BV</t>
  </si>
  <si>
    <t>Flow_MD006_TD_Mbist_BV</t>
  </si>
  <si>
    <t>Flow_MD007_TD_Mbist_BV</t>
  </si>
  <si>
    <t>Flow_MI001_TD_Mbist_BV</t>
  </si>
  <si>
    <t>Flow_MI003_TD_Mbist_BV</t>
  </si>
  <si>
    <t>Flow_MI002_TD_Mbist_BV</t>
  </si>
  <si>
    <t>Flow_MG001_TD_Mbist_BV</t>
  </si>
  <si>
    <t>Flow_MG00C_TD_Mbist_BV</t>
  </si>
  <si>
    <t>Flow_MG00D_TD_Mbist_BV</t>
  </si>
  <si>
    <t>Flow_MG002_TD_Mbist_BV</t>
  </si>
  <si>
    <t>Flow_MG003_TD_Mbist_BV</t>
  </si>
  <si>
    <t>Flow_MG004_TD_Mbist_BV</t>
  </si>
  <si>
    <t>Flow_MG005_TD_Mbist_BV</t>
  </si>
  <si>
    <t>Flow_MG006_TD_Mbist_BV</t>
  </si>
  <si>
    <t>Flow_MG007_TD_Mbist_BV</t>
  </si>
  <si>
    <t>Flow_MG008_TD_Mbist_BV</t>
  </si>
  <si>
    <t>Flow_MG009_TD_Mbist_BV</t>
  </si>
  <si>
    <t>Flow_MG00A_TD_Mbist_BV</t>
  </si>
  <si>
    <t>Flow_MG00B_TD_Mbist_BV</t>
  </si>
  <si>
    <t>Flow_ME001_TD_Mbist_BV</t>
  </si>
  <si>
    <t>Flow_ME007_TD_Mbist_BV</t>
  </si>
  <si>
    <t>Flow_ME002_TD_Mbist_BV</t>
  </si>
  <si>
    <t>Flow_ME003_TD_Mbist_BV</t>
  </si>
  <si>
    <t>Flow_ME004_TD_Mbist_BV</t>
  </si>
  <si>
    <t>Flow_ME005_TD_Mbist_BV</t>
  </si>
  <si>
    <t>Flow_ME006_TD_Mbist_BV</t>
  </si>
  <si>
    <t>Flow_MP001_TD_Mbist_BV</t>
  </si>
  <si>
    <t>Flow_MP00D_TD_Mbist_BV</t>
  </si>
  <si>
    <t>Flow_MP002_TD_Mbist_BV</t>
  </si>
  <si>
    <t>Flow_MP003_TD_Mbist_BV</t>
  </si>
  <si>
    <t>Flow_MP004_TD_Mbist_BV</t>
  </si>
  <si>
    <t>Flow_MP005_TD_Mbist_BV</t>
  </si>
  <si>
    <t>Flow_MP006_TD_Mbist_BV</t>
  </si>
  <si>
    <t>Flow_MP007_TD_Mbist_BV</t>
  </si>
  <si>
    <t>Flow_MP008_TD_Mbist_BV</t>
  </si>
  <si>
    <t>Flow_MP009_TD_Mbist_BV</t>
  </si>
  <si>
    <t>Flow_MP00A_TD_Mbist_BV</t>
  </si>
  <si>
    <t>Flow_MP00B_TD_Mbist_BV</t>
  </si>
  <si>
    <t>Flow_MP00C_TD_Mbist_BV</t>
  </si>
  <si>
    <t>Flow_T0TX_PreCall</t>
  </si>
  <si>
    <t>Flow_VddBinning_HVCC</t>
  </si>
  <si>
    <t>Flow_EVS_ECPU_mbist_w0</t>
  </si>
  <si>
    <t>Flow_EVS_ECPU_mbist_w1</t>
  </si>
  <si>
    <t>Flow_EVS_PCPU_PCORES_mbist_w0</t>
  </si>
  <si>
    <t>Flow_EVS_PCPU_PCORES_mbist_w1</t>
  </si>
  <si>
    <t>Flow_EVS_PCPU_CPM_mbist_w0</t>
  </si>
  <si>
    <t>Flow_EVS_PCPU_CPM_mbist_w1</t>
  </si>
  <si>
    <t>Flow_EVS_PCPU_Scan_EVS00</t>
  </si>
  <si>
    <t>Flow_EVS_ECPU_Scan_EVS00</t>
  </si>
  <si>
    <t>Flow_EVS_PCPU_Scan_EVS11</t>
  </si>
  <si>
    <t>Flow_EVS_ECPU_Scan_EVS11</t>
  </si>
  <si>
    <t>Flow_EVS_GFX_MBIST_INVERSE</t>
  </si>
  <si>
    <t>Flow_EVS_GFX_MBIST_TRUE</t>
  </si>
  <si>
    <t>Flow_EVS_SOC_Scan_EVS0</t>
  </si>
  <si>
    <t>Flow_EVS_SOC_Scan_EVS1</t>
  </si>
  <si>
    <t>Flow_EVS_GFX_Scan_EVS0000</t>
  </si>
  <si>
    <t>Flow_EVS_GFX_Scan_EVS1111</t>
  </si>
  <si>
    <t>Flow_Char</t>
  </si>
  <si>
    <t>Flow_CPM</t>
  </si>
  <si>
    <t>Flow_eFuse_PreWrite</t>
  </si>
  <si>
    <t>Flow_efuse_PseudoFuse</t>
  </si>
  <si>
    <t>Flow_efuse_CFG</t>
  </si>
  <si>
    <t>Flow_efuse_UDR_P</t>
  </si>
  <si>
    <t>Flow_efuse_UDR_E</t>
  </si>
  <si>
    <t>Flow_efuse_MON</t>
  </si>
  <si>
    <t>Flow_efuse_Post</t>
  </si>
  <si>
    <t>Flow_efuse_CFG_Early</t>
  </si>
  <si>
    <t>FLOW_PCPU_TD_MP00L_EQN_LV</t>
  </si>
  <si>
    <t>Flow_MG00E_TD_Mbist_BV</t>
  </si>
  <si>
    <t>Flow_HARDIP_SEPVMC</t>
  </si>
  <si>
    <t>Flow_HARDIP_VMADC</t>
  </si>
  <si>
    <t>Flow_HARDIP_IO_JTAG</t>
  </si>
  <si>
    <t>Flow_HARDIP_PCIEREFGEN</t>
  </si>
  <si>
    <t>Flow_HARDIP_CLKMON</t>
  </si>
  <si>
    <t>Flow_HARDIP_LAPLL</t>
  </si>
  <si>
    <t>Flow_HARDIP_LPDPDPPLL</t>
  </si>
  <si>
    <t>Flow_HARDIP_PCIEPLL</t>
  </si>
  <si>
    <t>Flow_HARDIP_ACIOPHY</t>
  </si>
  <si>
    <t>Flow_HARDIP_CIOCIOPLL</t>
  </si>
  <si>
    <t>Flow_HARDIP_CIODPPLL</t>
  </si>
  <si>
    <t>Flow_HARDIP_ADCDFT</t>
  </si>
  <si>
    <t>Flow_HARDIP_DAPS</t>
  </si>
  <si>
    <t>Flow_HARDIP_NCKM</t>
  </si>
  <si>
    <t>Flow_HARDIP_HSCSAROSC</t>
  </si>
  <si>
    <t>Flow_HARDIP_CPLL</t>
  </si>
  <si>
    <t>Flow_HARDIP_MIDBIASLDO</t>
  </si>
  <si>
    <t>Illegal</t>
  </si>
  <si>
    <t>Flow_Harvest_eFuse_Read</t>
  </si>
  <si>
    <t>Flow_SetBinFuse</t>
  </si>
  <si>
    <t>Main_Flow_CP1</t>
  </si>
  <si>
    <t>Main_Flow_CP2</t>
  </si>
  <si>
    <t>Main_Flow_FT1</t>
  </si>
  <si>
    <t>Main_Flow_FT2</t>
  </si>
  <si>
    <t>Main_Flow_FT3</t>
  </si>
  <si>
    <t>Flow_Table_Main_Init_Flows</t>
  </si>
  <si>
    <t>Flow_Table_Main_Init_Flag</t>
  </si>
  <si>
    <t>Flow_Table_Main_Init_EnableWd</t>
  </si>
  <si>
    <t>Flow_Table_Main_EndFlow</t>
  </si>
  <si>
    <t>Flow_EnableWdSheet</t>
  </si>
  <si>
    <t>Flow_MD009_TD_Mbist_BV</t>
  </si>
  <si>
    <t>Flow_MI004_TD_Mbist_BV</t>
  </si>
  <si>
    <t>Flow_MG00F_TD_Mbist_BV</t>
  </si>
  <si>
    <t>Flow_MP00J_TD_Mbist_BV</t>
  </si>
  <si>
    <t>Flow_HARDIP_MTRICTS</t>
  </si>
  <si>
    <t>Flow_HARDIP_NTSE</t>
  </si>
  <si>
    <t>Flow_HARDIP_NTSR</t>
  </si>
  <si>
    <t>Flow_HARDIP_MISC</t>
  </si>
  <si>
    <t>Flow_HARDIP_PCIE5CMN</t>
  </si>
  <si>
    <t>Flow_HARDIP_ACIPHYCMN</t>
  </si>
  <si>
    <t>Flow_HARDIP_ACIOPHYCMN</t>
  </si>
  <si>
    <t>Flow_HARDIP_LPDPTXCMN</t>
  </si>
  <si>
    <t>Flow_HARDIP_AMPCMN</t>
  </si>
  <si>
    <t>Flow_HARDIP_LPDDRPLL</t>
  </si>
  <si>
    <t>Flow_HARDIP_LPDPTX</t>
  </si>
  <si>
    <t>Flow_HARDIP_NTSX</t>
  </si>
  <si>
    <t>Flow_HARDIP_EUSB</t>
  </si>
  <si>
    <t>Flow_HARDIP_DSGRINGS</t>
  </si>
  <si>
    <t>Flow_HARDIP_NPMS</t>
  </si>
  <si>
    <t>Flow_HARDIP_LLPS</t>
  </si>
  <si>
    <t>Flow_HARDIP_ABSMIN</t>
  </si>
  <si>
    <t>Flow_HARDIP_AMP</t>
  </si>
  <si>
    <t>Flow_HARDIP_AMP_VT</t>
  </si>
  <si>
    <t>Flow_Harv_Dec_CP1_BC</t>
  </si>
  <si>
    <t>Flow_Harv_Dec_CP1_OB</t>
  </si>
  <si>
    <t>Flow_Harv_Dec_CP1_RD</t>
  </si>
  <si>
    <t>Flow_Harv_Dec_CP2_BC</t>
  </si>
  <si>
    <t>Flow_Harv_Dec_CP2_OB</t>
  </si>
  <si>
    <t>Flow_Harv_Dec_CP2_RD</t>
  </si>
  <si>
    <t>Flow_Harv_Dec_FT1_BC</t>
  </si>
  <si>
    <t>Flow_Harv_Dec_FT1_OB</t>
  </si>
  <si>
    <t>Flow_Harv_Dec_FT1_RD</t>
  </si>
  <si>
    <t>Flow_Harv_Dec_FT2_BC</t>
  </si>
  <si>
    <t>Flow_Harv_Dec_FT2_OB</t>
  </si>
  <si>
    <t>Flow_Harv_Dec_FT2_RD</t>
  </si>
  <si>
    <t>Flow_efuse_BankRead</t>
  </si>
  <si>
    <t>Flow_S_BI_PP_CP1_BURST</t>
  </si>
  <si>
    <t>Flow_C_BI_PP_CP1_BURST</t>
  </si>
  <si>
    <t>Flow_L_BI_PP_CP1_BURST</t>
  </si>
  <si>
    <t>Flow_S_BI_PP_CP2_BURST</t>
  </si>
  <si>
    <t>Flow_C_BI_PP_CP2_BURST</t>
  </si>
  <si>
    <t>Flow_L_BI_PP_CP2_BURST</t>
  </si>
  <si>
    <t>Flow_S_BI_PP_FT1_BURST</t>
  </si>
  <si>
    <t>Flow_C_BI_PP_FT1_BURST</t>
  </si>
  <si>
    <t>Flow_L_BI_PP_FT1_BURST</t>
  </si>
  <si>
    <t>Flow_S_BI_PP_FT2_BURST</t>
  </si>
  <si>
    <t>Flow_C_BI_PP_FT2_BURST</t>
  </si>
  <si>
    <t>Flow_L_BI_PP_FT2_BURST</t>
  </si>
  <si>
    <t>Flow_EVS_SOC_mbist_WD</t>
  </si>
  <si>
    <t>Flow_EVS_SOC_mbist_WB</t>
  </si>
  <si>
    <t>Flow_HARDIP_PWRCHAIN_PREEVS</t>
  </si>
  <si>
    <t>Flow_HARDIP_PWRCHAIN_POSTEVS</t>
  </si>
  <si>
    <t>Flow_HardIP_Init_Flag</t>
  </si>
  <si>
    <t>Flow_HARDIP_ADCDFT_RETRIM</t>
  </si>
  <si>
    <t>Flow_HARDIP_AMP_TRIM</t>
  </si>
  <si>
    <t>Flow_HARDIP_LLPSMN</t>
  </si>
  <si>
    <t>Flow_HARDIP_AMP_Create_Overlay</t>
  </si>
  <si>
    <t>Flow_HARDIP_MTR_DEFERBINOUT</t>
  </si>
  <si>
    <t>Flow_HARDIP_AMP_Clear_Overlay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</si>
</sst>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???.###E+00;\-???.###E+00;0"/>
  </numFmts>
  <fonts count="38">
    <font>
      <sz val="11"/>
      <color theme="1"/>
      <name val="Calibri"/>
      <family val="1"/>
      <charset val="136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9"/>
      <name val="新細明體"/>
      <family val="1"/>
      <charset val="136"/>
    </font>
    <font>
      <sz val="11"/>
      <color theme="1"/>
      <name val="Calibri"/>
      <family val="1"/>
      <charset val="136"/>
      <scheme val="minor"/>
    </font>
    <font>
      <sz val="11"/>
      <color theme="1"/>
      <name val="Calibri"/>
      <family val="2"/>
    </font>
    <font>
      <sz val="10"/>
      <color theme="1"/>
      <name val="Calibri"/>
      <family val="2"/>
      <scheme val="minor"/>
    </font>
    <font>
      <sz val="11"/>
      <name val="Calibri"/>
      <family val="2"/>
    </font>
    <font>
      <sz val="10"/>
      <name val="Arial"/>
      <family val="2"/>
    </font>
    <font>
      <sz val="10"/>
      <color rgb="FF808080"/>
      <name val="Arial"/>
      <family val="2"/>
    </font>
    <font>
      <sz val="10"/>
      <name val="Courier New"/>
      <family val="3"/>
    </font>
    <font>
      <sz val="10"/>
      <color rgb="FF808080"/>
      <name val="Courier New"/>
      <family val="3"/>
    </font>
    <font>
      <sz val="10"/>
      <color theme="1"/>
      <name val="Arial"/>
      <family val="2"/>
    </font>
    <font>
      <b/>
      <sz val="10"/>
      <color theme="1"/>
      <name val="Arial"/>
      <family val="2"/>
    </font>
    <font>
      <b/>
      <sz val="20"/>
      <color indexed="47"/>
      <name val="Arial"/>
      <family val="2"/>
    </font>
    <font>
      <b/>
      <sz val="10"/>
      <color indexed="47"/>
      <name val="Arial"/>
      <family val="2"/>
    </font>
    <font>
      <b/>
      <sz val="10"/>
      <color indexed="55"/>
      <name val="Arial"/>
      <family val="2"/>
    </font>
    <font>
      <b/>
      <i/>
      <u/>
      <sz val="10"/>
      <color indexed="55"/>
      <name val="Arial"/>
      <family val="2"/>
    </font>
    <font>
      <b/>
      <sz val="10"/>
      <name val="Arial"/>
      <family val="2"/>
    </font>
    <font>
      <b/>
      <i/>
      <u/>
      <sz val="10"/>
      <name val="Arial"/>
      <family val="2"/>
    </font>
    <font>
      <sz val="8"/>
      <color indexed="48"/>
      <name val="Arial"/>
      <family val="2"/>
    </font>
    <font>
      <b/>
      <sz val="11"/>
      <color theme="0"/>
      <name val="Calibri"/>
      <family val="2"/>
    </font>
    <font>
      <sz val="11"/>
      <name val="Arial"/>
      <family val="2"/>
    </font>
    <font>
      <sz val="12"/>
      <color theme="1"/>
      <name val="Calibri"/>
      <family val="2"/>
      <scheme val="minor"/>
    </font>
    <font>
      <i/>
      <sz val="12"/>
      <color rgb="FF7F7F7F"/>
      <name val="Calibri"/>
      <family val="2"/>
      <scheme val="minor"/>
    </font>
    <font>
      <sz val="12"/>
      <color rgb="FF9C0006"/>
      <name val="Calibri"/>
      <family val="2"/>
      <scheme val="minor"/>
    </font>
    <font>
      <sz val="12"/>
      <color indexed="8"/>
      <name val="Calibri"/>
      <family val="2"/>
    </font>
    <font>
      <u/>
      <sz val="12"/>
      <color theme="10"/>
      <name val="Calibri"/>
      <family val="2"/>
      <scheme val="minor"/>
    </font>
    <font>
      <sz val="12"/>
      <color theme="1"/>
      <name val="Calibri"/>
      <family val="2"/>
      <charset val="136"/>
      <scheme val="minor"/>
    </font>
    <font>
      <i/>
      <sz val="12"/>
      <color rgb="FF7F7F7F"/>
      <name val="Calibri"/>
      <family val="2"/>
      <charset val="136"/>
      <scheme val="minor"/>
    </font>
    <font>
      <b/>
      <sz val="11"/>
      <name val="Calibri"/>
      <family val="2"/>
    </font>
    <font>
      <sz val="11"/>
      <name val="Arial"/>
      <family val="1"/>
    </font>
    <font>
      <sz val="12"/>
      <color rgb="FF006100"/>
      <name val="Calibri"/>
      <family val="2"/>
      <scheme val="minor"/>
    </font>
    <font>
      <sz val="11"/>
      <color rgb="FF000000"/>
      <name val="Calibri"/>
      <family val="2"/>
      <charset val="1"/>
    </font>
    <font>
      <sz val="11"/>
      <color theme="1"/>
      <name val="Calibri"/>
      <family val="2"/>
      <charset val="136"/>
      <scheme val="minor"/>
    </font>
    <font>
      <sz val="9"/>
      <name val="Calibri"/>
      <family val="1"/>
      <charset val="136"/>
      <scheme val="minor"/>
    </font>
  </fonts>
  <fills count="18">
    <fill>
      <patternFill patternType="none"/>
    </fill>
    <fill>
      <patternFill patternType="gray125"/>
    </fill>
    <fill>
      <patternFill patternType="solid">
        <fgColor rgb="FF0070C0"/>
        <bgColor indexed="64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indexed="50"/>
        <bgColor indexed="64"/>
      </patternFill>
    </fill>
    <fill>
      <patternFill patternType="solid">
        <fgColor indexed="49"/>
        <bgColor indexed="64"/>
      </patternFill>
    </fill>
    <fill>
      <patternFill patternType="solid">
        <fgColor indexed="48"/>
        <bgColor indexed="64"/>
      </patternFill>
    </fill>
    <fill>
      <patternFill patternType="solid">
        <fgColor indexed="47"/>
        <bgColor indexed="64"/>
      </patternFill>
    </fill>
    <fill>
      <patternFill patternType="solid">
        <fgColor indexed="56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indexed="57"/>
        <bgColor indexed="64"/>
      </patternFill>
    </fill>
    <fill>
      <patternFill patternType="solid">
        <fgColor indexed="58"/>
        <bgColor indexed="64"/>
      </patternFill>
    </fill>
    <fill>
      <patternFill patternType="solid">
        <fgColor rgb="FF86C67C"/>
      </patternFill>
    </fill>
    <fill>
      <patternFill patternType="solid">
        <fgColor theme="9"/>
        <bgColor indexed="64"/>
      </patternFill>
    </fill>
    <fill>
      <patternFill patternType="solid">
        <fgColor rgb="FFFFFF00"/>
        <bgColor indexed="64"/>
      </patternFill>
    </fill>
    <fill>
      <patternFill patternType="lightUp">
        <fgColor rgb="FFC0C0C0"/>
      </patternFill>
    </fill>
    <fill>
      <patternFill patternType="solid">
        <fgColor indexed="55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hair">
        <color indexed="23"/>
      </right>
      <top/>
      <bottom/>
      <diagonal/>
    </border>
    <border>
      <left style="medium">
        <color indexed="9"/>
      </left>
      <right style="medium">
        <color indexed="9"/>
      </right>
      <top style="medium">
        <color indexed="9"/>
      </top>
      <bottom style="medium">
        <color indexed="9"/>
      </bottom>
      <diagonal/>
    </border>
  </borders>
  <cellStyleXfs count="67">
    <xf numFmtId="0" fontId="0" fillId="0" borderId="0"/>
    <xf numFmtId="0" fontId="6" fillId="0" borderId="0">
      <alignment vertical="center"/>
    </xf>
    <xf numFmtId="0" fontId="3" fillId="0" borderId="0"/>
    <xf numFmtId="0" fontId="10" fillId="0" borderId="2"/>
    <xf numFmtId="0" fontId="11" fillId="5" borderId="2"/>
    <xf numFmtId="0" fontId="10" fillId="0" borderId="2">
      <alignment wrapText="1"/>
    </xf>
    <xf numFmtId="164" fontId="12" fillId="0" borderId="2"/>
    <xf numFmtId="164" fontId="13" fillId="5" borderId="2"/>
    <xf numFmtId="49" fontId="14" fillId="0" borderId="2"/>
    <xf numFmtId="164" fontId="14" fillId="6" borderId="2"/>
    <xf numFmtId="0" fontId="15" fillId="0" borderId="2"/>
    <xf numFmtId="0" fontId="16" fillId="7" borderId="0"/>
    <xf numFmtId="0" fontId="17" fillId="7" borderId="0"/>
    <xf numFmtId="0" fontId="18" fillId="8" borderId="3">
      <alignment wrapText="1"/>
    </xf>
    <xf numFmtId="0" fontId="19" fillId="8" borderId="3">
      <alignment wrapText="1"/>
    </xf>
    <xf numFmtId="0" fontId="18" fillId="9" borderId="3">
      <alignment horizontal="center"/>
    </xf>
    <xf numFmtId="0" fontId="19" fillId="9" borderId="3">
      <alignment horizontal="center"/>
    </xf>
    <xf numFmtId="0" fontId="20" fillId="10" borderId="3">
      <alignment wrapText="1"/>
    </xf>
    <xf numFmtId="0" fontId="21" fillId="10" borderId="3">
      <alignment wrapText="1"/>
    </xf>
    <xf numFmtId="0" fontId="22" fillId="7" borderId="0"/>
    <xf numFmtId="0" fontId="20" fillId="0" borderId="0"/>
    <xf numFmtId="49" fontId="14" fillId="11" borderId="2"/>
    <xf numFmtId="49" fontId="14" fillId="12" borderId="2"/>
    <xf numFmtId="0" fontId="25" fillId="0" borderId="0"/>
    <xf numFmtId="0" fontId="3" fillId="0" borderId="0"/>
    <xf numFmtId="0" fontId="27" fillId="4" borderId="0" applyNumberFormat="0" applyBorder="0" applyAlignment="0" applyProtection="0"/>
    <xf numFmtId="0" fontId="26" fillId="0" borderId="0" applyNumberFormat="0" applyFill="0" applyBorder="0" applyAlignment="0" applyProtection="0"/>
    <xf numFmtId="0" fontId="28" fillId="0" borderId="0"/>
    <xf numFmtId="0" fontId="29" fillId="0" borderId="0" applyNumberFormat="0" applyFill="0" applyBorder="0" applyAlignment="0" applyProtection="0"/>
    <xf numFmtId="0" fontId="25" fillId="0" borderId="0"/>
    <xf numFmtId="0" fontId="3" fillId="0" borderId="0"/>
    <xf numFmtId="0" fontId="9" fillId="0" borderId="0"/>
    <xf numFmtId="0" fontId="3" fillId="0" borderId="0"/>
    <xf numFmtId="0" fontId="30" fillId="0" borderId="0">
      <alignment vertical="center"/>
    </xf>
    <xf numFmtId="0" fontId="31" fillId="0" borderId="0" applyNumberFormat="0" applyFill="0" applyBorder="0" applyAlignment="0" applyProtection="0">
      <alignment vertical="center"/>
    </xf>
    <xf numFmtId="0" fontId="25" fillId="0" borderId="0"/>
    <xf numFmtId="0" fontId="3" fillId="0" borderId="0"/>
    <xf numFmtId="0" fontId="32" fillId="0" borderId="0">
      <alignment horizontal="center" vertical="center"/>
    </xf>
    <xf numFmtId="0" fontId="9" fillId="13" borderId="0">
      <alignment horizontal="left" vertical="center"/>
    </xf>
    <xf numFmtId="0" fontId="9" fillId="0" borderId="0">
      <alignment horizontal="left" vertical="center" wrapText="1"/>
    </xf>
    <xf numFmtId="0" fontId="33" fillId="0" borderId="0"/>
    <xf numFmtId="0" fontId="34" fillId="3" borderId="0" applyNumberFormat="0" applyBorder="0" applyAlignment="0" applyProtection="0"/>
    <xf numFmtId="0" fontId="25" fillId="0" borderId="0"/>
    <xf numFmtId="0" fontId="30" fillId="0" borderId="0">
      <alignment vertical="center"/>
    </xf>
    <xf numFmtId="0" fontId="3" fillId="0" borderId="0"/>
    <xf numFmtId="0" fontId="3" fillId="0" borderId="0"/>
    <xf numFmtId="0" fontId="35" fillId="0" borderId="0"/>
    <xf numFmtId="0" fontId="35" fillId="0" borderId="0"/>
    <xf numFmtId="0" fontId="3" fillId="0" borderId="0"/>
    <xf numFmtId="0" fontId="3" fillId="0" borderId="0"/>
    <xf numFmtId="0" fontId="25" fillId="0" borderId="0"/>
    <xf numFmtId="0" fontId="24" fillId="0" borderId="0"/>
    <xf numFmtId="0" fontId="3" fillId="0" borderId="0"/>
    <xf numFmtId="0" fontId="36" fillId="0" borderId="0">
      <alignment vertical="center"/>
    </xf>
    <xf numFmtId="0" fontId="3" fillId="0" borderId="0"/>
    <xf numFmtId="0" fontId="6" fillId="0" borderId="0"/>
    <xf numFmtId="0" fontId="25" fillId="0" borderId="0">
      <alignment vertical="center"/>
    </xf>
    <xf numFmtId="0" fontId="35" fillId="0" borderId="0"/>
    <xf numFmtId="0" fontId="25" fillId="0" borderId="0"/>
    <xf numFmtId="0" fontId="3" fillId="0" borderId="0"/>
    <xf numFmtId="0" fontId="3" fillId="0" borderId="0"/>
    <xf numFmtId="0" fontId="3" fillId="0" borderId="0"/>
    <xf numFmtId="0" fontId="33" fillId="0" borderId="0"/>
    <xf numFmtId="0" fontId="25" fillId="0" borderId="0"/>
    <xf numFmtId="0" fontId="34" fillId="3" borderId="0" applyNumberFormat="0" applyBorder="0" applyAlignment="0" applyProtection="0"/>
    <xf numFmtId="0" fontId="2" fillId="0" borderId="0"/>
    <xf numFmtId="0" fontId="1" fillId="0" borderId="0"/>
  </cellStyleXfs>
  <cellXfs count="23">
    <xf numFmtId="0" fontId="0" fillId="0" borderId="0" xfId="0"/>
    <xf numFmtId="0" fontId="7" fillId="0" borderId="0" xfId="1" applyFont="1">
      <alignment vertical="center"/>
    </xf>
    <xf numFmtId="0" fontId="7" fillId="0" borderId="0" xfId="0" applyFont="1"/>
    <xf numFmtId="1" fontId="7" fillId="0" borderId="0" xfId="0" applyNumberFormat="1" applyFont="1"/>
    <xf numFmtId="0" fontId="7" fillId="0" borderId="1" xfId="1" applyFont="1" applyBorder="1" applyAlignment="1">
      <alignment horizontal="center" vertical="center"/>
    </xf>
    <xf numFmtId="0" fontId="7" fillId="0" borderId="1" xfId="0" applyFont="1" applyBorder="1" applyAlignment="1">
      <alignment horizontal="center"/>
    </xf>
    <xf numFmtId="1" fontId="7" fillId="0" borderId="1" xfId="0" applyNumberFormat="1" applyFont="1" applyBorder="1" applyAlignment="1">
      <alignment horizontal="center"/>
    </xf>
    <xf numFmtId="49" fontId="14" fillId="0" borderId="1" xfId="8" applyBorder="1"/>
    <xf numFmtId="0" fontId="7" fillId="0" borderId="1" xfId="0" applyFont="1" applyBorder="1" applyAlignment="1">
      <alignment vertical="center"/>
    </xf>
    <xf numFmtId="0" fontId="0" fillId="0" borderId="1" xfId="0" applyBorder="1"/>
    <xf numFmtId="1" fontId="7" fillId="0" borderId="1" xfId="1" applyNumberFormat="1" applyFont="1" applyBorder="1" applyAlignment="1">
      <alignment horizontal="center" vertical="center"/>
    </xf>
    <xf numFmtId="0" fontId="7" fillId="0" borderId="1" xfId="0" applyFont="1" applyBorder="1"/>
    <xf numFmtId="0" fontId="7" fillId="0" borderId="1" xfId="0" applyFont="1" applyBorder="1" applyAlignment="1">
      <alignment horizontal="left" vertical="center"/>
    </xf>
    <xf numFmtId="0" fontId="23" fillId="2" borderId="1" xfId="1" applyFont="1" applyFill="1" applyBorder="1">
      <alignment vertical="center"/>
    </xf>
    <xf numFmtId="0" fontId="14" fillId="0" borderId="1" xfId="10" applyFont="1" applyBorder="1"/>
    <xf numFmtId="1" fontId="23" fillId="2" borderId="1" xfId="1" applyNumberFormat="1" applyFont="1" applyFill="1" applyBorder="1">
      <alignment vertical="center"/>
    </xf>
    <xf numFmtId="1" fontId="7" fillId="0" borderId="1" xfId="0" applyNumberFormat="1" applyFont="1" applyBorder="1" applyAlignment="1">
      <alignment horizontal="center" vertical="center"/>
    </xf>
    <xf numFmtId="0" fontId="7" fillId="0" borderId="1" xfId="0" applyFont="1" applyBorder="1" applyAlignment="1">
      <alignment horizontal="center" vertical="center"/>
    </xf>
    <xf numFmtId="0" fontId="7" fillId="14" borderId="1" xfId="1" applyFont="1" applyFill="1" applyBorder="1" applyAlignment="1">
      <alignment horizontal="center" vertical="center"/>
    </xf>
    <xf numFmtId="0" fontId="14" fillId="0" borderId="1" xfId="10" applyFont="1" applyFill="1" applyBorder="1"/>
    <xf numFmtId="49" fontId="14" fillId="0" borderId="2" xfId="8"/>
    <xf numFmtId="49" fontId="14" fillId="15" borderId="2" xfId="8" applyFill="1"/>
    <xf numFmtId="49" fontId="14" fillId="0" borderId="2" xfId="8"/>
  </cellXfs>
  <cellStyles count="67">
    <cellStyle name="Bad 2" xfId="25"/>
    <cellStyle name="data" xfId="39"/>
    <cellStyle name="divider" xfId="38"/>
    <cellStyle name="Explanatory Text 2" xfId="34"/>
    <cellStyle name="Explanatory Text 3" xfId="26"/>
    <cellStyle name="Good 2" xfId="41"/>
    <cellStyle name="header" xfId="37"/>
    <cellStyle name="Hyperlink 2" xfId="28"/>
    <cellStyle name="Normal" xfId="0" builtinId="0"/>
    <cellStyle name="Normal 10 6 3" xfId="50"/>
    <cellStyle name="Normal 11 2 2" xfId="58"/>
    <cellStyle name="Normal 111" xfId="30"/>
    <cellStyle name="Normal 111 2" xfId="36"/>
    <cellStyle name="Normal 114" xfId="40"/>
    <cellStyle name="Normal 114 2" xfId="51"/>
    <cellStyle name="Normal 120 2 2 2 2 2 2 2 2" xfId="56"/>
    <cellStyle name="Normal 13" xfId="33"/>
    <cellStyle name="Normal 134" xfId="29"/>
    <cellStyle name="Normal 15 2 2" xfId="57"/>
    <cellStyle name="Normal 16 2" xfId="60"/>
    <cellStyle name="Normal 2" xfId="1"/>
    <cellStyle name="Normal 2 2" xfId="42"/>
    <cellStyle name="Normal 2 2 2" xfId="27"/>
    <cellStyle name="Normal 2 3" xfId="44"/>
    <cellStyle name="Normal 2 4" xfId="32"/>
    <cellStyle name="Normal 2 5 3" xfId="62"/>
    <cellStyle name="Normal 2 6" xfId="53"/>
    <cellStyle name="Normal 2 7" xfId="31"/>
    <cellStyle name="Normal 2 8" xfId="46"/>
    <cellStyle name="Normal 20" xfId="61"/>
    <cellStyle name="Normal 3" xfId="2"/>
    <cellStyle name="Normal 3 2" xfId="47"/>
    <cellStyle name="Normal 3 2 2" xfId="52"/>
    <cellStyle name="Normal 3 3" xfId="35"/>
    <cellStyle name="Normal 4" xfId="55"/>
    <cellStyle name="Normal 4 2" xfId="24"/>
    <cellStyle name="Normal 4 2 2" xfId="54"/>
    <cellStyle name="Normal 5" xfId="59"/>
    <cellStyle name="Normal 6" xfId="23"/>
    <cellStyle name="Normal 7" xfId="65"/>
    <cellStyle name="Normal 74 2 2 2" xfId="49"/>
    <cellStyle name="Normal 74 2 3 2" xfId="45"/>
    <cellStyle name="Normal 74 2 4" xfId="48"/>
    <cellStyle name="Normal 8" xfId="66"/>
    <cellStyle name="terColOpt" xfId="17"/>
    <cellStyle name="terColOptEditable" xfId="18"/>
    <cellStyle name="terColReqd" xfId="13"/>
    <cellStyle name="terColReqdEditable" xfId="14"/>
    <cellStyle name="terColTop" xfId="15"/>
    <cellStyle name="terColTopEditable" xfId="16"/>
    <cellStyle name="terEngr" xfId="6"/>
    <cellStyle name="terEngrReadOnly" xfId="7"/>
    <cellStyle name="terError" xfId="9"/>
    <cellStyle name="terGroup" xfId="10"/>
    <cellStyle name="terLabel" xfId="20"/>
    <cellStyle name="terNormal" xfId="3"/>
    <cellStyle name="terNormalReadOnly" xfId="4"/>
    <cellStyle name="terNormalWrapped" xfId="5"/>
    <cellStyle name="terTestFailed" xfId="22"/>
    <cellStyle name="terTestPassed" xfId="21"/>
    <cellStyle name="terText" xfId="8"/>
    <cellStyle name="terTitle" xfId="11"/>
    <cellStyle name="terTitleBar" xfId="12"/>
    <cellStyle name="terVersion" xfId="19"/>
    <cellStyle name="一般 2" xfId="63"/>
    <cellStyle name="一般 5" xfId="43"/>
    <cellStyle name="好 2" xfId="64"/>
  </cellStyles>
  <dxfs count="321">
    <dxf>
      <font>
        <color rgb="FF9C0006"/>
      </font>
      <fill>
        <patternFill>
          <bgColor rgb="FFFFC7CE"/>
        </patternFill>
      </fill>
    </dxf>
    <dxf>
      <fill>
        <patternFill>
          <bgColor theme="6" tint="0.39994506668294322"/>
        </patternFill>
      </fill>
    </dxf>
    <dxf>
      <font>
        <color rgb="FF9C6500"/>
      </font>
      <fill>
        <patternFill>
          <bgColor rgb="FFFFEB9C"/>
        </patternFill>
      </fill>
    </dxf>
    <dxf>
      <fill>
        <patternFill>
          <bgColor rgb="FFFFFF00"/>
        </patternFill>
      </fill>
    </dxf>
    <dxf>
      <fill>
        <patternFill>
          <bgColor theme="9" tint="0.59996337778862885"/>
        </patternFill>
      </fill>
    </dxf>
    <dxf>
      <font>
        <color rgb="FF9C6500"/>
      </font>
      <fill>
        <patternFill>
          <bgColor rgb="FFFFEB9C"/>
        </patternFill>
      </fill>
    </dxf>
    <dxf>
      <fill>
        <patternFill>
          <bgColor theme="0" tint="-0.14996795556505021"/>
        </patternFill>
      </fill>
    </dxf>
    <dxf>
      <fill>
        <patternFill>
          <bgColor theme="7" tint="0.39994506668294322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00B05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FF00"/>
        </patternFill>
      </fill>
    </dxf>
    <dxf>
      <fill>
        <patternFill>
          <bgColor theme="8" tint="0.79998168889431442"/>
        </patternFill>
      </fill>
    </dxf>
    <dxf>
      <font>
        <color rgb="FF9C6500"/>
      </font>
      <fill>
        <patternFill>
          <bgColor rgb="FFFFEB9C"/>
        </patternFill>
      </fill>
    </dxf>
    <dxf>
      <font>
        <color theme="0"/>
      </font>
      <fill>
        <patternFill>
          <bgColor theme="1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6" tint="0.39994506668294322"/>
        </patternFill>
      </fill>
    </dxf>
    <dxf>
      <font>
        <color rgb="FF9C6500"/>
      </font>
      <fill>
        <patternFill>
          <bgColor rgb="FFFFEB9C"/>
        </patternFill>
      </fill>
    </dxf>
    <dxf>
      <fill>
        <patternFill>
          <bgColor rgb="FFFFFF00"/>
        </patternFill>
      </fill>
    </dxf>
    <dxf>
      <fill>
        <patternFill>
          <bgColor theme="9" tint="0.59996337778862885"/>
        </patternFill>
      </fill>
    </dxf>
    <dxf>
      <font>
        <color rgb="FF9C6500"/>
      </font>
      <fill>
        <patternFill>
          <bgColor rgb="FFFFEB9C"/>
        </patternFill>
      </fill>
    </dxf>
    <dxf>
      <fill>
        <patternFill>
          <bgColor theme="0" tint="-0.14996795556505021"/>
        </patternFill>
      </fill>
    </dxf>
    <dxf>
      <fill>
        <patternFill>
          <bgColor theme="7" tint="0.39994506668294322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00B05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FF00"/>
        </patternFill>
      </fill>
    </dxf>
    <dxf>
      <fill>
        <patternFill>
          <bgColor theme="8" tint="0.79998168889431442"/>
        </patternFill>
      </fill>
    </dxf>
    <dxf>
      <font>
        <color rgb="FF9C6500"/>
      </font>
      <fill>
        <patternFill>
          <bgColor rgb="FFFFEB9C"/>
        </patternFill>
      </fill>
    </dxf>
    <dxf>
      <font>
        <color theme="0"/>
      </font>
      <fill>
        <patternFill>
          <bgColor theme="1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6" tint="0.39994506668294322"/>
        </patternFill>
      </fill>
    </dxf>
    <dxf>
      <font>
        <color rgb="FF9C6500"/>
      </font>
      <fill>
        <patternFill>
          <bgColor rgb="FFFFEB9C"/>
        </patternFill>
      </fill>
    </dxf>
    <dxf>
      <fill>
        <patternFill>
          <bgColor rgb="FFFFFF00"/>
        </patternFill>
      </fill>
    </dxf>
    <dxf>
      <fill>
        <patternFill>
          <bgColor theme="9" tint="0.59996337778862885"/>
        </patternFill>
      </fill>
    </dxf>
    <dxf>
      <font>
        <color rgb="FF9C6500"/>
      </font>
      <fill>
        <patternFill>
          <bgColor rgb="FFFFEB9C"/>
        </patternFill>
      </fill>
    </dxf>
    <dxf>
      <fill>
        <patternFill>
          <bgColor theme="0" tint="-0.14996795556505021"/>
        </patternFill>
      </fill>
    </dxf>
    <dxf>
      <fill>
        <patternFill>
          <bgColor theme="7" tint="0.39994506668294322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00B05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FF00"/>
        </patternFill>
      </fill>
    </dxf>
    <dxf>
      <fill>
        <patternFill>
          <bgColor theme="8" tint="0.79998168889431442"/>
        </patternFill>
      </fill>
    </dxf>
    <dxf>
      <font>
        <color rgb="FF9C6500"/>
      </font>
      <fill>
        <patternFill>
          <bgColor rgb="FFFFEB9C"/>
        </patternFill>
      </fill>
    </dxf>
    <dxf>
      <font>
        <color theme="0"/>
      </font>
      <fill>
        <patternFill>
          <bgColor theme="1"/>
        </patternFill>
      </fill>
    </dxf>
    <dxf>
      <fill>
        <patternFill>
          <bgColor theme="6" tint="0.39994506668294322"/>
        </patternFill>
      </fill>
    </dxf>
    <dxf>
      <font>
        <color rgb="FF9C6500"/>
      </font>
      <fill>
        <patternFill>
          <bgColor rgb="FFFFEB9C"/>
        </patternFill>
      </fill>
    </dxf>
    <dxf>
      <fill>
        <patternFill>
          <bgColor rgb="FFFFFF00"/>
        </patternFill>
      </fill>
    </dxf>
    <dxf>
      <fill>
        <patternFill>
          <bgColor theme="9" tint="0.59996337778862885"/>
        </patternFill>
      </fill>
    </dxf>
    <dxf>
      <font>
        <color rgb="FF9C6500"/>
      </font>
      <fill>
        <patternFill>
          <bgColor rgb="FFFFEB9C"/>
        </patternFill>
      </fill>
    </dxf>
    <dxf>
      <fill>
        <patternFill>
          <bgColor theme="0" tint="-0.14996795556505021"/>
        </patternFill>
      </fill>
    </dxf>
    <dxf>
      <fill>
        <patternFill>
          <bgColor theme="7" tint="0.39994506668294322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00B05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FF00"/>
        </patternFill>
      </fill>
    </dxf>
    <dxf>
      <fill>
        <patternFill>
          <bgColor theme="8" tint="0.79998168889431442"/>
        </patternFill>
      </fill>
    </dxf>
    <dxf>
      <font>
        <color rgb="FF9C6500"/>
      </font>
      <fill>
        <patternFill>
          <bgColor rgb="FFFFEB9C"/>
        </patternFill>
      </fill>
    </dxf>
    <dxf>
      <font>
        <color theme="0"/>
      </font>
      <fill>
        <patternFill>
          <bgColor theme="1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6" tint="0.39994506668294322"/>
        </patternFill>
      </fill>
    </dxf>
    <dxf>
      <font>
        <color rgb="FF9C6500"/>
      </font>
      <fill>
        <patternFill>
          <bgColor rgb="FFFFEB9C"/>
        </patternFill>
      </fill>
    </dxf>
    <dxf>
      <fill>
        <patternFill>
          <bgColor rgb="FFFFFF00"/>
        </patternFill>
      </fill>
    </dxf>
    <dxf>
      <fill>
        <patternFill>
          <bgColor theme="9" tint="0.59996337778862885"/>
        </patternFill>
      </fill>
    </dxf>
    <dxf>
      <font>
        <color rgb="FF9C6500"/>
      </font>
      <fill>
        <patternFill>
          <bgColor rgb="FFFFEB9C"/>
        </patternFill>
      </fill>
    </dxf>
    <dxf>
      <fill>
        <patternFill>
          <bgColor theme="0" tint="-0.14996795556505021"/>
        </patternFill>
      </fill>
    </dxf>
    <dxf>
      <fill>
        <patternFill>
          <bgColor theme="7" tint="0.39994506668294322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00B05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FF00"/>
        </patternFill>
      </fill>
    </dxf>
    <dxf>
      <fill>
        <patternFill>
          <bgColor theme="8" tint="0.79998168889431442"/>
        </patternFill>
      </fill>
    </dxf>
    <dxf>
      <font>
        <color rgb="FF9C6500"/>
      </font>
      <fill>
        <patternFill>
          <bgColor rgb="FFFFEB9C"/>
        </patternFill>
      </fill>
    </dxf>
    <dxf>
      <font>
        <color theme="0"/>
      </font>
      <fill>
        <patternFill>
          <bgColor theme="1"/>
        </patternFill>
      </fill>
    </dxf>
    <dxf>
      <fill>
        <patternFill>
          <bgColor theme="6" tint="0.39994506668294322"/>
        </patternFill>
      </fill>
    </dxf>
    <dxf>
      <font>
        <color rgb="FF9C6500"/>
      </font>
      <fill>
        <patternFill>
          <bgColor rgb="FFFFEB9C"/>
        </patternFill>
      </fill>
    </dxf>
    <dxf>
      <fill>
        <patternFill>
          <bgColor rgb="FFFFFF00"/>
        </patternFill>
      </fill>
    </dxf>
    <dxf>
      <fill>
        <patternFill>
          <bgColor theme="9" tint="0.59996337778862885"/>
        </patternFill>
      </fill>
    </dxf>
    <dxf>
      <font>
        <color rgb="FF9C6500"/>
      </font>
      <fill>
        <patternFill>
          <bgColor rgb="FFFFEB9C"/>
        </patternFill>
      </fill>
    </dxf>
    <dxf>
      <fill>
        <patternFill>
          <bgColor theme="0" tint="-0.14996795556505021"/>
        </patternFill>
      </fill>
    </dxf>
    <dxf>
      <fill>
        <patternFill>
          <bgColor theme="7" tint="0.39994506668294322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00B05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FF00"/>
        </patternFill>
      </fill>
    </dxf>
    <dxf>
      <fill>
        <patternFill>
          <bgColor theme="8" tint="0.79998168889431442"/>
        </patternFill>
      </fill>
    </dxf>
    <dxf>
      <font>
        <color rgb="FF9C6500"/>
      </font>
      <fill>
        <patternFill>
          <bgColor rgb="FFFFEB9C"/>
        </patternFill>
      </fill>
    </dxf>
    <dxf>
      <font>
        <color theme="0"/>
      </font>
      <fill>
        <patternFill>
          <bgColor theme="1"/>
        </patternFill>
      </fill>
    </dxf>
    <dxf>
      <fill>
        <patternFill>
          <bgColor theme="6" tint="0.39994506668294322"/>
        </patternFill>
      </fill>
    </dxf>
    <dxf>
      <font>
        <color rgb="FF9C6500"/>
      </font>
      <fill>
        <patternFill>
          <bgColor rgb="FFFFEB9C"/>
        </patternFill>
      </fill>
    </dxf>
    <dxf>
      <fill>
        <patternFill>
          <bgColor rgb="FFFFFF00"/>
        </patternFill>
      </fill>
    </dxf>
    <dxf>
      <fill>
        <patternFill>
          <bgColor theme="9" tint="0.59996337778862885"/>
        </patternFill>
      </fill>
    </dxf>
    <dxf>
      <font>
        <color rgb="FF9C6500"/>
      </font>
      <fill>
        <patternFill>
          <bgColor rgb="FFFFEB9C"/>
        </patternFill>
      </fill>
    </dxf>
    <dxf>
      <fill>
        <patternFill>
          <bgColor theme="0" tint="-0.14996795556505021"/>
        </patternFill>
      </fill>
    </dxf>
    <dxf>
      <fill>
        <patternFill>
          <bgColor theme="7" tint="0.39994506668294322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00B05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FF00"/>
        </patternFill>
      </fill>
    </dxf>
    <dxf>
      <fill>
        <patternFill>
          <bgColor theme="8" tint="0.79998168889431442"/>
        </patternFill>
      </fill>
    </dxf>
    <dxf>
      <font>
        <color rgb="FF9C6500"/>
      </font>
      <fill>
        <patternFill>
          <bgColor rgb="FFFFEB9C"/>
        </patternFill>
      </fill>
    </dxf>
    <dxf>
      <font>
        <color theme="0"/>
      </font>
      <fill>
        <patternFill>
          <bgColor theme="1"/>
        </patternFill>
      </fill>
    </dxf>
    <dxf>
      <fill>
        <patternFill>
          <bgColor theme="6" tint="0.39994506668294322"/>
        </patternFill>
      </fill>
    </dxf>
    <dxf>
      <font>
        <color rgb="FF9C6500"/>
      </font>
      <fill>
        <patternFill>
          <bgColor rgb="FFFFEB9C"/>
        </patternFill>
      </fill>
    </dxf>
    <dxf>
      <fill>
        <patternFill>
          <bgColor rgb="FFFFFF00"/>
        </patternFill>
      </fill>
    </dxf>
    <dxf>
      <fill>
        <patternFill>
          <bgColor theme="9" tint="0.59996337778862885"/>
        </patternFill>
      </fill>
    </dxf>
    <dxf>
      <font>
        <color rgb="FF9C6500"/>
      </font>
      <fill>
        <patternFill>
          <bgColor rgb="FFFFEB9C"/>
        </patternFill>
      </fill>
    </dxf>
    <dxf>
      <fill>
        <patternFill>
          <bgColor theme="0" tint="-0.14996795556505021"/>
        </patternFill>
      </fill>
    </dxf>
    <dxf>
      <fill>
        <patternFill>
          <bgColor theme="7" tint="0.39994506668294322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00B05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FF00"/>
        </patternFill>
      </fill>
    </dxf>
    <dxf>
      <fill>
        <patternFill>
          <bgColor theme="8" tint="0.79998168889431442"/>
        </patternFill>
      </fill>
    </dxf>
    <dxf>
      <font>
        <color rgb="FF9C6500"/>
      </font>
      <fill>
        <patternFill>
          <bgColor rgb="FFFFEB9C"/>
        </patternFill>
      </fill>
    </dxf>
    <dxf>
      <font>
        <color theme="0"/>
      </font>
      <fill>
        <patternFill>
          <bgColor theme="1"/>
        </patternFill>
      </fill>
    </dxf>
    <dxf>
      <fill>
        <patternFill>
          <bgColor theme="6" tint="0.39994506668294322"/>
        </patternFill>
      </fill>
    </dxf>
    <dxf>
      <font>
        <color rgb="FF9C6500"/>
      </font>
      <fill>
        <patternFill>
          <bgColor rgb="FFFFEB9C"/>
        </patternFill>
      </fill>
    </dxf>
    <dxf>
      <fill>
        <patternFill>
          <bgColor rgb="FFFFFF00"/>
        </patternFill>
      </fill>
    </dxf>
    <dxf>
      <fill>
        <patternFill>
          <bgColor theme="9" tint="0.59996337778862885"/>
        </patternFill>
      </fill>
    </dxf>
    <dxf>
      <font>
        <color rgb="FF9C6500"/>
      </font>
      <fill>
        <patternFill>
          <bgColor rgb="FFFFEB9C"/>
        </patternFill>
      </fill>
    </dxf>
    <dxf>
      <fill>
        <patternFill>
          <bgColor theme="0" tint="-0.14996795556505021"/>
        </patternFill>
      </fill>
    </dxf>
    <dxf>
      <fill>
        <patternFill>
          <bgColor theme="7" tint="0.39994506668294322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00B05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FF00"/>
        </patternFill>
      </fill>
    </dxf>
    <dxf>
      <fill>
        <patternFill>
          <bgColor theme="8" tint="0.79998168889431442"/>
        </patternFill>
      </fill>
    </dxf>
    <dxf>
      <font>
        <color rgb="FF9C6500"/>
      </font>
      <fill>
        <patternFill>
          <bgColor rgb="FFFFEB9C"/>
        </patternFill>
      </fill>
    </dxf>
    <dxf>
      <font>
        <color theme="0"/>
      </font>
      <fill>
        <patternFill>
          <bgColor theme="1"/>
        </patternFill>
      </fill>
    </dxf>
    <dxf>
      <fill>
        <patternFill>
          <bgColor theme="6" tint="0.39994506668294322"/>
        </patternFill>
      </fill>
    </dxf>
    <dxf>
      <font>
        <color rgb="FF9C6500"/>
      </font>
      <fill>
        <patternFill>
          <bgColor rgb="FFFFEB9C"/>
        </patternFill>
      </fill>
    </dxf>
    <dxf>
      <fill>
        <patternFill>
          <bgColor rgb="FFFFFF00"/>
        </patternFill>
      </fill>
    </dxf>
    <dxf>
      <fill>
        <patternFill>
          <bgColor theme="9" tint="0.59996337778862885"/>
        </patternFill>
      </fill>
    </dxf>
    <dxf>
      <font>
        <color rgb="FF9C6500"/>
      </font>
      <fill>
        <patternFill>
          <bgColor rgb="FFFFEB9C"/>
        </patternFill>
      </fill>
    </dxf>
    <dxf>
      <fill>
        <patternFill>
          <bgColor theme="0" tint="-0.14996795556505021"/>
        </patternFill>
      </fill>
    </dxf>
    <dxf>
      <fill>
        <patternFill>
          <bgColor theme="7" tint="0.39994506668294322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00B05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FF00"/>
        </patternFill>
      </fill>
    </dxf>
    <dxf>
      <fill>
        <patternFill>
          <bgColor theme="8" tint="0.79998168889431442"/>
        </patternFill>
      </fill>
    </dxf>
    <dxf>
      <font>
        <color rgb="FF9C6500"/>
      </font>
      <fill>
        <patternFill>
          <bgColor rgb="FFFFEB9C"/>
        </patternFill>
      </fill>
    </dxf>
    <dxf>
      <font>
        <color theme="0"/>
      </font>
      <fill>
        <patternFill>
          <bgColor theme="1"/>
        </patternFill>
      </fill>
    </dxf>
    <dxf>
      <fill>
        <patternFill>
          <bgColor theme="6" tint="0.39994506668294322"/>
        </patternFill>
      </fill>
    </dxf>
    <dxf>
      <font>
        <color rgb="FF9C6500"/>
      </font>
      <fill>
        <patternFill>
          <bgColor rgb="FFFFEB9C"/>
        </patternFill>
      </fill>
    </dxf>
    <dxf>
      <fill>
        <patternFill>
          <bgColor rgb="FFFFFF00"/>
        </patternFill>
      </fill>
    </dxf>
    <dxf>
      <fill>
        <patternFill>
          <bgColor theme="9" tint="0.59996337778862885"/>
        </patternFill>
      </fill>
    </dxf>
    <dxf>
      <font>
        <color rgb="FF9C6500"/>
      </font>
      <fill>
        <patternFill>
          <bgColor rgb="FFFFEB9C"/>
        </patternFill>
      </fill>
    </dxf>
    <dxf>
      <fill>
        <patternFill>
          <bgColor theme="0" tint="-0.14996795556505021"/>
        </patternFill>
      </fill>
    </dxf>
    <dxf>
      <fill>
        <patternFill>
          <bgColor theme="7" tint="0.39994506668294322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00B05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FF00"/>
        </patternFill>
      </fill>
    </dxf>
    <dxf>
      <fill>
        <patternFill>
          <bgColor theme="8" tint="0.79998168889431442"/>
        </patternFill>
      </fill>
    </dxf>
    <dxf>
      <font>
        <color rgb="FF9C6500"/>
      </font>
      <fill>
        <patternFill>
          <bgColor rgb="FFFFEB9C"/>
        </patternFill>
      </fill>
    </dxf>
    <dxf>
      <font>
        <color theme="0"/>
      </font>
      <fill>
        <patternFill>
          <bgColor theme="1"/>
        </patternFill>
      </fill>
    </dxf>
    <dxf>
      <fill>
        <patternFill>
          <bgColor theme="6" tint="0.39994506668294322"/>
        </patternFill>
      </fill>
    </dxf>
    <dxf>
      <font>
        <color rgb="FF9C6500"/>
      </font>
      <fill>
        <patternFill>
          <bgColor rgb="FFFFEB9C"/>
        </patternFill>
      </fill>
    </dxf>
    <dxf>
      <fill>
        <patternFill>
          <bgColor rgb="FFFFFF00"/>
        </patternFill>
      </fill>
    </dxf>
    <dxf>
      <fill>
        <patternFill>
          <bgColor theme="9" tint="0.59996337778862885"/>
        </patternFill>
      </fill>
    </dxf>
    <dxf>
      <font>
        <color rgb="FF9C6500"/>
      </font>
      <fill>
        <patternFill>
          <bgColor rgb="FFFFEB9C"/>
        </patternFill>
      </fill>
    </dxf>
    <dxf>
      <fill>
        <patternFill>
          <bgColor theme="0" tint="-0.14996795556505021"/>
        </patternFill>
      </fill>
    </dxf>
    <dxf>
      <fill>
        <patternFill>
          <bgColor theme="7" tint="0.39994506668294322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00B05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FF00"/>
        </patternFill>
      </fill>
    </dxf>
    <dxf>
      <fill>
        <patternFill>
          <bgColor theme="8" tint="0.79998168889431442"/>
        </patternFill>
      </fill>
    </dxf>
    <dxf>
      <font>
        <color rgb="FF9C6500"/>
      </font>
      <fill>
        <patternFill>
          <bgColor rgb="FFFFEB9C"/>
        </patternFill>
      </fill>
    </dxf>
    <dxf>
      <font>
        <color theme="0"/>
      </font>
      <fill>
        <patternFill>
          <bgColor theme="1"/>
        </patternFill>
      </fill>
    </dxf>
    <dxf>
      <fill>
        <patternFill>
          <bgColor theme="6" tint="0.39994506668294322"/>
        </patternFill>
      </fill>
    </dxf>
    <dxf>
      <font>
        <color rgb="FF9C6500"/>
      </font>
      <fill>
        <patternFill>
          <bgColor rgb="FFFFEB9C"/>
        </patternFill>
      </fill>
    </dxf>
    <dxf>
      <fill>
        <patternFill>
          <bgColor rgb="FFFFFF00"/>
        </patternFill>
      </fill>
    </dxf>
    <dxf>
      <fill>
        <patternFill>
          <bgColor theme="9" tint="0.59996337778862885"/>
        </patternFill>
      </fill>
    </dxf>
    <dxf>
      <font>
        <color rgb="FF9C6500"/>
      </font>
      <fill>
        <patternFill>
          <bgColor rgb="FFFFEB9C"/>
        </patternFill>
      </fill>
    </dxf>
    <dxf>
      <fill>
        <patternFill>
          <bgColor theme="0" tint="-0.14996795556505021"/>
        </patternFill>
      </fill>
    </dxf>
    <dxf>
      <fill>
        <patternFill>
          <bgColor theme="7" tint="0.39994506668294322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00B05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FF00"/>
        </patternFill>
      </fill>
    </dxf>
    <dxf>
      <fill>
        <patternFill>
          <bgColor theme="8" tint="0.79998168889431442"/>
        </patternFill>
      </fill>
    </dxf>
    <dxf>
      <font>
        <color rgb="FF9C6500"/>
      </font>
      <fill>
        <patternFill>
          <bgColor rgb="FFFFEB9C"/>
        </patternFill>
      </fill>
    </dxf>
    <dxf>
      <font>
        <color theme="0"/>
      </font>
      <fill>
        <patternFill>
          <bgColor theme="1"/>
        </patternFill>
      </fill>
    </dxf>
    <dxf>
      <fill>
        <patternFill>
          <bgColor theme="6" tint="0.39994506668294322"/>
        </patternFill>
      </fill>
    </dxf>
    <dxf>
      <font>
        <color rgb="FF9C6500"/>
      </font>
      <fill>
        <patternFill>
          <bgColor rgb="FFFFEB9C"/>
        </patternFill>
      </fill>
    </dxf>
    <dxf>
      <fill>
        <patternFill>
          <bgColor rgb="FFFFFF00"/>
        </patternFill>
      </fill>
    </dxf>
    <dxf>
      <fill>
        <patternFill>
          <bgColor theme="9" tint="0.59996337778862885"/>
        </patternFill>
      </fill>
    </dxf>
    <dxf>
      <font>
        <color rgb="FF9C6500"/>
      </font>
      <fill>
        <patternFill>
          <bgColor rgb="FFFFEB9C"/>
        </patternFill>
      </fill>
    </dxf>
    <dxf>
      <fill>
        <patternFill>
          <bgColor theme="0" tint="-0.14996795556505021"/>
        </patternFill>
      </fill>
    </dxf>
    <dxf>
      <fill>
        <patternFill>
          <bgColor theme="7" tint="0.39994506668294322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00B05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FF00"/>
        </patternFill>
      </fill>
    </dxf>
    <dxf>
      <fill>
        <patternFill>
          <bgColor theme="8" tint="0.79998168889431442"/>
        </patternFill>
      </fill>
    </dxf>
    <dxf>
      <font>
        <color rgb="FF9C6500"/>
      </font>
      <fill>
        <patternFill>
          <bgColor rgb="FFFFEB9C"/>
        </patternFill>
      </fill>
    </dxf>
    <dxf>
      <font>
        <color theme="0"/>
      </font>
      <fill>
        <patternFill>
          <bgColor theme="1"/>
        </patternFill>
      </fill>
    </dxf>
    <dxf>
      <fill>
        <patternFill>
          <bgColor theme="6" tint="0.39994506668294322"/>
        </patternFill>
      </fill>
    </dxf>
    <dxf>
      <font>
        <color rgb="FF9C6500"/>
      </font>
      <fill>
        <patternFill>
          <bgColor rgb="FFFFEB9C"/>
        </patternFill>
      </fill>
    </dxf>
    <dxf>
      <fill>
        <patternFill>
          <bgColor rgb="FFFFFF00"/>
        </patternFill>
      </fill>
    </dxf>
    <dxf>
      <fill>
        <patternFill>
          <bgColor theme="9" tint="0.59996337778862885"/>
        </patternFill>
      </fill>
    </dxf>
    <dxf>
      <font>
        <color rgb="FF9C6500"/>
      </font>
      <fill>
        <patternFill>
          <bgColor rgb="FFFFEB9C"/>
        </patternFill>
      </fill>
    </dxf>
    <dxf>
      <fill>
        <patternFill>
          <bgColor theme="0" tint="-0.14996795556505021"/>
        </patternFill>
      </fill>
    </dxf>
    <dxf>
      <fill>
        <patternFill>
          <bgColor theme="7" tint="0.39994506668294322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00B05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FF00"/>
        </patternFill>
      </fill>
    </dxf>
    <dxf>
      <fill>
        <patternFill>
          <bgColor theme="8" tint="0.79998168889431442"/>
        </patternFill>
      </fill>
    </dxf>
    <dxf>
      <font>
        <color rgb="FF9C6500"/>
      </font>
      <fill>
        <patternFill>
          <bgColor rgb="FFFFEB9C"/>
        </patternFill>
      </fill>
    </dxf>
    <dxf>
      <font>
        <color theme="0"/>
      </font>
      <fill>
        <patternFill>
          <bgColor theme="1"/>
        </patternFill>
      </fill>
    </dxf>
    <dxf>
      <fill>
        <patternFill>
          <bgColor theme="6" tint="0.39994506668294322"/>
        </patternFill>
      </fill>
    </dxf>
    <dxf>
      <font>
        <color rgb="FF9C6500"/>
      </font>
      <fill>
        <patternFill>
          <bgColor rgb="FFFFEB9C"/>
        </patternFill>
      </fill>
    </dxf>
    <dxf>
      <fill>
        <patternFill>
          <bgColor rgb="FFFFFF00"/>
        </patternFill>
      </fill>
    </dxf>
    <dxf>
      <fill>
        <patternFill>
          <bgColor theme="9" tint="0.59996337778862885"/>
        </patternFill>
      </fill>
    </dxf>
    <dxf>
      <font>
        <color rgb="FF9C6500"/>
      </font>
      <fill>
        <patternFill>
          <bgColor rgb="FFFFEB9C"/>
        </patternFill>
      </fill>
    </dxf>
    <dxf>
      <fill>
        <patternFill>
          <bgColor theme="0" tint="-0.14996795556505021"/>
        </patternFill>
      </fill>
    </dxf>
    <dxf>
      <fill>
        <patternFill>
          <bgColor theme="7" tint="0.39994506668294322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00B05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FF00"/>
        </patternFill>
      </fill>
    </dxf>
    <dxf>
      <fill>
        <patternFill>
          <bgColor theme="8" tint="0.79998168889431442"/>
        </patternFill>
      </fill>
    </dxf>
    <dxf>
      <font>
        <color rgb="FF9C6500"/>
      </font>
      <fill>
        <patternFill>
          <bgColor rgb="FFFFEB9C"/>
        </patternFill>
      </fill>
    </dxf>
    <dxf>
      <font>
        <color theme="0"/>
      </font>
      <fill>
        <patternFill>
          <bgColor theme="1"/>
        </patternFill>
      </fill>
    </dxf>
    <dxf>
      <fill>
        <patternFill>
          <bgColor theme="6" tint="0.39994506668294322"/>
        </patternFill>
      </fill>
    </dxf>
    <dxf>
      <font>
        <color rgb="FF9C6500"/>
      </font>
      <fill>
        <patternFill>
          <bgColor rgb="FFFFEB9C"/>
        </patternFill>
      </fill>
    </dxf>
    <dxf>
      <fill>
        <patternFill>
          <bgColor rgb="FFFFFF00"/>
        </patternFill>
      </fill>
    </dxf>
    <dxf>
      <fill>
        <patternFill>
          <bgColor theme="9" tint="0.59996337778862885"/>
        </patternFill>
      </fill>
    </dxf>
    <dxf>
      <font>
        <color rgb="FF9C6500"/>
      </font>
      <fill>
        <patternFill>
          <bgColor rgb="FFFFEB9C"/>
        </patternFill>
      </fill>
    </dxf>
    <dxf>
      <fill>
        <patternFill>
          <bgColor theme="0" tint="-0.14996795556505021"/>
        </patternFill>
      </fill>
    </dxf>
    <dxf>
      <fill>
        <patternFill>
          <bgColor theme="7" tint="0.39994506668294322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00B05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FF00"/>
        </patternFill>
      </fill>
    </dxf>
    <dxf>
      <fill>
        <patternFill>
          <bgColor theme="8" tint="0.79998168889431442"/>
        </patternFill>
      </fill>
    </dxf>
    <dxf>
      <font>
        <color rgb="FF9C6500"/>
      </font>
      <fill>
        <patternFill>
          <bgColor rgb="FFFFEB9C"/>
        </patternFill>
      </fill>
    </dxf>
    <dxf>
      <font>
        <color theme="0"/>
      </font>
      <fill>
        <patternFill>
          <bgColor theme="1"/>
        </patternFill>
      </fill>
    </dxf>
    <dxf>
      <fill>
        <patternFill>
          <bgColor theme="6" tint="0.39994506668294322"/>
        </patternFill>
      </fill>
    </dxf>
    <dxf>
      <font>
        <color rgb="FF9C6500"/>
      </font>
      <fill>
        <patternFill>
          <bgColor rgb="FFFFEB9C"/>
        </patternFill>
      </fill>
    </dxf>
    <dxf>
      <fill>
        <patternFill>
          <bgColor rgb="FFFFFF00"/>
        </patternFill>
      </fill>
    </dxf>
    <dxf>
      <fill>
        <patternFill>
          <bgColor theme="9" tint="0.59996337778862885"/>
        </patternFill>
      </fill>
    </dxf>
    <dxf>
      <font>
        <color rgb="FF9C6500"/>
      </font>
      <fill>
        <patternFill>
          <bgColor rgb="FFFFEB9C"/>
        </patternFill>
      </fill>
    </dxf>
    <dxf>
      <fill>
        <patternFill>
          <bgColor theme="0" tint="-0.14996795556505021"/>
        </patternFill>
      </fill>
    </dxf>
    <dxf>
      <fill>
        <patternFill>
          <bgColor theme="7" tint="0.39994506668294322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00B05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FF00"/>
        </patternFill>
      </fill>
    </dxf>
    <dxf>
      <fill>
        <patternFill>
          <bgColor theme="8" tint="0.79998168889431442"/>
        </patternFill>
      </fill>
    </dxf>
    <dxf>
      <font>
        <color rgb="FF9C6500"/>
      </font>
      <fill>
        <patternFill>
          <bgColor rgb="FFFFEB9C"/>
        </patternFill>
      </fill>
    </dxf>
    <dxf>
      <font>
        <color theme="0"/>
      </font>
      <fill>
        <patternFill>
          <bgColor theme="1"/>
        </patternFill>
      </fill>
    </dxf>
    <dxf>
      <fill>
        <patternFill>
          <bgColor theme="6" tint="0.39994506668294322"/>
        </patternFill>
      </fill>
    </dxf>
    <dxf>
      <font>
        <color rgb="FF9C6500"/>
      </font>
      <fill>
        <patternFill>
          <bgColor rgb="FFFFEB9C"/>
        </patternFill>
      </fill>
    </dxf>
    <dxf>
      <fill>
        <patternFill>
          <bgColor rgb="FFFFFF00"/>
        </patternFill>
      </fill>
    </dxf>
    <dxf>
      <fill>
        <patternFill>
          <bgColor theme="9" tint="0.59996337778862885"/>
        </patternFill>
      </fill>
    </dxf>
    <dxf>
      <font>
        <color rgb="FF9C6500"/>
      </font>
      <fill>
        <patternFill>
          <bgColor rgb="FFFFEB9C"/>
        </patternFill>
      </fill>
    </dxf>
    <dxf>
      <fill>
        <patternFill>
          <bgColor theme="0" tint="-0.14996795556505021"/>
        </patternFill>
      </fill>
    </dxf>
    <dxf>
      <fill>
        <patternFill>
          <bgColor theme="7" tint="0.39994506668294322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00B05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FF00"/>
        </patternFill>
      </fill>
    </dxf>
    <dxf>
      <fill>
        <patternFill>
          <bgColor theme="8" tint="0.79998168889431442"/>
        </patternFill>
      </fill>
    </dxf>
    <dxf>
      <font>
        <color rgb="FF9C6500"/>
      </font>
      <fill>
        <patternFill>
          <bgColor rgb="FFFFEB9C"/>
        </patternFill>
      </fill>
    </dxf>
    <dxf>
      <font>
        <color theme="0"/>
      </font>
      <fill>
        <patternFill>
          <bgColor theme="1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6" tint="0.39994506668294322"/>
        </patternFill>
      </fill>
    </dxf>
    <dxf>
      <font>
        <color rgb="FF9C6500"/>
      </font>
      <fill>
        <patternFill>
          <bgColor rgb="FFFFEB9C"/>
        </patternFill>
      </fill>
    </dxf>
    <dxf>
      <fill>
        <patternFill>
          <bgColor rgb="FFFFFF00"/>
        </patternFill>
      </fill>
    </dxf>
    <dxf>
      <fill>
        <patternFill>
          <bgColor theme="9" tint="0.59996337778862885"/>
        </patternFill>
      </fill>
    </dxf>
    <dxf>
      <font>
        <color rgb="FF9C6500"/>
      </font>
      <fill>
        <patternFill>
          <bgColor rgb="FFFFEB9C"/>
        </patternFill>
      </fill>
    </dxf>
    <dxf>
      <fill>
        <patternFill>
          <bgColor theme="0" tint="-0.14996795556505021"/>
        </patternFill>
      </fill>
    </dxf>
    <dxf>
      <fill>
        <patternFill>
          <bgColor theme="7" tint="0.39994506668294322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00B05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FF00"/>
        </patternFill>
      </fill>
    </dxf>
    <dxf>
      <fill>
        <patternFill>
          <bgColor theme="8" tint="0.79998168889431442"/>
        </patternFill>
      </fill>
    </dxf>
    <dxf>
      <font>
        <color rgb="FF9C6500"/>
      </font>
      <fill>
        <patternFill>
          <bgColor rgb="FFFFEB9C"/>
        </patternFill>
      </fill>
    </dxf>
    <dxf>
      <font>
        <color theme="0"/>
      </font>
      <fill>
        <patternFill>
          <bgColor theme="1"/>
        </patternFill>
      </fill>
    </dxf>
    <dxf>
      <fill>
        <patternFill>
          <bgColor theme="6" tint="0.39994506668294322"/>
        </patternFill>
      </fill>
    </dxf>
    <dxf>
      <font>
        <color rgb="FF9C6500"/>
      </font>
      <fill>
        <patternFill>
          <bgColor rgb="FFFFEB9C"/>
        </patternFill>
      </fill>
    </dxf>
    <dxf>
      <fill>
        <patternFill>
          <bgColor rgb="FFFFFF00"/>
        </patternFill>
      </fill>
    </dxf>
    <dxf>
      <fill>
        <patternFill>
          <bgColor theme="9" tint="0.59996337778862885"/>
        </patternFill>
      </fill>
    </dxf>
    <dxf>
      <font>
        <color rgb="FF9C6500"/>
      </font>
      <fill>
        <patternFill>
          <bgColor rgb="FFFFEB9C"/>
        </patternFill>
      </fill>
    </dxf>
    <dxf>
      <fill>
        <patternFill>
          <bgColor theme="0" tint="-0.14996795556505021"/>
        </patternFill>
      </fill>
    </dxf>
    <dxf>
      <fill>
        <patternFill>
          <bgColor theme="7" tint="0.39994506668294322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00B05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FF00"/>
        </patternFill>
      </fill>
    </dxf>
    <dxf>
      <fill>
        <patternFill>
          <bgColor theme="8" tint="0.79998168889431442"/>
        </patternFill>
      </fill>
    </dxf>
    <dxf>
      <font>
        <color rgb="FF9C6500"/>
      </font>
      <fill>
        <patternFill>
          <bgColor rgb="FFFFEB9C"/>
        </patternFill>
      </fill>
    </dxf>
    <dxf>
      <font>
        <color theme="0"/>
      </font>
      <fill>
        <patternFill>
          <bgColor theme="1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1:H224"/>
  <sheetViews>
    <sheetView tabSelected="1" zoomScaleNormal="100" workbookViewId="0">
      <pane xSplit="1" ySplit="3" topLeftCell="B4" activePane="bottomRight" state="frozen"/>
      <selection pane="topRight" activeCell="C1" sqref="C1"/>
      <selection pane="bottomLeft" activeCell="A4" sqref="A4"/>
      <selection pane="bottomRight" activeCell="B215" sqref="B215"/>
    </sheetView>
  </sheetViews>
  <sheetFormatPr defaultColWidth="9.140625" defaultRowHeight="15"/>
  <cols>
    <col min="1" max="1" width="4.140625" style="2" customWidth="1"/>
    <col min="2" max="2" width="53.140625" style="2" customWidth="1"/>
    <col min="3" max="3" width="19.85546875" style="2" bestFit="1" customWidth="1"/>
    <col min="4" max="4" width="43.42578125" style="2" bestFit="1" customWidth="1"/>
    <col min="5" max="6" width="14.140625" style="2" customWidth="1"/>
    <col min="7" max="7" width="14.140625" style="3" customWidth="1"/>
    <col min="8" max="16384" width="9.140625" style="2"/>
  </cols>
  <sheetData>
    <row r="1" spans="2:8">
      <c r="B1" s="1"/>
      <c r="C1" s="1"/>
      <c r="D1" s="1"/>
      <c r="E1" s="1"/>
    </row>
    <row r="2" spans="2:8">
      <c r="B2" s="1"/>
      <c r="C2" s="1"/>
      <c r="D2" s="1" t="s">
        <v>18</v>
      </c>
      <c r="E2" s="1"/>
      <c r="F2" s="2" t="s">
        <v>17</v>
      </c>
    </row>
    <row r="3" spans="2:8">
      <c r="B3" s="13" t="s">
        <v>16</v>
      </c>
      <c r="C3" s="13" t="s">
        <v>0</v>
      </c>
      <c r="D3" s="13" t="s">
        <v>1</v>
      </c>
      <c r="E3" s="13" t="s">
        <v>2</v>
      </c>
      <c r="F3" s="13" t="s">
        <v>3</v>
      </c>
      <c r="G3" s="15" t="s">
        <v>61</v>
      </c>
      <c r="H3" s="15" t="s">
        <v>158</v>
      </c>
    </row>
    <row r="4" spans="2:8">
      <c r="B4" s="8" t="s">
        <v>8</v>
      </c>
      <c r="C4" s="18">
        <v>10</v>
      </c>
      <c r="D4" s="4">
        <f>C4+E4-1</f>
        <v>49909</v>
      </c>
      <c r="E4" s="4">
        <f t="shared" ref="E4:E67" si="0">G4*F4</f>
        <v>49900</v>
      </c>
      <c r="F4" s="4">
        <v>100</v>
      </c>
      <c r="G4" s="6">
        <v>499</v>
      </c>
      <c r="H4" s="11" t="b">
        <f>C5&gt;D4</f>
        <v>1</v>
      </c>
    </row>
    <row r="5" spans="2:8">
      <c r="B5" s="8" t="s">
        <v>4</v>
      </c>
      <c r="C5" s="4">
        <v>50000</v>
      </c>
      <c r="D5" s="4">
        <f t="shared" ref="D5:D65" si="1">C5+E5-1</f>
        <v>149999</v>
      </c>
      <c r="E5" s="4">
        <f t="shared" si="0"/>
        <v>100000</v>
      </c>
      <c r="F5" s="5">
        <v>100</v>
      </c>
      <c r="G5" s="6">
        <v>1000</v>
      </c>
      <c r="H5" s="11" t="b">
        <f t="shared" ref="H5:H77" si="2">C6&gt;D5</f>
        <v>1</v>
      </c>
    </row>
    <row r="6" spans="2:8">
      <c r="B6" s="8" t="s">
        <v>38</v>
      </c>
      <c r="C6" s="4">
        <f t="shared" ref="C6" si="3">D5+1</f>
        <v>150000</v>
      </c>
      <c r="D6" s="4">
        <f t="shared" si="1"/>
        <v>249999</v>
      </c>
      <c r="E6" s="4">
        <f t="shared" si="0"/>
        <v>100000</v>
      </c>
      <c r="F6" s="5">
        <v>500</v>
      </c>
      <c r="G6" s="6">
        <v>200</v>
      </c>
      <c r="H6" s="11" t="b">
        <f t="shared" si="2"/>
        <v>1</v>
      </c>
    </row>
    <row r="7" spans="2:8">
      <c r="B7" s="20" t="s">
        <v>143</v>
      </c>
      <c r="C7" s="4">
        <f>D6+1</f>
        <v>250000</v>
      </c>
      <c r="D7" s="4">
        <f t="shared" si="1"/>
        <v>349999</v>
      </c>
      <c r="E7" s="4">
        <f t="shared" si="0"/>
        <v>100000</v>
      </c>
      <c r="F7" s="4">
        <v>500</v>
      </c>
      <c r="G7" s="6">
        <v>200</v>
      </c>
      <c r="H7" s="11" t="b">
        <f t="shared" si="2"/>
        <v>1</v>
      </c>
    </row>
    <row r="8" spans="2:8">
      <c r="B8" s="20" t="s">
        <v>152</v>
      </c>
      <c r="C8" s="4">
        <f t="shared" ref="C8:C66" si="4">D7+1</f>
        <v>350000</v>
      </c>
      <c r="D8" s="4">
        <f t="shared" si="1"/>
        <v>449999</v>
      </c>
      <c r="E8" s="4">
        <f t="shared" si="0"/>
        <v>100000</v>
      </c>
      <c r="F8" s="4">
        <v>500</v>
      </c>
      <c r="G8" s="6">
        <v>200</v>
      </c>
      <c r="H8" s="11" t="b">
        <f t="shared" si="2"/>
        <v>1</v>
      </c>
    </row>
    <row r="9" spans="2:8">
      <c r="B9" s="20" t="s">
        <v>175</v>
      </c>
      <c r="C9" s="4">
        <f t="shared" si="4"/>
        <v>450000</v>
      </c>
      <c r="D9" s="4">
        <f t="shared" si="1"/>
        <v>549999</v>
      </c>
      <c r="E9" s="4">
        <f t="shared" si="0"/>
        <v>100000</v>
      </c>
      <c r="F9" s="4">
        <v>500</v>
      </c>
      <c r="G9" s="6">
        <v>200</v>
      </c>
      <c r="H9" s="11" t="b">
        <f t="shared" si="2"/>
        <v>1</v>
      </c>
    </row>
    <row r="10" spans="2:8">
      <c r="B10" s="20" t="s">
        <v>176</v>
      </c>
      <c r="C10" s="4">
        <f t="shared" si="4"/>
        <v>550000</v>
      </c>
      <c r="D10" s="4">
        <f t="shared" si="1"/>
        <v>649999</v>
      </c>
      <c r="E10" s="4">
        <f t="shared" si="0"/>
        <v>100000</v>
      </c>
      <c r="F10" s="4">
        <v>500</v>
      </c>
      <c r="G10" s="6">
        <v>200</v>
      </c>
      <c r="H10" s="11" t="b">
        <f t="shared" si="2"/>
        <v>1</v>
      </c>
    </row>
    <row r="11" spans="2:8">
      <c r="B11" s="20" t="s">
        <v>177</v>
      </c>
      <c r="C11" s="4">
        <f t="shared" si="4"/>
        <v>650000</v>
      </c>
      <c r="D11" s="4">
        <f t="shared" si="1"/>
        <v>749999</v>
      </c>
      <c r="E11" s="4">
        <f t="shared" si="0"/>
        <v>100000</v>
      </c>
      <c r="F11" s="4">
        <v>500</v>
      </c>
      <c r="G11" s="6">
        <v>200</v>
      </c>
      <c r="H11" s="11" t="b">
        <f t="shared" si="2"/>
        <v>1</v>
      </c>
    </row>
    <row r="12" spans="2:8">
      <c r="B12" s="20" t="s">
        <v>178</v>
      </c>
      <c r="C12" s="4">
        <f t="shared" si="4"/>
        <v>750000</v>
      </c>
      <c r="D12" s="4">
        <f t="shared" si="1"/>
        <v>849999</v>
      </c>
      <c r="E12" s="4">
        <f t="shared" si="0"/>
        <v>100000</v>
      </c>
      <c r="F12" s="4">
        <v>500</v>
      </c>
      <c r="G12" s="6">
        <v>200</v>
      </c>
      <c r="H12" s="11" t="b">
        <f t="shared" si="2"/>
        <v>1</v>
      </c>
    </row>
    <row r="13" spans="2:8">
      <c r="B13" s="20" t="s">
        <v>39</v>
      </c>
      <c r="C13" s="4">
        <f t="shared" si="4"/>
        <v>850000</v>
      </c>
      <c r="D13" s="4">
        <f t="shared" si="1"/>
        <v>949999</v>
      </c>
      <c r="E13" s="4">
        <f t="shared" si="0"/>
        <v>100000</v>
      </c>
      <c r="F13" s="4">
        <v>500</v>
      </c>
      <c r="G13" s="6">
        <v>200</v>
      </c>
      <c r="H13" s="11" t="b">
        <f t="shared" si="2"/>
        <v>1</v>
      </c>
    </row>
    <row r="14" spans="2:8">
      <c r="B14" s="20" t="s">
        <v>156</v>
      </c>
      <c r="C14" s="4">
        <f t="shared" si="4"/>
        <v>950000</v>
      </c>
      <c r="D14" s="4">
        <f t="shared" si="1"/>
        <v>1349999</v>
      </c>
      <c r="E14" s="4">
        <f t="shared" si="0"/>
        <v>400000</v>
      </c>
      <c r="F14" s="4">
        <v>500</v>
      </c>
      <c r="G14" s="6">
        <v>800</v>
      </c>
      <c r="H14" s="11" t="b">
        <f t="shared" si="2"/>
        <v>1</v>
      </c>
    </row>
    <row r="15" spans="2:8">
      <c r="B15" s="21" t="s">
        <v>47</v>
      </c>
      <c r="C15" s="4">
        <f t="shared" si="4"/>
        <v>1350000</v>
      </c>
      <c r="D15" s="4">
        <f t="shared" si="1"/>
        <v>1549999</v>
      </c>
      <c r="E15" s="4">
        <f t="shared" si="0"/>
        <v>200000</v>
      </c>
      <c r="F15" s="4">
        <v>500</v>
      </c>
      <c r="G15" s="6">
        <v>400</v>
      </c>
      <c r="H15" s="11" t="b">
        <f t="shared" si="2"/>
        <v>1</v>
      </c>
    </row>
    <row r="16" spans="2:8">
      <c r="B16" s="20" t="s">
        <v>146</v>
      </c>
      <c r="C16" s="4">
        <f t="shared" si="4"/>
        <v>1550000</v>
      </c>
      <c r="D16" s="4">
        <f t="shared" si="1"/>
        <v>1749999</v>
      </c>
      <c r="E16" s="4">
        <f t="shared" si="0"/>
        <v>200000</v>
      </c>
      <c r="F16" s="4">
        <v>500</v>
      </c>
      <c r="G16" s="6">
        <v>400</v>
      </c>
      <c r="H16" s="11" t="b">
        <f t="shared" si="2"/>
        <v>1</v>
      </c>
    </row>
    <row r="17" spans="2:8">
      <c r="B17" s="21" t="s">
        <v>144</v>
      </c>
      <c r="C17" s="4">
        <f t="shared" si="4"/>
        <v>1750000</v>
      </c>
      <c r="D17" s="4">
        <f t="shared" si="1"/>
        <v>1849999</v>
      </c>
      <c r="E17" s="4">
        <f t="shared" si="0"/>
        <v>100000</v>
      </c>
      <c r="F17" s="4">
        <v>500</v>
      </c>
      <c r="G17" s="6">
        <v>200</v>
      </c>
      <c r="H17" s="11" t="b">
        <f t="shared" si="2"/>
        <v>1</v>
      </c>
    </row>
    <row r="18" spans="2:8">
      <c r="B18" s="20" t="s">
        <v>179</v>
      </c>
      <c r="C18" s="4">
        <f t="shared" si="4"/>
        <v>1850000</v>
      </c>
      <c r="D18" s="4">
        <f t="shared" si="1"/>
        <v>1949999</v>
      </c>
      <c r="E18" s="4">
        <f t="shared" si="0"/>
        <v>100000</v>
      </c>
      <c r="F18" s="4">
        <v>500</v>
      </c>
      <c r="G18" s="6">
        <v>200</v>
      </c>
      <c r="H18" s="11" t="b">
        <f t="shared" si="2"/>
        <v>1</v>
      </c>
    </row>
    <row r="19" spans="2:8">
      <c r="B19" s="20" t="s">
        <v>180</v>
      </c>
      <c r="C19" s="4">
        <f t="shared" si="4"/>
        <v>1950000</v>
      </c>
      <c r="D19" s="4">
        <f t="shared" si="1"/>
        <v>2049999</v>
      </c>
      <c r="E19" s="4">
        <f t="shared" si="0"/>
        <v>100000</v>
      </c>
      <c r="F19" s="4">
        <v>500</v>
      </c>
      <c r="G19" s="6">
        <v>200</v>
      </c>
      <c r="H19" s="11" t="b">
        <f t="shared" si="2"/>
        <v>1</v>
      </c>
    </row>
    <row r="20" spans="2:8">
      <c r="B20" s="20" t="s">
        <v>181</v>
      </c>
      <c r="C20" s="4">
        <f t="shared" si="4"/>
        <v>2050000</v>
      </c>
      <c r="D20" s="4">
        <f t="shared" si="1"/>
        <v>2149999</v>
      </c>
      <c r="E20" s="4">
        <f t="shared" si="0"/>
        <v>100000</v>
      </c>
      <c r="F20" s="4">
        <v>500</v>
      </c>
      <c r="G20" s="6">
        <v>200</v>
      </c>
      <c r="H20" s="11" t="b">
        <f t="shared" si="2"/>
        <v>1</v>
      </c>
    </row>
    <row r="21" spans="2:8">
      <c r="B21" s="20" t="s">
        <v>182</v>
      </c>
      <c r="C21" s="4">
        <f t="shared" si="4"/>
        <v>2150000</v>
      </c>
      <c r="D21" s="4">
        <f t="shared" si="1"/>
        <v>2249999</v>
      </c>
      <c r="E21" s="4">
        <f t="shared" si="0"/>
        <v>100000</v>
      </c>
      <c r="F21" s="4">
        <v>500</v>
      </c>
      <c r="G21" s="6">
        <v>200</v>
      </c>
      <c r="H21" s="11" t="b">
        <f t="shared" si="2"/>
        <v>1</v>
      </c>
    </row>
    <row r="22" spans="2:8">
      <c r="B22" s="20" t="s">
        <v>183</v>
      </c>
      <c r="C22" s="4">
        <f t="shared" si="4"/>
        <v>2250000</v>
      </c>
      <c r="D22" s="4">
        <f t="shared" si="1"/>
        <v>2349999</v>
      </c>
      <c r="E22" s="4">
        <f t="shared" si="0"/>
        <v>100000</v>
      </c>
      <c r="F22" s="4">
        <v>500</v>
      </c>
      <c r="G22" s="6">
        <v>200</v>
      </c>
      <c r="H22" s="11" t="b">
        <f t="shared" si="2"/>
        <v>1</v>
      </c>
    </row>
    <row r="23" spans="2:8">
      <c r="B23" s="20" t="s">
        <v>48</v>
      </c>
      <c r="C23" s="4">
        <f t="shared" si="4"/>
        <v>2350000</v>
      </c>
      <c r="D23" s="4">
        <f t="shared" si="1"/>
        <v>2449999</v>
      </c>
      <c r="E23" s="4">
        <f t="shared" si="0"/>
        <v>100000</v>
      </c>
      <c r="F23" s="5">
        <v>500</v>
      </c>
      <c r="G23" s="6">
        <v>200</v>
      </c>
      <c r="H23" s="11" t="b">
        <f t="shared" si="2"/>
        <v>1</v>
      </c>
    </row>
    <row r="24" spans="2:8">
      <c r="B24" s="20" t="s">
        <v>148</v>
      </c>
      <c r="C24" s="4">
        <f t="shared" si="4"/>
        <v>2450000</v>
      </c>
      <c r="D24" s="4">
        <f t="shared" si="1"/>
        <v>2649999</v>
      </c>
      <c r="E24" s="4">
        <f t="shared" si="0"/>
        <v>200000</v>
      </c>
      <c r="F24" s="5">
        <v>500</v>
      </c>
      <c r="G24" s="6">
        <v>400</v>
      </c>
      <c r="H24" s="11" t="b">
        <f t="shared" si="2"/>
        <v>1</v>
      </c>
    </row>
    <row r="25" spans="2:8">
      <c r="B25" s="20" t="s">
        <v>150</v>
      </c>
      <c r="C25" s="4">
        <f t="shared" si="4"/>
        <v>2650000</v>
      </c>
      <c r="D25" s="4">
        <f t="shared" si="1"/>
        <v>2949999</v>
      </c>
      <c r="E25" s="4">
        <f t="shared" si="0"/>
        <v>300000</v>
      </c>
      <c r="F25" s="5">
        <v>500</v>
      </c>
      <c r="G25" s="6">
        <v>600</v>
      </c>
      <c r="H25" s="11" t="b">
        <f t="shared" si="2"/>
        <v>1</v>
      </c>
    </row>
    <row r="26" spans="2:8">
      <c r="B26" s="20" t="s">
        <v>151</v>
      </c>
      <c r="C26" s="4">
        <f t="shared" si="4"/>
        <v>2950000</v>
      </c>
      <c r="D26" s="4">
        <f t="shared" si="1"/>
        <v>3149999</v>
      </c>
      <c r="E26" s="4">
        <f t="shared" si="0"/>
        <v>200000</v>
      </c>
      <c r="F26" s="5">
        <v>500</v>
      </c>
      <c r="G26" s="6">
        <v>400</v>
      </c>
      <c r="H26" s="11" t="b">
        <f t="shared" si="2"/>
        <v>1</v>
      </c>
    </row>
    <row r="27" spans="2:8">
      <c r="B27" s="20" t="s">
        <v>147</v>
      </c>
      <c r="C27" s="4">
        <f t="shared" si="4"/>
        <v>3150000</v>
      </c>
      <c r="D27" s="4">
        <f t="shared" si="1"/>
        <v>3349999</v>
      </c>
      <c r="E27" s="4">
        <f t="shared" si="0"/>
        <v>200000</v>
      </c>
      <c r="F27" s="5">
        <v>500</v>
      </c>
      <c r="G27" s="6">
        <v>400</v>
      </c>
      <c r="H27" s="11" t="b">
        <f t="shared" si="2"/>
        <v>1</v>
      </c>
    </row>
    <row r="28" spans="2:8">
      <c r="B28" s="20" t="s">
        <v>184</v>
      </c>
      <c r="C28" s="4">
        <f t="shared" si="4"/>
        <v>3350000</v>
      </c>
      <c r="D28" s="4">
        <f t="shared" si="1"/>
        <v>3449999</v>
      </c>
      <c r="E28" s="4">
        <f t="shared" si="0"/>
        <v>100000</v>
      </c>
      <c r="F28" s="5">
        <v>500</v>
      </c>
      <c r="G28" s="6">
        <v>200</v>
      </c>
      <c r="H28" s="11" t="b">
        <f t="shared" si="2"/>
        <v>1</v>
      </c>
    </row>
    <row r="29" spans="2:8">
      <c r="B29" s="20" t="s">
        <v>155</v>
      </c>
      <c r="C29" s="4">
        <f t="shared" si="4"/>
        <v>3450000</v>
      </c>
      <c r="D29" s="4">
        <f t="shared" si="1"/>
        <v>3549999</v>
      </c>
      <c r="E29" s="4">
        <f t="shared" si="0"/>
        <v>100000</v>
      </c>
      <c r="F29" s="5">
        <v>500</v>
      </c>
      <c r="G29" s="6">
        <v>200</v>
      </c>
      <c r="H29" s="11" t="b">
        <f t="shared" si="2"/>
        <v>1</v>
      </c>
    </row>
    <row r="30" spans="2:8">
      <c r="B30" s="20" t="s">
        <v>45</v>
      </c>
      <c r="C30" s="4">
        <f t="shared" si="4"/>
        <v>3550000</v>
      </c>
      <c r="D30" s="4">
        <f t="shared" si="1"/>
        <v>3649999</v>
      </c>
      <c r="E30" s="4">
        <f t="shared" si="0"/>
        <v>100000</v>
      </c>
      <c r="F30" s="5">
        <v>500</v>
      </c>
      <c r="G30" s="6">
        <v>200</v>
      </c>
      <c r="H30" s="11" t="b">
        <f t="shared" si="2"/>
        <v>1</v>
      </c>
    </row>
    <row r="31" spans="2:8">
      <c r="B31" s="20" t="s">
        <v>46</v>
      </c>
      <c r="C31" s="4">
        <f t="shared" si="4"/>
        <v>3650000</v>
      </c>
      <c r="D31" s="4">
        <f t="shared" si="1"/>
        <v>3749999</v>
      </c>
      <c r="E31" s="4">
        <f t="shared" si="0"/>
        <v>100000</v>
      </c>
      <c r="F31" s="5">
        <v>500</v>
      </c>
      <c r="G31" s="6">
        <v>200</v>
      </c>
      <c r="H31" s="11" t="b">
        <f t="shared" si="2"/>
        <v>1</v>
      </c>
    </row>
    <row r="32" spans="2:8">
      <c r="B32" s="20" t="s">
        <v>141</v>
      </c>
      <c r="C32" s="4">
        <f t="shared" si="4"/>
        <v>3750000</v>
      </c>
      <c r="D32" s="4">
        <f t="shared" si="1"/>
        <v>3949999</v>
      </c>
      <c r="E32" s="4">
        <f t="shared" si="0"/>
        <v>200000</v>
      </c>
      <c r="F32" s="5">
        <v>500</v>
      </c>
      <c r="G32" s="6">
        <v>400</v>
      </c>
      <c r="H32" s="11" t="b">
        <f t="shared" si="2"/>
        <v>1</v>
      </c>
    </row>
    <row r="33" spans="2:8">
      <c r="B33" s="20" t="s">
        <v>43</v>
      </c>
      <c r="C33" s="4">
        <f t="shared" si="4"/>
        <v>3950000</v>
      </c>
      <c r="D33" s="4">
        <f t="shared" si="1"/>
        <v>4049999</v>
      </c>
      <c r="E33" s="4">
        <f t="shared" si="0"/>
        <v>100000</v>
      </c>
      <c r="F33" s="5">
        <v>500</v>
      </c>
      <c r="G33" s="6">
        <v>200</v>
      </c>
      <c r="H33" s="11" t="b">
        <f t="shared" si="2"/>
        <v>1</v>
      </c>
    </row>
    <row r="34" spans="2:8">
      <c r="B34" s="20" t="s">
        <v>157</v>
      </c>
      <c r="C34" s="4">
        <f t="shared" si="4"/>
        <v>4050000</v>
      </c>
      <c r="D34" s="4">
        <f t="shared" si="1"/>
        <v>4149999</v>
      </c>
      <c r="E34" s="4">
        <f t="shared" si="0"/>
        <v>100000</v>
      </c>
      <c r="F34" s="5">
        <v>500</v>
      </c>
      <c r="G34" s="6">
        <v>200</v>
      </c>
      <c r="H34" s="11" t="b">
        <f t="shared" si="2"/>
        <v>1</v>
      </c>
    </row>
    <row r="35" spans="2:8">
      <c r="B35" s="20" t="s">
        <v>142</v>
      </c>
      <c r="C35" s="4">
        <f t="shared" si="4"/>
        <v>4150000</v>
      </c>
      <c r="D35" s="4">
        <f t="shared" si="1"/>
        <v>4249999</v>
      </c>
      <c r="E35" s="4">
        <f t="shared" si="0"/>
        <v>100000</v>
      </c>
      <c r="F35" s="5">
        <v>500</v>
      </c>
      <c r="G35" s="6">
        <v>200</v>
      </c>
      <c r="H35" s="11" t="b">
        <f t="shared" si="2"/>
        <v>1</v>
      </c>
    </row>
    <row r="36" spans="2:8">
      <c r="B36" s="20" t="s">
        <v>149</v>
      </c>
      <c r="C36" s="4">
        <f t="shared" si="4"/>
        <v>4250000</v>
      </c>
      <c r="D36" s="4">
        <f t="shared" si="1"/>
        <v>4649999</v>
      </c>
      <c r="E36" s="4">
        <f t="shared" si="0"/>
        <v>400000</v>
      </c>
      <c r="F36" s="5">
        <v>500</v>
      </c>
      <c r="G36" s="6">
        <v>800</v>
      </c>
      <c r="H36" s="11" t="b">
        <f t="shared" si="2"/>
        <v>1</v>
      </c>
    </row>
    <row r="37" spans="2:8">
      <c r="B37" s="20" t="s">
        <v>42</v>
      </c>
      <c r="C37" s="4">
        <f t="shared" si="4"/>
        <v>4650000</v>
      </c>
      <c r="D37" s="4">
        <f t="shared" si="1"/>
        <v>5249999</v>
      </c>
      <c r="E37" s="4">
        <f t="shared" si="0"/>
        <v>600000</v>
      </c>
      <c r="F37" s="5">
        <v>500</v>
      </c>
      <c r="G37" s="6">
        <v>1200</v>
      </c>
      <c r="H37" s="11" t="b">
        <f t="shared" si="2"/>
        <v>1</v>
      </c>
    </row>
    <row r="38" spans="2:8">
      <c r="B38" s="20" t="s">
        <v>185</v>
      </c>
      <c r="C38" s="4">
        <f t="shared" si="4"/>
        <v>5250000</v>
      </c>
      <c r="D38" s="4">
        <f t="shared" si="1"/>
        <v>5449999</v>
      </c>
      <c r="E38" s="4">
        <f t="shared" si="0"/>
        <v>200000</v>
      </c>
      <c r="F38" s="5">
        <v>500</v>
      </c>
      <c r="G38" s="6">
        <v>400</v>
      </c>
      <c r="H38" s="11" t="b">
        <f t="shared" si="2"/>
        <v>1</v>
      </c>
    </row>
    <row r="39" spans="2:8">
      <c r="B39" s="20" t="s">
        <v>40</v>
      </c>
      <c r="C39" s="4">
        <f t="shared" si="4"/>
        <v>5450000</v>
      </c>
      <c r="D39" s="4">
        <f t="shared" si="1"/>
        <v>5749999</v>
      </c>
      <c r="E39" s="4">
        <f t="shared" si="0"/>
        <v>300000</v>
      </c>
      <c r="F39" s="5">
        <v>500</v>
      </c>
      <c r="G39" s="6">
        <v>600</v>
      </c>
      <c r="H39" s="11" t="b">
        <f t="shared" si="2"/>
        <v>1</v>
      </c>
    </row>
    <row r="40" spans="2:8">
      <c r="B40" s="20" t="s">
        <v>186</v>
      </c>
      <c r="C40" s="4">
        <f t="shared" si="4"/>
        <v>5750000</v>
      </c>
      <c r="D40" s="4">
        <f t="shared" si="1"/>
        <v>5849999</v>
      </c>
      <c r="E40" s="4">
        <f t="shared" si="0"/>
        <v>100000</v>
      </c>
      <c r="F40" s="5">
        <v>500</v>
      </c>
      <c r="G40" s="6">
        <v>200</v>
      </c>
      <c r="H40" s="11" t="b">
        <f t="shared" si="2"/>
        <v>1</v>
      </c>
    </row>
    <row r="41" spans="2:8">
      <c r="B41" s="20" t="s">
        <v>41</v>
      </c>
      <c r="C41" s="4">
        <f t="shared" si="4"/>
        <v>5850000</v>
      </c>
      <c r="D41" s="4">
        <f t="shared" si="1"/>
        <v>5949999</v>
      </c>
      <c r="E41" s="4">
        <f t="shared" si="0"/>
        <v>100000</v>
      </c>
      <c r="F41" s="5">
        <v>500</v>
      </c>
      <c r="G41" s="6">
        <v>200</v>
      </c>
      <c r="H41" s="11" t="b">
        <f t="shared" si="2"/>
        <v>1</v>
      </c>
    </row>
    <row r="42" spans="2:8">
      <c r="B42" s="20" t="s">
        <v>187</v>
      </c>
      <c r="C42" s="4">
        <f t="shared" si="4"/>
        <v>5950000</v>
      </c>
      <c r="D42" s="4">
        <f t="shared" si="1"/>
        <v>6249999</v>
      </c>
      <c r="E42" s="4">
        <f t="shared" si="0"/>
        <v>300000</v>
      </c>
      <c r="F42" s="5">
        <v>500</v>
      </c>
      <c r="G42" s="6">
        <v>600</v>
      </c>
      <c r="H42" s="11" t="b">
        <f t="shared" si="2"/>
        <v>1</v>
      </c>
    </row>
    <row r="43" spans="2:8">
      <c r="B43" s="20" t="s">
        <v>188</v>
      </c>
      <c r="C43" s="4">
        <f t="shared" si="4"/>
        <v>6250000</v>
      </c>
      <c r="D43" s="4">
        <f t="shared" si="1"/>
        <v>6349999</v>
      </c>
      <c r="E43" s="4">
        <f t="shared" si="0"/>
        <v>100000</v>
      </c>
      <c r="F43" s="5">
        <v>500</v>
      </c>
      <c r="G43" s="6">
        <v>200</v>
      </c>
      <c r="H43" s="11" t="b">
        <f t="shared" si="2"/>
        <v>1</v>
      </c>
    </row>
    <row r="44" spans="2:8">
      <c r="B44" s="20" t="s">
        <v>189</v>
      </c>
      <c r="C44" s="4">
        <f t="shared" si="4"/>
        <v>6350000</v>
      </c>
      <c r="D44" s="4">
        <f t="shared" si="1"/>
        <v>6449999</v>
      </c>
      <c r="E44" s="4">
        <f t="shared" si="0"/>
        <v>100000</v>
      </c>
      <c r="F44" s="5">
        <v>500</v>
      </c>
      <c r="G44" s="6">
        <v>200</v>
      </c>
      <c r="H44" s="11" t="b">
        <f t="shared" si="2"/>
        <v>1</v>
      </c>
    </row>
    <row r="45" spans="2:8">
      <c r="B45" s="20" t="s">
        <v>153</v>
      </c>
      <c r="C45" s="4">
        <f t="shared" si="4"/>
        <v>6450000</v>
      </c>
      <c r="D45" s="4">
        <f t="shared" si="1"/>
        <v>6649999</v>
      </c>
      <c r="E45" s="4">
        <f t="shared" si="0"/>
        <v>200000</v>
      </c>
      <c r="F45" s="5">
        <v>500</v>
      </c>
      <c r="G45" s="6">
        <v>400</v>
      </c>
      <c r="H45" s="11" t="b">
        <f t="shared" si="2"/>
        <v>1</v>
      </c>
    </row>
    <row r="46" spans="2:8">
      <c r="B46" s="20" t="s">
        <v>154</v>
      </c>
      <c r="C46" s="4">
        <f t="shared" si="4"/>
        <v>6650000</v>
      </c>
      <c r="D46" s="4">
        <f t="shared" si="1"/>
        <v>6749999</v>
      </c>
      <c r="E46" s="4">
        <f t="shared" si="0"/>
        <v>100000</v>
      </c>
      <c r="F46" s="5">
        <v>500</v>
      </c>
      <c r="G46" s="6">
        <v>200</v>
      </c>
      <c r="H46" s="11" t="b">
        <f t="shared" si="2"/>
        <v>1</v>
      </c>
    </row>
    <row r="47" spans="2:8">
      <c r="B47" s="20" t="s">
        <v>190</v>
      </c>
      <c r="C47" s="4">
        <f t="shared" si="4"/>
        <v>6750000</v>
      </c>
      <c r="D47" s="4">
        <f t="shared" si="1"/>
        <v>6849999</v>
      </c>
      <c r="E47" s="4">
        <f t="shared" si="0"/>
        <v>100000</v>
      </c>
      <c r="F47" s="5">
        <v>500</v>
      </c>
      <c r="G47" s="6">
        <v>200</v>
      </c>
      <c r="H47" s="11" t="b">
        <f t="shared" si="2"/>
        <v>1</v>
      </c>
    </row>
    <row r="48" spans="2:8">
      <c r="B48" s="20" t="s">
        <v>191</v>
      </c>
      <c r="C48" s="4">
        <f t="shared" si="4"/>
        <v>6850000</v>
      </c>
      <c r="D48" s="4">
        <f t="shared" si="1"/>
        <v>7049999</v>
      </c>
      <c r="E48" s="4">
        <f t="shared" si="0"/>
        <v>200000</v>
      </c>
      <c r="F48" s="5">
        <v>500</v>
      </c>
      <c r="G48" s="6">
        <v>400</v>
      </c>
      <c r="H48" s="11" t="b">
        <f t="shared" si="2"/>
        <v>1</v>
      </c>
    </row>
    <row r="49" spans="2:8">
      <c r="B49" s="20" t="s">
        <v>44</v>
      </c>
      <c r="C49" s="4">
        <f t="shared" si="4"/>
        <v>7050000</v>
      </c>
      <c r="D49" s="4">
        <f t="shared" si="1"/>
        <v>7149999</v>
      </c>
      <c r="E49" s="4">
        <f t="shared" si="0"/>
        <v>100000</v>
      </c>
      <c r="F49" s="5">
        <v>500</v>
      </c>
      <c r="G49" s="6">
        <v>200</v>
      </c>
      <c r="H49" s="11" t="b">
        <f t="shared" si="2"/>
        <v>1</v>
      </c>
    </row>
    <row r="50" spans="2:8">
      <c r="B50" s="20" t="s">
        <v>37</v>
      </c>
      <c r="C50" s="4">
        <f t="shared" si="4"/>
        <v>7150000</v>
      </c>
      <c r="D50" s="4">
        <f t="shared" si="1"/>
        <v>7249999</v>
      </c>
      <c r="E50" s="4">
        <f t="shared" si="0"/>
        <v>100000</v>
      </c>
      <c r="F50" s="5">
        <v>500</v>
      </c>
      <c r="G50" s="6">
        <v>200</v>
      </c>
      <c r="H50" s="11" t="b">
        <f t="shared" si="2"/>
        <v>1</v>
      </c>
    </row>
    <row r="51" spans="2:8">
      <c r="B51" s="20" t="s">
        <v>36</v>
      </c>
      <c r="C51" s="4">
        <f t="shared" si="4"/>
        <v>7250000</v>
      </c>
      <c r="D51" s="4">
        <f t="shared" si="1"/>
        <v>7349999</v>
      </c>
      <c r="E51" s="4">
        <f t="shared" si="0"/>
        <v>100000</v>
      </c>
      <c r="F51" s="5">
        <v>500</v>
      </c>
      <c r="G51" s="6">
        <v>200</v>
      </c>
      <c r="H51" s="11" t="b">
        <f t="shared" si="2"/>
        <v>1</v>
      </c>
    </row>
    <row r="52" spans="2:8">
      <c r="B52" s="20" t="s">
        <v>145</v>
      </c>
      <c r="C52" s="4">
        <f t="shared" si="4"/>
        <v>7350000</v>
      </c>
      <c r="D52" s="4">
        <f t="shared" si="1"/>
        <v>7449999</v>
      </c>
      <c r="E52" s="4">
        <f t="shared" si="0"/>
        <v>100000</v>
      </c>
      <c r="F52" s="5">
        <v>500</v>
      </c>
      <c r="G52" s="6">
        <v>200</v>
      </c>
      <c r="H52" s="11" t="b">
        <f t="shared" si="2"/>
        <v>1</v>
      </c>
    </row>
    <row r="53" spans="2:8">
      <c r="B53" s="20" t="s">
        <v>192</v>
      </c>
      <c r="C53" s="4">
        <f t="shared" si="4"/>
        <v>7450000</v>
      </c>
      <c r="D53" s="4">
        <f t="shared" si="1"/>
        <v>8149999</v>
      </c>
      <c r="E53" s="4">
        <f t="shared" si="0"/>
        <v>700000</v>
      </c>
      <c r="F53" s="5">
        <v>500</v>
      </c>
      <c r="G53" s="6">
        <v>1400</v>
      </c>
      <c r="H53" s="11" t="b">
        <f t="shared" si="2"/>
        <v>1</v>
      </c>
    </row>
    <row r="54" spans="2:8">
      <c r="B54" s="20" t="s">
        <v>193</v>
      </c>
      <c r="C54" s="4">
        <f t="shared" si="4"/>
        <v>8150000</v>
      </c>
      <c r="D54" s="4">
        <f t="shared" si="1"/>
        <v>8249999</v>
      </c>
      <c r="E54" s="4">
        <f t="shared" si="0"/>
        <v>100000</v>
      </c>
      <c r="F54" s="5">
        <v>500</v>
      </c>
      <c r="G54" s="6">
        <v>200</v>
      </c>
      <c r="H54" s="11" t="b">
        <f>C64&gt;D54</f>
        <v>1</v>
      </c>
    </row>
    <row r="55" spans="2:8">
      <c r="B55" s="22" t="s">
        <v>223</v>
      </c>
      <c r="C55" s="4">
        <f t="shared" ref="C55:C61" si="5">D54+1</f>
        <v>8250000</v>
      </c>
      <c r="D55" s="4">
        <f t="shared" ref="D55:D61" si="6">C55+E55-1</f>
        <v>8254999</v>
      </c>
      <c r="E55" s="4">
        <f t="shared" ref="E55:E61" si="7">G55*F55</f>
        <v>5000</v>
      </c>
      <c r="F55" s="5">
        <v>500</v>
      </c>
      <c r="G55" s="6">
        <v>10</v>
      </c>
      <c r="H55" s="11" t="b">
        <f t="shared" ref="H55:H61" si="8">C65&gt;D55</f>
        <v>1</v>
      </c>
    </row>
    <row r="56" spans="2:8">
      <c r="B56" s="22" t="s">
        <v>224</v>
      </c>
      <c r="C56" s="4">
        <f t="shared" si="5"/>
        <v>8255000</v>
      </c>
      <c r="D56" s="4">
        <f t="shared" si="6"/>
        <v>8304999</v>
      </c>
      <c r="E56" s="4">
        <f t="shared" si="7"/>
        <v>50000</v>
      </c>
      <c r="F56" s="5">
        <v>500</v>
      </c>
      <c r="G56" s="6">
        <v>100</v>
      </c>
      <c r="H56" s="11" t="b">
        <f t="shared" si="8"/>
        <v>1</v>
      </c>
    </row>
    <row r="57" spans="2:8">
      <c r="B57" s="22" t="s">
        <v>225</v>
      </c>
      <c r="C57" s="4">
        <f t="shared" si="5"/>
        <v>8305000</v>
      </c>
      <c r="D57" s="4">
        <f t="shared" si="6"/>
        <v>8354999</v>
      </c>
      <c r="E57" s="4">
        <f t="shared" si="7"/>
        <v>50000</v>
      </c>
      <c r="F57" s="5">
        <v>500</v>
      </c>
      <c r="G57" s="6">
        <v>100</v>
      </c>
      <c r="H57" s="11" t="b">
        <f t="shared" si="8"/>
        <v>1</v>
      </c>
    </row>
    <row r="58" spans="2:8">
      <c r="B58" s="22" t="s">
        <v>226</v>
      </c>
      <c r="C58" s="4">
        <f t="shared" si="5"/>
        <v>8355000</v>
      </c>
      <c r="D58" s="4">
        <f t="shared" si="6"/>
        <v>8454999</v>
      </c>
      <c r="E58" s="4">
        <f t="shared" si="7"/>
        <v>100000</v>
      </c>
      <c r="F58" s="5">
        <v>500</v>
      </c>
      <c r="G58" s="6">
        <v>200</v>
      </c>
      <c r="H58" s="11" t="b">
        <f t="shared" si="8"/>
        <v>1</v>
      </c>
    </row>
    <row r="59" spans="2:8">
      <c r="B59" s="22" t="s">
        <v>227</v>
      </c>
      <c r="C59" s="4">
        <f t="shared" si="5"/>
        <v>8455000</v>
      </c>
      <c r="D59" s="4">
        <f t="shared" si="6"/>
        <v>8464999</v>
      </c>
      <c r="E59" s="4">
        <f t="shared" si="7"/>
        <v>10000</v>
      </c>
      <c r="F59" s="5">
        <v>500</v>
      </c>
      <c r="G59" s="6">
        <v>20</v>
      </c>
      <c r="H59" s="11" t="b">
        <f t="shared" si="8"/>
        <v>1</v>
      </c>
    </row>
    <row r="60" spans="2:8">
      <c r="B60" s="22" t="s">
        <v>228</v>
      </c>
      <c r="C60" s="4">
        <f t="shared" si="5"/>
        <v>8465000</v>
      </c>
      <c r="D60" s="4">
        <f t="shared" si="6"/>
        <v>8469999</v>
      </c>
      <c r="E60" s="4">
        <f t="shared" si="7"/>
        <v>5000</v>
      </c>
      <c r="F60" s="5">
        <v>500</v>
      </c>
      <c r="G60" s="6">
        <v>10</v>
      </c>
      <c r="H60" s="11" t="b">
        <f t="shared" si="8"/>
        <v>1</v>
      </c>
    </row>
    <row r="61" spans="2:8">
      <c r="B61" s="22" t="s">
        <v>229</v>
      </c>
      <c r="C61" s="4">
        <f t="shared" si="5"/>
        <v>8470000</v>
      </c>
      <c r="D61" s="4">
        <f t="shared" si="6"/>
        <v>8479999</v>
      </c>
      <c r="E61" s="4">
        <f t="shared" si="7"/>
        <v>10000</v>
      </c>
      <c r="F61" s="5">
        <v>500</v>
      </c>
      <c r="G61" s="6">
        <v>20</v>
      </c>
      <c r="H61" s="11" t="b">
        <f t="shared" si="8"/>
        <v>1</v>
      </c>
    </row>
    <row r="62" spans="2:8">
      <c r="B62" s="20" t="s">
        <v>221</v>
      </c>
      <c r="C62" s="4">
        <f>D54+1</f>
        <v>8250000</v>
      </c>
      <c r="D62" s="4">
        <f t="shared" ref="D62:D63" si="9">C62+E62-1</f>
        <v>8252999</v>
      </c>
      <c r="E62" s="4">
        <f t="shared" ref="E62:E63" si="10">G62*F62</f>
        <v>3000</v>
      </c>
      <c r="F62" s="5">
        <v>100</v>
      </c>
      <c r="G62" s="6">
        <v>30</v>
      </c>
      <c r="H62" s="11" t="b">
        <f t="shared" ref="H62:H63" si="11">C63&gt;D62</f>
        <v>1</v>
      </c>
    </row>
    <row r="63" spans="2:8">
      <c r="B63" s="20" t="s">
        <v>222</v>
      </c>
      <c r="C63" s="4">
        <f t="shared" ref="C63" si="12">D62+1</f>
        <v>8253000</v>
      </c>
      <c r="D63" s="4">
        <f t="shared" si="9"/>
        <v>8255999</v>
      </c>
      <c r="E63" s="4">
        <f t="shared" si="10"/>
        <v>3000</v>
      </c>
      <c r="F63" s="5">
        <v>100</v>
      </c>
      <c r="G63" s="6">
        <v>30</v>
      </c>
      <c r="H63" s="11" t="b">
        <f>C66&gt;D63</f>
        <v>1</v>
      </c>
    </row>
    <row r="64" spans="2:8">
      <c r="B64" s="8" t="s">
        <v>5</v>
      </c>
      <c r="C64" s="18">
        <v>20000000</v>
      </c>
      <c r="D64" s="4">
        <f t="shared" si="1"/>
        <v>20009999</v>
      </c>
      <c r="E64" s="4">
        <f t="shared" si="0"/>
        <v>10000</v>
      </c>
      <c r="F64" s="4">
        <v>100</v>
      </c>
      <c r="G64" s="6">
        <v>100</v>
      </c>
      <c r="H64" s="11" t="b">
        <f t="shared" si="2"/>
        <v>1</v>
      </c>
    </row>
    <row r="65" spans="2:8">
      <c r="B65" s="8" t="s">
        <v>9</v>
      </c>
      <c r="C65" s="4">
        <f>D64+1</f>
        <v>20010000</v>
      </c>
      <c r="D65" s="4">
        <f t="shared" si="1"/>
        <v>20109999</v>
      </c>
      <c r="E65" s="4">
        <f t="shared" si="0"/>
        <v>100000</v>
      </c>
      <c r="F65" s="5">
        <v>500</v>
      </c>
      <c r="G65" s="6">
        <v>200</v>
      </c>
      <c r="H65" s="11" t="b">
        <f t="shared" si="2"/>
        <v>1</v>
      </c>
    </row>
    <row r="66" spans="2:8">
      <c r="B66" s="8" t="s">
        <v>7</v>
      </c>
      <c r="C66" s="4">
        <f t="shared" si="4"/>
        <v>20110000</v>
      </c>
      <c r="D66" s="4">
        <f t="shared" ref="D66:D140" si="13">C66+E66-1</f>
        <v>20154999</v>
      </c>
      <c r="E66" s="4">
        <f t="shared" si="0"/>
        <v>45000</v>
      </c>
      <c r="F66" s="4">
        <v>500</v>
      </c>
      <c r="G66" s="6">
        <v>90</v>
      </c>
      <c r="H66" s="11" t="b">
        <f t="shared" si="2"/>
        <v>1</v>
      </c>
    </row>
    <row r="67" spans="2:8">
      <c r="B67" s="8" t="s">
        <v>10</v>
      </c>
      <c r="C67" s="4">
        <f t="shared" ref="C67:C140" si="14">D66+1</f>
        <v>20155000</v>
      </c>
      <c r="D67" s="4">
        <f t="shared" si="13"/>
        <v>20254999</v>
      </c>
      <c r="E67" s="4">
        <f t="shared" si="0"/>
        <v>100000</v>
      </c>
      <c r="F67" s="5">
        <v>500</v>
      </c>
      <c r="G67" s="6">
        <v>200</v>
      </c>
      <c r="H67" s="11" t="b">
        <f t="shared" si="2"/>
        <v>1</v>
      </c>
    </row>
    <row r="68" spans="2:8">
      <c r="B68" s="8" t="s">
        <v>11</v>
      </c>
      <c r="C68" s="4">
        <f t="shared" si="14"/>
        <v>20255000</v>
      </c>
      <c r="D68" s="4">
        <f t="shared" si="13"/>
        <v>20354999</v>
      </c>
      <c r="E68" s="4">
        <f t="shared" ref="E68:E142" si="15">G68*F68</f>
        <v>100000</v>
      </c>
      <c r="F68" s="5">
        <v>500</v>
      </c>
      <c r="G68" s="6">
        <v>200</v>
      </c>
      <c r="H68" s="11" t="b">
        <f t="shared" si="2"/>
        <v>1</v>
      </c>
    </row>
    <row r="69" spans="2:8">
      <c r="B69" s="8" t="s">
        <v>12</v>
      </c>
      <c r="C69" s="4">
        <f t="shared" si="14"/>
        <v>20355000</v>
      </c>
      <c r="D69" s="4">
        <f t="shared" si="13"/>
        <v>20454999</v>
      </c>
      <c r="E69" s="4">
        <f t="shared" si="15"/>
        <v>100000</v>
      </c>
      <c r="F69" s="5">
        <v>500</v>
      </c>
      <c r="G69" s="6">
        <v>200</v>
      </c>
      <c r="H69" s="11" t="b">
        <f t="shared" si="2"/>
        <v>1</v>
      </c>
    </row>
    <row r="70" spans="2:8">
      <c r="B70" s="8" t="s">
        <v>13</v>
      </c>
      <c r="C70" s="4">
        <f t="shared" si="14"/>
        <v>20455000</v>
      </c>
      <c r="D70" s="4">
        <f t="shared" si="13"/>
        <v>20554999</v>
      </c>
      <c r="E70" s="4">
        <f t="shared" si="15"/>
        <v>100000</v>
      </c>
      <c r="F70" s="5">
        <v>500</v>
      </c>
      <c r="G70" s="6">
        <v>200</v>
      </c>
      <c r="H70" s="11" t="b">
        <f t="shared" si="2"/>
        <v>1</v>
      </c>
    </row>
    <row r="71" spans="2:8">
      <c r="B71" s="8" t="s">
        <v>14</v>
      </c>
      <c r="C71" s="4">
        <f t="shared" si="14"/>
        <v>20555000</v>
      </c>
      <c r="D71" s="4">
        <f t="shared" si="13"/>
        <v>20654999</v>
      </c>
      <c r="E71" s="4">
        <f t="shared" si="15"/>
        <v>100000</v>
      </c>
      <c r="F71" s="5">
        <v>500</v>
      </c>
      <c r="G71" s="6">
        <v>200</v>
      </c>
      <c r="H71" s="11" t="b">
        <f t="shared" si="2"/>
        <v>1</v>
      </c>
    </row>
    <row r="72" spans="2:8">
      <c r="B72" s="8" t="s">
        <v>15</v>
      </c>
      <c r="C72" s="4">
        <f t="shared" si="14"/>
        <v>20655000</v>
      </c>
      <c r="D72" s="4">
        <f t="shared" si="13"/>
        <v>20754999</v>
      </c>
      <c r="E72" s="4">
        <f t="shared" si="15"/>
        <v>100000</v>
      </c>
      <c r="F72" s="5">
        <v>500</v>
      </c>
      <c r="G72" s="6">
        <v>200</v>
      </c>
      <c r="H72" s="11" t="b">
        <f t="shared" si="2"/>
        <v>1</v>
      </c>
    </row>
    <row r="73" spans="2:8">
      <c r="B73" s="11" t="s">
        <v>138</v>
      </c>
      <c r="C73" s="4">
        <f t="shared" si="14"/>
        <v>20755000</v>
      </c>
      <c r="D73" s="4">
        <f t="shared" si="13"/>
        <v>20770999</v>
      </c>
      <c r="E73" s="4">
        <f t="shared" si="15"/>
        <v>16000</v>
      </c>
      <c r="F73" s="5">
        <v>1000</v>
      </c>
      <c r="G73" s="6">
        <v>16</v>
      </c>
      <c r="H73" s="11" t="b">
        <f t="shared" si="2"/>
        <v>1</v>
      </c>
    </row>
    <row r="74" spans="2:8">
      <c r="B74" s="7" t="s">
        <v>131</v>
      </c>
      <c r="C74" s="4">
        <f t="shared" si="14"/>
        <v>20771000</v>
      </c>
      <c r="D74" s="4">
        <f t="shared" si="13"/>
        <v>20777999</v>
      </c>
      <c r="E74" s="4">
        <f t="shared" si="15"/>
        <v>7000</v>
      </c>
      <c r="F74" s="17">
        <v>1000</v>
      </c>
      <c r="G74" s="16">
        <v>7</v>
      </c>
      <c r="H74" s="11" t="b">
        <f t="shared" si="2"/>
        <v>1</v>
      </c>
    </row>
    <row r="75" spans="2:8">
      <c r="B75" s="7" t="s">
        <v>133</v>
      </c>
      <c r="C75" s="4">
        <f t="shared" si="14"/>
        <v>20778000</v>
      </c>
      <c r="D75" s="4">
        <f t="shared" si="13"/>
        <v>20877999</v>
      </c>
      <c r="E75" s="4">
        <f t="shared" si="15"/>
        <v>100000</v>
      </c>
      <c r="F75" s="17">
        <v>1000</v>
      </c>
      <c r="G75" s="16">
        <v>100</v>
      </c>
      <c r="H75" s="11" t="b">
        <f t="shared" si="2"/>
        <v>1</v>
      </c>
    </row>
    <row r="76" spans="2:8">
      <c r="B76" s="7" t="s">
        <v>135</v>
      </c>
      <c r="C76" s="4">
        <f t="shared" si="14"/>
        <v>20878000</v>
      </c>
      <c r="D76" s="4">
        <f t="shared" si="13"/>
        <v>20977999</v>
      </c>
      <c r="E76" s="4">
        <f t="shared" si="15"/>
        <v>100000</v>
      </c>
      <c r="F76" s="17">
        <v>1000</v>
      </c>
      <c r="G76" s="16">
        <v>100</v>
      </c>
      <c r="H76" s="11" t="b">
        <f t="shared" si="2"/>
        <v>1</v>
      </c>
    </row>
    <row r="77" spans="2:8">
      <c r="B77" s="7" t="s">
        <v>134</v>
      </c>
      <c r="C77" s="4">
        <f t="shared" si="14"/>
        <v>20978000</v>
      </c>
      <c r="D77" s="4">
        <f t="shared" si="13"/>
        <v>21077999</v>
      </c>
      <c r="E77" s="4">
        <f t="shared" si="15"/>
        <v>100000</v>
      </c>
      <c r="F77" s="17">
        <v>1000</v>
      </c>
      <c r="G77" s="16">
        <v>100</v>
      </c>
      <c r="H77" s="11" t="b">
        <f t="shared" si="2"/>
        <v>1</v>
      </c>
    </row>
    <row r="78" spans="2:8">
      <c r="B78" s="7" t="s">
        <v>136</v>
      </c>
      <c r="C78" s="4">
        <f t="shared" si="14"/>
        <v>21078000</v>
      </c>
      <c r="D78" s="4">
        <f t="shared" si="13"/>
        <v>21177999</v>
      </c>
      <c r="E78" s="4">
        <f t="shared" si="15"/>
        <v>100000</v>
      </c>
      <c r="F78" s="17">
        <v>1000</v>
      </c>
      <c r="G78" s="16">
        <v>100</v>
      </c>
      <c r="H78" s="11" t="b">
        <f t="shared" ref="H78:H152" si="16">C79&gt;D78</f>
        <v>1</v>
      </c>
    </row>
    <row r="79" spans="2:8">
      <c r="B79" s="7" t="s">
        <v>137</v>
      </c>
      <c r="C79" s="4">
        <f t="shared" si="14"/>
        <v>21178000</v>
      </c>
      <c r="D79" s="4">
        <f t="shared" si="13"/>
        <v>21277999</v>
      </c>
      <c r="E79" s="4">
        <f t="shared" si="15"/>
        <v>100000</v>
      </c>
      <c r="F79" s="17">
        <v>1000</v>
      </c>
      <c r="G79" s="16">
        <v>100</v>
      </c>
      <c r="H79" s="11" t="b">
        <f t="shared" si="16"/>
        <v>1</v>
      </c>
    </row>
    <row r="80" spans="2:8">
      <c r="B80" s="7" t="s">
        <v>132</v>
      </c>
      <c r="C80" s="4">
        <f t="shared" si="14"/>
        <v>21278000</v>
      </c>
      <c r="D80" s="4">
        <f t="shared" si="13"/>
        <v>21377999</v>
      </c>
      <c r="E80" s="4">
        <f t="shared" si="15"/>
        <v>100000</v>
      </c>
      <c r="F80" s="17">
        <v>1000</v>
      </c>
      <c r="G80" s="16">
        <v>100</v>
      </c>
      <c r="H80" s="11" t="b">
        <f>C82&gt;D80</f>
        <v>1</v>
      </c>
    </row>
    <row r="81" spans="1:8">
      <c r="B81" s="7" t="s">
        <v>206</v>
      </c>
      <c r="C81" s="4">
        <f t="shared" ref="C81" si="17">D80+1</f>
        <v>21378000</v>
      </c>
      <c r="D81" s="4">
        <f t="shared" ref="D81" si="18">C81+E81-1</f>
        <v>21477999</v>
      </c>
      <c r="E81" s="4">
        <f t="shared" ref="E81" si="19">G81*F81</f>
        <v>100000</v>
      </c>
      <c r="F81" s="17">
        <v>1000</v>
      </c>
      <c r="G81" s="16">
        <v>100</v>
      </c>
      <c r="H81" s="11" t="b">
        <f>C83&gt;D81</f>
        <v>1</v>
      </c>
    </row>
    <row r="82" spans="1:8">
      <c r="A82"/>
      <c r="B82" s="8" t="s">
        <v>6</v>
      </c>
      <c r="C82" s="18">
        <v>25000000</v>
      </c>
      <c r="D82" s="4">
        <f t="shared" si="13"/>
        <v>25049999</v>
      </c>
      <c r="E82" s="4">
        <f t="shared" si="15"/>
        <v>50000</v>
      </c>
      <c r="F82" s="4">
        <v>500</v>
      </c>
      <c r="G82" s="6">
        <v>100</v>
      </c>
      <c r="H82" s="11" t="b">
        <f t="shared" si="16"/>
        <v>1</v>
      </c>
    </row>
    <row r="83" spans="1:8">
      <c r="A83"/>
      <c r="B83" s="7" t="s">
        <v>113</v>
      </c>
      <c r="C83" s="4">
        <f t="shared" si="14"/>
        <v>25050000</v>
      </c>
      <c r="D83" s="4">
        <f t="shared" si="13"/>
        <v>25099999</v>
      </c>
      <c r="E83" s="4">
        <f t="shared" si="15"/>
        <v>50000</v>
      </c>
      <c r="F83" s="4">
        <v>500</v>
      </c>
      <c r="G83" s="6">
        <v>100</v>
      </c>
      <c r="H83" s="11" t="b">
        <f t="shared" si="16"/>
        <v>1</v>
      </c>
    </row>
    <row r="84" spans="1:8">
      <c r="A84"/>
      <c r="B84" s="7" t="s">
        <v>114</v>
      </c>
      <c r="C84" s="4">
        <f t="shared" si="14"/>
        <v>25100000</v>
      </c>
      <c r="D84" s="4">
        <f t="shared" si="13"/>
        <v>25149999</v>
      </c>
      <c r="E84" s="4">
        <f t="shared" si="15"/>
        <v>50000</v>
      </c>
      <c r="F84" s="4">
        <v>500</v>
      </c>
      <c r="G84" s="6">
        <v>100</v>
      </c>
      <c r="H84" s="11" t="b">
        <f t="shared" si="16"/>
        <v>1</v>
      </c>
    </row>
    <row r="85" spans="1:8">
      <c r="A85"/>
      <c r="B85" s="7" t="s">
        <v>115</v>
      </c>
      <c r="C85" s="4">
        <f t="shared" si="14"/>
        <v>25150000</v>
      </c>
      <c r="D85" s="4">
        <f t="shared" si="13"/>
        <v>25199999</v>
      </c>
      <c r="E85" s="4">
        <f t="shared" si="15"/>
        <v>50000</v>
      </c>
      <c r="F85" s="4">
        <v>500</v>
      </c>
      <c r="G85" s="6">
        <v>100</v>
      </c>
      <c r="H85" s="11" t="b">
        <f t="shared" si="16"/>
        <v>1</v>
      </c>
    </row>
    <row r="86" spans="1:8">
      <c r="A86"/>
      <c r="B86" s="7" t="s">
        <v>116</v>
      </c>
      <c r="C86" s="4">
        <f t="shared" si="14"/>
        <v>25200000</v>
      </c>
      <c r="D86" s="4">
        <f t="shared" si="13"/>
        <v>25249999</v>
      </c>
      <c r="E86" s="4">
        <f t="shared" si="15"/>
        <v>50000</v>
      </c>
      <c r="F86" s="4">
        <v>500</v>
      </c>
      <c r="G86" s="6">
        <v>100</v>
      </c>
      <c r="H86" s="11" t="b">
        <f t="shared" si="16"/>
        <v>1</v>
      </c>
    </row>
    <row r="87" spans="1:8">
      <c r="A87"/>
      <c r="B87" s="7" t="s">
        <v>117</v>
      </c>
      <c r="C87" s="4">
        <f t="shared" si="14"/>
        <v>25250000</v>
      </c>
      <c r="D87" s="4">
        <f t="shared" si="13"/>
        <v>25299999</v>
      </c>
      <c r="E87" s="4">
        <f t="shared" si="15"/>
        <v>50000</v>
      </c>
      <c r="F87" s="4">
        <v>500</v>
      </c>
      <c r="G87" s="6">
        <v>100</v>
      </c>
      <c r="H87" s="11" t="b">
        <f t="shared" si="16"/>
        <v>1</v>
      </c>
    </row>
    <row r="88" spans="1:8">
      <c r="A88"/>
      <c r="B88" s="7" t="s">
        <v>118</v>
      </c>
      <c r="C88" s="4">
        <f t="shared" si="14"/>
        <v>25300000</v>
      </c>
      <c r="D88" s="4">
        <f t="shared" si="13"/>
        <v>25349999</v>
      </c>
      <c r="E88" s="4">
        <f t="shared" si="15"/>
        <v>50000</v>
      </c>
      <c r="F88" s="4">
        <v>500</v>
      </c>
      <c r="G88" s="6">
        <v>100</v>
      </c>
      <c r="H88" s="11" t="b">
        <f t="shared" si="16"/>
        <v>1</v>
      </c>
    </row>
    <row r="89" spans="1:8">
      <c r="A89"/>
      <c r="B89" s="7" t="s">
        <v>119</v>
      </c>
      <c r="C89" s="4">
        <f t="shared" si="14"/>
        <v>25350000</v>
      </c>
      <c r="D89" s="4">
        <f t="shared" si="13"/>
        <v>25399999</v>
      </c>
      <c r="E89" s="4">
        <f t="shared" si="15"/>
        <v>50000</v>
      </c>
      <c r="F89" s="4">
        <v>500</v>
      </c>
      <c r="G89" s="6">
        <v>100</v>
      </c>
      <c r="H89" s="11" t="b">
        <f t="shared" si="16"/>
        <v>1</v>
      </c>
    </row>
    <row r="90" spans="1:8">
      <c r="A90"/>
      <c r="B90" s="7" t="s">
        <v>121</v>
      </c>
      <c r="C90" s="4">
        <f t="shared" si="14"/>
        <v>25400000</v>
      </c>
      <c r="D90" s="4">
        <f t="shared" si="13"/>
        <v>25449999</v>
      </c>
      <c r="E90" s="4">
        <f t="shared" si="15"/>
        <v>50000</v>
      </c>
      <c r="F90" s="4">
        <v>500</v>
      </c>
      <c r="G90" s="6">
        <v>100</v>
      </c>
      <c r="H90" s="11" t="b">
        <f t="shared" si="16"/>
        <v>1</v>
      </c>
    </row>
    <row r="91" spans="1:8">
      <c r="A91"/>
      <c r="B91" s="7" t="s">
        <v>120</v>
      </c>
      <c r="C91" s="4">
        <f t="shared" si="14"/>
        <v>25450000</v>
      </c>
      <c r="D91" s="4">
        <f t="shared" si="13"/>
        <v>25499999</v>
      </c>
      <c r="E91" s="4">
        <f t="shared" si="15"/>
        <v>50000</v>
      </c>
      <c r="F91" s="4">
        <v>500</v>
      </c>
      <c r="G91" s="6">
        <v>100</v>
      </c>
      <c r="H91" s="11" t="b">
        <f t="shared" si="16"/>
        <v>1</v>
      </c>
    </row>
    <row r="92" spans="1:8">
      <c r="A92"/>
      <c r="B92" s="7" t="s">
        <v>122</v>
      </c>
      <c r="C92" s="4">
        <f t="shared" si="14"/>
        <v>25500000</v>
      </c>
      <c r="D92" s="4">
        <f t="shared" si="13"/>
        <v>25549999</v>
      </c>
      <c r="E92" s="4">
        <f t="shared" si="15"/>
        <v>50000</v>
      </c>
      <c r="F92" s="4">
        <v>500</v>
      </c>
      <c r="G92" s="6">
        <v>100</v>
      </c>
      <c r="H92" s="11" t="b">
        <f t="shared" si="16"/>
        <v>1</v>
      </c>
    </row>
    <row r="93" spans="1:8">
      <c r="A93"/>
      <c r="B93" s="7" t="s">
        <v>127</v>
      </c>
      <c r="C93" s="4">
        <f t="shared" si="14"/>
        <v>25550000</v>
      </c>
      <c r="D93" s="4">
        <f t="shared" si="13"/>
        <v>25599999</v>
      </c>
      <c r="E93" s="4">
        <f t="shared" si="15"/>
        <v>50000</v>
      </c>
      <c r="F93" s="4">
        <v>500</v>
      </c>
      <c r="G93" s="6">
        <v>100</v>
      </c>
      <c r="H93" s="11" t="b">
        <f t="shared" si="16"/>
        <v>1</v>
      </c>
    </row>
    <row r="94" spans="1:8">
      <c r="A94"/>
      <c r="B94" s="7" t="s">
        <v>128</v>
      </c>
      <c r="C94" s="4">
        <f t="shared" si="14"/>
        <v>25600000</v>
      </c>
      <c r="D94" s="4">
        <f t="shared" si="13"/>
        <v>25649999</v>
      </c>
      <c r="E94" s="4">
        <f t="shared" si="15"/>
        <v>50000</v>
      </c>
      <c r="F94" s="4">
        <v>500</v>
      </c>
      <c r="G94" s="6">
        <v>100</v>
      </c>
      <c r="H94" s="11" t="b">
        <f t="shared" si="16"/>
        <v>1</v>
      </c>
    </row>
    <row r="95" spans="1:8">
      <c r="A95"/>
      <c r="B95" s="7" t="s">
        <v>123</v>
      </c>
      <c r="C95" s="4">
        <f t="shared" si="14"/>
        <v>25650000</v>
      </c>
      <c r="D95" s="4">
        <f t="shared" si="13"/>
        <v>25699999</v>
      </c>
      <c r="E95" s="4">
        <f t="shared" si="15"/>
        <v>50000</v>
      </c>
      <c r="F95" s="4">
        <v>500</v>
      </c>
      <c r="G95" s="6">
        <v>100</v>
      </c>
      <c r="H95" s="11" t="b">
        <f t="shared" si="16"/>
        <v>1</v>
      </c>
    </row>
    <row r="96" spans="1:8">
      <c r="A96"/>
      <c r="B96" s="7" t="s">
        <v>124</v>
      </c>
      <c r="C96" s="4">
        <f t="shared" si="14"/>
        <v>25700000</v>
      </c>
      <c r="D96" s="4">
        <f t="shared" si="13"/>
        <v>25749999</v>
      </c>
      <c r="E96" s="4">
        <f t="shared" si="15"/>
        <v>50000</v>
      </c>
      <c r="F96" s="4">
        <v>500</v>
      </c>
      <c r="G96" s="6">
        <v>100</v>
      </c>
      <c r="H96" s="11" t="b">
        <f t="shared" si="16"/>
        <v>1</v>
      </c>
    </row>
    <row r="97" spans="1:8">
      <c r="A97"/>
      <c r="B97" s="7" t="s">
        <v>125</v>
      </c>
      <c r="C97" s="4">
        <f t="shared" si="14"/>
        <v>25750000</v>
      </c>
      <c r="D97" s="4">
        <f t="shared" si="13"/>
        <v>25799999</v>
      </c>
      <c r="E97" s="4">
        <f t="shared" si="15"/>
        <v>50000</v>
      </c>
      <c r="F97" s="4">
        <v>500</v>
      </c>
      <c r="G97" s="6">
        <v>100</v>
      </c>
      <c r="H97" s="11" t="b">
        <f t="shared" si="16"/>
        <v>1</v>
      </c>
    </row>
    <row r="98" spans="1:8">
      <c r="A98"/>
      <c r="B98" s="7" t="s">
        <v>126</v>
      </c>
      <c r="C98" s="4">
        <f t="shared" si="14"/>
        <v>25800000</v>
      </c>
      <c r="D98" s="4">
        <f t="shared" si="13"/>
        <v>25849999</v>
      </c>
      <c r="E98" s="4">
        <f t="shared" si="15"/>
        <v>50000</v>
      </c>
      <c r="F98" s="4">
        <v>500</v>
      </c>
      <c r="G98" s="6">
        <v>100</v>
      </c>
      <c r="H98" s="11" t="b">
        <f t="shared" si="16"/>
        <v>1</v>
      </c>
    </row>
    <row r="99" spans="1:8">
      <c r="A99"/>
      <c r="B99" s="7" t="s">
        <v>219</v>
      </c>
      <c r="C99" s="4">
        <f t="shared" si="14"/>
        <v>25850000</v>
      </c>
      <c r="D99" s="4">
        <f t="shared" si="13"/>
        <v>25899999</v>
      </c>
      <c r="E99" s="4">
        <f t="shared" si="15"/>
        <v>50000</v>
      </c>
      <c r="F99" s="4">
        <v>500</v>
      </c>
      <c r="G99" s="6">
        <v>100</v>
      </c>
      <c r="H99" s="11" t="b">
        <f t="shared" si="16"/>
        <v>1</v>
      </c>
    </row>
    <row r="100" spans="1:8">
      <c r="B100" s="7" t="s">
        <v>220</v>
      </c>
      <c r="C100" s="4">
        <f t="shared" si="14"/>
        <v>25900000</v>
      </c>
      <c r="D100" s="4">
        <f t="shared" si="13"/>
        <v>25949999</v>
      </c>
      <c r="E100" s="4">
        <f t="shared" si="15"/>
        <v>50000</v>
      </c>
      <c r="F100" s="4">
        <v>500</v>
      </c>
      <c r="G100" s="6">
        <v>100</v>
      </c>
      <c r="H100" s="11" t="b">
        <f t="shared" si="16"/>
        <v>1</v>
      </c>
    </row>
    <row r="101" spans="1:8">
      <c r="B101" s="9" t="s">
        <v>19</v>
      </c>
      <c r="C101" s="18">
        <v>27000000</v>
      </c>
      <c r="D101" s="4">
        <f t="shared" si="13"/>
        <v>27249999</v>
      </c>
      <c r="E101" s="4">
        <f t="shared" si="15"/>
        <v>250000</v>
      </c>
      <c r="F101" s="4">
        <v>500</v>
      </c>
      <c r="G101" s="6">
        <v>500</v>
      </c>
      <c r="H101" s="11" t="b">
        <f t="shared" si="16"/>
        <v>1</v>
      </c>
    </row>
    <row r="102" spans="1:8">
      <c r="B102" s="9" t="s">
        <v>20</v>
      </c>
      <c r="C102" s="4">
        <f t="shared" si="14"/>
        <v>27250000</v>
      </c>
      <c r="D102" s="4">
        <f t="shared" si="13"/>
        <v>27499999</v>
      </c>
      <c r="E102" s="4">
        <f t="shared" si="15"/>
        <v>250000</v>
      </c>
      <c r="F102" s="4">
        <v>500</v>
      </c>
      <c r="G102" s="6">
        <v>500</v>
      </c>
      <c r="H102" s="11" t="b">
        <f t="shared" si="16"/>
        <v>1</v>
      </c>
    </row>
    <row r="103" spans="1:8">
      <c r="B103" s="9" t="s">
        <v>21</v>
      </c>
      <c r="C103" s="4">
        <f t="shared" si="14"/>
        <v>27500000</v>
      </c>
      <c r="D103" s="4">
        <f t="shared" si="13"/>
        <v>27749999</v>
      </c>
      <c r="E103" s="4">
        <f t="shared" si="15"/>
        <v>250000</v>
      </c>
      <c r="F103" s="4">
        <v>500</v>
      </c>
      <c r="G103" s="6">
        <v>500</v>
      </c>
      <c r="H103" s="11" t="b">
        <f t="shared" si="16"/>
        <v>1</v>
      </c>
    </row>
    <row r="104" spans="1:8">
      <c r="B104" s="9" t="s">
        <v>22</v>
      </c>
      <c r="C104" s="4">
        <f t="shared" si="14"/>
        <v>27750000</v>
      </c>
      <c r="D104" s="4">
        <f t="shared" si="13"/>
        <v>27999999</v>
      </c>
      <c r="E104" s="4">
        <f t="shared" si="15"/>
        <v>250000</v>
      </c>
      <c r="F104" s="4">
        <v>500</v>
      </c>
      <c r="G104" s="6">
        <v>500</v>
      </c>
      <c r="H104" s="11" t="b">
        <f t="shared" si="16"/>
        <v>1</v>
      </c>
    </row>
    <row r="105" spans="1:8">
      <c r="B105" s="9" t="s">
        <v>23</v>
      </c>
      <c r="C105" s="4">
        <f t="shared" si="14"/>
        <v>28000000</v>
      </c>
      <c r="D105" s="4">
        <f t="shared" si="13"/>
        <v>28249999</v>
      </c>
      <c r="E105" s="4">
        <f t="shared" si="15"/>
        <v>250000</v>
      </c>
      <c r="F105" s="4">
        <v>500</v>
      </c>
      <c r="G105" s="6">
        <v>500</v>
      </c>
      <c r="H105" s="11" t="b">
        <f t="shared" si="16"/>
        <v>1</v>
      </c>
    </row>
    <row r="106" spans="1:8">
      <c r="B106" s="9" t="s">
        <v>24</v>
      </c>
      <c r="C106" s="4">
        <f t="shared" si="14"/>
        <v>28250000</v>
      </c>
      <c r="D106" s="4">
        <f t="shared" si="13"/>
        <v>28499999</v>
      </c>
      <c r="E106" s="4">
        <f t="shared" si="15"/>
        <v>250000</v>
      </c>
      <c r="F106" s="4">
        <v>500</v>
      </c>
      <c r="G106" s="6">
        <v>500</v>
      </c>
      <c r="H106" s="11" t="b">
        <f t="shared" si="16"/>
        <v>1</v>
      </c>
    </row>
    <row r="107" spans="1:8">
      <c r="B107" s="9" t="s">
        <v>25</v>
      </c>
      <c r="C107" s="18">
        <v>30000000</v>
      </c>
      <c r="D107" s="4">
        <f t="shared" si="13"/>
        <v>30249999</v>
      </c>
      <c r="E107" s="4">
        <f t="shared" si="15"/>
        <v>250000</v>
      </c>
      <c r="F107" s="4">
        <v>500</v>
      </c>
      <c r="G107" s="6">
        <v>500</v>
      </c>
      <c r="H107" s="11" t="b">
        <f t="shared" si="16"/>
        <v>1</v>
      </c>
    </row>
    <row r="108" spans="1:8">
      <c r="B108" s="9" t="s">
        <v>26</v>
      </c>
      <c r="C108" s="4">
        <f t="shared" si="14"/>
        <v>30250000</v>
      </c>
      <c r="D108" s="4">
        <f t="shared" si="13"/>
        <v>30499999</v>
      </c>
      <c r="E108" s="4">
        <f t="shared" si="15"/>
        <v>250000</v>
      </c>
      <c r="F108" s="4">
        <v>500</v>
      </c>
      <c r="G108" s="6">
        <v>500</v>
      </c>
      <c r="H108" s="11" t="b">
        <f t="shared" si="16"/>
        <v>1</v>
      </c>
    </row>
    <row r="109" spans="1:8">
      <c r="B109" s="9" t="s">
        <v>27</v>
      </c>
      <c r="C109" s="4">
        <f t="shared" si="14"/>
        <v>30500000</v>
      </c>
      <c r="D109" s="4">
        <f t="shared" si="13"/>
        <v>30749999</v>
      </c>
      <c r="E109" s="4">
        <f t="shared" si="15"/>
        <v>250000</v>
      </c>
      <c r="F109" s="4">
        <v>500</v>
      </c>
      <c r="G109" s="6">
        <v>500</v>
      </c>
      <c r="H109" s="11" t="b">
        <f t="shared" si="16"/>
        <v>1</v>
      </c>
    </row>
    <row r="110" spans="1:8">
      <c r="B110" s="9" t="s">
        <v>28</v>
      </c>
      <c r="C110" s="4">
        <f t="shared" si="14"/>
        <v>30750000</v>
      </c>
      <c r="D110" s="4">
        <f t="shared" si="13"/>
        <v>30999999</v>
      </c>
      <c r="E110" s="4">
        <f t="shared" si="15"/>
        <v>250000</v>
      </c>
      <c r="F110" s="4">
        <v>500</v>
      </c>
      <c r="G110" s="6">
        <v>500</v>
      </c>
      <c r="H110" s="11" t="b">
        <f t="shared" si="16"/>
        <v>1</v>
      </c>
    </row>
    <row r="111" spans="1:8">
      <c r="B111" s="9" t="s">
        <v>29</v>
      </c>
      <c r="C111" s="4">
        <f t="shared" si="14"/>
        <v>31000000</v>
      </c>
      <c r="D111" s="4">
        <f t="shared" si="13"/>
        <v>31249999</v>
      </c>
      <c r="E111" s="4">
        <f t="shared" si="15"/>
        <v>250000</v>
      </c>
      <c r="F111" s="4">
        <v>500</v>
      </c>
      <c r="G111" s="6">
        <v>500</v>
      </c>
      <c r="H111" s="11" t="b">
        <f t="shared" si="16"/>
        <v>1</v>
      </c>
    </row>
    <row r="112" spans="1:8">
      <c r="B112" s="9" t="s">
        <v>30</v>
      </c>
      <c r="C112" s="4">
        <f t="shared" si="14"/>
        <v>31250000</v>
      </c>
      <c r="D112" s="4">
        <f t="shared" si="13"/>
        <v>31499999</v>
      </c>
      <c r="E112" s="4">
        <f t="shared" si="15"/>
        <v>250000</v>
      </c>
      <c r="F112" s="4">
        <v>500</v>
      </c>
      <c r="G112" s="6">
        <v>500</v>
      </c>
      <c r="H112" s="11" t="b">
        <f t="shared" si="16"/>
        <v>1</v>
      </c>
    </row>
    <row r="113" spans="2:8">
      <c r="B113" s="9" t="s">
        <v>31</v>
      </c>
      <c r="C113" s="4">
        <f t="shared" si="14"/>
        <v>31500000</v>
      </c>
      <c r="D113" s="4">
        <f t="shared" si="13"/>
        <v>31749999</v>
      </c>
      <c r="E113" s="4">
        <f t="shared" si="15"/>
        <v>250000</v>
      </c>
      <c r="F113" s="4">
        <v>500</v>
      </c>
      <c r="G113" s="6">
        <v>500</v>
      </c>
      <c r="H113" s="11" t="b">
        <f t="shared" si="16"/>
        <v>1</v>
      </c>
    </row>
    <row r="114" spans="2:8">
      <c r="B114" s="9" t="s">
        <v>32</v>
      </c>
      <c r="C114" s="4">
        <f t="shared" si="14"/>
        <v>31750000</v>
      </c>
      <c r="D114" s="4">
        <f t="shared" si="13"/>
        <v>31999999</v>
      </c>
      <c r="E114" s="4">
        <f t="shared" si="15"/>
        <v>250000</v>
      </c>
      <c r="F114" s="4">
        <v>500</v>
      </c>
      <c r="G114" s="6">
        <v>500</v>
      </c>
      <c r="H114" s="11" t="b">
        <f t="shared" si="16"/>
        <v>1</v>
      </c>
    </row>
    <row r="115" spans="2:8">
      <c r="B115" s="9" t="s">
        <v>33</v>
      </c>
      <c r="C115" s="4">
        <f t="shared" si="14"/>
        <v>32000000</v>
      </c>
      <c r="D115" s="4">
        <f t="shared" si="13"/>
        <v>32249999</v>
      </c>
      <c r="E115" s="4">
        <f t="shared" si="15"/>
        <v>250000</v>
      </c>
      <c r="F115" s="4">
        <v>500</v>
      </c>
      <c r="G115" s="6">
        <v>500</v>
      </c>
      <c r="H115" s="11" t="b">
        <f t="shared" si="16"/>
        <v>1</v>
      </c>
    </row>
    <row r="116" spans="2:8">
      <c r="B116" s="9" t="s">
        <v>139</v>
      </c>
      <c r="C116" s="4">
        <f t="shared" si="14"/>
        <v>32250000</v>
      </c>
      <c r="D116" s="4">
        <f t="shared" si="13"/>
        <v>32499999</v>
      </c>
      <c r="E116" s="4">
        <f t="shared" si="15"/>
        <v>250000</v>
      </c>
      <c r="F116" s="4">
        <v>500</v>
      </c>
      <c r="G116" s="6">
        <v>500</v>
      </c>
      <c r="H116" s="11" t="b">
        <f>C129&gt;D116</f>
        <v>1</v>
      </c>
    </row>
    <row r="117" spans="2:8">
      <c r="B117" s="9" t="s">
        <v>207</v>
      </c>
      <c r="C117" s="18">
        <v>40000000</v>
      </c>
      <c r="D117" s="4">
        <f t="shared" ref="D117:D128" si="20">C117+E117-1</f>
        <v>40624999</v>
      </c>
      <c r="E117" s="4">
        <f t="shared" ref="E117:E128" si="21">G117*F117</f>
        <v>625000</v>
      </c>
      <c r="F117" s="4">
        <v>500</v>
      </c>
      <c r="G117" s="10">
        <v>1250</v>
      </c>
      <c r="H117" s="11" t="b">
        <f t="shared" ref="H117:H128" si="22">C118&gt;D117</f>
        <v>1</v>
      </c>
    </row>
    <row r="118" spans="2:8">
      <c r="B118" s="9" t="s">
        <v>210</v>
      </c>
      <c r="C118" s="4">
        <f t="shared" ref="C118:C128" si="23">D117+1</f>
        <v>40625000</v>
      </c>
      <c r="D118" s="4">
        <f t="shared" si="20"/>
        <v>41624999</v>
      </c>
      <c r="E118" s="4">
        <f t="shared" si="21"/>
        <v>1000000</v>
      </c>
      <c r="F118" s="4">
        <v>500</v>
      </c>
      <c r="G118" s="10">
        <v>2000</v>
      </c>
      <c r="H118" s="11" t="b">
        <f t="shared" si="22"/>
        <v>1</v>
      </c>
    </row>
    <row r="119" spans="2:8">
      <c r="B119" s="9" t="s">
        <v>213</v>
      </c>
      <c r="C119" s="4">
        <f t="shared" si="23"/>
        <v>41625000</v>
      </c>
      <c r="D119" s="4">
        <f t="shared" si="20"/>
        <v>41699999</v>
      </c>
      <c r="E119" s="4">
        <f t="shared" si="21"/>
        <v>75000</v>
      </c>
      <c r="F119" s="4">
        <v>500</v>
      </c>
      <c r="G119" s="10">
        <v>150</v>
      </c>
      <c r="H119" s="11" t="b">
        <f t="shared" si="22"/>
        <v>1</v>
      </c>
    </row>
    <row r="120" spans="2:8">
      <c r="B120" s="9" t="s">
        <v>216</v>
      </c>
      <c r="C120" s="4">
        <f t="shared" si="23"/>
        <v>41700000</v>
      </c>
      <c r="D120" s="4">
        <f t="shared" si="20"/>
        <v>41774999</v>
      </c>
      <c r="E120" s="4">
        <f t="shared" si="21"/>
        <v>75000</v>
      </c>
      <c r="F120" s="4">
        <v>500</v>
      </c>
      <c r="G120" s="10">
        <v>150</v>
      </c>
      <c r="H120" s="11" t="b">
        <f t="shared" si="22"/>
        <v>1</v>
      </c>
    </row>
    <row r="121" spans="2:8">
      <c r="B121" s="9" t="s">
        <v>208</v>
      </c>
      <c r="C121" s="4">
        <f t="shared" si="23"/>
        <v>41775000</v>
      </c>
      <c r="D121" s="4">
        <f t="shared" si="20"/>
        <v>41899999</v>
      </c>
      <c r="E121" s="4">
        <f t="shared" si="21"/>
        <v>125000</v>
      </c>
      <c r="F121" s="4">
        <v>500</v>
      </c>
      <c r="G121" s="10">
        <v>250</v>
      </c>
      <c r="H121" s="11" t="b">
        <f t="shared" si="22"/>
        <v>1</v>
      </c>
    </row>
    <row r="122" spans="2:8">
      <c r="B122" s="9" t="s">
        <v>211</v>
      </c>
      <c r="C122" s="4">
        <f t="shared" si="23"/>
        <v>41900000</v>
      </c>
      <c r="D122" s="4">
        <f t="shared" si="20"/>
        <v>42099999</v>
      </c>
      <c r="E122" s="4">
        <f t="shared" si="21"/>
        <v>200000</v>
      </c>
      <c r="F122" s="4">
        <v>500</v>
      </c>
      <c r="G122" s="10">
        <v>400</v>
      </c>
      <c r="H122" s="11" t="b">
        <f t="shared" si="22"/>
        <v>1</v>
      </c>
    </row>
    <row r="123" spans="2:8">
      <c r="B123" s="9" t="s">
        <v>214</v>
      </c>
      <c r="C123" s="4">
        <f t="shared" si="23"/>
        <v>42100000</v>
      </c>
      <c r="D123" s="4">
        <f t="shared" si="20"/>
        <v>42117499</v>
      </c>
      <c r="E123" s="4">
        <f t="shared" si="21"/>
        <v>17500</v>
      </c>
      <c r="F123" s="4">
        <v>500</v>
      </c>
      <c r="G123" s="10">
        <v>35</v>
      </c>
      <c r="H123" s="11" t="b">
        <f t="shared" si="22"/>
        <v>1</v>
      </c>
    </row>
    <row r="124" spans="2:8">
      <c r="B124" s="9" t="s">
        <v>217</v>
      </c>
      <c r="C124" s="4">
        <f t="shared" si="23"/>
        <v>42117500</v>
      </c>
      <c r="D124" s="4">
        <f t="shared" si="20"/>
        <v>42132499</v>
      </c>
      <c r="E124" s="4">
        <f t="shared" si="21"/>
        <v>15000</v>
      </c>
      <c r="F124" s="4">
        <v>500</v>
      </c>
      <c r="G124" s="10">
        <v>30</v>
      </c>
      <c r="H124" s="11" t="b">
        <f t="shared" si="22"/>
        <v>1</v>
      </c>
    </row>
    <row r="125" spans="2:8">
      <c r="B125" s="9" t="s">
        <v>209</v>
      </c>
      <c r="C125" s="4">
        <f t="shared" si="23"/>
        <v>42132500</v>
      </c>
      <c r="D125" s="4">
        <f t="shared" si="20"/>
        <v>42432499</v>
      </c>
      <c r="E125" s="4">
        <f t="shared" si="21"/>
        <v>300000</v>
      </c>
      <c r="F125" s="4">
        <v>500</v>
      </c>
      <c r="G125" s="10">
        <v>600</v>
      </c>
      <c r="H125" s="11" t="b">
        <f t="shared" si="22"/>
        <v>1</v>
      </c>
    </row>
    <row r="126" spans="2:8">
      <c r="B126" s="9" t="s">
        <v>212</v>
      </c>
      <c r="C126" s="4">
        <f t="shared" si="23"/>
        <v>42432500</v>
      </c>
      <c r="D126" s="4">
        <f t="shared" si="20"/>
        <v>42882499</v>
      </c>
      <c r="E126" s="4">
        <f t="shared" si="21"/>
        <v>450000</v>
      </c>
      <c r="F126" s="4">
        <v>500</v>
      </c>
      <c r="G126" s="10">
        <v>900</v>
      </c>
      <c r="H126" s="11" t="b">
        <f t="shared" si="22"/>
        <v>1</v>
      </c>
    </row>
    <row r="127" spans="2:8">
      <c r="B127" s="9" t="s">
        <v>215</v>
      </c>
      <c r="C127" s="4">
        <f t="shared" si="23"/>
        <v>42882500</v>
      </c>
      <c r="D127" s="4">
        <f t="shared" si="20"/>
        <v>42907499</v>
      </c>
      <c r="E127" s="4">
        <f t="shared" si="21"/>
        <v>25000</v>
      </c>
      <c r="F127" s="4">
        <v>500</v>
      </c>
      <c r="G127" s="10">
        <v>50</v>
      </c>
      <c r="H127" s="11" t="b">
        <f t="shared" si="22"/>
        <v>1</v>
      </c>
    </row>
    <row r="128" spans="2:8">
      <c r="B128" s="9" t="s">
        <v>218</v>
      </c>
      <c r="C128" s="4">
        <f t="shared" si="23"/>
        <v>42907500</v>
      </c>
      <c r="D128" s="4">
        <f t="shared" si="20"/>
        <v>42932499</v>
      </c>
      <c r="E128" s="4">
        <f t="shared" si="21"/>
        <v>25000</v>
      </c>
      <c r="F128" s="4">
        <v>500</v>
      </c>
      <c r="G128" s="10">
        <v>50</v>
      </c>
      <c r="H128" s="11" t="b">
        <f t="shared" si="22"/>
        <v>0</v>
      </c>
    </row>
    <row r="129" spans="2:8">
      <c r="B129" s="9" t="s">
        <v>49</v>
      </c>
      <c r="C129" s="18">
        <v>40000000</v>
      </c>
      <c r="D129" s="4">
        <f t="shared" si="13"/>
        <v>40624999</v>
      </c>
      <c r="E129" s="4">
        <f t="shared" si="15"/>
        <v>625000</v>
      </c>
      <c r="F129" s="4">
        <v>500</v>
      </c>
      <c r="G129" s="10">
        <v>1250</v>
      </c>
      <c r="H129" s="11" t="b">
        <f t="shared" si="16"/>
        <v>1</v>
      </c>
    </row>
    <row r="130" spans="2:8">
      <c r="B130" s="9" t="s">
        <v>50</v>
      </c>
      <c r="C130" s="4">
        <f t="shared" si="14"/>
        <v>40625000</v>
      </c>
      <c r="D130" s="4">
        <f t="shared" si="13"/>
        <v>41624999</v>
      </c>
      <c r="E130" s="4">
        <f t="shared" si="15"/>
        <v>1000000</v>
      </c>
      <c r="F130" s="4">
        <v>500</v>
      </c>
      <c r="G130" s="10">
        <v>2000</v>
      </c>
      <c r="H130" s="11" t="b">
        <f t="shared" si="16"/>
        <v>1</v>
      </c>
    </row>
    <row r="131" spans="2:8">
      <c r="B131" s="9" t="s">
        <v>51</v>
      </c>
      <c r="C131" s="4">
        <f t="shared" si="14"/>
        <v>41625000</v>
      </c>
      <c r="D131" s="4">
        <f t="shared" si="13"/>
        <v>41699999</v>
      </c>
      <c r="E131" s="4">
        <f t="shared" si="15"/>
        <v>75000</v>
      </c>
      <c r="F131" s="4">
        <v>500</v>
      </c>
      <c r="G131" s="10">
        <v>150</v>
      </c>
      <c r="H131" s="11" t="b">
        <f t="shared" si="16"/>
        <v>1</v>
      </c>
    </row>
    <row r="132" spans="2:8">
      <c r="B132" s="9" t="s">
        <v>52</v>
      </c>
      <c r="C132" s="4">
        <f t="shared" si="14"/>
        <v>41700000</v>
      </c>
      <c r="D132" s="4">
        <f t="shared" si="13"/>
        <v>41774999</v>
      </c>
      <c r="E132" s="4">
        <f t="shared" si="15"/>
        <v>75000</v>
      </c>
      <c r="F132" s="4">
        <v>500</v>
      </c>
      <c r="G132" s="10">
        <v>150</v>
      </c>
      <c r="H132" s="11" t="b">
        <f t="shared" si="16"/>
        <v>1</v>
      </c>
    </row>
    <row r="133" spans="2:8">
      <c r="B133" s="9" t="s">
        <v>53</v>
      </c>
      <c r="C133" s="4">
        <f t="shared" si="14"/>
        <v>41775000</v>
      </c>
      <c r="D133" s="4">
        <f t="shared" si="13"/>
        <v>41899999</v>
      </c>
      <c r="E133" s="4">
        <f t="shared" si="15"/>
        <v>125000</v>
      </c>
      <c r="F133" s="4">
        <v>500</v>
      </c>
      <c r="G133" s="10">
        <v>250</v>
      </c>
      <c r="H133" s="11" t="b">
        <f t="shared" si="16"/>
        <v>1</v>
      </c>
    </row>
    <row r="134" spans="2:8">
      <c r="B134" s="9" t="s">
        <v>54</v>
      </c>
      <c r="C134" s="4">
        <f t="shared" si="14"/>
        <v>41900000</v>
      </c>
      <c r="D134" s="4">
        <f t="shared" si="13"/>
        <v>42099999</v>
      </c>
      <c r="E134" s="4">
        <f t="shared" si="15"/>
        <v>200000</v>
      </c>
      <c r="F134" s="4">
        <v>500</v>
      </c>
      <c r="G134" s="10">
        <v>400</v>
      </c>
      <c r="H134" s="11" t="b">
        <f t="shared" si="16"/>
        <v>1</v>
      </c>
    </row>
    <row r="135" spans="2:8">
      <c r="B135" s="9" t="s">
        <v>55</v>
      </c>
      <c r="C135" s="4">
        <f t="shared" si="14"/>
        <v>42100000</v>
      </c>
      <c r="D135" s="4">
        <f t="shared" si="13"/>
        <v>42117499</v>
      </c>
      <c r="E135" s="4">
        <f t="shared" si="15"/>
        <v>17500</v>
      </c>
      <c r="F135" s="4">
        <v>500</v>
      </c>
      <c r="G135" s="10">
        <v>35</v>
      </c>
      <c r="H135" s="11" t="b">
        <f t="shared" si="16"/>
        <v>1</v>
      </c>
    </row>
    <row r="136" spans="2:8">
      <c r="B136" s="9" t="s">
        <v>56</v>
      </c>
      <c r="C136" s="4">
        <f t="shared" si="14"/>
        <v>42117500</v>
      </c>
      <c r="D136" s="4">
        <f t="shared" si="13"/>
        <v>42132499</v>
      </c>
      <c r="E136" s="4">
        <f t="shared" si="15"/>
        <v>15000</v>
      </c>
      <c r="F136" s="4">
        <v>500</v>
      </c>
      <c r="G136" s="10">
        <v>30</v>
      </c>
      <c r="H136" s="11" t="b">
        <f t="shared" si="16"/>
        <v>1</v>
      </c>
    </row>
    <row r="137" spans="2:8">
      <c r="B137" s="9" t="s">
        <v>57</v>
      </c>
      <c r="C137" s="4">
        <f t="shared" si="14"/>
        <v>42132500</v>
      </c>
      <c r="D137" s="4">
        <f t="shared" si="13"/>
        <v>42432499</v>
      </c>
      <c r="E137" s="4">
        <f t="shared" si="15"/>
        <v>300000</v>
      </c>
      <c r="F137" s="4">
        <v>500</v>
      </c>
      <c r="G137" s="10">
        <v>600</v>
      </c>
      <c r="H137" s="11" t="b">
        <f t="shared" si="16"/>
        <v>1</v>
      </c>
    </row>
    <row r="138" spans="2:8">
      <c r="B138" s="9" t="s">
        <v>58</v>
      </c>
      <c r="C138" s="4">
        <f t="shared" si="14"/>
        <v>42432500</v>
      </c>
      <c r="D138" s="4">
        <f t="shared" si="13"/>
        <v>42882499</v>
      </c>
      <c r="E138" s="4">
        <f t="shared" si="15"/>
        <v>450000</v>
      </c>
      <c r="F138" s="4">
        <v>500</v>
      </c>
      <c r="G138" s="10">
        <v>900</v>
      </c>
      <c r="H138" s="11" t="b">
        <f t="shared" si="16"/>
        <v>1</v>
      </c>
    </row>
    <row r="139" spans="2:8">
      <c r="B139" s="9" t="s">
        <v>59</v>
      </c>
      <c r="C139" s="4">
        <f t="shared" si="14"/>
        <v>42882500</v>
      </c>
      <c r="D139" s="4">
        <f t="shared" si="13"/>
        <v>42907499</v>
      </c>
      <c r="E139" s="4">
        <f t="shared" si="15"/>
        <v>25000</v>
      </c>
      <c r="F139" s="4">
        <v>500</v>
      </c>
      <c r="G139" s="10">
        <v>50</v>
      </c>
      <c r="H139" s="11" t="b">
        <f t="shared" si="16"/>
        <v>1</v>
      </c>
    </row>
    <row r="140" spans="2:8">
      <c r="B140" s="9" t="s">
        <v>60</v>
      </c>
      <c r="C140" s="4">
        <f t="shared" si="14"/>
        <v>42907500</v>
      </c>
      <c r="D140" s="4">
        <f t="shared" si="13"/>
        <v>42932499</v>
      </c>
      <c r="E140" s="4">
        <f t="shared" si="15"/>
        <v>25000</v>
      </c>
      <c r="F140" s="4">
        <v>500</v>
      </c>
      <c r="G140" s="10">
        <v>50</v>
      </c>
      <c r="H140" s="11" t="b">
        <f t="shared" si="16"/>
        <v>1</v>
      </c>
    </row>
    <row r="141" spans="2:8">
      <c r="B141" s="14" t="s">
        <v>194</v>
      </c>
      <c r="C141" s="18">
        <v>48000000</v>
      </c>
      <c r="D141" s="4">
        <f t="shared" ref="D141:D204" si="24">C141+E141-1</f>
        <v>48049999</v>
      </c>
      <c r="E141" s="4">
        <f t="shared" si="15"/>
        <v>50000</v>
      </c>
      <c r="F141" s="5">
        <v>1000</v>
      </c>
      <c r="G141" s="6">
        <v>50</v>
      </c>
      <c r="H141" s="11" t="b">
        <f t="shared" si="16"/>
        <v>1</v>
      </c>
    </row>
    <row r="142" spans="2:8">
      <c r="B142" s="14" t="s">
        <v>195</v>
      </c>
      <c r="C142" s="4">
        <f t="shared" ref="C142:C205" si="25">D141+1</f>
        <v>48050000</v>
      </c>
      <c r="D142" s="4">
        <f t="shared" si="24"/>
        <v>48099999</v>
      </c>
      <c r="E142" s="4">
        <f t="shared" si="15"/>
        <v>50000</v>
      </c>
      <c r="F142" s="5">
        <v>1000</v>
      </c>
      <c r="G142" s="6">
        <v>50</v>
      </c>
      <c r="H142" s="11" t="b">
        <f t="shared" si="16"/>
        <v>1</v>
      </c>
    </row>
    <row r="143" spans="2:8">
      <c r="B143" s="14" t="s">
        <v>196</v>
      </c>
      <c r="C143" s="4">
        <f t="shared" si="25"/>
        <v>48100000</v>
      </c>
      <c r="D143" s="4">
        <f t="shared" si="24"/>
        <v>48149999</v>
      </c>
      <c r="E143" s="4">
        <f t="shared" ref="E143:E206" si="26">G143*F143</f>
        <v>50000</v>
      </c>
      <c r="F143" s="5">
        <v>1000</v>
      </c>
      <c r="G143" s="6">
        <v>50</v>
      </c>
      <c r="H143" s="11" t="b">
        <f t="shared" si="16"/>
        <v>1</v>
      </c>
    </row>
    <row r="144" spans="2:8">
      <c r="B144" s="14" t="s">
        <v>197</v>
      </c>
      <c r="C144" s="4">
        <f t="shared" si="25"/>
        <v>48150000</v>
      </c>
      <c r="D144" s="4">
        <f t="shared" si="24"/>
        <v>48199999</v>
      </c>
      <c r="E144" s="4">
        <f t="shared" si="26"/>
        <v>50000</v>
      </c>
      <c r="F144" s="5">
        <v>1000</v>
      </c>
      <c r="G144" s="6">
        <v>50</v>
      </c>
      <c r="H144" s="11" t="b">
        <f t="shared" si="16"/>
        <v>1</v>
      </c>
    </row>
    <row r="145" spans="2:8">
      <c r="B145" s="14" t="s">
        <v>198</v>
      </c>
      <c r="C145" s="4">
        <f t="shared" si="25"/>
        <v>48200000</v>
      </c>
      <c r="D145" s="4">
        <f t="shared" si="24"/>
        <v>48249999</v>
      </c>
      <c r="E145" s="4">
        <f t="shared" si="26"/>
        <v>50000</v>
      </c>
      <c r="F145" s="5">
        <v>1000</v>
      </c>
      <c r="G145" s="6">
        <v>50</v>
      </c>
      <c r="H145" s="11" t="b">
        <f t="shared" si="16"/>
        <v>1</v>
      </c>
    </row>
    <row r="146" spans="2:8">
      <c r="B146" s="14" t="s">
        <v>199</v>
      </c>
      <c r="C146" s="4">
        <f t="shared" si="25"/>
        <v>48250000</v>
      </c>
      <c r="D146" s="4">
        <f t="shared" si="24"/>
        <v>48299999</v>
      </c>
      <c r="E146" s="4">
        <f t="shared" si="26"/>
        <v>50000</v>
      </c>
      <c r="F146" s="5">
        <v>1000</v>
      </c>
      <c r="G146" s="6">
        <v>50</v>
      </c>
      <c r="H146" s="11" t="b">
        <f t="shared" si="16"/>
        <v>1</v>
      </c>
    </row>
    <row r="147" spans="2:8">
      <c r="B147" s="14" t="s">
        <v>200</v>
      </c>
      <c r="C147" s="4">
        <f t="shared" si="25"/>
        <v>48300000</v>
      </c>
      <c r="D147" s="4">
        <f t="shared" si="24"/>
        <v>48349999</v>
      </c>
      <c r="E147" s="4">
        <f t="shared" si="26"/>
        <v>50000</v>
      </c>
      <c r="F147" s="5">
        <v>1000</v>
      </c>
      <c r="G147" s="6">
        <v>50</v>
      </c>
      <c r="H147" s="11" t="b">
        <f t="shared" si="16"/>
        <v>1</v>
      </c>
    </row>
    <row r="148" spans="2:8">
      <c r="B148" s="14" t="s">
        <v>201</v>
      </c>
      <c r="C148" s="4">
        <f t="shared" si="25"/>
        <v>48350000</v>
      </c>
      <c r="D148" s="4">
        <f t="shared" si="24"/>
        <v>48399999</v>
      </c>
      <c r="E148" s="4">
        <f t="shared" si="26"/>
        <v>50000</v>
      </c>
      <c r="F148" s="5">
        <v>1000</v>
      </c>
      <c r="G148" s="6">
        <v>50</v>
      </c>
      <c r="H148" s="11" t="b">
        <f t="shared" si="16"/>
        <v>1</v>
      </c>
    </row>
    <row r="149" spans="2:8">
      <c r="B149" s="14" t="s">
        <v>202</v>
      </c>
      <c r="C149" s="4">
        <f t="shared" si="25"/>
        <v>48400000</v>
      </c>
      <c r="D149" s="4">
        <f t="shared" si="24"/>
        <v>48449999</v>
      </c>
      <c r="E149" s="4">
        <f t="shared" si="26"/>
        <v>50000</v>
      </c>
      <c r="F149" s="5">
        <v>1000</v>
      </c>
      <c r="G149" s="6">
        <v>50</v>
      </c>
      <c r="H149" s="11" t="b">
        <f t="shared" si="16"/>
        <v>1</v>
      </c>
    </row>
    <row r="150" spans="2:8">
      <c r="B150" s="14" t="s">
        <v>203</v>
      </c>
      <c r="C150" s="4">
        <f t="shared" si="25"/>
        <v>48450000</v>
      </c>
      <c r="D150" s="4">
        <f t="shared" si="24"/>
        <v>48499999</v>
      </c>
      <c r="E150" s="4">
        <f t="shared" si="26"/>
        <v>50000</v>
      </c>
      <c r="F150" s="5">
        <v>1000</v>
      </c>
      <c r="G150" s="6">
        <v>50</v>
      </c>
      <c r="H150" s="11" t="b">
        <f t="shared" si="16"/>
        <v>1</v>
      </c>
    </row>
    <row r="151" spans="2:8">
      <c r="B151" s="14" t="s">
        <v>204</v>
      </c>
      <c r="C151" s="4">
        <f t="shared" si="25"/>
        <v>48500000</v>
      </c>
      <c r="D151" s="4">
        <f t="shared" si="24"/>
        <v>48549999</v>
      </c>
      <c r="E151" s="4">
        <f t="shared" si="26"/>
        <v>50000</v>
      </c>
      <c r="F151" s="5">
        <v>1000</v>
      </c>
      <c r="G151" s="6">
        <v>50</v>
      </c>
      <c r="H151" s="11" t="b">
        <f t="shared" si="16"/>
        <v>1</v>
      </c>
    </row>
    <row r="152" spans="2:8">
      <c r="B152" s="14" t="s">
        <v>205</v>
      </c>
      <c r="C152" s="4">
        <f t="shared" si="25"/>
        <v>48550000</v>
      </c>
      <c r="D152" s="4">
        <f t="shared" si="24"/>
        <v>48599999</v>
      </c>
      <c r="E152" s="4">
        <f t="shared" si="26"/>
        <v>50000</v>
      </c>
      <c r="F152" s="5">
        <v>1000</v>
      </c>
      <c r="G152" s="6">
        <v>50</v>
      </c>
      <c r="H152" s="11" t="b">
        <f t="shared" si="16"/>
        <v>1</v>
      </c>
    </row>
    <row r="153" spans="2:8">
      <c r="B153" s="19" t="s">
        <v>159</v>
      </c>
      <c r="C153" s="4">
        <f t="shared" si="25"/>
        <v>48600000</v>
      </c>
      <c r="D153" s="4">
        <f t="shared" si="24"/>
        <v>48609999</v>
      </c>
      <c r="E153" s="4">
        <f t="shared" si="26"/>
        <v>10000</v>
      </c>
      <c r="F153" s="5">
        <v>1000</v>
      </c>
      <c r="G153" s="6">
        <v>10</v>
      </c>
      <c r="H153" s="11" t="b">
        <f t="shared" ref="H153:H216" si="27">C154&gt;D153</f>
        <v>1</v>
      </c>
    </row>
    <row r="154" spans="2:8" ht="14.1" customHeight="1">
      <c r="B154" s="19" t="s">
        <v>160</v>
      </c>
      <c r="C154" s="4">
        <f t="shared" si="25"/>
        <v>48610000</v>
      </c>
      <c r="D154" s="4">
        <f t="shared" si="24"/>
        <v>48619999</v>
      </c>
      <c r="E154" s="4">
        <f t="shared" si="26"/>
        <v>10000</v>
      </c>
      <c r="F154" s="5">
        <v>1000</v>
      </c>
      <c r="G154" s="6">
        <v>10</v>
      </c>
      <c r="H154" s="11" t="b">
        <f t="shared" si="27"/>
        <v>1</v>
      </c>
    </row>
    <row r="155" spans="2:8">
      <c r="B155" s="12" t="s">
        <v>34</v>
      </c>
      <c r="C155" s="18">
        <v>50000000</v>
      </c>
      <c r="D155" s="4">
        <f t="shared" si="24"/>
        <v>50189999</v>
      </c>
      <c r="E155" s="4">
        <f t="shared" si="26"/>
        <v>190000</v>
      </c>
      <c r="F155" s="5">
        <v>1000</v>
      </c>
      <c r="G155" s="6">
        <v>190</v>
      </c>
      <c r="H155" s="11" t="b">
        <f t="shared" si="27"/>
        <v>1</v>
      </c>
    </row>
    <row r="156" spans="2:8">
      <c r="B156" s="7" t="s">
        <v>111</v>
      </c>
      <c r="C156" s="4">
        <f t="shared" si="25"/>
        <v>50190000</v>
      </c>
      <c r="D156" s="4">
        <f t="shared" si="24"/>
        <v>50249999</v>
      </c>
      <c r="E156" s="4">
        <f t="shared" si="26"/>
        <v>60000</v>
      </c>
      <c r="F156" s="5">
        <v>1000</v>
      </c>
      <c r="G156" s="6">
        <v>60</v>
      </c>
      <c r="H156" s="11" t="b">
        <f t="shared" si="27"/>
        <v>1</v>
      </c>
    </row>
    <row r="157" spans="2:8">
      <c r="B157" s="7" t="s">
        <v>62</v>
      </c>
      <c r="C157" s="4">
        <f t="shared" si="25"/>
        <v>50250000</v>
      </c>
      <c r="D157" s="4">
        <f t="shared" si="24"/>
        <v>51239999</v>
      </c>
      <c r="E157" s="4">
        <f t="shared" si="26"/>
        <v>990000</v>
      </c>
      <c r="F157" s="5">
        <v>1000</v>
      </c>
      <c r="G157" s="6">
        <v>990</v>
      </c>
      <c r="H157" s="11" t="b">
        <f t="shared" si="27"/>
        <v>1</v>
      </c>
    </row>
    <row r="158" spans="2:8">
      <c r="B158" s="7" t="s">
        <v>63</v>
      </c>
      <c r="C158" s="4">
        <f t="shared" si="25"/>
        <v>51240000</v>
      </c>
      <c r="D158" s="4">
        <f t="shared" si="24"/>
        <v>51799999</v>
      </c>
      <c r="E158" s="4">
        <f t="shared" si="26"/>
        <v>560000</v>
      </c>
      <c r="F158" s="5">
        <v>1000</v>
      </c>
      <c r="G158" s="6">
        <v>560</v>
      </c>
      <c r="H158" s="11" t="b">
        <f t="shared" si="27"/>
        <v>1</v>
      </c>
    </row>
    <row r="159" spans="2:8">
      <c r="B159" s="7" t="s">
        <v>64</v>
      </c>
      <c r="C159" s="4">
        <f t="shared" si="25"/>
        <v>51800000</v>
      </c>
      <c r="D159" s="4">
        <f t="shared" si="24"/>
        <v>51999999</v>
      </c>
      <c r="E159" s="4">
        <f t="shared" si="26"/>
        <v>200000</v>
      </c>
      <c r="F159" s="5">
        <v>1000</v>
      </c>
      <c r="G159" s="6">
        <v>200</v>
      </c>
      <c r="H159" s="11" t="b">
        <f t="shared" si="27"/>
        <v>1</v>
      </c>
    </row>
    <row r="160" spans="2:8">
      <c r="B160" s="7" t="s">
        <v>65</v>
      </c>
      <c r="C160" s="4">
        <f t="shared" si="25"/>
        <v>52000000</v>
      </c>
      <c r="D160" s="4">
        <f t="shared" si="24"/>
        <v>52199999</v>
      </c>
      <c r="E160" s="4">
        <f t="shared" si="26"/>
        <v>200000</v>
      </c>
      <c r="F160" s="5">
        <v>1000</v>
      </c>
      <c r="G160" s="6">
        <v>200</v>
      </c>
      <c r="H160" s="11" t="b">
        <f t="shared" si="27"/>
        <v>1</v>
      </c>
    </row>
    <row r="161" spans="2:8">
      <c r="B161" s="7" t="s">
        <v>66</v>
      </c>
      <c r="C161" s="4">
        <f t="shared" si="25"/>
        <v>52200000</v>
      </c>
      <c r="D161" s="4">
        <f t="shared" si="24"/>
        <v>52399999</v>
      </c>
      <c r="E161" s="4">
        <f t="shared" si="26"/>
        <v>200000</v>
      </c>
      <c r="F161" s="5">
        <v>1000</v>
      </c>
      <c r="G161" s="6">
        <v>200</v>
      </c>
      <c r="H161" s="11" t="b">
        <f t="shared" si="27"/>
        <v>1</v>
      </c>
    </row>
    <row r="162" spans="2:8">
      <c r="B162" s="7" t="s">
        <v>67</v>
      </c>
      <c r="C162" s="4">
        <f t="shared" si="25"/>
        <v>52400000</v>
      </c>
      <c r="D162" s="4">
        <f t="shared" si="24"/>
        <v>52529999</v>
      </c>
      <c r="E162" s="4">
        <f t="shared" si="26"/>
        <v>130000</v>
      </c>
      <c r="F162" s="5">
        <v>1000</v>
      </c>
      <c r="G162" s="6">
        <v>130</v>
      </c>
      <c r="H162" s="11" t="b">
        <f t="shared" si="27"/>
        <v>1</v>
      </c>
    </row>
    <row r="163" spans="2:8">
      <c r="B163" s="7" t="s">
        <v>171</v>
      </c>
      <c r="C163" s="4">
        <f t="shared" si="25"/>
        <v>52530000</v>
      </c>
      <c r="D163" s="4">
        <f t="shared" si="24"/>
        <v>52619999</v>
      </c>
      <c r="E163" s="4">
        <f t="shared" si="26"/>
        <v>90000</v>
      </c>
      <c r="F163" s="5">
        <v>1000</v>
      </c>
      <c r="G163" s="6">
        <v>90</v>
      </c>
      <c r="H163" s="11" t="b">
        <f t="shared" si="27"/>
        <v>1</v>
      </c>
    </row>
    <row r="164" spans="2:8">
      <c r="B164" s="7" t="s">
        <v>69</v>
      </c>
      <c r="C164" s="4">
        <f t="shared" si="25"/>
        <v>52620000</v>
      </c>
      <c r="D164" s="4">
        <f t="shared" si="24"/>
        <v>52709999</v>
      </c>
      <c r="E164" s="4">
        <f t="shared" si="26"/>
        <v>90000</v>
      </c>
      <c r="F164" s="5">
        <v>1000</v>
      </c>
      <c r="G164" s="6">
        <v>90</v>
      </c>
      <c r="H164" s="11" t="b">
        <f t="shared" si="27"/>
        <v>1</v>
      </c>
    </row>
    <row r="165" spans="2:8">
      <c r="B165" s="7" t="s">
        <v>70</v>
      </c>
      <c r="C165" s="4">
        <f t="shared" si="25"/>
        <v>52710000</v>
      </c>
      <c r="D165" s="4">
        <f t="shared" si="24"/>
        <v>52759999</v>
      </c>
      <c r="E165" s="4">
        <f t="shared" si="26"/>
        <v>50000</v>
      </c>
      <c r="F165" s="5">
        <v>1000</v>
      </c>
      <c r="G165" s="6">
        <v>50</v>
      </c>
      <c r="H165" s="11" t="b">
        <f t="shared" si="27"/>
        <v>1</v>
      </c>
    </row>
    <row r="166" spans="2:8">
      <c r="B166" s="7" t="s">
        <v>71</v>
      </c>
      <c r="C166" s="4">
        <f t="shared" si="25"/>
        <v>52760000</v>
      </c>
      <c r="D166" s="4">
        <f t="shared" si="24"/>
        <v>52809999</v>
      </c>
      <c r="E166" s="4">
        <f t="shared" si="26"/>
        <v>50000</v>
      </c>
      <c r="F166" s="5">
        <v>1000</v>
      </c>
      <c r="G166" s="6">
        <v>50</v>
      </c>
      <c r="H166" s="11" t="b">
        <f t="shared" si="27"/>
        <v>1</v>
      </c>
    </row>
    <row r="167" spans="2:8">
      <c r="B167" s="7" t="s">
        <v>72</v>
      </c>
      <c r="C167" s="4">
        <f t="shared" si="25"/>
        <v>52810000</v>
      </c>
      <c r="D167" s="4">
        <f t="shared" si="24"/>
        <v>52859999</v>
      </c>
      <c r="E167" s="4">
        <f t="shared" si="26"/>
        <v>50000</v>
      </c>
      <c r="F167" s="5">
        <v>1000</v>
      </c>
      <c r="G167" s="6">
        <v>50</v>
      </c>
      <c r="H167" s="11" t="b">
        <f t="shared" si="27"/>
        <v>1</v>
      </c>
    </row>
    <row r="168" spans="2:8">
      <c r="B168" s="7" t="s">
        <v>73</v>
      </c>
      <c r="C168" s="4">
        <f t="shared" si="25"/>
        <v>52860000</v>
      </c>
      <c r="D168" s="4">
        <f t="shared" si="24"/>
        <v>52909999</v>
      </c>
      <c r="E168" s="4">
        <f t="shared" si="26"/>
        <v>50000</v>
      </c>
      <c r="F168" s="5">
        <v>1000</v>
      </c>
      <c r="G168" s="6">
        <v>50</v>
      </c>
      <c r="H168" s="11" t="b">
        <f t="shared" si="27"/>
        <v>1</v>
      </c>
    </row>
    <row r="169" spans="2:8">
      <c r="B169" s="7" t="s">
        <v>74</v>
      </c>
      <c r="C169" s="4">
        <f t="shared" si="25"/>
        <v>52910000</v>
      </c>
      <c r="D169" s="4">
        <f t="shared" si="24"/>
        <v>52959999</v>
      </c>
      <c r="E169" s="4">
        <f t="shared" si="26"/>
        <v>50000</v>
      </c>
      <c r="F169" s="5">
        <v>1000</v>
      </c>
      <c r="G169" s="6">
        <v>50</v>
      </c>
      <c r="H169" s="11" t="b">
        <f t="shared" si="27"/>
        <v>1</v>
      </c>
    </row>
    <row r="170" spans="2:8">
      <c r="B170" s="7" t="s">
        <v>68</v>
      </c>
      <c r="C170" s="4">
        <f t="shared" si="25"/>
        <v>52960000</v>
      </c>
      <c r="D170" s="4">
        <f t="shared" si="24"/>
        <v>53009999</v>
      </c>
      <c r="E170" s="4">
        <f t="shared" si="26"/>
        <v>50000</v>
      </c>
      <c r="F170" s="5">
        <v>1000</v>
      </c>
      <c r="G170" s="6">
        <v>50</v>
      </c>
      <c r="H170" s="11" t="b">
        <f t="shared" si="27"/>
        <v>1</v>
      </c>
    </row>
    <row r="171" spans="2:8">
      <c r="B171" s="7" t="s">
        <v>75</v>
      </c>
      <c r="C171" s="4">
        <f t="shared" si="25"/>
        <v>53010000</v>
      </c>
      <c r="D171" s="4">
        <f t="shared" si="24"/>
        <v>53229999</v>
      </c>
      <c r="E171" s="4">
        <f t="shared" si="26"/>
        <v>220000</v>
      </c>
      <c r="F171" s="5">
        <v>1000</v>
      </c>
      <c r="G171" s="6">
        <v>220</v>
      </c>
      <c r="H171" s="11" t="b">
        <f t="shared" si="27"/>
        <v>1</v>
      </c>
    </row>
    <row r="172" spans="2:8">
      <c r="B172" s="7" t="s">
        <v>172</v>
      </c>
      <c r="C172" s="4">
        <f t="shared" si="25"/>
        <v>53230000</v>
      </c>
      <c r="D172" s="4">
        <f t="shared" si="24"/>
        <v>53369999</v>
      </c>
      <c r="E172" s="4">
        <f t="shared" si="26"/>
        <v>140000</v>
      </c>
      <c r="F172" s="5">
        <v>1000</v>
      </c>
      <c r="G172" s="6">
        <v>140</v>
      </c>
      <c r="H172" s="11" t="b">
        <f t="shared" si="27"/>
        <v>1</v>
      </c>
    </row>
    <row r="173" spans="2:8">
      <c r="B173" s="7" t="s">
        <v>77</v>
      </c>
      <c r="C173" s="4">
        <f t="shared" si="25"/>
        <v>53370000</v>
      </c>
      <c r="D173" s="4">
        <f t="shared" si="24"/>
        <v>53449999</v>
      </c>
      <c r="E173" s="4">
        <f t="shared" si="26"/>
        <v>80000</v>
      </c>
      <c r="F173" s="5">
        <v>1000</v>
      </c>
      <c r="G173" s="6">
        <v>80</v>
      </c>
      <c r="H173" s="11" t="b">
        <f t="shared" si="27"/>
        <v>1</v>
      </c>
    </row>
    <row r="174" spans="2:8">
      <c r="B174" s="7" t="s">
        <v>76</v>
      </c>
      <c r="C174" s="4">
        <f t="shared" si="25"/>
        <v>53450000</v>
      </c>
      <c r="D174" s="4">
        <f t="shared" si="24"/>
        <v>53529999</v>
      </c>
      <c r="E174" s="4">
        <f t="shared" si="26"/>
        <v>80000</v>
      </c>
      <c r="F174" s="5">
        <v>1000</v>
      </c>
      <c r="G174" s="6">
        <v>80</v>
      </c>
      <c r="H174" s="11" t="b">
        <f t="shared" si="27"/>
        <v>1</v>
      </c>
    </row>
    <row r="175" spans="2:8">
      <c r="B175" s="7" t="s">
        <v>78</v>
      </c>
      <c r="C175" s="4">
        <f t="shared" si="25"/>
        <v>53530000</v>
      </c>
      <c r="D175" s="4">
        <f t="shared" si="24"/>
        <v>53919999</v>
      </c>
      <c r="E175" s="4">
        <f t="shared" si="26"/>
        <v>390000</v>
      </c>
      <c r="F175" s="5">
        <v>1000</v>
      </c>
      <c r="G175" s="6">
        <v>390</v>
      </c>
      <c r="H175" s="11" t="b">
        <f t="shared" si="27"/>
        <v>1</v>
      </c>
    </row>
    <row r="176" spans="2:8">
      <c r="B176" s="7" t="s">
        <v>79</v>
      </c>
      <c r="C176" s="4">
        <f t="shared" si="25"/>
        <v>53920000</v>
      </c>
      <c r="D176" s="4">
        <f t="shared" si="24"/>
        <v>54229999</v>
      </c>
      <c r="E176" s="4">
        <f t="shared" si="26"/>
        <v>310000</v>
      </c>
      <c r="F176" s="5">
        <v>1000</v>
      </c>
      <c r="G176" s="6">
        <v>310</v>
      </c>
      <c r="H176" s="11" t="b">
        <f t="shared" si="27"/>
        <v>1</v>
      </c>
    </row>
    <row r="177" spans="2:8">
      <c r="B177" s="7" t="s">
        <v>80</v>
      </c>
      <c r="C177" s="4">
        <f t="shared" si="25"/>
        <v>54230000</v>
      </c>
      <c r="D177" s="4">
        <f t="shared" si="24"/>
        <v>54539999</v>
      </c>
      <c r="E177" s="4">
        <f t="shared" si="26"/>
        <v>310000</v>
      </c>
      <c r="F177" s="5">
        <v>1000</v>
      </c>
      <c r="G177" s="6">
        <v>310</v>
      </c>
      <c r="H177" s="11" t="b">
        <f t="shared" si="27"/>
        <v>1</v>
      </c>
    </row>
    <row r="178" spans="2:8">
      <c r="B178" s="7" t="s">
        <v>140</v>
      </c>
      <c r="C178" s="4">
        <f t="shared" si="25"/>
        <v>54540000</v>
      </c>
      <c r="D178" s="4">
        <f t="shared" si="24"/>
        <v>54739999</v>
      </c>
      <c r="E178" s="4">
        <f t="shared" si="26"/>
        <v>200000</v>
      </c>
      <c r="F178" s="5">
        <v>1000</v>
      </c>
      <c r="G178" s="6">
        <v>200</v>
      </c>
      <c r="H178" s="11" t="b">
        <f t="shared" si="27"/>
        <v>1</v>
      </c>
    </row>
    <row r="179" spans="2:8">
      <c r="B179" s="7" t="s">
        <v>173</v>
      </c>
      <c r="C179" s="4">
        <f t="shared" si="25"/>
        <v>54740000</v>
      </c>
      <c r="D179" s="4">
        <f t="shared" si="24"/>
        <v>54939999</v>
      </c>
      <c r="E179" s="4">
        <f t="shared" si="26"/>
        <v>200000</v>
      </c>
      <c r="F179" s="5">
        <v>1000</v>
      </c>
      <c r="G179" s="6">
        <v>200</v>
      </c>
      <c r="H179" s="11" t="b">
        <f t="shared" si="27"/>
        <v>1</v>
      </c>
    </row>
    <row r="180" spans="2:8">
      <c r="B180" s="7" t="s">
        <v>81</v>
      </c>
      <c r="C180" s="4">
        <f t="shared" si="25"/>
        <v>54940000</v>
      </c>
      <c r="D180" s="4">
        <f t="shared" si="24"/>
        <v>55089999</v>
      </c>
      <c r="E180" s="4">
        <f t="shared" si="26"/>
        <v>150000</v>
      </c>
      <c r="F180" s="5">
        <v>1000</v>
      </c>
      <c r="G180" s="6">
        <v>150</v>
      </c>
      <c r="H180" s="11" t="b">
        <f t="shared" si="27"/>
        <v>1</v>
      </c>
    </row>
    <row r="181" spans="2:8">
      <c r="B181" s="7" t="s">
        <v>82</v>
      </c>
      <c r="C181" s="4">
        <f t="shared" si="25"/>
        <v>55090000</v>
      </c>
      <c r="D181" s="4">
        <f t="shared" si="24"/>
        <v>55239999</v>
      </c>
      <c r="E181" s="4">
        <f t="shared" si="26"/>
        <v>150000</v>
      </c>
      <c r="F181" s="5">
        <v>1000</v>
      </c>
      <c r="G181" s="6">
        <v>150</v>
      </c>
      <c r="H181" s="11" t="b">
        <f t="shared" si="27"/>
        <v>1</v>
      </c>
    </row>
    <row r="182" spans="2:8">
      <c r="B182" s="7" t="s">
        <v>83</v>
      </c>
      <c r="C182" s="4">
        <f t="shared" si="25"/>
        <v>55240000</v>
      </c>
      <c r="D182" s="4">
        <f t="shared" si="24"/>
        <v>55389999</v>
      </c>
      <c r="E182" s="4">
        <f t="shared" si="26"/>
        <v>150000</v>
      </c>
      <c r="F182" s="5">
        <v>1000</v>
      </c>
      <c r="G182" s="6">
        <v>150</v>
      </c>
      <c r="H182" s="11" t="b">
        <f t="shared" si="27"/>
        <v>1</v>
      </c>
    </row>
    <row r="183" spans="2:8">
      <c r="B183" s="7" t="s">
        <v>84</v>
      </c>
      <c r="C183" s="4">
        <f t="shared" si="25"/>
        <v>55390000</v>
      </c>
      <c r="D183" s="4">
        <f t="shared" si="24"/>
        <v>55539999</v>
      </c>
      <c r="E183" s="4">
        <f t="shared" si="26"/>
        <v>150000</v>
      </c>
      <c r="F183" s="5">
        <v>1000</v>
      </c>
      <c r="G183" s="6">
        <v>150</v>
      </c>
      <c r="H183" s="11" t="b">
        <f t="shared" si="27"/>
        <v>1</v>
      </c>
    </row>
    <row r="184" spans="2:8">
      <c r="B184" s="7" t="s">
        <v>85</v>
      </c>
      <c r="C184" s="4">
        <f t="shared" si="25"/>
        <v>55540000</v>
      </c>
      <c r="D184" s="4">
        <f t="shared" si="24"/>
        <v>55689999</v>
      </c>
      <c r="E184" s="4">
        <f t="shared" si="26"/>
        <v>150000</v>
      </c>
      <c r="F184" s="5">
        <v>1000</v>
      </c>
      <c r="G184" s="6">
        <v>150</v>
      </c>
      <c r="H184" s="11" t="b">
        <f t="shared" si="27"/>
        <v>1</v>
      </c>
    </row>
    <row r="185" spans="2:8">
      <c r="B185" s="7" t="s">
        <v>86</v>
      </c>
      <c r="C185" s="4">
        <f t="shared" si="25"/>
        <v>55690000</v>
      </c>
      <c r="D185" s="4">
        <f t="shared" si="24"/>
        <v>55839999</v>
      </c>
      <c r="E185" s="4">
        <f t="shared" si="26"/>
        <v>150000</v>
      </c>
      <c r="F185" s="5">
        <v>1000</v>
      </c>
      <c r="G185" s="6">
        <v>150</v>
      </c>
      <c r="H185" s="11" t="b">
        <f t="shared" si="27"/>
        <v>1</v>
      </c>
    </row>
    <row r="186" spans="2:8">
      <c r="B186" s="7" t="s">
        <v>87</v>
      </c>
      <c r="C186" s="4">
        <f t="shared" si="25"/>
        <v>55840000</v>
      </c>
      <c r="D186" s="4">
        <f t="shared" si="24"/>
        <v>55989999</v>
      </c>
      <c r="E186" s="4">
        <f t="shared" si="26"/>
        <v>150000</v>
      </c>
      <c r="F186" s="5">
        <v>1000</v>
      </c>
      <c r="G186" s="6">
        <v>150</v>
      </c>
      <c r="H186" s="11" t="b">
        <f t="shared" si="27"/>
        <v>1</v>
      </c>
    </row>
    <row r="187" spans="2:8">
      <c r="B187" s="7" t="s">
        <v>88</v>
      </c>
      <c r="C187" s="4">
        <f t="shared" si="25"/>
        <v>55990000</v>
      </c>
      <c r="D187" s="4">
        <f t="shared" si="24"/>
        <v>56139999</v>
      </c>
      <c r="E187" s="4">
        <f t="shared" si="26"/>
        <v>150000</v>
      </c>
      <c r="F187" s="5">
        <v>1000</v>
      </c>
      <c r="G187" s="6">
        <v>150</v>
      </c>
      <c r="H187" s="11" t="b">
        <f t="shared" si="27"/>
        <v>1</v>
      </c>
    </row>
    <row r="188" spans="2:8">
      <c r="B188" s="7" t="s">
        <v>89</v>
      </c>
      <c r="C188" s="4">
        <f t="shared" si="25"/>
        <v>56140000</v>
      </c>
      <c r="D188" s="4">
        <f t="shared" si="24"/>
        <v>56289999</v>
      </c>
      <c r="E188" s="4">
        <f t="shared" si="26"/>
        <v>150000</v>
      </c>
      <c r="F188" s="5">
        <v>1000</v>
      </c>
      <c r="G188" s="6">
        <v>150</v>
      </c>
      <c r="H188" s="11" t="b">
        <f t="shared" si="27"/>
        <v>1</v>
      </c>
    </row>
    <row r="189" spans="2:8">
      <c r="B189" s="7" t="s">
        <v>90</v>
      </c>
      <c r="C189" s="4">
        <f t="shared" si="25"/>
        <v>56290000</v>
      </c>
      <c r="D189" s="4">
        <f t="shared" si="24"/>
        <v>56439999</v>
      </c>
      <c r="E189" s="4">
        <f t="shared" si="26"/>
        <v>150000</v>
      </c>
      <c r="F189" s="5">
        <v>1000</v>
      </c>
      <c r="G189" s="6">
        <v>150</v>
      </c>
      <c r="H189" s="11" t="b">
        <f t="shared" si="27"/>
        <v>1</v>
      </c>
    </row>
    <row r="190" spans="2:8">
      <c r="B190" s="7" t="s">
        <v>91</v>
      </c>
      <c r="C190" s="4">
        <f t="shared" si="25"/>
        <v>56440000</v>
      </c>
      <c r="D190" s="4">
        <f t="shared" si="24"/>
        <v>56559999</v>
      </c>
      <c r="E190" s="4">
        <f t="shared" si="26"/>
        <v>120000</v>
      </c>
      <c r="F190" s="5">
        <v>1000</v>
      </c>
      <c r="G190" s="6">
        <v>120</v>
      </c>
      <c r="H190" s="11" t="b">
        <f t="shared" si="27"/>
        <v>1</v>
      </c>
    </row>
    <row r="191" spans="2:8">
      <c r="B191" s="7" t="s">
        <v>92</v>
      </c>
      <c r="C191" s="4">
        <f t="shared" si="25"/>
        <v>56560000</v>
      </c>
      <c r="D191" s="4">
        <f t="shared" si="24"/>
        <v>56659999</v>
      </c>
      <c r="E191" s="4">
        <f t="shared" si="26"/>
        <v>100000</v>
      </c>
      <c r="F191" s="5">
        <v>1000</v>
      </c>
      <c r="G191" s="6">
        <v>100</v>
      </c>
      <c r="H191" s="11" t="b">
        <f t="shared" si="27"/>
        <v>1</v>
      </c>
    </row>
    <row r="192" spans="2:8">
      <c r="B192" s="7" t="s">
        <v>93</v>
      </c>
      <c r="C192" s="4">
        <f t="shared" si="25"/>
        <v>56660000</v>
      </c>
      <c r="D192" s="4">
        <f t="shared" si="24"/>
        <v>56699999</v>
      </c>
      <c r="E192" s="4">
        <f t="shared" si="26"/>
        <v>40000</v>
      </c>
      <c r="F192" s="5">
        <v>1000</v>
      </c>
      <c r="G192" s="6">
        <v>40</v>
      </c>
      <c r="H192" s="11" t="b">
        <f t="shared" si="27"/>
        <v>1</v>
      </c>
    </row>
    <row r="193" spans="2:8">
      <c r="B193" s="7" t="s">
        <v>94</v>
      </c>
      <c r="C193" s="4">
        <f t="shared" si="25"/>
        <v>56700000</v>
      </c>
      <c r="D193" s="4">
        <f t="shared" si="24"/>
        <v>56739999</v>
      </c>
      <c r="E193" s="4">
        <f t="shared" si="26"/>
        <v>40000</v>
      </c>
      <c r="F193" s="5">
        <v>1000</v>
      </c>
      <c r="G193" s="6">
        <v>40</v>
      </c>
      <c r="H193" s="11" t="b">
        <f t="shared" si="27"/>
        <v>1</v>
      </c>
    </row>
    <row r="194" spans="2:8">
      <c r="B194" s="7" t="s">
        <v>95</v>
      </c>
      <c r="C194" s="4">
        <f t="shared" si="25"/>
        <v>56740000</v>
      </c>
      <c r="D194" s="4">
        <f t="shared" si="24"/>
        <v>56779999</v>
      </c>
      <c r="E194" s="4">
        <f t="shared" si="26"/>
        <v>40000</v>
      </c>
      <c r="F194" s="5">
        <v>1000</v>
      </c>
      <c r="G194" s="6">
        <v>40</v>
      </c>
      <c r="H194" s="11" t="b">
        <f t="shared" si="27"/>
        <v>1</v>
      </c>
    </row>
    <row r="195" spans="2:8">
      <c r="B195" s="7" t="s">
        <v>96</v>
      </c>
      <c r="C195" s="4">
        <f t="shared" si="25"/>
        <v>56780000</v>
      </c>
      <c r="D195" s="4">
        <f t="shared" si="24"/>
        <v>56819999</v>
      </c>
      <c r="E195" s="4">
        <f t="shared" si="26"/>
        <v>40000</v>
      </c>
      <c r="F195" s="5">
        <v>1000</v>
      </c>
      <c r="G195" s="6">
        <v>40</v>
      </c>
      <c r="H195" s="11" t="b">
        <f t="shared" si="27"/>
        <v>1</v>
      </c>
    </row>
    <row r="196" spans="2:8">
      <c r="B196" s="7" t="s">
        <v>97</v>
      </c>
      <c r="C196" s="4">
        <f t="shared" si="25"/>
        <v>56820000</v>
      </c>
      <c r="D196" s="4">
        <f t="shared" si="24"/>
        <v>56859999</v>
      </c>
      <c r="E196" s="4">
        <f t="shared" si="26"/>
        <v>40000</v>
      </c>
      <c r="F196" s="5">
        <v>1000</v>
      </c>
      <c r="G196" s="6">
        <v>40</v>
      </c>
      <c r="H196" s="11" t="b">
        <f t="shared" si="27"/>
        <v>1</v>
      </c>
    </row>
    <row r="197" spans="2:8">
      <c r="B197" s="7" t="s">
        <v>98</v>
      </c>
      <c r="C197" s="4">
        <f t="shared" si="25"/>
        <v>56860000</v>
      </c>
      <c r="D197" s="4">
        <f t="shared" si="24"/>
        <v>57419999</v>
      </c>
      <c r="E197" s="4">
        <f t="shared" si="26"/>
        <v>560000</v>
      </c>
      <c r="F197" s="5">
        <v>1000</v>
      </c>
      <c r="G197" s="6">
        <v>560</v>
      </c>
      <c r="H197" s="11" t="b">
        <f t="shared" si="27"/>
        <v>1</v>
      </c>
    </row>
    <row r="198" spans="2:8">
      <c r="B198" s="7" t="s">
        <v>99</v>
      </c>
      <c r="C198" s="4">
        <f t="shared" si="25"/>
        <v>57420000</v>
      </c>
      <c r="D198" s="4">
        <f t="shared" si="24"/>
        <v>57979999</v>
      </c>
      <c r="E198" s="4">
        <f t="shared" si="26"/>
        <v>560000</v>
      </c>
      <c r="F198" s="5">
        <v>1000</v>
      </c>
      <c r="G198" s="6">
        <v>560</v>
      </c>
      <c r="H198" s="11" t="b">
        <f t="shared" si="27"/>
        <v>1</v>
      </c>
    </row>
    <row r="199" spans="2:8">
      <c r="B199" s="7" t="s">
        <v>174</v>
      </c>
      <c r="C199" s="4">
        <f t="shared" si="25"/>
        <v>57980000</v>
      </c>
      <c r="D199" s="4">
        <f t="shared" si="24"/>
        <v>58279999</v>
      </c>
      <c r="E199" s="4">
        <f t="shared" si="26"/>
        <v>300000</v>
      </c>
      <c r="F199" s="5">
        <v>1000</v>
      </c>
      <c r="G199" s="6">
        <v>300</v>
      </c>
      <c r="H199" s="11" t="b">
        <f t="shared" si="27"/>
        <v>1</v>
      </c>
    </row>
    <row r="200" spans="2:8">
      <c r="B200" s="7" t="s">
        <v>100</v>
      </c>
      <c r="C200" s="4">
        <f t="shared" si="25"/>
        <v>58280000</v>
      </c>
      <c r="D200" s="4">
        <f t="shared" si="24"/>
        <v>58529999</v>
      </c>
      <c r="E200" s="4">
        <f t="shared" si="26"/>
        <v>250000</v>
      </c>
      <c r="F200" s="5">
        <v>1000</v>
      </c>
      <c r="G200" s="6">
        <v>250</v>
      </c>
      <c r="H200" s="11" t="b">
        <f t="shared" si="27"/>
        <v>1</v>
      </c>
    </row>
    <row r="201" spans="2:8">
      <c r="B201" s="7" t="s">
        <v>101</v>
      </c>
      <c r="C201" s="4">
        <f t="shared" si="25"/>
        <v>58530000</v>
      </c>
      <c r="D201" s="4">
        <f t="shared" si="24"/>
        <v>58779999</v>
      </c>
      <c r="E201" s="4">
        <f t="shared" si="26"/>
        <v>250000</v>
      </c>
      <c r="F201" s="5">
        <v>1000</v>
      </c>
      <c r="G201" s="6">
        <v>250</v>
      </c>
      <c r="H201" s="11" t="b">
        <f t="shared" si="27"/>
        <v>1</v>
      </c>
    </row>
    <row r="202" spans="2:8">
      <c r="B202" s="7" t="s">
        <v>102</v>
      </c>
      <c r="C202" s="4">
        <f t="shared" si="25"/>
        <v>58780000</v>
      </c>
      <c r="D202" s="4">
        <f t="shared" si="24"/>
        <v>59029999</v>
      </c>
      <c r="E202" s="4">
        <f t="shared" si="26"/>
        <v>250000</v>
      </c>
      <c r="F202" s="5">
        <v>1000</v>
      </c>
      <c r="G202" s="6">
        <v>250</v>
      </c>
      <c r="H202" s="11" t="b">
        <f t="shared" si="27"/>
        <v>1</v>
      </c>
    </row>
    <row r="203" spans="2:8">
      <c r="B203" s="7" t="s">
        <v>103</v>
      </c>
      <c r="C203" s="4">
        <f t="shared" si="25"/>
        <v>59030000</v>
      </c>
      <c r="D203" s="4">
        <f t="shared" si="24"/>
        <v>59279999</v>
      </c>
      <c r="E203" s="4">
        <f t="shared" si="26"/>
        <v>250000</v>
      </c>
      <c r="F203" s="5">
        <v>1000</v>
      </c>
      <c r="G203" s="6">
        <v>250</v>
      </c>
      <c r="H203" s="11" t="b">
        <f t="shared" si="27"/>
        <v>1</v>
      </c>
    </row>
    <row r="204" spans="2:8">
      <c r="B204" s="7" t="s">
        <v>104</v>
      </c>
      <c r="C204" s="4">
        <f t="shared" si="25"/>
        <v>59280000</v>
      </c>
      <c r="D204" s="4">
        <f t="shared" si="24"/>
        <v>59529999</v>
      </c>
      <c r="E204" s="4">
        <f t="shared" si="26"/>
        <v>250000</v>
      </c>
      <c r="F204" s="5">
        <v>1000</v>
      </c>
      <c r="G204" s="6">
        <v>250</v>
      </c>
      <c r="H204" s="11" t="b">
        <f t="shared" si="27"/>
        <v>1</v>
      </c>
    </row>
    <row r="205" spans="2:8">
      <c r="B205" s="7" t="s">
        <v>105</v>
      </c>
      <c r="C205" s="4">
        <f t="shared" si="25"/>
        <v>59530000</v>
      </c>
      <c r="D205" s="4">
        <f t="shared" ref="D205:D210" si="28">C205+E205-1</f>
        <v>59779999</v>
      </c>
      <c r="E205" s="4">
        <f t="shared" si="26"/>
        <v>250000</v>
      </c>
      <c r="F205" s="5">
        <v>1000</v>
      </c>
      <c r="G205" s="6">
        <v>250</v>
      </c>
      <c r="H205" s="11" t="b">
        <f t="shared" si="27"/>
        <v>1</v>
      </c>
    </row>
    <row r="206" spans="2:8">
      <c r="B206" s="7" t="s">
        <v>106</v>
      </c>
      <c r="C206" s="4">
        <f t="shared" ref="C206:C210" si="29">D205+1</f>
        <v>59780000</v>
      </c>
      <c r="D206" s="4">
        <f t="shared" si="28"/>
        <v>60029999</v>
      </c>
      <c r="E206" s="4">
        <f t="shared" si="26"/>
        <v>250000</v>
      </c>
      <c r="F206" s="5">
        <v>1000</v>
      </c>
      <c r="G206" s="6">
        <v>250</v>
      </c>
      <c r="H206" s="11" t="b">
        <f t="shared" si="27"/>
        <v>1</v>
      </c>
    </row>
    <row r="207" spans="2:8">
      <c r="B207" s="7" t="s">
        <v>107</v>
      </c>
      <c r="C207" s="4">
        <f t="shared" si="29"/>
        <v>60030000</v>
      </c>
      <c r="D207" s="4">
        <f t="shared" si="28"/>
        <v>60279999</v>
      </c>
      <c r="E207" s="4">
        <f t="shared" ref="E207:E210" si="30">G207*F207</f>
        <v>250000</v>
      </c>
      <c r="F207" s="5">
        <v>1000</v>
      </c>
      <c r="G207" s="6">
        <v>250</v>
      </c>
      <c r="H207" s="11" t="b">
        <f t="shared" si="27"/>
        <v>1</v>
      </c>
    </row>
    <row r="208" spans="2:8">
      <c r="B208" s="7" t="s">
        <v>108</v>
      </c>
      <c r="C208" s="4">
        <f t="shared" si="29"/>
        <v>60280000</v>
      </c>
      <c r="D208" s="4">
        <f t="shared" si="28"/>
        <v>60529999</v>
      </c>
      <c r="E208" s="4">
        <f t="shared" si="30"/>
        <v>250000</v>
      </c>
      <c r="F208" s="5">
        <v>1000</v>
      </c>
      <c r="G208" s="6">
        <v>250</v>
      </c>
      <c r="H208" s="11" t="b">
        <f t="shared" si="27"/>
        <v>1</v>
      </c>
    </row>
    <row r="209" spans="2:8">
      <c r="B209" s="7" t="s">
        <v>109</v>
      </c>
      <c r="C209" s="4">
        <f t="shared" si="29"/>
        <v>60530000</v>
      </c>
      <c r="D209" s="4">
        <f t="shared" si="28"/>
        <v>60779999</v>
      </c>
      <c r="E209" s="4">
        <f t="shared" si="30"/>
        <v>250000</v>
      </c>
      <c r="F209" s="5">
        <v>1000</v>
      </c>
      <c r="G209" s="6">
        <v>250</v>
      </c>
      <c r="H209" s="11" t="b">
        <f t="shared" si="27"/>
        <v>1</v>
      </c>
    </row>
    <row r="210" spans="2:8">
      <c r="B210" s="7" t="s">
        <v>110</v>
      </c>
      <c r="C210" s="4">
        <f t="shared" si="29"/>
        <v>60780000</v>
      </c>
      <c r="D210" s="4">
        <f t="shared" si="28"/>
        <v>61029999</v>
      </c>
      <c r="E210" s="4">
        <f t="shared" si="30"/>
        <v>250000</v>
      </c>
      <c r="F210" s="5">
        <v>1000</v>
      </c>
      <c r="G210" s="6">
        <v>250</v>
      </c>
      <c r="H210" s="11" t="b">
        <f t="shared" si="27"/>
        <v>1</v>
      </c>
    </row>
    <row r="211" spans="2:8">
      <c r="B211" s="7" t="s">
        <v>112</v>
      </c>
      <c r="C211" s="18">
        <v>70000000</v>
      </c>
      <c r="D211" s="4">
        <f t="shared" ref="D211:D224" si="31">C211+E211-1</f>
        <v>71499999</v>
      </c>
      <c r="E211" s="4">
        <f t="shared" ref="E211:E224" si="32">G211*F211</f>
        <v>1500000</v>
      </c>
      <c r="F211" s="5">
        <v>1000</v>
      </c>
      <c r="G211" s="6">
        <v>1500</v>
      </c>
      <c r="H211" s="11" t="b">
        <f t="shared" si="27"/>
        <v>1</v>
      </c>
    </row>
    <row r="212" spans="2:8">
      <c r="B212" s="11" t="s">
        <v>35</v>
      </c>
      <c r="C212" s="4">
        <f t="shared" ref="C212" si="33">D211+1</f>
        <v>71500000</v>
      </c>
      <c r="D212" s="4">
        <f t="shared" si="31"/>
        <v>72499999</v>
      </c>
      <c r="E212" s="4">
        <f t="shared" si="32"/>
        <v>1000000</v>
      </c>
      <c r="F212" s="5">
        <v>1000</v>
      </c>
      <c r="G212" s="6">
        <v>1000</v>
      </c>
      <c r="H212" s="11" t="b">
        <f t="shared" si="27"/>
        <v>1</v>
      </c>
    </row>
    <row r="213" spans="2:8">
      <c r="B213" s="11" t="s">
        <v>130</v>
      </c>
      <c r="C213" s="18">
        <v>75000000</v>
      </c>
      <c r="D213" s="4">
        <f t="shared" si="31"/>
        <v>75059999</v>
      </c>
      <c r="E213" s="4">
        <f t="shared" si="32"/>
        <v>60000</v>
      </c>
      <c r="F213" s="5">
        <v>1000</v>
      </c>
      <c r="G213" s="16">
        <v>60</v>
      </c>
      <c r="H213" s="11" t="b">
        <f t="shared" si="27"/>
        <v>1</v>
      </c>
    </row>
    <row r="214" spans="2:8">
      <c r="B214" s="11" t="s">
        <v>129</v>
      </c>
      <c r="C214" s="18">
        <v>80000000</v>
      </c>
      <c r="D214" s="4">
        <f t="shared" si="31"/>
        <v>80099999</v>
      </c>
      <c r="E214" s="4">
        <f t="shared" si="32"/>
        <v>100000</v>
      </c>
      <c r="F214" s="5">
        <v>100</v>
      </c>
      <c r="G214" s="6">
        <v>1000</v>
      </c>
      <c r="H214" s="11" t="b">
        <f t="shared" si="27"/>
        <v>1</v>
      </c>
    </row>
    <row r="215" spans="2:8">
      <c r="B215" s="14" t="s">
        <v>161</v>
      </c>
      <c r="C215" s="18">
        <v>81000000</v>
      </c>
      <c r="D215" s="4">
        <f t="shared" si="31"/>
        <v>81999999</v>
      </c>
      <c r="E215" s="4">
        <f t="shared" si="32"/>
        <v>1000000</v>
      </c>
      <c r="F215" s="5">
        <v>1000</v>
      </c>
      <c r="G215" s="6">
        <v>1000</v>
      </c>
      <c r="H215" s="11" t="b">
        <f t="shared" si="27"/>
        <v>1</v>
      </c>
    </row>
    <row r="216" spans="2:8">
      <c r="B216" s="14" t="s">
        <v>162</v>
      </c>
      <c r="C216" s="4">
        <f t="shared" ref="C216:C224" si="34">D215+1</f>
        <v>82000000</v>
      </c>
      <c r="D216" s="4">
        <f t="shared" si="31"/>
        <v>82999999</v>
      </c>
      <c r="E216" s="4">
        <f t="shared" si="32"/>
        <v>1000000</v>
      </c>
      <c r="F216" s="5">
        <v>1000</v>
      </c>
      <c r="G216" s="6">
        <v>1000</v>
      </c>
      <c r="H216" s="11" t="b">
        <f t="shared" si="27"/>
        <v>1</v>
      </c>
    </row>
    <row r="217" spans="2:8">
      <c r="B217" s="14" t="s">
        <v>163</v>
      </c>
      <c r="C217" s="4">
        <f t="shared" si="34"/>
        <v>83000000</v>
      </c>
      <c r="D217" s="4">
        <f t="shared" si="31"/>
        <v>83999999</v>
      </c>
      <c r="E217" s="4">
        <f t="shared" si="32"/>
        <v>1000000</v>
      </c>
      <c r="F217" s="5">
        <v>1000</v>
      </c>
      <c r="G217" s="6">
        <v>1000</v>
      </c>
      <c r="H217" s="11" t="b">
        <f t="shared" ref="H217:H224" si="35">C218&gt;D217</f>
        <v>1</v>
      </c>
    </row>
    <row r="218" spans="2:8">
      <c r="B218" s="14" t="s">
        <v>164</v>
      </c>
      <c r="C218" s="4">
        <f t="shared" si="34"/>
        <v>84000000</v>
      </c>
      <c r="D218" s="4">
        <f t="shared" si="31"/>
        <v>84999999</v>
      </c>
      <c r="E218" s="4">
        <f t="shared" si="32"/>
        <v>1000000</v>
      </c>
      <c r="F218" s="5">
        <v>1000</v>
      </c>
      <c r="G218" s="6">
        <v>1000</v>
      </c>
      <c r="H218" s="11" t="b">
        <f t="shared" si="35"/>
        <v>1</v>
      </c>
    </row>
    <row r="219" spans="2:8">
      <c r="B219" s="14" t="s">
        <v>165</v>
      </c>
      <c r="C219" s="4">
        <f t="shared" ref="C219:C223" si="36">D218+1</f>
        <v>85000000</v>
      </c>
      <c r="D219" s="4">
        <f t="shared" ref="D219" si="37">C219+E219-1</f>
        <v>85999999</v>
      </c>
      <c r="E219" s="4">
        <f t="shared" ref="E219" si="38">G219*F219</f>
        <v>1000000</v>
      </c>
      <c r="F219" s="5">
        <v>1000</v>
      </c>
      <c r="G219" s="6">
        <v>1000</v>
      </c>
      <c r="H219" s="11" t="b">
        <f t="shared" si="35"/>
        <v>1</v>
      </c>
    </row>
    <row r="220" spans="2:8">
      <c r="B220" s="11" t="s">
        <v>166</v>
      </c>
      <c r="C220" s="4">
        <f t="shared" si="34"/>
        <v>86000000</v>
      </c>
      <c r="D220" s="4">
        <f t="shared" si="31"/>
        <v>86099999</v>
      </c>
      <c r="E220" s="4">
        <f t="shared" si="32"/>
        <v>100000</v>
      </c>
      <c r="F220" s="5">
        <v>1000</v>
      </c>
      <c r="G220" s="6">
        <v>100</v>
      </c>
      <c r="H220" s="11" t="b">
        <f t="shared" si="35"/>
        <v>1</v>
      </c>
    </row>
    <row r="221" spans="2:8">
      <c r="B221" s="11" t="s">
        <v>167</v>
      </c>
      <c r="C221" s="4">
        <f t="shared" si="36"/>
        <v>86100000</v>
      </c>
      <c r="D221" s="4">
        <f t="shared" si="31"/>
        <v>86109999</v>
      </c>
      <c r="E221" s="4">
        <f t="shared" si="32"/>
        <v>10000</v>
      </c>
      <c r="F221" s="5">
        <v>1000</v>
      </c>
      <c r="G221" s="6">
        <v>10</v>
      </c>
      <c r="H221" s="11" t="b">
        <f t="shared" si="35"/>
        <v>1</v>
      </c>
    </row>
    <row r="222" spans="2:8">
      <c r="B222" s="11" t="s">
        <v>168</v>
      </c>
      <c r="C222" s="4">
        <f t="shared" si="34"/>
        <v>86110000</v>
      </c>
      <c r="D222" s="4">
        <f t="shared" si="31"/>
        <v>86119999</v>
      </c>
      <c r="E222" s="4">
        <f t="shared" si="32"/>
        <v>10000</v>
      </c>
      <c r="F222" s="5">
        <v>1000</v>
      </c>
      <c r="G222" s="6">
        <v>10</v>
      </c>
      <c r="H222" s="11" t="b">
        <f t="shared" si="35"/>
        <v>1</v>
      </c>
    </row>
    <row r="223" spans="2:8">
      <c r="B223" s="11" t="s">
        <v>169</v>
      </c>
      <c r="C223" s="4">
        <f t="shared" si="36"/>
        <v>86120000</v>
      </c>
      <c r="D223" s="4">
        <f t="shared" si="31"/>
        <v>86129999</v>
      </c>
      <c r="E223" s="4">
        <f t="shared" si="32"/>
        <v>10000</v>
      </c>
      <c r="F223" s="5">
        <v>1000</v>
      </c>
      <c r="G223" s="6">
        <v>10</v>
      </c>
      <c r="H223" s="11" t="b">
        <f t="shared" si="35"/>
        <v>1</v>
      </c>
    </row>
    <row r="224" spans="2:8">
      <c r="B224" s="11" t="s">
        <v>170</v>
      </c>
      <c r="C224" s="4">
        <f t="shared" si="34"/>
        <v>86130000</v>
      </c>
      <c r="D224" s="4">
        <f t="shared" si="31"/>
        <v>86139999</v>
      </c>
      <c r="E224" s="4">
        <f t="shared" si="32"/>
        <v>10000</v>
      </c>
      <c r="F224" s="5">
        <v>1000</v>
      </c>
      <c r="G224" s="6">
        <v>10</v>
      </c>
      <c r="H224" s="11" t="b">
        <f t="shared" si="35"/>
        <v>0</v>
      </c>
    </row>
  </sheetData>
  <autoFilter ref="A3:H224"/>
  <phoneticPr fontId="37" type="noConversion"/>
  <conditionalFormatting sqref="B116">
    <cfRule type="duplicateValues" dxfId="320" priority="390"/>
    <cfRule type="containsText" dxfId="319" priority="391" operator="containsText" text="_sa">
      <formula>NOT(ISERROR(SEARCH("_sa",B116)))</formula>
    </cfRule>
    <cfRule type="containsText" dxfId="318" priority="392" operator="containsText" text="Flow_CPM">
      <formula>NOT(ISERROR(SEARCH("Flow_CPM",B116)))</formula>
    </cfRule>
    <cfRule type="containsText" dxfId="317" priority="393" operator="containsText" text="Flow_T0TX_PreCall">
      <formula>NOT(ISERROR(SEARCH("Flow_T0TX_PreCall",B116)))</formula>
    </cfRule>
    <cfRule type="containsText" dxfId="316" priority="394" operator="containsText" text="evs">
      <formula>NOT(ISERROR(SEARCH("evs",B116)))</formula>
    </cfRule>
    <cfRule type="containsText" dxfId="315" priority="395" operator="containsText" text="flow_dc">
      <formula>NOT(ISERROR(SEARCH("flow_dc",B116)))</formula>
    </cfRule>
    <cfRule type="containsText" dxfId="314" priority="396" operator="containsText" text="vddb">
      <formula>NOT(ISERROR(SEARCH("vddb",B116)))</formula>
    </cfRule>
    <cfRule type="containsText" dxfId="313" priority="397" operator="containsText" text="bincut">
      <formula>NOT(ISERROR(SEARCH("bincut",B116)))</formula>
    </cfRule>
    <cfRule type="containsText" dxfId="312" priority="398" operator="containsText" text="_bi">
      <formula>NOT(ISERROR(SEARCH("_bi",B116)))</formula>
    </cfRule>
    <cfRule type="containsText" dxfId="311" priority="399" operator="containsText" text="fuse">
      <formula>NOT(ISERROR(SEARCH("fuse",B116)))</formula>
    </cfRule>
    <cfRule type="containsText" dxfId="310" priority="400" operator="containsText" text="chain">
      <formula>NOT(ISERROR(SEARCH("chain",B116)))</formula>
    </cfRule>
    <cfRule type="containsText" dxfId="309" priority="401" operator="containsText" text="chain">
      <formula>NOT(ISERROR(SEARCH("chain",B116)))</formula>
    </cfRule>
    <cfRule type="containsText" dxfId="308" priority="402" operator="containsText" text="_td">
      <formula>NOT(ISERROR(SEARCH("_td",B116)))</formula>
    </cfRule>
    <cfRule type="containsText" dxfId="307" priority="403" operator="containsText" text="saa">
      <formula>NOT(ISERROR(SEARCH("saa",B116)))</formula>
    </cfRule>
    <cfRule type="containsText" dxfId="306" priority="404" operator="containsText" text="hardip">
      <formula>NOT(ISERROR(SEARCH("hardip",B116)))</formula>
    </cfRule>
    <cfRule type="containsText" priority="405" operator="containsText" text="Hard">
      <formula>NOT(ISERROR(SEARCH("Hard",B116)))</formula>
    </cfRule>
  </conditionalFormatting>
  <conditionalFormatting sqref="B129:B140">
    <cfRule type="duplicateValues" dxfId="305" priority="358"/>
    <cfRule type="containsText" dxfId="304" priority="359" operator="containsText" text="_sa">
      <formula>NOT(ISERROR(SEARCH("_sa",B129)))</formula>
    </cfRule>
    <cfRule type="containsText" dxfId="303" priority="360" operator="containsText" text="Flow_CPM">
      <formula>NOT(ISERROR(SEARCH("Flow_CPM",B129)))</formula>
    </cfRule>
    <cfRule type="containsText" dxfId="302" priority="361" operator="containsText" text="Flow_T0TX_PreCall">
      <formula>NOT(ISERROR(SEARCH("Flow_T0TX_PreCall",B129)))</formula>
    </cfRule>
    <cfRule type="containsText" dxfId="301" priority="362" operator="containsText" text="evs">
      <formula>NOT(ISERROR(SEARCH("evs",B129)))</formula>
    </cfRule>
    <cfRule type="containsText" dxfId="300" priority="363" operator="containsText" text="flow_dc">
      <formula>NOT(ISERROR(SEARCH("flow_dc",B129)))</formula>
    </cfRule>
    <cfRule type="containsText" dxfId="299" priority="364" operator="containsText" text="vddb">
      <formula>NOT(ISERROR(SEARCH("vddb",B129)))</formula>
    </cfRule>
    <cfRule type="containsText" dxfId="298" priority="365" operator="containsText" text="bincut">
      <formula>NOT(ISERROR(SEARCH("bincut",B129)))</formula>
    </cfRule>
    <cfRule type="containsText" dxfId="297" priority="366" operator="containsText" text="_bi">
      <formula>NOT(ISERROR(SEARCH("_bi",B129)))</formula>
    </cfRule>
    <cfRule type="containsText" dxfId="296" priority="367" operator="containsText" text="fuse">
      <formula>NOT(ISERROR(SEARCH("fuse",B129)))</formula>
    </cfRule>
    <cfRule type="containsText" dxfId="295" priority="368" operator="containsText" text="chain">
      <formula>NOT(ISERROR(SEARCH("chain",B129)))</formula>
    </cfRule>
    <cfRule type="containsText" dxfId="294" priority="369" operator="containsText" text="chain">
      <formula>NOT(ISERROR(SEARCH("chain",B129)))</formula>
    </cfRule>
    <cfRule type="containsText" dxfId="293" priority="370" operator="containsText" text="_td">
      <formula>NOT(ISERROR(SEARCH("_td",B129)))</formula>
    </cfRule>
    <cfRule type="containsText" dxfId="292" priority="371" operator="containsText" text="saa">
      <formula>NOT(ISERROR(SEARCH("saa",B129)))</formula>
    </cfRule>
    <cfRule type="containsText" dxfId="291" priority="372" operator="containsText" text="hardip">
      <formula>NOT(ISERROR(SEARCH("hardip",B129)))</formula>
    </cfRule>
    <cfRule type="containsText" priority="373" operator="containsText" text="Hard">
      <formula>NOT(ISERROR(SEARCH("Hard",B129)))</formula>
    </cfRule>
  </conditionalFormatting>
  <conditionalFormatting sqref="H1:H2 H4:H54 H82:H116 H129:H1048576 H64:H80">
    <cfRule type="containsText" dxfId="290" priority="357" operator="containsText" text="false">
      <formula>NOT(ISERROR(SEARCH("false",H1)))</formula>
    </cfRule>
  </conditionalFormatting>
  <conditionalFormatting sqref="B4">
    <cfRule type="duplicateValues" dxfId="289" priority="341"/>
    <cfRule type="containsText" dxfId="288" priority="342" operator="containsText" text="_sa">
      <formula>NOT(ISERROR(SEARCH("_sa",B4)))</formula>
    </cfRule>
    <cfRule type="containsText" dxfId="287" priority="343" operator="containsText" text="Flow_CPM">
      <formula>NOT(ISERROR(SEARCH("Flow_CPM",B4)))</formula>
    </cfRule>
    <cfRule type="containsText" dxfId="286" priority="344" operator="containsText" text="Flow_T0TX_PreCall">
      <formula>NOT(ISERROR(SEARCH("Flow_T0TX_PreCall",B4)))</formula>
    </cfRule>
    <cfRule type="containsText" dxfId="285" priority="345" operator="containsText" text="evs">
      <formula>NOT(ISERROR(SEARCH("evs",B4)))</formula>
    </cfRule>
    <cfRule type="containsText" dxfId="284" priority="346" operator="containsText" text="flow_dc">
      <formula>NOT(ISERROR(SEARCH("flow_dc",B4)))</formula>
    </cfRule>
    <cfRule type="containsText" dxfId="283" priority="347" operator="containsText" text="vddb">
      <formula>NOT(ISERROR(SEARCH("vddb",B4)))</formula>
    </cfRule>
    <cfRule type="containsText" dxfId="282" priority="348" operator="containsText" text="bincut">
      <formula>NOT(ISERROR(SEARCH("bincut",B4)))</formula>
    </cfRule>
    <cfRule type="containsText" dxfId="281" priority="349" operator="containsText" text="_bi">
      <formula>NOT(ISERROR(SEARCH("_bi",B4)))</formula>
    </cfRule>
    <cfRule type="containsText" dxfId="280" priority="350" operator="containsText" text="fuse">
      <formula>NOT(ISERROR(SEARCH("fuse",B4)))</formula>
    </cfRule>
    <cfRule type="containsText" dxfId="279" priority="351" operator="containsText" text="chain">
      <formula>NOT(ISERROR(SEARCH("chain",B4)))</formula>
    </cfRule>
    <cfRule type="containsText" dxfId="278" priority="352" operator="containsText" text="chain">
      <formula>NOT(ISERROR(SEARCH("chain",B4)))</formula>
    </cfRule>
    <cfRule type="containsText" dxfId="277" priority="353" operator="containsText" text="_td">
      <formula>NOT(ISERROR(SEARCH("_td",B4)))</formula>
    </cfRule>
    <cfRule type="containsText" dxfId="276" priority="354" operator="containsText" text="saa">
      <formula>NOT(ISERROR(SEARCH("saa",B4)))</formula>
    </cfRule>
    <cfRule type="containsText" dxfId="275" priority="355" operator="containsText" text="hardip">
      <formula>NOT(ISERROR(SEARCH("hardip",B4)))</formula>
    </cfRule>
    <cfRule type="containsText" priority="356" operator="containsText" text="Hard">
      <formula>NOT(ISERROR(SEARCH("Hard",B4)))</formula>
    </cfRule>
  </conditionalFormatting>
  <conditionalFormatting sqref="B214">
    <cfRule type="duplicateValues" dxfId="274" priority="307"/>
    <cfRule type="containsText" dxfId="273" priority="308" operator="containsText" text="_sa">
      <formula>NOT(ISERROR(SEARCH("_sa",B214)))</formula>
    </cfRule>
    <cfRule type="containsText" dxfId="272" priority="309" operator="containsText" text="Flow_CPM">
      <formula>NOT(ISERROR(SEARCH("Flow_CPM",B214)))</formula>
    </cfRule>
    <cfRule type="containsText" dxfId="271" priority="310" operator="containsText" text="Flow_T0TX_PreCall">
      <formula>NOT(ISERROR(SEARCH("Flow_T0TX_PreCall",B214)))</formula>
    </cfRule>
    <cfRule type="containsText" dxfId="270" priority="311" operator="containsText" text="evs">
      <formula>NOT(ISERROR(SEARCH("evs",B214)))</formula>
    </cfRule>
    <cfRule type="containsText" dxfId="269" priority="312" operator="containsText" text="flow_dc">
      <formula>NOT(ISERROR(SEARCH("flow_dc",B214)))</formula>
    </cfRule>
    <cfRule type="containsText" dxfId="268" priority="313" operator="containsText" text="vddb">
      <formula>NOT(ISERROR(SEARCH("vddb",B214)))</formula>
    </cfRule>
    <cfRule type="containsText" dxfId="267" priority="314" operator="containsText" text="bincut">
      <formula>NOT(ISERROR(SEARCH("bincut",B214)))</formula>
    </cfRule>
    <cfRule type="containsText" dxfId="266" priority="315" operator="containsText" text="_bi">
      <formula>NOT(ISERROR(SEARCH("_bi",B214)))</formula>
    </cfRule>
    <cfRule type="containsText" dxfId="265" priority="316" operator="containsText" text="fuse">
      <formula>NOT(ISERROR(SEARCH("fuse",B214)))</formula>
    </cfRule>
    <cfRule type="containsText" dxfId="264" priority="317" operator="containsText" text="chain">
      <formula>NOT(ISERROR(SEARCH("chain",B214)))</formula>
    </cfRule>
    <cfRule type="containsText" dxfId="263" priority="318" operator="containsText" text="chain">
      <formula>NOT(ISERROR(SEARCH("chain",B214)))</formula>
    </cfRule>
    <cfRule type="containsText" dxfId="262" priority="319" operator="containsText" text="_td">
      <formula>NOT(ISERROR(SEARCH("_td",B214)))</formula>
    </cfRule>
    <cfRule type="containsText" dxfId="261" priority="320" operator="containsText" text="saa">
      <formula>NOT(ISERROR(SEARCH("saa",B214)))</formula>
    </cfRule>
    <cfRule type="containsText" dxfId="260" priority="321" operator="containsText" text="hardip">
      <formula>NOT(ISERROR(SEARCH("hardip",B214)))</formula>
    </cfRule>
    <cfRule type="containsText" priority="322" operator="containsText" text="Hard">
      <formula>NOT(ISERROR(SEARCH("Hard",B214)))</formula>
    </cfRule>
  </conditionalFormatting>
  <conditionalFormatting sqref="B6">
    <cfRule type="duplicateValues" dxfId="259" priority="274"/>
    <cfRule type="containsText" dxfId="258" priority="275" operator="containsText" text="_sa">
      <formula>NOT(ISERROR(SEARCH("_sa",B6)))</formula>
    </cfRule>
    <cfRule type="containsText" dxfId="257" priority="276" operator="containsText" text="Flow_CPM">
      <formula>NOT(ISERROR(SEARCH("Flow_CPM",B6)))</formula>
    </cfRule>
    <cfRule type="containsText" dxfId="256" priority="277" operator="containsText" text="Flow_T0TX_PreCall">
      <formula>NOT(ISERROR(SEARCH("Flow_T0TX_PreCall",B6)))</formula>
    </cfRule>
    <cfRule type="containsText" dxfId="255" priority="278" operator="containsText" text="evs">
      <formula>NOT(ISERROR(SEARCH("evs",B6)))</formula>
    </cfRule>
    <cfRule type="containsText" dxfId="254" priority="279" operator="containsText" text="flow_dc">
      <formula>NOT(ISERROR(SEARCH("flow_dc",B6)))</formula>
    </cfRule>
    <cfRule type="containsText" dxfId="253" priority="280" operator="containsText" text="vddb">
      <formula>NOT(ISERROR(SEARCH("vddb",B6)))</formula>
    </cfRule>
    <cfRule type="containsText" dxfId="252" priority="281" operator="containsText" text="bincut">
      <formula>NOT(ISERROR(SEARCH("bincut",B6)))</formula>
    </cfRule>
    <cfRule type="containsText" dxfId="251" priority="282" operator="containsText" text="_bi">
      <formula>NOT(ISERROR(SEARCH("_bi",B6)))</formula>
    </cfRule>
    <cfRule type="containsText" dxfId="250" priority="283" operator="containsText" text="fuse">
      <formula>NOT(ISERROR(SEARCH("fuse",B6)))</formula>
    </cfRule>
    <cfRule type="containsText" dxfId="249" priority="284" operator="containsText" text="chain">
      <formula>NOT(ISERROR(SEARCH("chain",B6)))</formula>
    </cfRule>
    <cfRule type="containsText" dxfId="248" priority="285" operator="containsText" text="chain">
      <formula>NOT(ISERROR(SEARCH("chain",B6)))</formula>
    </cfRule>
    <cfRule type="containsText" dxfId="247" priority="286" operator="containsText" text="_td">
      <formula>NOT(ISERROR(SEARCH("_td",B6)))</formula>
    </cfRule>
    <cfRule type="containsText" dxfId="246" priority="287" operator="containsText" text="saa">
      <formula>NOT(ISERROR(SEARCH("saa",B6)))</formula>
    </cfRule>
    <cfRule type="containsText" dxfId="245" priority="288" operator="containsText" text="hardip">
      <formula>NOT(ISERROR(SEARCH("hardip",B6)))</formula>
    </cfRule>
    <cfRule type="containsText" priority="289" operator="containsText" text="Hard">
      <formula>NOT(ISERROR(SEARCH("Hard",B6)))</formula>
    </cfRule>
  </conditionalFormatting>
  <conditionalFormatting sqref="B66">
    <cfRule type="duplicateValues" dxfId="244" priority="257"/>
    <cfRule type="containsText" dxfId="243" priority="258" operator="containsText" text="_sa">
      <formula>NOT(ISERROR(SEARCH("_sa",B66)))</formula>
    </cfRule>
    <cfRule type="containsText" dxfId="242" priority="259" operator="containsText" text="Flow_CPM">
      <formula>NOT(ISERROR(SEARCH("Flow_CPM",B66)))</formula>
    </cfRule>
    <cfRule type="containsText" dxfId="241" priority="260" operator="containsText" text="Flow_T0TX_PreCall">
      <formula>NOT(ISERROR(SEARCH("Flow_T0TX_PreCall",B66)))</formula>
    </cfRule>
    <cfRule type="containsText" dxfId="240" priority="261" operator="containsText" text="evs">
      <formula>NOT(ISERROR(SEARCH("evs",B66)))</formula>
    </cfRule>
    <cfRule type="containsText" dxfId="239" priority="262" operator="containsText" text="flow_dc">
      <formula>NOT(ISERROR(SEARCH("flow_dc",B66)))</formula>
    </cfRule>
    <cfRule type="containsText" dxfId="238" priority="263" operator="containsText" text="vddb">
      <formula>NOT(ISERROR(SEARCH("vddb",B66)))</formula>
    </cfRule>
    <cfRule type="containsText" dxfId="237" priority="264" operator="containsText" text="bincut">
      <formula>NOT(ISERROR(SEARCH("bincut",B66)))</formula>
    </cfRule>
    <cfRule type="containsText" dxfId="236" priority="265" operator="containsText" text="_bi">
      <formula>NOT(ISERROR(SEARCH("_bi",B66)))</formula>
    </cfRule>
    <cfRule type="containsText" dxfId="235" priority="266" operator="containsText" text="fuse">
      <formula>NOT(ISERROR(SEARCH("fuse",B66)))</formula>
    </cfRule>
    <cfRule type="containsText" dxfId="234" priority="267" operator="containsText" text="chain">
      <formula>NOT(ISERROR(SEARCH("chain",B66)))</formula>
    </cfRule>
    <cfRule type="containsText" dxfId="233" priority="268" operator="containsText" text="chain">
      <formula>NOT(ISERROR(SEARCH("chain",B66)))</formula>
    </cfRule>
    <cfRule type="containsText" dxfId="232" priority="269" operator="containsText" text="_td">
      <formula>NOT(ISERROR(SEARCH("_td",B66)))</formula>
    </cfRule>
    <cfRule type="containsText" dxfId="231" priority="270" operator="containsText" text="saa">
      <formula>NOT(ISERROR(SEARCH("saa",B66)))</formula>
    </cfRule>
    <cfRule type="containsText" dxfId="230" priority="271" operator="containsText" text="hardip">
      <formula>NOT(ISERROR(SEARCH("hardip",B66)))</formula>
    </cfRule>
    <cfRule type="containsText" priority="272" operator="containsText" text="Hard">
      <formula>NOT(ISERROR(SEARCH("Hard",B66)))</formula>
    </cfRule>
  </conditionalFormatting>
  <conditionalFormatting sqref="B215:B218">
    <cfRule type="duplicateValues" dxfId="229" priority="239"/>
    <cfRule type="containsText" dxfId="228" priority="240" operator="containsText" text="_sa">
      <formula>NOT(ISERROR(SEARCH("_sa",B215)))</formula>
    </cfRule>
    <cfRule type="containsText" dxfId="227" priority="241" operator="containsText" text="Flow_CPM">
      <formula>NOT(ISERROR(SEARCH("Flow_CPM",B215)))</formula>
    </cfRule>
    <cfRule type="containsText" dxfId="226" priority="242" operator="containsText" text="Flow_T0TX_PreCall">
      <formula>NOT(ISERROR(SEARCH("Flow_T0TX_PreCall",B215)))</formula>
    </cfRule>
    <cfRule type="containsText" dxfId="225" priority="243" operator="containsText" text="evs">
      <formula>NOT(ISERROR(SEARCH("evs",B215)))</formula>
    </cfRule>
    <cfRule type="containsText" dxfId="224" priority="244" operator="containsText" text="flow_dc">
      <formula>NOT(ISERROR(SEARCH("flow_dc",B215)))</formula>
    </cfRule>
    <cfRule type="containsText" dxfId="223" priority="245" operator="containsText" text="vddb">
      <formula>NOT(ISERROR(SEARCH("vddb",B215)))</formula>
    </cfRule>
    <cfRule type="containsText" dxfId="222" priority="246" operator="containsText" text="bincut">
      <formula>NOT(ISERROR(SEARCH("bincut",B215)))</formula>
    </cfRule>
    <cfRule type="containsText" dxfId="221" priority="247" operator="containsText" text="_bi">
      <formula>NOT(ISERROR(SEARCH("_bi",B215)))</formula>
    </cfRule>
    <cfRule type="containsText" dxfId="220" priority="248" operator="containsText" text="fuse">
      <formula>NOT(ISERROR(SEARCH("fuse",B215)))</formula>
    </cfRule>
    <cfRule type="containsText" dxfId="219" priority="249" operator="containsText" text="chain">
      <formula>NOT(ISERROR(SEARCH("chain",B215)))</formula>
    </cfRule>
    <cfRule type="containsText" dxfId="218" priority="250" operator="containsText" text="chain">
      <formula>NOT(ISERROR(SEARCH("chain",B215)))</formula>
    </cfRule>
    <cfRule type="containsText" dxfId="217" priority="251" operator="containsText" text="_td">
      <formula>NOT(ISERROR(SEARCH("_td",B215)))</formula>
    </cfRule>
    <cfRule type="containsText" dxfId="216" priority="252" operator="containsText" text="saa">
      <formula>NOT(ISERROR(SEARCH("saa",B215)))</formula>
    </cfRule>
    <cfRule type="containsText" dxfId="215" priority="253" operator="containsText" text="hardip">
      <formula>NOT(ISERROR(SEARCH("hardip",B215)))</formula>
    </cfRule>
    <cfRule type="containsText" priority="254" operator="containsText" text="Hard">
      <formula>NOT(ISERROR(SEARCH("Hard",B215)))</formula>
    </cfRule>
  </conditionalFormatting>
  <conditionalFormatting sqref="B219">
    <cfRule type="duplicateValues" dxfId="214" priority="222"/>
    <cfRule type="containsText" dxfId="213" priority="223" operator="containsText" text="_sa">
      <formula>NOT(ISERROR(SEARCH("_sa",B219)))</formula>
    </cfRule>
    <cfRule type="containsText" dxfId="212" priority="224" operator="containsText" text="Flow_CPM">
      <formula>NOT(ISERROR(SEARCH("Flow_CPM",B219)))</formula>
    </cfRule>
    <cfRule type="containsText" dxfId="211" priority="225" operator="containsText" text="Flow_T0TX_PreCall">
      <formula>NOT(ISERROR(SEARCH("Flow_T0TX_PreCall",B219)))</formula>
    </cfRule>
    <cfRule type="containsText" dxfId="210" priority="226" operator="containsText" text="evs">
      <formula>NOT(ISERROR(SEARCH("evs",B219)))</formula>
    </cfRule>
    <cfRule type="containsText" dxfId="209" priority="227" operator="containsText" text="flow_dc">
      <formula>NOT(ISERROR(SEARCH("flow_dc",B219)))</formula>
    </cfRule>
    <cfRule type="containsText" dxfId="208" priority="228" operator="containsText" text="vddb">
      <formula>NOT(ISERROR(SEARCH("vddb",B219)))</formula>
    </cfRule>
    <cfRule type="containsText" dxfId="207" priority="229" operator="containsText" text="bincut">
      <formula>NOT(ISERROR(SEARCH("bincut",B219)))</formula>
    </cfRule>
    <cfRule type="containsText" dxfId="206" priority="230" operator="containsText" text="_bi">
      <formula>NOT(ISERROR(SEARCH("_bi",B219)))</formula>
    </cfRule>
    <cfRule type="containsText" dxfId="205" priority="231" operator="containsText" text="fuse">
      <formula>NOT(ISERROR(SEARCH("fuse",B219)))</formula>
    </cfRule>
    <cfRule type="containsText" dxfId="204" priority="232" operator="containsText" text="chain">
      <formula>NOT(ISERROR(SEARCH("chain",B219)))</formula>
    </cfRule>
    <cfRule type="containsText" dxfId="203" priority="233" operator="containsText" text="chain">
      <formula>NOT(ISERROR(SEARCH("chain",B219)))</formula>
    </cfRule>
    <cfRule type="containsText" dxfId="202" priority="234" operator="containsText" text="_td">
      <formula>NOT(ISERROR(SEARCH("_td",B219)))</formula>
    </cfRule>
    <cfRule type="containsText" dxfId="201" priority="235" operator="containsText" text="saa">
      <formula>NOT(ISERROR(SEARCH("saa",B219)))</formula>
    </cfRule>
    <cfRule type="containsText" dxfId="200" priority="236" operator="containsText" text="hardip">
      <formula>NOT(ISERROR(SEARCH("hardip",B219)))</formula>
    </cfRule>
    <cfRule type="containsText" priority="237" operator="containsText" text="Hard">
      <formula>NOT(ISERROR(SEARCH("Hard",B219)))</formula>
    </cfRule>
  </conditionalFormatting>
  <conditionalFormatting sqref="B141:B154">
    <cfRule type="duplicateValues" dxfId="199" priority="671"/>
    <cfRule type="containsText" dxfId="198" priority="672" operator="containsText" text="_sa">
      <formula>NOT(ISERROR(SEARCH("_sa",B141)))</formula>
    </cfRule>
    <cfRule type="containsText" dxfId="197" priority="673" operator="containsText" text="Flow_CPM">
      <formula>NOT(ISERROR(SEARCH("Flow_CPM",B141)))</formula>
    </cfRule>
    <cfRule type="containsText" dxfId="196" priority="674" operator="containsText" text="Flow_T0TX_PreCall">
      <formula>NOT(ISERROR(SEARCH("Flow_T0TX_PreCall",B141)))</formula>
    </cfRule>
    <cfRule type="containsText" dxfId="195" priority="675" operator="containsText" text="evs">
      <formula>NOT(ISERROR(SEARCH("evs",B141)))</formula>
    </cfRule>
    <cfRule type="containsText" dxfId="194" priority="676" operator="containsText" text="flow_dc">
      <formula>NOT(ISERROR(SEARCH("flow_dc",B141)))</formula>
    </cfRule>
    <cfRule type="containsText" dxfId="193" priority="677" operator="containsText" text="vddb">
      <formula>NOT(ISERROR(SEARCH("vddb",B141)))</formula>
    </cfRule>
    <cfRule type="containsText" dxfId="192" priority="678" operator="containsText" text="bincut">
      <formula>NOT(ISERROR(SEARCH("bincut",B141)))</formula>
    </cfRule>
    <cfRule type="containsText" dxfId="191" priority="679" operator="containsText" text="_bi">
      <formula>NOT(ISERROR(SEARCH("_bi",B141)))</formula>
    </cfRule>
    <cfRule type="containsText" dxfId="190" priority="680" operator="containsText" text="fuse">
      <formula>NOT(ISERROR(SEARCH("fuse",B141)))</formula>
    </cfRule>
    <cfRule type="containsText" dxfId="189" priority="681" operator="containsText" text="chain">
      <formula>NOT(ISERROR(SEARCH("chain",B141)))</formula>
    </cfRule>
    <cfRule type="containsText" dxfId="188" priority="682" operator="containsText" text="chain">
      <formula>NOT(ISERROR(SEARCH("chain",B141)))</formula>
    </cfRule>
    <cfRule type="containsText" dxfId="187" priority="683" operator="containsText" text="_td">
      <formula>NOT(ISERROR(SEARCH("_td",B141)))</formula>
    </cfRule>
    <cfRule type="containsText" dxfId="186" priority="684" operator="containsText" text="saa">
      <formula>NOT(ISERROR(SEARCH("saa",B141)))</formula>
    </cfRule>
    <cfRule type="containsText" dxfId="185" priority="685" operator="containsText" text="hardip">
      <formula>NOT(ISERROR(SEARCH("hardip",B141)))</formula>
    </cfRule>
    <cfRule type="containsText" priority="686" operator="containsText" text="Hard">
      <formula>NOT(ISERROR(SEARCH("Hard",B141)))</formula>
    </cfRule>
  </conditionalFormatting>
  <conditionalFormatting sqref="B177">
    <cfRule type="duplicateValues" dxfId="184" priority="172"/>
    <cfRule type="containsText" dxfId="183" priority="173" operator="containsText" text="_sa">
      <formula>NOT(ISERROR(SEARCH("_sa",B177)))</formula>
    </cfRule>
    <cfRule type="containsText" dxfId="182" priority="174" operator="containsText" text="Flow_CPM">
      <formula>NOT(ISERROR(SEARCH("Flow_CPM",B177)))</formula>
    </cfRule>
    <cfRule type="containsText" dxfId="181" priority="175" operator="containsText" text="Flow_T0TX_PreCall">
      <formula>NOT(ISERROR(SEARCH("Flow_T0TX_PreCall",B177)))</formula>
    </cfRule>
    <cfRule type="containsText" dxfId="180" priority="176" operator="containsText" text="evs">
      <formula>NOT(ISERROR(SEARCH("evs",B177)))</formula>
    </cfRule>
    <cfRule type="containsText" dxfId="179" priority="177" operator="containsText" text="flow_dc">
      <formula>NOT(ISERROR(SEARCH("flow_dc",B177)))</formula>
    </cfRule>
    <cfRule type="containsText" dxfId="178" priority="178" operator="containsText" text="vddb">
      <formula>NOT(ISERROR(SEARCH("vddb",B177)))</formula>
    </cfRule>
    <cfRule type="containsText" dxfId="177" priority="179" operator="containsText" text="bincut">
      <formula>NOT(ISERROR(SEARCH("bincut",B177)))</formula>
    </cfRule>
    <cfRule type="containsText" dxfId="176" priority="180" operator="containsText" text="_bi">
      <formula>NOT(ISERROR(SEARCH("_bi",B177)))</formula>
    </cfRule>
    <cfRule type="containsText" dxfId="175" priority="181" operator="containsText" text="fuse">
      <formula>NOT(ISERROR(SEARCH("fuse",B177)))</formula>
    </cfRule>
    <cfRule type="containsText" dxfId="174" priority="182" operator="containsText" text="chain">
      <formula>NOT(ISERROR(SEARCH("chain",B177)))</formula>
    </cfRule>
    <cfRule type="containsText" dxfId="173" priority="183" operator="containsText" text="chain">
      <formula>NOT(ISERROR(SEARCH("chain",B177)))</formula>
    </cfRule>
    <cfRule type="containsText" dxfId="172" priority="184" operator="containsText" text="_td">
      <formula>NOT(ISERROR(SEARCH("_td",B177)))</formula>
    </cfRule>
    <cfRule type="containsText" dxfId="171" priority="185" operator="containsText" text="saa">
      <formula>NOT(ISERROR(SEARCH("saa",B177)))</formula>
    </cfRule>
    <cfRule type="containsText" dxfId="170" priority="186" operator="containsText" text="hardip">
      <formula>NOT(ISERROR(SEARCH("hardip",B177)))</formula>
    </cfRule>
    <cfRule type="containsText" priority="187" operator="containsText" text="Hard">
      <formula>NOT(ISERROR(SEARCH("Hard",B177)))</formula>
    </cfRule>
  </conditionalFormatting>
  <conditionalFormatting sqref="B179:B210 B157:B162 B164:B169 B171:B172 B174:B176">
    <cfRule type="duplicateValues" dxfId="169" priority="188"/>
    <cfRule type="containsText" dxfId="168" priority="189" operator="containsText" text="_sa">
      <formula>NOT(ISERROR(SEARCH("_sa",B157)))</formula>
    </cfRule>
    <cfRule type="containsText" dxfId="167" priority="190" operator="containsText" text="Flow_CPM">
      <formula>NOT(ISERROR(SEARCH("Flow_CPM",B157)))</formula>
    </cfRule>
    <cfRule type="containsText" dxfId="166" priority="191" operator="containsText" text="Flow_T0TX_PreCall">
      <formula>NOT(ISERROR(SEARCH("Flow_T0TX_PreCall",B157)))</formula>
    </cfRule>
    <cfRule type="containsText" dxfId="165" priority="192" operator="containsText" text="evs">
      <formula>NOT(ISERROR(SEARCH("evs",B157)))</formula>
    </cfRule>
    <cfRule type="containsText" dxfId="164" priority="193" operator="containsText" text="flow_dc">
      <formula>NOT(ISERROR(SEARCH("flow_dc",B157)))</formula>
    </cfRule>
    <cfRule type="containsText" dxfId="163" priority="194" operator="containsText" text="vddb">
      <formula>NOT(ISERROR(SEARCH("vddb",B157)))</formula>
    </cfRule>
    <cfRule type="containsText" dxfId="162" priority="195" operator="containsText" text="bincut">
      <formula>NOT(ISERROR(SEARCH("bincut",B157)))</formula>
    </cfRule>
    <cfRule type="containsText" dxfId="161" priority="196" operator="containsText" text="_bi">
      <formula>NOT(ISERROR(SEARCH("_bi",B157)))</formula>
    </cfRule>
    <cfRule type="containsText" dxfId="160" priority="197" operator="containsText" text="fuse">
      <formula>NOT(ISERROR(SEARCH("fuse",B157)))</formula>
    </cfRule>
    <cfRule type="containsText" dxfId="159" priority="198" operator="containsText" text="chain">
      <formula>NOT(ISERROR(SEARCH("chain",B157)))</formula>
    </cfRule>
    <cfRule type="containsText" dxfId="158" priority="199" operator="containsText" text="chain">
      <formula>NOT(ISERROR(SEARCH("chain",B157)))</formula>
    </cfRule>
    <cfRule type="containsText" dxfId="157" priority="200" operator="containsText" text="_td">
      <formula>NOT(ISERROR(SEARCH("_td",B157)))</formula>
    </cfRule>
    <cfRule type="containsText" dxfId="156" priority="201" operator="containsText" text="saa">
      <formula>NOT(ISERROR(SEARCH("saa",B157)))</formula>
    </cfRule>
    <cfRule type="containsText" dxfId="155" priority="202" operator="containsText" text="hardip">
      <formula>NOT(ISERROR(SEARCH("hardip",B157)))</formula>
    </cfRule>
    <cfRule type="containsText" priority="203" operator="containsText" text="Hard">
      <formula>NOT(ISERROR(SEARCH("Hard",B157)))</formula>
    </cfRule>
  </conditionalFormatting>
  <conditionalFormatting sqref="B163">
    <cfRule type="duplicateValues" dxfId="154" priority="155"/>
    <cfRule type="containsText" dxfId="153" priority="156" operator="containsText" text="_sa">
      <formula>NOT(ISERROR(SEARCH("_sa",B163)))</formula>
    </cfRule>
    <cfRule type="containsText" dxfId="152" priority="157" operator="containsText" text="Flow_CPM">
      <formula>NOT(ISERROR(SEARCH("Flow_CPM",B163)))</formula>
    </cfRule>
    <cfRule type="containsText" dxfId="151" priority="158" operator="containsText" text="Flow_T0TX_PreCall">
      <formula>NOT(ISERROR(SEARCH("Flow_T0TX_PreCall",B163)))</formula>
    </cfRule>
    <cfRule type="containsText" dxfId="150" priority="159" operator="containsText" text="evs">
      <formula>NOT(ISERROR(SEARCH("evs",B163)))</formula>
    </cfRule>
    <cfRule type="containsText" dxfId="149" priority="160" operator="containsText" text="flow_dc">
      <formula>NOT(ISERROR(SEARCH("flow_dc",B163)))</formula>
    </cfRule>
    <cfRule type="containsText" dxfId="148" priority="161" operator="containsText" text="vddb">
      <formula>NOT(ISERROR(SEARCH("vddb",B163)))</formula>
    </cfRule>
    <cfRule type="containsText" dxfId="147" priority="162" operator="containsText" text="bincut">
      <formula>NOT(ISERROR(SEARCH("bincut",B163)))</formula>
    </cfRule>
    <cfRule type="containsText" dxfId="146" priority="163" operator="containsText" text="_bi">
      <formula>NOT(ISERROR(SEARCH("_bi",B163)))</formula>
    </cfRule>
    <cfRule type="containsText" dxfId="145" priority="164" operator="containsText" text="fuse">
      <formula>NOT(ISERROR(SEARCH("fuse",B163)))</formula>
    </cfRule>
    <cfRule type="containsText" dxfId="144" priority="165" operator="containsText" text="chain">
      <formula>NOT(ISERROR(SEARCH("chain",B163)))</formula>
    </cfRule>
    <cfRule type="containsText" dxfId="143" priority="166" operator="containsText" text="chain">
      <formula>NOT(ISERROR(SEARCH("chain",B163)))</formula>
    </cfRule>
    <cfRule type="containsText" dxfId="142" priority="167" operator="containsText" text="_td">
      <formula>NOT(ISERROR(SEARCH("_td",B163)))</formula>
    </cfRule>
    <cfRule type="containsText" dxfId="141" priority="168" operator="containsText" text="saa">
      <formula>NOT(ISERROR(SEARCH("saa",B163)))</formula>
    </cfRule>
    <cfRule type="containsText" dxfId="140" priority="169" operator="containsText" text="hardip">
      <formula>NOT(ISERROR(SEARCH("hardip",B163)))</formula>
    </cfRule>
    <cfRule type="containsText" priority="170" operator="containsText" text="Hard">
      <formula>NOT(ISERROR(SEARCH("Hard",B163)))</formula>
    </cfRule>
  </conditionalFormatting>
  <conditionalFormatting sqref="B170">
    <cfRule type="duplicateValues" dxfId="139" priority="138"/>
    <cfRule type="containsText" dxfId="138" priority="139" operator="containsText" text="_sa">
      <formula>NOT(ISERROR(SEARCH("_sa",B170)))</formula>
    </cfRule>
    <cfRule type="containsText" dxfId="137" priority="140" operator="containsText" text="Flow_CPM">
      <formula>NOT(ISERROR(SEARCH("Flow_CPM",B170)))</formula>
    </cfRule>
    <cfRule type="containsText" dxfId="136" priority="141" operator="containsText" text="Flow_T0TX_PreCall">
      <formula>NOT(ISERROR(SEARCH("Flow_T0TX_PreCall",B170)))</formula>
    </cfRule>
    <cfRule type="containsText" dxfId="135" priority="142" operator="containsText" text="evs">
      <formula>NOT(ISERROR(SEARCH("evs",B170)))</formula>
    </cfRule>
    <cfRule type="containsText" dxfId="134" priority="143" operator="containsText" text="flow_dc">
      <formula>NOT(ISERROR(SEARCH("flow_dc",B170)))</formula>
    </cfRule>
    <cfRule type="containsText" dxfId="133" priority="144" operator="containsText" text="vddb">
      <formula>NOT(ISERROR(SEARCH("vddb",B170)))</formula>
    </cfRule>
    <cfRule type="containsText" dxfId="132" priority="145" operator="containsText" text="bincut">
      <formula>NOT(ISERROR(SEARCH("bincut",B170)))</formula>
    </cfRule>
    <cfRule type="containsText" dxfId="131" priority="146" operator="containsText" text="_bi">
      <formula>NOT(ISERROR(SEARCH("_bi",B170)))</formula>
    </cfRule>
    <cfRule type="containsText" dxfId="130" priority="147" operator="containsText" text="fuse">
      <formula>NOT(ISERROR(SEARCH("fuse",B170)))</formula>
    </cfRule>
    <cfRule type="containsText" dxfId="129" priority="148" operator="containsText" text="chain">
      <formula>NOT(ISERROR(SEARCH("chain",B170)))</formula>
    </cfRule>
    <cfRule type="containsText" dxfId="128" priority="149" operator="containsText" text="chain">
      <formula>NOT(ISERROR(SEARCH("chain",B170)))</formula>
    </cfRule>
    <cfRule type="containsText" dxfId="127" priority="150" operator="containsText" text="_td">
      <formula>NOT(ISERROR(SEARCH("_td",B170)))</formula>
    </cfRule>
    <cfRule type="containsText" dxfId="126" priority="151" operator="containsText" text="saa">
      <formula>NOT(ISERROR(SEARCH("saa",B170)))</formula>
    </cfRule>
    <cfRule type="containsText" dxfId="125" priority="152" operator="containsText" text="hardip">
      <formula>NOT(ISERROR(SEARCH("hardip",B170)))</formula>
    </cfRule>
    <cfRule type="containsText" priority="153" operator="containsText" text="Hard">
      <formula>NOT(ISERROR(SEARCH("Hard",B170)))</formula>
    </cfRule>
  </conditionalFormatting>
  <conditionalFormatting sqref="B173">
    <cfRule type="duplicateValues" dxfId="124" priority="122"/>
    <cfRule type="containsText" dxfId="123" priority="123" operator="containsText" text="_sa">
      <formula>NOT(ISERROR(SEARCH("_sa",B173)))</formula>
    </cfRule>
    <cfRule type="containsText" dxfId="122" priority="124" operator="containsText" text="Flow_CPM">
      <formula>NOT(ISERROR(SEARCH("Flow_CPM",B173)))</formula>
    </cfRule>
    <cfRule type="containsText" dxfId="121" priority="125" operator="containsText" text="Flow_T0TX_PreCall">
      <formula>NOT(ISERROR(SEARCH("Flow_T0TX_PreCall",B173)))</formula>
    </cfRule>
    <cfRule type="containsText" dxfId="120" priority="126" operator="containsText" text="evs">
      <formula>NOT(ISERROR(SEARCH("evs",B173)))</formula>
    </cfRule>
    <cfRule type="containsText" dxfId="119" priority="127" operator="containsText" text="flow_dc">
      <formula>NOT(ISERROR(SEARCH("flow_dc",B173)))</formula>
    </cfRule>
    <cfRule type="containsText" dxfId="118" priority="128" operator="containsText" text="vddb">
      <formula>NOT(ISERROR(SEARCH("vddb",B173)))</formula>
    </cfRule>
    <cfRule type="containsText" dxfId="117" priority="129" operator="containsText" text="bincut">
      <formula>NOT(ISERROR(SEARCH("bincut",B173)))</formula>
    </cfRule>
    <cfRule type="containsText" dxfId="116" priority="130" operator="containsText" text="_bi">
      <formula>NOT(ISERROR(SEARCH("_bi",B173)))</formula>
    </cfRule>
    <cfRule type="containsText" dxfId="115" priority="131" operator="containsText" text="fuse">
      <formula>NOT(ISERROR(SEARCH("fuse",B173)))</formula>
    </cfRule>
    <cfRule type="containsText" dxfId="114" priority="132" operator="containsText" text="chain">
      <formula>NOT(ISERROR(SEARCH("chain",B173)))</formula>
    </cfRule>
    <cfRule type="containsText" dxfId="113" priority="133" operator="containsText" text="chain">
      <formula>NOT(ISERROR(SEARCH("chain",B173)))</formula>
    </cfRule>
    <cfRule type="containsText" dxfId="112" priority="134" operator="containsText" text="_td">
      <formula>NOT(ISERROR(SEARCH("_td",B173)))</formula>
    </cfRule>
    <cfRule type="containsText" dxfId="111" priority="135" operator="containsText" text="saa">
      <formula>NOT(ISERROR(SEARCH("saa",B173)))</formula>
    </cfRule>
    <cfRule type="containsText" dxfId="110" priority="136" operator="containsText" text="hardip">
      <formula>NOT(ISERROR(SEARCH("hardip",B173)))</formula>
    </cfRule>
    <cfRule type="containsText" priority="137" operator="containsText" text="Hard">
      <formula>NOT(ISERROR(SEARCH("Hard",B173)))</formula>
    </cfRule>
  </conditionalFormatting>
  <conditionalFormatting sqref="B178">
    <cfRule type="duplicateValues" dxfId="109" priority="105"/>
    <cfRule type="containsText" dxfId="108" priority="106" operator="containsText" text="_sa">
      <formula>NOT(ISERROR(SEARCH("_sa",B178)))</formula>
    </cfRule>
    <cfRule type="containsText" dxfId="107" priority="107" operator="containsText" text="Flow_CPM">
      <formula>NOT(ISERROR(SEARCH("Flow_CPM",B178)))</formula>
    </cfRule>
    <cfRule type="containsText" dxfId="106" priority="108" operator="containsText" text="Flow_T0TX_PreCall">
      <formula>NOT(ISERROR(SEARCH("Flow_T0TX_PreCall",B178)))</formula>
    </cfRule>
    <cfRule type="containsText" dxfId="105" priority="109" operator="containsText" text="evs">
      <formula>NOT(ISERROR(SEARCH("evs",B178)))</formula>
    </cfRule>
    <cfRule type="containsText" dxfId="104" priority="110" operator="containsText" text="flow_dc">
      <formula>NOT(ISERROR(SEARCH("flow_dc",B178)))</formula>
    </cfRule>
    <cfRule type="containsText" dxfId="103" priority="111" operator="containsText" text="vddb">
      <formula>NOT(ISERROR(SEARCH("vddb",B178)))</formula>
    </cfRule>
    <cfRule type="containsText" dxfId="102" priority="112" operator="containsText" text="bincut">
      <formula>NOT(ISERROR(SEARCH("bincut",B178)))</formula>
    </cfRule>
    <cfRule type="containsText" dxfId="101" priority="113" operator="containsText" text="_bi">
      <formula>NOT(ISERROR(SEARCH("_bi",B178)))</formula>
    </cfRule>
    <cfRule type="containsText" dxfId="100" priority="114" operator="containsText" text="fuse">
      <formula>NOT(ISERROR(SEARCH("fuse",B178)))</formula>
    </cfRule>
    <cfRule type="containsText" dxfId="99" priority="115" operator="containsText" text="chain">
      <formula>NOT(ISERROR(SEARCH("chain",B178)))</formula>
    </cfRule>
    <cfRule type="containsText" dxfId="98" priority="116" operator="containsText" text="chain">
      <formula>NOT(ISERROR(SEARCH("chain",B178)))</formula>
    </cfRule>
    <cfRule type="containsText" dxfId="97" priority="117" operator="containsText" text="_td">
      <formula>NOT(ISERROR(SEARCH("_td",B178)))</formula>
    </cfRule>
    <cfRule type="containsText" dxfId="96" priority="118" operator="containsText" text="saa">
      <formula>NOT(ISERROR(SEARCH("saa",B178)))</formula>
    </cfRule>
    <cfRule type="containsText" dxfId="95" priority="119" operator="containsText" text="hardip">
      <formula>NOT(ISERROR(SEARCH("hardip",B178)))</formula>
    </cfRule>
    <cfRule type="containsText" priority="120" operator="containsText" text="Hard">
      <formula>NOT(ISERROR(SEARCH("Hard",B178)))</formula>
    </cfRule>
  </conditionalFormatting>
  <conditionalFormatting sqref="B7:B54">
    <cfRule type="duplicateValues" dxfId="94" priority="965"/>
    <cfRule type="containsText" dxfId="93" priority="966" operator="containsText" text="_sa">
      <formula>NOT(ISERROR(SEARCH("_sa",B7)))</formula>
    </cfRule>
    <cfRule type="containsText" dxfId="92" priority="967" operator="containsText" text="Flow_CPM">
      <formula>NOT(ISERROR(SEARCH("Flow_CPM",B7)))</formula>
    </cfRule>
    <cfRule type="containsText" dxfId="91" priority="968" operator="containsText" text="Flow_T0TX_PreCall">
      <formula>NOT(ISERROR(SEARCH("Flow_T0TX_PreCall",B7)))</formula>
    </cfRule>
    <cfRule type="containsText" dxfId="90" priority="969" operator="containsText" text="evs">
      <formula>NOT(ISERROR(SEARCH("evs",B7)))</formula>
    </cfRule>
    <cfRule type="containsText" dxfId="89" priority="970" operator="containsText" text="flow_dc">
      <formula>NOT(ISERROR(SEARCH("flow_dc",B7)))</formula>
    </cfRule>
    <cfRule type="containsText" dxfId="88" priority="971" operator="containsText" text="vddb">
      <formula>NOT(ISERROR(SEARCH("vddb",B7)))</formula>
    </cfRule>
    <cfRule type="containsText" dxfId="87" priority="972" operator="containsText" text="bincut">
      <formula>NOT(ISERROR(SEARCH("bincut",B7)))</formula>
    </cfRule>
    <cfRule type="containsText" dxfId="86" priority="973" operator="containsText" text="_bi">
      <formula>NOT(ISERROR(SEARCH("_bi",B7)))</formula>
    </cfRule>
    <cfRule type="containsText" dxfId="85" priority="974" operator="containsText" text="fuse">
      <formula>NOT(ISERROR(SEARCH("fuse",B7)))</formula>
    </cfRule>
    <cfRule type="containsText" dxfId="84" priority="975" operator="containsText" text="chain">
      <formula>NOT(ISERROR(SEARCH("chain",B7)))</formula>
    </cfRule>
    <cfRule type="containsText" dxfId="83" priority="976" operator="containsText" text="chain">
      <formula>NOT(ISERROR(SEARCH("chain",B7)))</formula>
    </cfRule>
    <cfRule type="containsText" dxfId="82" priority="977" operator="containsText" text="_td">
      <formula>NOT(ISERROR(SEARCH("_td",B7)))</formula>
    </cfRule>
    <cfRule type="containsText" dxfId="81" priority="978" operator="containsText" text="saa">
      <formula>NOT(ISERROR(SEARCH("saa",B7)))</formula>
    </cfRule>
    <cfRule type="containsText" dxfId="80" priority="979" operator="containsText" text="hardip">
      <formula>NOT(ISERROR(SEARCH("hardip",B7)))</formula>
    </cfRule>
    <cfRule type="containsText" priority="980" operator="containsText" text="Hard">
      <formula>NOT(ISERROR(SEARCH("Hard",B7)))</formula>
    </cfRule>
  </conditionalFormatting>
  <conditionalFormatting sqref="B155:B156 B1:B3 B5 B64:B65 B67:B80 B211:B213 B220:B1048576 B82:B115">
    <cfRule type="duplicateValues" dxfId="79" priority="981"/>
    <cfRule type="containsText" dxfId="78" priority="982" operator="containsText" text="_sa">
      <formula>NOT(ISERROR(SEARCH("_sa",B1)))</formula>
    </cfRule>
    <cfRule type="containsText" dxfId="77" priority="983" operator="containsText" text="Flow_CPM">
      <formula>NOT(ISERROR(SEARCH("Flow_CPM",B1)))</formula>
    </cfRule>
    <cfRule type="containsText" dxfId="76" priority="984" operator="containsText" text="Flow_T0TX_PreCall">
      <formula>NOT(ISERROR(SEARCH("Flow_T0TX_PreCall",B1)))</formula>
    </cfRule>
    <cfRule type="containsText" dxfId="75" priority="985" operator="containsText" text="evs">
      <formula>NOT(ISERROR(SEARCH("evs",B1)))</formula>
    </cfRule>
    <cfRule type="containsText" dxfId="74" priority="986" operator="containsText" text="flow_dc">
      <formula>NOT(ISERROR(SEARCH("flow_dc",B1)))</formula>
    </cfRule>
    <cfRule type="containsText" dxfId="73" priority="987" operator="containsText" text="vddb">
      <formula>NOT(ISERROR(SEARCH("vddb",B1)))</formula>
    </cfRule>
    <cfRule type="containsText" dxfId="72" priority="988" operator="containsText" text="bincut">
      <formula>NOT(ISERROR(SEARCH("bincut",B1)))</formula>
    </cfRule>
    <cfRule type="containsText" dxfId="71" priority="989" operator="containsText" text="_bi">
      <formula>NOT(ISERROR(SEARCH("_bi",B1)))</formula>
    </cfRule>
    <cfRule type="containsText" dxfId="70" priority="990" operator="containsText" text="fuse">
      <formula>NOT(ISERROR(SEARCH("fuse",B1)))</formula>
    </cfRule>
    <cfRule type="containsText" dxfId="69" priority="991" operator="containsText" text="chain">
      <formula>NOT(ISERROR(SEARCH("chain",B1)))</formula>
    </cfRule>
    <cfRule type="containsText" dxfId="68" priority="992" operator="containsText" text="chain">
      <formula>NOT(ISERROR(SEARCH("chain",B1)))</formula>
    </cfRule>
    <cfRule type="containsText" dxfId="67" priority="993" operator="containsText" text="_td">
      <formula>NOT(ISERROR(SEARCH("_td",B1)))</formula>
    </cfRule>
    <cfRule type="containsText" dxfId="66" priority="994" operator="containsText" text="saa">
      <formula>NOT(ISERROR(SEARCH("saa",B1)))</formula>
    </cfRule>
    <cfRule type="containsText" dxfId="65" priority="995" operator="containsText" text="hardip">
      <formula>NOT(ISERROR(SEARCH("hardip",B1)))</formula>
    </cfRule>
    <cfRule type="containsText" priority="996" operator="containsText" text="Hard">
      <formula>NOT(ISERROR(SEARCH("Hard",B1)))</formula>
    </cfRule>
  </conditionalFormatting>
  <conditionalFormatting sqref="H81">
    <cfRule type="containsText" dxfId="64" priority="70" operator="containsText" text="false">
      <formula>NOT(ISERROR(SEARCH("false",H81)))</formula>
    </cfRule>
  </conditionalFormatting>
  <conditionalFormatting sqref="B81">
    <cfRule type="duplicateValues" dxfId="63" priority="71"/>
    <cfRule type="containsText" dxfId="62" priority="72" operator="containsText" text="_sa">
      <formula>NOT(ISERROR(SEARCH("_sa",B81)))</formula>
    </cfRule>
    <cfRule type="containsText" dxfId="61" priority="73" operator="containsText" text="Flow_CPM">
      <formula>NOT(ISERROR(SEARCH("Flow_CPM",B81)))</formula>
    </cfRule>
    <cfRule type="containsText" dxfId="60" priority="74" operator="containsText" text="Flow_T0TX_PreCall">
      <formula>NOT(ISERROR(SEARCH("Flow_T0TX_PreCall",B81)))</formula>
    </cfRule>
    <cfRule type="containsText" dxfId="59" priority="75" operator="containsText" text="evs">
      <formula>NOT(ISERROR(SEARCH("evs",B81)))</formula>
    </cfRule>
    <cfRule type="containsText" dxfId="58" priority="76" operator="containsText" text="flow_dc">
      <formula>NOT(ISERROR(SEARCH("flow_dc",B81)))</formula>
    </cfRule>
    <cfRule type="containsText" dxfId="57" priority="77" operator="containsText" text="vddb">
      <formula>NOT(ISERROR(SEARCH("vddb",B81)))</formula>
    </cfRule>
    <cfRule type="containsText" dxfId="56" priority="78" operator="containsText" text="bincut">
      <formula>NOT(ISERROR(SEARCH("bincut",B81)))</formula>
    </cfRule>
    <cfRule type="containsText" dxfId="55" priority="79" operator="containsText" text="_bi">
      <formula>NOT(ISERROR(SEARCH("_bi",B81)))</formula>
    </cfRule>
    <cfRule type="containsText" dxfId="54" priority="80" operator="containsText" text="fuse">
      <formula>NOT(ISERROR(SEARCH("fuse",B81)))</formula>
    </cfRule>
    <cfRule type="containsText" dxfId="53" priority="81" operator="containsText" text="chain">
      <formula>NOT(ISERROR(SEARCH("chain",B81)))</formula>
    </cfRule>
    <cfRule type="containsText" dxfId="52" priority="82" operator="containsText" text="chain">
      <formula>NOT(ISERROR(SEARCH("chain",B81)))</formula>
    </cfRule>
    <cfRule type="containsText" dxfId="51" priority="83" operator="containsText" text="_td">
      <formula>NOT(ISERROR(SEARCH("_td",B81)))</formula>
    </cfRule>
    <cfRule type="containsText" dxfId="50" priority="84" operator="containsText" text="saa">
      <formula>NOT(ISERROR(SEARCH("saa",B81)))</formula>
    </cfRule>
    <cfRule type="containsText" dxfId="49" priority="85" operator="containsText" text="hardip">
      <formula>NOT(ISERROR(SEARCH("hardip",B81)))</formula>
    </cfRule>
    <cfRule type="containsText" priority="86" operator="containsText" text="Hard">
      <formula>NOT(ISERROR(SEARCH("Hard",B81)))</formula>
    </cfRule>
  </conditionalFormatting>
  <conditionalFormatting sqref="B117:B128">
    <cfRule type="duplicateValues" dxfId="48" priority="54"/>
    <cfRule type="containsText" dxfId="47" priority="55" operator="containsText" text="_sa">
      <formula>NOT(ISERROR(SEARCH("_sa",B117)))</formula>
    </cfRule>
    <cfRule type="containsText" dxfId="46" priority="56" operator="containsText" text="Flow_CPM">
      <formula>NOT(ISERROR(SEARCH("Flow_CPM",B117)))</formula>
    </cfRule>
    <cfRule type="containsText" dxfId="45" priority="57" operator="containsText" text="Flow_T0TX_PreCall">
      <formula>NOT(ISERROR(SEARCH("Flow_T0TX_PreCall",B117)))</formula>
    </cfRule>
    <cfRule type="containsText" dxfId="44" priority="58" operator="containsText" text="evs">
      <formula>NOT(ISERROR(SEARCH("evs",B117)))</formula>
    </cfRule>
    <cfRule type="containsText" dxfId="43" priority="59" operator="containsText" text="flow_dc">
      <formula>NOT(ISERROR(SEARCH("flow_dc",B117)))</formula>
    </cfRule>
    <cfRule type="containsText" dxfId="42" priority="60" operator="containsText" text="vddb">
      <formula>NOT(ISERROR(SEARCH("vddb",B117)))</formula>
    </cfRule>
    <cfRule type="containsText" dxfId="41" priority="61" operator="containsText" text="bincut">
      <formula>NOT(ISERROR(SEARCH("bincut",B117)))</formula>
    </cfRule>
    <cfRule type="containsText" dxfId="40" priority="62" operator="containsText" text="_bi">
      <formula>NOT(ISERROR(SEARCH("_bi",B117)))</formula>
    </cfRule>
    <cfRule type="containsText" dxfId="39" priority="63" operator="containsText" text="fuse">
      <formula>NOT(ISERROR(SEARCH("fuse",B117)))</formula>
    </cfRule>
    <cfRule type="containsText" dxfId="38" priority="64" operator="containsText" text="chain">
      <formula>NOT(ISERROR(SEARCH("chain",B117)))</formula>
    </cfRule>
    <cfRule type="containsText" dxfId="37" priority="65" operator="containsText" text="chain">
      <formula>NOT(ISERROR(SEARCH("chain",B117)))</formula>
    </cfRule>
    <cfRule type="containsText" dxfId="36" priority="66" operator="containsText" text="_td">
      <formula>NOT(ISERROR(SEARCH("_td",B117)))</formula>
    </cfRule>
    <cfRule type="containsText" dxfId="35" priority="67" operator="containsText" text="saa">
      <formula>NOT(ISERROR(SEARCH("saa",B117)))</formula>
    </cfRule>
    <cfRule type="containsText" dxfId="34" priority="68" operator="containsText" text="hardip">
      <formula>NOT(ISERROR(SEARCH("hardip",B117)))</formula>
    </cfRule>
    <cfRule type="containsText" priority="69" operator="containsText" text="Hard">
      <formula>NOT(ISERROR(SEARCH("Hard",B117)))</formula>
    </cfRule>
  </conditionalFormatting>
  <conditionalFormatting sqref="H117:H128">
    <cfRule type="containsText" dxfId="33" priority="53" operator="containsText" text="false">
      <formula>NOT(ISERROR(SEARCH("false",H117)))</formula>
    </cfRule>
  </conditionalFormatting>
  <conditionalFormatting sqref="H62:H63">
    <cfRule type="containsText" dxfId="32" priority="18" operator="containsText" text="false">
      <formula>NOT(ISERROR(SEARCH("false",H62)))</formula>
    </cfRule>
  </conditionalFormatting>
  <conditionalFormatting sqref="B62:B63">
    <cfRule type="duplicateValues" dxfId="31" priority="19"/>
    <cfRule type="containsText" dxfId="30" priority="20" operator="containsText" text="_sa">
      <formula>NOT(ISERROR(SEARCH("_sa",B62)))</formula>
    </cfRule>
    <cfRule type="containsText" dxfId="29" priority="21" operator="containsText" text="Flow_CPM">
      <formula>NOT(ISERROR(SEARCH("Flow_CPM",B62)))</formula>
    </cfRule>
    <cfRule type="containsText" dxfId="28" priority="22" operator="containsText" text="Flow_T0TX_PreCall">
      <formula>NOT(ISERROR(SEARCH("Flow_T0TX_PreCall",B62)))</formula>
    </cfRule>
    <cfRule type="containsText" dxfId="27" priority="23" operator="containsText" text="evs">
      <formula>NOT(ISERROR(SEARCH("evs",B62)))</formula>
    </cfRule>
    <cfRule type="containsText" dxfId="26" priority="24" operator="containsText" text="flow_dc">
      <formula>NOT(ISERROR(SEARCH("flow_dc",B62)))</formula>
    </cfRule>
    <cfRule type="containsText" dxfId="25" priority="25" operator="containsText" text="vddb">
      <formula>NOT(ISERROR(SEARCH("vddb",B62)))</formula>
    </cfRule>
    <cfRule type="containsText" dxfId="24" priority="26" operator="containsText" text="bincut">
      <formula>NOT(ISERROR(SEARCH("bincut",B62)))</formula>
    </cfRule>
    <cfRule type="containsText" dxfId="23" priority="27" operator="containsText" text="_bi">
      <formula>NOT(ISERROR(SEARCH("_bi",B62)))</formula>
    </cfRule>
    <cfRule type="containsText" dxfId="22" priority="28" operator="containsText" text="fuse">
      <formula>NOT(ISERROR(SEARCH("fuse",B62)))</formula>
    </cfRule>
    <cfRule type="containsText" dxfId="21" priority="29" operator="containsText" text="chain">
      <formula>NOT(ISERROR(SEARCH("chain",B62)))</formula>
    </cfRule>
    <cfRule type="containsText" dxfId="20" priority="30" operator="containsText" text="chain">
      <formula>NOT(ISERROR(SEARCH("chain",B62)))</formula>
    </cfRule>
    <cfRule type="containsText" dxfId="19" priority="31" operator="containsText" text="_td">
      <formula>NOT(ISERROR(SEARCH("_td",B62)))</formula>
    </cfRule>
    <cfRule type="containsText" dxfId="18" priority="32" operator="containsText" text="saa">
      <formula>NOT(ISERROR(SEARCH("saa",B62)))</formula>
    </cfRule>
    <cfRule type="containsText" dxfId="17" priority="33" operator="containsText" text="hardip">
      <formula>NOT(ISERROR(SEARCH("hardip",B62)))</formula>
    </cfRule>
    <cfRule type="containsText" priority="34" operator="containsText" text="Hard">
      <formula>NOT(ISERROR(SEARCH("Hard",B62)))</formula>
    </cfRule>
  </conditionalFormatting>
  <conditionalFormatting sqref="H55:H61">
    <cfRule type="containsText" dxfId="16" priority="1" operator="containsText" text="false">
      <formula>NOT(ISERROR(SEARCH("false",H55)))</formula>
    </cfRule>
  </conditionalFormatting>
  <conditionalFormatting sqref="B55:B61">
    <cfRule type="duplicateValues" dxfId="15" priority="2"/>
    <cfRule type="containsText" dxfId="14" priority="3" operator="containsText" text="_sa">
      <formula>NOT(ISERROR(SEARCH("_sa",B55)))</formula>
    </cfRule>
    <cfRule type="containsText" dxfId="13" priority="4" operator="containsText" text="Flow_CPM">
      <formula>NOT(ISERROR(SEARCH("Flow_CPM",B55)))</formula>
    </cfRule>
    <cfRule type="containsText" dxfId="12" priority="5" operator="containsText" text="Flow_T0TX_PreCall">
      <formula>NOT(ISERROR(SEARCH("Flow_T0TX_PreCall",B55)))</formula>
    </cfRule>
    <cfRule type="containsText" dxfId="11" priority="6" operator="containsText" text="evs">
      <formula>NOT(ISERROR(SEARCH("evs",B55)))</formula>
    </cfRule>
    <cfRule type="containsText" dxfId="10" priority="7" operator="containsText" text="flow_dc">
      <formula>NOT(ISERROR(SEARCH("flow_dc",B55)))</formula>
    </cfRule>
    <cfRule type="containsText" dxfId="9" priority="8" operator="containsText" text="vddb">
      <formula>NOT(ISERROR(SEARCH("vddb",B55)))</formula>
    </cfRule>
    <cfRule type="containsText" dxfId="8" priority="9" operator="containsText" text="bincut">
      <formula>NOT(ISERROR(SEARCH("bincut",B55)))</formula>
    </cfRule>
    <cfRule type="containsText" dxfId="7" priority="10" operator="containsText" text="_bi">
      <formula>NOT(ISERROR(SEARCH("_bi",B55)))</formula>
    </cfRule>
    <cfRule type="containsText" dxfId="6" priority="11" operator="containsText" text="fuse">
      <formula>NOT(ISERROR(SEARCH("fuse",B55)))</formula>
    </cfRule>
    <cfRule type="containsText" dxfId="5" priority="12" operator="containsText" text="chain">
      <formula>NOT(ISERROR(SEARCH("chain",B55)))</formula>
    </cfRule>
    <cfRule type="containsText" dxfId="4" priority="13" operator="containsText" text="chain">
      <formula>NOT(ISERROR(SEARCH("chain",B55)))</formula>
    </cfRule>
    <cfRule type="containsText" dxfId="3" priority="14" operator="containsText" text="_td">
      <formula>NOT(ISERROR(SEARCH("_td",B55)))</formula>
    </cfRule>
    <cfRule type="containsText" dxfId="2" priority="15" operator="containsText" text="saa">
      <formula>NOT(ISERROR(SEARCH("saa",B55)))</formula>
    </cfRule>
    <cfRule type="containsText" dxfId="1" priority="16" operator="containsText" text="hardip">
      <formula>NOT(ISERROR(SEARCH("hardip",B55)))</formula>
    </cfRule>
    <cfRule type="containsText" priority="17" operator="containsText" text="Hard">
      <formula>NOT(ISERROR(SEARCH("Hard",B55)))</formula>
    </cfRule>
  </conditionalFormatting>
  <pageMargins left="0.7" right="0.7" top="0.75" bottom="0.75" header="0.3" footer="0.3"/>
  <pageSetup paperSize="9" orientation="portrait" r:id="rId1"/>
  <headerFooter>
    <oddHeader>&amp;L&amp;"Calibri"&amp;10&amp;K000000Security C - TSMC Secret&amp;1#</oddHead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Block_TestNumber</vt:lpstr>
    </vt:vector>
  </TitlesOfParts>
  <Company>TSMC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Jayden Chen 陳智偉</cp:lastModifiedBy>
  <dcterms:created xsi:type="dcterms:W3CDTF">2016-02-24T03:11:40Z</dcterms:created>
  <dcterms:modified xsi:type="dcterms:W3CDTF">2025-12-04T06:40:50Z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9a7859fa-fb81-458d-9040-c3b7cffe6362_Enabled">
    <vt:lpwstr>true</vt:lpwstr>
  </property>
  <property fmtid="{D5CDD505-2E9C-101B-9397-08002B2CF9AE}" pid="3" name="MSIP_Label_9a7859fa-fb81-458d-9040-c3b7cffe6362_SetDate">
    <vt:lpwstr>2025-12-04T06:40:50Z</vt:lpwstr>
  </property>
  <property fmtid="{D5CDD505-2E9C-101B-9397-08002B2CF9AE}" pid="4" name="MSIP_Label_9a7859fa-fb81-458d-9040-c3b7cffe6362_Method">
    <vt:lpwstr>Privileged</vt:lpwstr>
  </property>
  <property fmtid="{D5CDD505-2E9C-101B-9397-08002B2CF9AE}" pid="5" name="MSIP_Label_9a7859fa-fb81-458d-9040-c3b7cffe6362_Name">
    <vt:lpwstr>External</vt:lpwstr>
  </property>
  <property fmtid="{D5CDD505-2E9C-101B-9397-08002B2CF9AE}" pid="6" name="MSIP_Label_9a7859fa-fb81-458d-9040-c3b7cffe6362_SiteId">
    <vt:lpwstr>9255f64b-1818-42e5-ad78-f619a9a7b1e7</vt:lpwstr>
  </property>
  <property fmtid="{D5CDD505-2E9C-101B-9397-08002B2CF9AE}" pid="7" name="MSIP_Label_9a7859fa-fb81-458d-9040-c3b7cffe6362_ActionId">
    <vt:lpwstr>90007240-5bce-463a-96e8-0c44dd1ac56d</vt:lpwstr>
  </property>
  <property fmtid="{D5CDD505-2E9C-101B-9397-08002B2CF9AE}" pid="8" name="MSIP_Label_9a7859fa-fb81-458d-9040-c3b7cffe6362_ContentBits">
    <vt:lpwstr>3</vt:lpwstr>
  </property>
</Properties>
</file>