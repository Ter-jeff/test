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idra\Autogen_Setting\Settings\Basic\"/>
    </mc:Choice>
  </mc:AlternateContent>
  <bookViews>
    <workbookView xWindow="28680" yWindow="1080" windowWidth="29040" windowHeight="15840"/>
  </bookViews>
  <sheets>
    <sheet name="Block_TestNumber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7" i="2" l="1"/>
  <c r="D157" i="2" s="1"/>
  <c r="C158" i="2" s="1"/>
  <c r="D158" i="2" s="1"/>
  <c r="C159" i="2" s="1"/>
  <c r="D159" i="2" s="1"/>
  <c r="C160" i="2" s="1"/>
  <c r="D160" i="2" s="1"/>
  <c r="C161" i="2" s="1"/>
  <c r="D161" i="2" s="1"/>
  <c r="C162" i="2" s="1"/>
  <c r="D162" i="2" s="1"/>
  <c r="C163" i="2" s="1"/>
  <c r="D163" i="2" s="1"/>
  <c r="C164" i="2" s="1"/>
  <c r="D164" i="2" s="1"/>
  <c r="C165" i="2" s="1"/>
  <c r="D165" i="2" s="1"/>
  <c r="C166" i="2" s="1"/>
  <c r="D166" i="2" s="1"/>
  <c r="C167" i="2" s="1"/>
  <c r="D167" i="2" s="1"/>
  <c r="C168" i="2" s="1"/>
  <c r="D168" i="2" s="1"/>
  <c r="C169" i="2" s="1"/>
  <c r="D169" i="2" s="1"/>
  <c r="C170" i="2" s="1"/>
  <c r="D170" i="2" s="1"/>
  <c r="C171" i="2" s="1"/>
  <c r="D171" i="2" s="1"/>
  <c r="C172" i="2" s="1"/>
  <c r="D172" i="2" s="1"/>
  <c r="C173" i="2" s="1"/>
  <c r="D173" i="2" s="1"/>
  <c r="C174" i="2" s="1"/>
  <c r="D174" i="2" s="1"/>
  <c r="C175" i="2" s="1"/>
  <c r="D175" i="2" s="1"/>
  <c r="C176" i="2" s="1"/>
  <c r="D176" i="2" s="1"/>
  <c r="C177" i="2" s="1"/>
  <c r="D177" i="2" s="1"/>
  <c r="C178" i="2" s="1"/>
  <c r="D178" i="2" s="1"/>
  <c r="C179" i="2" s="1"/>
  <c r="D179" i="2" s="1"/>
  <c r="C180" i="2" s="1"/>
  <c r="D180" i="2" s="1"/>
  <c r="C181" i="2" s="1"/>
  <c r="D181" i="2" s="1"/>
  <c r="C182" i="2" s="1"/>
  <c r="D182" i="2" s="1"/>
  <c r="C183" i="2" s="1"/>
  <c r="D183" i="2" s="1"/>
  <c r="C184" i="2" s="1"/>
  <c r="D184" i="2" s="1"/>
  <c r="C185" i="2" s="1"/>
  <c r="D185" i="2" s="1"/>
  <c r="C186" i="2" s="1"/>
  <c r="D186" i="2" s="1"/>
  <c r="C187" i="2" s="1"/>
  <c r="D187" i="2" s="1"/>
  <c r="C188" i="2" s="1"/>
  <c r="D188" i="2" s="1"/>
  <c r="C189" i="2" s="1"/>
  <c r="D189" i="2" s="1"/>
  <c r="C190" i="2" s="1"/>
  <c r="D190" i="2" s="1"/>
  <c r="C191" i="2" s="1"/>
  <c r="D191" i="2" s="1"/>
  <c r="C192" i="2" s="1"/>
  <c r="D192" i="2" s="1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57" i="2" l="1"/>
  <c r="E196" i="2" l="1"/>
  <c r="D196" i="2" s="1"/>
  <c r="C197" i="2" s="1"/>
  <c r="E197" i="2"/>
  <c r="E198" i="2"/>
  <c r="E199" i="2"/>
  <c r="E200" i="2"/>
  <c r="E201" i="2"/>
  <c r="E195" i="2"/>
  <c r="D195" i="2" s="1"/>
  <c r="E194" i="2"/>
  <c r="D194" i="2" s="1"/>
  <c r="E89" i="2"/>
  <c r="E90" i="2"/>
  <c r="E91" i="2"/>
  <c r="E92" i="2"/>
  <c r="E93" i="2"/>
  <c r="E95" i="2"/>
  <c r="E94" i="2"/>
  <c r="E41" i="2"/>
  <c r="D197" i="2" l="1"/>
  <c r="C198" i="2" s="1"/>
  <c r="D198" i="2"/>
  <c r="C199" i="2" s="1"/>
  <c r="D199" i="2" s="1"/>
  <c r="C200" i="2" s="1"/>
  <c r="D200" i="2" s="1"/>
  <c r="C201" i="2" s="1"/>
  <c r="D201" i="2" s="1"/>
  <c r="E137" i="2"/>
  <c r="E136" i="2"/>
  <c r="E135" i="2"/>
  <c r="E134" i="2"/>
  <c r="E133" i="2"/>
  <c r="E132" i="2"/>
  <c r="E131" i="2"/>
  <c r="E130" i="2"/>
  <c r="E129" i="2"/>
  <c r="E128" i="2"/>
  <c r="E202" i="2" l="1"/>
  <c r="D202" i="2" s="1"/>
  <c r="E193" i="2" l="1"/>
  <c r="D193" i="2" s="1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20" i="2"/>
  <c r="E18" i="2"/>
  <c r="C5" i="2"/>
  <c r="E6" i="2"/>
  <c r="E7" i="2"/>
  <c r="E8" i="2"/>
  <c r="E9" i="2"/>
  <c r="E10" i="2"/>
  <c r="E11" i="2"/>
  <c r="E12" i="2"/>
  <c r="E13" i="2"/>
  <c r="E14" i="2"/>
  <c r="E15" i="2"/>
  <c r="E16" i="2"/>
  <c r="E17" i="2"/>
  <c r="E19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96" i="2"/>
  <c r="D96" i="2" s="1"/>
  <c r="C97" i="2" s="1"/>
  <c r="E97" i="2"/>
  <c r="E98" i="2"/>
  <c r="E99" i="2"/>
  <c r="E100" i="2"/>
  <c r="E101" i="2"/>
  <c r="E102" i="2"/>
  <c r="E103" i="2"/>
  <c r="E104" i="2"/>
  <c r="E105" i="2"/>
  <c r="E106" i="2"/>
  <c r="E10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108" i="2"/>
  <c r="D108" i="2" s="1"/>
  <c r="C109" i="2" s="1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5" i="2"/>
  <c r="D5" i="2" l="1"/>
  <c r="C6" i="2" s="1"/>
  <c r="D6" i="2" s="1"/>
  <c r="C7" i="2" s="1"/>
  <c r="D7" i="2" s="1"/>
  <c r="C8" i="2" s="1"/>
  <c r="D8" i="2" s="1"/>
  <c r="C9" i="2" s="1"/>
  <c r="D9" i="2" s="1"/>
  <c r="C10" i="2" s="1"/>
  <c r="D10" i="2" s="1"/>
  <c r="C11" i="2" s="1"/>
  <c r="D11" i="2" s="1"/>
  <c r="C12" i="2" s="1"/>
  <c r="D12" i="2" s="1"/>
  <c r="C13" i="2" s="1"/>
  <c r="D13" i="2" s="1"/>
  <c r="C14" i="2" s="1"/>
  <c r="D14" i="2" s="1"/>
  <c r="C15" i="2" s="1"/>
  <c r="D15" i="2" s="1"/>
  <c r="C16" i="2" s="1"/>
  <c r="D16" i="2" s="1"/>
  <c r="C17" i="2" s="1"/>
  <c r="D17" i="2" s="1"/>
  <c r="C18" i="2" s="1"/>
  <c r="D109" i="2"/>
  <c r="C110" i="2" s="1"/>
  <c r="D110" i="2" s="1"/>
  <c r="C111" i="2" s="1"/>
  <c r="D111" i="2" s="1"/>
  <c r="C112" i="2" s="1"/>
  <c r="D112" i="2" s="1"/>
  <c r="C113" i="2" s="1"/>
  <c r="D113" i="2" s="1"/>
  <c r="C114" i="2" s="1"/>
  <c r="D114" i="2" s="1"/>
  <c r="C115" i="2" s="1"/>
  <c r="D115" i="2" s="1"/>
  <c r="C116" i="2" s="1"/>
  <c r="D116" i="2" s="1"/>
  <c r="C117" i="2" s="1"/>
  <c r="D117" i="2" s="1"/>
  <c r="C118" i="2" s="1"/>
  <c r="D118" i="2" s="1"/>
  <c r="C119" i="2" s="1"/>
  <c r="D119" i="2" s="1"/>
  <c r="C120" i="2" s="1"/>
  <c r="D120" i="2" s="1"/>
  <c r="C121" i="2" s="1"/>
  <c r="D121" i="2" s="1"/>
  <c r="C122" i="2" s="1"/>
  <c r="D122" i="2" s="1"/>
  <c r="C123" i="2" s="1"/>
  <c r="D123" i="2" s="1"/>
  <c r="C124" i="2" s="1"/>
  <c r="D124" i="2" s="1"/>
  <c r="C125" i="2" s="1"/>
  <c r="D125" i="2" s="1"/>
  <c r="C126" i="2" s="1"/>
  <c r="D126" i="2" s="1"/>
  <c r="C127" i="2" s="1"/>
  <c r="D127" i="2" s="1"/>
  <c r="C128" i="2" s="1"/>
  <c r="D128" i="2" s="1"/>
  <c r="C129" i="2" s="1"/>
  <c r="D129" i="2" s="1"/>
  <c r="C130" i="2" s="1"/>
  <c r="D130" i="2" s="1"/>
  <c r="C131" i="2" s="1"/>
  <c r="D131" i="2" s="1"/>
  <c r="C132" i="2" s="1"/>
  <c r="D132" i="2" s="1"/>
  <c r="C133" i="2" s="1"/>
  <c r="D133" i="2" s="1"/>
  <c r="C134" i="2" s="1"/>
  <c r="D134" i="2" s="1"/>
  <c r="C135" i="2" s="1"/>
  <c r="D135" i="2" s="1"/>
  <c r="C136" i="2" s="1"/>
  <c r="D136" i="2" s="1"/>
  <c r="C137" i="2" s="1"/>
  <c r="D137" i="2" s="1"/>
  <c r="C138" i="2" s="1"/>
  <c r="D138" i="2" s="1"/>
  <c r="C139" i="2" s="1"/>
  <c r="D139" i="2" s="1"/>
  <c r="D97" i="2"/>
  <c r="C98" i="2" s="1"/>
  <c r="D98" i="2" s="1"/>
  <c r="C99" i="2" s="1"/>
  <c r="D99" i="2" s="1"/>
  <c r="C100" i="2" s="1"/>
  <c r="D100" i="2" s="1"/>
  <c r="C101" i="2" s="1"/>
  <c r="D101" i="2" s="1"/>
  <c r="C102" i="2" s="1"/>
  <c r="D102" i="2" s="1"/>
  <c r="C103" i="2" s="1"/>
  <c r="D103" i="2" s="1"/>
  <c r="C104" i="2" s="1"/>
  <c r="D104" i="2" s="1"/>
  <c r="C105" i="2" s="1"/>
  <c r="D105" i="2" s="1"/>
  <c r="C106" i="2" s="1"/>
  <c r="D106" i="2" s="1"/>
  <c r="C107" i="2" s="1"/>
  <c r="D107" i="2" s="1"/>
  <c r="D58" i="2" s="1"/>
  <c r="C59" i="2" s="1"/>
  <c r="D59" i="2" s="1"/>
  <c r="C60" i="2" s="1"/>
  <c r="D60" i="2" s="1"/>
  <c r="C61" i="2" s="1"/>
  <c r="D61" i="2" s="1"/>
  <c r="C62" i="2" s="1"/>
  <c r="D62" i="2" s="1"/>
  <c r="C63" i="2" s="1"/>
  <c r="D63" i="2" s="1"/>
  <c r="C64" i="2" s="1"/>
  <c r="D64" i="2" s="1"/>
  <c r="C65" i="2" s="1"/>
  <c r="D65" i="2" s="1"/>
  <c r="C66" i="2" s="1"/>
  <c r="D66" i="2" s="1"/>
  <c r="C67" i="2" s="1"/>
  <c r="D67" i="2" s="1"/>
  <c r="C68" i="2" s="1"/>
  <c r="D68" i="2" s="1"/>
  <c r="C69" i="2" s="1"/>
  <c r="D69" i="2" s="1"/>
  <c r="C70" i="2" s="1"/>
  <c r="D70" i="2" s="1"/>
  <c r="C71" i="2" s="1"/>
  <c r="D71" i="2" s="1"/>
  <c r="C72" i="2" s="1"/>
  <c r="D72" i="2" s="1"/>
  <c r="C73" i="2" s="1"/>
  <c r="D73" i="2" s="1"/>
  <c r="C74" i="2" s="1"/>
  <c r="D74" i="2" s="1"/>
  <c r="C75" i="2" s="1"/>
  <c r="D75" i="2" s="1"/>
  <c r="C76" i="2" s="1"/>
  <c r="D76" i="2" s="1"/>
  <c r="C77" i="2" s="1"/>
  <c r="D77" i="2" s="1"/>
  <c r="C78" i="2" s="1"/>
  <c r="D78" i="2" s="1"/>
  <c r="C79" i="2" s="1"/>
  <c r="D79" i="2" s="1"/>
  <c r="C80" i="2" s="1"/>
  <c r="D80" i="2" s="1"/>
  <c r="C81" i="2" s="1"/>
  <c r="D81" i="2" s="1"/>
  <c r="C82" i="2" s="1"/>
  <c r="D82" i="2" s="1"/>
  <c r="C83" i="2" s="1"/>
  <c r="D83" i="2" s="1"/>
  <c r="C84" i="2" s="1"/>
  <c r="D84" i="2" s="1"/>
  <c r="C85" i="2" s="1"/>
  <c r="D85" i="2" s="1"/>
  <c r="C86" i="2" s="1"/>
  <c r="D86" i="2" s="1"/>
  <c r="C87" i="2" s="1"/>
  <c r="D87" i="2" s="1"/>
  <c r="C88" i="2" s="1"/>
  <c r="D88" i="2" s="1"/>
  <c r="C89" i="2" s="1"/>
  <c r="D89" i="2" s="1"/>
  <c r="C90" i="2" s="1"/>
  <c r="D90" i="2" s="1"/>
  <c r="C91" i="2" s="1"/>
  <c r="D91" i="2" s="1"/>
  <c r="C92" i="2" s="1"/>
  <c r="D92" i="2" s="1"/>
  <c r="C93" i="2" s="1"/>
  <c r="D93" i="2" s="1"/>
  <c r="C94" i="2" s="1"/>
  <c r="D94" i="2" s="1"/>
  <c r="C95" i="2" s="1"/>
  <c r="D95" i="2" s="1"/>
  <c r="D18" i="2" l="1"/>
  <c r="C19" i="2" s="1"/>
  <c r="D19" i="2" s="1"/>
  <c r="C20" i="2" s="1"/>
  <c r="D20" i="2" s="1"/>
  <c r="C21" i="2" s="1"/>
  <c r="D21" i="2" s="1"/>
  <c r="C22" i="2" s="1"/>
  <c r="D22" i="2" s="1"/>
  <c r="C23" i="2" s="1"/>
  <c r="D23" i="2" s="1"/>
  <c r="C24" i="2" s="1"/>
  <c r="D24" i="2" s="1"/>
  <c r="C25" i="2" s="1"/>
  <c r="D25" i="2" s="1"/>
  <c r="C26" i="2" s="1"/>
  <c r="D26" i="2" s="1"/>
  <c r="C27" i="2" s="1"/>
  <c r="D27" i="2" s="1"/>
  <c r="C28" i="2" s="1"/>
  <c r="D28" i="2" s="1"/>
  <c r="C29" i="2" s="1"/>
  <c r="D29" i="2" s="1"/>
  <c r="C30" i="2" s="1"/>
  <c r="D30" i="2" s="1"/>
  <c r="C31" i="2" s="1"/>
  <c r="D31" i="2" s="1"/>
  <c r="C32" i="2" s="1"/>
  <c r="D32" i="2" s="1"/>
  <c r="C33" i="2" s="1"/>
  <c r="D33" i="2" s="1"/>
  <c r="C34" i="2" s="1"/>
  <c r="D34" i="2" s="1"/>
  <c r="C35" i="2" s="1"/>
  <c r="D35" i="2" s="1"/>
  <c r="C36" i="2" s="1"/>
  <c r="D36" i="2" s="1"/>
  <c r="C37" i="2" s="1"/>
  <c r="D37" i="2" s="1"/>
  <c r="C38" i="2" s="1"/>
  <c r="D38" i="2" s="1"/>
  <c r="C39" i="2" s="1"/>
  <c r="D39" i="2" s="1"/>
  <c r="C40" i="2" s="1"/>
  <c r="D40" i="2" s="1"/>
  <c r="C41" i="2" s="1"/>
  <c r="D41" i="2" s="1"/>
  <c r="C42" i="2" l="1"/>
  <c r="D42" i="2" s="1"/>
  <c r="C43" i="2" s="1"/>
  <c r="D43" i="2" s="1"/>
  <c r="C44" i="2" s="1"/>
  <c r="D44" i="2" s="1"/>
  <c r="C45" i="2" s="1"/>
  <c r="D45" i="2" s="1"/>
  <c r="C46" i="2" s="1"/>
  <c r="D46" i="2" s="1"/>
  <c r="C47" i="2" s="1"/>
  <c r="D47" i="2" s="1"/>
  <c r="C48" i="2" s="1"/>
  <c r="D48" i="2" s="1"/>
  <c r="C49" i="2" s="1"/>
  <c r="D49" i="2" s="1"/>
  <c r="C50" i="2" s="1"/>
  <c r="D50" i="2" s="1"/>
  <c r="C51" i="2" s="1"/>
  <c r="D51" i="2" s="1"/>
  <c r="C52" i="2" s="1"/>
  <c r="D52" i="2" s="1"/>
  <c r="C53" i="2" s="1"/>
  <c r="D53" i="2" s="1"/>
  <c r="C54" i="2" s="1"/>
  <c r="D54" i="2" s="1"/>
  <c r="C55" i="2" s="1"/>
  <c r="D55" i="2" s="1"/>
  <c r="C56" i="2" s="1"/>
  <c r="D56" i="2" s="1"/>
  <c r="C57" i="2" s="1"/>
  <c r="D57" i="2" s="1"/>
  <c r="C140" i="2" l="1"/>
  <c r="D140" i="2" s="1"/>
  <c r="C141" i="2" s="1"/>
  <c r="D141" i="2" s="1"/>
  <c r="C142" i="2" s="1"/>
  <c r="D142" i="2" l="1"/>
  <c r="C143" i="2" s="1"/>
  <c r="D143" i="2" s="1"/>
  <c r="C144" i="2" s="1"/>
  <c r="D144" i="2" s="1"/>
  <c r="C145" i="2" s="1"/>
  <c r="D145" i="2" s="1"/>
  <c r="C146" i="2" s="1"/>
  <c r="D146" i="2" s="1"/>
  <c r="C147" i="2" s="1"/>
  <c r="D147" i="2" s="1"/>
  <c r="C148" i="2" s="1"/>
  <c r="D148" i="2" s="1"/>
  <c r="C149" i="2" s="1"/>
  <c r="D149" i="2" s="1"/>
  <c r="C150" i="2" s="1"/>
  <c r="D150" i="2" s="1"/>
  <c r="C151" i="2" s="1"/>
  <c r="D151" i="2" s="1"/>
  <c r="C152" i="2" s="1"/>
  <c r="D152" i="2" s="1"/>
  <c r="C153" i="2" s="1"/>
  <c r="D153" i="2" s="1"/>
  <c r="C154" i="2" s="1"/>
  <c r="D154" i="2" s="1"/>
  <c r="C155" i="2" s="1"/>
  <c r="D155" i="2" s="1"/>
  <c r="C156" i="2" s="1"/>
  <c r="D156" i="2" s="1"/>
</calcChain>
</file>

<file path=xl/sharedStrings.xml><?xml version="1.0" encoding="utf-8"?>
<sst xmlns="http://schemas.openxmlformats.org/spreadsheetml/2006/main" count="207" uniqueCount="207">
  <si>
    <t>Test number (start)</t>
  </si>
  <si>
    <t>Test number (end)</t>
  </si>
  <si>
    <t>Totoal number</t>
  </si>
  <si>
    <t>Step Num</t>
    <phoneticPr fontId="5" type="noConversion"/>
  </si>
  <si>
    <t>Flow_DC_Conti</t>
  </si>
  <si>
    <t>Flow_eFuse_ECID_Blank_Check</t>
    <phoneticPr fontId="8" type="noConversion"/>
  </si>
  <si>
    <t>Flow_EVS</t>
  </si>
  <si>
    <t>Flow_eFuse_ECID_DEID</t>
    <phoneticPr fontId="8" type="noConversion"/>
  </si>
  <si>
    <t>Flow_SPI</t>
    <phoneticPr fontId="4" type="noConversion"/>
  </si>
  <si>
    <t>Flow_eFuse_ECID_nonDEID</t>
    <phoneticPr fontId="8" type="noConversion"/>
  </si>
  <si>
    <t>Flow_eFuse_UID</t>
    <phoneticPr fontId="8" type="noConversion"/>
  </si>
  <si>
    <t>Flow_eFuse_Config</t>
    <phoneticPr fontId="8" type="noConversion"/>
  </si>
  <si>
    <t>Flow_eFuse_UDR</t>
    <phoneticPr fontId="8" type="noConversion"/>
  </si>
  <si>
    <t>Flow_eFuse_Sensor</t>
    <phoneticPr fontId="8" type="noConversion"/>
  </si>
  <si>
    <t>Flow_eFuse_ECID</t>
    <phoneticPr fontId="8" type="noConversion"/>
  </si>
  <si>
    <t>Flow_eFuse_CFG_UDR_SEN_Read</t>
    <phoneticPr fontId="8" type="noConversion"/>
  </si>
  <si>
    <t>Sub Flow Name</t>
    <phoneticPr fontId="5" type="noConversion"/>
  </si>
  <si>
    <t>Default =100</t>
    <phoneticPr fontId="5" type="noConversion"/>
  </si>
  <si>
    <t>without the value, will set to (next_start-1)</t>
    <phoneticPr fontId="5" type="noConversion"/>
  </si>
  <si>
    <t>Flow_SOC_SAA_EQN_LV</t>
  </si>
  <si>
    <t>Flow_SOC_SAA_EQN_HV</t>
  </si>
  <si>
    <t>Flow_GFX_SAA_EQN_LV</t>
  </si>
  <si>
    <t>Flow_GFX_SAA_EQN_HV</t>
  </si>
  <si>
    <t>Flow_CPU_SAA_EQN_LV</t>
  </si>
  <si>
    <t>Flow_CPU_SAA_EQN_HV</t>
  </si>
  <si>
    <t>FLOW_SOC_TD_MS005_EQN_HV</t>
  </si>
  <si>
    <t>Flow_GFX_TD_MG00C_EQN_LV</t>
  </si>
  <si>
    <t>Flow_GFX_TD_MG001_EQN_LV</t>
  </si>
  <si>
    <t>FLOW_ECPU_TD_ME008_EQN_LV</t>
  </si>
  <si>
    <t>FLOW_ECPU_TD_ME001_EQN_LV</t>
  </si>
  <si>
    <t>FLOW_PCPU_TD_MP00F_EQN_LV</t>
  </si>
  <si>
    <t>FLOW_PCPU_TD_MP001_EQN_LV</t>
  </si>
  <si>
    <t>FLOW_SOC_TD_MP001_EQN_LV</t>
  </si>
  <si>
    <t>FLOW_SOC_TD_MP00D_EQN_LV</t>
  </si>
  <si>
    <t>Flow_Vddbinning</t>
    <phoneticPr fontId="8" type="noConversion"/>
  </si>
  <si>
    <t>Flow_PostBincut</t>
  </si>
  <si>
    <t>Flow_HARDIP_CIO</t>
  </si>
  <si>
    <t>Flow_HARDIP_CIO3PLL</t>
  </si>
  <si>
    <t>Flow_HARDIP_CIOAUSPLL</t>
  </si>
  <si>
    <t>Flow_HARDIP_PWRDET</t>
  </si>
  <si>
    <t>Flow_HARDIP_UCSDM</t>
  </si>
  <si>
    <t>Flow_HARDIP_TBB</t>
  </si>
  <si>
    <t>Flow_HARDIP_AMPLP5X</t>
  </si>
  <si>
    <t>Flow_HARDIP_DSGVTHSENSER</t>
  </si>
  <si>
    <t>Flow_HARDIP_ICTS</t>
  </si>
  <si>
    <t>Flow_HARDIP_nanoProbe</t>
  </si>
  <si>
    <t>Flow_HARDIP_JTAG</t>
  </si>
  <si>
    <t>Flow_HARDIP_IO</t>
  </si>
  <si>
    <t>Flow_DCTEST_IDS</t>
  </si>
  <si>
    <t>Flow_HARDIP_MISC</t>
  </si>
  <si>
    <t>Flow_HARDIP_RLXOSC</t>
  </si>
  <si>
    <t>Flow_HARDIP_FRO</t>
  </si>
  <si>
    <t>Flow_HARDIP_MIPI</t>
  </si>
  <si>
    <t>Flow_HARDIP_USB</t>
  </si>
  <si>
    <t>Flow_HARDIP_PCIE</t>
  </si>
  <si>
    <t>Flow_HARDIP_PCIE5</t>
  </si>
  <si>
    <t>Flow_HARDIP_DCTS</t>
  </si>
  <si>
    <t>Flow_HARDIP_PCIEREFBUF</t>
  </si>
  <si>
    <t>Flow_HARDIP_DRAM</t>
  </si>
  <si>
    <t>Flow_HARDIP_LPDDR6PLL</t>
  </si>
  <si>
    <t>Flow_HARDIP_LPDPTX</t>
  </si>
  <si>
    <t>Flow_HARDIP_ACIPHY</t>
  </si>
  <si>
    <t>Flow_HARDIP_MTRBTS</t>
  </si>
  <si>
    <t>Flow_HARDIP_NTS</t>
  </si>
  <si>
    <t>Flow_HARDIP_SEPVME</t>
  </si>
  <si>
    <t>Flow_HARDIP_SEPF2M</t>
  </si>
  <si>
    <t>Flow_HARDIP_ADC</t>
  </si>
  <si>
    <t>Flow_HARDIP_SOCPLL</t>
  </si>
  <si>
    <t>Flow_HARDIP_DCSPLL</t>
  </si>
  <si>
    <t>Flow_HARDIP_DSGRINGS</t>
  </si>
  <si>
    <t>Flow_HARDIP_IVDM</t>
  </si>
  <si>
    <t>Flow_HARDIP_ULPPLL</t>
  </si>
  <si>
    <t>Flow_HARDIP_FLPPLL</t>
  </si>
  <si>
    <t>Flow_HARDIP_ADCLK</t>
  </si>
  <si>
    <t>Flow_HARDIP_PCIEAUSPLL</t>
  </si>
  <si>
    <t>Flow_HARDIP_LPDPAUSPLL</t>
  </si>
  <si>
    <t>Flow_HARDIP_PCIEREFPLL</t>
  </si>
  <si>
    <t>Flow_HARDIP_PCIETXPLL</t>
  </si>
  <si>
    <t>Flow_HARDIP_PCIE5PLL</t>
  </si>
  <si>
    <t>Flow_S_BI_PP_CP1</t>
  </si>
  <si>
    <t>Flow_S_BI_PP_CP2</t>
  </si>
  <si>
    <t>Flow_S_BI_PP_FT1</t>
  </si>
  <si>
    <t>Flow_S_BI_PP_FT2</t>
  </si>
  <si>
    <t>Flow_C_BI_PP_CP1</t>
  </si>
  <si>
    <t>Flow_C_BI_PP_CP2</t>
  </si>
  <si>
    <t>Flow_C_BI_PP_FT1</t>
  </si>
  <si>
    <t>Flow_C_BI_PP_FT2</t>
  </si>
  <si>
    <t>Flow_L_BI_PP_CP1</t>
  </si>
  <si>
    <t>Flow_L_BI_PP_CP2</t>
  </si>
  <si>
    <t>Flow_L_BI_PP_FT1</t>
  </si>
  <si>
    <t>Flow_L_BI_PP_FT2</t>
  </si>
  <si>
    <t>Test Itmes</t>
  </si>
  <si>
    <t>Harvest_Summary_After_SOC_CHAIN_EQN_LV</t>
  </si>
  <si>
    <t>Harvest_Summary_After_CPU_CHAIN_EQN_HV</t>
  </si>
  <si>
    <t>Harvest_Summary_After_CPU_CHAIN_EQN_LV</t>
  </si>
  <si>
    <t>Harvest_Summary_After_GFX_CHAIN_EQN_HV</t>
  </si>
  <si>
    <t>Harvest_Summary_After_GFX_CHAIN_EQN_LV</t>
  </si>
  <si>
    <t>Harvest_Summary_After_SOC_SAA_EQN_HV</t>
  </si>
  <si>
    <t>Harvest_Summary_After_SOC_SAA_EQN_LV</t>
  </si>
  <si>
    <t>Harvest_Summary_After_CPU_SAA_EQN_HV</t>
  </si>
  <si>
    <t>Harvest_Summary_After_CPU_SAA_EQN_LV</t>
  </si>
  <si>
    <t>Harvest_Summary_After_GFX_SAA_EQN_HV</t>
  </si>
  <si>
    <t>Harvest_Summary_After_GFX_SAA_EQN_LV</t>
  </si>
  <si>
    <t>Harvest_Summary_After_SOC_TD_MP001_EQN_LV</t>
  </si>
  <si>
    <t>Harvest_Summary_After_SOC_TD_MP00D_EQN_LV</t>
  </si>
  <si>
    <t>Harvest_Summary_After_SOC_TD_MS005_EQN_HV</t>
  </si>
  <si>
    <t>Harvest_Summary_After_ECPU_TD_ME001_EQN_LV</t>
  </si>
  <si>
    <t>Harvest_Summary_After_ECPU_TD_ME008_EQN_LV</t>
  </si>
  <si>
    <t>Harvest_Summary_After_PCPU_TD_MP001_EQN_LV</t>
  </si>
  <si>
    <t>Harvest_Summary_After_PCPU_TD_MP00F_EQN_LV</t>
  </si>
  <si>
    <t>Harvest_Summary_After_GFX_TD_MG001_EQN_LV</t>
  </si>
  <si>
    <t>Harvest_Summary_After_GFX_TD_MG00C_EQN_LV</t>
  </si>
  <si>
    <t>Flow_MS001_TD_Mbist_BV</t>
  </si>
  <si>
    <t>Flow_MS005_TD_Mbist_BV</t>
  </si>
  <si>
    <t>Flow_MS002_TD_Mbist_BV</t>
  </si>
  <si>
    <t>Flow_MS003_TD_Mbist_BV</t>
  </si>
  <si>
    <t>Flow_MS004_TD_Mbist_BV</t>
  </si>
  <si>
    <t>Flow_MD001_TD_Mbist_BV</t>
  </si>
  <si>
    <t>Flow_MD008_TD_Mbist_BV</t>
  </si>
  <si>
    <t>Flow_MD002_TD_Mbist_BV</t>
  </si>
  <si>
    <t>Flow_MD003_TD_Mbist_BV</t>
  </si>
  <si>
    <t>Flow_MD004_TD_Mbist_BV</t>
  </si>
  <si>
    <t>Flow_MD005_TD_Mbist_BV</t>
  </si>
  <si>
    <t>Flow_MD006_TD_Mbist_BV</t>
  </si>
  <si>
    <t>Flow_MD007_TD_Mbist_BV</t>
  </si>
  <si>
    <t>Flow_MI001_TD_Mbist_BV</t>
  </si>
  <si>
    <t>Flow_MI003_TD_Mbist_BV</t>
  </si>
  <si>
    <t>Flow_MI002_TD_Mbist_BV</t>
  </si>
  <si>
    <t>Flow_MG001_TD_Mbist_BV</t>
  </si>
  <si>
    <t>Flow_MG00C_TD_Mbist_BV</t>
  </si>
  <si>
    <t>Flow_MG00D_TD_Mbist_BV</t>
  </si>
  <si>
    <t>Flow_MG002_TD_Mbist_BV</t>
  </si>
  <si>
    <t>Flow_MG003_TD_Mbist_BV</t>
  </si>
  <si>
    <t>Flow_MG004_TD_Mbist_BV</t>
  </si>
  <si>
    <t>Flow_MG005_TD_Mbist_BV</t>
  </si>
  <si>
    <t>Flow_MG006_TD_Mbist_BV</t>
  </si>
  <si>
    <t>Flow_MG007_TD_Mbist_BV</t>
  </si>
  <si>
    <t>Flow_MG008_TD_Mbist_BV</t>
  </si>
  <si>
    <t>Flow_MG009_TD_Mbist_BV</t>
  </si>
  <si>
    <t>Flow_MG00A_TD_Mbist_BV</t>
  </si>
  <si>
    <t>Flow_MG00B_TD_Mbist_BV</t>
  </si>
  <si>
    <t>Flow_ME001_TD_Mbist_BV</t>
  </si>
  <si>
    <t>Flow_ME007_TD_Mbist_BV</t>
  </si>
  <si>
    <t>Flow_ME002_TD_Mbist_BV</t>
  </si>
  <si>
    <t>Flow_ME003_TD_Mbist_BV</t>
  </si>
  <si>
    <t>Flow_ME004_TD_Mbist_BV</t>
  </si>
  <si>
    <t>Flow_ME005_TD_Mbist_BV</t>
  </si>
  <si>
    <t>Flow_ME006_TD_Mbist_BV</t>
  </si>
  <si>
    <t>Flow_MP001_TD_Mbist_BV</t>
  </si>
  <si>
    <t>Flow_MP00D_TD_Mbist_BV</t>
  </si>
  <si>
    <t>Flow_MP00I_TD_Mbist_BV</t>
  </si>
  <si>
    <t>Flow_MP002_TD_Mbist_BV</t>
  </si>
  <si>
    <t>Flow_MP003_TD_Mbist_BV</t>
  </si>
  <si>
    <t>Flow_MP004_TD_Mbist_BV</t>
  </si>
  <si>
    <t>Flow_MP005_TD_Mbist_BV</t>
  </si>
  <si>
    <t>Flow_MP006_TD_Mbist_BV</t>
  </si>
  <si>
    <t>Flow_MP007_TD_Mbist_BV</t>
  </si>
  <si>
    <t>Flow_MP008_TD_Mbist_BV</t>
  </si>
  <si>
    <t>Flow_MP009_TD_Mbist_BV</t>
  </si>
  <si>
    <t>Flow_MP00A_TD_Mbist_BV</t>
  </si>
  <si>
    <t>Flow_MP00B_TD_Mbist_BV</t>
  </si>
  <si>
    <t>Flow_MP00C_TD_Mbist_BV</t>
  </si>
  <si>
    <t>Flow_T0TX_PreCall</t>
  </si>
  <si>
    <t>Flow_VddBinning_HVCC</t>
  </si>
  <si>
    <t>Flow_EVS_ECPU_mbist_w0</t>
  </si>
  <si>
    <t>Flow_EVS_ECPU_mbist_w1</t>
  </si>
  <si>
    <t>Flow_EVS_PCPU_PCORES_mbist_w0</t>
  </si>
  <si>
    <t>Flow_EVS_PCPU_PCORES_mbist_w1</t>
  </si>
  <si>
    <t>Flow_EVS_PCPU_CPM_mbist_w0</t>
  </si>
  <si>
    <t>Flow_EVS_PCPU_CPM_mbist_w1</t>
  </si>
  <si>
    <t>Flow_EVS_PCPU_Scan_EVS00</t>
  </si>
  <si>
    <t>Flow_EVS_ECPU_Scan_EVS00</t>
  </si>
  <si>
    <t>Flow_EVS_PCPU_Scan_EVS11</t>
  </si>
  <si>
    <t>Flow_EVS_ECPU_Scan_EVS11</t>
  </si>
  <si>
    <t>Flow_EVS_GFX_MBIST_INVERSE</t>
  </si>
  <si>
    <t>Flow_EVS_GFX_MBIST_TRUE</t>
  </si>
  <si>
    <t>Flow_EVS_SOC_Scan_EVS0</t>
  </si>
  <si>
    <t>Flow_EVS_SOC_Scan_EVS1</t>
  </si>
  <si>
    <t>Flow_EVS_GFX_Scan_EVS0000</t>
  </si>
  <si>
    <t>Flow_EVS_GFX_Scan_EVS1111</t>
  </si>
  <si>
    <t>Flow_EVS_SOC_mbist_Split1_WD</t>
  </si>
  <si>
    <t>Flow_EVS_SOC_mbist_Split1_WB</t>
  </si>
  <si>
    <t>Flow_EVS_SOC_mbist_Split2_WD</t>
  </si>
  <si>
    <t>Flow_EVS_SOC_mbist_Split2_WB</t>
  </si>
  <si>
    <t>Flow_HARDIP_AMPLP5</t>
  </si>
  <si>
    <t>Flow_Char</t>
  </si>
  <si>
    <t>Flow_CPM</t>
  </si>
  <si>
    <t>Harvest_Flag_Status_SOC_SA</t>
  </si>
  <si>
    <t>Harvest_Flag_Status_GFX_SA</t>
  </si>
  <si>
    <t>Harvest_Flag_Status_ECPU_SA</t>
  </si>
  <si>
    <t>Harvest_Flag_Status_PCPU_SA</t>
  </si>
  <si>
    <t>Harvest_Flag_Status_SOC_BIST</t>
  </si>
  <si>
    <t>Harvest_Flag_Status_GFX_BIST</t>
  </si>
  <si>
    <t>Harvest_Flag_Status_SOC_TD</t>
  </si>
  <si>
    <t>Harvest_Flag_Status_GFX_TD</t>
  </si>
  <si>
    <t>Harvest_Flag_Status_ECPU_TD</t>
  </si>
  <si>
    <t>Harvest_Flag_Status_PCPU_TD</t>
  </si>
  <si>
    <t>Flow_eFuse_PreWrite</t>
  </si>
  <si>
    <t>Flow_efuse_PseudoFuse</t>
  </si>
  <si>
    <t>Flow_efuse_CFG</t>
  </si>
  <si>
    <t>Flow_efuse_UDR_P</t>
  </si>
  <si>
    <t>Flow_efuse_UDR_E</t>
  </si>
  <si>
    <t>Flow_efuse_MON</t>
  </si>
  <si>
    <t>Flow_efuse_Post</t>
  </si>
  <si>
    <t>Flow_efuse_CFG_Early</t>
  </si>
  <si>
    <t>FLOW_PCPU_TD_MP00L_EQN_LV</t>
  </si>
  <si>
    <t>Flow_MG00E_TD_Mbist_BV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</si>
</sst>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???.###E+00;\-???.###E+00;0"/>
  </numFmts>
  <fonts count="39"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color rgb="FF808080"/>
      <name val="Arial"/>
      <family val="2"/>
    </font>
    <font>
      <sz val="10"/>
      <name val="Courier New"/>
      <family val="3"/>
    </font>
    <font>
      <sz val="10"/>
      <color rgb="FF808080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color indexed="48"/>
      <name val="Arial"/>
      <family val="2"/>
    </font>
    <font>
      <b/>
      <sz val="11"/>
      <color theme="0"/>
      <name val="Calibri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1"/>
      <name val="Calibri"/>
      <family val="2"/>
    </font>
    <font>
      <sz val="11"/>
      <name val="Arial"/>
      <family val="1"/>
    </font>
    <font>
      <sz val="12"/>
      <color rgb="FF0061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36"/>
      <scheme val="minor"/>
    </font>
    <font>
      <sz val="10"/>
      <color indexed="51"/>
      <name val="Arial"/>
      <family val="2"/>
    </font>
    <font>
      <sz val="9"/>
      <name val="Calibri"/>
      <family val="1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6C67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67">
    <xf numFmtId="0" fontId="0" fillId="0" borderId="0"/>
    <xf numFmtId="0" fontId="6" fillId="0" borderId="0">
      <alignment vertical="center"/>
    </xf>
    <xf numFmtId="0" fontId="3" fillId="0" borderId="0"/>
    <xf numFmtId="0" fontId="10" fillId="0" borderId="2"/>
    <xf numFmtId="0" fontId="11" fillId="5" borderId="2"/>
    <xf numFmtId="0" fontId="10" fillId="0" borderId="2">
      <alignment wrapText="1"/>
    </xf>
    <xf numFmtId="164" fontId="12" fillId="0" borderId="2"/>
    <xf numFmtId="164" fontId="13" fillId="5" borderId="2"/>
    <xf numFmtId="49" fontId="14" fillId="0" borderId="2"/>
    <xf numFmtId="164" fontId="14" fillId="6" borderId="2"/>
    <xf numFmtId="0" fontId="15" fillId="0" borderId="2"/>
    <xf numFmtId="0" fontId="16" fillId="7" borderId="0"/>
    <xf numFmtId="0" fontId="17" fillId="7" borderId="0"/>
    <xf numFmtId="0" fontId="18" fillId="8" borderId="3">
      <alignment wrapText="1"/>
    </xf>
    <xf numFmtId="0" fontId="19" fillId="8" borderId="3">
      <alignment wrapText="1"/>
    </xf>
    <xf numFmtId="0" fontId="18" fillId="9" borderId="3">
      <alignment horizontal="center"/>
    </xf>
    <xf numFmtId="0" fontId="19" fillId="9" borderId="3">
      <alignment horizontal="center"/>
    </xf>
    <xf numFmtId="0" fontId="20" fillId="10" borderId="3">
      <alignment wrapText="1"/>
    </xf>
    <xf numFmtId="0" fontId="21" fillId="10" borderId="3">
      <alignment wrapText="1"/>
    </xf>
    <xf numFmtId="0" fontId="22" fillId="7" borderId="0"/>
    <xf numFmtId="0" fontId="20" fillId="0" borderId="0"/>
    <xf numFmtId="49" fontId="14" fillId="11" borderId="2"/>
    <xf numFmtId="49" fontId="14" fillId="12" borderId="2"/>
    <xf numFmtId="0" fontId="25" fillId="0" borderId="0"/>
    <xf numFmtId="0" fontId="3" fillId="0" borderId="0"/>
    <xf numFmtId="0" fontId="27" fillId="4" borderId="0" applyNumberFormat="0" applyBorder="0" applyAlignment="0" applyProtection="0"/>
    <xf numFmtId="0" fontId="26" fillId="0" borderId="0" applyNumberFormat="0" applyFill="0" applyBorder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25" fillId="0" borderId="0"/>
    <xf numFmtId="0" fontId="3" fillId="0" borderId="0"/>
    <xf numFmtId="0" fontId="9" fillId="0" borderId="0"/>
    <xf numFmtId="0" fontId="3" fillId="0" borderId="0"/>
    <xf numFmtId="0" fontId="3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0"/>
    <xf numFmtId="0" fontId="3" fillId="0" borderId="0"/>
    <xf numFmtId="0" fontId="32" fillId="0" borderId="0">
      <alignment horizontal="center" vertical="center"/>
    </xf>
    <xf numFmtId="0" fontId="9" fillId="14" borderId="0">
      <alignment horizontal="left" vertical="center"/>
    </xf>
    <xf numFmtId="0" fontId="9" fillId="0" borderId="0">
      <alignment horizontal="left" vertical="center" wrapText="1"/>
    </xf>
    <xf numFmtId="0" fontId="33" fillId="0" borderId="0"/>
    <xf numFmtId="0" fontId="34" fillId="3" borderId="0" applyNumberFormat="0" applyBorder="0" applyAlignment="0" applyProtection="0"/>
    <xf numFmtId="0" fontId="25" fillId="0" borderId="0"/>
    <xf numFmtId="0" fontId="30" fillId="0" borderId="0">
      <alignment vertical="center"/>
    </xf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25" fillId="0" borderId="0"/>
    <xf numFmtId="0" fontId="24" fillId="0" borderId="0"/>
    <xf numFmtId="0" fontId="3" fillId="0" borderId="0"/>
    <xf numFmtId="0" fontId="36" fillId="0" borderId="0">
      <alignment vertical="center"/>
    </xf>
    <xf numFmtId="0" fontId="3" fillId="0" borderId="0"/>
    <xf numFmtId="0" fontId="6" fillId="0" borderId="0"/>
    <xf numFmtId="0" fontId="25" fillId="0" borderId="0">
      <alignment vertical="center"/>
    </xf>
    <xf numFmtId="0" fontId="3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25" fillId="0" borderId="0"/>
    <xf numFmtId="0" fontId="34" fillId="3" borderId="0" applyNumberFormat="0" applyBorder="0" applyAlignment="0" applyProtection="0"/>
    <xf numFmtId="0" fontId="2" fillId="0" borderId="0"/>
    <xf numFmtId="0" fontId="1" fillId="0" borderId="0"/>
  </cellStyleXfs>
  <cellXfs count="23">
    <xf numFmtId="0" fontId="0" fillId="0" borderId="0" xfId="0"/>
    <xf numFmtId="0" fontId="7" fillId="0" borderId="0" xfId="1" applyFont="1">
      <alignment vertical="center"/>
    </xf>
    <xf numFmtId="0" fontId="7" fillId="0" borderId="0" xfId="0" applyFont="1"/>
    <xf numFmtId="1" fontId="7" fillId="0" borderId="0" xfId="0" applyNumberFormat="1" applyFont="1"/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49" fontId="14" fillId="0" borderId="1" xfId="8" applyBorder="1"/>
    <xf numFmtId="0" fontId="7" fillId="0" borderId="1" xfId="0" applyFont="1" applyBorder="1" applyAlignment="1">
      <alignment vertical="center"/>
    </xf>
    <xf numFmtId="0" fontId="0" fillId="0" borderId="1" xfId="0" applyBorder="1"/>
    <xf numFmtId="1" fontId="7" fillId="0" borderId="1" xfId="1" applyNumberFormat="1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left" vertical="center"/>
    </xf>
    <xf numFmtId="0" fontId="23" fillId="2" borderId="1" xfId="1" applyFont="1" applyFill="1" applyBorder="1">
      <alignment vertical="center"/>
    </xf>
    <xf numFmtId="0" fontId="14" fillId="0" borderId="1" xfId="10" applyFont="1" applyBorder="1"/>
    <xf numFmtId="1" fontId="23" fillId="2" borderId="1" xfId="1" applyNumberFormat="1" applyFont="1" applyFill="1" applyBorder="1">
      <alignment vertical="center"/>
    </xf>
    <xf numFmtId="0" fontId="7" fillId="13" borderId="1" xfId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7" fillId="0" borderId="2" xfId="3" applyFont="1"/>
    <xf numFmtId="0" fontId="7" fillId="0" borderId="1" xfId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/>
    </xf>
  </cellXfs>
  <cellStyles count="67">
    <cellStyle name="Bad 2" xfId="25"/>
    <cellStyle name="data" xfId="39"/>
    <cellStyle name="divider" xfId="38"/>
    <cellStyle name="Explanatory Text 2" xfId="34"/>
    <cellStyle name="Explanatory Text 3" xfId="26"/>
    <cellStyle name="Good 2" xfId="41"/>
    <cellStyle name="header" xfId="37"/>
    <cellStyle name="Hyperlink 2" xfId="28"/>
    <cellStyle name="Normal" xfId="0" builtinId="0"/>
    <cellStyle name="Normal 10 6 3" xfId="50"/>
    <cellStyle name="Normal 11 2 2" xfId="58"/>
    <cellStyle name="Normal 111" xfId="30"/>
    <cellStyle name="Normal 111 2" xfId="36"/>
    <cellStyle name="Normal 114" xfId="40"/>
    <cellStyle name="Normal 114 2" xfId="51"/>
    <cellStyle name="Normal 120 2 2 2 2 2 2 2 2" xfId="56"/>
    <cellStyle name="Normal 13" xfId="33"/>
    <cellStyle name="Normal 134" xfId="29"/>
    <cellStyle name="Normal 15 2 2" xfId="57"/>
    <cellStyle name="Normal 16 2" xfId="60"/>
    <cellStyle name="Normal 2" xfId="1"/>
    <cellStyle name="Normal 2 2" xfId="42"/>
    <cellStyle name="Normal 2 2 2" xfId="27"/>
    <cellStyle name="Normal 2 3" xfId="44"/>
    <cellStyle name="Normal 2 4" xfId="32"/>
    <cellStyle name="Normal 2 5 3" xfId="62"/>
    <cellStyle name="Normal 2 6" xfId="53"/>
    <cellStyle name="Normal 2 7" xfId="31"/>
    <cellStyle name="Normal 2 8" xfId="46"/>
    <cellStyle name="Normal 20" xfId="61"/>
    <cellStyle name="Normal 3" xfId="2"/>
    <cellStyle name="Normal 3 2" xfId="47"/>
    <cellStyle name="Normal 3 2 2" xfId="52"/>
    <cellStyle name="Normal 3 3" xfId="35"/>
    <cellStyle name="Normal 4" xfId="55"/>
    <cellStyle name="Normal 4 2" xfId="24"/>
    <cellStyle name="Normal 4 2 2" xfId="54"/>
    <cellStyle name="Normal 5" xfId="59"/>
    <cellStyle name="Normal 6" xfId="23"/>
    <cellStyle name="Normal 7" xfId="65"/>
    <cellStyle name="Normal 74 2 2 2" xfId="49"/>
    <cellStyle name="Normal 74 2 3 2" xfId="45"/>
    <cellStyle name="Normal 74 2 4" xfId="48"/>
    <cellStyle name="Normal 8" xfId="66"/>
    <cellStyle name="terColOpt" xfId="17"/>
    <cellStyle name="terColOptEditable" xfId="18"/>
    <cellStyle name="terColReqd" xfId="13"/>
    <cellStyle name="terColReqdEditable" xfId="14"/>
    <cellStyle name="terColTop" xfId="15"/>
    <cellStyle name="terColTopEditable" xfId="16"/>
    <cellStyle name="terEngr" xfId="6"/>
    <cellStyle name="terEngrReadOnly" xfId="7"/>
    <cellStyle name="terError" xfId="9"/>
    <cellStyle name="terGroup" xfId="10"/>
    <cellStyle name="terLabel" xfId="20"/>
    <cellStyle name="terNormal" xfId="3"/>
    <cellStyle name="terNormalReadOnly" xfId="4"/>
    <cellStyle name="terNormalWrapped" xfId="5"/>
    <cellStyle name="terTestFailed" xfId="22"/>
    <cellStyle name="terTestPassed" xfId="21"/>
    <cellStyle name="terText" xfId="8"/>
    <cellStyle name="terTitle" xfId="11"/>
    <cellStyle name="terTitleBar" xfId="12"/>
    <cellStyle name="terVersion" xfId="19"/>
    <cellStyle name="一般 2" xfId="63"/>
    <cellStyle name="一般 5" xfId="43"/>
    <cellStyle name="好 2" xfId="64"/>
  </cellStyles>
  <dxfs count="45"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H204"/>
  <sheetViews>
    <sheetView tabSelected="1" zoomScale="85" zoomScaleNormal="85" workbookViewId="0">
      <pane xSplit="1" ySplit="3" topLeftCell="B30" activePane="bottomRight" state="frozen"/>
      <selection pane="topRight" activeCell="C1" sqref="C1"/>
      <selection pane="bottomLeft" activeCell="A4" sqref="A4"/>
      <selection pane="bottomRight" activeCell="M52" sqref="M52"/>
    </sheetView>
  </sheetViews>
  <sheetFormatPr defaultRowHeight="15"/>
  <cols>
    <col min="1" max="1" width="9.140625" style="2"/>
    <col min="2" max="2" width="45.7109375" style="2" customWidth="1"/>
    <col min="3" max="3" width="19.7109375" style="2" bestFit="1" customWidth="1"/>
    <col min="4" max="4" width="43.42578125" style="2" bestFit="1" customWidth="1"/>
    <col min="5" max="6" width="14.140625" style="2" customWidth="1"/>
    <col min="7" max="7" width="14.140625" style="3" customWidth="1"/>
    <col min="8" max="16384" width="9.140625" style="2"/>
  </cols>
  <sheetData>
    <row r="1" spans="2:8">
      <c r="B1" s="1"/>
      <c r="C1" s="1"/>
      <c r="D1" s="1"/>
      <c r="E1" s="1"/>
    </row>
    <row r="2" spans="2:8">
      <c r="B2" s="1"/>
      <c r="C2" s="1"/>
      <c r="D2" s="1" t="s">
        <v>18</v>
      </c>
      <c r="E2" s="1"/>
      <c r="F2" s="2" t="s">
        <v>17</v>
      </c>
    </row>
    <row r="3" spans="2:8">
      <c r="B3" s="13" t="s">
        <v>16</v>
      </c>
      <c r="C3" s="13" t="s">
        <v>0</v>
      </c>
      <c r="D3" s="13" t="s">
        <v>1</v>
      </c>
      <c r="E3" s="13" t="s">
        <v>2</v>
      </c>
      <c r="F3" s="13" t="s">
        <v>3</v>
      </c>
      <c r="G3" s="15" t="s">
        <v>91</v>
      </c>
    </row>
    <row r="4" spans="2:8">
      <c r="B4" s="8" t="s">
        <v>4</v>
      </c>
      <c r="C4" s="4">
        <v>100</v>
      </c>
      <c r="D4" s="4">
        <v>99999</v>
      </c>
      <c r="E4" s="4">
        <v>99899</v>
      </c>
      <c r="F4" s="5">
        <v>100</v>
      </c>
      <c r="G4" s="6">
        <v>998</v>
      </c>
    </row>
    <row r="5" spans="2:8">
      <c r="B5" s="8" t="s">
        <v>46</v>
      </c>
      <c r="C5" s="4">
        <f t="shared" ref="C5:C17" si="0">D4+1</f>
        <v>100000</v>
      </c>
      <c r="D5" s="4">
        <f t="shared" ref="D5:D19" si="1">C5+E5-1</f>
        <v>199999</v>
      </c>
      <c r="E5" s="4">
        <f>G5*F5</f>
        <v>100000</v>
      </c>
      <c r="F5" s="5">
        <v>500</v>
      </c>
      <c r="G5" s="6">
        <v>200</v>
      </c>
    </row>
    <row r="6" spans="2:8">
      <c r="B6" s="8" t="s">
        <v>47</v>
      </c>
      <c r="C6" s="4">
        <f t="shared" si="0"/>
        <v>200000</v>
      </c>
      <c r="D6" s="4">
        <f t="shared" si="1"/>
        <v>299999</v>
      </c>
      <c r="E6" s="4">
        <f t="shared" ref="E6:E79" si="2">G6*F6</f>
        <v>100000</v>
      </c>
      <c r="F6" s="5">
        <v>500</v>
      </c>
      <c r="G6" s="6">
        <v>200</v>
      </c>
    </row>
    <row r="7" spans="2:8">
      <c r="B7" s="8" t="s">
        <v>48</v>
      </c>
      <c r="C7" s="4">
        <f t="shared" si="0"/>
        <v>300000</v>
      </c>
      <c r="D7" s="4">
        <f t="shared" si="1"/>
        <v>399999</v>
      </c>
      <c r="E7" s="4">
        <f t="shared" si="2"/>
        <v>100000</v>
      </c>
      <c r="F7" s="5">
        <v>500</v>
      </c>
      <c r="G7" s="6">
        <v>200</v>
      </c>
    </row>
    <row r="8" spans="2:8">
      <c r="B8" s="8" t="s">
        <v>49</v>
      </c>
      <c r="C8" s="4">
        <f t="shared" si="0"/>
        <v>400000</v>
      </c>
      <c r="D8" s="4">
        <f t="shared" si="1"/>
        <v>499999</v>
      </c>
      <c r="E8" s="4">
        <f t="shared" si="2"/>
        <v>100000</v>
      </c>
      <c r="F8" s="5">
        <v>500</v>
      </c>
      <c r="G8" s="6">
        <v>200</v>
      </c>
    </row>
    <row r="9" spans="2:8">
      <c r="B9" s="8" t="s">
        <v>50</v>
      </c>
      <c r="C9" s="4">
        <f t="shared" si="0"/>
        <v>500000</v>
      </c>
      <c r="D9" s="4">
        <f t="shared" si="1"/>
        <v>599999</v>
      </c>
      <c r="E9" s="4">
        <f t="shared" si="2"/>
        <v>100000</v>
      </c>
      <c r="F9" s="5">
        <v>500</v>
      </c>
      <c r="G9" s="6">
        <v>200</v>
      </c>
    </row>
    <row r="10" spans="2:8">
      <c r="B10" s="8" t="s">
        <v>51</v>
      </c>
      <c r="C10" s="4">
        <f t="shared" si="0"/>
        <v>600000</v>
      </c>
      <c r="D10" s="4">
        <f t="shared" si="1"/>
        <v>699999</v>
      </c>
      <c r="E10" s="4">
        <f t="shared" si="2"/>
        <v>100000</v>
      </c>
      <c r="F10" s="5">
        <v>500</v>
      </c>
      <c r="G10" s="6">
        <v>200</v>
      </c>
    </row>
    <row r="11" spans="2:8">
      <c r="B11" s="8" t="s">
        <v>52</v>
      </c>
      <c r="C11" s="4">
        <f t="shared" si="0"/>
        <v>700000</v>
      </c>
      <c r="D11" s="4">
        <f t="shared" si="1"/>
        <v>799999</v>
      </c>
      <c r="E11" s="4">
        <f t="shared" si="2"/>
        <v>100000</v>
      </c>
      <c r="F11" s="5">
        <v>500</v>
      </c>
      <c r="G11" s="6">
        <v>200</v>
      </c>
    </row>
    <row r="12" spans="2:8">
      <c r="B12" s="8" t="s">
        <v>53</v>
      </c>
      <c r="C12" s="4">
        <f t="shared" si="0"/>
        <v>800000</v>
      </c>
      <c r="D12" s="4">
        <f t="shared" si="1"/>
        <v>1099999</v>
      </c>
      <c r="E12" s="4">
        <f t="shared" si="2"/>
        <v>300000</v>
      </c>
      <c r="F12" s="5">
        <v>500</v>
      </c>
      <c r="G12" s="6">
        <v>600</v>
      </c>
    </row>
    <row r="13" spans="2:8">
      <c r="B13" s="8" t="s">
        <v>54</v>
      </c>
      <c r="C13" s="4">
        <f t="shared" si="0"/>
        <v>1100000</v>
      </c>
      <c r="D13" s="4">
        <f t="shared" si="1"/>
        <v>1599999</v>
      </c>
      <c r="E13" s="4">
        <f t="shared" si="2"/>
        <v>500000</v>
      </c>
      <c r="F13" s="5">
        <v>500</v>
      </c>
      <c r="G13" s="6">
        <v>1000</v>
      </c>
    </row>
    <row r="14" spans="2:8">
      <c r="B14" s="8" t="s">
        <v>55</v>
      </c>
      <c r="C14" s="4">
        <f t="shared" si="0"/>
        <v>1600000</v>
      </c>
      <c r="D14" s="4">
        <f t="shared" si="1"/>
        <v>1999999</v>
      </c>
      <c r="E14" s="4">
        <f t="shared" si="2"/>
        <v>400000</v>
      </c>
      <c r="F14" s="5">
        <v>500</v>
      </c>
      <c r="G14" s="6">
        <v>800</v>
      </c>
    </row>
    <row r="15" spans="2:8">
      <c r="B15" s="8" t="s">
        <v>56</v>
      </c>
      <c r="C15" s="4">
        <f t="shared" si="0"/>
        <v>2000000</v>
      </c>
      <c r="D15" s="4">
        <f t="shared" si="1"/>
        <v>2199999</v>
      </c>
      <c r="E15" s="4">
        <f t="shared" si="2"/>
        <v>200000</v>
      </c>
      <c r="F15" s="5">
        <v>500</v>
      </c>
      <c r="G15" s="6">
        <v>400</v>
      </c>
    </row>
    <row r="16" spans="2:8">
      <c r="B16" s="8" t="s">
        <v>57</v>
      </c>
      <c r="C16" s="4">
        <f t="shared" si="0"/>
        <v>2200000</v>
      </c>
      <c r="D16" s="4">
        <f t="shared" si="1"/>
        <v>2299999</v>
      </c>
      <c r="E16" s="4">
        <f t="shared" si="2"/>
        <v>100000</v>
      </c>
      <c r="F16" s="4">
        <v>500</v>
      </c>
      <c r="G16" s="6">
        <v>200</v>
      </c>
      <c r="H16" s="1"/>
    </row>
    <row r="17" spans="2:8">
      <c r="B17" s="8" t="s">
        <v>58</v>
      </c>
      <c r="C17" s="4">
        <f t="shared" si="0"/>
        <v>2300000</v>
      </c>
      <c r="D17" s="4">
        <f t="shared" si="1"/>
        <v>2499999</v>
      </c>
      <c r="E17" s="4">
        <f t="shared" si="2"/>
        <v>200000</v>
      </c>
      <c r="F17" s="4">
        <v>500</v>
      </c>
      <c r="G17" s="6">
        <v>400</v>
      </c>
      <c r="H17" s="1"/>
    </row>
    <row r="18" spans="2:8">
      <c r="B18" s="8" t="s">
        <v>184</v>
      </c>
      <c r="C18" s="4">
        <f>D17+1</f>
        <v>2500000</v>
      </c>
      <c r="D18" s="4">
        <f t="shared" si="1"/>
        <v>2539999</v>
      </c>
      <c r="E18" s="4">
        <f t="shared" ref="E18" si="3">G18*F18</f>
        <v>40000</v>
      </c>
      <c r="F18" s="4">
        <v>100</v>
      </c>
      <c r="G18" s="6">
        <v>400</v>
      </c>
      <c r="H18" s="1"/>
    </row>
    <row r="19" spans="2:8">
      <c r="B19" s="8" t="s">
        <v>5</v>
      </c>
      <c r="C19" s="4">
        <f>D18+1</f>
        <v>2540000</v>
      </c>
      <c r="D19" s="4">
        <f t="shared" si="1"/>
        <v>2549999</v>
      </c>
      <c r="E19" s="4">
        <f t="shared" si="2"/>
        <v>10000</v>
      </c>
      <c r="F19" s="4">
        <v>100</v>
      </c>
      <c r="G19" s="6">
        <v>100</v>
      </c>
    </row>
    <row r="20" spans="2:8">
      <c r="B20" s="8" t="s">
        <v>6</v>
      </c>
      <c r="C20" s="4">
        <f>D19+1</f>
        <v>2550000</v>
      </c>
      <c r="D20" s="4">
        <f>C20+E20-1</f>
        <v>2550999</v>
      </c>
      <c r="E20" s="4">
        <f>G20*F20</f>
        <v>1000</v>
      </c>
      <c r="F20" s="4">
        <v>100</v>
      </c>
      <c r="G20" s="6">
        <v>10</v>
      </c>
    </row>
    <row r="21" spans="2:8">
      <c r="B21" s="7" t="s">
        <v>164</v>
      </c>
      <c r="C21" s="4">
        <f t="shared" ref="C21:C41" si="4">D20+1</f>
        <v>2551000</v>
      </c>
      <c r="D21" s="4">
        <f t="shared" ref="D21:D40" si="5">C21+E21-1</f>
        <v>2554499</v>
      </c>
      <c r="E21" s="4">
        <f t="shared" ref="E21:E40" si="6">G21*F21</f>
        <v>3500</v>
      </c>
      <c r="F21" s="4">
        <v>100</v>
      </c>
      <c r="G21" s="6">
        <v>35</v>
      </c>
    </row>
    <row r="22" spans="2:8">
      <c r="B22" s="7" t="s">
        <v>165</v>
      </c>
      <c r="C22" s="4">
        <f t="shared" si="4"/>
        <v>2554500</v>
      </c>
      <c r="D22" s="4">
        <f t="shared" si="5"/>
        <v>2557999</v>
      </c>
      <c r="E22" s="4">
        <f t="shared" si="6"/>
        <v>3500</v>
      </c>
      <c r="F22" s="4">
        <v>100</v>
      </c>
      <c r="G22" s="6">
        <v>35</v>
      </c>
    </row>
    <row r="23" spans="2:8">
      <c r="B23" s="7" t="s">
        <v>166</v>
      </c>
      <c r="C23" s="4">
        <f t="shared" si="4"/>
        <v>2558000</v>
      </c>
      <c r="D23" s="4">
        <f t="shared" si="5"/>
        <v>2561499</v>
      </c>
      <c r="E23" s="4">
        <f t="shared" si="6"/>
        <v>3500</v>
      </c>
      <c r="F23" s="4">
        <v>100</v>
      </c>
      <c r="G23" s="6">
        <v>35</v>
      </c>
    </row>
    <row r="24" spans="2:8">
      <c r="B24" s="7" t="s">
        <v>167</v>
      </c>
      <c r="C24" s="4">
        <f t="shared" si="4"/>
        <v>2561500</v>
      </c>
      <c r="D24" s="4">
        <f t="shared" si="5"/>
        <v>2564999</v>
      </c>
      <c r="E24" s="4">
        <f t="shared" si="6"/>
        <v>3500</v>
      </c>
      <c r="F24" s="4">
        <v>100</v>
      </c>
      <c r="G24" s="6">
        <v>35</v>
      </c>
    </row>
    <row r="25" spans="2:8">
      <c r="B25" s="7" t="s">
        <v>168</v>
      </c>
      <c r="C25" s="4">
        <f t="shared" si="4"/>
        <v>2565000</v>
      </c>
      <c r="D25" s="4">
        <f t="shared" si="5"/>
        <v>2568499</v>
      </c>
      <c r="E25" s="4">
        <f t="shared" si="6"/>
        <v>3500</v>
      </c>
      <c r="F25" s="4">
        <v>100</v>
      </c>
      <c r="G25" s="6">
        <v>35</v>
      </c>
    </row>
    <row r="26" spans="2:8">
      <c r="B26" s="7" t="s">
        <v>169</v>
      </c>
      <c r="C26" s="4">
        <f t="shared" si="4"/>
        <v>2568500</v>
      </c>
      <c r="D26" s="4">
        <f t="shared" si="5"/>
        <v>2571999</v>
      </c>
      <c r="E26" s="4">
        <f t="shared" si="6"/>
        <v>3500</v>
      </c>
      <c r="F26" s="4">
        <v>100</v>
      </c>
      <c r="G26" s="6">
        <v>35</v>
      </c>
    </row>
    <row r="27" spans="2:8">
      <c r="B27" s="7" t="s">
        <v>170</v>
      </c>
      <c r="C27" s="4">
        <f t="shared" si="4"/>
        <v>2572000</v>
      </c>
      <c r="D27" s="4">
        <f t="shared" si="5"/>
        <v>2575499</v>
      </c>
      <c r="E27" s="4">
        <f t="shared" si="6"/>
        <v>3500</v>
      </c>
      <c r="F27" s="4">
        <v>100</v>
      </c>
      <c r="G27" s="6">
        <v>35</v>
      </c>
    </row>
    <row r="28" spans="2:8">
      <c r="B28" s="7" t="s">
        <v>171</v>
      </c>
      <c r="C28" s="4">
        <f t="shared" si="4"/>
        <v>2575500</v>
      </c>
      <c r="D28" s="4">
        <f t="shared" si="5"/>
        <v>2578999</v>
      </c>
      <c r="E28" s="4">
        <f t="shared" si="6"/>
        <v>3500</v>
      </c>
      <c r="F28" s="4">
        <v>100</v>
      </c>
      <c r="G28" s="6">
        <v>35</v>
      </c>
    </row>
    <row r="29" spans="2:8">
      <c r="B29" s="7" t="s">
        <v>172</v>
      </c>
      <c r="C29" s="4">
        <f t="shared" si="4"/>
        <v>2579000</v>
      </c>
      <c r="D29" s="4">
        <f t="shared" si="5"/>
        <v>2582499</v>
      </c>
      <c r="E29" s="4">
        <f t="shared" si="6"/>
        <v>3500</v>
      </c>
      <c r="F29" s="4">
        <v>100</v>
      </c>
      <c r="G29" s="6">
        <v>35</v>
      </c>
    </row>
    <row r="30" spans="2:8">
      <c r="B30" s="7" t="s">
        <v>173</v>
      </c>
      <c r="C30" s="4">
        <f t="shared" si="4"/>
        <v>2582500</v>
      </c>
      <c r="D30" s="4">
        <f t="shared" si="5"/>
        <v>2585999</v>
      </c>
      <c r="E30" s="4">
        <f t="shared" si="6"/>
        <v>3500</v>
      </c>
      <c r="F30" s="4">
        <v>100</v>
      </c>
      <c r="G30" s="6">
        <v>35</v>
      </c>
    </row>
    <row r="31" spans="2:8">
      <c r="B31" s="7" t="s">
        <v>174</v>
      </c>
      <c r="C31" s="4">
        <f t="shared" si="4"/>
        <v>2586000</v>
      </c>
      <c r="D31" s="4">
        <f t="shared" si="5"/>
        <v>2589499</v>
      </c>
      <c r="E31" s="4">
        <f t="shared" si="6"/>
        <v>3500</v>
      </c>
      <c r="F31" s="4">
        <v>100</v>
      </c>
      <c r="G31" s="6">
        <v>35</v>
      </c>
    </row>
    <row r="32" spans="2:8">
      <c r="B32" s="7" t="s">
        <v>175</v>
      </c>
      <c r="C32" s="4">
        <f t="shared" si="4"/>
        <v>2589500</v>
      </c>
      <c r="D32" s="4">
        <f t="shared" si="5"/>
        <v>2592999</v>
      </c>
      <c r="E32" s="4">
        <f t="shared" si="6"/>
        <v>3500</v>
      </c>
      <c r="F32" s="4">
        <v>100</v>
      </c>
      <c r="G32" s="6">
        <v>35</v>
      </c>
    </row>
    <row r="33" spans="2:8">
      <c r="B33" s="7" t="s">
        <v>176</v>
      </c>
      <c r="C33" s="4">
        <f t="shared" si="4"/>
        <v>2593000</v>
      </c>
      <c r="D33" s="4">
        <f t="shared" si="5"/>
        <v>2596499</v>
      </c>
      <c r="E33" s="4">
        <f t="shared" si="6"/>
        <v>3500</v>
      </c>
      <c r="F33" s="4">
        <v>100</v>
      </c>
      <c r="G33" s="6">
        <v>35</v>
      </c>
    </row>
    <row r="34" spans="2:8">
      <c r="B34" s="7" t="s">
        <v>177</v>
      </c>
      <c r="C34" s="4">
        <f t="shared" si="4"/>
        <v>2596500</v>
      </c>
      <c r="D34" s="4">
        <f t="shared" si="5"/>
        <v>2599999</v>
      </c>
      <c r="E34" s="4">
        <f t="shared" si="6"/>
        <v>3500</v>
      </c>
      <c r="F34" s="4">
        <v>100</v>
      </c>
      <c r="G34" s="6">
        <v>35</v>
      </c>
    </row>
    <row r="35" spans="2:8">
      <c r="B35" s="7" t="s">
        <v>178</v>
      </c>
      <c r="C35" s="4">
        <f t="shared" si="4"/>
        <v>2600000</v>
      </c>
      <c r="D35" s="4">
        <f t="shared" si="5"/>
        <v>2603499</v>
      </c>
      <c r="E35" s="4">
        <f t="shared" si="6"/>
        <v>3500</v>
      </c>
      <c r="F35" s="4">
        <v>100</v>
      </c>
      <c r="G35" s="6">
        <v>35</v>
      </c>
    </row>
    <row r="36" spans="2:8">
      <c r="B36" s="7" t="s">
        <v>179</v>
      </c>
      <c r="C36" s="4">
        <f t="shared" si="4"/>
        <v>2603500</v>
      </c>
      <c r="D36" s="4">
        <f t="shared" si="5"/>
        <v>2606999</v>
      </c>
      <c r="E36" s="4">
        <f t="shared" si="6"/>
        <v>3500</v>
      </c>
      <c r="F36" s="4">
        <v>100</v>
      </c>
      <c r="G36" s="6">
        <v>35</v>
      </c>
    </row>
    <row r="37" spans="2:8">
      <c r="B37" s="7" t="s">
        <v>180</v>
      </c>
      <c r="C37" s="4">
        <f t="shared" si="4"/>
        <v>2607000</v>
      </c>
      <c r="D37" s="4">
        <f t="shared" si="5"/>
        <v>2610499</v>
      </c>
      <c r="E37" s="4">
        <f t="shared" si="6"/>
        <v>3500</v>
      </c>
      <c r="F37" s="21">
        <v>200</v>
      </c>
      <c r="G37" s="22">
        <v>17.5</v>
      </c>
    </row>
    <row r="38" spans="2:8">
      <c r="B38" s="7" t="s">
        <v>181</v>
      </c>
      <c r="C38" s="4">
        <f t="shared" si="4"/>
        <v>2610500</v>
      </c>
      <c r="D38" s="4">
        <f t="shared" si="5"/>
        <v>2613999</v>
      </c>
      <c r="E38" s="4">
        <f t="shared" si="6"/>
        <v>3500</v>
      </c>
      <c r="F38" s="21">
        <v>200</v>
      </c>
      <c r="G38" s="22">
        <v>17.5</v>
      </c>
    </row>
    <row r="39" spans="2:8">
      <c r="B39" s="7" t="s">
        <v>182</v>
      </c>
      <c r="C39" s="4">
        <f t="shared" si="4"/>
        <v>2614000</v>
      </c>
      <c r="D39" s="4">
        <f t="shared" si="5"/>
        <v>2617499</v>
      </c>
      <c r="E39" s="4">
        <f t="shared" si="6"/>
        <v>3500</v>
      </c>
      <c r="F39" s="21">
        <v>200</v>
      </c>
      <c r="G39" s="22">
        <v>17.5</v>
      </c>
    </row>
    <row r="40" spans="2:8">
      <c r="B40" s="7" t="s">
        <v>183</v>
      </c>
      <c r="C40" s="4">
        <f t="shared" si="4"/>
        <v>2617500</v>
      </c>
      <c r="D40" s="4">
        <f t="shared" si="5"/>
        <v>2620999</v>
      </c>
      <c r="E40" s="4">
        <f t="shared" si="6"/>
        <v>3500</v>
      </c>
      <c r="F40" s="21">
        <v>200</v>
      </c>
      <c r="G40" s="22">
        <v>17.5</v>
      </c>
    </row>
    <row r="41" spans="2:8">
      <c r="B41" s="8" t="s">
        <v>7</v>
      </c>
      <c r="C41" s="4">
        <f t="shared" si="4"/>
        <v>2621000</v>
      </c>
      <c r="D41" s="4">
        <f>C41+E41-1</f>
        <v>2629999</v>
      </c>
      <c r="E41" s="4">
        <f>G41*F41</f>
        <v>9000</v>
      </c>
      <c r="F41" s="4">
        <v>100</v>
      </c>
      <c r="G41" s="6">
        <v>90</v>
      </c>
    </row>
    <row r="42" spans="2:8">
      <c r="B42" s="9" t="s">
        <v>19</v>
      </c>
      <c r="C42" s="4">
        <f>D41+1</f>
        <v>2630000</v>
      </c>
      <c r="D42" s="4">
        <f>C42+E42-1</f>
        <v>2679999</v>
      </c>
      <c r="E42" s="4">
        <f t="shared" si="2"/>
        <v>50000</v>
      </c>
      <c r="F42" s="4">
        <v>100</v>
      </c>
      <c r="G42" s="6">
        <v>500</v>
      </c>
      <c r="H42" s="1"/>
    </row>
    <row r="43" spans="2:8">
      <c r="B43" s="9" t="s">
        <v>20</v>
      </c>
      <c r="C43" s="4">
        <f>D42+1</f>
        <v>2680000</v>
      </c>
      <c r="D43" s="4">
        <f>C43+E43-1</f>
        <v>2729999</v>
      </c>
      <c r="E43" s="4">
        <f t="shared" si="2"/>
        <v>50000</v>
      </c>
      <c r="F43" s="4">
        <v>100</v>
      </c>
      <c r="G43" s="6">
        <v>500</v>
      </c>
      <c r="H43" s="1"/>
    </row>
    <row r="44" spans="2:8">
      <c r="B44" s="9" t="s">
        <v>21</v>
      </c>
      <c r="C44" s="4">
        <f t="shared" ref="C44:C56" si="7">D43+1</f>
        <v>2730000</v>
      </c>
      <c r="D44" s="4">
        <f>C44+E44-1</f>
        <v>2779999</v>
      </c>
      <c r="E44" s="4">
        <f t="shared" si="2"/>
        <v>50000</v>
      </c>
      <c r="F44" s="4">
        <v>100</v>
      </c>
      <c r="G44" s="6">
        <v>500</v>
      </c>
      <c r="H44" s="1"/>
    </row>
    <row r="45" spans="2:8">
      <c r="B45" s="9" t="s">
        <v>22</v>
      </c>
      <c r="C45" s="4">
        <f t="shared" si="7"/>
        <v>2780000</v>
      </c>
      <c r="D45" s="4">
        <f t="shared" ref="D45:D56" si="8">C45+E45-1</f>
        <v>2829999</v>
      </c>
      <c r="E45" s="4">
        <f t="shared" si="2"/>
        <v>50000</v>
      </c>
      <c r="F45" s="4">
        <v>100</v>
      </c>
      <c r="G45" s="6">
        <v>500</v>
      </c>
      <c r="H45" s="1"/>
    </row>
    <row r="46" spans="2:8">
      <c r="B46" s="9" t="s">
        <v>23</v>
      </c>
      <c r="C46" s="4">
        <f t="shared" si="7"/>
        <v>2830000</v>
      </c>
      <c r="D46" s="4">
        <f>C46+E46-1</f>
        <v>2879999</v>
      </c>
      <c r="E46" s="4">
        <f t="shared" si="2"/>
        <v>50000</v>
      </c>
      <c r="F46" s="4">
        <v>100</v>
      </c>
      <c r="G46" s="6">
        <v>500</v>
      </c>
      <c r="H46" s="1"/>
    </row>
    <row r="47" spans="2:8">
      <c r="B47" s="9" t="s">
        <v>24</v>
      </c>
      <c r="C47" s="4">
        <f t="shared" si="7"/>
        <v>2880000</v>
      </c>
      <c r="D47" s="4">
        <f t="shared" si="8"/>
        <v>2929999</v>
      </c>
      <c r="E47" s="4">
        <f t="shared" si="2"/>
        <v>50000</v>
      </c>
      <c r="F47" s="4">
        <v>100</v>
      </c>
      <c r="G47" s="6">
        <v>500</v>
      </c>
      <c r="H47" s="1"/>
    </row>
    <row r="48" spans="2:8">
      <c r="B48" s="9" t="s">
        <v>25</v>
      </c>
      <c r="C48" s="4">
        <f t="shared" si="7"/>
        <v>2930000</v>
      </c>
      <c r="D48" s="4">
        <f t="shared" si="8"/>
        <v>2979999</v>
      </c>
      <c r="E48" s="4">
        <f t="shared" si="2"/>
        <v>50000</v>
      </c>
      <c r="F48" s="4">
        <v>200</v>
      </c>
      <c r="G48" s="6">
        <v>250</v>
      </c>
      <c r="H48" s="1"/>
    </row>
    <row r="49" spans="2:8">
      <c r="B49" s="9" t="s">
        <v>26</v>
      </c>
      <c r="C49" s="4">
        <f t="shared" si="7"/>
        <v>2980000</v>
      </c>
      <c r="D49" s="4">
        <f t="shared" si="8"/>
        <v>3029999</v>
      </c>
      <c r="E49" s="4">
        <f t="shared" si="2"/>
        <v>50000</v>
      </c>
      <c r="F49" s="4">
        <v>100</v>
      </c>
      <c r="G49" s="6">
        <v>500</v>
      </c>
      <c r="H49" s="1"/>
    </row>
    <row r="50" spans="2:8">
      <c r="B50" s="9" t="s">
        <v>27</v>
      </c>
      <c r="C50" s="4">
        <f t="shared" si="7"/>
        <v>3030000</v>
      </c>
      <c r="D50" s="4">
        <f t="shared" si="8"/>
        <v>3079999</v>
      </c>
      <c r="E50" s="4">
        <f t="shared" si="2"/>
        <v>50000</v>
      </c>
      <c r="F50" s="4">
        <v>100</v>
      </c>
      <c r="G50" s="6">
        <v>500</v>
      </c>
      <c r="H50" s="1"/>
    </row>
    <row r="51" spans="2:8">
      <c r="B51" s="9" t="s">
        <v>28</v>
      </c>
      <c r="C51" s="4">
        <f t="shared" si="7"/>
        <v>3080000</v>
      </c>
      <c r="D51" s="4">
        <f t="shared" si="8"/>
        <v>3129999</v>
      </c>
      <c r="E51" s="4">
        <f t="shared" si="2"/>
        <v>50000</v>
      </c>
      <c r="F51" s="4">
        <v>100</v>
      </c>
      <c r="G51" s="6">
        <v>500</v>
      </c>
      <c r="H51" s="1"/>
    </row>
    <row r="52" spans="2:8">
      <c r="B52" s="9" t="s">
        <v>29</v>
      </c>
      <c r="C52" s="4">
        <f t="shared" si="7"/>
        <v>3130000</v>
      </c>
      <c r="D52" s="4">
        <f t="shared" si="8"/>
        <v>3179999</v>
      </c>
      <c r="E52" s="4">
        <f t="shared" si="2"/>
        <v>50000</v>
      </c>
      <c r="F52" s="4">
        <v>100</v>
      </c>
      <c r="G52" s="6">
        <v>500</v>
      </c>
      <c r="H52" s="1"/>
    </row>
    <row r="53" spans="2:8">
      <c r="B53" s="9" t="s">
        <v>30</v>
      </c>
      <c r="C53" s="4">
        <f t="shared" si="7"/>
        <v>3180000</v>
      </c>
      <c r="D53" s="4">
        <f t="shared" si="8"/>
        <v>3229999</v>
      </c>
      <c r="E53" s="4">
        <f t="shared" si="2"/>
        <v>50000</v>
      </c>
      <c r="F53" s="4">
        <v>100</v>
      </c>
      <c r="G53" s="6">
        <v>500</v>
      </c>
      <c r="H53" s="1"/>
    </row>
    <row r="54" spans="2:8">
      <c r="B54" s="9" t="s">
        <v>31</v>
      </c>
      <c r="C54" s="4">
        <f t="shared" si="7"/>
        <v>3230000</v>
      </c>
      <c r="D54" s="4">
        <f t="shared" si="8"/>
        <v>3279999</v>
      </c>
      <c r="E54" s="4">
        <f t="shared" si="2"/>
        <v>50000</v>
      </c>
      <c r="F54" s="4">
        <v>100</v>
      </c>
      <c r="G54" s="6">
        <v>500</v>
      </c>
      <c r="H54" s="1"/>
    </row>
    <row r="55" spans="2:8">
      <c r="B55" s="9" t="s">
        <v>32</v>
      </c>
      <c r="C55" s="4">
        <f t="shared" si="7"/>
        <v>3280000</v>
      </c>
      <c r="D55" s="4">
        <f t="shared" si="8"/>
        <v>3329999</v>
      </c>
      <c r="E55" s="4">
        <f t="shared" si="2"/>
        <v>50000</v>
      </c>
      <c r="F55" s="4">
        <v>100</v>
      </c>
      <c r="G55" s="6">
        <v>500</v>
      </c>
      <c r="H55" s="1"/>
    </row>
    <row r="56" spans="2:8">
      <c r="B56" s="9" t="s">
        <v>33</v>
      </c>
      <c r="C56" s="4">
        <f t="shared" si="7"/>
        <v>3330000</v>
      </c>
      <c r="D56" s="4">
        <f t="shared" si="8"/>
        <v>3354999</v>
      </c>
      <c r="E56" s="4">
        <f t="shared" si="2"/>
        <v>25000</v>
      </c>
      <c r="F56" s="4">
        <v>100</v>
      </c>
      <c r="G56" s="6">
        <v>250</v>
      </c>
      <c r="H56" s="1"/>
    </row>
    <row r="57" spans="2:8">
      <c r="B57" s="9" t="s">
        <v>205</v>
      </c>
      <c r="C57" s="4">
        <f t="shared" ref="C57" si="9">D56+1</f>
        <v>3355000</v>
      </c>
      <c r="D57" s="4">
        <f t="shared" ref="D57" si="10">C57+E57-1</f>
        <v>3379999</v>
      </c>
      <c r="E57" s="4">
        <f t="shared" ref="E57" si="11">G57*F57</f>
        <v>25000</v>
      </c>
      <c r="F57" s="4">
        <v>100</v>
      </c>
      <c r="G57" s="6">
        <v>250</v>
      </c>
      <c r="H57" s="1"/>
    </row>
    <row r="58" spans="2:8">
      <c r="B58" s="8" t="s">
        <v>8</v>
      </c>
      <c r="C58" s="16">
        <v>5790000</v>
      </c>
      <c r="D58" s="4">
        <f>C58+E58-1</f>
        <v>5839999</v>
      </c>
      <c r="E58" s="4">
        <f t="shared" si="2"/>
        <v>50000</v>
      </c>
      <c r="F58" s="4">
        <v>100</v>
      </c>
      <c r="G58" s="6">
        <v>500</v>
      </c>
      <c r="H58" s="1"/>
    </row>
    <row r="59" spans="2:8">
      <c r="B59" s="8" t="s">
        <v>59</v>
      </c>
      <c r="C59" s="4">
        <f t="shared" ref="C59:C95" si="12">D58+1</f>
        <v>5840000</v>
      </c>
      <c r="D59" s="4">
        <f t="shared" ref="D59:D95" si="13">C59+E59-1</f>
        <v>6139999</v>
      </c>
      <c r="E59" s="4">
        <f t="shared" si="2"/>
        <v>300000</v>
      </c>
      <c r="F59" s="4">
        <v>500</v>
      </c>
      <c r="G59" s="6">
        <v>600</v>
      </c>
      <c r="H59" s="1"/>
    </row>
    <row r="60" spans="2:8">
      <c r="B60" s="8" t="s">
        <v>60</v>
      </c>
      <c r="C60" s="4">
        <f t="shared" si="12"/>
        <v>6140000</v>
      </c>
      <c r="D60" s="4">
        <f t="shared" si="13"/>
        <v>6339999</v>
      </c>
      <c r="E60" s="4">
        <f t="shared" si="2"/>
        <v>200000</v>
      </c>
      <c r="F60" s="4">
        <v>500</v>
      </c>
      <c r="G60" s="6">
        <v>400</v>
      </c>
      <c r="H60" s="1"/>
    </row>
    <row r="61" spans="2:8">
      <c r="B61" s="8" t="s">
        <v>61</v>
      </c>
      <c r="C61" s="4">
        <f t="shared" si="12"/>
        <v>6340000</v>
      </c>
      <c r="D61" s="4">
        <f t="shared" si="13"/>
        <v>6939999</v>
      </c>
      <c r="E61" s="4">
        <f t="shared" si="2"/>
        <v>600000</v>
      </c>
      <c r="F61" s="4">
        <v>500</v>
      </c>
      <c r="G61" s="6">
        <v>1200</v>
      </c>
      <c r="H61" s="1"/>
    </row>
    <row r="62" spans="2:8">
      <c r="B62" s="8" t="s">
        <v>62</v>
      </c>
      <c r="C62" s="4">
        <f t="shared" si="12"/>
        <v>6940000</v>
      </c>
      <c r="D62" s="4">
        <f t="shared" si="13"/>
        <v>7139999</v>
      </c>
      <c r="E62" s="4">
        <f t="shared" si="2"/>
        <v>200000</v>
      </c>
      <c r="F62" s="4">
        <v>500</v>
      </c>
      <c r="G62" s="6">
        <v>400</v>
      </c>
      <c r="H62" s="1"/>
    </row>
    <row r="63" spans="2:8">
      <c r="B63" s="8" t="s">
        <v>63</v>
      </c>
      <c r="C63" s="4">
        <f t="shared" si="12"/>
        <v>7140000</v>
      </c>
      <c r="D63" s="4">
        <f t="shared" si="13"/>
        <v>7239999</v>
      </c>
      <c r="E63" s="4">
        <f t="shared" si="2"/>
        <v>100000</v>
      </c>
      <c r="F63" s="4">
        <v>500</v>
      </c>
      <c r="G63" s="6">
        <v>200</v>
      </c>
      <c r="H63" s="1"/>
    </row>
    <row r="64" spans="2:8">
      <c r="B64" s="8" t="s">
        <v>64</v>
      </c>
      <c r="C64" s="4">
        <f t="shared" si="12"/>
        <v>7240000</v>
      </c>
      <c r="D64" s="4">
        <f t="shared" si="13"/>
        <v>7439999</v>
      </c>
      <c r="E64" s="4">
        <f t="shared" si="2"/>
        <v>200000</v>
      </c>
      <c r="F64" s="4">
        <v>500</v>
      </c>
      <c r="G64" s="6">
        <v>400</v>
      </c>
      <c r="H64" s="1"/>
    </row>
    <row r="65" spans="2:8">
      <c r="B65" s="8" t="s">
        <v>65</v>
      </c>
      <c r="C65" s="4">
        <f t="shared" si="12"/>
        <v>7440000</v>
      </c>
      <c r="D65" s="4">
        <f t="shared" si="13"/>
        <v>7539999</v>
      </c>
      <c r="E65" s="4">
        <f t="shared" si="2"/>
        <v>100000</v>
      </c>
      <c r="F65" s="4">
        <v>500</v>
      </c>
      <c r="G65" s="6">
        <v>200</v>
      </c>
      <c r="H65" s="1"/>
    </row>
    <row r="66" spans="2:8">
      <c r="B66" s="8" t="s">
        <v>66</v>
      </c>
      <c r="C66" s="4">
        <f t="shared" si="12"/>
        <v>7540000</v>
      </c>
      <c r="D66" s="4">
        <f t="shared" si="13"/>
        <v>7639999</v>
      </c>
      <c r="E66" s="4">
        <f t="shared" si="2"/>
        <v>100000</v>
      </c>
      <c r="F66" s="4">
        <v>500</v>
      </c>
      <c r="G66" s="6">
        <v>200</v>
      </c>
      <c r="H66" s="1"/>
    </row>
    <row r="67" spans="2:8">
      <c r="B67" s="8" t="s">
        <v>67</v>
      </c>
      <c r="C67" s="4">
        <f t="shared" si="12"/>
        <v>7640000</v>
      </c>
      <c r="D67" s="4">
        <f t="shared" si="13"/>
        <v>7739999</v>
      </c>
      <c r="E67" s="4">
        <f t="shared" si="2"/>
        <v>100000</v>
      </c>
      <c r="F67" s="4">
        <v>500</v>
      </c>
      <c r="G67" s="6">
        <v>200</v>
      </c>
      <c r="H67" s="1"/>
    </row>
    <row r="68" spans="2:8">
      <c r="B68" s="8" t="s">
        <v>68</v>
      </c>
      <c r="C68" s="4">
        <f t="shared" si="12"/>
        <v>7740000</v>
      </c>
      <c r="D68" s="4">
        <f t="shared" si="13"/>
        <v>7839999</v>
      </c>
      <c r="E68" s="4">
        <f t="shared" si="2"/>
        <v>100000</v>
      </c>
      <c r="F68" s="4">
        <v>500</v>
      </c>
      <c r="G68" s="6">
        <v>200</v>
      </c>
      <c r="H68" s="1"/>
    </row>
    <row r="69" spans="2:8">
      <c r="B69" s="8" t="s">
        <v>69</v>
      </c>
      <c r="C69" s="4">
        <f t="shared" si="12"/>
        <v>7840000</v>
      </c>
      <c r="D69" s="4">
        <f t="shared" si="13"/>
        <v>7939999</v>
      </c>
      <c r="E69" s="4">
        <f t="shared" si="2"/>
        <v>100000</v>
      </c>
      <c r="F69" s="4">
        <v>500</v>
      </c>
      <c r="G69" s="6">
        <v>200</v>
      </c>
      <c r="H69" s="1"/>
    </row>
    <row r="70" spans="2:8">
      <c r="B70" s="8" t="s">
        <v>70</v>
      </c>
      <c r="C70" s="4">
        <f t="shared" si="12"/>
        <v>7940000</v>
      </c>
      <c r="D70" s="4">
        <f t="shared" si="13"/>
        <v>8039999</v>
      </c>
      <c r="E70" s="4">
        <f t="shared" si="2"/>
        <v>100000</v>
      </c>
      <c r="F70" s="4">
        <v>500</v>
      </c>
      <c r="G70" s="6">
        <v>200</v>
      </c>
      <c r="H70" s="1"/>
    </row>
    <row r="71" spans="2:8">
      <c r="B71" s="8" t="s">
        <v>71</v>
      </c>
      <c r="C71" s="4">
        <f t="shared" si="12"/>
        <v>8040000</v>
      </c>
      <c r="D71" s="4">
        <f t="shared" si="13"/>
        <v>8139999</v>
      </c>
      <c r="E71" s="4">
        <f t="shared" si="2"/>
        <v>100000</v>
      </c>
      <c r="F71" s="4">
        <v>500</v>
      </c>
      <c r="G71" s="6">
        <v>200</v>
      </c>
      <c r="H71" s="1"/>
    </row>
    <row r="72" spans="2:8">
      <c r="B72" s="8" t="s">
        <v>72</v>
      </c>
      <c r="C72" s="4">
        <f t="shared" si="12"/>
        <v>8140000</v>
      </c>
      <c r="D72" s="4">
        <f t="shared" si="13"/>
        <v>8239999</v>
      </c>
      <c r="E72" s="4">
        <f t="shared" si="2"/>
        <v>100000</v>
      </c>
      <c r="F72" s="4">
        <v>500</v>
      </c>
      <c r="G72" s="6">
        <v>200</v>
      </c>
      <c r="H72" s="1"/>
    </row>
    <row r="73" spans="2:8">
      <c r="B73" s="8" t="s">
        <v>73</v>
      </c>
      <c r="C73" s="4">
        <f t="shared" si="12"/>
        <v>8240000</v>
      </c>
      <c r="D73" s="4">
        <f t="shared" si="13"/>
        <v>8539999</v>
      </c>
      <c r="E73" s="4">
        <f t="shared" si="2"/>
        <v>300000</v>
      </c>
      <c r="F73" s="4">
        <v>500</v>
      </c>
      <c r="G73" s="6">
        <v>600</v>
      </c>
      <c r="H73" s="1"/>
    </row>
    <row r="74" spans="2:8">
      <c r="B74" s="8" t="s">
        <v>74</v>
      </c>
      <c r="C74" s="4">
        <f t="shared" si="12"/>
        <v>8540000</v>
      </c>
      <c r="D74" s="4">
        <f t="shared" si="13"/>
        <v>8639999</v>
      </c>
      <c r="E74" s="4">
        <f t="shared" si="2"/>
        <v>100000</v>
      </c>
      <c r="F74" s="4">
        <v>500</v>
      </c>
      <c r="G74" s="6">
        <v>200</v>
      </c>
      <c r="H74" s="1"/>
    </row>
    <row r="75" spans="2:8">
      <c r="B75" s="8" t="s">
        <v>75</v>
      </c>
      <c r="C75" s="4">
        <f t="shared" si="12"/>
        <v>8640000</v>
      </c>
      <c r="D75" s="4">
        <f t="shared" si="13"/>
        <v>8839999</v>
      </c>
      <c r="E75" s="4">
        <f t="shared" si="2"/>
        <v>200000</v>
      </c>
      <c r="F75" s="5">
        <v>500</v>
      </c>
      <c r="G75" s="6">
        <v>400</v>
      </c>
    </row>
    <row r="76" spans="2:8">
      <c r="B76" s="8" t="s">
        <v>76</v>
      </c>
      <c r="C76" s="4">
        <f t="shared" si="12"/>
        <v>8840000</v>
      </c>
      <c r="D76" s="4">
        <f t="shared" si="13"/>
        <v>8939999</v>
      </c>
      <c r="E76" s="4">
        <f t="shared" si="2"/>
        <v>100000</v>
      </c>
      <c r="F76" s="5">
        <v>500</v>
      </c>
      <c r="G76" s="6">
        <v>200</v>
      </c>
    </row>
    <row r="77" spans="2:8">
      <c r="B77" s="8" t="s">
        <v>77</v>
      </c>
      <c r="C77" s="4">
        <f t="shared" si="12"/>
        <v>8940000</v>
      </c>
      <c r="D77" s="4">
        <f t="shared" si="13"/>
        <v>9039999</v>
      </c>
      <c r="E77" s="4">
        <f t="shared" si="2"/>
        <v>100000</v>
      </c>
      <c r="F77" s="5">
        <v>500</v>
      </c>
      <c r="G77" s="6">
        <v>200</v>
      </c>
    </row>
    <row r="78" spans="2:8">
      <c r="B78" s="8" t="s">
        <v>78</v>
      </c>
      <c r="C78" s="4">
        <f t="shared" si="12"/>
        <v>9040000</v>
      </c>
      <c r="D78" s="4">
        <f t="shared" si="13"/>
        <v>9239999</v>
      </c>
      <c r="E78" s="4">
        <f t="shared" si="2"/>
        <v>200000</v>
      </c>
      <c r="F78" s="5">
        <v>500</v>
      </c>
      <c r="G78" s="6">
        <v>400</v>
      </c>
    </row>
    <row r="79" spans="2:8">
      <c r="B79" s="8" t="s">
        <v>36</v>
      </c>
      <c r="C79" s="4">
        <f t="shared" si="12"/>
        <v>9240000</v>
      </c>
      <c r="D79" s="4">
        <f t="shared" si="13"/>
        <v>9939999</v>
      </c>
      <c r="E79" s="4">
        <f t="shared" si="2"/>
        <v>700000</v>
      </c>
      <c r="F79" s="5">
        <v>500</v>
      </c>
      <c r="G79" s="6">
        <v>1400</v>
      </c>
    </row>
    <row r="80" spans="2:8">
      <c r="B80" s="8" t="s">
        <v>37</v>
      </c>
      <c r="C80" s="4">
        <f t="shared" si="12"/>
        <v>9940000</v>
      </c>
      <c r="D80" s="4">
        <f t="shared" si="13"/>
        <v>10139999</v>
      </c>
      <c r="E80" s="4">
        <f t="shared" ref="E80:E156" si="14">G80*F80</f>
        <v>200000</v>
      </c>
      <c r="F80" s="5">
        <v>500</v>
      </c>
      <c r="G80" s="6">
        <v>400</v>
      </c>
    </row>
    <row r="81" spans="2:8">
      <c r="B81" s="8" t="s">
        <v>38</v>
      </c>
      <c r="C81" s="4">
        <f t="shared" si="12"/>
        <v>10140000</v>
      </c>
      <c r="D81" s="4">
        <f t="shared" si="13"/>
        <v>10339999</v>
      </c>
      <c r="E81" s="4">
        <f t="shared" si="14"/>
        <v>200000</v>
      </c>
      <c r="F81" s="5">
        <v>500</v>
      </c>
      <c r="G81" s="6">
        <v>400</v>
      </c>
    </row>
    <row r="82" spans="2:8">
      <c r="B82" s="8" t="s">
        <v>39</v>
      </c>
      <c r="C82" s="4">
        <f t="shared" si="12"/>
        <v>10340000</v>
      </c>
      <c r="D82" s="4">
        <f t="shared" si="13"/>
        <v>10439999</v>
      </c>
      <c r="E82" s="4">
        <f t="shared" si="14"/>
        <v>100000</v>
      </c>
      <c r="F82" s="5">
        <v>500</v>
      </c>
      <c r="G82" s="6">
        <v>200</v>
      </c>
    </row>
    <row r="83" spans="2:8">
      <c r="B83" s="8" t="s">
        <v>40</v>
      </c>
      <c r="C83" s="4">
        <f t="shared" si="12"/>
        <v>10440000</v>
      </c>
      <c r="D83" s="4">
        <f t="shared" si="13"/>
        <v>10539999</v>
      </c>
      <c r="E83" s="4">
        <f t="shared" si="14"/>
        <v>100000</v>
      </c>
      <c r="F83" s="5">
        <v>500</v>
      </c>
      <c r="G83" s="6">
        <v>200</v>
      </c>
    </row>
    <row r="84" spans="2:8">
      <c r="B84" s="8" t="s">
        <v>41</v>
      </c>
      <c r="C84" s="4">
        <f t="shared" si="12"/>
        <v>10540000</v>
      </c>
      <c r="D84" s="4">
        <f t="shared" si="13"/>
        <v>10639999</v>
      </c>
      <c r="E84" s="4">
        <f t="shared" si="14"/>
        <v>100000</v>
      </c>
      <c r="F84" s="5">
        <v>500</v>
      </c>
      <c r="G84" s="6">
        <v>200</v>
      </c>
    </row>
    <row r="85" spans="2:8">
      <c r="B85" s="8" t="s">
        <v>42</v>
      </c>
      <c r="C85" s="4">
        <f t="shared" si="12"/>
        <v>10640000</v>
      </c>
      <c r="D85" s="4">
        <f t="shared" si="13"/>
        <v>11339999</v>
      </c>
      <c r="E85" s="4">
        <f t="shared" si="14"/>
        <v>700000</v>
      </c>
      <c r="F85" s="5">
        <v>500</v>
      </c>
      <c r="G85" s="6">
        <v>1400</v>
      </c>
    </row>
    <row r="86" spans="2:8">
      <c r="B86" s="8" t="s">
        <v>43</v>
      </c>
      <c r="C86" s="4">
        <f t="shared" si="12"/>
        <v>11340000</v>
      </c>
      <c r="D86" s="4">
        <f t="shared" si="13"/>
        <v>11439999</v>
      </c>
      <c r="E86" s="4">
        <f t="shared" si="14"/>
        <v>100000</v>
      </c>
      <c r="F86" s="5">
        <v>500</v>
      </c>
      <c r="G86" s="6">
        <v>200</v>
      </c>
    </row>
    <row r="87" spans="2:8">
      <c r="B87" s="8" t="s">
        <v>44</v>
      </c>
      <c r="C87" s="4">
        <f t="shared" si="12"/>
        <v>11440000</v>
      </c>
      <c r="D87" s="4">
        <f t="shared" si="13"/>
        <v>11639999</v>
      </c>
      <c r="E87" s="4">
        <f t="shared" si="14"/>
        <v>200000</v>
      </c>
      <c r="F87" s="5">
        <v>500</v>
      </c>
      <c r="G87" s="6">
        <v>400</v>
      </c>
    </row>
    <row r="88" spans="2:8">
      <c r="B88" s="8" t="s">
        <v>45</v>
      </c>
      <c r="C88" s="4">
        <f t="shared" si="12"/>
        <v>11640000</v>
      </c>
      <c r="D88" s="4">
        <f t="shared" si="13"/>
        <v>11839999</v>
      </c>
      <c r="E88" s="4">
        <f t="shared" si="14"/>
        <v>200000</v>
      </c>
      <c r="F88" s="5">
        <v>500</v>
      </c>
      <c r="G88" s="6">
        <v>400</v>
      </c>
    </row>
    <row r="89" spans="2:8">
      <c r="B89" s="8" t="s">
        <v>9</v>
      </c>
      <c r="C89" s="4">
        <f>D88+1</f>
        <v>11840000</v>
      </c>
      <c r="D89" s="4">
        <f>C89+E89-1</f>
        <v>11890030</v>
      </c>
      <c r="E89" s="4">
        <f t="shared" si="14"/>
        <v>50031</v>
      </c>
      <c r="F89" s="5">
        <v>100</v>
      </c>
      <c r="G89" s="6">
        <v>500.31</v>
      </c>
    </row>
    <row r="90" spans="2:8">
      <c r="B90" s="8" t="s">
        <v>10</v>
      </c>
      <c r="C90" s="4">
        <f t="shared" si="12"/>
        <v>11890031</v>
      </c>
      <c r="D90" s="4">
        <f t="shared" si="13"/>
        <v>11940062</v>
      </c>
      <c r="E90" s="4">
        <f t="shared" si="14"/>
        <v>50032</v>
      </c>
      <c r="F90" s="5">
        <v>100</v>
      </c>
      <c r="G90" s="6">
        <v>500.32</v>
      </c>
    </row>
    <row r="91" spans="2:8">
      <c r="B91" s="8" t="s">
        <v>11</v>
      </c>
      <c r="C91" s="4">
        <f t="shared" si="12"/>
        <v>11940063</v>
      </c>
      <c r="D91" s="4">
        <f t="shared" si="13"/>
        <v>11990095</v>
      </c>
      <c r="E91" s="4">
        <f t="shared" si="14"/>
        <v>50033</v>
      </c>
      <c r="F91" s="5">
        <v>100</v>
      </c>
      <c r="G91" s="6">
        <v>500.33</v>
      </c>
    </row>
    <row r="92" spans="2:8">
      <c r="B92" s="8" t="s">
        <v>12</v>
      </c>
      <c r="C92" s="4">
        <f t="shared" si="12"/>
        <v>11990096</v>
      </c>
      <c r="D92" s="4">
        <f t="shared" si="13"/>
        <v>12040129</v>
      </c>
      <c r="E92" s="4">
        <f t="shared" si="14"/>
        <v>50034</v>
      </c>
      <c r="F92" s="5">
        <v>100</v>
      </c>
      <c r="G92" s="6">
        <v>500.34</v>
      </c>
    </row>
    <row r="93" spans="2:8">
      <c r="B93" s="8" t="s">
        <v>13</v>
      </c>
      <c r="C93" s="4">
        <f t="shared" si="12"/>
        <v>12040130</v>
      </c>
      <c r="D93" s="4">
        <f t="shared" si="13"/>
        <v>12090164</v>
      </c>
      <c r="E93" s="4">
        <f t="shared" si="14"/>
        <v>50035</v>
      </c>
      <c r="F93" s="5">
        <v>100</v>
      </c>
      <c r="G93" s="6">
        <v>500.35</v>
      </c>
    </row>
    <row r="94" spans="2:8">
      <c r="B94" s="8" t="s">
        <v>14</v>
      </c>
      <c r="C94" s="4">
        <f>D93+1</f>
        <v>12090165</v>
      </c>
      <c r="D94" s="4">
        <f t="shared" si="13"/>
        <v>12140200</v>
      </c>
      <c r="E94" s="4">
        <f t="shared" si="14"/>
        <v>50036</v>
      </c>
      <c r="F94" s="5">
        <v>100</v>
      </c>
      <c r="G94" s="6">
        <v>500.36</v>
      </c>
    </row>
    <row r="95" spans="2:8">
      <c r="B95" s="8" t="s">
        <v>15</v>
      </c>
      <c r="C95" s="4">
        <f t="shared" si="12"/>
        <v>12140201</v>
      </c>
      <c r="D95" s="4">
        <f t="shared" si="13"/>
        <v>12190237</v>
      </c>
      <c r="E95" s="4">
        <f t="shared" si="14"/>
        <v>50037</v>
      </c>
      <c r="F95" s="5">
        <v>100</v>
      </c>
      <c r="G95" s="6">
        <v>500.37</v>
      </c>
    </row>
    <row r="96" spans="2:8">
      <c r="B96" s="9" t="s">
        <v>79</v>
      </c>
      <c r="C96" s="16">
        <v>40000000</v>
      </c>
      <c r="D96" s="4">
        <f>C96+E96-1</f>
        <v>40374999</v>
      </c>
      <c r="E96" s="4">
        <f t="shared" ref="E96:E107" si="15">G96*F96</f>
        <v>375000</v>
      </c>
      <c r="F96" s="4">
        <v>300</v>
      </c>
      <c r="G96" s="10">
        <v>1250</v>
      </c>
      <c r="H96" s="1"/>
    </row>
    <row r="97" spans="2:8">
      <c r="B97" s="9" t="s">
        <v>80</v>
      </c>
      <c r="C97" s="4">
        <f t="shared" ref="C97:C107" si="16">D96+1</f>
        <v>40375000</v>
      </c>
      <c r="D97" s="4">
        <f t="shared" ref="D97:D107" si="17">C97+E97-1</f>
        <v>40974999</v>
      </c>
      <c r="E97" s="4">
        <f t="shared" si="15"/>
        <v>600000</v>
      </c>
      <c r="F97" s="4">
        <v>300</v>
      </c>
      <c r="G97" s="10">
        <v>2000</v>
      </c>
      <c r="H97" s="1"/>
    </row>
    <row r="98" spans="2:8">
      <c r="B98" s="9" t="s">
        <v>81</v>
      </c>
      <c r="C98" s="4">
        <f t="shared" si="16"/>
        <v>40975000</v>
      </c>
      <c r="D98" s="4">
        <f t="shared" si="17"/>
        <v>41019999</v>
      </c>
      <c r="E98" s="4">
        <f t="shared" si="15"/>
        <v>45000</v>
      </c>
      <c r="F98" s="4">
        <v>300</v>
      </c>
      <c r="G98" s="10">
        <v>150</v>
      </c>
      <c r="H98" s="1"/>
    </row>
    <row r="99" spans="2:8">
      <c r="B99" s="9" t="s">
        <v>82</v>
      </c>
      <c r="C99" s="4">
        <f t="shared" si="16"/>
        <v>41020000</v>
      </c>
      <c r="D99" s="4">
        <f t="shared" si="17"/>
        <v>41064999</v>
      </c>
      <c r="E99" s="4">
        <f t="shared" si="15"/>
        <v>45000</v>
      </c>
      <c r="F99" s="4">
        <v>300</v>
      </c>
      <c r="G99" s="10">
        <v>150</v>
      </c>
      <c r="H99" s="1"/>
    </row>
    <row r="100" spans="2:8">
      <c r="B100" s="9" t="s">
        <v>83</v>
      </c>
      <c r="C100" s="4">
        <f t="shared" si="16"/>
        <v>41065000</v>
      </c>
      <c r="D100" s="4">
        <f t="shared" si="17"/>
        <v>41139999</v>
      </c>
      <c r="E100" s="4">
        <f t="shared" si="15"/>
        <v>75000</v>
      </c>
      <c r="F100" s="4">
        <v>300</v>
      </c>
      <c r="G100" s="10">
        <v>250</v>
      </c>
      <c r="H100" s="1"/>
    </row>
    <row r="101" spans="2:8">
      <c r="B101" s="9" t="s">
        <v>84</v>
      </c>
      <c r="C101" s="4">
        <f t="shared" si="16"/>
        <v>41140000</v>
      </c>
      <c r="D101" s="4">
        <f t="shared" si="17"/>
        <v>41259999</v>
      </c>
      <c r="E101" s="4">
        <f t="shared" si="15"/>
        <v>120000</v>
      </c>
      <c r="F101" s="4">
        <v>300</v>
      </c>
      <c r="G101" s="10">
        <v>400</v>
      </c>
      <c r="H101" s="1"/>
    </row>
    <row r="102" spans="2:8">
      <c r="B102" s="9" t="s">
        <v>85</v>
      </c>
      <c r="C102" s="4">
        <f t="shared" si="16"/>
        <v>41260000</v>
      </c>
      <c r="D102" s="4">
        <f t="shared" si="17"/>
        <v>41270499</v>
      </c>
      <c r="E102" s="4">
        <f t="shared" si="15"/>
        <v>10500</v>
      </c>
      <c r="F102" s="4">
        <v>300</v>
      </c>
      <c r="G102" s="10">
        <v>35</v>
      </c>
      <c r="H102" s="1"/>
    </row>
    <row r="103" spans="2:8">
      <c r="B103" s="9" t="s">
        <v>86</v>
      </c>
      <c r="C103" s="4">
        <f t="shared" si="16"/>
        <v>41270500</v>
      </c>
      <c r="D103" s="4">
        <f t="shared" si="17"/>
        <v>41279499</v>
      </c>
      <c r="E103" s="4">
        <f t="shared" si="15"/>
        <v>9000</v>
      </c>
      <c r="F103" s="4">
        <v>300</v>
      </c>
      <c r="G103" s="10">
        <v>30</v>
      </c>
      <c r="H103" s="1"/>
    </row>
    <row r="104" spans="2:8">
      <c r="B104" s="9" t="s">
        <v>87</v>
      </c>
      <c r="C104" s="4">
        <f t="shared" si="16"/>
        <v>41279500</v>
      </c>
      <c r="D104" s="4">
        <f t="shared" si="17"/>
        <v>41459499</v>
      </c>
      <c r="E104" s="4">
        <f t="shared" si="15"/>
        <v>180000</v>
      </c>
      <c r="F104" s="4">
        <v>300</v>
      </c>
      <c r="G104" s="10">
        <v>600</v>
      </c>
      <c r="H104" s="1"/>
    </row>
    <row r="105" spans="2:8">
      <c r="B105" s="9" t="s">
        <v>88</v>
      </c>
      <c r="C105" s="4">
        <f t="shared" si="16"/>
        <v>41459500</v>
      </c>
      <c r="D105" s="4">
        <f t="shared" si="17"/>
        <v>41729499</v>
      </c>
      <c r="E105" s="4">
        <f t="shared" si="15"/>
        <v>270000</v>
      </c>
      <c r="F105" s="4">
        <v>300</v>
      </c>
      <c r="G105" s="10">
        <v>900</v>
      </c>
      <c r="H105" s="1"/>
    </row>
    <row r="106" spans="2:8">
      <c r="B106" s="9" t="s">
        <v>89</v>
      </c>
      <c r="C106" s="4">
        <f t="shared" si="16"/>
        <v>41729500</v>
      </c>
      <c r="D106" s="4">
        <f t="shared" si="17"/>
        <v>41744499</v>
      </c>
      <c r="E106" s="4">
        <f t="shared" si="15"/>
        <v>15000</v>
      </c>
      <c r="F106" s="4">
        <v>300</v>
      </c>
      <c r="G106" s="10">
        <v>50</v>
      </c>
      <c r="H106" s="1"/>
    </row>
    <row r="107" spans="2:8">
      <c r="B107" s="9" t="s">
        <v>90</v>
      </c>
      <c r="C107" s="4">
        <f t="shared" si="16"/>
        <v>41744500</v>
      </c>
      <c r="D107" s="4">
        <f t="shared" si="17"/>
        <v>41759499</v>
      </c>
      <c r="E107" s="4">
        <f t="shared" si="15"/>
        <v>15000</v>
      </c>
      <c r="F107" s="4">
        <v>300</v>
      </c>
      <c r="G107" s="10">
        <v>50</v>
      </c>
      <c r="H107" s="1"/>
    </row>
    <row r="108" spans="2:8">
      <c r="B108" s="14" t="s">
        <v>92</v>
      </c>
      <c r="C108" s="17">
        <v>41760000</v>
      </c>
      <c r="D108" s="4">
        <f>C108+E108-1</f>
        <v>41760999</v>
      </c>
      <c r="E108" s="4">
        <f t="shared" si="14"/>
        <v>1000</v>
      </c>
      <c r="F108" s="5">
        <v>1000</v>
      </c>
      <c r="G108" s="6">
        <v>1</v>
      </c>
    </row>
    <row r="109" spans="2:8">
      <c r="B109" s="14" t="s">
        <v>93</v>
      </c>
      <c r="C109" s="4">
        <f t="shared" ref="C109:C127" si="18">D108+1</f>
        <v>41761000</v>
      </c>
      <c r="D109" s="4">
        <f t="shared" ref="D109:D127" si="19">C109+E109-1</f>
        <v>41761999</v>
      </c>
      <c r="E109" s="4">
        <f t="shared" si="14"/>
        <v>1000</v>
      </c>
      <c r="F109" s="5">
        <v>1000</v>
      </c>
      <c r="G109" s="6">
        <v>1</v>
      </c>
    </row>
    <row r="110" spans="2:8">
      <c r="B110" s="14" t="s">
        <v>94</v>
      </c>
      <c r="C110" s="4">
        <f t="shared" si="18"/>
        <v>41762000</v>
      </c>
      <c r="D110" s="4">
        <f t="shared" si="19"/>
        <v>41762999</v>
      </c>
      <c r="E110" s="4">
        <f t="shared" si="14"/>
        <v>1000</v>
      </c>
      <c r="F110" s="5">
        <v>1000</v>
      </c>
      <c r="G110" s="6">
        <v>1</v>
      </c>
    </row>
    <row r="111" spans="2:8">
      <c r="B111" s="14" t="s">
        <v>95</v>
      </c>
      <c r="C111" s="4">
        <f t="shared" si="18"/>
        <v>41763000</v>
      </c>
      <c r="D111" s="4">
        <f t="shared" si="19"/>
        <v>41763999</v>
      </c>
      <c r="E111" s="4">
        <f t="shared" si="14"/>
        <v>1000</v>
      </c>
      <c r="F111" s="5">
        <v>1000</v>
      </c>
      <c r="G111" s="6">
        <v>1</v>
      </c>
    </row>
    <row r="112" spans="2:8">
      <c r="B112" s="14" t="s">
        <v>96</v>
      </c>
      <c r="C112" s="4">
        <f t="shared" si="18"/>
        <v>41764000</v>
      </c>
      <c r="D112" s="4">
        <f t="shared" si="19"/>
        <v>41764999</v>
      </c>
      <c r="E112" s="4">
        <f t="shared" si="14"/>
        <v>1000</v>
      </c>
      <c r="F112" s="5">
        <v>1000</v>
      </c>
      <c r="G112" s="6">
        <v>1</v>
      </c>
    </row>
    <row r="113" spans="2:7">
      <c r="B113" s="14" t="s">
        <v>97</v>
      </c>
      <c r="C113" s="4">
        <f t="shared" si="18"/>
        <v>41765000</v>
      </c>
      <c r="D113" s="4">
        <f t="shared" si="19"/>
        <v>41765999</v>
      </c>
      <c r="E113" s="4">
        <f t="shared" si="14"/>
        <v>1000</v>
      </c>
      <c r="F113" s="5">
        <v>1000</v>
      </c>
      <c r="G113" s="6">
        <v>1</v>
      </c>
    </row>
    <row r="114" spans="2:7">
      <c r="B114" s="14" t="s">
        <v>98</v>
      </c>
      <c r="C114" s="4">
        <f t="shared" si="18"/>
        <v>41766000</v>
      </c>
      <c r="D114" s="4">
        <f t="shared" si="19"/>
        <v>41766999</v>
      </c>
      <c r="E114" s="4">
        <f t="shared" si="14"/>
        <v>1000</v>
      </c>
      <c r="F114" s="5">
        <v>1000</v>
      </c>
      <c r="G114" s="6">
        <v>1</v>
      </c>
    </row>
    <row r="115" spans="2:7">
      <c r="B115" s="14" t="s">
        <v>99</v>
      </c>
      <c r="C115" s="4">
        <f t="shared" si="18"/>
        <v>41767000</v>
      </c>
      <c r="D115" s="4">
        <f t="shared" si="19"/>
        <v>41767999</v>
      </c>
      <c r="E115" s="4">
        <f t="shared" si="14"/>
        <v>1000</v>
      </c>
      <c r="F115" s="5">
        <v>1000</v>
      </c>
      <c r="G115" s="6">
        <v>1</v>
      </c>
    </row>
    <row r="116" spans="2:7">
      <c r="B116" s="14" t="s">
        <v>100</v>
      </c>
      <c r="C116" s="4">
        <f t="shared" si="18"/>
        <v>41768000</v>
      </c>
      <c r="D116" s="4">
        <f t="shared" si="19"/>
        <v>41768999</v>
      </c>
      <c r="E116" s="4">
        <f t="shared" si="14"/>
        <v>1000</v>
      </c>
      <c r="F116" s="5">
        <v>1000</v>
      </c>
      <c r="G116" s="6">
        <v>1</v>
      </c>
    </row>
    <row r="117" spans="2:7">
      <c r="B117" s="14" t="s">
        <v>101</v>
      </c>
      <c r="C117" s="4">
        <f t="shared" si="18"/>
        <v>41769000</v>
      </c>
      <c r="D117" s="4">
        <f t="shared" si="19"/>
        <v>41769999</v>
      </c>
      <c r="E117" s="4">
        <f t="shared" si="14"/>
        <v>1000</v>
      </c>
      <c r="F117" s="5">
        <v>1000</v>
      </c>
      <c r="G117" s="6">
        <v>1</v>
      </c>
    </row>
    <row r="118" spans="2:7">
      <c r="B118" s="14" t="s">
        <v>102</v>
      </c>
      <c r="C118" s="4">
        <f t="shared" si="18"/>
        <v>41770000</v>
      </c>
      <c r="D118" s="4">
        <f t="shared" si="19"/>
        <v>41770999</v>
      </c>
      <c r="E118" s="4">
        <f t="shared" si="14"/>
        <v>1000</v>
      </c>
      <c r="F118" s="5">
        <v>1000</v>
      </c>
      <c r="G118" s="6">
        <v>1</v>
      </c>
    </row>
    <row r="119" spans="2:7">
      <c r="B119" s="14" t="s">
        <v>103</v>
      </c>
      <c r="C119" s="4">
        <f t="shared" si="18"/>
        <v>41771000</v>
      </c>
      <c r="D119" s="4">
        <f t="shared" si="19"/>
        <v>41771999</v>
      </c>
      <c r="E119" s="4">
        <f t="shared" si="14"/>
        <v>1000</v>
      </c>
      <c r="F119" s="5">
        <v>1000</v>
      </c>
      <c r="G119" s="6">
        <v>1</v>
      </c>
    </row>
    <row r="120" spans="2:7">
      <c r="B120" s="14" t="s">
        <v>104</v>
      </c>
      <c r="C120" s="4">
        <f t="shared" si="18"/>
        <v>41772000</v>
      </c>
      <c r="D120" s="4">
        <f t="shared" si="19"/>
        <v>41772999</v>
      </c>
      <c r="E120" s="4">
        <f t="shared" si="14"/>
        <v>1000</v>
      </c>
      <c r="F120" s="5">
        <v>1000</v>
      </c>
      <c r="G120" s="6">
        <v>1</v>
      </c>
    </row>
    <row r="121" spans="2:7">
      <c r="B121" s="14" t="s">
        <v>105</v>
      </c>
      <c r="C121" s="4">
        <f t="shared" si="18"/>
        <v>41773000</v>
      </c>
      <c r="D121" s="4">
        <f t="shared" si="19"/>
        <v>41773999</v>
      </c>
      <c r="E121" s="4">
        <f t="shared" si="14"/>
        <v>1000</v>
      </c>
      <c r="F121" s="5">
        <v>1000</v>
      </c>
      <c r="G121" s="6">
        <v>1</v>
      </c>
    </row>
    <row r="122" spans="2:7">
      <c r="B122" s="14" t="s">
        <v>106</v>
      </c>
      <c r="C122" s="4">
        <f t="shared" si="18"/>
        <v>41774000</v>
      </c>
      <c r="D122" s="4">
        <f t="shared" si="19"/>
        <v>41774999</v>
      </c>
      <c r="E122" s="4">
        <f t="shared" si="14"/>
        <v>1000</v>
      </c>
      <c r="F122" s="5">
        <v>1000</v>
      </c>
      <c r="G122" s="6">
        <v>1</v>
      </c>
    </row>
    <row r="123" spans="2:7">
      <c r="B123" s="14" t="s">
        <v>107</v>
      </c>
      <c r="C123" s="4">
        <f t="shared" si="18"/>
        <v>41775000</v>
      </c>
      <c r="D123" s="4">
        <f t="shared" si="19"/>
        <v>41775999</v>
      </c>
      <c r="E123" s="4">
        <f t="shared" si="14"/>
        <v>1000</v>
      </c>
      <c r="F123" s="5">
        <v>1000</v>
      </c>
      <c r="G123" s="6">
        <v>1</v>
      </c>
    </row>
    <row r="124" spans="2:7">
      <c r="B124" s="14" t="s">
        <v>108</v>
      </c>
      <c r="C124" s="4">
        <f t="shared" si="18"/>
        <v>41776000</v>
      </c>
      <c r="D124" s="4">
        <f t="shared" si="19"/>
        <v>41776999</v>
      </c>
      <c r="E124" s="4">
        <f t="shared" si="14"/>
        <v>1000</v>
      </c>
      <c r="F124" s="5">
        <v>1000</v>
      </c>
      <c r="G124" s="6">
        <v>1</v>
      </c>
    </row>
    <row r="125" spans="2:7">
      <c r="B125" s="14" t="s">
        <v>109</v>
      </c>
      <c r="C125" s="4">
        <f t="shared" si="18"/>
        <v>41777000</v>
      </c>
      <c r="D125" s="4">
        <f t="shared" si="19"/>
        <v>41777999</v>
      </c>
      <c r="E125" s="4">
        <f t="shared" si="14"/>
        <v>1000</v>
      </c>
      <c r="F125" s="5">
        <v>1000</v>
      </c>
      <c r="G125" s="6">
        <v>1</v>
      </c>
    </row>
    <row r="126" spans="2:7">
      <c r="B126" s="14" t="s">
        <v>110</v>
      </c>
      <c r="C126" s="4">
        <f t="shared" si="18"/>
        <v>41778000</v>
      </c>
      <c r="D126" s="4">
        <f t="shared" si="19"/>
        <v>41778999</v>
      </c>
      <c r="E126" s="4">
        <f t="shared" si="14"/>
        <v>1000</v>
      </c>
      <c r="F126" s="5">
        <v>1000</v>
      </c>
      <c r="G126" s="6">
        <v>1</v>
      </c>
    </row>
    <row r="127" spans="2:7">
      <c r="B127" s="14" t="s">
        <v>111</v>
      </c>
      <c r="C127" s="4">
        <f t="shared" si="18"/>
        <v>41779000</v>
      </c>
      <c r="D127" s="4">
        <f t="shared" si="19"/>
        <v>41779999</v>
      </c>
      <c r="E127" s="4">
        <f t="shared" si="14"/>
        <v>1000</v>
      </c>
      <c r="F127" s="5">
        <v>1000</v>
      </c>
      <c r="G127" s="6">
        <v>1</v>
      </c>
    </row>
    <row r="128" spans="2:7">
      <c r="B128" s="14" t="s">
        <v>187</v>
      </c>
      <c r="C128" s="4">
        <f t="shared" ref="C128:C132" si="20">D127+1</f>
        <v>41780000</v>
      </c>
      <c r="D128" s="4">
        <f t="shared" ref="D128:D132" si="21">C128+E128-1</f>
        <v>41780999</v>
      </c>
      <c r="E128" s="4">
        <f t="shared" ref="E128:E132" si="22">G128*F128</f>
        <v>1000</v>
      </c>
      <c r="F128" s="5">
        <v>1000</v>
      </c>
      <c r="G128" s="6">
        <v>1</v>
      </c>
    </row>
    <row r="129" spans="2:7">
      <c r="B129" s="14" t="s">
        <v>188</v>
      </c>
      <c r="C129" s="4">
        <f t="shared" si="20"/>
        <v>41781000</v>
      </c>
      <c r="D129" s="4">
        <f t="shared" si="21"/>
        <v>41781999</v>
      </c>
      <c r="E129" s="4">
        <f t="shared" si="22"/>
        <v>1000</v>
      </c>
      <c r="F129" s="5">
        <v>1000</v>
      </c>
      <c r="G129" s="6">
        <v>1</v>
      </c>
    </row>
    <row r="130" spans="2:7">
      <c r="B130" s="14" t="s">
        <v>189</v>
      </c>
      <c r="C130" s="4">
        <f t="shared" si="20"/>
        <v>41782000</v>
      </c>
      <c r="D130" s="4">
        <f t="shared" si="21"/>
        <v>41782999</v>
      </c>
      <c r="E130" s="4">
        <f t="shared" si="22"/>
        <v>1000</v>
      </c>
      <c r="F130" s="5">
        <v>1000</v>
      </c>
      <c r="G130" s="6">
        <v>1</v>
      </c>
    </row>
    <row r="131" spans="2:7">
      <c r="B131" s="14" t="s">
        <v>190</v>
      </c>
      <c r="C131" s="4">
        <f t="shared" si="20"/>
        <v>41783000</v>
      </c>
      <c r="D131" s="4">
        <f t="shared" si="21"/>
        <v>41783999</v>
      </c>
      <c r="E131" s="4">
        <f t="shared" si="22"/>
        <v>1000</v>
      </c>
      <c r="F131" s="5">
        <v>1000</v>
      </c>
      <c r="G131" s="6">
        <v>1</v>
      </c>
    </row>
    <row r="132" spans="2:7">
      <c r="B132" s="14" t="s">
        <v>191</v>
      </c>
      <c r="C132" s="4">
        <f t="shared" si="20"/>
        <v>41784000</v>
      </c>
      <c r="D132" s="4">
        <f t="shared" si="21"/>
        <v>41784999</v>
      </c>
      <c r="E132" s="4">
        <f t="shared" si="22"/>
        <v>1000</v>
      </c>
      <c r="F132" s="5">
        <v>1000</v>
      </c>
      <c r="G132" s="6">
        <v>1</v>
      </c>
    </row>
    <row r="133" spans="2:7">
      <c r="B133" s="14" t="s">
        <v>192</v>
      </c>
      <c r="C133" s="4">
        <f t="shared" ref="C133:C138" si="23">D132+1</f>
        <v>41785000</v>
      </c>
      <c r="D133" s="4">
        <f t="shared" ref="D133:D137" si="24">C133+E133-1</f>
        <v>41785999</v>
      </c>
      <c r="E133" s="4">
        <f t="shared" ref="E133:E137" si="25">G133*F133</f>
        <v>1000</v>
      </c>
      <c r="F133" s="5">
        <v>1000</v>
      </c>
      <c r="G133" s="6">
        <v>1</v>
      </c>
    </row>
    <row r="134" spans="2:7">
      <c r="B134" s="14" t="s">
        <v>193</v>
      </c>
      <c r="C134" s="4">
        <f t="shared" si="23"/>
        <v>41786000</v>
      </c>
      <c r="D134" s="4">
        <f t="shared" si="24"/>
        <v>41786999</v>
      </c>
      <c r="E134" s="4">
        <f t="shared" si="25"/>
        <v>1000</v>
      </c>
      <c r="F134" s="5">
        <v>1000</v>
      </c>
      <c r="G134" s="6">
        <v>1</v>
      </c>
    </row>
    <row r="135" spans="2:7">
      <c r="B135" s="14" t="s">
        <v>194</v>
      </c>
      <c r="C135" s="4">
        <f t="shared" si="23"/>
        <v>41787000</v>
      </c>
      <c r="D135" s="4">
        <f t="shared" si="24"/>
        <v>41787999</v>
      </c>
      <c r="E135" s="4">
        <f t="shared" si="25"/>
        <v>1000</v>
      </c>
      <c r="F135" s="5">
        <v>1000</v>
      </c>
      <c r="G135" s="6">
        <v>1</v>
      </c>
    </row>
    <row r="136" spans="2:7">
      <c r="B136" s="14" t="s">
        <v>195</v>
      </c>
      <c r="C136" s="4">
        <f t="shared" si="23"/>
        <v>41788000</v>
      </c>
      <c r="D136" s="4">
        <f t="shared" si="24"/>
        <v>41788999</v>
      </c>
      <c r="E136" s="4">
        <f t="shared" si="25"/>
        <v>1000</v>
      </c>
      <c r="F136" s="5">
        <v>1000</v>
      </c>
      <c r="G136" s="6">
        <v>1</v>
      </c>
    </row>
    <row r="137" spans="2:7">
      <c r="B137" s="14" t="s">
        <v>196</v>
      </c>
      <c r="C137" s="4">
        <f t="shared" si="23"/>
        <v>41789000</v>
      </c>
      <c r="D137" s="4">
        <f t="shared" si="24"/>
        <v>41789999</v>
      </c>
      <c r="E137" s="4">
        <f t="shared" si="25"/>
        <v>1000</v>
      </c>
      <c r="F137" s="5">
        <v>1000</v>
      </c>
      <c r="G137" s="6">
        <v>1</v>
      </c>
    </row>
    <row r="138" spans="2:7">
      <c r="B138" s="12" t="s">
        <v>34</v>
      </c>
      <c r="C138" s="4">
        <f t="shared" si="23"/>
        <v>41790000</v>
      </c>
      <c r="D138" s="4">
        <f>C138+E138-1</f>
        <v>41979999</v>
      </c>
      <c r="E138" s="4">
        <f t="shared" si="14"/>
        <v>190000</v>
      </c>
      <c r="F138" s="5">
        <v>1000</v>
      </c>
      <c r="G138" s="6">
        <v>190</v>
      </c>
    </row>
    <row r="139" spans="2:7">
      <c r="B139" s="7" t="s">
        <v>162</v>
      </c>
      <c r="C139" s="4">
        <f>D138+1</f>
        <v>41980000</v>
      </c>
      <c r="D139" s="4">
        <f>C139+E139-1</f>
        <v>42039999</v>
      </c>
      <c r="E139" s="4">
        <f t="shared" si="14"/>
        <v>60000</v>
      </c>
      <c r="F139" s="5">
        <v>1000</v>
      </c>
      <c r="G139" s="6">
        <v>60</v>
      </c>
    </row>
    <row r="140" spans="2:7">
      <c r="B140" s="7" t="s">
        <v>112</v>
      </c>
      <c r="C140" s="4">
        <f t="shared" ref="C140:C156" si="26">D139+1</f>
        <v>42040000</v>
      </c>
      <c r="D140" s="4">
        <f t="shared" ref="D140:D195" si="27">C140+E140-1</f>
        <v>43029999</v>
      </c>
      <c r="E140" s="4">
        <f t="shared" si="14"/>
        <v>990000</v>
      </c>
      <c r="F140" s="5">
        <v>1000</v>
      </c>
      <c r="G140" s="6">
        <v>990</v>
      </c>
    </row>
    <row r="141" spans="2:7">
      <c r="B141" s="7" t="s">
        <v>113</v>
      </c>
      <c r="C141" s="4">
        <f t="shared" si="26"/>
        <v>43030000</v>
      </c>
      <c r="D141" s="4">
        <f t="shared" si="27"/>
        <v>43589999</v>
      </c>
      <c r="E141" s="4">
        <f t="shared" si="14"/>
        <v>560000</v>
      </c>
      <c r="F141" s="5">
        <v>1000</v>
      </c>
      <c r="G141" s="6">
        <v>560</v>
      </c>
    </row>
    <row r="142" spans="2:7">
      <c r="B142" s="7" t="s">
        <v>114</v>
      </c>
      <c r="C142" s="4">
        <f t="shared" si="26"/>
        <v>43590000</v>
      </c>
      <c r="D142" s="4">
        <f>C142+E142-1</f>
        <v>43789999</v>
      </c>
      <c r="E142" s="4">
        <f t="shared" si="14"/>
        <v>200000</v>
      </c>
      <c r="F142" s="5">
        <v>1000</v>
      </c>
      <c r="G142" s="6">
        <v>200</v>
      </c>
    </row>
    <row r="143" spans="2:7">
      <c r="B143" s="7" t="s">
        <v>115</v>
      </c>
      <c r="C143" s="4">
        <f t="shared" si="26"/>
        <v>43790000</v>
      </c>
      <c r="D143" s="4">
        <f t="shared" si="27"/>
        <v>43989999</v>
      </c>
      <c r="E143" s="4">
        <f t="shared" si="14"/>
        <v>200000</v>
      </c>
      <c r="F143" s="5">
        <v>1000</v>
      </c>
      <c r="G143" s="6">
        <v>200</v>
      </c>
    </row>
    <row r="144" spans="2:7">
      <c r="B144" s="7" t="s">
        <v>116</v>
      </c>
      <c r="C144" s="4">
        <f t="shared" si="26"/>
        <v>43990000</v>
      </c>
      <c r="D144" s="4">
        <f t="shared" si="27"/>
        <v>44189999</v>
      </c>
      <c r="E144" s="4">
        <f t="shared" si="14"/>
        <v>200000</v>
      </c>
      <c r="F144" s="5">
        <v>1000</v>
      </c>
      <c r="G144" s="6">
        <v>200</v>
      </c>
    </row>
    <row r="145" spans="2:7">
      <c r="B145" s="7" t="s">
        <v>117</v>
      </c>
      <c r="C145" s="4">
        <f t="shared" si="26"/>
        <v>44190000</v>
      </c>
      <c r="D145" s="4">
        <f t="shared" si="27"/>
        <v>44319999</v>
      </c>
      <c r="E145" s="4">
        <f t="shared" si="14"/>
        <v>130000</v>
      </c>
      <c r="F145" s="5">
        <v>1000</v>
      </c>
      <c r="G145" s="6">
        <v>130</v>
      </c>
    </row>
    <row r="146" spans="2:7">
      <c r="B146" s="7" t="s">
        <v>118</v>
      </c>
      <c r="C146" s="4">
        <f t="shared" si="26"/>
        <v>44320000</v>
      </c>
      <c r="D146" s="4">
        <f t="shared" si="27"/>
        <v>44409999</v>
      </c>
      <c r="E146" s="4">
        <f t="shared" si="14"/>
        <v>90000</v>
      </c>
      <c r="F146" s="5">
        <v>1000</v>
      </c>
      <c r="G146" s="6">
        <v>90</v>
      </c>
    </row>
    <row r="147" spans="2:7">
      <c r="B147" s="7" t="s">
        <v>119</v>
      </c>
      <c r="C147" s="4">
        <f t="shared" si="26"/>
        <v>44410000</v>
      </c>
      <c r="D147" s="4">
        <f t="shared" si="27"/>
        <v>44459999</v>
      </c>
      <c r="E147" s="4">
        <f t="shared" si="14"/>
        <v>50000</v>
      </c>
      <c r="F147" s="5">
        <v>1000</v>
      </c>
      <c r="G147" s="6">
        <v>50</v>
      </c>
    </row>
    <row r="148" spans="2:7">
      <c r="B148" s="7" t="s">
        <v>120</v>
      </c>
      <c r="C148" s="4">
        <f t="shared" si="26"/>
        <v>44460000</v>
      </c>
      <c r="D148" s="4">
        <f t="shared" si="27"/>
        <v>44509999</v>
      </c>
      <c r="E148" s="4">
        <f t="shared" si="14"/>
        <v>50000</v>
      </c>
      <c r="F148" s="5">
        <v>1000</v>
      </c>
      <c r="G148" s="6">
        <v>50</v>
      </c>
    </row>
    <row r="149" spans="2:7">
      <c r="B149" s="7" t="s">
        <v>121</v>
      </c>
      <c r="C149" s="4">
        <f t="shared" si="26"/>
        <v>44510000</v>
      </c>
      <c r="D149" s="4">
        <f t="shared" si="27"/>
        <v>44559999</v>
      </c>
      <c r="E149" s="4">
        <f t="shared" si="14"/>
        <v>50000</v>
      </c>
      <c r="F149" s="5">
        <v>1000</v>
      </c>
      <c r="G149" s="6">
        <v>50</v>
      </c>
    </row>
    <row r="150" spans="2:7">
      <c r="B150" s="7" t="s">
        <v>122</v>
      </c>
      <c r="C150" s="4">
        <f t="shared" si="26"/>
        <v>44560000</v>
      </c>
      <c r="D150" s="4">
        <f t="shared" si="27"/>
        <v>44609999</v>
      </c>
      <c r="E150" s="4">
        <f t="shared" si="14"/>
        <v>50000</v>
      </c>
      <c r="F150" s="5">
        <v>1000</v>
      </c>
      <c r="G150" s="6">
        <v>50</v>
      </c>
    </row>
    <row r="151" spans="2:7">
      <c r="B151" s="7" t="s">
        <v>123</v>
      </c>
      <c r="C151" s="4">
        <f t="shared" si="26"/>
        <v>44610000</v>
      </c>
      <c r="D151" s="4">
        <f t="shared" si="27"/>
        <v>44659999</v>
      </c>
      <c r="E151" s="4">
        <f t="shared" si="14"/>
        <v>50000</v>
      </c>
      <c r="F151" s="5">
        <v>1000</v>
      </c>
      <c r="G151" s="6">
        <v>50</v>
      </c>
    </row>
    <row r="152" spans="2:7">
      <c r="B152" s="7" t="s">
        <v>124</v>
      </c>
      <c r="C152" s="4">
        <f t="shared" si="26"/>
        <v>44660000</v>
      </c>
      <c r="D152" s="4">
        <f t="shared" si="27"/>
        <v>44709999</v>
      </c>
      <c r="E152" s="4">
        <f t="shared" si="14"/>
        <v>50000</v>
      </c>
      <c r="F152" s="5">
        <v>1000</v>
      </c>
      <c r="G152" s="6">
        <v>50</v>
      </c>
    </row>
    <row r="153" spans="2:7">
      <c r="B153" s="7" t="s">
        <v>125</v>
      </c>
      <c r="C153" s="4">
        <f t="shared" si="26"/>
        <v>44710000</v>
      </c>
      <c r="D153" s="4">
        <f t="shared" si="27"/>
        <v>44929999</v>
      </c>
      <c r="E153" s="4">
        <f t="shared" si="14"/>
        <v>220000</v>
      </c>
      <c r="F153" s="5">
        <v>1000</v>
      </c>
      <c r="G153" s="6">
        <v>220</v>
      </c>
    </row>
    <row r="154" spans="2:7">
      <c r="B154" s="7" t="s">
        <v>126</v>
      </c>
      <c r="C154" s="4">
        <f t="shared" si="26"/>
        <v>44930000</v>
      </c>
      <c r="D154" s="4">
        <f t="shared" si="27"/>
        <v>45069999</v>
      </c>
      <c r="E154" s="4">
        <f t="shared" si="14"/>
        <v>140000</v>
      </c>
      <c r="F154" s="5">
        <v>1000</v>
      </c>
      <c r="G154" s="6">
        <v>140</v>
      </c>
    </row>
    <row r="155" spans="2:7">
      <c r="B155" s="7" t="s">
        <v>127</v>
      </c>
      <c r="C155" s="4">
        <f t="shared" si="26"/>
        <v>45070000</v>
      </c>
      <c r="D155" s="4">
        <f t="shared" si="27"/>
        <v>45149999</v>
      </c>
      <c r="E155" s="4">
        <f t="shared" si="14"/>
        <v>80000</v>
      </c>
      <c r="F155" s="5">
        <v>1000</v>
      </c>
      <c r="G155" s="6">
        <v>80</v>
      </c>
    </row>
    <row r="156" spans="2:7">
      <c r="B156" s="7" t="s">
        <v>128</v>
      </c>
      <c r="C156" s="4">
        <f t="shared" si="26"/>
        <v>45150000</v>
      </c>
      <c r="D156" s="4">
        <f t="shared" si="27"/>
        <v>45539999</v>
      </c>
      <c r="E156" s="4">
        <f t="shared" si="14"/>
        <v>390000</v>
      </c>
      <c r="F156" s="5">
        <v>1000</v>
      </c>
      <c r="G156" s="6">
        <v>390</v>
      </c>
    </row>
    <row r="157" spans="2:7">
      <c r="B157" s="7" t="s">
        <v>129</v>
      </c>
      <c r="C157" s="4">
        <f t="shared" ref="C157:C192" si="28">D156+1</f>
        <v>45540000</v>
      </c>
      <c r="D157" s="4">
        <f t="shared" ref="D157:D192" si="29">C157+E157-1</f>
        <v>45849999</v>
      </c>
      <c r="E157" s="4">
        <f t="shared" ref="E157:E192" si="30">G157*F157</f>
        <v>310000</v>
      </c>
      <c r="F157" s="5">
        <v>1000</v>
      </c>
      <c r="G157" s="6">
        <v>310</v>
      </c>
    </row>
    <row r="158" spans="2:7">
      <c r="B158" s="7" t="s">
        <v>130</v>
      </c>
      <c r="C158" s="4">
        <f t="shared" si="28"/>
        <v>45850000</v>
      </c>
      <c r="D158" s="4">
        <f t="shared" si="29"/>
        <v>46159999</v>
      </c>
      <c r="E158" s="4">
        <f t="shared" si="30"/>
        <v>310000</v>
      </c>
      <c r="F158" s="5">
        <v>1000</v>
      </c>
      <c r="G158" s="6">
        <v>310</v>
      </c>
    </row>
    <row r="159" spans="2:7">
      <c r="B159" s="7" t="s">
        <v>206</v>
      </c>
      <c r="C159" s="4">
        <f t="shared" si="28"/>
        <v>46160000</v>
      </c>
      <c r="D159" s="4">
        <f t="shared" si="29"/>
        <v>46359999</v>
      </c>
      <c r="E159" s="4">
        <f t="shared" si="30"/>
        <v>200000</v>
      </c>
      <c r="F159" s="5">
        <v>1000</v>
      </c>
      <c r="G159" s="6">
        <v>200</v>
      </c>
    </row>
    <row r="160" spans="2:7">
      <c r="B160" s="7" t="s">
        <v>131</v>
      </c>
      <c r="C160" s="4">
        <f t="shared" si="28"/>
        <v>46360000</v>
      </c>
      <c r="D160" s="4">
        <f t="shared" si="29"/>
        <v>46509999</v>
      </c>
      <c r="E160" s="4">
        <f t="shared" si="30"/>
        <v>150000</v>
      </c>
      <c r="F160" s="5">
        <v>1000</v>
      </c>
      <c r="G160" s="6">
        <v>150</v>
      </c>
    </row>
    <row r="161" spans="2:7">
      <c r="B161" s="7" t="s">
        <v>132</v>
      </c>
      <c r="C161" s="4">
        <f t="shared" si="28"/>
        <v>46510000</v>
      </c>
      <c r="D161" s="4">
        <f t="shared" si="29"/>
        <v>46659999</v>
      </c>
      <c r="E161" s="4">
        <f t="shared" si="30"/>
        <v>150000</v>
      </c>
      <c r="F161" s="5">
        <v>1000</v>
      </c>
      <c r="G161" s="6">
        <v>150</v>
      </c>
    </row>
    <row r="162" spans="2:7">
      <c r="B162" s="7" t="s">
        <v>133</v>
      </c>
      <c r="C162" s="4">
        <f t="shared" si="28"/>
        <v>46660000</v>
      </c>
      <c r="D162" s="4">
        <f t="shared" si="29"/>
        <v>46809999</v>
      </c>
      <c r="E162" s="4">
        <f t="shared" si="30"/>
        <v>150000</v>
      </c>
      <c r="F162" s="5">
        <v>1000</v>
      </c>
      <c r="G162" s="6">
        <v>150</v>
      </c>
    </row>
    <row r="163" spans="2:7">
      <c r="B163" s="7" t="s">
        <v>134</v>
      </c>
      <c r="C163" s="4">
        <f t="shared" si="28"/>
        <v>46810000</v>
      </c>
      <c r="D163" s="4">
        <f t="shared" si="29"/>
        <v>46959999</v>
      </c>
      <c r="E163" s="4">
        <f t="shared" si="30"/>
        <v>150000</v>
      </c>
      <c r="F163" s="5">
        <v>1000</v>
      </c>
      <c r="G163" s="6">
        <v>150</v>
      </c>
    </row>
    <row r="164" spans="2:7">
      <c r="B164" s="7" t="s">
        <v>135</v>
      </c>
      <c r="C164" s="4">
        <f t="shared" si="28"/>
        <v>46960000</v>
      </c>
      <c r="D164" s="4">
        <f t="shared" si="29"/>
        <v>47109999</v>
      </c>
      <c r="E164" s="4">
        <f t="shared" si="30"/>
        <v>150000</v>
      </c>
      <c r="F164" s="5">
        <v>1000</v>
      </c>
      <c r="G164" s="6">
        <v>150</v>
      </c>
    </row>
    <row r="165" spans="2:7">
      <c r="B165" s="7" t="s">
        <v>136</v>
      </c>
      <c r="C165" s="4">
        <f t="shared" si="28"/>
        <v>47110000</v>
      </c>
      <c r="D165" s="4">
        <f t="shared" si="29"/>
        <v>47259999</v>
      </c>
      <c r="E165" s="4">
        <f t="shared" si="30"/>
        <v>150000</v>
      </c>
      <c r="F165" s="5">
        <v>1000</v>
      </c>
      <c r="G165" s="6">
        <v>150</v>
      </c>
    </row>
    <row r="166" spans="2:7">
      <c r="B166" s="7" t="s">
        <v>137</v>
      </c>
      <c r="C166" s="4">
        <f t="shared" si="28"/>
        <v>47260000</v>
      </c>
      <c r="D166" s="4">
        <f t="shared" si="29"/>
        <v>47409999</v>
      </c>
      <c r="E166" s="4">
        <f t="shared" si="30"/>
        <v>150000</v>
      </c>
      <c r="F166" s="5">
        <v>1000</v>
      </c>
      <c r="G166" s="6">
        <v>150</v>
      </c>
    </row>
    <row r="167" spans="2:7">
      <c r="B167" s="7" t="s">
        <v>138</v>
      </c>
      <c r="C167" s="4">
        <f t="shared" si="28"/>
        <v>47410000</v>
      </c>
      <c r="D167" s="4">
        <f t="shared" si="29"/>
        <v>47559999</v>
      </c>
      <c r="E167" s="4">
        <f t="shared" si="30"/>
        <v>150000</v>
      </c>
      <c r="F167" s="5">
        <v>1000</v>
      </c>
      <c r="G167" s="6">
        <v>150</v>
      </c>
    </row>
    <row r="168" spans="2:7">
      <c r="B168" s="7" t="s">
        <v>139</v>
      </c>
      <c r="C168" s="4">
        <f t="shared" si="28"/>
        <v>47560000</v>
      </c>
      <c r="D168" s="4">
        <f t="shared" si="29"/>
        <v>47709999</v>
      </c>
      <c r="E168" s="4">
        <f t="shared" si="30"/>
        <v>150000</v>
      </c>
      <c r="F168" s="5">
        <v>1000</v>
      </c>
      <c r="G168" s="6">
        <v>150</v>
      </c>
    </row>
    <row r="169" spans="2:7">
      <c r="B169" s="7" t="s">
        <v>140</v>
      </c>
      <c r="C169" s="4">
        <f t="shared" si="28"/>
        <v>47710000</v>
      </c>
      <c r="D169" s="4">
        <f t="shared" si="29"/>
        <v>47859999</v>
      </c>
      <c r="E169" s="4">
        <f t="shared" si="30"/>
        <v>150000</v>
      </c>
      <c r="F169" s="5">
        <v>1000</v>
      </c>
      <c r="G169" s="6">
        <v>150</v>
      </c>
    </row>
    <row r="170" spans="2:7">
      <c r="B170" s="7" t="s">
        <v>141</v>
      </c>
      <c r="C170" s="4">
        <f t="shared" si="28"/>
        <v>47860000</v>
      </c>
      <c r="D170" s="4">
        <f t="shared" si="29"/>
        <v>47979999</v>
      </c>
      <c r="E170" s="4">
        <f t="shared" si="30"/>
        <v>120000</v>
      </c>
      <c r="F170" s="5">
        <v>1000</v>
      </c>
      <c r="G170" s="6">
        <v>120</v>
      </c>
    </row>
    <row r="171" spans="2:7">
      <c r="B171" s="7" t="s">
        <v>142</v>
      </c>
      <c r="C171" s="4">
        <f t="shared" si="28"/>
        <v>47980000</v>
      </c>
      <c r="D171" s="4">
        <f t="shared" si="29"/>
        <v>48079999</v>
      </c>
      <c r="E171" s="4">
        <f t="shared" si="30"/>
        <v>100000</v>
      </c>
      <c r="F171" s="5">
        <v>1000</v>
      </c>
      <c r="G171" s="6">
        <v>100</v>
      </c>
    </row>
    <row r="172" spans="2:7">
      <c r="B172" s="7" t="s">
        <v>143</v>
      </c>
      <c r="C172" s="4">
        <f t="shared" si="28"/>
        <v>48080000</v>
      </c>
      <c r="D172" s="4">
        <f t="shared" si="29"/>
        <v>48119999</v>
      </c>
      <c r="E172" s="4">
        <f t="shared" si="30"/>
        <v>40000</v>
      </c>
      <c r="F172" s="5">
        <v>1000</v>
      </c>
      <c r="G172" s="6">
        <v>40</v>
      </c>
    </row>
    <row r="173" spans="2:7">
      <c r="B173" s="7" t="s">
        <v>144</v>
      </c>
      <c r="C173" s="4">
        <f t="shared" si="28"/>
        <v>48120000</v>
      </c>
      <c r="D173" s="4">
        <f t="shared" si="29"/>
        <v>48159999</v>
      </c>
      <c r="E173" s="4">
        <f t="shared" si="30"/>
        <v>40000</v>
      </c>
      <c r="F173" s="5">
        <v>1000</v>
      </c>
      <c r="G173" s="6">
        <v>40</v>
      </c>
    </row>
    <row r="174" spans="2:7">
      <c r="B174" s="7" t="s">
        <v>145</v>
      </c>
      <c r="C174" s="4">
        <f t="shared" si="28"/>
        <v>48160000</v>
      </c>
      <c r="D174" s="4">
        <f t="shared" si="29"/>
        <v>48199999</v>
      </c>
      <c r="E174" s="4">
        <f t="shared" si="30"/>
        <v>40000</v>
      </c>
      <c r="F174" s="5">
        <v>1000</v>
      </c>
      <c r="G174" s="6">
        <v>40</v>
      </c>
    </row>
    <row r="175" spans="2:7">
      <c r="B175" s="7" t="s">
        <v>146</v>
      </c>
      <c r="C175" s="4">
        <f t="shared" si="28"/>
        <v>48200000</v>
      </c>
      <c r="D175" s="4">
        <f t="shared" si="29"/>
        <v>48239999</v>
      </c>
      <c r="E175" s="4">
        <f t="shared" si="30"/>
        <v>40000</v>
      </c>
      <c r="F175" s="5">
        <v>1000</v>
      </c>
      <c r="G175" s="6">
        <v>40</v>
      </c>
    </row>
    <row r="176" spans="2:7">
      <c r="B176" s="7" t="s">
        <v>147</v>
      </c>
      <c r="C176" s="4">
        <f t="shared" si="28"/>
        <v>48240000</v>
      </c>
      <c r="D176" s="4">
        <f t="shared" si="29"/>
        <v>48279999</v>
      </c>
      <c r="E176" s="4">
        <f t="shared" si="30"/>
        <v>40000</v>
      </c>
      <c r="F176" s="5">
        <v>1000</v>
      </c>
      <c r="G176" s="6">
        <v>40</v>
      </c>
    </row>
    <row r="177" spans="2:7">
      <c r="B177" s="7" t="s">
        <v>148</v>
      </c>
      <c r="C177" s="4">
        <f t="shared" si="28"/>
        <v>48280000</v>
      </c>
      <c r="D177" s="4">
        <f t="shared" si="29"/>
        <v>48839999</v>
      </c>
      <c r="E177" s="4">
        <f t="shared" si="30"/>
        <v>560000</v>
      </c>
      <c r="F177" s="5">
        <v>1000</v>
      </c>
      <c r="G177" s="6">
        <v>560</v>
      </c>
    </row>
    <row r="178" spans="2:7">
      <c r="B178" s="7" t="s">
        <v>149</v>
      </c>
      <c r="C178" s="4">
        <f t="shared" si="28"/>
        <v>48840000</v>
      </c>
      <c r="D178" s="4">
        <f t="shared" si="29"/>
        <v>49399999</v>
      </c>
      <c r="E178" s="4">
        <f t="shared" si="30"/>
        <v>560000</v>
      </c>
      <c r="F178" s="5">
        <v>1000</v>
      </c>
      <c r="G178" s="6">
        <v>560</v>
      </c>
    </row>
    <row r="179" spans="2:7">
      <c r="B179" s="7" t="s">
        <v>150</v>
      </c>
      <c r="C179" s="4">
        <f t="shared" si="28"/>
        <v>49400000</v>
      </c>
      <c r="D179" s="4">
        <f t="shared" si="29"/>
        <v>49699999</v>
      </c>
      <c r="E179" s="4">
        <f t="shared" si="30"/>
        <v>300000</v>
      </c>
      <c r="F179" s="5">
        <v>1000</v>
      </c>
      <c r="G179" s="6">
        <v>300</v>
      </c>
    </row>
    <row r="180" spans="2:7">
      <c r="B180" s="7" t="s">
        <v>151</v>
      </c>
      <c r="C180" s="4">
        <f t="shared" si="28"/>
        <v>49700000</v>
      </c>
      <c r="D180" s="4">
        <f t="shared" si="29"/>
        <v>49949999</v>
      </c>
      <c r="E180" s="4">
        <f t="shared" si="30"/>
        <v>250000</v>
      </c>
      <c r="F180" s="5">
        <v>1000</v>
      </c>
      <c r="G180" s="6">
        <v>250</v>
      </c>
    </row>
    <row r="181" spans="2:7">
      <c r="B181" s="7" t="s">
        <v>152</v>
      </c>
      <c r="C181" s="4">
        <f t="shared" si="28"/>
        <v>49950000</v>
      </c>
      <c r="D181" s="4">
        <f t="shared" si="29"/>
        <v>50199999</v>
      </c>
      <c r="E181" s="4">
        <f t="shared" si="30"/>
        <v>250000</v>
      </c>
      <c r="F181" s="5">
        <v>1000</v>
      </c>
      <c r="G181" s="6">
        <v>250</v>
      </c>
    </row>
    <row r="182" spans="2:7">
      <c r="B182" s="7" t="s">
        <v>153</v>
      </c>
      <c r="C182" s="4">
        <f t="shared" si="28"/>
        <v>50200000</v>
      </c>
      <c r="D182" s="4">
        <f t="shared" si="29"/>
        <v>50449999</v>
      </c>
      <c r="E182" s="4">
        <f t="shared" si="30"/>
        <v>250000</v>
      </c>
      <c r="F182" s="5">
        <v>1000</v>
      </c>
      <c r="G182" s="6">
        <v>250</v>
      </c>
    </row>
    <row r="183" spans="2:7">
      <c r="B183" s="7" t="s">
        <v>154</v>
      </c>
      <c r="C183" s="4">
        <f t="shared" si="28"/>
        <v>50450000</v>
      </c>
      <c r="D183" s="4">
        <f t="shared" si="29"/>
        <v>50699999</v>
      </c>
      <c r="E183" s="4">
        <f t="shared" si="30"/>
        <v>250000</v>
      </c>
      <c r="F183" s="5">
        <v>1000</v>
      </c>
      <c r="G183" s="6">
        <v>250</v>
      </c>
    </row>
    <row r="184" spans="2:7">
      <c r="B184" s="7" t="s">
        <v>155</v>
      </c>
      <c r="C184" s="4">
        <f t="shared" si="28"/>
        <v>50700000</v>
      </c>
      <c r="D184" s="4">
        <f t="shared" si="29"/>
        <v>50949999</v>
      </c>
      <c r="E184" s="4">
        <f t="shared" si="30"/>
        <v>250000</v>
      </c>
      <c r="F184" s="5">
        <v>1000</v>
      </c>
      <c r="G184" s="6">
        <v>250</v>
      </c>
    </row>
    <row r="185" spans="2:7">
      <c r="B185" s="7" t="s">
        <v>156</v>
      </c>
      <c r="C185" s="4">
        <f t="shared" si="28"/>
        <v>50950000</v>
      </c>
      <c r="D185" s="4">
        <f t="shared" si="29"/>
        <v>51199999</v>
      </c>
      <c r="E185" s="4">
        <f t="shared" si="30"/>
        <v>250000</v>
      </c>
      <c r="F185" s="5">
        <v>1000</v>
      </c>
      <c r="G185" s="6">
        <v>250</v>
      </c>
    </row>
    <row r="186" spans="2:7">
      <c r="B186" s="7" t="s">
        <v>157</v>
      </c>
      <c r="C186" s="4">
        <f t="shared" si="28"/>
        <v>51200000</v>
      </c>
      <c r="D186" s="4">
        <f t="shared" si="29"/>
        <v>51449999</v>
      </c>
      <c r="E186" s="4">
        <f t="shared" si="30"/>
        <v>250000</v>
      </c>
      <c r="F186" s="5">
        <v>1000</v>
      </c>
      <c r="G186" s="6">
        <v>250</v>
      </c>
    </row>
    <row r="187" spans="2:7">
      <c r="B187" s="7" t="s">
        <v>158</v>
      </c>
      <c r="C187" s="4">
        <f t="shared" si="28"/>
        <v>51450000</v>
      </c>
      <c r="D187" s="4">
        <f t="shared" si="29"/>
        <v>51699999</v>
      </c>
      <c r="E187" s="4">
        <f t="shared" si="30"/>
        <v>250000</v>
      </c>
      <c r="F187" s="5">
        <v>1000</v>
      </c>
      <c r="G187" s="6">
        <v>250</v>
      </c>
    </row>
    <row r="188" spans="2:7">
      <c r="B188" s="7" t="s">
        <v>159</v>
      </c>
      <c r="C188" s="4">
        <f t="shared" si="28"/>
        <v>51700000</v>
      </c>
      <c r="D188" s="4">
        <f t="shared" si="29"/>
        <v>51949999</v>
      </c>
      <c r="E188" s="4">
        <f t="shared" si="30"/>
        <v>250000</v>
      </c>
      <c r="F188" s="5">
        <v>1000</v>
      </c>
      <c r="G188" s="6">
        <v>250</v>
      </c>
    </row>
    <row r="189" spans="2:7">
      <c r="B189" s="7" t="s">
        <v>160</v>
      </c>
      <c r="C189" s="4">
        <f t="shared" si="28"/>
        <v>51950000</v>
      </c>
      <c r="D189" s="4">
        <f t="shared" si="29"/>
        <v>52199999</v>
      </c>
      <c r="E189" s="4">
        <f t="shared" si="30"/>
        <v>250000</v>
      </c>
      <c r="F189" s="5">
        <v>1000</v>
      </c>
      <c r="G189" s="6">
        <v>250</v>
      </c>
    </row>
    <row r="190" spans="2:7">
      <c r="B190" s="7" t="s">
        <v>161</v>
      </c>
      <c r="C190" s="4">
        <f t="shared" si="28"/>
        <v>52200000</v>
      </c>
      <c r="D190" s="4">
        <f t="shared" si="29"/>
        <v>52449999</v>
      </c>
      <c r="E190" s="4">
        <f t="shared" si="30"/>
        <v>250000</v>
      </c>
      <c r="F190" s="5">
        <v>1000</v>
      </c>
      <c r="G190" s="6">
        <v>250</v>
      </c>
    </row>
    <row r="191" spans="2:7">
      <c r="B191" s="7" t="s">
        <v>163</v>
      </c>
      <c r="C191" s="4">
        <f t="shared" si="28"/>
        <v>52450000</v>
      </c>
      <c r="D191" s="4">
        <f t="shared" si="29"/>
        <v>53599999</v>
      </c>
      <c r="E191" s="4">
        <f t="shared" si="30"/>
        <v>1150000</v>
      </c>
      <c r="F191" s="5">
        <v>1000</v>
      </c>
      <c r="G191" s="6">
        <v>1150</v>
      </c>
    </row>
    <row r="192" spans="2:7">
      <c r="B192" s="11" t="s">
        <v>35</v>
      </c>
      <c r="C192" s="4">
        <f t="shared" si="28"/>
        <v>53600000</v>
      </c>
      <c r="D192" s="4">
        <f t="shared" si="29"/>
        <v>54380779</v>
      </c>
      <c r="E192" s="4">
        <f t="shared" si="30"/>
        <v>780780</v>
      </c>
      <c r="F192" s="5">
        <v>1001</v>
      </c>
      <c r="G192" s="6">
        <v>780</v>
      </c>
    </row>
    <row r="193" spans="2:7">
      <c r="B193" s="11" t="s">
        <v>185</v>
      </c>
      <c r="C193" s="17">
        <v>60000000</v>
      </c>
      <c r="D193" s="4">
        <f t="shared" si="27"/>
        <v>61000999</v>
      </c>
      <c r="E193" s="4">
        <f t="shared" ref="E193:E195" si="31">G193*F193</f>
        <v>1001000</v>
      </c>
      <c r="F193" s="5">
        <v>1001</v>
      </c>
      <c r="G193" s="6">
        <v>1000</v>
      </c>
    </row>
    <row r="194" spans="2:7">
      <c r="B194" s="11" t="s">
        <v>204</v>
      </c>
      <c r="C194" s="17">
        <v>62290000</v>
      </c>
      <c r="D194" s="4">
        <f t="shared" si="27"/>
        <v>62305999</v>
      </c>
      <c r="E194" s="4">
        <f t="shared" si="31"/>
        <v>16000</v>
      </c>
      <c r="F194" s="5">
        <v>1000</v>
      </c>
      <c r="G194" s="6">
        <v>16</v>
      </c>
    </row>
    <row r="195" spans="2:7">
      <c r="B195" s="7" t="s">
        <v>197</v>
      </c>
      <c r="C195" s="17">
        <v>62306000</v>
      </c>
      <c r="D195" s="4">
        <f t="shared" si="27"/>
        <v>62312999</v>
      </c>
      <c r="E195" s="19">
        <f t="shared" si="31"/>
        <v>7000</v>
      </c>
      <c r="F195" s="19">
        <v>1000</v>
      </c>
      <c r="G195" s="18">
        <v>7</v>
      </c>
    </row>
    <row r="196" spans="2:7">
      <c r="B196" s="7" t="s">
        <v>199</v>
      </c>
      <c r="C196" s="17">
        <v>62329000</v>
      </c>
      <c r="D196" s="4">
        <f t="shared" ref="D196:D201" si="32">C196+E196-1</f>
        <v>62428999</v>
      </c>
      <c r="E196" s="19">
        <f t="shared" ref="E196:E201" si="33">G196*F196</f>
        <v>100000</v>
      </c>
      <c r="F196" s="19">
        <v>1000</v>
      </c>
      <c r="G196" s="18">
        <v>100</v>
      </c>
    </row>
    <row r="197" spans="2:7">
      <c r="B197" s="7" t="s">
        <v>201</v>
      </c>
      <c r="C197" s="4">
        <f t="shared" ref="C197:C201" si="34">D196+1</f>
        <v>62429000</v>
      </c>
      <c r="D197" s="4">
        <f t="shared" si="32"/>
        <v>62528999</v>
      </c>
      <c r="E197" s="19">
        <f t="shared" si="33"/>
        <v>100000</v>
      </c>
      <c r="F197" s="19">
        <v>1000</v>
      </c>
      <c r="G197" s="18">
        <v>100</v>
      </c>
    </row>
    <row r="198" spans="2:7">
      <c r="B198" s="7" t="s">
        <v>200</v>
      </c>
      <c r="C198" s="4">
        <f t="shared" si="34"/>
        <v>62529000</v>
      </c>
      <c r="D198" s="4">
        <f t="shared" si="32"/>
        <v>62628999</v>
      </c>
      <c r="E198" s="19">
        <f t="shared" si="33"/>
        <v>100000</v>
      </c>
      <c r="F198" s="19">
        <v>1000</v>
      </c>
      <c r="G198" s="18">
        <v>100</v>
      </c>
    </row>
    <row r="199" spans="2:7">
      <c r="B199" s="7" t="s">
        <v>202</v>
      </c>
      <c r="C199" s="4">
        <f t="shared" si="34"/>
        <v>62629000</v>
      </c>
      <c r="D199" s="4">
        <f t="shared" si="32"/>
        <v>62728999</v>
      </c>
      <c r="E199" s="19">
        <f t="shared" si="33"/>
        <v>100000</v>
      </c>
      <c r="F199" s="19">
        <v>1000</v>
      </c>
      <c r="G199" s="18">
        <v>100</v>
      </c>
    </row>
    <row r="200" spans="2:7">
      <c r="B200" s="7" t="s">
        <v>203</v>
      </c>
      <c r="C200" s="4">
        <f t="shared" si="34"/>
        <v>62729000</v>
      </c>
      <c r="D200" s="4">
        <f t="shared" si="32"/>
        <v>62828999</v>
      </c>
      <c r="E200" s="19">
        <f t="shared" si="33"/>
        <v>100000</v>
      </c>
      <c r="F200" s="19">
        <v>1000</v>
      </c>
      <c r="G200" s="18">
        <v>100</v>
      </c>
    </row>
    <row r="201" spans="2:7">
      <c r="B201" s="7" t="s">
        <v>198</v>
      </c>
      <c r="C201" s="4">
        <f t="shared" si="34"/>
        <v>62829000</v>
      </c>
      <c r="D201" s="4">
        <f t="shared" si="32"/>
        <v>62928999</v>
      </c>
      <c r="E201" s="19">
        <f t="shared" si="33"/>
        <v>100000</v>
      </c>
      <c r="F201" s="19">
        <v>1000</v>
      </c>
      <c r="G201" s="18">
        <v>100</v>
      </c>
    </row>
    <row r="202" spans="2:7">
      <c r="B202" s="11" t="s">
        <v>186</v>
      </c>
      <c r="C202" s="4">
        <v>63000000</v>
      </c>
      <c r="D202" s="4">
        <f>C202+E202-1</f>
        <v>63059999</v>
      </c>
      <c r="E202" s="19">
        <f>G202*F202</f>
        <v>60000</v>
      </c>
      <c r="F202" s="19">
        <v>1000</v>
      </c>
      <c r="G202" s="18">
        <v>60</v>
      </c>
    </row>
    <row r="204" spans="2:7">
      <c r="D204" s="20"/>
    </row>
  </sheetData>
  <phoneticPr fontId="38" type="noConversion"/>
  <conditionalFormatting sqref="B1:B56 B58:B157 B159:B1048576">
    <cfRule type="duplicateValues" dxfId="44" priority="33"/>
    <cfRule type="containsText" dxfId="43" priority="34" operator="containsText" text="_sa">
      <formula>NOT(ISERROR(SEARCH("_sa",B1)))</formula>
    </cfRule>
    <cfRule type="containsText" dxfId="42" priority="35" operator="containsText" text="Flow_CPM">
      <formula>NOT(ISERROR(SEARCH("Flow_CPM",B1)))</formula>
    </cfRule>
    <cfRule type="containsText" dxfId="41" priority="36" operator="containsText" text="Flow_T0TX_PreCall">
      <formula>NOT(ISERROR(SEARCH("Flow_T0TX_PreCall",B1)))</formula>
    </cfRule>
    <cfRule type="containsText" dxfId="40" priority="37" operator="containsText" text="evs">
      <formula>NOT(ISERROR(SEARCH("evs",B1)))</formula>
    </cfRule>
    <cfRule type="containsText" dxfId="39" priority="38" operator="containsText" text="flow_dc">
      <formula>NOT(ISERROR(SEARCH("flow_dc",B1)))</formula>
    </cfRule>
    <cfRule type="containsText" dxfId="38" priority="39" operator="containsText" text="vddb">
      <formula>NOT(ISERROR(SEARCH("vddb",B1)))</formula>
    </cfRule>
    <cfRule type="containsText" dxfId="37" priority="40" operator="containsText" text="bincut">
      <formula>NOT(ISERROR(SEARCH("bincut",B1)))</formula>
    </cfRule>
    <cfRule type="containsText" dxfId="36" priority="41" operator="containsText" text="_bi">
      <formula>NOT(ISERROR(SEARCH("_bi",B1)))</formula>
    </cfRule>
    <cfRule type="containsText" dxfId="35" priority="42" operator="containsText" text="fuse">
      <formula>NOT(ISERROR(SEARCH("fuse",B1)))</formula>
    </cfRule>
    <cfRule type="containsText" dxfId="34" priority="43" operator="containsText" text="chain">
      <formula>NOT(ISERROR(SEARCH("chain",B1)))</formula>
    </cfRule>
    <cfRule type="containsText" dxfId="33" priority="44" operator="containsText" text="chain">
      <formula>NOT(ISERROR(SEARCH("chain",B1)))</formula>
    </cfRule>
    <cfRule type="containsText" dxfId="32" priority="45" operator="containsText" text="_td">
      <formula>NOT(ISERROR(SEARCH("_td",B1)))</formula>
    </cfRule>
    <cfRule type="containsText" dxfId="31" priority="46" operator="containsText" text="saa">
      <formula>NOT(ISERROR(SEARCH("saa",B1)))</formula>
    </cfRule>
    <cfRule type="containsText" dxfId="30" priority="47" operator="containsText" text="hardip">
      <formula>NOT(ISERROR(SEARCH("hardip",B1)))</formula>
    </cfRule>
    <cfRule type="containsText" priority="48" operator="containsText" text="Hard">
      <formula>NOT(ISERROR(SEARCH("Hard",B1)))</formula>
    </cfRule>
  </conditionalFormatting>
  <conditionalFormatting sqref="B57">
    <cfRule type="duplicateValues" dxfId="29" priority="17"/>
    <cfRule type="containsText" dxfId="28" priority="18" operator="containsText" text="_sa">
      <formula>NOT(ISERROR(SEARCH("_sa",B57)))</formula>
    </cfRule>
    <cfRule type="containsText" dxfId="27" priority="19" operator="containsText" text="Flow_CPM">
      <formula>NOT(ISERROR(SEARCH("Flow_CPM",B57)))</formula>
    </cfRule>
    <cfRule type="containsText" dxfId="26" priority="20" operator="containsText" text="Flow_T0TX_PreCall">
      <formula>NOT(ISERROR(SEARCH("Flow_T0TX_PreCall",B57)))</formula>
    </cfRule>
    <cfRule type="containsText" dxfId="25" priority="21" operator="containsText" text="evs">
      <formula>NOT(ISERROR(SEARCH("evs",B57)))</formula>
    </cfRule>
    <cfRule type="containsText" dxfId="24" priority="22" operator="containsText" text="flow_dc">
      <formula>NOT(ISERROR(SEARCH("flow_dc",B57)))</formula>
    </cfRule>
    <cfRule type="containsText" dxfId="23" priority="23" operator="containsText" text="vddb">
      <formula>NOT(ISERROR(SEARCH("vddb",B57)))</formula>
    </cfRule>
    <cfRule type="containsText" dxfId="22" priority="24" operator="containsText" text="bincut">
      <formula>NOT(ISERROR(SEARCH("bincut",B57)))</formula>
    </cfRule>
    <cfRule type="containsText" dxfId="21" priority="25" operator="containsText" text="_bi">
      <formula>NOT(ISERROR(SEARCH("_bi",B57)))</formula>
    </cfRule>
    <cfRule type="containsText" dxfId="20" priority="26" operator="containsText" text="fuse">
      <formula>NOT(ISERROR(SEARCH("fuse",B57)))</formula>
    </cfRule>
    <cfRule type="containsText" dxfId="19" priority="27" operator="containsText" text="chain">
      <formula>NOT(ISERROR(SEARCH("chain",B57)))</formula>
    </cfRule>
    <cfRule type="containsText" dxfId="18" priority="28" operator="containsText" text="chain">
      <formula>NOT(ISERROR(SEARCH("chain",B57)))</formula>
    </cfRule>
    <cfRule type="containsText" dxfId="17" priority="29" operator="containsText" text="_td">
      <formula>NOT(ISERROR(SEARCH("_td",B57)))</formula>
    </cfRule>
    <cfRule type="containsText" dxfId="16" priority="30" operator="containsText" text="saa">
      <formula>NOT(ISERROR(SEARCH("saa",B57)))</formula>
    </cfRule>
    <cfRule type="containsText" dxfId="15" priority="31" operator="containsText" text="hardip">
      <formula>NOT(ISERROR(SEARCH("hardip",B57)))</formula>
    </cfRule>
    <cfRule type="containsText" priority="32" operator="containsText" text="Hard">
      <formula>NOT(ISERROR(SEARCH("Hard",B57)))</formula>
    </cfRule>
  </conditionalFormatting>
  <conditionalFormatting sqref="B158">
    <cfRule type="duplicateValues" dxfId="14" priority="1"/>
    <cfRule type="containsText" dxfId="13" priority="2" operator="containsText" text="_sa">
      <formula>NOT(ISERROR(SEARCH("_sa",B158)))</formula>
    </cfRule>
    <cfRule type="containsText" dxfId="12" priority="3" operator="containsText" text="Flow_CPM">
      <formula>NOT(ISERROR(SEARCH("Flow_CPM",B158)))</formula>
    </cfRule>
    <cfRule type="containsText" dxfId="11" priority="4" operator="containsText" text="Flow_T0TX_PreCall">
      <formula>NOT(ISERROR(SEARCH("Flow_T0TX_PreCall",B158)))</formula>
    </cfRule>
    <cfRule type="containsText" dxfId="10" priority="5" operator="containsText" text="evs">
      <formula>NOT(ISERROR(SEARCH("evs",B158)))</formula>
    </cfRule>
    <cfRule type="containsText" dxfId="9" priority="6" operator="containsText" text="flow_dc">
      <formula>NOT(ISERROR(SEARCH("flow_dc",B158)))</formula>
    </cfRule>
    <cfRule type="containsText" dxfId="8" priority="7" operator="containsText" text="vddb">
      <formula>NOT(ISERROR(SEARCH("vddb",B158)))</formula>
    </cfRule>
    <cfRule type="containsText" dxfId="7" priority="8" operator="containsText" text="bincut">
      <formula>NOT(ISERROR(SEARCH("bincut",B158)))</formula>
    </cfRule>
    <cfRule type="containsText" dxfId="6" priority="9" operator="containsText" text="_bi">
      <formula>NOT(ISERROR(SEARCH("_bi",B158)))</formula>
    </cfRule>
    <cfRule type="containsText" dxfId="5" priority="10" operator="containsText" text="fuse">
      <formula>NOT(ISERROR(SEARCH("fuse",B158)))</formula>
    </cfRule>
    <cfRule type="containsText" dxfId="4" priority="11" operator="containsText" text="chain">
      <formula>NOT(ISERROR(SEARCH("chain",B158)))</formula>
    </cfRule>
    <cfRule type="containsText" dxfId="3" priority="12" operator="containsText" text="chain">
      <formula>NOT(ISERROR(SEARCH("chain",B158)))</formula>
    </cfRule>
    <cfRule type="containsText" dxfId="2" priority="13" operator="containsText" text="_td">
      <formula>NOT(ISERROR(SEARCH("_td",B158)))</formula>
    </cfRule>
    <cfRule type="containsText" dxfId="1" priority="14" operator="containsText" text="saa">
      <formula>NOT(ISERROR(SEARCH("saa",B158)))</formula>
    </cfRule>
    <cfRule type="containsText" dxfId="0" priority="15" operator="containsText" text="hardip">
      <formula>NOT(ISERROR(SEARCH("hardip",B158)))</formula>
    </cfRule>
    <cfRule type="containsText" priority="16" operator="containsText" text="Hard">
      <formula>NOT(ISERROR(SEARCH("Hard",B158)))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Block_TestNumber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Jayden Chen 陳智偉</cp:lastModifiedBy>
  <dcterms:created xsi:type="dcterms:W3CDTF">2016-02-24T03:11:40Z</dcterms:created>
  <dcterms:modified xsi:type="dcterms:W3CDTF">2025-01-16T14:19:38Z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2025-01-13T05:36:53Z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d6cbce18-5922-4f74-a53f-0fd79914a797</vt:lpwstr>
  </property>
  <property fmtid="{D5CDD505-2E9C-101B-9397-08002B2CF9AE}" pid="8" name="MSIP_Label_9a7859fa-fb81-458d-9040-c3b7cffe6362_ContentBits">
    <vt:lpwstr>3</vt:lpwstr>
  </property>
</Properties>
</file>