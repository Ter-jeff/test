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Komodo\Autogen\Autogen_20250717_1\Config\"/>
    </mc:Choice>
  </mc:AlternateContent>
  <bookViews>
    <workbookView xWindow="0" yWindow="4200" windowWidth="28800" windowHeight="12330" activeTab="2"/>
  </bookViews>
  <sheets>
    <sheet name="Bin_Number_Def" sheetId="1" r:id="rId1"/>
    <sheet name="Low_speed_Mbist" sheetId="2" r:id="rId2"/>
    <sheet name="ModuleList" sheetId="3" r:id="rId3"/>
    <sheet name="DC_HardIp_Bin_Def" sheetId="4" r:id="rId4"/>
    <sheet name="HardBin" sheetId="5" r:id="rId5"/>
  </sheets>
  <definedNames>
    <definedName name="_xlnm._FilterDatabase" localSheetId="3" hidden="1">DC_HardIp_Bin_Def!$A$1:$H$59</definedName>
  </definedNames>
  <calcPr calcId="162913" calcMode="manual"/>
</workbook>
</file>

<file path=xl/calcChain.xml><?xml version="1.0" encoding="utf-8"?>
<calcChain xmlns="http://schemas.openxmlformats.org/spreadsheetml/2006/main">
  <c r="G47" i="4" l="1"/>
  <c r="G46" i="4"/>
  <c r="G45" i="4"/>
  <c r="G43" i="4"/>
  <c r="G51" i="4"/>
  <c r="G48" i="4"/>
  <c r="G50" i="4"/>
  <c r="G49" i="4"/>
  <c r="G44" i="4"/>
  <c r="G42" i="4"/>
  <c r="G41" i="4"/>
  <c r="G40" i="4"/>
  <c r="G52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1" i="4"/>
  <c r="G20" i="4"/>
  <c r="G18" i="4"/>
  <c r="G17" i="4"/>
  <c r="G16" i="4"/>
  <c r="G11" i="4"/>
  <c r="G10" i="4"/>
  <c r="G9" i="4"/>
  <c r="G8" i="4"/>
  <c r="G7" i="4"/>
  <c r="G6" i="4"/>
  <c r="G5" i="4"/>
  <c r="G4" i="4"/>
  <c r="G3" i="4"/>
  <c r="G2" i="4"/>
</calcChain>
</file>

<file path=xl/comments1.xml><?xml version="1.0" encoding="utf-8"?>
<comments xmlns="http://schemas.openxmlformats.org/spreadsheetml/2006/main">
  <authors>
    <author>詹清龍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argument object
</t>
        </r>
      </text>
    </comment>
  </commentList>
</comments>
</file>

<file path=xl/comments2.xml><?xml version="1.0" encoding="utf-8"?>
<comments xmlns="http://schemas.openxmlformats.org/spreadsheetml/2006/main">
  <authors>
    <author>詹清龍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human read only</t>
        </r>
      </text>
    </comment>
    <comment ref="B1" authorId="0" shapeId="0">
      <text>
        <r>
          <rPr>
            <b/>
            <sz val="9"/>
            <color indexed="81"/>
            <rFont val="細明體"/>
            <family val="3"/>
            <charset val="136"/>
          </rPr>
          <t>Argument1 passed by each block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Argument2 passed by each block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human ready only</t>
        </r>
      </text>
    </comment>
  </commentList>
</comments>
</file>

<file path=xl/sharedStrings.xml><?xml version="1.0" encoding="utf-8"?>
<sst xmlns="http://schemas.openxmlformats.org/spreadsheetml/2006/main" count="651" uniqueCount="323">
  <si>
    <t>HV</t>
    <phoneticPr fontId="3" type="noConversion"/>
  </si>
  <si>
    <t>LV</t>
    <phoneticPr fontId="3" type="noConversion"/>
  </si>
  <si>
    <t>NV</t>
    <phoneticPr fontId="3" type="noConversion"/>
  </si>
  <si>
    <t>hard defect</t>
  </si>
  <si>
    <t>Soft defect</t>
  </si>
  <si>
    <t>Bit cell</t>
  </si>
  <si>
    <t>Performance mode</t>
    <phoneticPr fontId="3" type="noConversion"/>
  </si>
  <si>
    <t>0~9</t>
    <phoneticPr fontId="3" type="noConversion"/>
  </si>
  <si>
    <t>HV</t>
    <phoneticPr fontId="3" type="noConversion"/>
  </si>
  <si>
    <t>LV</t>
    <phoneticPr fontId="3" type="noConversion"/>
  </si>
  <si>
    <t>NV</t>
    <phoneticPr fontId="3" type="noConversion"/>
  </si>
  <si>
    <t>HLV</t>
    <phoneticPr fontId="3" type="noConversion"/>
  </si>
  <si>
    <t>0~9</t>
    <phoneticPr fontId="3" type="noConversion"/>
  </si>
  <si>
    <t>Performance mode</t>
    <phoneticPr fontId="3" type="noConversion"/>
  </si>
  <si>
    <t>LV</t>
    <phoneticPr fontId="3" type="noConversion"/>
  </si>
  <si>
    <t>NV</t>
    <phoneticPr fontId="3" type="noConversion"/>
  </si>
  <si>
    <t>HLV</t>
    <phoneticPr fontId="3" type="noConversion"/>
  </si>
  <si>
    <t>0~9</t>
    <phoneticPr fontId="3" type="noConversion"/>
  </si>
  <si>
    <t>Performance mode</t>
    <phoneticPr fontId="3" type="noConversion"/>
  </si>
  <si>
    <t>Mbist Binning</t>
    <phoneticPr fontId="3" type="noConversion"/>
  </si>
  <si>
    <t>BIRA for Margin test(Vmargin)</t>
  </si>
  <si>
    <t>BIST for Marginal test(Vmargin)</t>
  </si>
  <si>
    <t>HLV</t>
  </si>
  <si>
    <t>Soft Repair (BISR)</t>
  </si>
  <si>
    <t>Soft Repair(FLOAD_setup)</t>
  </si>
  <si>
    <t>Server test/BIHR</t>
  </si>
  <si>
    <t>Retention</t>
  </si>
  <si>
    <t>BIST3</t>
  </si>
  <si>
    <t>Power control</t>
  </si>
  <si>
    <t>int retention</t>
  </si>
  <si>
    <t>Ext retention</t>
  </si>
  <si>
    <t>SOC</t>
    <phoneticPr fontId="1" type="noConversion"/>
  </si>
  <si>
    <t>HV</t>
  </si>
  <si>
    <t>LV</t>
  </si>
  <si>
    <t>NV</t>
  </si>
  <si>
    <t>Vmargin1</t>
    <phoneticPr fontId="1" type="noConversion"/>
  </si>
  <si>
    <t>Vmargin3</t>
    <phoneticPr fontId="1" type="noConversion"/>
  </si>
  <si>
    <t>Int</t>
    <phoneticPr fontId="1" type="noConversion"/>
  </si>
  <si>
    <t>Ext</t>
    <phoneticPr fontId="1" type="noConversion"/>
  </si>
  <si>
    <t>category</t>
    <phoneticPr fontId="1" type="noConversion"/>
  </si>
  <si>
    <t>keyword</t>
    <phoneticPr fontId="1" type="noConversion"/>
  </si>
  <si>
    <t>number</t>
    <phoneticPr fontId="1" type="noConversion"/>
  </si>
  <si>
    <t>keyword</t>
    <phoneticPr fontId="1" type="noConversion"/>
  </si>
  <si>
    <t>column</t>
    <phoneticPr fontId="1" type="noConversion"/>
  </si>
  <si>
    <t>TD</t>
    <phoneticPr fontId="3" type="noConversion"/>
  </si>
  <si>
    <t>BIRA</t>
    <phoneticPr fontId="3" type="noConversion"/>
  </si>
  <si>
    <t>Bist</t>
    <phoneticPr fontId="3" type="noConversion"/>
  </si>
  <si>
    <t>GFX</t>
    <phoneticPr fontId="1" type="noConversion"/>
  </si>
  <si>
    <t>Module</t>
    <phoneticPr fontId="1" type="noConversion"/>
  </si>
  <si>
    <t>SubModule</t>
    <phoneticPr fontId="1" type="noConversion"/>
  </si>
  <si>
    <t>BinX</t>
    <phoneticPr fontId="3" type="noConversion"/>
  </si>
  <si>
    <t>CPU</t>
    <phoneticPr fontId="1" type="noConversion"/>
  </si>
  <si>
    <t>Level</t>
    <phoneticPr fontId="1" type="noConversion"/>
  </si>
  <si>
    <t>HV</t>
    <phoneticPr fontId="1" type="noConversion"/>
  </si>
  <si>
    <t>LV</t>
    <phoneticPr fontId="1" type="noConversion"/>
  </si>
  <si>
    <t>HLV</t>
    <phoneticPr fontId="1" type="noConversion"/>
  </si>
  <si>
    <t>NV</t>
    <phoneticPr fontId="1" type="noConversion"/>
  </si>
  <si>
    <t>Mbist LVCC</t>
  </si>
  <si>
    <t>Mbist LVCC</t>
    <phoneticPr fontId="3" type="noConversion"/>
  </si>
  <si>
    <t>TD Binning</t>
  </si>
  <si>
    <t>TD Binning</t>
    <phoneticPr fontId="3" type="noConversion"/>
  </si>
  <si>
    <t>TD LVCC</t>
  </si>
  <si>
    <t>TD LVCC</t>
    <phoneticPr fontId="3" type="noConversion"/>
  </si>
  <si>
    <t>CPU</t>
    <phoneticPr fontId="1" type="noConversion"/>
  </si>
  <si>
    <t>category</t>
    <phoneticPr fontId="1" type="noConversion"/>
  </si>
  <si>
    <t>number</t>
    <phoneticPr fontId="1" type="noConversion"/>
  </si>
  <si>
    <t>number</t>
    <phoneticPr fontId="1" type="noConversion"/>
  </si>
  <si>
    <t>Column</t>
    <phoneticPr fontId="1" type="noConversion"/>
  </si>
  <si>
    <t>0~9</t>
    <phoneticPr fontId="3" type="noConversion"/>
  </si>
  <si>
    <t>Performance mode</t>
    <phoneticPr fontId="3" type="noConversion"/>
  </si>
  <si>
    <t>Performance mode</t>
    <phoneticPr fontId="3" type="noConversion"/>
  </si>
  <si>
    <t>dig2</t>
    <phoneticPr fontId="1" type="noConversion"/>
  </si>
  <si>
    <t>dig3</t>
    <phoneticPr fontId="1" type="noConversion"/>
  </si>
  <si>
    <t>dig4</t>
    <phoneticPr fontId="1" type="noConversion"/>
  </si>
  <si>
    <t>digi1</t>
    <phoneticPr fontId="3" type="noConversion"/>
  </si>
  <si>
    <t>digi2</t>
    <phoneticPr fontId="3" type="noConversion"/>
  </si>
  <si>
    <t>digi3</t>
    <phoneticPr fontId="3" type="noConversion"/>
  </si>
  <si>
    <t>digi4</t>
    <phoneticPr fontId="3" type="noConversion"/>
  </si>
  <si>
    <t>Description</t>
    <phoneticPr fontId="1" type="noConversion"/>
  </si>
  <si>
    <t>Description</t>
    <phoneticPr fontId="3" type="noConversion"/>
  </si>
  <si>
    <t>SW BIN Range Start</t>
    <phoneticPr fontId="3" type="noConversion"/>
  </si>
  <si>
    <t>SW BIN Range End</t>
    <phoneticPr fontId="3" type="noConversion"/>
  </si>
  <si>
    <t>good or bad</t>
    <phoneticPr fontId="3" type="noConversion"/>
  </si>
  <si>
    <t>Bin #</t>
    <phoneticPr fontId="3" type="noConversion"/>
  </si>
  <si>
    <t>Pass bin</t>
    <phoneticPr fontId="3" type="noConversion"/>
  </si>
  <si>
    <t>G</t>
    <phoneticPr fontId="3" type="noConversion"/>
  </si>
  <si>
    <t>Pass bin (repair SCG: 001)</t>
    <phoneticPr fontId="3" type="noConversion"/>
  </si>
  <si>
    <t>Pass bin (repair SCG: 010)</t>
    <phoneticPr fontId="3" type="noConversion"/>
  </si>
  <si>
    <t>Pass bin (repair SCG: 011)</t>
    <phoneticPr fontId="3" type="noConversion"/>
  </si>
  <si>
    <t>Pass bin (repair SCG: 100)</t>
    <phoneticPr fontId="3" type="noConversion"/>
  </si>
  <si>
    <t>Pass bin (repair SCG: 101)</t>
    <phoneticPr fontId="3" type="noConversion"/>
  </si>
  <si>
    <t>Pass bin (repair SCG: 110)</t>
    <phoneticPr fontId="3" type="noConversion"/>
  </si>
  <si>
    <t>Pass bin (repair SCG: 111)</t>
    <phoneticPr fontId="3" type="noConversion"/>
  </si>
  <si>
    <t>Open</t>
    <phoneticPr fontId="3" type="noConversion"/>
  </si>
  <si>
    <t>O</t>
    <phoneticPr fontId="3" type="noConversion"/>
  </si>
  <si>
    <t>Short</t>
    <phoneticPr fontId="3" type="noConversion"/>
  </si>
  <si>
    <t>Reserve_for_DC</t>
    <phoneticPr fontId="3" type="noConversion"/>
  </si>
  <si>
    <t>B</t>
    <phoneticPr fontId="3" type="noConversion"/>
  </si>
  <si>
    <t>Power open</t>
    <phoneticPr fontId="3" type="noConversion"/>
  </si>
  <si>
    <t>Power short</t>
    <phoneticPr fontId="3" type="noConversion"/>
  </si>
  <si>
    <t>Boundary Scan</t>
  </si>
  <si>
    <t>B</t>
  </si>
  <si>
    <t>Power Chain</t>
  </si>
  <si>
    <t>Leakages</t>
    <phoneticPr fontId="3" type="noConversion"/>
  </si>
  <si>
    <t>Thermal Sensor</t>
  </si>
  <si>
    <t>ECID efuse</t>
    <phoneticPr fontId="3" type="noConversion"/>
  </si>
  <si>
    <t>IDS plus Mbist repair(2X)</t>
    <phoneticPr fontId="3" type="noConversion"/>
  </si>
  <si>
    <t>IDS plus Mbist repair(1p5X)</t>
    <phoneticPr fontId="3" type="noConversion"/>
  </si>
  <si>
    <t>IDS plus Mbist repair(1X)</t>
    <phoneticPr fontId="3" type="noConversion"/>
  </si>
  <si>
    <t>Reserve_for_IDS</t>
    <phoneticPr fontId="3" type="noConversion"/>
  </si>
  <si>
    <t>IDS NAND_pattern burst fail</t>
    <phoneticPr fontId="3" type="noConversion"/>
  </si>
  <si>
    <t>IDS SPI_pattern burst fail</t>
    <phoneticPr fontId="3" type="noConversion"/>
  </si>
  <si>
    <t>Orange special bins</t>
    <phoneticPr fontId="3" type="noConversion"/>
  </si>
  <si>
    <t>reserved</t>
    <phoneticPr fontId="1" type="noConversion"/>
  </si>
  <si>
    <t>Jtag/Nand/power chain</t>
    <phoneticPr fontId="1" type="noConversion"/>
  </si>
  <si>
    <t>Mbist &amp; Vddbinning binning</t>
    <phoneticPr fontId="1" type="noConversion"/>
  </si>
  <si>
    <t>Short&amp; PowerShort</t>
    <phoneticPr fontId="1" type="noConversion"/>
  </si>
  <si>
    <t>Hard IP</t>
    <phoneticPr fontId="1" type="noConversion"/>
  </si>
  <si>
    <t>HardBinNumber</t>
    <phoneticPr fontId="1" type="noConversion"/>
  </si>
  <si>
    <t>Good</t>
    <phoneticPr fontId="1" type="noConversion"/>
  </si>
  <si>
    <t>Reserved</t>
    <phoneticPr fontId="1" type="noConversion"/>
  </si>
  <si>
    <t>SA/TD/Vddbinning LVCC</t>
    <phoneticPr fontId="1" type="noConversion"/>
  </si>
  <si>
    <t>xx70</t>
    <phoneticPr fontId="1" type="noConversion"/>
  </si>
  <si>
    <t>Sa</t>
    <phoneticPr fontId="1" type="noConversion"/>
  </si>
  <si>
    <t>SCAN</t>
    <phoneticPr fontId="1" type="noConversion"/>
  </si>
  <si>
    <t>BinX</t>
    <phoneticPr fontId="1" type="noConversion"/>
  </si>
  <si>
    <t>Td</t>
    <phoneticPr fontId="1" type="noConversion"/>
  </si>
  <si>
    <t>BIST</t>
    <phoneticPr fontId="1" type="noConversion"/>
  </si>
  <si>
    <t>BIRA</t>
    <phoneticPr fontId="1" type="noConversion"/>
  </si>
  <si>
    <t>Category</t>
    <phoneticPr fontId="1" type="noConversion"/>
  </si>
  <si>
    <t>SaChain</t>
    <phoneticPr fontId="1" type="noConversion"/>
  </si>
  <si>
    <t xml:space="preserve">TDChain </t>
    <phoneticPr fontId="3" type="noConversion"/>
  </si>
  <si>
    <t>TdChain</t>
    <phoneticPr fontId="1" type="noConversion"/>
  </si>
  <si>
    <t>category</t>
    <phoneticPr fontId="1" type="noConversion"/>
  </si>
  <si>
    <t>IO-NAND(input)</t>
    <phoneticPr fontId="3" type="noConversion"/>
  </si>
  <si>
    <t>See Low_speed_Mbist</t>
    <phoneticPr fontId="3" type="noConversion"/>
  </si>
  <si>
    <t>Low Speed Scan</t>
    <phoneticPr fontId="3" type="noConversion"/>
  </si>
  <si>
    <t>Low Speed Mbist</t>
    <phoneticPr fontId="3" type="noConversion"/>
  </si>
  <si>
    <t>Low Speed Scan</t>
    <phoneticPr fontId="1" type="noConversion"/>
  </si>
  <si>
    <t>Low Speed Mbist</t>
    <phoneticPr fontId="1" type="noConversion"/>
  </si>
  <si>
    <t>Reserved</t>
    <phoneticPr fontId="1" type="noConversion"/>
  </si>
  <si>
    <t>bist3</t>
    <phoneticPr fontId="1" type="noConversion"/>
  </si>
  <si>
    <t>power</t>
    <phoneticPr fontId="1" type="noConversion"/>
  </si>
  <si>
    <t>Block</t>
    <phoneticPr fontId="1" type="noConversion"/>
  </si>
  <si>
    <t>Condition</t>
    <phoneticPr fontId="1" type="noConversion"/>
  </si>
  <si>
    <t>Hard Bin</t>
    <phoneticPr fontId="1" type="noConversion"/>
  </si>
  <si>
    <t>End Flow</t>
  </si>
  <si>
    <t>DC Conti</t>
    <phoneticPr fontId="1" type="noConversion"/>
  </si>
  <si>
    <t xml:space="preserve">Hard IP </t>
  </si>
  <si>
    <t>eFuse</t>
  </si>
  <si>
    <t>Power</t>
    <phoneticPr fontId="1" type="noConversion"/>
  </si>
  <si>
    <t>Tmps</t>
    <phoneticPr fontId="1" type="noConversion"/>
  </si>
  <si>
    <t>IDS_NAND</t>
    <phoneticPr fontId="1" type="noConversion"/>
  </si>
  <si>
    <t>IDS_SPI</t>
    <phoneticPr fontId="1" type="noConversion"/>
  </si>
  <si>
    <t>Scan</t>
    <phoneticPr fontId="1" type="noConversion"/>
  </si>
  <si>
    <t>See Bin_Number_Def</t>
    <phoneticPr fontId="1" type="noConversion"/>
  </si>
  <si>
    <t>Mbist</t>
    <phoneticPr fontId="1" type="noConversion"/>
  </si>
  <si>
    <t>Vddbinning binning</t>
  </si>
  <si>
    <t>Mbist</t>
    <phoneticPr fontId="1" type="noConversion"/>
  </si>
  <si>
    <t>LVCC</t>
    <phoneticPr fontId="1" type="noConversion"/>
  </si>
  <si>
    <t>Open</t>
    <phoneticPr fontId="1" type="noConversion"/>
  </si>
  <si>
    <t>Short</t>
    <phoneticPr fontId="1" type="noConversion"/>
  </si>
  <si>
    <t>PowerOpen</t>
    <phoneticPr fontId="1" type="noConversion"/>
  </si>
  <si>
    <t>PowerShort</t>
    <phoneticPr fontId="1" type="noConversion"/>
  </si>
  <si>
    <t>UID efuse</t>
    <phoneticPr fontId="3" type="noConversion"/>
  </si>
  <si>
    <t>Config efuse</t>
    <phoneticPr fontId="3" type="noConversion"/>
  </si>
  <si>
    <t>UDR efuse</t>
    <phoneticPr fontId="3" type="noConversion"/>
  </si>
  <si>
    <t>ECID</t>
    <phoneticPr fontId="1" type="noConversion"/>
  </si>
  <si>
    <t>eFuse</t>
    <phoneticPr fontId="1" type="noConversion"/>
  </si>
  <si>
    <t>UID</t>
    <phoneticPr fontId="1" type="noConversion"/>
  </si>
  <si>
    <t>UDR</t>
    <phoneticPr fontId="1" type="noConversion"/>
  </si>
  <si>
    <t>eFuse</t>
    <phoneticPr fontId="1" type="noConversion"/>
  </si>
  <si>
    <t>Reserve</t>
    <phoneticPr fontId="1" type="noConversion"/>
  </si>
  <si>
    <t>TD,SA</t>
    <phoneticPr fontId="1" type="noConversion"/>
  </si>
  <si>
    <t>Bist</t>
    <phoneticPr fontId="1" type="noConversion"/>
  </si>
  <si>
    <t>OpenShort</t>
    <phoneticPr fontId="3" type="noConversion"/>
  </si>
  <si>
    <t>OpenShort</t>
    <phoneticPr fontId="1" type="noConversion"/>
  </si>
  <si>
    <t>O</t>
    <phoneticPr fontId="1" type="noConversion"/>
  </si>
  <si>
    <t>Leakage</t>
    <phoneticPr fontId="1" type="noConversion"/>
  </si>
  <si>
    <t>PassSCG001</t>
    <phoneticPr fontId="1" type="noConversion"/>
  </si>
  <si>
    <t>PassSCG010</t>
    <phoneticPr fontId="1" type="noConversion"/>
  </si>
  <si>
    <t>PassSCG011</t>
    <phoneticPr fontId="1" type="noConversion"/>
  </si>
  <si>
    <t>PassSCG100</t>
    <phoneticPr fontId="1" type="noConversion"/>
  </si>
  <si>
    <t>PassSCG101</t>
    <phoneticPr fontId="1" type="noConversion"/>
  </si>
  <si>
    <t>PassSCG110</t>
    <phoneticPr fontId="1" type="noConversion"/>
  </si>
  <si>
    <t>PassSCG111</t>
    <phoneticPr fontId="1" type="noConversion"/>
  </si>
  <si>
    <t>IDS plus Mbist repair(3X)</t>
    <phoneticPr fontId="3" type="noConversion"/>
  </si>
  <si>
    <t>repair3x</t>
    <phoneticPr fontId="1" type="noConversion"/>
  </si>
  <si>
    <t>repair2x</t>
    <phoneticPr fontId="1" type="noConversion"/>
  </si>
  <si>
    <t>repair1p5x</t>
    <phoneticPr fontId="1" type="noConversion"/>
  </si>
  <si>
    <t>repair1x</t>
    <phoneticPr fontId="1" type="noConversion"/>
  </si>
  <si>
    <t>PassSCG000</t>
    <phoneticPr fontId="1" type="noConversion"/>
  </si>
  <si>
    <t>Pattern</t>
  </si>
  <si>
    <t>BIR</t>
    <phoneticPr fontId="1" type="noConversion"/>
  </si>
  <si>
    <t>BST</t>
    <phoneticPr fontId="1" type="noConversion"/>
  </si>
  <si>
    <t>hard defect</t>
    <phoneticPr fontId="1" type="noConversion"/>
  </si>
  <si>
    <t>Bit cell</t>
    <phoneticPr fontId="1" type="noConversion"/>
  </si>
  <si>
    <t>hard defect,Bit cell</t>
    <phoneticPr fontId="1" type="noConversion"/>
  </si>
  <si>
    <t>HV</t>
    <phoneticPr fontId="1" type="noConversion"/>
  </si>
  <si>
    <t>LV</t>
    <phoneticPr fontId="1" type="noConversion"/>
  </si>
  <si>
    <t>HV,LV,NV,HLV</t>
    <phoneticPr fontId="1" type="noConversion"/>
  </si>
  <si>
    <t>int retention</t>
    <phoneticPr fontId="1" type="noConversion"/>
  </si>
  <si>
    <t>Ext retention</t>
    <phoneticPr fontId="1" type="noConversion"/>
  </si>
  <si>
    <t>int retention,Ext retention</t>
    <phoneticPr fontId="1" type="noConversion"/>
  </si>
  <si>
    <t>Bining</t>
    <phoneticPr fontId="1" type="noConversion"/>
  </si>
  <si>
    <t>Special</t>
    <phoneticPr fontId="1" type="noConversion"/>
  </si>
  <si>
    <t>Special</t>
    <phoneticPr fontId="1" type="noConversion"/>
  </si>
  <si>
    <t>Vmargin</t>
    <phoneticPr fontId="1" type="noConversion"/>
  </si>
  <si>
    <t>Efuse Compare</t>
    <phoneticPr fontId="1" type="noConversion"/>
  </si>
  <si>
    <t>_BIS_</t>
    <phoneticPr fontId="1" type="noConversion"/>
  </si>
  <si>
    <t>_FLS_</t>
    <phoneticPr fontId="1" type="noConversion"/>
  </si>
  <si>
    <t>_EFC_</t>
    <phoneticPr fontId="1" type="noConversion"/>
  </si>
  <si>
    <t>_SRV_</t>
    <phoneticPr fontId="1" type="noConversion"/>
  </si>
  <si>
    <t>_RET_</t>
    <phoneticPr fontId="1" type="noConversion"/>
  </si>
  <si>
    <t>voltage</t>
  </si>
  <si>
    <t>label</t>
  </si>
  <si>
    <t>Voltage</t>
  </si>
  <si>
    <t>Label</t>
  </si>
  <si>
    <t>Level</t>
  </si>
  <si>
    <t>Sensor trim efuse</t>
    <phoneticPr fontId="3" type="noConversion"/>
  </si>
  <si>
    <t xml:space="preserve">Hard IP </t>
    <phoneticPr fontId="1" type="noConversion"/>
  </si>
  <si>
    <t>MBIST</t>
    <phoneticPr fontId="1" type="noConversion"/>
  </si>
  <si>
    <t>SPI</t>
    <phoneticPr fontId="3" type="noConversion"/>
  </si>
  <si>
    <t>Spi</t>
    <phoneticPr fontId="1" type="noConversion"/>
  </si>
  <si>
    <t>B</t>
    <phoneticPr fontId="3" type="noConversion"/>
  </si>
  <si>
    <t>LPDP</t>
    <phoneticPr fontId="3" type="noConversion"/>
  </si>
  <si>
    <t>PCIE</t>
    <phoneticPr fontId="3" type="noConversion"/>
  </si>
  <si>
    <t>MIPI</t>
    <phoneticPr fontId="3" type="noConversion"/>
  </si>
  <si>
    <t>USB</t>
    <phoneticPr fontId="3" type="noConversion"/>
  </si>
  <si>
    <t>ADC</t>
    <phoneticPr fontId="1" type="noConversion"/>
  </si>
  <si>
    <t>AMP</t>
    <phoneticPr fontId="3" type="noConversion"/>
  </si>
  <si>
    <t>PLL</t>
    <phoneticPr fontId="3" type="noConversion"/>
  </si>
  <si>
    <t>LAPLL</t>
    <phoneticPr fontId="1" type="noConversion"/>
  </si>
  <si>
    <t>Metrology</t>
    <phoneticPr fontId="3" type="noConversion"/>
  </si>
  <si>
    <t>HardIP_others</t>
    <phoneticPr fontId="3" type="noConversion"/>
  </si>
  <si>
    <t>USB2,USB31,HSIC</t>
  </si>
  <si>
    <t>MTRGGR,MTRGSNS,MTRGREL</t>
  </si>
  <si>
    <t>LPRO</t>
  </si>
  <si>
    <t>LPRO</t>
    <phoneticPr fontId="3" type="noConversion"/>
  </si>
  <si>
    <t>SPI,SPIROM</t>
  </si>
  <si>
    <t>LPDPTX,LPDPRX,DPTX</t>
  </si>
  <si>
    <t>PCIE,PCIE REFBUF</t>
  </si>
  <si>
    <t>MIPI</t>
  </si>
  <si>
    <t>ADC</t>
  </si>
  <si>
    <t>AMP</t>
  </si>
  <si>
    <t>LAPLL</t>
  </si>
  <si>
    <t>HARDIP_OTHERS</t>
  </si>
  <si>
    <t>ADCLKE,ADCLKP,ADCLKA,ADCLKG,PCIEREFPLL,PCIEDPTXPLL,PCIETXPLL,LPDPAUSPLL,DPTXAUSPLL,PCIEAUSPLL,ULPPLL,FLPPLL,DPTXPLL</t>
    <phoneticPr fontId="3" type="noConversion"/>
  </si>
  <si>
    <t>JTAG</t>
    <phoneticPr fontId="1" type="noConversion"/>
  </si>
  <si>
    <t>IO</t>
    <phoneticPr fontId="3" type="noConversion"/>
  </si>
  <si>
    <t>Scan</t>
    <phoneticPr fontId="1" type="noConversion"/>
  </si>
  <si>
    <t>Block</t>
    <phoneticPr fontId="1" type="noConversion"/>
  </si>
  <si>
    <t>MDX</t>
    <phoneticPr fontId="18" type="noConversion"/>
  </si>
  <si>
    <t>MEX</t>
    <phoneticPr fontId="18" type="noConversion"/>
  </si>
  <si>
    <t>MGX</t>
    <phoneticPr fontId="18" type="noConversion"/>
  </si>
  <si>
    <t>MIX</t>
    <phoneticPr fontId="18" type="noConversion"/>
  </si>
  <si>
    <t>MPX0</t>
  </si>
  <si>
    <t>MPX4</t>
  </si>
  <si>
    <t>MSD</t>
    <phoneticPr fontId="18" type="noConversion"/>
  </si>
  <si>
    <t>MSE</t>
    <phoneticPr fontId="18" type="noConversion"/>
  </si>
  <si>
    <t>MSI</t>
    <phoneticPr fontId="18" type="noConversion"/>
  </si>
  <si>
    <t>MSP</t>
    <phoneticPr fontId="18" type="noConversion"/>
  </si>
  <si>
    <t>MSX</t>
    <phoneticPr fontId="18" type="noConversion"/>
  </si>
  <si>
    <t>MXS</t>
    <phoneticPr fontId="18" type="noConversion"/>
  </si>
  <si>
    <t>VDD_binning</t>
  </si>
  <si>
    <t>VDD_binning</t>
    <phoneticPr fontId="3" type="noConversion"/>
  </si>
  <si>
    <t>VDD_binning</t>
    <phoneticPr fontId="3" type="noConversion"/>
  </si>
  <si>
    <t>Other Performance mode</t>
    <phoneticPr fontId="3" type="noConversion"/>
  </si>
  <si>
    <t>0~9</t>
    <phoneticPr fontId="3" type="noConversion"/>
  </si>
  <si>
    <t>BinX</t>
    <phoneticPr fontId="3" type="noConversion"/>
  </si>
  <si>
    <t>BinY</t>
    <phoneticPr fontId="3" type="noConversion"/>
  </si>
  <si>
    <t>BinY</t>
    <phoneticPr fontId="3" type="noConversion"/>
  </si>
  <si>
    <t>BinY</t>
    <phoneticPr fontId="1" type="noConversion"/>
  </si>
  <si>
    <t>CPU</t>
  </si>
  <si>
    <t>GFX</t>
  </si>
  <si>
    <t>SOC</t>
  </si>
  <si>
    <t>DDR</t>
  </si>
  <si>
    <t>EVS</t>
    <phoneticPr fontId="1" type="noConversion"/>
  </si>
  <si>
    <t>EVS</t>
    <phoneticPr fontId="3" type="noConversion"/>
  </si>
  <si>
    <t>EVS</t>
    <phoneticPr fontId="3" type="noConversion"/>
  </si>
  <si>
    <t>SA</t>
  </si>
  <si>
    <t>Performance mode</t>
  </si>
  <si>
    <t>0~9</t>
    <phoneticPr fontId="20" type="noConversion"/>
  </si>
  <si>
    <t>SAChain</t>
  </si>
  <si>
    <t>TD</t>
  </si>
  <si>
    <t>TDChain</t>
  </si>
  <si>
    <t>Mbist HBV</t>
  </si>
  <si>
    <t>Mbist HBV</t>
    <phoneticPr fontId="1" type="noConversion"/>
  </si>
  <si>
    <t>TD HBV</t>
  </si>
  <si>
    <t>TD HBV</t>
    <phoneticPr fontId="1" type="noConversion"/>
  </si>
  <si>
    <t>SaChain</t>
    <phoneticPr fontId="3" type="noConversion"/>
  </si>
  <si>
    <t>Sa</t>
    <phoneticPr fontId="3" type="noConversion"/>
  </si>
  <si>
    <t>SOC</t>
    <phoneticPr fontId="3" type="noConversion"/>
  </si>
  <si>
    <t xml:space="preserve">CPU </t>
    <phoneticPr fontId="3" type="noConversion"/>
  </si>
  <si>
    <t>Vmargin</t>
    <phoneticPr fontId="1" type="noConversion"/>
  </si>
  <si>
    <t>_FLS_</t>
    <phoneticPr fontId="1" type="noConversion"/>
  </si>
  <si>
    <t>_BIS_</t>
    <phoneticPr fontId="1" type="noConversion"/>
  </si>
  <si>
    <t>Vddbining Lvcc</t>
    <phoneticPr fontId="1" type="noConversion"/>
  </si>
  <si>
    <t>Vddbining GoodBin</t>
    <phoneticPr fontId="3" type="noConversion"/>
  </si>
  <si>
    <t>Vddbining HBV</t>
    <phoneticPr fontId="3" type="noConversion"/>
  </si>
  <si>
    <t>HBV</t>
    <phoneticPr fontId="3" type="noConversion"/>
  </si>
  <si>
    <t>GoodBin</t>
    <phoneticPr fontId="3" type="noConversion"/>
  </si>
  <si>
    <t>PowerBinning</t>
    <phoneticPr fontId="3" type="noConversion"/>
  </si>
  <si>
    <t>sub dig</t>
    <phoneticPr fontId="1" type="noConversion"/>
  </si>
  <si>
    <t>CFXX</t>
    <phoneticPr fontId="3" type="noConversion"/>
  </si>
  <si>
    <t>HARV</t>
    <phoneticPr fontId="3" type="noConversion"/>
  </si>
  <si>
    <t>open &amp; TMPS</t>
    <phoneticPr fontId="1" type="noConversion"/>
  </si>
  <si>
    <t>AutoZ check</t>
    <phoneticPr fontId="3" type="noConversion"/>
  </si>
  <si>
    <t>DC Conti</t>
    <phoneticPr fontId="1" type="noConversion"/>
  </si>
  <si>
    <t>AutoZ</t>
    <phoneticPr fontId="3" type="noConversion"/>
  </si>
  <si>
    <t>O</t>
    <phoneticPr fontId="3" type="noConversion"/>
  </si>
  <si>
    <t>MON</t>
    <phoneticPr fontId="1" type="noConversion"/>
  </si>
  <si>
    <t>CFG</t>
    <phoneticPr fontId="1" type="noConversion"/>
  </si>
  <si>
    <t>PowerSense</t>
  </si>
  <si>
    <t>GroundSense</t>
  </si>
  <si>
    <t>O</t>
  </si>
  <si>
    <t>Reserve_for_Forbidden bin</t>
  </si>
  <si>
    <t>PowerResistance</t>
  </si>
  <si>
    <t>CRES</t>
  </si>
  <si>
    <t>ILB HBV</t>
  </si>
  <si>
    <t>ILB LVCC</t>
  </si>
  <si>
    <t>ELB LVCC</t>
  </si>
  <si>
    <t>ELB HBV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</si>
</sst>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name val="Arial"/>
      <family val="2"/>
    </font>
    <font>
      <sz val="9"/>
      <name val="新細明體"/>
      <family val="1"/>
      <charset val="136"/>
    </font>
    <font>
      <b/>
      <sz val="12"/>
      <color theme="1"/>
      <name val="Calibri"/>
      <family val="1"/>
      <charset val="136"/>
      <scheme val="minor"/>
    </font>
    <font>
      <b/>
      <sz val="11"/>
      <color theme="1"/>
      <name val="Calibri"/>
      <family val="1"/>
      <charset val="136"/>
      <scheme val="minor"/>
    </font>
    <font>
      <sz val="11"/>
      <color rgb="FF006100"/>
      <name val="Calibri"/>
      <family val="2"/>
      <charset val="136"/>
      <scheme val="minor"/>
    </font>
    <font>
      <sz val="11"/>
      <color rgb="FF9C0006"/>
      <name val="Calibri"/>
      <family val="2"/>
      <charset val="136"/>
      <scheme val="minor"/>
    </font>
    <font>
      <sz val="11"/>
      <color rgb="FF9C6500"/>
      <name val="Calibri"/>
      <family val="2"/>
      <charset val="136"/>
      <scheme val="minor"/>
    </font>
    <font>
      <b/>
      <sz val="11"/>
      <color theme="0"/>
      <name val="Calibri"/>
      <family val="2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0"/>
      <name val="Calibri"/>
      <family val="2"/>
      <charset val="136"/>
      <scheme val="mino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11"/>
      <name val="Calibri"/>
      <family val="2"/>
      <charset val="136"/>
      <scheme val="minor"/>
    </font>
    <font>
      <sz val="12"/>
      <color theme="0"/>
      <name val="Arial"/>
      <family val="2"/>
    </font>
    <font>
      <sz val="11"/>
      <color theme="1"/>
      <name val="Arial"/>
      <family val="2"/>
    </font>
    <font>
      <sz val="9"/>
      <name val="Calibri"/>
      <family val="3"/>
      <charset val="136"/>
      <scheme val="minor"/>
    </font>
    <font>
      <sz val="12"/>
      <color rgb="FF000000"/>
      <name val="Arial"/>
      <family val="2"/>
    </font>
    <font>
      <sz val="9"/>
      <name val="細明體"/>
      <family val="3"/>
      <charset val="136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891B0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D2DAE4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auto="1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8" borderId="2" applyNumberFormat="0" applyAlignment="0" applyProtection="0">
      <alignment vertical="center"/>
    </xf>
    <xf numFmtId="0" fontId="10" fillId="0" borderId="0">
      <alignment vertical="center"/>
    </xf>
  </cellStyleXfs>
  <cellXfs count="95">
    <xf numFmtId="0" fontId="0" fillId="0" borderId="0" xfId="0">
      <alignment vertical="center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9" fillId="8" borderId="2" xfId="4" applyAlignment="1"/>
    <xf numFmtId="0" fontId="6" fillId="5" borderId="1" xfId="1" applyBorder="1" applyAlignment="1"/>
    <xf numFmtId="0" fontId="0" fillId="0" borderId="1" xfId="0" applyBorder="1" applyAlignment="1"/>
    <xf numFmtId="0" fontId="8" fillId="7" borderId="1" xfId="3" applyBorder="1" applyAlignment="1"/>
    <xf numFmtId="0" fontId="0" fillId="4" borderId="1" xfId="0" applyFill="1" applyBorder="1" applyAlignment="1"/>
    <xf numFmtId="0" fontId="10" fillId="0" borderId="1" xfId="5" applyBorder="1">
      <alignment vertical="center"/>
    </xf>
    <xf numFmtId="0" fontId="11" fillId="4" borderId="1" xfId="0" applyFont="1" applyFill="1" applyBorder="1" applyAlignment="1"/>
    <xf numFmtId="0" fontId="7" fillId="6" borderId="1" xfId="2" applyBorder="1" applyAlignment="1"/>
    <xf numFmtId="0" fontId="4" fillId="0" borderId="1" xfId="0" applyFont="1" applyBorder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/>
    </xf>
    <xf numFmtId="0" fontId="9" fillId="9" borderId="2" xfId="4" applyFill="1" applyAlignment="1"/>
    <xf numFmtId="0" fontId="6" fillId="9" borderId="1" xfId="1" applyFill="1" applyBorder="1" applyAlignment="1"/>
    <xf numFmtId="0" fontId="0" fillId="9" borderId="1" xfId="0" applyFill="1" applyBorder="1" applyAlignment="1"/>
    <xf numFmtId="0" fontId="0" fillId="0" borderId="1" xfId="0" applyFill="1" applyBorder="1" applyAlignment="1"/>
    <xf numFmtId="0" fontId="15" fillId="9" borderId="1" xfId="0" applyFont="1" applyFill="1" applyBorder="1">
      <alignment vertical="center"/>
    </xf>
    <xf numFmtId="0" fontId="0" fillId="10" borderId="1" xfId="0" applyFill="1" applyBorder="1" applyAlignment="1"/>
    <xf numFmtId="0" fontId="11" fillId="10" borderId="1" xfId="0" applyFont="1" applyFill="1" applyBorder="1" applyAlignment="1"/>
    <xf numFmtId="0" fontId="17" fillId="0" borderId="0" xfId="0" applyFont="1">
      <alignment vertical="center"/>
    </xf>
    <xf numFmtId="0" fontId="16" fillId="9" borderId="1" xfId="0" applyFont="1" applyFill="1" applyBorder="1" applyAlignment="1">
      <alignment horizontal="center" vertical="center" wrapText="1"/>
    </xf>
    <xf numFmtId="49" fontId="19" fillId="14" borderId="1" xfId="0" applyNumberFormat="1" applyFont="1" applyFill="1" applyBorder="1" applyAlignment="1">
      <alignment horizontal="center" vertical="center" wrapText="1"/>
    </xf>
    <xf numFmtId="0" fontId="19" fillId="15" borderId="10" xfId="0" applyNumberFormat="1" applyFont="1" applyFill="1" applyBorder="1" applyAlignment="1">
      <alignment horizontal="center" vertical="center"/>
    </xf>
    <xf numFmtId="49" fontId="19" fillId="13" borderId="11" xfId="0" applyNumberFormat="1" applyFont="1" applyFill="1" applyBorder="1" applyAlignment="1">
      <alignment horizontal="center" vertical="center"/>
    </xf>
    <xf numFmtId="0" fontId="19" fillId="13" borderId="12" xfId="0" applyNumberFormat="1" applyFont="1" applyFill="1" applyBorder="1" applyAlignment="1">
      <alignment horizontal="center" vertical="center"/>
    </xf>
    <xf numFmtId="0" fontId="19" fillId="14" borderId="6" xfId="0" applyFont="1" applyFill="1" applyBorder="1" applyAlignment="1">
      <alignment horizontal="center" vertical="center"/>
    </xf>
    <xf numFmtId="0" fontId="19" fillId="15" borderId="14" xfId="0" applyNumberFormat="1" applyFont="1" applyFill="1" applyBorder="1" applyAlignment="1">
      <alignment horizontal="center" vertical="center"/>
    </xf>
    <xf numFmtId="49" fontId="19" fillId="13" borderId="15" xfId="0" applyNumberFormat="1" applyFont="1" applyFill="1" applyBorder="1" applyAlignment="1">
      <alignment horizontal="center" vertical="center"/>
    </xf>
    <xf numFmtId="0" fontId="19" fillId="13" borderId="16" xfId="0" applyNumberFormat="1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19" fillId="15" borderId="1" xfId="0" applyNumberFormat="1" applyFont="1" applyFill="1" applyBorder="1" applyAlignment="1">
      <alignment horizontal="center" vertical="center"/>
    </xf>
    <xf numFmtId="49" fontId="19" fillId="13" borderId="1" xfId="0" applyNumberFormat="1" applyFont="1" applyFill="1" applyBorder="1" applyAlignment="1">
      <alignment horizontal="center" vertical="center"/>
    </xf>
    <xf numFmtId="0" fontId="19" fillId="1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19" fillId="0" borderId="0" xfId="0" applyNumberFormat="1" applyFont="1" applyFill="1" applyBorder="1" applyAlignment="1"/>
    <xf numFmtId="0" fontId="19" fillId="0" borderId="0" xfId="0" applyFont="1" applyFill="1" applyBorder="1" applyAlignment="1"/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>
      <alignment vertical="center"/>
    </xf>
    <xf numFmtId="0" fontId="2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49" fontId="19" fillId="11" borderId="8" xfId="0" applyNumberFormat="1" applyFont="1" applyFill="1" applyBorder="1" applyAlignment="1">
      <alignment horizontal="center" vertical="center" wrapText="1"/>
    </xf>
    <xf numFmtId="0" fontId="19" fillId="11" borderId="8" xfId="0" applyFont="1" applyFill="1" applyBorder="1" applyAlignment="1">
      <alignment horizontal="center" vertical="center" wrapText="1"/>
    </xf>
    <xf numFmtId="49" fontId="19" fillId="12" borderId="8" xfId="0" applyNumberFormat="1" applyFont="1" applyFill="1" applyBorder="1" applyAlignment="1">
      <alignment horizontal="center" vertical="center" wrapText="1"/>
    </xf>
    <xf numFmtId="0" fontId="19" fillId="12" borderId="8" xfId="0" applyFont="1" applyFill="1" applyBorder="1" applyAlignment="1">
      <alignment horizontal="center" vertical="center" wrapText="1"/>
    </xf>
    <xf numFmtId="0" fontId="19" fillId="13" borderId="9" xfId="0" applyNumberFormat="1" applyFont="1" applyFill="1" applyBorder="1" applyAlignment="1">
      <alignment horizontal="center" vertical="center"/>
    </xf>
    <xf numFmtId="0" fontId="19" fillId="13" borderId="13" xfId="0" applyNumberFormat="1" applyFont="1" applyFill="1" applyBorder="1" applyAlignment="1">
      <alignment horizontal="center" vertical="center"/>
    </xf>
    <xf numFmtId="0" fontId="19" fillId="13" borderId="17" xfId="0" applyNumberFormat="1" applyFont="1" applyFill="1" applyBorder="1" applyAlignment="1">
      <alignment horizontal="center" vertical="center"/>
    </xf>
    <xf numFmtId="49" fontId="19" fillId="15" borderId="6" xfId="0" applyNumberFormat="1" applyFont="1" applyFill="1" applyBorder="1" applyAlignment="1">
      <alignment horizontal="center" vertical="center"/>
    </xf>
    <xf numFmtId="49" fontId="19" fillId="15" borderId="7" xfId="0" applyNumberFormat="1" applyFont="1" applyFill="1" applyBorder="1" applyAlignment="1">
      <alignment horizontal="center" vertical="center"/>
    </xf>
    <xf numFmtId="49" fontId="19" fillId="15" borderId="18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0" fontId="12" fillId="9" borderId="21" xfId="0" applyFont="1" applyFill="1" applyBorder="1" applyAlignment="1">
      <alignment horizontal="center" vertical="center"/>
    </xf>
    <xf numFmtId="0" fontId="12" fillId="9" borderId="22" xfId="0" applyFont="1" applyFill="1" applyBorder="1" applyAlignment="1">
      <alignment horizontal="center" vertical="center"/>
    </xf>
    <xf numFmtId="0" fontId="12" fillId="9" borderId="23" xfId="0" applyFont="1" applyFill="1" applyBorder="1" applyAlignment="1">
      <alignment horizontal="center" vertical="center"/>
    </xf>
    <xf numFmtId="0" fontId="12" fillId="9" borderId="24" xfId="0" applyFont="1" applyFill="1" applyBorder="1" applyAlignment="1">
      <alignment horizontal="center" vertical="center"/>
    </xf>
  </cellXfs>
  <cellStyles count="6">
    <cellStyle name="Bad" xfId="2" builtinId="27"/>
    <cellStyle name="Check Cell" xfId="4" builtinId="23"/>
    <cellStyle name="Good" xfId="1" builtinId="26"/>
    <cellStyle name="Neutral" xfId="3" builtinId="28"/>
    <cellStyle name="Normal" xfId="0" builtinId="0"/>
    <cellStyle name="一般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B050"/>
  </sheetPr>
  <dimension ref="A1:IV95"/>
  <sheetViews>
    <sheetView topLeftCell="A43" zoomScale="85" zoomScaleNormal="85" workbookViewId="0">
      <selection activeCell="H67" sqref="H67"/>
    </sheetView>
  </sheetViews>
  <sheetFormatPr defaultRowHeight="14.25"/>
  <cols>
    <col min="1" max="1" width="27.7109375" style="25" bestFit="1" customWidth="1"/>
    <col min="2" max="2" width="20.28515625" style="25" customWidth="1"/>
    <col min="3" max="3" width="5.7109375" style="25" customWidth="1"/>
    <col min="4" max="4" width="29.28515625" style="25" bestFit="1" customWidth="1"/>
    <col min="5" max="5" width="5.7109375" style="25" customWidth="1"/>
    <col min="6" max="6" width="22.5703125" style="25" customWidth="1"/>
    <col min="7" max="7" width="6" style="25" customWidth="1"/>
    <col min="8" max="8" width="17.5703125" style="25" bestFit="1" customWidth="1"/>
    <col min="9" max="9" width="5.7109375" style="25" customWidth="1"/>
    <col min="10" max="16384" width="9.140625" style="25"/>
  </cols>
  <sheetData>
    <row r="1" spans="1:9" ht="15">
      <c r="A1" s="26"/>
      <c r="B1" s="72" t="s">
        <v>74</v>
      </c>
      <c r="C1" s="72"/>
      <c r="D1" s="72" t="s">
        <v>75</v>
      </c>
      <c r="E1" s="72"/>
      <c r="F1" s="72" t="s">
        <v>76</v>
      </c>
      <c r="G1" s="72"/>
      <c r="H1" s="72" t="s">
        <v>77</v>
      </c>
      <c r="I1" s="72"/>
    </row>
    <row r="2" spans="1:9">
      <c r="A2" s="75" t="s">
        <v>137</v>
      </c>
      <c r="B2" s="75" t="s">
        <v>137</v>
      </c>
      <c r="C2" s="76">
        <v>1</v>
      </c>
      <c r="D2" s="71" t="s">
        <v>135</v>
      </c>
      <c r="E2" s="71"/>
      <c r="F2" s="71"/>
      <c r="G2" s="71"/>
      <c r="H2" s="71"/>
      <c r="I2" s="71"/>
    </row>
    <row r="3" spans="1:9">
      <c r="A3" s="75"/>
      <c r="B3" s="75"/>
      <c r="C3" s="76"/>
      <c r="D3" s="71"/>
      <c r="E3" s="71"/>
      <c r="F3" s="71"/>
      <c r="G3" s="71"/>
      <c r="H3" s="71"/>
      <c r="I3" s="71"/>
    </row>
    <row r="4" spans="1:9">
      <c r="A4" s="75"/>
      <c r="B4" s="75"/>
      <c r="C4" s="76"/>
      <c r="D4" s="71"/>
      <c r="E4" s="71"/>
      <c r="F4" s="71"/>
      <c r="G4" s="71"/>
      <c r="H4" s="71"/>
      <c r="I4" s="71"/>
    </row>
    <row r="5" spans="1:9">
      <c r="A5" s="75"/>
      <c r="B5" s="75"/>
      <c r="C5" s="76"/>
      <c r="D5" s="71"/>
      <c r="E5" s="71"/>
      <c r="F5" s="71"/>
      <c r="G5" s="71"/>
      <c r="H5" s="71"/>
      <c r="I5" s="71"/>
    </row>
    <row r="6" spans="1:9">
      <c r="A6" s="75"/>
      <c r="B6" s="75"/>
      <c r="C6" s="76"/>
      <c r="D6" s="71"/>
      <c r="E6" s="71"/>
      <c r="F6" s="71"/>
      <c r="G6" s="71"/>
      <c r="H6" s="71"/>
      <c r="I6" s="71"/>
    </row>
    <row r="7" spans="1:9">
      <c r="A7" s="75"/>
      <c r="B7" s="75"/>
      <c r="C7" s="76"/>
      <c r="D7" s="71"/>
      <c r="E7" s="71"/>
      <c r="F7" s="71"/>
      <c r="G7" s="71"/>
      <c r="H7" s="71"/>
      <c r="I7" s="71"/>
    </row>
    <row r="8" spans="1:9">
      <c r="A8" s="75"/>
      <c r="B8" s="75"/>
      <c r="C8" s="76"/>
      <c r="D8" s="71"/>
      <c r="E8" s="71"/>
      <c r="F8" s="71"/>
      <c r="G8" s="71"/>
      <c r="H8" s="71"/>
      <c r="I8" s="71"/>
    </row>
    <row r="9" spans="1:9">
      <c r="A9" s="75"/>
      <c r="B9" s="75"/>
      <c r="C9" s="76"/>
      <c r="D9" s="71"/>
      <c r="E9" s="71"/>
      <c r="F9" s="71"/>
      <c r="G9" s="71"/>
      <c r="H9" s="71"/>
      <c r="I9" s="71"/>
    </row>
    <row r="10" spans="1:9">
      <c r="A10" s="75"/>
      <c r="B10" s="75"/>
      <c r="C10" s="76"/>
      <c r="D10" s="71"/>
      <c r="E10" s="71"/>
      <c r="F10" s="71"/>
      <c r="G10" s="71"/>
      <c r="H10" s="71"/>
      <c r="I10" s="71"/>
    </row>
    <row r="11" spans="1:9">
      <c r="A11" s="75"/>
      <c r="B11" s="75"/>
      <c r="C11" s="76"/>
      <c r="D11" s="71"/>
      <c r="E11" s="71"/>
      <c r="F11" s="71"/>
      <c r="G11" s="71"/>
      <c r="H11" s="71"/>
      <c r="I11" s="71"/>
    </row>
    <row r="12" spans="1:9">
      <c r="A12" s="75"/>
      <c r="B12" s="75"/>
      <c r="C12" s="76"/>
      <c r="D12" s="71"/>
      <c r="E12" s="71"/>
      <c r="F12" s="71"/>
      <c r="G12" s="71"/>
      <c r="H12" s="71"/>
      <c r="I12" s="71"/>
    </row>
    <row r="13" spans="1:9" ht="15">
      <c r="A13" s="75" t="s">
        <v>136</v>
      </c>
      <c r="B13" s="74" t="s">
        <v>136</v>
      </c>
      <c r="C13" s="70">
        <v>2</v>
      </c>
      <c r="D13" s="41" t="s">
        <v>292</v>
      </c>
      <c r="E13" s="39">
        <v>1</v>
      </c>
      <c r="F13" s="40" t="s">
        <v>290</v>
      </c>
      <c r="G13" s="40">
        <v>0</v>
      </c>
      <c r="H13" s="40" t="s">
        <v>0</v>
      </c>
      <c r="I13" s="40">
        <v>0</v>
      </c>
    </row>
    <row r="14" spans="1:9" ht="15">
      <c r="A14" s="75"/>
      <c r="B14" s="74"/>
      <c r="C14" s="70"/>
      <c r="D14" s="41" t="s">
        <v>293</v>
      </c>
      <c r="E14" s="39">
        <v>2</v>
      </c>
      <c r="F14" s="40" t="s">
        <v>291</v>
      </c>
      <c r="G14" s="40">
        <v>1</v>
      </c>
      <c r="H14" s="40" t="s">
        <v>1</v>
      </c>
      <c r="I14" s="40">
        <v>1</v>
      </c>
    </row>
    <row r="15" spans="1:9" ht="15">
      <c r="A15" s="75"/>
      <c r="B15" s="74"/>
      <c r="C15" s="70"/>
      <c r="D15" s="41" t="s">
        <v>274</v>
      </c>
      <c r="E15" s="39">
        <v>3</v>
      </c>
      <c r="F15" s="40" t="s">
        <v>304</v>
      </c>
      <c r="G15" s="40">
        <v>3</v>
      </c>
      <c r="H15" s="40" t="s">
        <v>2</v>
      </c>
      <c r="I15" s="40">
        <v>2</v>
      </c>
    </row>
    <row r="16" spans="1:9" ht="15">
      <c r="A16" s="75"/>
      <c r="B16" s="74"/>
      <c r="C16" s="70"/>
      <c r="D16" s="44"/>
      <c r="E16" s="44"/>
      <c r="F16" s="50"/>
      <c r="G16" s="50"/>
      <c r="H16" s="50" t="s">
        <v>11</v>
      </c>
      <c r="I16" s="50">
        <v>7</v>
      </c>
    </row>
    <row r="17" spans="1:9" ht="15">
      <c r="A17" s="68" t="s">
        <v>131</v>
      </c>
      <c r="B17" s="79" t="s">
        <v>131</v>
      </c>
      <c r="C17" s="70">
        <v>3</v>
      </c>
      <c r="D17" s="44" t="s">
        <v>252</v>
      </c>
      <c r="E17" s="44">
        <v>1</v>
      </c>
      <c r="F17" s="71" t="s">
        <v>70</v>
      </c>
      <c r="G17" s="71" t="s">
        <v>7</v>
      </c>
      <c r="H17" s="40" t="s">
        <v>8</v>
      </c>
      <c r="I17" s="40">
        <v>0</v>
      </c>
    </row>
    <row r="18" spans="1:9" ht="15">
      <c r="A18" s="68"/>
      <c r="B18" s="79"/>
      <c r="C18" s="70"/>
      <c r="D18" s="44" t="s">
        <v>253</v>
      </c>
      <c r="E18" s="44">
        <v>2</v>
      </c>
      <c r="F18" s="71"/>
      <c r="G18" s="71"/>
      <c r="H18" s="40" t="s">
        <v>9</v>
      </c>
      <c r="I18" s="40">
        <v>1</v>
      </c>
    </row>
    <row r="19" spans="1:9" ht="15">
      <c r="A19" s="68"/>
      <c r="B19" s="79"/>
      <c r="C19" s="70"/>
      <c r="D19" s="44" t="s">
        <v>254</v>
      </c>
      <c r="E19" s="44">
        <v>3</v>
      </c>
      <c r="F19" s="71"/>
      <c r="G19" s="71"/>
      <c r="H19" s="40" t="s">
        <v>10</v>
      </c>
      <c r="I19" s="40">
        <v>2</v>
      </c>
    </row>
    <row r="20" spans="1:9" ht="15">
      <c r="A20" s="68"/>
      <c r="B20" s="79"/>
      <c r="C20" s="70"/>
      <c r="D20" s="44" t="s">
        <v>255</v>
      </c>
      <c r="E20" s="44">
        <v>4</v>
      </c>
      <c r="F20" s="71"/>
      <c r="G20" s="71"/>
      <c r="H20" s="40" t="s">
        <v>11</v>
      </c>
      <c r="I20" s="40">
        <v>7</v>
      </c>
    </row>
    <row r="21" spans="1:9" ht="15">
      <c r="A21" s="68"/>
      <c r="B21" s="79"/>
      <c r="C21" s="70"/>
      <c r="D21" s="44" t="s">
        <v>256</v>
      </c>
      <c r="E21" s="44">
        <v>5</v>
      </c>
      <c r="F21" s="71"/>
      <c r="G21" s="71"/>
      <c r="H21" s="40"/>
      <c r="I21" s="40"/>
    </row>
    <row r="22" spans="1:9" ht="15">
      <c r="A22" s="68"/>
      <c r="B22" s="79"/>
      <c r="C22" s="70"/>
      <c r="D22" s="44" t="s">
        <v>257</v>
      </c>
      <c r="E22" s="44">
        <v>6</v>
      </c>
      <c r="F22" s="71"/>
      <c r="G22" s="71"/>
      <c r="H22" s="40"/>
      <c r="I22" s="40"/>
    </row>
    <row r="23" spans="1:9" ht="15">
      <c r="A23" s="68"/>
      <c r="B23" s="79"/>
      <c r="C23" s="70"/>
      <c r="D23" s="44" t="s">
        <v>258</v>
      </c>
      <c r="E23" s="44">
        <v>7</v>
      </c>
      <c r="F23" s="71"/>
      <c r="G23" s="71"/>
      <c r="H23" s="40"/>
      <c r="I23" s="40"/>
    </row>
    <row r="24" spans="1:9" ht="15">
      <c r="A24" s="68"/>
      <c r="B24" s="79"/>
      <c r="C24" s="70"/>
      <c r="D24" s="44" t="s">
        <v>259</v>
      </c>
      <c r="E24" s="44">
        <v>7</v>
      </c>
      <c r="F24" s="71"/>
      <c r="G24" s="71"/>
      <c r="H24" s="40"/>
      <c r="I24" s="40"/>
    </row>
    <row r="25" spans="1:9" ht="15">
      <c r="A25" s="68"/>
      <c r="B25" s="79"/>
      <c r="C25" s="70"/>
      <c r="D25" s="44" t="s">
        <v>260</v>
      </c>
      <c r="E25" s="44">
        <v>7</v>
      </c>
      <c r="F25" s="71"/>
      <c r="G25" s="71"/>
      <c r="H25" s="40"/>
      <c r="I25" s="40"/>
    </row>
    <row r="26" spans="1:9" ht="15">
      <c r="A26" s="68"/>
      <c r="B26" s="79"/>
      <c r="C26" s="70"/>
      <c r="D26" s="44" t="s">
        <v>261</v>
      </c>
      <c r="E26" s="44">
        <v>7</v>
      </c>
      <c r="F26" s="71"/>
      <c r="G26" s="71"/>
      <c r="H26" s="40"/>
      <c r="I26" s="40"/>
    </row>
    <row r="27" spans="1:9" ht="15">
      <c r="A27" s="68"/>
      <c r="B27" s="79"/>
      <c r="C27" s="70"/>
      <c r="D27" s="44" t="s">
        <v>262</v>
      </c>
      <c r="E27" s="44">
        <v>7</v>
      </c>
      <c r="F27" s="71"/>
      <c r="G27" s="71"/>
      <c r="H27" s="40"/>
      <c r="I27" s="40"/>
    </row>
    <row r="28" spans="1:9" ht="15">
      <c r="A28" s="68"/>
      <c r="B28" s="79"/>
      <c r="C28" s="70"/>
      <c r="D28" s="44" t="s">
        <v>263</v>
      </c>
      <c r="E28" s="44">
        <v>8</v>
      </c>
      <c r="F28" s="71"/>
      <c r="G28" s="71"/>
      <c r="H28" s="40"/>
      <c r="I28" s="40"/>
    </row>
    <row r="29" spans="1:9" ht="15">
      <c r="A29" s="68" t="s">
        <v>44</v>
      </c>
      <c r="B29" s="79" t="s">
        <v>44</v>
      </c>
      <c r="C29" s="70">
        <v>6</v>
      </c>
      <c r="D29" s="44" t="s">
        <v>252</v>
      </c>
      <c r="E29" s="44">
        <v>1</v>
      </c>
      <c r="F29" s="71" t="s">
        <v>13</v>
      </c>
      <c r="G29" s="71" t="s">
        <v>12</v>
      </c>
      <c r="H29" s="40" t="s">
        <v>0</v>
      </c>
      <c r="I29" s="40">
        <v>0</v>
      </c>
    </row>
    <row r="30" spans="1:9" ht="15">
      <c r="A30" s="68"/>
      <c r="B30" s="79"/>
      <c r="C30" s="70"/>
      <c r="D30" s="44" t="s">
        <v>253</v>
      </c>
      <c r="E30" s="44">
        <v>2</v>
      </c>
      <c r="F30" s="71"/>
      <c r="G30" s="71"/>
      <c r="H30" s="40" t="s">
        <v>14</v>
      </c>
      <c r="I30" s="40">
        <v>1</v>
      </c>
    </row>
    <row r="31" spans="1:9" ht="15">
      <c r="A31" s="68"/>
      <c r="B31" s="79"/>
      <c r="C31" s="70"/>
      <c r="D31" s="44" t="s">
        <v>254</v>
      </c>
      <c r="E31" s="44">
        <v>3</v>
      </c>
      <c r="F31" s="71"/>
      <c r="G31" s="71"/>
      <c r="H31" s="40" t="s">
        <v>15</v>
      </c>
      <c r="I31" s="40">
        <v>2</v>
      </c>
    </row>
    <row r="32" spans="1:9" ht="15">
      <c r="A32" s="68"/>
      <c r="B32" s="79"/>
      <c r="C32" s="70"/>
      <c r="D32" s="44" t="s">
        <v>255</v>
      </c>
      <c r="E32" s="44">
        <v>4</v>
      </c>
      <c r="F32" s="71"/>
      <c r="G32" s="71"/>
      <c r="H32" s="40" t="s">
        <v>16</v>
      </c>
      <c r="I32" s="40">
        <v>7</v>
      </c>
    </row>
    <row r="33" spans="1:9" ht="15">
      <c r="A33" s="68"/>
      <c r="B33" s="79"/>
      <c r="C33" s="70"/>
      <c r="D33" s="44" t="s">
        <v>256</v>
      </c>
      <c r="E33" s="44">
        <v>5</v>
      </c>
      <c r="F33" s="71"/>
      <c r="G33" s="71"/>
      <c r="H33" s="40"/>
      <c r="I33" s="40"/>
    </row>
    <row r="34" spans="1:9" ht="15">
      <c r="A34" s="68"/>
      <c r="B34" s="79"/>
      <c r="C34" s="70"/>
      <c r="D34" s="44" t="s">
        <v>257</v>
      </c>
      <c r="E34" s="44">
        <v>6</v>
      </c>
      <c r="F34" s="73"/>
      <c r="G34" s="73"/>
      <c r="H34" s="40"/>
      <c r="I34" s="40"/>
    </row>
    <row r="35" spans="1:9" ht="15">
      <c r="A35" s="68"/>
      <c r="B35" s="79"/>
      <c r="C35" s="70"/>
      <c r="D35" s="44" t="s">
        <v>258</v>
      </c>
      <c r="E35" s="44">
        <v>7</v>
      </c>
      <c r="F35" s="73"/>
      <c r="G35" s="73"/>
      <c r="H35" s="40"/>
      <c r="I35" s="40"/>
    </row>
    <row r="36" spans="1:9" ht="15">
      <c r="A36" s="68"/>
      <c r="B36" s="79"/>
      <c r="C36" s="70"/>
      <c r="D36" s="44" t="s">
        <v>259</v>
      </c>
      <c r="E36" s="44">
        <v>7</v>
      </c>
      <c r="F36" s="73"/>
      <c r="G36" s="73"/>
      <c r="H36" s="40"/>
      <c r="I36" s="40"/>
    </row>
    <row r="37" spans="1:9" ht="15">
      <c r="A37" s="68"/>
      <c r="B37" s="79"/>
      <c r="C37" s="70"/>
      <c r="D37" s="44" t="s">
        <v>260</v>
      </c>
      <c r="E37" s="44">
        <v>7</v>
      </c>
      <c r="F37" s="73"/>
      <c r="G37" s="73"/>
      <c r="H37" s="40"/>
      <c r="I37" s="40"/>
    </row>
    <row r="38" spans="1:9" ht="15">
      <c r="A38" s="68"/>
      <c r="B38" s="79"/>
      <c r="C38" s="70"/>
      <c r="D38" s="44" t="s">
        <v>261</v>
      </c>
      <c r="E38" s="44">
        <v>7</v>
      </c>
      <c r="F38" s="73"/>
      <c r="G38" s="73"/>
      <c r="H38" s="40"/>
      <c r="I38" s="40"/>
    </row>
    <row r="39" spans="1:9" ht="15">
      <c r="A39" s="68"/>
      <c r="B39" s="79"/>
      <c r="C39" s="70"/>
      <c r="D39" s="44" t="s">
        <v>262</v>
      </c>
      <c r="E39" s="44">
        <v>7</v>
      </c>
      <c r="F39" s="73"/>
      <c r="G39" s="73"/>
      <c r="H39" s="40"/>
      <c r="I39" s="40"/>
    </row>
    <row r="40" spans="1:9" ht="15">
      <c r="A40" s="68"/>
      <c r="B40" s="79"/>
      <c r="C40" s="70"/>
      <c r="D40" s="44" t="s">
        <v>263</v>
      </c>
      <c r="E40" s="44">
        <v>8</v>
      </c>
      <c r="F40" s="73"/>
      <c r="G40" s="73"/>
      <c r="H40" s="40"/>
      <c r="I40" s="40"/>
    </row>
    <row r="41" spans="1:9" ht="15">
      <c r="A41" s="68" t="s">
        <v>45</v>
      </c>
      <c r="B41" s="79" t="s">
        <v>45</v>
      </c>
      <c r="C41" s="80">
        <v>4</v>
      </c>
      <c r="D41" s="44" t="s">
        <v>252</v>
      </c>
      <c r="E41" s="44">
        <v>1</v>
      </c>
      <c r="F41" s="73" t="s">
        <v>69</v>
      </c>
      <c r="G41" s="71" t="s">
        <v>68</v>
      </c>
      <c r="H41" s="40" t="s">
        <v>0</v>
      </c>
      <c r="I41" s="40">
        <v>0</v>
      </c>
    </row>
    <row r="42" spans="1:9" ht="15">
      <c r="A42" s="68"/>
      <c r="B42" s="79"/>
      <c r="C42" s="80"/>
      <c r="D42" s="44" t="s">
        <v>253</v>
      </c>
      <c r="E42" s="44">
        <v>2</v>
      </c>
      <c r="F42" s="73"/>
      <c r="G42" s="71"/>
      <c r="H42" s="40" t="s">
        <v>1</v>
      </c>
      <c r="I42" s="40">
        <v>1</v>
      </c>
    </row>
    <row r="43" spans="1:9" ht="15">
      <c r="A43" s="68"/>
      <c r="B43" s="79"/>
      <c r="C43" s="80"/>
      <c r="D43" s="44" t="s">
        <v>254</v>
      </c>
      <c r="E43" s="44">
        <v>3</v>
      </c>
      <c r="F43" s="73"/>
      <c r="G43" s="71"/>
      <c r="H43" s="40" t="s">
        <v>2</v>
      </c>
      <c r="I43" s="40">
        <v>2</v>
      </c>
    </row>
    <row r="44" spans="1:9" ht="15">
      <c r="A44" s="68"/>
      <c r="B44" s="79"/>
      <c r="C44" s="80"/>
      <c r="D44" s="44" t="s">
        <v>255</v>
      </c>
      <c r="E44" s="44">
        <v>4</v>
      </c>
      <c r="F44" s="73"/>
      <c r="G44" s="71"/>
      <c r="H44" s="40" t="s">
        <v>11</v>
      </c>
      <c r="I44" s="40">
        <v>7</v>
      </c>
    </row>
    <row r="45" spans="1:9" ht="15">
      <c r="A45" s="68"/>
      <c r="B45" s="79"/>
      <c r="C45" s="80"/>
      <c r="D45" s="44" t="s">
        <v>256</v>
      </c>
      <c r="E45" s="44">
        <v>5</v>
      </c>
      <c r="F45" s="73"/>
      <c r="G45" s="71"/>
      <c r="H45" s="40"/>
      <c r="I45" s="40"/>
    </row>
    <row r="46" spans="1:9" ht="15">
      <c r="A46" s="68"/>
      <c r="B46" s="79"/>
      <c r="C46" s="80"/>
      <c r="D46" s="44" t="s">
        <v>257</v>
      </c>
      <c r="E46" s="44">
        <v>6</v>
      </c>
      <c r="F46" s="73"/>
      <c r="G46" s="71"/>
      <c r="H46" s="40"/>
      <c r="I46" s="40"/>
    </row>
    <row r="47" spans="1:9" ht="15">
      <c r="A47" s="68"/>
      <c r="B47" s="79"/>
      <c r="C47" s="80"/>
      <c r="D47" s="44" t="s">
        <v>258</v>
      </c>
      <c r="E47" s="44">
        <v>7</v>
      </c>
      <c r="F47" s="73"/>
      <c r="G47" s="71"/>
      <c r="H47" s="40"/>
      <c r="I47" s="40"/>
    </row>
    <row r="48" spans="1:9" ht="15">
      <c r="A48" s="68"/>
      <c r="B48" s="79"/>
      <c r="C48" s="80"/>
      <c r="D48" s="44" t="s">
        <v>259</v>
      </c>
      <c r="E48" s="44">
        <v>7</v>
      </c>
      <c r="F48" s="73"/>
      <c r="G48" s="71"/>
      <c r="H48" s="40"/>
      <c r="I48" s="40"/>
    </row>
    <row r="49" spans="1:9" ht="15">
      <c r="A49" s="68"/>
      <c r="B49" s="79"/>
      <c r="C49" s="80"/>
      <c r="D49" s="44" t="s">
        <v>260</v>
      </c>
      <c r="E49" s="44">
        <v>7</v>
      </c>
      <c r="F49" s="73"/>
      <c r="G49" s="71"/>
      <c r="H49" s="40"/>
      <c r="I49" s="40"/>
    </row>
    <row r="50" spans="1:9" ht="15">
      <c r="A50" s="68"/>
      <c r="B50" s="79"/>
      <c r="C50" s="80"/>
      <c r="D50" s="44" t="s">
        <v>261</v>
      </c>
      <c r="E50" s="44">
        <v>7</v>
      </c>
      <c r="F50" s="73"/>
      <c r="G50" s="71"/>
      <c r="H50" s="40"/>
      <c r="I50" s="40"/>
    </row>
    <row r="51" spans="1:9" ht="15">
      <c r="A51" s="68"/>
      <c r="B51" s="79"/>
      <c r="C51" s="80"/>
      <c r="D51" s="44" t="s">
        <v>262</v>
      </c>
      <c r="E51" s="44">
        <v>7</v>
      </c>
      <c r="F51" s="73"/>
      <c r="G51" s="71"/>
      <c r="H51" s="40"/>
      <c r="I51" s="40"/>
    </row>
    <row r="52" spans="1:9" ht="15">
      <c r="A52" s="68"/>
      <c r="B52" s="79"/>
      <c r="C52" s="80"/>
      <c r="D52" s="44" t="s">
        <v>263</v>
      </c>
      <c r="E52" s="44">
        <v>8</v>
      </c>
      <c r="F52" s="73"/>
      <c r="G52" s="71"/>
      <c r="H52" s="40"/>
      <c r="I52" s="40"/>
    </row>
    <row r="53" spans="1:9" ht="15">
      <c r="A53" s="68" t="s">
        <v>46</v>
      </c>
      <c r="B53" s="79" t="s">
        <v>46</v>
      </c>
      <c r="C53" s="70">
        <v>5</v>
      </c>
      <c r="D53" s="44" t="s">
        <v>252</v>
      </c>
      <c r="E53" s="44">
        <v>1</v>
      </c>
      <c r="F53" s="73" t="s">
        <v>6</v>
      </c>
      <c r="G53" s="71" t="s">
        <v>12</v>
      </c>
      <c r="H53" s="40" t="s">
        <v>0</v>
      </c>
      <c r="I53" s="40">
        <v>0</v>
      </c>
    </row>
    <row r="54" spans="1:9" ht="15">
      <c r="A54" s="68"/>
      <c r="B54" s="79"/>
      <c r="C54" s="70"/>
      <c r="D54" s="44" t="s">
        <v>253</v>
      </c>
      <c r="E54" s="44">
        <v>2</v>
      </c>
      <c r="F54" s="73"/>
      <c r="G54" s="73"/>
      <c r="H54" s="40" t="s">
        <v>14</v>
      </c>
      <c r="I54" s="40">
        <v>1</v>
      </c>
    </row>
    <row r="55" spans="1:9" ht="15">
      <c r="A55" s="68"/>
      <c r="B55" s="79"/>
      <c r="C55" s="70"/>
      <c r="D55" s="44" t="s">
        <v>254</v>
      </c>
      <c r="E55" s="44">
        <v>3</v>
      </c>
      <c r="F55" s="73"/>
      <c r="G55" s="73"/>
      <c r="H55" s="40" t="s">
        <v>15</v>
      </c>
      <c r="I55" s="40">
        <v>2</v>
      </c>
    </row>
    <row r="56" spans="1:9" ht="15">
      <c r="A56" s="68"/>
      <c r="B56" s="79"/>
      <c r="C56" s="70"/>
      <c r="D56" s="44" t="s">
        <v>255</v>
      </c>
      <c r="E56" s="44">
        <v>4</v>
      </c>
      <c r="F56" s="73"/>
      <c r="G56" s="73"/>
      <c r="H56" s="40" t="s">
        <v>16</v>
      </c>
      <c r="I56" s="40">
        <v>7</v>
      </c>
    </row>
    <row r="57" spans="1:9" ht="15">
      <c r="A57" s="68"/>
      <c r="B57" s="79"/>
      <c r="C57" s="70"/>
      <c r="D57" s="44" t="s">
        <v>256</v>
      </c>
      <c r="E57" s="44">
        <v>5</v>
      </c>
      <c r="F57" s="73"/>
      <c r="G57" s="73"/>
      <c r="H57" s="40"/>
      <c r="I57" s="40"/>
    </row>
    <row r="58" spans="1:9" ht="15">
      <c r="A58" s="68"/>
      <c r="B58" s="79"/>
      <c r="C58" s="70"/>
      <c r="D58" s="44" t="s">
        <v>257</v>
      </c>
      <c r="E58" s="44">
        <v>6</v>
      </c>
      <c r="F58" s="73"/>
      <c r="G58" s="73"/>
      <c r="H58" s="40"/>
      <c r="I58" s="40"/>
    </row>
    <row r="59" spans="1:9" ht="15">
      <c r="A59" s="68"/>
      <c r="B59" s="79"/>
      <c r="C59" s="70"/>
      <c r="D59" s="44" t="s">
        <v>258</v>
      </c>
      <c r="E59" s="44">
        <v>7</v>
      </c>
      <c r="F59" s="73"/>
      <c r="G59" s="73"/>
      <c r="H59" s="40"/>
      <c r="I59" s="40"/>
    </row>
    <row r="60" spans="1:9" ht="15">
      <c r="A60" s="68"/>
      <c r="B60" s="79"/>
      <c r="C60" s="70"/>
      <c r="D60" s="44" t="s">
        <v>259</v>
      </c>
      <c r="E60" s="44">
        <v>7</v>
      </c>
      <c r="F60" s="73"/>
      <c r="G60" s="73"/>
      <c r="H60" s="40"/>
      <c r="I60" s="40"/>
    </row>
    <row r="61" spans="1:9" ht="15">
      <c r="A61" s="68"/>
      <c r="B61" s="79"/>
      <c r="C61" s="70"/>
      <c r="D61" s="44" t="s">
        <v>260</v>
      </c>
      <c r="E61" s="44">
        <v>7</v>
      </c>
      <c r="F61" s="73"/>
      <c r="G61" s="73"/>
      <c r="H61" s="40"/>
      <c r="I61" s="40"/>
    </row>
    <row r="62" spans="1:9" ht="15">
      <c r="A62" s="68"/>
      <c r="B62" s="79"/>
      <c r="C62" s="70"/>
      <c r="D62" s="44" t="s">
        <v>261</v>
      </c>
      <c r="E62" s="44">
        <v>7</v>
      </c>
      <c r="F62" s="73"/>
      <c r="G62" s="73"/>
      <c r="H62" s="40"/>
      <c r="I62" s="40"/>
    </row>
    <row r="63" spans="1:9" ht="15">
      <c r="A63" s="68"/>
      <c r="B63" s="79"/>
      <c r="C63" s="70"/>
      <c r="D63" s="44" t="s">
        <v>262</v>
      </c>
      <c r="E63" s="44">
        <v>7</v>
      </c>
      <c r="F63" s="73"/>
      <c r="G63" s="73"/>
      <c r="H63" s="40"/>
      <c r="I63" s="40"/>
    </row>
    <row r="64" spans="1:9" ht="15">
      <c r="A64" s="68"/>
      <c r="B64" s="79"/>
      <c r="C64" s="70"/>
      <c r="D64" s="44" t="s">
        <v>263</v>
      </c>
      <c r="E64" s="44">
        <v>8</v>
      </c>
      <c r="F64" s="73"/>
      <c r="G64" s="73"/>
      <c r="H64" s="40"/>
      <c r="I64" s="40"/>
    </row>
    <row r="65" spans="1:9" ht="15">
      <c r="A65" s="77" t="s">
        <v>265</v>
      </c>
      <c r="B65" s="81" t="s">
        <v>266</v>
      </c>
      <c r="C65" s="70">
        <v>7</v>
      </c>
      <c r="D65" s="71" t="s">
        <v>267</v>
      </c>
      <c r="E65" s="71" t="s">
        <v>268</v>
      </c>
      <c r="F65" s="71" t="s">
        <v>6</v>
      </c>
      <c r="G65" s="71" t="s">
        <v>17</v>
      </c>
      <c r="H65" s="40" t="s">
        <v>286</v>
      </c>
      <c r="I65" s="39">
        <v>1</v>
      </c>
    </row>
    <row r="66" spans="1:9" ht="15">
      <c r="A66" s="78"/>
      <c r="B66" s="82"/>
      <c r="C66" s="70"/>
      <c r="D66" s="71"/>
      <c r="E66" s="71"/>
      <c r="F66" s="71"/>
      <c r="G66" s="71"/>
      <c r="H66" s="40" t="s">
        <v>288</v>
      </c>
      <c r="I66" s="39">
        <v>2</v>
      </c>
    </row>
    <row r="67" spans="1:9" ht="15">
      <c r="A67" s="78"/>
      <c r="B67" s="82"/>
      <c r="C67" s="70"/>
      <c r="D67" s="71"/>
      <c r="E67" s="71"/>
      <c r="F67" s="71"/>
      <c r="G67" s="71"/>
      <c r="H67" s="40" t="s">
        <v>322</v>
      </c>
      <c r="I67" s="39">
        <v>3</v>
      </c>
    </row>
    <row r="68" spans="1:9" ht="15">
      <c r="A68" s="78"/>
      <c r="B68" s="82"/>
      <c r="C68" s="70"/>
      <c r="D68" s="71"/>
      <c r="E68" s="71"/>
      <c r="F68" s="71"/>
      <c r="G68" s="71"/>
      <c r="H68" s="56" t="s">
        <v>319</v>
      </c>
      <c r="I68" s="39">
        <v>4</v>
      </c>
    </row>
    <row r="69" spans="1:9" ht="15">
      <c r="A69" s="78"/>
      <c r="B69" s="82"/>
      <c r="C69" s="70"/>
      <c r="D69" s="71"/>
      <c r="E69" s="71"/>
      <c r="F69" s="71"/>
      <c r="G69" s="71"/>
      <c r="H69" s="40" t="s">
        <v>58</v>
      </c>
      <c r="I69" s="39">
        <v>5</v>
      </c>
    </row>
    <row r="70" spans="1:9" ht="15">
      <c r="A70" s="78"/>
      <c r="B70" s="82"/>
      <c r="C70" s="70"/>
      <c r="D70" s="71"/>
      <c r="E70" s="71"/>
      <c r="F70" s="71"/>
      <c r="G70" s="71"/>
      <c r="H70" s="40" t="s">
        <v>60</v>
      </c>
      <c r="I70" s="39">
        <v>6</v>
      </c>
    </row>
    <row r="71" spans="1:9" ht="15">
      <c r="A71" s="78"/>
      <c r="B71" s="82"/>
      <c r="C71" s="70"/>
      <c r="D71" s="71"/>
      <c r="E71" s="71"/>
      <c r="F71" s="71"/>
      <c r="G71" s="71"/>
      <c r="H71" s="40" t="s">
        <v>62</v>
      </c>
      <c r="I71" s="39">
        <v>7</v>
      </c>
    </row>
    <row r="72" spans="1:9" ht="15">
      <c r="A72" s="78"/>
      <c r="B72" s="82"/>
      <c r="C72" s="70"/>
      <c r="D72" s="71"/>
      <c r="E72" s="71"/>
      <c r="F72" s="71"/>
      <c r="G72" s="71"/>
      <c r="H72" s="54" t="s">
        <v>321</v>
      </c>
      <c r="I72" s="39">
        <v>8</v>
      </c>
    </row>
    <row r="73" spans="1:9" ht="15">
      <c r="A73" s="78"/>
      <c r="B73" s="82"/>
      <c r="C73" s="70"/>
      <c r="D73" s="71"/>
      <c r="E73" s="71"/>
      <c r="F73" s="71"/>
      <c r="G73" s="71"/>
      <c r="H73" s="40" t="s">
        <v>320</v>
      </c>
      <c r="I73" s="39">
        <v>9</v>
      </c>
    </row>
    <row r="74" spans="1:9" ht="15">
      <c r="A74" s="68" t="s">
        <v>50</v>
      </c>
      <c r="B74" s="69" t="s">
        <v>269</v>
      </c>
      <c r="C74" s="70">
        <v>8</v>
      </c>
      <c r="D74" s="71" t="s">
        <v>267</v>
      </c>
      <c r="E74" s="71" t="s">
        <v>268</v>
      </c>
      <c r="F74" s="71" t="s">
        <v>18</v>
      </c>
      <c r="G74" s="71" t="s">
        <v>17</v>
      </c>
      <c r="H74" s="56" t="s">
        <v>286</v>
      </c>
      <c r="I74" s="39">
        <v>1</v>
      </c>
    </row>
    <row r="75" spans="1:9" ht="15">
      <c r="A75" s="68"/>
      <c r="B75" s="69"/>
      <c r="C75" s="70"/>
      <c r="D75" s="71"/>
      <c r="E75" s="71"/>
      <c r="F75" s="71"/>
      <c r="G75" s="71"/>
      <c r="H75" s="56" t="s">
        <v>288</v>
      </c>
      <c r="I75" s="39">
        <v>2</v>
      </c>
    </row>
    <row r="76" spans="1:9" ht="15">
      <c r="A76" s="68"/>
      <c r="B76" s="69"/>
      <c r="C76" s="70"/>
      <c r="D76" s="71"/>
      <c r="E76" s="71"/>
      <c r="F76" s="71"/>
      <c r="G76" s="71"/>
      <c r="H76" s="56" t="s">
        <v>319</v>
      </c>
      <c r="I76" s="39">
        <v>3</v>
      </c>
    </row>
    <row r="77" spans="1:9" ht="15">
      <c r="A77" s="68"/>
      <c r="B77" s="69"/>
      <c r="C77" s="70"/>
      <c r="D77" s="71"/>
      <c r="E77" s="71"/>
      <c r="F77" s="71"/>
      <c r="G77" s="71"/>
      <c r="H77" s="56" t="s">
        <v>19</v>
      </c>
      <c r="I77" s="39">
        <v>4</v>
      </c>
    </row>
    <row r="78" spans="1:9" ht="15">
      <c r="A78" s="68"/>
      <c r="B78" s="69"/>
      <c r="C78" s="70"/>
      <c r="D78" s="71"/>
      <c r="E78" s="71"/>
      <c r="F78" s="71"/>
      <c r="G78" s="71"/>
      <c r="H78" s="56" t="s">
        <v>58</v>
      </c>
      <c r="I78" s="39">
        <v>5</v>
      </c>
    </row>
    <row r="79" spans="1:9" ht="15">
      <c r="A79" s="68"/>
      <c r="B79" s="69"/>
      <c r="C79" s="70"/>
      <c r="D79" s="71"/>
      <c r="E79" s="71"/>
      <c r="F79" s="71"/>
      <c r="G79" s="71"/>
      <c r="H79" s="56" t="s">
        <v>60</v>
      </c>
      <c r="I79" s="39">
        <v>6</v>
      </c>
    </row>
    <row r="80" spans="1:9" ht="15">
      <c r="A80" s="68"/>
      <c r="B80" s="69"/>
      <c r="C80" s="70"/>
      <c r="D80" s="71"/>
      <c r="E80" s="71"/>
      <c r="F80" s="71"/>
      <c r="G80" s="71"/>
      <c r="H80" s="56" t="s">
        <v>62</v>
      </c>
      <c r="I80" s="39">
        <v>7</v>
      </c>
    </row>
    <row r="81" spans="1:256" ht="15">
      <c r="A81" s="68"/>
      <c r="B81" s="69"/>
      <c r="C81" s="70"/>
      <c r="D81" s="71"/>
      <c r="E81" s="71"/>
      <c r="F81" s="71"/>
      <c r="G81" s="71"/>
      <c r="H81" s="56" t="s">
        <v>321</v>
      </c>
      <c r="I81" s="39">
        <v>8</v>
      </c>
    </row>
    <row r="82" spans="1:256" ht="15">
      <c r="A82" s="68"/>
      <c r="B82" s="69"/>
      <c r="C82" s="70"/>
      <c r="D82" s="71"/>
      <c r="E82" s="71"/>
      <c r="F82" s="71"/>
      <c r="G82" s="71"/>
      <c r="H82" s="56" t="s">
        <v>320</v>
      </c>
      <c r="I82" s="39">
        <v>9</v>
      </c>
    </row>
    <row r="83" spans="1:256" ht="15">
      <c r="A83" s="68" t="s">
        <v>270</v>
      </c>
      <c r="B83" s="69" t="s">
        <v>271</v>
      </c>
      <c r="C83" s="70">
        <v>9</v>
      </c>
      <c r="D83" s="71" t="s">
        <v>267</v>
      </c>
      <c r="E83" s="71" t="s">
        <v>268</v>
      </c>
      <c r="F83" s="71" t="s">
        <v>18</v>
      </c>
      <c r="G83" s="71" t="s">
        <v>17</v>
      </c>
      <c r="H83" s="56" t="s">
        <v>286</v>
      </c>
      <c r="I83" s="53">
        <v>1</v>
      </c>
    </row>
    <row r="84" spans="1:256" ht="15">
      <c r="A84" s="68"/>
      <c r="B84" s="69"/>
      <c r="C84" s="70"/>
      <c r="D84" s="71"/>
      <c r="E84" s="71"/>
      <c r="F84" s="71"/>
      <c r="G84" s="71"/>
      <c r="H84" s="56" t="s">
        <v>288</v>
      </c>
      <c r="I84" s="53">
        <v>2</v>
      </c>
    </row>
    <row r="85" spans="1:256" ht="15">
      <c r="A85" s="68"/>
      <c r="B85" s="69"/>
      <c r="C85" s="70"/>
      <c r="D85" s="71"/>
      <c r="E85" s="71"/>
      <c r="F85" s="71"/>
      <c r="G85" s="71"/>
      <c r="H85" s="56" t="s">
        <v>319</v>
      </c>
      <c r="I85" s="53">
        <v>3</v>
      </c>
    </row>
    <row r="86" spans="1:256" ht="15">
      <c r="A86" s="68"/>
      <c r="B86" s="69"/>
      <c r="C86" s="70"/>
      <c r="D86" s="71"/>
      <c r="E86" s="71"/>
      <c r="F86" s="71"/>
      <c r="G86" s="71"/>
      <c r="H86" s="56" t="s">
        <v>19</v>
      </c>
      <c r="I86" s="53">
        <v>4</v>
      </c>
    </row>
    <row r="87" spans="1:256" ht="15">
      <c r="A87" s="68"/>
      <c r="B87" s="69"/>
      <c r="C87" s="70"/>
      <c r="D87" s="71"/>
      <c r="E87" s="71"/>
      <c r="F87" s="71"/>
      <c r="G87" s="71"/>
      <c r="H87" s="56" t="s">
        <v>58</v>
      </c>
      <c r="I87" s="53">
        <v>5</v>
      </c>
    </row>
    <row r="88" spans="1:256" ht="15">
      <c r="A88" s="68"/>
      <c r="B88" s="69"/>
      <c r="C88" s="70"/>
      <c r="D88" s="71"/>
      <c r="E88" s="71"/>
      <c r="F88" s="71"/>
      <c r="G88" s="71"/>
      <c r="H88" s="56" t="s">
        <v>60</v>
      </c>
      <c r="I88" s="53">
        <v>6</v>
      </c>
    </row>
    <row r="89" spans="1:256" ht="15">
      <c r="A89" s="68"/>
      <c r="B89" s="69"/>
      <c r="C89" s="70"/>
      <c r="D89" s="71"/>
      <c r="E89" s="71"/>
      <c r="F89" s="71"/>
      <c r="G89" s="71"/>
      <c r="H89" s="56" t="s">
        <v>62</v>
      </c>
      <c r="I89" s="53">
        <v>7</v>
      </c>
    </row>
    <row r="90" spans="1:256" ht="15">
      <c r="A90" s="68"/>
      <c r="B90" s="69"/>
      <c r="C90" s="70"/>
      <c r="D90" s="71"/>
      <c r="E90" s="71"/>
      <c r="F90" s="71"/>
      <c r="G90" s="71"/>
      <c r="H90" s="56" t="s">
        <v>321</v>
      </c>
      <c r="I90" s="53">
        <v>8</v>
      </c>
    </row>
    <row r="91" spans="1:256" ht="15">
      <c r="A91" s="68"/>
      <c r="B91" s="69"/>
      <c r="C91" s="70"/>
      <c r="D91" s="71"/>
      <c r="E91" s="71"/>
      <c r="F91" s="71"/>
      <c r="G91" s="71"/>
      <c r="H91" s="56" t="s">
        <v>320</v>
      </c>
      <c r="I91" s="53">
        <v>9</v>
      </c>
    </row>
    <row r="92" spans="1:256" s="43" customFormat="1" ht="17.100000000000001" customHeight="1">
      <c r="A92" s="58" t="s">
        <v>278</v>
      </c>
      <c r="B92" s="60" t="s">
        <v>279</v>
      </c>
      <c r="C92" s="62">
        <v>9</v>
      </c>
      <c r="D92" s="27" t="s">
        <v>280</v>
      </c>
      <c r="E92" s="28">
        <v>1</v>
      </c>
      <c r="F92" s="65" t="s">
        <v>281</v>
      </c>
      <c r="G92" s="65" t="s">
        <v>282</v>
      </c>
      <c r="H92" s="29" t="s">
        <v>32</v>
      </c>
      <c r="I92" s="30">
        <v>0</v>
      </c>
      <c r="J92" s="25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42"/>
      <c r="BP92" s="42"/>
      <c r="BQ92" s="42"/>
      <c r="BR92" s="42"/>
      <c r="BS92" s="42"/>
      <c r="BT92" s="42"/>
      <c r="BU92" s="42"/>
      <c r="BV92" s="42"/>
      <c r="BW92" s="42"/>
      <c r="BX92" s="42"/>
      <c r="BY92" s="42"/>
      <c r="BZ92" s="42"/>
      <c r="CA92" s="42"/>
      <c r="CB92" s="42"/>
      <c r="CC92" s="42"/>
      <c r="CD92" s="42"/>
      <c r="CE92" s="42"/>
      <c r="CF92" s="42"/>
      <c r="CG92" s="42"/>
      <c r="CH92" s="42"/>
      <c r="CI92" s="42"/>
      <c r="CJ92" s="42"/>
      <c r="CK92" s="42"/>
      <c r="CL92" s="42"/>
      <c r="CM92" s="42"/>
      <c r="CN92" s="42"/>
      <c r="CO92" s="42"/>
      <c r="CP92" s="42"/>
      <c r="CQ92" s="42"/>
      <c r="CR92" s="42"/>
      <c r="CS92" s="42"/>
      <c r="CT92" s="42"/>
      <c r="CU92" s="42"/>
      <c r="CV92" s="42"/>
      <c r="CW92" s="42"/>
      <c r="CX92" s="42"/>
      <c r="CY92" s="42"/>
      <c r="CZ92" s="42"/>
      <c r="DA92" s="42"/>
      <c r="DB92" s="42"/>
      <c r="DC92" s="42"/>
      <c r="DD92" s="42"/>
      <c r="DE92" s="42"/>
      <c r="DF92" s="42"/>
      <c r="DG92" s="42"/>
      <c r="DH92" s="42"/>
      <c r="DI92" s="42"/>
      <c r="DJ92" s="42"/>
      <c r="DK92" s="42"/>
      <c r="DL92" s="42"/>
      <c r="DM92" s="42"/>
      <c r="DN92" s="42"/>
      <c r="DO92" s="42"/>
      <c r="DP92" s="42"/>
      <c r="DQ92" s="42"/>
      <c r="DR92" s="42"/>
      <c r="DS92" s="42"/>
      <c r="DT92" s="42"/>
      <c r="DU92" s="42"/>
      <c r="DV92" s="42"/>
      <c r="DW92" s="42"/>
      <c r="DX92" s="42"/>
      <c r="DY92" s="42"/>
      <c r="DZ92" s="42"/>
      <c r="EA92" s="42"/>
      <c r="EB92" s="42"/>
      <c r="EC92" s="42"/>
      <c r="ED92" s="42"/>
      <c r="EE92" s="42"/>
      <c r="EF92" s="42"/>
      <c r="EG92" s="42"/>
      <c r="EH92" s="42"/>
      <c r="EI92" s="42"/>
      <c r="EJ92" s="42"/>
      <c r="EK92" s="42"/>
      <c r="EL92" s="42"/>
      <c r="EM92" s="42"/>
      <c r="EN92" s="42"/>
      <c r="EO92" s="42"/>
      <c r="EP92" s="42"/>
      <c r="EQ92" s="42"/>
      <c r="ER92" s="42"/>
      <c r="ES92" s="42"/>
      <c r="ET92" s="42"/>
      <c r="EU92" s="42"/>
      <c r="EV92" s="42"/>
      <c r="EW92" s="42"/>
      <c r="EX92" s="42"/>
      <c r="EY92" s="42"/>
      <c r="EZ92" s="42"/>
      <c r="FA92" s="42"/>
      <c r="FB92" s="42"/>
      <c r="FC92" s="42"/>
      <c r="FD92" s="42"/>
      <c r="FE92" s="42"/>
      <c r="FF92" s="42"/>
      <c r="FG92" s="42"/>
      <c r="FH92" s="42"/>
      <c r="FI92" s="42"/>
      <c r="FJ92" s="42"/>
      <c r="FK92" s="42"/>
      <c r="FL92" s="42"/>
      <c r="FM92" s="42"/>
      <c r="FN92" s="42"/>
      <c r="FO92" s="42"/>
      <c r="FP92" s="42"/>
      <c r="FQ92" s="42"/>
      <c r="FR92" s="42"/>
      <c r="FS92" s="42"/>
      <c r="FT92" s="42"/>
      <c r="FU92" s="42"/>
      <c r="FV92" s="42"/>
      <c r="FW92" s="42"/>
      <c r="FX92" s="42"/>
      <c r="FY92" s="42"/>
      <c r="FZ92" s="42"/>
      <c r="GA92" s="42"/>
      <c r="GB92" s="42"/>
      <c r="GC92" s="42"/>
      <c r="GD92" s="42"/>
      <c r="GE92" s="42"/>
      <c r="GF92" s="42"/>
      <c r="GG92" s="42"/>
      <c r="GH92" s="42"/>
      <c r="GI92" s="42"/>
      <c r="GJ92" s="42"/>
      <c r="GK92" s="42"/>
      <c r="GL92" s="42"/>
      <c r="GM92" s="42"/>
      <c r="GN92" s="42"/>
      <c r="GO92" s="42"/>
      <c r="GP92" s="42"/>
      <c r="GQ92" s="42"/>
      <c r="GR92" s="42"/>
      <c r="GS92" s="42"/>
      <c r="GT92" s="42"/>
      <c r="GU92" s="42"/>
      <c r="GV92" s="42"/>
      <c r="GW92" s="42"/>
      <c r="GX92" s="42"/>
      <c r="GY92" s="42"/>
      <c r="GZ92" s="42"/>
      <c r="HA92" s="42"/>
      <c r="HB92" s="42"/>
      <c r="HC92" s="42"/>
      <c r="HD92" s="42"/>
      <c r="HE92" s="42"/>
      <c r="HF92" s="42"/>
      <c r="HG92" s="42"/>
      <c r="HH92" s="42"/>
      <c r="HI92" s="42"/>
      <c r="HJ92" s="42"/>
      <c r="HK92" s="42"/>
      <c r="HL92" s="42"/>
      <c r="HM92" s="42"/>
      <c r="HN92" s="42"/>
      <c r="HO92" s="42"/>
      <c r="HP92" s="42"/>
      <c r="HQ92" s="42"/>
      <c r="HR92" s="42"/>
      <c r="HS92" s="42"/>
      <c r="HT92" s="42"/>
      <c r="HU92" s="42"/>
      <c r="HV92" s="42"/>
      <c r="HW92" s="42"/>
      <c r="HX92" s="42"/>
      <c r="HY92" s="42"/>
      <c r="HZ92" s="42"/>
      <c r="IA92" s="42"/>
      <c r="IB92" s="42"/>
      <c r="IC92" s="42"/>
      <c r="ID92" s="42"/>
      <c r="IE92" s="42"/>
      <c r="IF92" s="42"/>
      <c r="IG92" s="42"/>
      <c r="IH92" s="42"/>
      <c r="II92" s="42"/>
      <c r="IJ92" s="42"/>
      <c r="IK92" s="42"/>
      <c r="IL92" s="42"/>
      <c r="IM92" s="42"/>
      <c r="IN92" s="42"/>
      <c r="IO92" s="42"/>
      <c r="IP92" s="42"/>
      <c r="IQ92" s="42"/>
      <c r="IR92" s="42"/>
      <c r="IS92" s="42"/>
      <c r="IT92" s="42"/>
      <c r="IU92" s="42"/>
      <c r="IV92" s="42"/>
    </row>
    <row r="93" spans="1:256" s="43" customFormat="1" ht="17.100000000000001" customHeight="1">
      <c r="A93" s="59"/>
      <c r="B93" s="61"/>
      <c r="C93" s="63"/>
      <c r="D93" s="31" t="s">
        <v>283</v>
      </c>
      <c r="E93" s="32">
        <v>3</v>
      </c>
      <c r="F93" s="66"/>
      <c r="G93" s="66"/>
      <c r="H93" s="33" t="s">
        <v>33</v>
      </c>
      <c r="I93" s="34">
        <v>1</v>
      </c>
      <c r="J93" s="25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  <c r="BW93" s="42"/>
      <c r="BX93" s="42"/>
      <c r="BY93" s="42"/>
      <c r="BZ93" s="42"/>
      <c r="CA93" s="42"/>
      <c r="CB93" s="42"/>
      <c r="CC93" s="42"/>
      <c r="CD93" s="42"/>
      <c r="CE93" s="42"/>
      <c r="CF93" s="42"/>
      <c r="CG93" s="42"/>
      <c r="CH93" s="42"/>
      <c r="CI93" s="42"/>
      <c r="CJ93" s="42"/>
      <c r="CK93" s="42"/>
      <c r="CL93" s="42"/>
      <c r="CM93" s="42"/>
      <c r="CN93" s="42"/>
      <c r="CO93" s="42"/>
      <c r="CP93" s="42"/>
      <c r="CQ93" s="42"/>
      <c r="CR93" s="42"/>
      <c r="CS93" s="42"/>
      <c r="CT93" s="42"/>
      <c r="CU93" s="42"/>
      <c r="CV93" s="42"/>
      <c r="CW93" s="42"/>
      <c r="CX93" s="42"/>
      <c r="CY93" s="42"/>
      <c r="CZ93" s="42"/>
      <c r="DA93" s="42"/>
      <c r="DB93" s="42"/>
      <c r="DC93" s="42"/>
      <c r="DD93" s="42"/>
      <c r="DE93" s="42"/>
      <c r="DF93" s="42"/>
      <c r="DG93" s="42"/>
      <c r="DH93" s="42"/>
      <c r="DI93" s="42"/>
      <c r="DJ93" s="42"/>
      <c r="DK93" s="42"/>
      <c r="DL93" s="42"/>
      <c r="DM93" s="42"/>
      <c r="DN93" s="42"/>
      <c r="DO93" s="42"/>
      <c r="DP93" s="42"/>
      <c r="DQ93" s="42"/>
      <c r="DR93" s="42"/>
      <c r="DS93" s="42"/>
      <c r="DT93" s="42"/>
      <c r="DU93" s="42"/>
      <c r="DV93" s="42"/>
      <c r="DW93" s="42"/>
      <c r="DX93" s="42"/>
      <c r="DY93" s="42"/>
      <c r="DZ93" s="42"/>
      <c r="EA93" s="42"/>
      <c r="EB93" s="42"/>
      <c r="EC93" s="42"/>
      <c r="ED93" s="42"/>
      <c r="EE93" s="42"/>
      <c r="EF93" s="42"/>
      <c r="EG93" s="42"/>
      <c r="EH93" s="42"/>
      <c r="EI93" s="42"/>
      <c r="EJ93" s="42"/>
      <c r="EK93" s="42"/>
      <c r="EL93" s="42"/>
      <c r="EM93" s="42"/>
      <c r="EN93" s="42"/>
      <c r="EO93" s="42"/>
      <c r="EP93" s="42"/>
      <c r="EQ93" s="42"/>
      <c r="ER93" s="42"/>
      <c r="ES93" s="42"/>
      <c r="ET93" s="42"/>
      <c r="EU93" s="42"/>
      <c r="EV93" s="42"/>
      <c r="EW93" s="42"/>
      <c r="EX93" s="42"/>
      <c r="EY93" s="42"/>
      <c r="EZ93" s="42"/>
      <c r="FA93" s="42"/>
      <c r="FB93" s="42"/>
      <c r="FC93" s="42"/>
      <c r="FD93" s="42"/>
      <c r="FE93" s="42"/>
      <c r="FF93" s="42"/>
      <c r="FG93" s="42"/>
      <c r="FH93" s="42"/>
      <c r="FI93" s="42"/>
      <c r="FJ93" s="42"/>
      <c r="FK93" s="42"/>
      <c r="FL93" s="42"/>
      <c r="FM93" s="42"/>
      <c r="FN93" s="42"/>
      <c r="FO93" s="42"/>
      <c r="FP93" s="42"/>
      <c r="FQ93" s="42"/>
      <c r="FR93" s="42"/>
      <c r="FS93" s="42"/>
      <c r="FT93" s="42"/>
      <c r="FU93" s="42"/>
      <c r="FV93" s="42"/>
      <c r="FW93" s="42"/>
      <c r="FX93" s="42"/>
      <c r="FY93" s="42"/>
      <c r="FZ93" s="42"/>
      <c r="GA93" s="42"/>
      <c r="GB93" s="42"/>
      <c r="GC93" s="42"/>
      <c r="GD93" s="42"/>
      <c r="GE93" s="42"/>
      <c r="GF93" s="42"/>
      <c r="GG93" s="42"/>
      <c r="GH93" s="42"/>
      <c r="GI93" s="42"/>
      <c r="GJ93" s="42"/>
      <c r="GK93" s="42"/>
      <c r="GL93" s="42"/>
      <c r="GM93" s="42"/>
      <c r="GN93" s="42"/>
      <c r="GO93" s="42"/>
      <c r="GP93" s="42"/>
      <c r="GQ93" s="42"/>
      <c r="GR93" s="42"/>
      <c r="GS93" s="42"/>
      <c r="GT93" s="42"/>
      <c r="GU93" s="42"/>
      <c r="GV93" s="42"/>
      <c r="GW93" s="42"/>
      <c r="GX93" s="42"/>
      <c r="GY93" s="42"/>
      <c r="GZ93" s="42"/>
      <c r="HA93" s="42"/>
      <c r="HB93" s="42"/>
      <c r="HC93" s="42"/>
      <c r="HD93" s="42"/>
      <c r="HE93" s="42"/>
      <c r="HF93" s="42"/>
      <c r="HG93" s="42"/>
      <c r="HH93" s="42"/>
      <c r="HI93" s="42"/>
      <c r="HJ93" s="42"/>
      <c r="HK93" s="42"/>
      <c r="HL93" s="42"/>
      <c r="HM93" s="42"/>
      <c r="HN93" s="42"/>
      <c r="HO93" s="42"/>
      <c r="HP93" s="42"/>
      <c r="HQ93" s="42"/>
      <c r="HR93" s="42"/>
      <c r="HS93" s="42"/>
      <c r="HT93" s="42"/>
      <c r="HU93" s="42"/>
      <c r="HV93" s="42"/>
      <c r="HW93" s="42"/>
      <c r="HX93" s="42"/>
      <c r="HY93" s="42"/>
      <c r="HZ93" s="42"/>
      <c r="IA93" s="42"/>
      <c r="IB93" s="42"/>
      <c r="IC93" s="42"/>
      <c r="ID93" s="42"/>
      <c r="IE93" s="42"/>
      <c r="IF93" s="42"/>
      <c r="IG93" s="42"/>
      <c r="IH93" s="42"/>
      <c r="II93" s="42"/>
      <c r="IJ93" s="42"/>
      <c r="IK93" s="42"/>
      <c r="IL93" s="42"/>
      <c r="IM93" s="42"/>
      <c r="IN93" s="42"/>
      <c r="IO93" s="42"/>
      <c r="IP93" s="42"/>
      <c r="IQ93" s="42"/>
      <c r="IR93" s="42"/>
      <c r="IS93" s="42"/>
      <c r="IT93" s="42"/>
      <c r="IU93" s="42"/>
      <c r="IV93" s="42"/>
    </row>
    <row r="94" spans="1:256" s="43" customFormat="1" ht="17.100000000000001" customHeight="1">
      <c r="A94" s="59"/>
      <c r="B94" s="61"/>
      <c r="C94" s="63"/>
      <c r="D94" s="35" t="s">
        <v>284</v>
      </c>
      <c r="E94" s="36">
        <v>5</v>
      </c>
      <c r="F94" s="66"/>
      <c r="G94" s="66"/>
      <c r="H94" s="37" t="s">
        <v>34</v>
      </c>
      <c r="I94" s="38">
        <v>2</v>
      </c>
      <c r="J94" s="25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  <c r="CA94" s="42"/>
      <c r="CB94" s="42"/>
      <c r="CC94" s="42"/>
      <c r="CD94" s="42"/>
      <c r="CE94" s="42"/>
      <c r="CF94" s="42"/>
      <c r="CG94" s="42"/>
      <c r="CH94" s="42"/>
      <c r="CI94" s="42"/>
      <c r="CJ94" s="42"/>
      <c r="CK94" s="42"/>
      <c r="CL94" s="42"/>
      <c r="CM94" s="42"/>
      <c r="CN94" s="42"/>
      <c r="CO94" s="42"/>
      <c r="CP94" s="42"/>
      <c r="CQ94" s="42"/>
      <c r="CR94" s="42"/>
      <c r="CS94" s="42"/>
      <c r="CT94" s="42"/>
      <c r="CU94" s="42"/>
      <c r="CV94" s="42"/>
      <c r="CW94" s="42"/>
      <c r="CX94" s="42"/>
      <c r="CY94" s="42"/>
      <c r="CZ94" s="42"/>
      <c r="DA94" s="42"/>
      <c r="DB94" s="42"/>
      <c r="DC94" s="42"/>
      <c r="DD94" s="42"/>
      <c r="DE94" s="42"/>
      <c r="DF94" s="42"/>
      <c r="DG94" s="42"/>
      <c r="DH94" s="42"/>
      <c r="DI94" s="42"/>
      <c r="DJ94" s="42"/>
      <c r="DK94" s="42"/>
      <c r="DL94" s="42"/>
      <c r="DM94" s="42"/>
      <c r="DN94" s="42"/>
      <c r="DO94" s="42"/>
      <c r="DP94" s="42"/>
      <c r="DQ94" s="42"/>
      <c r="DR94" s="42"/>
      <c r="DS94" s="42"/>
      <c r="DT94" s="42"/>
      <c r="DU94" s="42"/>
      <c r="DV94" s="42"/>
      <c r="DW94" s="42"/>
      <c r="DX94" s="42"/>
      <c r="DY94" s="42"/>
      <c r="DZ94" s="42"/>
      <c r="EA94" s="42"/>
      <c r="EB94" s="42"/>
      <c r="EC94" s="42"/>
      <c r="ED94" s="42"/>
      <c r="EE94" s="42"/>
      <c r="EF94" s="42"/>
      <c r="EG94" s="42"/>
      <c r="EH94" s="42"/>
      <c r="EI94" s="42"/>
      <c r="EJ94" s="42"/>
      <c r="EK94" s="42"/>
      <c r="EL94" s="42"/>
      <c r="EM94" s="42"/>
      <c r="EN94" s="42"/>
      <c r="EO94" s="42"/>
      <c r="EP94" s="42"/>
      <c r="EQ94" s="42"/>
      <c r="ER94" s="42"/>
      <c r="ES94" s="42"/>
      <c r="ET94" s="42"/>
      <c r="EU94" s="42"/>
      <c r="EV94" s="42"/>
      <c r="EW94" s="42"/>
      <c r="EX94" s="42"/>
      <c r="EY94" s="42"/>
      <c r="EZ94" s="42"/>
      <c r="FA94" s="42"/>
      <c r="FB94" s="42"/>
      <c r="FC94" s="42"/>
      <c r="FD94" s="42"/>
      <c r="FE94" s="42"/>
      <c r="FF94" s="42"/>
      <c r="FG94" s="42"/>
      <c r="FH94" s="42"/>
      <c r="FI94" s="42"/>
      <c r="FJ94" s="42"/>
      <c r="FK94" s="42"/>
      <c r="FL94" s="42"/>
      <c r="FM94" s="42"/>
      <c r="FN94" s="42"/>
      <c r="FO94" s="42"/>
      <c r="FP94" s="42"/>
      <c r="FQ94" s="42"/>
      <c r="FR94" s="42"/>
      <c r="FS94" s="42"/>
      <c r="FT94" s="42"/>
      <c r="FU94" s="42"/>
      <c r="FV94" s="42"/>
      <c r="FW94" s="42"/>
      <c r="FX94" s="42"/>
      <c r="FY94" s="42"/>
      <c r="FZ94" s="42"/>
      <c r="GA94" s="42"/>
      <c r="GB94" s="42"/>
      <c r="GC94" s="42"/>
      <c r="GD94" s="42"/>
      <c r="GE94" s="42"/>
      <c r="GF94" s="42"/>
      <c r="GG94" s="42"/>
      <c r="GH94" s="42"/>
      <c r="GI94" s="42"/>
      <c r="GJ94" s="42"/>
      <c r="GK94" s="42"/>
      <c r="GL94" s="42"/>
      <c r="GM94" s="42"/>
      <c r="GN94" s="42"/>
      <c r="GO94" s="42"/>
      <c r="GP94" s="42"/>
      <c r="GQ94" s="42"/>
      <c r="GR94" s="42"/>
      <c r="GS94" s="42"/>
      <c r="GT94" s="42"/>
      <c r="GU94" s="42"/>
      <c r="GV94" s="42"/>
      <c r="GW94" s="42"/>
      <c r="GX94" s="42"/>
      <c r="GY94" s="42"/>
      <c r="GZ94" s="42"/>
      <c r="HA94" s="42"/>
      <c r="HB94" s="42"/>
      <c r="HC94" s="42"/>
      <c r="HD94" s="42"/>
      <c r="HE94" s="42"/>
      <c r="HF94" s="42"/>
      <c r="HG94" s="42"/>
      <c r="HH94" s="42"/>
      <c r="HI94" s="42"/>
      <c r="HJ94" s="42"/>
      <c r="HK94" s="42"/>
      <c r="HL94" s="42"/>
      <c r="HM94" s="42"/>
      <c r="HN94" s="42"/>
      <c r="HO94" s="42"/>
      <c r="HP94" s="42"/>
      <c r="HQ94" s="42"/>
      <c r="HR94" s="42"/>
      <c r="HS94" s="42"/>
      <c r="HT94" s="42"/>
      <c r="HU94" s="42"/>
      <c r="HV94" s="42"/>
      <c r="HW94" s="42"/>
      <c r="HX94" s="42"/>
      <c r="HY94" s="42"/>
      <c r="HZ94" s="42"/>
      <c r="IA94" s="42"/>
      <c r="IB94" s="42"/>
      <c r="IC94" s="42"/>
      <c r="ID94" s="42"/>
      <c r="IE94" s="42"/>
      <c r="IF94" s="42"/>
      <c r="IG94" s="42"/>
      <c r="IH94" s="42"/>
      <c r="II94" s="42"/>
      <c r="IJ94" s="42"/>
      <c r="IK94" s="42"/>
      <c r="IL94" s="42"/>
      <c r="IM94" s="42"/>
      <c r="IN94" s="42"/>
      <c r="IO94" s="42"/>
      <c r="IP94" s="42"/>
      <c r="IQ94" s="42"/>
      <c r="IR94" s="42"/>
      <c r="IS94" s="42"/>
      <c r="IT94" s="42"/>
      <c r="IU94" s="42"/>
      <c r="IV94" s="42"/>
    </row>
    <row r="95" spans="1:256" s="43" customFormat="1" ht="17.100000000000001" customHeight="1">
      <c r="A95" s="59"/>
      <c r="B95" s="61"/>
      <c r="C95" s="64"/>
      <c r="D95" s="35" t="s">
        <v>285</v>
      </c>
      <c r="E95" s="36">
        <v>7</v>
      </c>
      <c r="F95" s="67"/>
      <c r="G95" s="67"/>
      <c r="H95" s="37" t="s">
        <v>22</v>
      </c>
      <c r="I95" s="38">
        <v>7</v>
      </c>
      <c r="J95" s="25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42"/>
      <c r="BP95" s="42"/>
      <c r="BQ95" s="42"/>
      <c r="BR95" s="42"/>
      <c r="BS95" s="42"/>
      <c r="BT95" s="42"/>
      <c r="BU95" s="42"/>
      <c r="BV95" s="42"/>
      <c r="BW95" s="42"/>
      <c r="BX95" s="42"/>
      <c r="BY95" s="42"/>
      <c r="BZ95" s="42"/>
      <c r="CA95" s="42"/>
      <c r="CB95" s="42"/>
      <c r="CC95" s="42"/>
      <c r="CD95" s="42"/>
      <c r="CE95" s="42"/>
      <c r="CF95" s="42"/>
      <c r="CG95" s="42"/>
      <c r="CH95" s="42"/>
      <c r="CI95" s="42"/>
      <c r="CJ95" s="42"/>
      <c r="CK95" s="42"/>
      <c r="CL95" s="42"/>
      <c r="CM95" s="42"/>
      <c r="CN95" s="42"/>
      <c r="CO95" s="42"/>
      <c r="CP95" s="42"/>
      <c r="CQ95" s="42"/>
      <c r="CR95" s="42"/>
      <c r="CS95" s="42"/>
      <c r="CT95" s="42"/>
      <c r="CU95" s="42"/>
      <c r="CV95" s="42"/>
      <c r="CW95" s="42"/>
      <c r="CX95" s="42"/>
      <c r="CY95" s="42"/>
      <c r="CZ95" s="42"/>
      <c r="DA95" s="42"/>
      <c r="DB95" s="42"/>
      <c r="DC95" s="42"/>
      <c r="DD95" s="42"/>
      <c r="DE95" s="42"/>
      <c r="DF95" s="42"/>
      <c r="DG95" s="42"/>
      <c r="DH95" s="42"/>
      <c r="DI95" s="42"/>
      <c r="DJ95" s="42"/>
      <c r="DK95" s="42"/>
      <c r="DL95" s="42"/>
      <c r="DM95" s="42"/>
      <c r="DN95" s="42"/>
      <c r="DO95" s="42"/>
      <c r="DP95" s="42"/>
      <c r="DQ95" s="42"/>
      <c r="DR95" s="42"/>
      <c r="DS95" s="42"/>
      <c r="DT95" s="42"/>
      <c r="DU95" s="42"/>
      <c r="DV95" s="42"/>
      <c r="DW95" s="42"/>
      <c r="DX95" s="42"/>
      <c r="DY95" s="42"/>
      <c r="DZ95" s="42"/>
      <c r="EA95" s="42"/>
      <c r="EB95" s="42"/>
      <c r="EC95" s="42"/>
      <c r="ED95" s="42"/>
      <c r="EE95" s="42"/>
      <c r="EF95" s="42"/>
      <c r="EG95" s="42"/>
      <c r="EH95" s="42"/>
      <c r="EI95" s="42"/>
      <c r="EJ95" s="42"/>
      <c r="EK95" s="42"/>
      <c r="EL95" s="42"/>
      <c r="EM95" s="42"/>
      <c r="EN95" s="42"/>
      <c r="EO95" s="42"/>
      <c r="EP95" s="42"/>
      <c r="EQ95" s="42"/>
      <c r="ER95" s="42"/>
      <c r="ES95" s="42"/>
      <c r="ET95" s="42"/>
      <c r="EU95" s="42"/>
      <c r="EV95" s="42"/>
      <c r="EW95" s="42"/>
      <c r="EX95" s="42"/>
      <c r="EY95" s="42"/>
      <c r="EZ95" s="42"/>
      <c r="FA95" s="42"/>
      <c r="FB95" s="42"/>
      <c r="FC95" s="42"/>
      <c r="FD95" s="42"/>
      <c r="FE95" s="42"/>
      <c r="FF95" s="42"/>
      <c r="FG95" s="42"/>
      <c r="FH95" s="42"/>
      <c r="FI95" s="42"/>
      <c r="FJ95" s="42"/>
      <c r="FK95" s="42"/>
      <c r="FL95" s="42"/>
      <c r="FM95" s="42"/>
      <c r="FN95" s="42"/>
      <c r="FO95" s="42"/>
      <c r="FP95" s="42"/>
      <c r="FQ95" s="42"/>
      <c r="FR95" s="42"/>
      <c r="FS95" s="42"/>
      <c r="FT95" s="42"/>
      <c r="FU95" s="42"/>
      <c r="FV95" s="42"/>
      <c r="FW95" s="42"/>
      <c r="FX95" s="42"/>
      <c r="FY95" s="42"/>
      <c r="FZ95" s="42"/>
      <c r="GA95" s="42"/>
      <c r="GB95" s="42"/>
      <c r="GC95" s="42"/>
      <c r="GD95" s="42"/>
      <c r="GE95" s="42"/>
      <c r="GF95" s="42"/>
      <c r="GG95" s="42"/>
      <c r="GH95" s="42"/>
      <c r="GI95" s="42"/>
      <c r="GJ95" s="42"/>
      <c r="GK95" s="42"/>
      <c r="GL95" s="42"/>
      <c r="GM95" s="42"/>
      <c r="GN95" s="42"/>
      <c r="GO95" s="42"/>
      <c r="GP95" s="42"/>
      <c r="GQ95" s="42"/>
      <c r="GR95" s="42"/>
      <c r="GS95" s="42"/>
      <c r="GT95" s="42"/>
      <c r="GU95" s="42"/>
      <c r="GV95" s="42"/>
      <c r="GW95" s="42"/>
      <c r="GX95" s="42"/>
      <c r="GY95" s="42"/>
      <c r="GZ95" s="42"/>
      <c r="HA95" s="42"/>
      <c r="HB95" s="42"/>
      <c r="HC95" s="42"/>
      <c r="HD95" s="42"/>
      <c r="HE95" s="42"/>
      <c r="HF95" s="42"/>
      <c r="HG95" s="42"/>
      <c r="HH95" s="42"/>
      <c r="HI95" s="42"/>
      <c r="HJ95" s="42"/>
      <c r="HK95" s="42"/>
      <c r="HL95" s="42"/>
      <c r="HM95" s="42"/>
      <c r="HN95" s="42"/>
      <c r="HO95" s="42"/>
      <c r="HP95" s="42"/>
      <c r="HQ95" s="42"/>
      <c r="HR95" s="42"/>
      <c r="HS95" s="42"/>
      <c r="HT95" s="42"/>
      <c r="HU95" s="42"/>
      <c r="HV95" s="42"/>
      <c r="HW95" s="42"/>
      <c r="HX95" s="42"/>
      <c r="HY95" s="42"/>
      <c r="HZ95" s="42"/>
      <c r="IA95" s="42"/>
      <c r="IB95" s="42"/>
      <c r="IC95" s="42"/>
      <c r="ID95" s="42"/>
      <c r="IE95" s="42"/>
      <c r="IF95" s="42"/>
      <c r="IG95" s="42"/>
      <c r="IH95" s="42"/>
      <c r="II95" s="42"/>
      <c r="IJ95" s="42"/>
      <c r="IK95" s="42"/>
      <c r="IL95" s="42"/>
      <c r="IM95" s="42"/>
      <c r="IN95" s="42"/>
      <c r="IO95" s="42"/>
      <c r="IP95" s="42"/>
      <c r="IQ95" s="42"/>
      <c r="IR95" s="42"/>
      <c r="IS95" s="42"/>
      <c r="IT95" s="42"/>
      <c r="IU95" s="42"/>
      <c r="IV95" s="42"/>
    </row>
  </sheetData>
  <mergeCells count="57">
    <mergeCell ref="G65:G73"/>
    <mergeCell ref="A13:A16"/>
    <mergeCell ref="A74:A82"/>
    <mergeCell ref="F65:F73"/>
    <mergeCell ref="F53:F64"/>
    <mergeCell ref="C74:C82"/>
    <mergeCell ref="B74:B82"/>
    <mergeCell ref="F74:F82"/>
    <mergeCell ref="A29:A40"/>
    <mergeCell ref="A53:A64"/>
    <mergeCell ref="C17:C28"/>
    <mergeCell ref="B65:B73"/>
    <mergeCell ref="C53:C64"/>
    <mergeCell ref="C65:C73"/>
    <mergeCell ref="B17:B28"/>
    <mergeCell ref="B53:B64"/>
    <mergeCell ref="A65:A73"/>
    <mergeCell ref="C29:C40"/>
    <mergeCell ref="A41:A52"/>
    <mergeCell ref="B41:B52"/>
    <mergeCell ref="C41:C52"/>
    <mergeCell ref="B29:B40"/>
    <mergeCell ref="A17:A28"/>
    <mergeCell ref="B1:C1"/>
    <mergeCell ref="D1:E1"/>
    <mergeCell ref="F1:G1"/>
    <mergeCell ref="B13:B16"/>
    <mergeCell ref="C13:C16"/>
    <mergeCell ref="A2:A12"/>
    <mergeCell ref="B2:B12"/>
    <mergeCell ref="C2:C12"/>
    <mergeCell ref="H1:I1"/>
    <mergeCell ref="F17:F28"/>
    <mergeCell ref="G17:G28"/>
    <mergeCell ref="D2:I12"/>
    <mergeCell ref="F83:F91"/>
    <mergeCell ref="G83:G91"/>
    <mergeCell ref="G74:G82"/>
    <mergeCell ref="F41:F52"/>
    <mergeCell ref="G41:G52"/>
    <mergeCell ref="D74:D82"/>
    <mergeCell ref="E74:E82"/>
    <mergeCell ref="F29:F40"/>
    <mergeCell ref="G29:G40"/>
    <mergeCell ref="D65:D73"/>
    <mergeCell ref="E65:E73"/>
    <mergeCell ref="G53:G64"/>
    <mergeCell ref="A83:A91"/>
    <mergeCell ref="B83:B91"/>
    <mergeCell ref="C83:C91"/>
    <mergeCell ref="D83:D91"/>
    <mergeCell ref="E83:E91"/>
    <mergeCell ref="A92:A95"/>
    <mergeCell ref="B92:B95"/>
    <mergeCell ref="C92:C95"/>
    <mergeCell ref="F92:F95"/>
    <mergeCell ref="G92:G95"/>
  </mergeCells>
  <phoneticPr fontId="3" type="noConversion"/>
  <pageMargins left="0.7" right="0.7" top="0.75" bottom="0.75" header="0.3" footer="0.3"/>
  <pageSetup paperSize="9" orientation="portrait" horizontalDpi="4294967292" verticalDpi="4294967292" r:id="rId1"/>
  <headerFooter>
    <oddHeader>&amp;L&amp;"Calibri"&amp;10&amp;K000000Security C - TSMC Secret&amp;1#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B050"/>
  </sheetPr>
  <dimension ref="A1:N34"/>
  <sheetViews>
    <sheetView workbookViewId="0">
      <selection activeCell="I20" sqref="I20"/>
    </sheetView>
  </sheetViews>
  <sheetFormatPr defaultRowHeight="15"/>
  <cols>
    <col min="2" max="2" width="10.85546875" bestFit="1" customWidth="1"/>
    <col min="4" max="4" width="31.28515625" bestFit="1" customWidth="1"/>
    <col min="5" max="5" width="13.42578125" customWidth="1"/>
    <col min="6" max="6" width="30.85546875" customWidth="1"/>
    <col min="7" max="7" width="12.85546875" bestFit="1" customWidth="1"/>
    <col min="8" max="8" width="23.85546875" customWidth="1"/>
    <col min="9" max="9" width="15.7109375" customWidth="1"/>
    <col min="10" max="10" width="17.28515625" customWidth="1"/>
    <col min="11" max="11" width="12.5703125" customWidth="1"/>
    <col min="12" max="13" width="15.42578125" customWidth="1"/>
    <col min="14" max="14" width="18.140625" customWidth="1"/>
  </cols>
  <sheetData>
    <row r="1" spans="1:14" ht="15.75">
      <c r="A1" s="1"/>
      <c r="B1" s="85" t="s">
        <v>71</v>
      </c>
      <c r="C1" s="85"/>
      <c r="D1" s="86" t="s">
        <v>72</v>
      </c>
      <c r="E1" s="87"/>
      <c r="F1" s="87"/>
      <c r="G1" s="87"/>
      <c r="H1" s="87"/>
      <c r="I1" s="87"/>
      <c r="J1" s="88"/>
      <c r="K1" s="84" t="s">
        <v>73</v>
      </c>
      <c r="L1" s="84"/>
      <c r="M1" s="84"/>
      <c r="N1" s="84"/>
    </row>
    <row r="2" spans="1:14" ht="15.75">
      <c r="A2" s="1"/>
      <c r="B2" s="3" t="s">
        <v>64</v>
      </c>
      <c r="C2" s="4" t="s">
        <v>66</v>
      </c>
      <c r="D2" s="15" t="s">
        <v>133</v>
      </c>
      <c r="E2" s="15" t="s">
        <v>65</v>
      </c>
      <c r="F2" s="15" t="s">
        <v>303</v>
      </c>
      <c r="G2" s="15" t="s">
        <v>67</v>
      </c>
      <c r="H2" s="15" t="s">
        <v>40</v>
      </c>
      <c r="I2" s="15" t="s">
        <v>67</v>
      </c>
      <c r="J2" s="15" t="s">
        <v>40</v>
      </c>
      <c r="K2" s="15" t="s">
        <v>39</v>
      </c>
      <c r="L2" s="15" t="s">
        <v>41</v>
      </c>
      <c r="M2" s="15" t="s">
        <v>43</v>
      </c>
      <c r="N2" s="15" t="s">
        <v>42</v>
      </c>
    </row>
    <row r="3" spans="1:14" ht="15.75">
      <c r="A3" s="83" t="s">
        <v>51</v>
      </c>
      <c r="B3" s="83" t="s">
        <v>63</v>
      </c>
      <c r="C3" s="83">
        <v>4</v>
      </c>
      <c r="D3" s="1" t="s">
        <v>20</v>
      </c>
      <c r="E3" s="1">
        <v>1</v>
      </c>
      <c r="F3" s="1" t="s">
        <v>197</v>
      </c>
      <c r="G3" s="1" t="s">
        <v>214</v>
      </c>
      <c r="H3" s="1" t="s">
        <v>294</v>
      </c>
      <c r="I3" s="1" t="s">
        <v>192</v>
      </c>
      <c r="J3" s="1" t="s">
        <v>193</v>
      </c>
      <c r="K3" s="15"/>
      <c r="L3" s="15"/>
      <c r="M3" s="1"/>
      <c r="N3" s="15"/>
    </row>
    <row r="4" spans="1:14">
      <c r="A4" s="83"/>
      <c r="B4" s="83"/>
      <c r="C4" s="83"/>
      <c r="D4" s="1" t="s">
        <v>23</v>
      </c>
      <c r="E4" s="1">
        <v>2</v>
      </c>
      <c r="F4" s="1" t="s">
        <v>200</v>
      </c>
      <c r="G4" s="1" t="s">
        <v>192</v>
      </c>
      <c r="H4" s="1" t="s">
        <v>296</v>
      </c>
      <c r="I4" s="1"/>
      <c r="J4" s="1"/>
      <c r="K4" s="1" t="s">
        <v>198</v>
      </c>
      <c r="L4" s="1">
        <v>0</v>
      </c>
      <c r="M4" s="1" t="s">
        <v>218</v>
      </c>
      <c r="N4" s="1" t="s">
        <v>198</v>
      </c>
    </row>
    <row r="5" spans="1:14">
      <c r="A5" s="83"/>
      <c r="B5" s="83"/>
      <c r="C5" s="83"/>
      <c r="D5" s="1" t="s">
        <v>24</v>
      </c>
      <c r="E5" s="1">
        <v>3</v>
      </c>
      <c r="F5" s="1" t="s">
        <v>200</v>
      </c>
      <c r="G5" s="1" t="s">
        <v>192</v>
      </c>
      <c r="H5" s="1" t="s">
        <v>295</v>
      </c>
      <c r="I5" s="1"/>
      <c r="J5" s="1"/>
      <c r="K5" s="1" t="s">
        <v>199</v>
      </c>
      <c r="L5" s="1">
        <v>1</v>
      </c>
      <c r="M5" s="1" t="s">
        <v>218</v>
      </c>
      <c r="N5" s="1" t="s">
        <v>199</v>
      </c>
    </row>
    <row r="6" spans="1:14">
      <c r="A6" s="83"/>
      <c r="B6" s="83"/>
      <c r="C6" s="83"/>
      <c r="D6" s="1" t="s">
        <v>208</v>
      </c>
      <c r="E6" s="1">
        <v>4</v>
      </c>
      <c r="F6" s="1" t="s">
        <v>200</v>
      </c>
      <c r="G6" s="1" t="s">
        <v>192</v>
      </c>
      <c r="H6" s="1" t="s">
        <v>211</v>
      </c>
      <c r="I6" s="1"/>
      <c r="J6" s="1"/>
      <c r="K6" s="1" t="s">
        <v>34</v>
      </c>
      <c r="L6" s="1">
        <v>2</v>
      </c>
      <c r="M6" s="1" t="s">
        <v>218</v>
      </c>
      <c r="N6" s="1" t="s">
        <v>34</v>
      </c>
    </row>
    <row r="7" spans="1:14">
      <c r="A7" s="83"/>
      <c r="B7" s="83"/>
      <c r="C7" s="83"/>
      <c r="D7" s="1" t="s">
        <v>25</v>
      </c>
      <c r="E7" s="1">
        <v>5</v>
      </c>
      <c r="F7" s="1" t="s">
        <v>200</v>
      </c>
      <c r="G7" s="1" t="s">
        <v>192</v>
      </c>
      <c r="H7" s="1" t="s">
        <v>212</v>
      </c>
      <c r="I7" s="1"/>
      <c r="J7" s="1"/>
      <c r="K7" s="1" t="s">
        <v>22</v>
      </c>
      <c r="L7" s="1">
        <v>7</v>
      </c>
      <c r="M7" s="1" t="s">
        <v>218</v>
      </c>
      <c r="N7" s="1" t="s">
        <v>22</v>
      </c>
    </row>
    <row r="8" spans="1:14">
      <c r="A8" s="83"/>
      <c r="B8" s="83"/>
      <c r="C8" s="83"/>
      <c r="D8" s="1" t="s">
        <v>26</v>
      </c>
      <c r="E8" s="1">
        <v>6</v>
      </c>
      <c r="F8" s="1" t="s">
        <v>203</v>
      </c>
      <c r="G8" s="1" t="s">
        <v>192</v>
      </c>
      <c r="H8" s="1" t="s">
        <v>213</v>
      </c>
      <c r="I8" s="1"/>
      <c r="J8" s="1"/>
      <c r="K8" s="1" t="s">
        <v>195</v>
      </c>
      <c r="L8" s="1">
        <v>3</v>
      </c>
      <c r="M8" s="1" t="s">
        <v>216</v>
      </c>
      <c r="N8" s="1" t="s">
        <v>35</v>
      </c>
    </row>
    <row r="9" spans="1:14">
      <c r="A9" s="83"/>
      <c r="B9" s="83"/>
      <c r="C9" s="83"/>
      <c r="D9" s="1" t="s">
        <v>21</v>
      </c>
      <c r="E9" s="1">
        <v>7</v>
      </c>
      <c r="F9" s="1" t="s">
        <v>197</v>
      </c>
      <c r="G9" s="1" t="s">
        <v>214</v>
      </c>
      <c r="H9" s="1" t="s">
        <v>207</v>
      </c>
      <c r="I9" s="1" t="s">
        <v>192</v>
      </c>
      <c r="J9" s="1" t="s">
        <v>194</v>
      </c>
      <c r="K9" s="1" t="s">
        <v>4</v>
      </c>
      <c r="L9" s="1">
        <v>4</v>
      </c>
      <c r="M9" s="1"/>
      <c r="N9" s="1"/>
    </row>
    <row r="10" spans="1:14">
      <c r="A10" s="83"/>
      <c r="B10" s="83"/>
      <c r="C10" s="83"/>
      <c r="D10" s="1" t="s">
        <v>27</v>
      </c>
      <c r="E10" s="1">
        <v>8</v>
      </c>
      <c r="F10" s="1"/>
      <c r="G10" s="1" t="s">
        <v>215</v>
      </c>
      <c r="H10" s="1" t="s">
        <v>141</v>
      </c>
      <c r="I10" s="1"/>
      <c r="J10" s="1"/>
      <c r="K10" s="1" t="s">
        <v>196</v>
      </c>
      <c r="L10" s="1">
        <v>5</v>
      </c>
      <c r="M10" s="1" t="s">
        <v>216</v>
      </c>
      <c r="N10" s="1" t="s">
        <v>36</v>
      </c>
    </row>
    <row r="11" spans="1:14">
      <c r="A11" s="83"/>
      <c r="B11" s="83"/>
      <c r="C11" s="83"/>
      <c r="D11" s="1" t="s">
        <v>28</v>
      </c>
      <c r="E11" s="1">
        <v>9</v>
      </c>
      <c r="F11" s="1" t="s">
        <v>200</v>
      </c>
      <c r="G11" s="1" t="s">
        <v>215</v>
      </c>
      <c r="H11" s="1" t="s">
        <v>142</v>
      </c>
      <c r="I11" s="1"/>
      <c r="J11" s="1"/>
      <c r="K11" s="1" t="s">
        <v>201</v>
      </c>
      <c r="L11" s="1">
        <v>8</v>
      </c>
      <c r="M11" s="1" t="s">
        <v>217</v>
      </c>
      <c r="N11" s="1" t="s">
        <v>37</v>
      </c>
    </row>
    <row r="12" spans="1:14">
      <c r="A12" s="83"/>
      <c r="B12" s="83"/>
      <c r="C12" s="83"/>
      <c r="D12" s="1" t="s">
        <v>140</v>
      </c>
      <c r="E12" s="1">
        <v>0</v>
      </c>
      <c r="F12" s="1" t="s">
        <v>200</v>
      </c>
      <c r="G12" s="1"/>
      <c r="H12" s="1"/>
      <c r="I12" s="1"/>
      <c r="J12" s="1"/>
      <c r="K12" s="1" t="s">
        <v>202</v>
      </c>
      <c r="L12" s="1">
        <v>9</v>
      </c>
      <c r="M12" s="1" t="s">
        <v>217</v>
      </c>
      <c r="N12" s="1" t="s">
        <v>38</v>
      </c>
    </row>
    <row r="13" spans="1:14">
      <c r="A13" s="83" t="s">
        <v>47</v>
      </c>
      <c r="B13" s="83" t="s">
        <v>47</v>
      </c>
      <c r="C13" s="83">
        <v>5</v>
      </c>
      <c r="D13" s="1" t="s">
        <v>20</v>
      </c>
      <c r="E13" s="1">
        <v>1</v>
      </c>
      <c r="F13" s="1" t="s">
        <v>197</v>
      </c>
      <c r="G13" s="1" t="s">
        <v>214</v>
      </c>
      <c r="H13" s="1" t="s">
        <v>207</v>
      </c>
      <c r="I13" s="1" t="s">
        <v>192</v>
      </c>
      <c r="J13" s="1" t="s">
        <v>193</v>
      </c>
      <c r="K13" s="1"/>
      <c r="L13" s="1"/>
      <c r="M13" s="1"/>
      <c r="N13" s="1"/>
    </row>
    <row r="14" spans="1:14">
      <c r="A14" s="83"/>
      <c r="B14" s="83"/>
      <c r="C14" s="83"/>
      <c r="D14" s="1" t="s">
        <v>23</v>
      </c>
      <c r="E14" s="1">
        <v>2</v>
      </c>
      <c r="F14" s="1" t="s">
        <v>200</v>
      </c>
      <c r="G14" s="1" t="s">
        <v>192</v>
      </c>
      <c r="H14" s="1" t="s">
        <v>209</v>
      </c>
      <c r="I14" s="1"/>
      <c r="J14" s="1"/>
      <c r="K14" s="1" t="s">
        <v>32</v>
      </c>
      <c r="L14" s="1">
        <v>0</v>
      </c>
      <c r="M14" s="1" t="s">
        <v>218</v>
      </c>
      <c r="N14" s="1" t="s">
        <v>198</v>
      </c>
    </row>
    <row r="15" spans="1:14">
      <c r="A15" s="83"/>
      <c r="B15" s="83"/>
      <c r="C15" s="83"/>
      <c r="D15" s="1" t="s">
        <v>24</v>
      </c>
      <c r="E15" s="1">
        <v>3</v>
      </c>
      <c r="F15" s="1" t="s">
        <v>200</v>
      </c>
      <c r="G15" s="1" t="s">
        <v>192</v>
      </c>
      <c r="H15" s="1" t="s">
        <v>210</v>
      </c>
      <c r="I15" s="1"/>
      <c r="J15" s="1"/>
      <c r="K15" s="1" t="s">
        <v>33</v>
      </c>
      <c r="L15" s="1">
        <v>1</v>
      </c>
      <c r="M15" s="1" t="s">
        <v>218</v>
      </c>
      <c r="N15" s="1" t="s">
        <v>199</v>
      </c>
    </row>
    <row r="16" spans="1:14">
      <c r="A16" s="83"/>
      <c r="B16" s="83"/>
      <c r="C16" s="83"/>
      <c r="D16" s="1" t="s">
        <v>208</v>
      </c>
      <c r="E16" s="1">
        <v>4</v>
      </c>
      <c r="F16" s="1" t="s">
        <v>200</v>
      </c>
      <c r="G16" s="1" t="s">
        <v>192</v>
      </c>
      <c r="H16" s="1" t="s">
        <v>211</v>
      </c>
      <c r="I16" s="1"/>
      <c r="J16" s="1"/>
      <c r="K16" s="1" t="s">
        <v>34</v>
      </c>
      <c r="L16" s="1">
        <v>2</v>
      </c>
      <c r="M16" s="1" t="s">
        <v>218</v>
      </c>
      <c r="N16" s="1" t="s">
        <v>34</v>
      </c>
    </row>
    <row r="17" spans="1:14">
      <c r="A17" s="83"/>
      <c r="B17" s="83"/>
      <c r="C17" s="83"/>
      <c r="D17" s="1" t="s">
        <v>25</v>
      </c>
      <c r="E17" s="1">
        <v>5</v>
      </c>
      <c r="F17" s="1" t="s">
        <v>200</v>
      </c>
      <c r="G17" s="1" t="s">
        <v>192</v>
      </c>
      <c r="H17" s="1" t="s">
        <v>212</v>
      </c>
      <c r="I17" s="1"/>
      <c r="J17" s="1"/>
      <c r="K17" s="1" t="s">
        <v>22</v>
      </c>
      <c r="L17" s="1">
        <v>7</v>
      </c>
      <c r="M17" s="1" t="s">
        <v>218</v>
      </c>
      <c r="N17" s="1" t="s">
        <v>22</v>
      </c>
    </row>
    <row r="18" spans="1:14">
      <c r="A18" s="83"/>
      <c r="B18" s="83"/>
      <c r="C18" s="83"/>
      <c r="D18" s="1" t="s">
        <v>26</v>
      </c>
      <c r="E18" s="1">
        <v>6</v>
      </c>
      <c r="F18" s="1" t="s">
        <v>203</v>
      </c>
      <c r="G18" s="1" t="s">
        <v>192</v>
      </c>
      <c r="H18" s="1" t="s">
        <v>213</v>
      </c>
      <c r="I18" s="1"/>
      <c r="J18" s="1"/>
      <c r="K18" s="1" t="s">
        <v>3</v>
      </c>
      <c r="L18" s="1">
        <v>3</v>
      </c>
      <c r="M18" s="1" t="s">
        <v>216</v>
      </c>
      <c r="N18" s="1" t="s">
        <v>35</v>
      </c>
    </row>
    <row r="19" spans="1:14">
      <c r="A19" s="83"/>
      <c r="B19" s="83"/>
      <c r="C19" s="83"/>
      <c r="D19" s="1" t="s">
        <v>21</v>
      </c>
      <c r="E19" s="1">
        <v>7</v>
      </c>
      <c r="F19" s="1" t="s">
        <v>197</v>
      </c>
      <c r="G19" s="1" t="s">
        <v>214</v>
      </c>
      <c r="H19" s="1" t="s">
        <v>207</v>
      </c>
      <c r="I19" s="1" t="s">
        <v>192</v>
      </c>
      <c r="J19" s="1" t="s">
        <v>194</v>
      </c>
      <c r="K19" s="1" t="s">
        <v>4</v>
      </c>
      <c r="L19" s="1">
        <v>4</v>
      </c>
      <c r="M19" s="1"/>
      <c r="N19" s="1"/>
    </row>
    <row r="20" spans="1:14">
      <c r="A20" s="83"/>
      <c r="B20" s="83"/>
      <c r="C20" s="83"/>
      <c r="D20" s="1" t="s">
        <v>27</v>
      </c>
      <c r="E20" s="1">
        <v>8</v>
      </c>
      <c r="F20" s="1"/>
      <c r="G20" s="1" t="s">
        <v>215</v>
      </c>
      <c r="H20" s="1" t="s">
        <v>141</v>
      </c>
      <c r="I20" s="1"/>
      <c r="J20" s="1"/>
      <c r="K20" s="1" t="s">
        <v>5</v>
      </c>
      <c r="L20" s="1">
        <v>5</v>
      </c>
      <c r="M20" s="1" t="s">
        <v>216</v>
      </c>
      <c r="N20" s="1" t="s">
        <v>36</v>
      </c>
    </row>
    <row r="21" spans="1:14">
      <c r="A21" s="83"/>
      <c r="B21" s="83"/>
      <c r="C21" s="83"/>
      <c r="D21" s="1" t="s">
        <v>28</v>
      </c>
      <c r="E21" s="1">
        <v>9</v>
      </c>
      <c r="F21" s="1" t="s">
        <v>200</v>
      </c>
      <c r="G21" s="1" t="s">
        <v>215</v>
      </c>
      <c r="H21" s="1" t="s">
        <v>142</v>
      </c>
      <c r="I21" s="1"/>
      <c r="J21" s="1"/>
      <c r="K21" s="1" t="s">
        <v>29</v>
      </c>
      <c r="L21" s="1">
        <v>8</v>
      </c>
      <c r="M21" s="1" t="s">
        <v>215</v>
      </c>
      <c r="N21" s="1" t="s">
        <v>37</v>
      </c>
    </row>
    <row r="22" spans="1:14">
      <c r="A22" s="83"/>
      <c r="B22" s="83"/>
      <c r="C22" s="83"/>
      <c r="D22" s="1" t="s">
        <v>140</v>
      </c>
      <c r="E22" s="1">
        <v>0</v>
      </c>
      <c r="F22" s="1" t="s">
        <v>200</v>
      </c>
      <c r="G22" s="1"/>
      <c r="H22" s="1"/>
      <c r="I22" s="1"/>
      <c r="J22" s="1"/>
      <c r="K22" s="1" t="s">
        <v>30</v>
      </c>
      <c r="L22" s="1">
        <v>9</v>
      </c>
      <c r="M22" s="1" t="s">
        <v>215</v>
      </c>
      <c r="N22" s="1" t="s">
        <v>38</v>
      </c>
    </row>
    <row r="23" spans="1:14">
      <c r="A23" s="83" t="s">
        <v>31</v>
      </c>
      <c r="B23" s="83" t="s">
        <v>31</v>
      </c>
      <c r="C23" s="83">
        <v>6</v>
      </c>
      <c r="D23" s="1" t="s">
        <v>20</v>
      </c>
      <c r="E23" s="1">
        <v>1</v>
      </c>
      <c r="F23" s="1" t="s">
        <v>197</v>
      </c>
      <c r="G23" s="1" t="s">
        <v>214</v>
      </c>
      <c r="H23" s="1" t="s">
        <v>207</v>
      </c>
      <c r="I23" s="1" t="s">
        <v>192</v>
      </c>
      <c r="J23" s="1" t="s">
        <v>193</v>
      </c>
      <c r="K23" s="1"/>
      <c r="L23" s="1"/>
      <c r="M23" s="1"/>
      <c r="N23" s="1"/>
    </row>
    <row r="24" spans="1:14">
      <c r="A24" s="83"/>
      <c r="B24" s="83"/>
      <c r="C24" s="83"/>
      <c r="D24" s="1" t="s">
        <v>23</v>
      </c>
      <c r="E24" s="1">
        <v>2</v>
      </c>
      <c r="F24" s="1" t="s">
        <v>200</v>
      </c>
      <c r="G24" s="1" t="s">
        <v>192</v>
      </c>
      <c r="H24" s="1" t="s">
        <v>209</v>
      </c>
      <c r="I24" s="1"/>
      <c r="J24" s="1"/>
      <c r="K24" s="1" t="s">
        <v>32</v>
      </c>
      <c r="L24" s="1">
        <v>0</v>
      </c>
      <c r="M24" s="1" t="s">
        <v>218</v>
      </c>
      <c r="N24" s="1" t="s">
        <v>198</v>
      </c>
    </row>
    <row r="25" spans="1:14">
      <c r="A25" s="83"/>
      <c r="B25" s="83"/>
      <c r="C25" s="83"/>
      <c r="D25" s="1" t="s">
        <v>24</v>
      </c>
      <c r="E25" s="1">
        <v>3</v>
      </c>
      <c r="F25" s="1" t="s">
        <v>200</v>
      </c>
      <c r="G25" s="1" t="s">
        <v>192</v>
      </c>
      <c r="H25" s="1" t="s">
        <v>210</v>
      </c>
      <c r="I25" s="1"/>
      <c r="J25" s="1"/>
      <c r="K25" s="1" t="s">
        <v>33</v>
      </c>
      <c r="L25" s="1">
        <v>1</v>
      </c>
      <c r="M25" s="1" t="s">
        <v>218</v>
      </c>
      <c r="N25" s="1" t="s">
        <v>199</v>
      </c>
    </row>
    <row r="26" spans="1:14">
      <c r="A26" s="83"/>
      <c r="B26" s="83"/>
      <c r="C26" s="83"/>
      <c r="D26" s="1" t="s">
        <v>208</v>
      </c>
      <c r="E26" s="1">
        <v>4</v>
      </c>
      <c r="F26" s="1" t="s">
        <v>200</v>
      </c>
      <c r="G26" s="1" t="s">
        <v>192</v>
      </c>
      <c r="H26" s="1" t="s">
        <v>211</v>
      </c>
      <c r="I26" s="1"/>
      <c r="J26" s="1"/>
      <c r="K26" s="1" t="s">
        <v>34</v>
      </c>
      <c r="L26" s="1">
        <v>2</v>
      </c>
      <c r="M26" s="1" t="s">
        <v>218</v>
      </c>
      <c r="N26" s="1" t="s">
        <v>34</v>
      </c>
    </row>
    <row r="27" spans="1:14">
      <c r="A27" s="83"/>
      <c r="B27" s="83"/>
      <c r="C27" s="83"/>
      <c r="D27" s="1" t="s">
        <v>25</v>
      </c>
      <c r="E27" s="1">
        <v>5</v>
      </c>
      <c r="F27" s="1" t="s">
        <v>200</v>
      </c>
      <c r="G27" s="1" t="s">
        <v>192</v>
      </c>
      <c r="H27" s="1" t="s">
        <v>212</v>
      </c>
      <c r="I27" s="1"/>
      <c r="J27" s="1"/>
      <c r="K27" s="1" t="s">
        <v>22</v>
      </c>
      <c r="L27" s="1">
        <v>7</v>
      </c>
      <c r="M27" s="1" t="s">
        <v>218</v>
      </c>
      <c r="N27" s="1" t="s">
        <v>22</v>
      </c>
    </row>
    <row r="28" spans="1:14">
      <c r="A28" s="83"/>
      <c r="B28" s="83"/>
      <c r="C28" s="83"/>
      <c r="D28" s="1" t="s">
        <v>26</v>
      </c>
      <c r="E28" s="1">
        <v>6</v>
      </c>
      <c r="F28" s="1" t="s">
        <v>203</v>
      </c>
      <c r="G28" s="1" t="s">
        <v>192</v>
      </c>
      <c r="H28" s="1" t="s">
        <v>213</v>
      </c>
      <c r="I28" s="1"/>
      <c r="J28" s="1"/>
      <c r="K28" s="1" t="s">
        <v>3</v>
      </c>
      <c r="L28" s="1">
        <v>3</v>
      </c>
      <c r="M28" s="1" t="s">
        <v>214</v>
      </c>
      <c r="N28" s="1" t="s">
        <v>35</v>
      </c>
    </row>
    <row r="29" spans="1:14">
      <c r="A29" s="83"/>
      <c r="B29" s="83"/>
      <c r="C29" s="83"/>
      <c r="D29" s="1" t="s">
        <v>21</v>
      </c>
      <c r="E29" s="1">
        <v>7</v>
      </c>
      <c r="F29" s="1" t="s">
        <v>197</v>
      </c>
      <c r="G29" s="1" t="s">
        <v>214</v>
      </c>
      <c r="H29" s="1" t="s">
        <v>207</v>
      </c>
      <c r="I29" s="1" t="s">
        <v>192</v>
      </c>
      <c r="J29" s="1" t="s">
        <v>194</v>
      </c>
      <c r="K29" s="1" t="s">
        <v>4</v>
      </c>
      <c r="L29" s="1">
        <v>4</v>
      </c>
      <c r="M29" s="1"/>
      <c r="N29" s="1"/>
    </row>
    <row r="30" spans="1:14">
      <c r="A30" s="83"/>
      <c r="B30" s="83"/>
      <c r="C30" s="83"/>
      <c r="D30" s="1" t="s">
        <v>27</v>
      </c>
      <c r="E30" s="1">
        <v>8</v>
      </c>
      <c r="F30" s="1"/>
      <c r="G30" s="1" t="s">
        <v>215</v>
      </c>
      <c r="H30" s="1" t="s">
        <v>141</v>
      </c>
      <c r="I30" s="1"/>
      <c r="J30" s="1"/>
      <c r="K30" s="1" t="s">
        <v>5</v>
      </c>
      <c r="L30" s="1">
        <v>5</v>
      </c>
      <c r="M30" s="1" t="s">
        <v>214</v>
      </c>
      <c r="N30" s="1" t="s">
        <v>36</v>
      </c>
    </row>
    <row r="31" spans="1:14">
      <c r="A31" s="83"/>
      <c r="B31" s="83"/>
      <c r="C31" s="83"/>
      <c r="D31" s="1" t="s">
        <v>28</v>
      </c>
      <c r="E31" s="1">
        <v>9</v>
      </c>
      <c r="F31" s="1" t="s">
        <v>200</v>
      </c>
      <c r="G31" s="1" t="s">
        <v>215</v>
      </c>
      <c r="H31" s="1" t="s">
        <v>142</v>
      </c>
      <c r="I31" s="1"/>
      <c r="J31" s="1"/>
      <c r="K31" s="1" t="s">
        <v>29</v>
      </c>
      <c r="L31" s="1">
        <v>8</v>
      </c>
      <c r="M31" s="1" t="s">
        <v>215</v>
      </c>
      <c r="N31" s="1" t="s">
        <v>37</v>
      </c>
    </row>
    <row r="32" spans="1:14">
      <c r="A32" s="83"/>
      <c r="B32" s="83"/>
      <c r="C32" s="83"/>
      <c r="D32" s="1" t="s">
        <v>140</v>
      </c>
      <c r="E32" s="1">
        <v>0</v>
      </c>
      <c r="F32" s="1" t="s">
        <v>200</v>
      </c>
      <c r="G32" s="1"/>
      <c r="H32" s="1"/>
      <c r="I32" s="1"/>
      <c r="J32" s="1"/>
      <c r="K32" s="1" t="s">
        <v>30</v>
      </c>
      <c r="L32" s="1">
        <v>9</v>
      </c>
      <c r="M32" s="1" t="s">
        <v>215</v>
      </c>
      <c r="N32" s="1" t="s">
        <v>38</v>
      </c>
    </row>
    <row r="33" spans="2:14">
      <c r="B33" s="5"/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2:14">
      <c r="B34" s="5"/>
      <c r="C34" s="5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</sheetData>
  <mergeCells count="12">
    <mergeCell ref="A3:A12"/>
    <mergeCell ref="A13:A22"/>
    <mergeCell ref="A23:A32"/>
    <mergeCell ref="K1:N1"/>
    <mergeCell ref="B13:B22"/>
    <mergeCell ref="B1:C1"/>
    <mergeCell ref="B23:B32"/>
    <mergeCell ref="B3:B12"/>
    <mergeCell ref="C3:C12"/>
    <mergeCell ref="C13:C22"/>
    <mergeCell ref="C23:C32"/>
    <mergeCell ref="D1:J1"/>
  </mergeCells>
  <phoneticPr fontId="1" type="noConversion"/>
  <dataValidations count="2">
    <dataValidation type="list" allowBlank="1" showInputMessage="1" showErrorMessage="1" sqref="G3:G32 I3:I32 M3 M8:M13 M18:M23 M28:M32">
      <formula1>"Pattern,Voltage,Label,Action"</formula1>
    </dataValidation>
    <dataValidation type="list" allowBlank="1" showInputMessage="1" showErrorMessage="1" sqref="M4:M7 M14:M17 M24:M27">
      <formula1>"Pattern,Voltage,Label,Action,Level"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B050"/>
  </sheetPr>
  <dimension ref="A1:E15"/>
  <sheetViews>
    <sheetView tabSelected="1" workbookViewId="0">
      <selection activeCell="E7" sqref="E7"/>
    </sheetView>
  </sheetViews>
  <sheetFormatPr defaultRowHeight="15"/>
  <cols>
    <col min="1" max="1" width="20.5703125" style="49" bestFit="1" customWidth="1"/>
    <col min="2" max="2" width="10" style="49" bestFit="1" customWidth="1"/>
    <col min="3" max="3" width="14.85546875" style="49" bestFit="1" customWidth="1"/>
    <col min="4" max="4" width="8.28515625" style="46" bestFit="1" customWidth="1"/>
    <col min="5" max="5" width="16" style="49" bestFit="1" customWidth="1"/>
    <col min="6" max="16384" width="9.140625" style="46"/>
  </cols>
  <sheetData>
    <row r="1" spans="1:5" ht="15.75">
      <c r="A1" s="45" t="s">
        <v>129</v>
      </c>
      <c r="B1" s="45" t="s">
        <v>48</v>
      </c>
      <c r="C1" s="45" t="s">
        <v>49</v>
      </c>
      <c r="D1" s="45" t="s">
        <v>251</v>
      </c>
      <c r="E1" s="45" t="s">
        <v>52</v>
      </c>
    </row>
    <row r="2" spans="1:5">
      <c r="A2" s="52" t="s">
        <v>138</v>
      </c>
      <c r="B2" s="52" t="s">
        <v>124</v>
      </c>
      <c r="C2" s="47" t="s">
        <v>123</v>
      </c>
      <c r="D2" s="47" t="s">
        <v>273</v>
      </c>
      <c r="E2" s="47" t="s">
        <v>53</v>
      </c>
    </row>
    <row r="3" spans="1:5">
      <c r="A3" s="47" t="s">
        <v>139</v>
      </c>
      <c r="B3" s="47" t="s">
        <v>221</v>
      </c>
      <c r="C3" s="52" t="s">
        <v>130</v>
      </c>
      <c r="D3" s="52" t="s">
        <v>274</v>
      </c>
      <c r="E3" s="47" t="s">
        <v>54</v>
      </c>
    </row>
    <row r="4" spans="1:5">
      <c r="A4" s="47" t="s">
        <v>264</v>
      </c>
      <c r="B4" s="47" t="s">
        <v>277</v>
      </c>
      <c r="C4" s="47" t="s">
        <v>126</v>
      </c>
      <c r="D4" s="47" t="s">
        <v>275</v>
      </c>
      <c r="E4" s="47" t="s">
        <v>55</v>
      </c>
    </row>
    <row r="5" spans="1:5">
      <c r="A5" s="47" t="s">
        <v>125</v>
      </c>
      <c r="B5" s="47"/>
      <c r="C5" s="47" t="s">
        <v>132</v>
      </c>
      <c r="D5" s="47" t="s">
        <v>276</v>
      </c>
      <c r="E5" s="47" t="s">
        <v>56</v>
      </c>
    </row>
    <row r="6" spans="1:5">
      <c r="A6" s="47" t="s">
        <v>272</v>
      </c>
      <c r="B6" s="47"/>
      <c r="C6" s="47"/>
      <c r="D6" s="48"/>
      <c r="E6" s="57" t="s">
        <v>322</v>
      </c>
    </row>
    <row r="7" spans="1:5">
      <c r="A7" s="47" t="s">
        <v>127</v>
      </c>
      <c r="B7" s="47"/>
      <c r="C7" s="47"/>
      <c r="D7" s="48"/>
      <c r="E7" s="47" t="s">
        <v>57</v>
      </c>
    </row>
    <row r="8" spans="1:5">
      <c r="A8" s="51" t="s">
        <v>128</v>
      </c>
      <c r="B8" s="51"/>
      <c r="C8" s="51"/>
      <c r="D8" s="48"/>
      <c r="E8" s="51" t="s">
        <v>59</v>
      </c>
    </row>
    <row r="9" spans="1:5">
      <c r="A9" s="51"/>
      <c r="B9" s="51"/>
      <c r="C9" s="51"/>
      <c r="D9" s="48"/>
      <c r="E9" s="51" t="s">
        <v>61</v>
      </c>
    </row>
    <row r="10" spans="1:5">
      <c r="A10" s="51"/>
      <c r="B10" s="51"/>
      <c r="C10" s="51"/>
      <c r="D10" s="48"/>
      <c r="E10" s="55" t="s">
        <v>321</v>
      </c>
    </row>
    <row r="11" spans="1:5">
      <c r="A11" s="51"/>
      <c r="B11" s="51"/>
      <c r="C11" s="51"/>
      <c r="D11" s="48"/>
      <c r="E11" s="55" t="s">
        <v>320</v>
      </c>
    </row>
    <row r="12" spans="1:5">
      <c r="A12" s="51"/>
      <c r="B12" s="51"/>
      <c r="C12" s="51"/>
      <c r="D12" s="48"/>
      <c r="E12" s="51" t="s">
        <v>287</v>
      </c>
    </row>
    <row r="13" spans="1:5">
      <c r="A13" s="51"/>
      <c r="B13" s="51"/>
      <c r="C13" s="51"/>
      <c r="D13" s="48"/>
      <c r="E13" s="51" t="s">
        <v>289</v>
      </c>
    </row>
    <row r="14" spans="1:5">
      <c r="A14" s="51"/>
      <c r="B14" s="51"/>
      <c r="C14" s="51"/>
      <c r="D14" s="48"/>
      <c r="E14" s="51" t="s">
        <v>319</v>
      </c>
    </row>
    <row r="15" spans="1:5">
      <c r="A15" s="51"/>
      <c r="B15" s="51"/>
      <c r="C15" s="51"/>
      <c r="D15" s="48"/>
      <c r="E15" s="50" t="s">
        <v>305</v>
      </c>
    </row>
  </sheetData>
  <phoneticPr fontId="1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00B050"/>
  </sheetPr>
  <dimension ref="A1:H59"/>
  <sheetViews>
    <sheetView topLeftCell="A37" workbookViewId="0">
      <selection activeCell="A55" sqref="A55:XFD58"/>
    </sheetView>
  </sheetViews>
  <sheetFormatPr defaultRowHeight="15"/>
  <cols>
    <col min="1" max="1" width="29.28515625" bestFit="1" customWidth="1"/>
    <col min="2" max="2" width="15.7109375" customWidth="1"/>
    <col min="3" max="3" width="31.42578125" customWidth="1"/>
    <col min="4" max="4" width="22.7109375" bestFit="1" customWidth="1"/>
    <col min="5" max="5" width="21.7109375" bestFit="1" customWidth="1"/>
    <col min="6" max="6" width="13.28515625" bestFit="1" customWidth="1"/>
    <col min="7" max="7" width="10.140625" customWidth="1"/>
    <col min="8" max="8" width="17.7109375" customWidth="1"/>
    <col min="10" max="10" width="16.85546875" customWidth="1"/>
  </cols>
  <sheetData>
    <row r="1" spans="1:8" ht="16.5" thickTop="1" thickBot="1">
      <c r="A1" s="7" t="s">
        <v>79</v>
      </c>
      <c r="B1" s="18" t="s">
        <v>143</v>
      </c>
      <c r="C1" s="18" t="s">
        <v>144</v>
      </c>
      <c r="D1" s="7" t="s">
        <v>80</v>
      </c>
      <c r="E1" s="7" t="s">
        <v>81</v>
      </c>
      <c r="F1" s="18" t="s">
        <v>82</v>
      </c>
      <c r="G1" s="7" t="s">
        <v>83</v>
      </c>
      <c r="H1" s="7" t="s">
        <v>145</v>
      </c>
    </row>
    <row r="2" spans="1:8" ht="15.75" thickTop="1">
      <c r="A2" s="8" t="s">
        <v>84</v>
      </c>
      <c r="B2" s="8" t="s">
        <v>146</v>
      </c>
      <c r="C2" s="8" t="s">
        <v>191</v>
      </c>
      <c r="D2" s="19">
        <v>1</v>
      </c>
      <c r="E2" s="19">
        <v>1</v>
      </c>
      <c r="F2" s="20" t="s">
        <v>85</v>
      </c>
      <c r="G2" s="21">
        <f t="shared" ref="G2:G9" si="0">E2-D2+1</f>
        <v>1</v>
      </c>
      <c r="H2" s="22">
        <v>1</v>
      </c>
    </row>
    <row r="3" spans="1:8">
      <c r="A3" s="8" t="s">
        <v>86</v>
      </c>
      <c r="B3" s="8" t="s">
        <v>146</v>
      </c>
      <c r="C3" s="8" t="s">
        <v>179</v>
      </c>
      <c r="D3" s="8">
        <v>19</v>
      </c>
      <c r="E3" s="8">
        <v>19</v>
      </c>
      <c r="F3" s="9" t="s">
        <v>85</v>
      </c>
      <c r="G3" s="9">
        <f t="shared" si="0"/>
        <v>1</v>
      </c>
      <c r="H3" s="1">
        <v>1</v>
      </c>
    </row>
    <row r="4" spans="1:8">
      <c r="A4" s="8" t="s">
        <v>87</v>
      </c>
      <c r="B4" s="8" t="s">
        <v>146</v>
      </c>
      <c r="C4" s="8" t="s">
        <v>180</v>
      </c>
      <c r="D4" s="8">
        <v>109</v>
      </c>
      <c r="E4" s="8">
        <v>109</v>
      </c>
      <c r="F4" s="9" t="s">
        <v>85</v>
      </c>
      <c r="G4" s="9">
        <f t="shared" si="0"/>
        <v>1</v>
      </c>
      <c r="H4" s="1">
        <v>1</v>
      </c>
    </row>
    <row r="5" spans="1:8">
      <c r="A5" s="8" t="s">
        <v>88</v>
      </c>
      <c r="B5" s="8" t="s">
        <v>146</v>
      </c>
      <c r="C5" s="8" t="s">
        <v>181</v>
      </c>
      <c r="D5" s="8">
        <v>119</v>
      </c>
      <c r="E5" s="8">
        <v>119</v>
      </c>
      <c r="F5" s="9" t="s">
        <v>85</v>
      </c>
      <c r="G5" s="9">
        <f t="shared" si="0"/>
        <v>1</v>
      </c>
      <c r="H5" s="1">
        <v>1</v>
      </c>
    </row>
    <row r="6" spans="1:8">
      <c r="A6" s="8" t="s">
        <v>89</v>
      </c>
      <c r="B6" s="8" t="s">
        <v>146</v>
      </c>
      <c r="C6" s="8" t="s">
        <v>182</v>
      </c>
      <c r="D6" s="8">
        <v>1009</v>
      </c>
      <c r="E6" s="8">
        <v>1009</v>
      </c>
      <c r="F6" s="9" t="s">
        <v>85</v>
      </c>
      <c r="G6" s="9">
        <f t="shared" si="0"/>
        <v>1</v>
      </c>
      <c r="H6" s="1">
        <v>1</v>
      </c>
    </row>
    <row r="7" spans="1:8">
      <c r="A7" s="8" t="s">
        <v>90</v>
      </c>
      <c r="B7" s="8" t="s">
        <v>146</v>
      </c>
      <c r="C7" s="8" t="s">
        <v>183</v>
      </c>
      <c r="D7" s="8">
        <v>1019</v>
      </c>
      <c r="E7" s="8">
        <v>1019</v>
      </c>
      <c r="F7" s="9" t="s">
        <v>85</v>
      </c>
      <c r="G7" s="9">
        <f t="shared" si="0"/>
        <v>1</v>
      </c>
      <c r="H7" s="1">
        <v>1</v>
      </c>
    </row>
    <row r="8" spans="1:8">
      <c r="A8" s="8" t="s">
        <v>91</v>
      </c>
      <c r="B8" s="8" t="s">
        <v>146</v>
      </c>
      <c r="C8" s="8" t="s">
        <v>184</v>
      </c>
      <c r="D8" s="8">
        <v>1109</v>
      </c>
      <c r="E8" s="8">
        <v>1109</v>
      </c>
      <c r="F8" s="9" t="s">
        <v>85</v>
      </c>
      <c r="G8" s="9">
        <f t="shared" si="0"/>
        <v>1</v>
      </c>
      <c r="H8" s="1">
        <v>1</v>
      </c>
    </row>
    <row r="9" spans="1:8">
      <c r="A9" s="8" t="s">
        <v>92</v>
      </c>
      <c r="B9" s="8" t="s">
        <v>146</v>
      </c>
      <c r="C9" s="8" t="s">
        <v>185</v>
      </c>
      <c r="D9" s="8">
        <v>1119</v>
      </c>
      <c r="E9" s="8">
        <v>1119</v>
      </c>
      <c r="F9" s="9" t="s">
        <v>85</v>
      </c>
      <c r="G9" s="9">
        <f t="shared" si="0"/>
        <v>1</v>
      </c>
      <c r="H9" s="1">
        <v>1</v>
      </c>
    </row>
    <row r="10" spans="1:8">
      <c r="A10" s="9" t="s">
        <v>93</v>
      </c>
      <c r="B10" s="9" t="s">
        <v>147</v>
      </c>
      <c r="C10" s="9" t="s">
        <v>160</v>
      </c>
      <c r="D10" s="9">
        <v>3</v>
      </c>
      <c r="E10" s="9">
        <v>3</v>
      </c>
      <c r="F10" s="9" t="s">
        <v>94</v>
      </c>
      <c r="G10" s="9">
        <f>E10-D10+1</f>
        <v>1</v>
      </c>
      <c r="H10" s="1">
        <v>9</v>
      </c>
    </row>
    <row r="11" spans="1:8">
      <c r="A11" s="9" t="s">
        <v>95</v>
      </c>
      <c r="B11" s="9" t="s">
        <v>147</v>
      </c>
      <c r="C11" s="9" t="s">
        <v>161</v>
      </c>
      <c r="D11" s="9">
        <v>4</v>
      </c>
      <c r="E11" s="9">
        <v>4</v>
      </c>
      <c r="F11" s="9" t="s">
        <v>94</v>
      </c>
      <c r="G11" s="9">
        <f>E10-D10+1</f>
        <v>1</v>
      </c>
      <c r="H11" s="1">
        <v>6</v>
      </c>
    </row>
    <row r="12" spans="1:8">
      <c r="A12" s="9" t="s">
        <v>175</v>
      </c>
      <c r="B12" s="9" t="s">
        <v>147</v>
      </c>
      <c r="C12" s="9" t="s">
        <v>176</v>
      </c>
      <c r="D12" s="9">
        <v>5</v>
      </c>
      <c r="E12" s="9">
        <v>5</v>
      </c>
      <c r="F12" s="9" t="s">
        <v>177</v>
      </c>
      <c r="G12" s="9">
        <v>1</v>
      </c>
      <c r="H12" s="1">
        <v>9</v>
      </c>
    </row>
    <row r="13" spans="1:8">
      <c r="A13" s="9" t="s">
        <v>317</v>
      </c>
      <c r="B13" s="9" t="s">
        <v>147</v>
      </c>
      <c r="C13" s="9" t="s">
        <v>318</v>
      </c>
      <c r="D13" s="9">
        <v>6</v>
      </c>
      <c r="E13" s="9">
        <v>6</v>
      </c>
      <c r="F13" s="9" t="s">
        <v>177</v>
      </c>
      <c r="G13" s="9">
        <v>1</v>
      </c>
      <c r="H13" s="1">
        <v>9</v>
      </c>
    </row>
    <row r="14" spans="1:8">
      <c r="A14" s="9" t="s">
        <v>313</v>
      </c>
      <c r="B14" s="9" t="s">
        <v>147</v>
      </c>
      <c r="C14" s="9" t="s">
        <v>313</v>
      </c>
      <c r="D14" s="9">
        <v>10</v>
      </c>
      <c r="E14" s="9">
        <v>10</v>
      </c>
      <c r="F14" s="9" t="s">
        <v>315</v>
      </c>
      <c r="G14" s="9">
        <v>1</v>
      </c>
      <c r="H14" s="1">
        <v>10</v>
      </c>
    </row>
    <row r="15" spans="1:8">
      <c r="A15" s="9" t="s">
        <v>314</v>
      </c>
      <c r="B15" s="9" t="s">
        <v>147</v>
      </c>
      <c r="C15" s="9" t="s">
        <v>314</v>
      </c>
      <c r="D15" s="9">
        <v>11</v>
      </c>
      <c r="E15" s="9">
        <v>11</v>
      </c>
      <c r="F15" s="9" t="s">
        <v>315</v>
      </c>
      <c r="G15" s="9">
        <v>1</v>
      </c>
      <c r="H15" s="1">
        <v>11</v>
      </c>
    </row>
    <row r="16" spans="1:8">
      <c r="A16" s="10" t="s">
        <v>96</v>
      </c>
      <c r="B16" s="9"/>
      <c r="C16" s="10"/>
      <c r="D16" s="10">
        <v>7</v>
      </c>
      <c r="E16" s="10">
        <v>12</v>
      </c>
      <c r="F16" s="9" t="s">
        <v>97</v>
      </c>
      <c r="G16" s="9">
        <f>E16-D16+1</f>
        <v>6</v>
      </c>
      <c r="H16" s="1"/>
    </row>
    <row r="17" spans="1:8">
      <c r="A17" s="9" t="s">
        <v>98</v>
      </c>
      <c r="B17" s="9" t="s">
        <v>147</v>
      </c>
      <c r="C17" s="9" t="s">
        <v>162</v>
      </c>
      <c r="D17" s="9">
        <v>13</v>
      </c>
      <c r="E17" s="9">
        <v>13</v>
      </c>
      <c r="F17" s="9" t="s">
        <v>94</v>
      </c>
      <c r="G17" s="9">
        <f>E10-D10+1</f>
        <v>1</v>
      </c>
      <c r="H17" s="1">
        <v>9</v>
      </c>
    </row>
    <row r="18" spans="1:8">
      <c r="A18" s="9" t="s">
        <v>99</v>
      </c>
      <c r="B18" s="9" t="s">
        <v>147</v>
      </c>
      <c r="C18" s="9" t="s">
        <v>163</v>
      </c>
      <c r="D18" s="9">
        <v>14</v>
      </c>
      <c r="E18" s="9">
        <v>14</v>
      </c>
      <c r="F18" s="9" t="s">
        <v>94</v>
      </c>
      <c r="G18" s="9">
        <f>E11-D11+1</f>
        <v>1</v>
      </c>
      <c r="H18" s="1">
        <v>6</v>
      </c>
    </row>
    <row r="19" spans="1:8">
      <c r="A19" s="9" t="s">
        <v>307</v>
      </c>
      <c r="B19" s="9" t="s">
        <v>308</v>
      </c>
      <c r="C19" s="9" t="s">
        <v>309</v>
      </c>
      <c r="D19" s="9">
        <v>9997</v>
      </c>
      <c r="E19" s="9">
        <v>9997</v>
      </c>
      <c r="F19" s="9" t="s">
        <v>310</v>
      </c>
      <c r="G19" s="9">
        <v>1</v>
      </c>
      <c r="H19" s="1">
        <v>9</v>
      </c>
    </row>
    <row r="20" spans="1:8">
      <c r="A20" s="10" t="s">
        <v>96</v>
      </c>
      <c r="B20" s="9"/>
      <c r="C20" s="10"/>
      <c r="D20" s="10">
        <v>15</v>
      </c>
      <c r="E20" s="10">
        <v>18</v>
      </c>
      <c r="F20" s="9" t="s">
        <v>97</v>
      </c>
      <c r="G20" s="9">
        <f>E20-D20+1</f>
        <v>4</v>
      </c>
      <c r="H20" s="1"/>
    </row>
    <row r="21" spans="1:8">
      <c r="A21" s="10" t="s">
        <v>96</v>
      </c>
      <c r="B21" s="9"/>
      <c r="C21" s="10"/>
      <c r="D21" s="10">
        <v>20</v>
      </c>
      <c r="E21" s="10">
        <v>29</v>
      </c>
      <c r="F21" s="9" t="s">
        <v>97</v>
      </c>
      <c r="G21" s="9">
        <f>E21-D21+1</f>
        <v>10</v>
      </c>
      <c r="H21" s="1"/>
    </row>
    <row r="22" spans="1:8">
      <c r="A22" s="9" t="s">
        <v>100</v>
      </c>
      <c r="B22" s="9" t="s">
        <v>220</v>
      </c>
      <c r="C22" s="9" t="s">
        <v>248</v>
      </c>
      <c r="D22" s="23">
        <v>30</v>
      </c>
      <c r="E22" s="23">
        <v>34</v>
      </c>
      <c r="F22" s="9" t="s">
        <v>101</v>
      </c>
      <c r="G22" s="9">
        <v>10</v>
      </c>
      <c r="H22" s="1">
        <v>4</v>
      </c>
    </row>
    <row r="23" spans="1:8">
      <c r="A23" s="9" t="s">
        <v>134</v>
      </c>
      <c r="B23" s="9" t="s">
        <v>148</v>
      </c>
      <c r="C23" s="9" t="s">
        <v>249</v>
      </c>
      <c r="D23" s="23">
        <v>35</v>
      </c>
      <c r="E23" s="23">
        <v>39</v>
      </c>
      <c r="F23" s="9" t="s">
        <v>97</v>
      </c>
      <c r="G23" s="9">
        <f t="shared" ref="G23:G39" si="1">E23-D23+1</f>
        <v>5</v>
      </c>
      <c r="H23" s="1">
        <v>4</v>
      </c>
    </row>
    <row r="24" spans="1:8">
      <c r="A24" s="9" t="s">
        <v>102</v>
      </c>
      <c r="B24" s="9" t="s">
        <v>148</v>
      </c>
      <c r="C24" s="9" t="s">
        <v>150</v>
      </c>
      <c r="D24" s="23">
        <v>40</v>
      </c>
      <c r="E24" s="23">
        <v>42</v>
      </c>
      <c r="F24" s="9" t="s">
        <v>97</v>
      </c>
      <c r="G24" s="9">
        <f t="shared" si="1"/>
        <v>3</v>
      </c>
      <c r="H24" s="1">
        <v>4</v>
      </c>
    </row>
    <row r="25" spans="1:8">
      <c r="A25" s="9" t="s">
        <v>103</v>
      </c>
      <c r="B25" s="9" t="s">
        <v>148</v>
      </c>
      <c r="C25" s="9" t="s">
        <v>178</v>
      </c>
      <c r="D25" s="23">
        <v>43</v>
      </c>
      <c r="E25" s="23">
        <v>44</v>
      </c>
      <c r="F25" s="9" t="s">
        <v>97</v>
      </c>
      <c r="G25" s="9">
        <f t="shared" si="1"/>
        <v>2</v>
      </c>
      <c r="H25" s="1">
        <v>6</v>
      </c>
    </row>
    <row r="26" spans="1:8">
      <c r="A26" s="9" t="s">
        <v>104</v>
      </c>
      <c r="B26" s="9" t="s">
        <v>148</v>
      </c>
      <c r="C26" s="11" t="s">
        <v>151</v>
      </c>
      <c r="D26" s="23">
        <v>45</v>
      </c>
      <c r="E26" s="23">
        <v>50</v>
      </c>
      <c r="F26" s="9" t="s">
        <v>97</v>
      </c>
      <c r="G26" s="9">
        <f t="shared" si="1"/>
        <v>6</v>
      </c>
      <c r="H26" s="1">
        <v>9</v>
      </c>
    </row>
    <row r="27" spans="1:8">
      <c r="A27" s="11" t="s">
        <v>105</v>
      </c>
      <c r="B27" s="11" t="s">
        <v>168</v>
      </c>
      <c r="C27" s="11" t="s">
        <v>167</v>
      </c>
      <c r="D27" s="11">
        <v>51</v>
      </c>
      <c r="E27" s="11">
        <v>55</v>
      </c>
      <c r="F27" s="9" t="s">
        <v>97</v>
      </c>
      <c r="G27" s="9">
        <f>E27-D27+1</f>
        <v>5</v>
      </c>
      <c r="H27" s="1">
        <v>5</v>
      </c>
    </row>
    <row r="28" spans="1:8">
      <c r="A28" s="11" t="s">
        <v>164</v>
      </c>
      <c r="B28" s="11" t="s">
        <v>149</v>
      </c>
      <c r="C28" s="11" t="s">
        <v>169</v>
      </c>
      <c r="D28" s="11">
        <v>56</v>
      </c>
      <c r="E28" s="11">
        <v>60</v>
      </c>
      <c r="F28" s="9" t="s">
        <v>97</v>
      </c>
      <c r="G28" s="9">
        <f t="shared" si="1"/>
        <v>5</v>
      </c>
      <c r="H28" s="1">
        <v>5</v>
      </c>
    </row>
    <row r="29" spans="1:8">
      <c r="A29" s="11" t="s">
        <v>219</v>
      </c>
      <c r="B29" s="11" t="s">
        <v>149</v>
      </c>
      <c r="C29" s="11" t="s">
        <v>311</v>
      </c>
      <c r="D29" s="11">
        <v>61</v>
      </c>
      <c r="E29" s="11">
        <v>65</v>
      </c>
      <c r="F29" s="9" t="s">
        <v>97</v>
      </c>
      <c r="G29" s="9">
        <f>E29-D29+1</f>
        <v>5</v>
      </c>
      <c r="H29" s="1">
        <v>10</v>
      </c>
    </row>
    <row r="30" spans="1:8">
      <c r="A30" s="11" t="s">
        <v>165</v>
      </c>
      <c r="B30" s="11" t="s">
        <v>149</v>
      </c>
      <c r="C30" s="11" t="s">
        <v>312</v>
      </c>
      <c r="D30" s="11">
        <v>66</v>
      </c>
      <c r="E30" s="11">
        <v>70</v>
      </c>
      <c r="F30" s="9" t="s">
        <v>97</v>
      </c>
      <c r="G30" s="9">
        <f t="shared" si="1"/>
        <v>5</v>
      </c>
      <c r="H30" s="1">
        <v>5</v>
      </c>
    </row>
    <row r="31" spans="1:8">
      <c r="A31" s="11" t="s">
        <v>166</v>
      </c>
      <c r="B31" s="11" t="s">
        <v>171</v>
      </c>
      <c r="C31" s="11" t="s">
        <v>170</v>
      </c>
      <c r="D31" s="11">
        <v>71</v>
      </c>
      <c r="E31" s="11">
        <v>75</v>
      </c>
      <c r="F31" s="9" t="s">
        <v>97</v>
      </c>
      <c r="G31" s="9">
        <f t="shared" si="1"/>
        <v>5</v>
      </c>
      <c r="H31" s="1">
        <v>5</v>
      </c>
    </row>
    <row r="32" spans="1:8">
      <c r="A32" s="10" t="s">
        <v>316</v>
      </c>
      <c r="B32" s="10" t="s">
        <v>171</v>
      </c>
      <c r="C32" s="10" t="s">
        <v>172</v>
      </c>
      <c r="D32" s="10">
        <v>76</v>
      </c>
      <c r="E32" s="10">
        <v>149</v>
      </c>
      <c r="F32" s="9" t="s">
        <v>97</v>
      </c>
      <c r="G32" s="9">
        <f>E32-D32+1</f>
        <v>74</v>
      </c>
      <c r="H32" s="1">
        <v>5</v>
      </c>
    </row>
    <row r="33" spans="1:8">
      <c r="A33" s="9" t="s">
        <v>186</v>
      </c>
      <c r="B33" s="9" t="s">
        <v>146</v>
      </c>
      <c r="C33" s="9" t="s">
        <v>187</v>
      </c>
      <c r="D33" s="9">
        <v>150</v>
      </c>
      <c r="E33" s="9">
        <v>159</v>
      </c>
      <c r="F33" s="9" t="s">
        <v>97</v>
      </c>
      <c r="G33" s="9">
        <f t="shared" si="1"/>
        <v>10</v>
      </c>
      <c r="H33" s="1">
        <v>3</v>
      </c>
    </row>
    <row r="34" spans="1:8">
      <c r="A34" s="9" t="s">
        <v>106</v>
      </c>
      <c r="B34" s="9" t="s">
        <v>146</v>
      </c>
      <c r="C34" s="9" t="s">
        <v>188</v>
      </c>
      <c r="D34" s="9">
        <v>160</v>
      </c>
      <c r="E34" s="9">
        <v>169</v>
      </c>
      <c r="F34" s="9" t="s">
        <v>97</v>
      </c>
      <c r="G34" s="9">
        <f t="shared" si="1"/>
        <v>10</v>
      </c>
      <c r="H34" s="1">
        <v>3</v>
      </c>
    </row>
    <row r="35" spans="1:8" ht="16.5">
      <c r="A35" s="12" t="s">
        <v>107</v>
      </c>
      <c r="B35" s="9" t="s">
        <v>146</v>
      </c>
      <c r="C35" s="9" t="s">
        <v>189</v>
      </c>
      <c r="D35" s="12">
        <v>170</v>
      </c>
      <c r="E35" s="12">
        <v>179</v>
      </c>
      <c r="F35" s="9" t="s">
        <v>85</v>
      </c>
      <c r="G35" s="9">
        <f t="shared" si="1"/>
        <v>10</v>
      </c>
      <c r="H35" s="1">
        <v>3</v>
      </c>
    </row>
    <row r="36" spans="1:8">
      <c r="A36" s="8" t="s">
        <v>108</v>
      </c>
      <c r="B36" s="9" t="s">
        <v>146</v>
      </c>
      <c r="C36" s="9" t="s">
        <v>190</v>
      </c>
      <c r="D36" s="8">
        <v>180</v>
      </c>
      <c r="E36" s="8">
        <v>189</v>
      </c>
      <c r="F36" s="9" t="s">
        <v>85</v>
      </c>
      <c r="G36" s="9">
        <f t="shared" si="1"/>
        <v>10</v>
      </c>
      <c r="H36" s="1">
        <v>1</v>
      </c>
    </row>
    <row r="37" spans="1:8">
      <c r="A37" s="10" t="s">
        <v>109</v>
      </c>
      <c r="B37" s="9"/>
      <c r="C37" s="10"/>
      <c r="D37" s="10">
        <v>190</v>
      </c>
      <c r="E37" s="10">
        <v>197</v>
      </c>
      <c r="F37" s="9" t="s">
        <v>97</v>
      </c>
      <c r="G37" s="9">
        <f t="shared" si="1"/>
        <v>8</v>
      </c>
      <c r="H37" s="1">
        <v>1</v>
      </c>
    </row>
    <row r="38" spans="1:8">
      <c r="A38" s="9" t="s">
        <v>110</v>
      </c>
      <c r="B38" s="9" t="s">
        <v>148</v>
      </c>
      <c r="C38" s="9" t="s">
        <v>152</v>
      </c>
      <c r="D38" s="23">
        <v>198</v>
      </c>
      <c r="E38" s="23">
        <v>198</v>
      </c>
      <c r="F38" s="9" t="s">
        <v>97</v>
      </c>
      <c r="G38" s="9">
        <f t="shared" si="1"/>
        <v>1</v>
      </c>
      <c r="H38" s="1">
        <v>3</v>
      </c>
    </row>
    <row r="39" spans="1:8">
      <c r="A39" s="9" t="s">
        <v>111</v>
      </c>
      <c r="B39" s="9" t="s">
        <v>148</v>
      </c>
      <c r="C39" s="9" t="s">
        <v>153</v>
      </c>
      <c r="D39" s="23">
        <v>199</v>
      </c>
      <c r="E39" s="23">
        <v>199</v>
      </c>
      <c r="F39" s="9" t="s">
        <v>97</v>
      </c>
      <c r="G39" s="9">
        <f t="shared" si="1"/>
        <v>1</v>
      </c>
      <c r="H39" s="1">
        <v>3</v>
      </c>
    </row>
    <row r="40" spans="1:8">
      <c r="A40" s="11" t="s">
        <v>222</v>
      </c>
      <c r="B40" s="11" t="s">
        <v>223</v>
      </c>
      <c r="C40" s="11" t="s">
        <v>239</v>
      </c>
      <c r="D40" s="11">
        <v>200</v>
      </c>
      <c r="E40" s="11">
        <v>299</v>
      </c>
      <c r="F40" s="9" t="s">
        <v>224</v>
      </c>
      <c r="G40" s="9">
        <f>E40-D40+1</f>
        <v>100</v>
      </c>
      <c r="H40" s="1">
        <v>10</v>
      </c>
    </row>
    <row r="41" spans="1:8">
      <c r="A41" s="11" t="s">
        <v>225</v>
      </c>
      <c r="B41" s="11" t="s">
        <v>148</v>
      </c>
      <c r="C41" s="11" t="s">
        <v>240</v>
      </c>
      <c r="D41" s="23">
        <v>300</v>
      </c>
      <c r="E41" s="23">
        <v>399</v>
      </c>
      <c r="F41" s="9" t="s">
        <v>224</v>
      </c>
      <c r="G41" s="9">
        <f t="shared" ref="G41:G49" si="2">E41-D41+1</f>
        <v>100</v>
      </c>
      <c r="H41" s="1">
        <v>10</v>
      </c>
    </row>
    <row r="42" spans="1:8">
      <c r="A42" s="11" t="s">
        <v>226</v>
      </c>
      <c r="B42" s="11" t="s">
        <v>148</v>
      </c>
      <c r="C42" s="11" t="s">
        <v>241</v>
      </c>
      <c r="D42" s="23">
        <v>400</v>
      </c>
      <c r="E42" s="23">
        <v>449</v>
      </c>
      <c r="F42" s="9" t="s">
        <v>224</v>
      </c>
      <c r="G42" s="9">
        <f>E42-D42+1</f>
        <v>50</v>
      </c>
      <c r="H42" s="1">
        <v>10</v>
      </c>
    </row>
    <row r="43" spans="1:8">
      <c r="A43" s="11" t="s">
        <v>227</v>
      </c>
      <c r="B43" s="11" t="s">
        <v>148</v>
      </c>
      <c r="C43" s="11" t="s">
        <v>242</v>
      </c>
      <c r="D43" s="23">
        <v>450</v>
      </c>
      <c r="E43" s="23">
        <v>469</v>
      </c>
      <c r="F43" s="9" t="s">
        <v>97</v>
      </c>
      <c r="G43" s="9">
        <f>E43-D43+1</f>
        <v>20</v>
      </c>
      <c r="H43" s="1">
        <v>10</v>
      </c>
    </row>
    <row r="44" spans="1:8">
      <c r="A44" s="11" t="s">
        <v>238</v>
      </c>
      <c r="B44" s="11" t="s">
        <v>148</v>
      </c>
      <c r="C44" s="11" t="s">
        <v>237</v>
      </c>
      <c r="D44" s="23">
        <v>470</v>
      </c>
      <c r="E44" s="23">
        <v>499</v>
      </c>
      <c r="F44" s="9" t="s">
        <v>224</v>
      </c>
      <c r="G44" s="9">
        <f>E44-D44+1</f>
        <v>30</v>
      </c>
      <c r="H44" s="1">
        <v>10</v>
      </c>
    </row>
    <row r="45" spans="1:8">
      <c r="A45" s="11" t="s">
        <v>229</v>
      </c>
      <c r="B45" s="11" t="s">
        <v>148</v>
      </c>
      <c r="C45" s="11" t="s">
        <v>243</v>
      </c>
      <c r="D45" s="23">
        <v>500</v>
      </c>
      <c r="E45" s="23">
        <v>529</v>
      </c>
      <c r="F45" s="9" t="s">
        <v>224</v>
      </c>
      <c r="G45" s="9">
        <f>E45-D45+1</f>
        <v>30</v>
      </c>
      <c r="H45" s="1">
        <v>10</v>
      </c>
    </row>
    <row r="46" spans="1:8">
      <c r="A46" s="11" t="s">
        <v>228</v>
      </c>
      <c r="B46" s="11" t="s">
        <v>148</v>
      </c>
      <c r="C46" s="11" t="s">
        <v>235</v>
      </c>
      <c r="D46" s="23">
        <v>530</v>
      </c>
      <c r="E46" s="23">
        <v>599</v>
      </c>
      <c r="F46" s="9" t="s">
        <v>224</v>
      </c>
      <c r="G46" s="9">
        <f t="shared" ref="G46:G47" si="3">E46-D46+1</f>
        <v>70</v>
      </c>
      <c r="H46" s="1">
        <v>10</v>
      </c>
    </row>
    <row r="47" spans="1:8">
      <c r="A47" s="11" t="s">
        <v>230</v>
      </c>
      <c r="B47" s="11" t="s">
        <v>148</v>
      </c>
      <c r="C47" s="11" t="s">
        <v>244</v>
      </c>
      <c r="D47" s="23">
        <v>600</v>
      </c>
      <c r="E47" s="23">
        <v>659</v>
      </c>
      <c r="F47" s="9" t="s">
        <v>224</v>
      </c>
      <c r="G47" s="9">
        <f t="shared" si="3"/>
        <v>60</v>
      </c>
      <c r="H47" s="1">
        <v>10</v>
      </c>
    </row>
    <row r="48" spans="1:8">
      <c r="A48" s="11" t="s">
        <v>233</v>
      </c>
      <c r="B48" s="11" t="s">
        <v>148</v>
      </c>
      <c r="C48" s="11" t="s">
        <v>236</v>
      </c>
      <c r="D48" s="23">
        <v>660</v>
      </c>
      <c r="E48" s="23">
        <v>699</v>
      </c>
      <c r="F48" s="9" t="s">
        <v>224</v>
      </c>
      <c r="G48" s="9">
        <f>E48-D48+1</f>
        <v>40</v>
      </c>
      <c r="H48" s="1">
        <v>10</v>
      </c>
    </row>
    <row r="49" spans="1:8" ht="16.5">
      <c r="A49" s="13" t="s">
        <v>231</v>
      </c>
      <c r="B49" s="13" t="s">
        <v>148</v>
      </c>
      <c r="C49" s="13" t="s">
        <v>247</v>
      </c>
      <c r="D49" s="23">
        <v>700</v>
      </c>
      <c r="E49" s="24">
        <v>799</v>
      </c>
      <c r="F49" s="9" t="s">
        <v>224</v>
      </c>
      <c r="G49" s="9">
        <f t="shared" si="2"/>
        <v>100</v>
      </c>
      <c r="H49" s="1">
        <v>10</v>
      </c>
    </row>
    <row r="50" spans="1:8">
      <c r="A50" s="11" t="s">
        <v>232</v>
      </c>
      <c r="B50" s="11" t="s">
        <v>148</v>
      </c>
      <c r="C50" s="11" t="s">
        <v>245</v>
      </c>
      <c r="D50" s="23">
        <v>800</v>
      </c>
      <c r="E50" s="23">
        <v>969</v>
      </c>
      <c r="F50" s="9" t="s">
        <v>224</v>
      </c>
      <c r="G50" s="9">
        <f>E50-D50+1</f>
        <v>170</v>
      </c>
      <c r="H50" s="1">
        <v>10</v>
      </c>
    </row>
    <row r="51" spans="1:8">
      <c r="A51" s="11" t="s">
        <v>234</v>
      </c>
      <c r="B51" s="11" t="s">
        <v>148</v>
      </c>
      <c r="C51" s="11" t="s">
        <v>246</v>
      </c>
      <c r="D51" s="23">
        <v>970</v>
      </c>
      <c r="E51" s="23">
        <v>989</v>
      </c>
      <c r="F51" s="9" t="s">
        <v>224</v>
      </c>
      <c r="G51" s="9">
        <f>E51-D51+1</f>
        <v>20</v>
      </c>
      <c r="H51" s="1">
        <v>10</v>
      </c>
    </row>
    <row r="52" spans="1:8">
      <c r="A52" s="14" t="s">
        <v>112</v>
      </c>
      <c r="B52" s="14" t="s">
        <v>205</v>
      </c>
      <c r="C52" s="14" t="s">
        <v>206</v>
      </c>
      <c r="D52" s="14">
        <v>990</v>
      </c>
      <c r="E52" s="14">
        <v>999</v>
      </c>
      <c r="F52" s="9" t="s">
        <v>97</v>
      </c>
      <c r="G52" s="9">
        <f>E52-D52+1</f>
        <v>10</v>
      </c>
      <c r="H52" s="1">
        <v>5</v>
      </c>
    </row>
    <row r="53" spans="1:8">
      <c r="A53" s="16" t="s">
        <v>154</v>
      </c>
      <c r="B53" s="17" t="s">
        <v>250</v>
      </c>
      <c r="C53" s="17" t="s">
        <v>173</v>
      </c>
      <c r="D53" s="89" t="s">
        <v>155</v>
      </c>
      <c r="E53" s="90"/>
      <c r="F53" s="16"/>
      <c r="G53" s="1"/>
      <c r="H53" s="16">
        <v>3</v>
      </c>
    </row>
    <row r="54" spans="1:8">
      <c r="A54" s="16" t="s">
        <v>156</v>
      </c>
      <c r="B54" s="17" t="s">
        <v>158</v>
      </c>
      <c r="C54" s="17" t="s">
        <v>174</v>
      </c>
      <c r="D54" s="91"/>
      <c r="E54" s="92"/>
      <c r="F54" s="16"/>
      <c r="G54" s="1"/>
      <c r="H54" s="16">
        <v>5</v>
      </c>
    </row>
    <row r="55" spans="1:8">
      <c r="A55" s="16" t="s">
        <v>297</v>
      </c>
      <c r="B55" s="17" t="s">
        <v>264</v>
      </c>
      <c r="C55" s="17" t="s">
        <v>159</v>
      </c>
      <c r="D55" s="91"/>
      <c r="E55" s="92"/>
      <c r="F55" s="16"/>
      <c r="G55" s="1"/>
      <c r="H55" s="16">
        <v>38</v>
      </c>
    </row>
    <row r="56" spans="1:8">
      <c r="A56" s="16" t="s">
        <v>157</v>
      </c>
      <c r="B56" s="17" t="s">
        <v>264</v>
      </c>
      <c r="C56" s="17" t="s">
        <v>204</v>
      </c>
      <c r="D56" s="91"/>
      <c r="E56" s="92"/>
      <c r="F56" s="16"/>
      <c r="G56" s="1"/>
      <c r="H56" s="16">
        <v>38</v>
      </c>
    </row>
    <row r="57" spans="1:8">
      <c r="A57" s="16" t="s">
        <v>298</v>
      </c>
      <c r="B57" s="17" t="s">
        <v>264</v>
      </c>
      <c r="C57" s="17" t="s">
        <v>301</v>
      </c>
      <c r="D57" s="91"/>
      <c r="E57" s="92"/>
      <c r="F57" s="16"/>
      <c r="G57" s="1"/>
      <c r="H57" s="16">
        <v>38</v>
      </c>
    </row>
    <row r="58" spans="1:8">
      <c r="A58" s="16" t="s">
        <v>299</v>
      </c>
      <c r="B58" s="17" t="s">
        <v>264</v>
      </c>
      <c r="C58" s="17" t="s">
        <v>300</v>
      </c>
      <c r="D58" s="93"/>
      <c r="E58" s="94"/>
      <c r="F58" s="16"/>
      <c r="G58" s="1"/>
      <c r="H58" s="16">
        <v>38</v>
      </c>
    </row>
    <row r="59" spans="1:8">
      <c r="A59" s="16" t="s">
        <v>157</v>
      </c>
      <c r="B59" s="17" t="s">
        <v>264</v>
      </c>
      <c r="C59" s="17" t="s">
        <v>302</v>
      </c>
      <c r="D59" s="1">
        <v>9800</v>
      </c>
      <c r="E59" s="1">
        <v>9800</v>
      </c>
      <c r="F59" s="16"/>
      <c r="G59" s="1"/>
      <c r="H59" s="16">
        <v>38</v>
      </c>
    </row>
  </sheetData>
  <autoFilter ref="A1:H59"/>
  <mergeCells count="1">
    <mergeCell ref="D53:E58"/>
  </mergeCells>
  <phoneticPr fontId="3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0" tint="-0.499984740745262"/>
  </sheetPr>
  <dimension ref="A1:B11"/>
  <sheetViews>
    <sheetView workbookViewId="0">
      <selection activeCell="C22" sqref="C22"/>
    </sheetView>
  </sheetViews>
  <sheetFormatPr defaultRowHeight="15"/>
  <cols>
    <col min="1" max="1" width="15.7109375" bestFit="1" customWidth="1"/>
    <col min="2" max="2" width="27.7109375" bestFit="1" customWidth="1"/>
    <col min="3" max="3" width="21.42578125" bestFit="1" customWidth="1"/>
    <col min="4" max="4" width="27.28515625" bestFit="1" customWidth="1"/>
    <col min="5" max="5" width="18.85546875" bestFit="1" customWidth="1"/>
    <col min="8" max="8" width="14.140625" bestFit="1" customWidth="1"/>
  </cols>
  <sheetData>
    <row r="1" spans="1:2">
      <c r="A1" s="2" t="s">
        <v>118</v>
      </c>
      <c r="B1" s="2" t="s">
        <v>78</v>
      </c>
    </row>
    <row r="2" spans="1:2">
      <c r="A2" s="1">
        <v>1</v>
      </c>
      <c r="B2" s="1" t="s">
        <v>119</v>
      </c>
    </row>
    <row r="3" spans="1:2">
      <c r="A3" s="1">
        <v>2</v>
      </c>
      <c r="B3" s="1" t="s">
        <v>120</v>
      </c>
    </row>
    <row r="4" spans="1:2">
      <c r="A4" s="1">
        <v>3</v>
      </c>
      <c r="B4" s="1" t="s">
        <v>121</v>
      </c>
    </row>
    <row r="5" spans="1:2">
      <c r="A5" s="1">
        <v>4</v>
      </c>
      <c r="B5" s="1" t="s">
        <v>114</v>
      </c>
    </row>
    <row r="6" spans="1:2">
      <c r="A6" s="1">
        <v>38</v>
      </c>
      <c r="B6" s="1" t="s">
        <v>115</v>
      </c>
    </row>
    <row r="7" spans="1:2">
      <c r="A7" s="1">
        <v>6</v>
      </c>
      <c r="B7" s="1" t="s">
        <v>116</v>
      </c>
    </row>
    <row r="8" spans="1:2">
      <c r="A8" s="1">
        <v>7</v>
      </c>
      <c r="B8" s="1" t="s">
        <v>122</v>
      </c>
    </row>
    <row r="9" spans="1:2">
      <c r="A9" s="1">
        <v>8</v>
      </c>
      <c r="B9" s="1" t="s">
        <v>113</v>
      </c>
    </row>
    <row r="10" spans="1:2">
      <c r="A10" s="1">
        <v>9</v>
      </c>
      <c r="B10" s="1" t="s">
        <v>306</v>
      </c>
    </row>
    <row r="11" spans="1:2">
      <c r="A11" s="1">
        <v>10</v>
      </c>
      <c r="B11" s="1" t="s">
        <v>117</v>
      </c>
    </row>
  </sheetData>
  <phoneticPr fontId="1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Bin_Number_Def</vt:lpstr>
      <vt:lpstr>Low_speed_Mbist</vt:lpstr>
      <vt:lpstr>ModuleList</vt:lpstr>
      <vt:lpstr>DC_HardIp_Bin_Def</vt:lpstr>
      <vt:lpstr>HardBin</vt:lpstr>
    </vt:vector>
  </TitlesOfParts>
  <Company>TSMC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吳靜澄</dc:creator>
  <cp:lastModifiedBy>Qi-Jun Cheng 程祺鈞</cp:lastModifiedBy>
  <dcterms:created xsi:type="dcterms:W3CDTF">2016-05-03T02:21:57Z</dcterms:created>
  <dcterms:modified xsi:type="dcterms:W3CDTF">2025-07-25T05:26:21Z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859fa-fb81-458d-9040-c3b7cffe6362_Enabled">
    <vt:lpwstr>true</vt:lpwstr>
  </property>
  <property fmtid="{D5CDD505-2E9C-101B-9397-08002B2CF9AE}" pid="3" name="MSIP_Label_9a7859fa-fb81-458d-9040-c3b7cffe6362_SetDate">
    <vt:lpwstr>2024-05-29T02:10:34Z</vt:lpwstr>
  </property>
  <property fmtid="{D5CDD505-2E9C-101B-9397-08002B2CF9AE}" pid="4" name="MSIP_Label_9a7859fa-fb81-458d-9040-c3b7cffe6362_Method">
    <vt:lpwstr>Privileged</vt:lpwstr>
  </property>
  <property fmtid="{D5CDD505-2E9C-101B-9397-08002B2CF9AE}" pid="5" name="MSIP_Label_9a7859fa-fb81-458d-9040-c3b7cffe6362_Name">
    <vt:lpwstr>External</vt:lpwstr>
  </property>
  <property fmtid="{D5CDD505-2E9C-101B-9397-08002B2CF9AE}" pid="6" name="MSIP_Label_9a7859fa-fb81-458d-9040-c3b7cffe6362_SiteId">
    <vt:lpwstr>9255f64b-1818-42e5-ad78-f619a9a7b1e7</vt:lpwstr>
  </property>
  <property fmtid="{D5CDD505-2E9C-101B-9397-08002B2CF9AE}" pid="7" name="MSIP_Label_9a7859fa-fb81-458d-9040-c3b7cffe6362_ActionId">
    <vt:lpwstr>58d42f99-fe2f-48da-8d3f-f38842464a83</vt:lpwstr>
  </property>
  <property fmtid="{D5CDD505-2E9C-101B-9397-08002B2CF9AE}" pid="8" name="MSIP_Label_9a7859fa-fb81-458d-9040-c3b7cffe6362_ContentBits">
    <vt:lpwstr>3</vt:lpwstr>
  </property>
</Properties>
</file>