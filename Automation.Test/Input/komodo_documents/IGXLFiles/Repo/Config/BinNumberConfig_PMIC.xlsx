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m\adc_Automation\ProjectAutomation\02.Development\02.Coding\Source\Automation\Automation\Config\"/>
    </mc:Choice>
  </mc:AlternateContent>
  <bookViews>
    <workbookView xWindow="0" yWindow="0" windowWidth="28800" windowHeight="12330" activeTab="2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DC_HardIp_Bin_Def!$B$1:$B$7</definedName>
  </definedNames>
  <calcPr calcId="162913"/>
</workbook>
</file>

<file path=xl/calcChain.xml><?xml version="1.0" encoding="utf-8"?>
<calcChain xmlns="http://schemas.openxmlformats.org/spreadsheetml/2006/main">
  <c r="G9" i="4" l="1"/>
  <c r="G8" i="4"/>
  <c r="G7" i="4" l="1"/>
  <c r="G11" i="4" l="1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G3" i="4"/>
  <c r="G4" i="4"/>
  <c r="G5" i="4"/>
  <c r="G6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10" i="4"/>
</calcChain>
</file>

<file path=xl/comments1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</rPr>
          <t>MC602
=&gt; max[6, 0] =&gt;6</t>
        </r>
      </text>
    </comment>
    <comment ref="F27" authorId="0" shapeId="0">
      <text>
        <r>
          <rPr>
            <b/>
            <sz val="9"/>
            <color indexed="81"/>
            <rFont val="Tahoma"/>
            <family val="2"/>
          </rPr>
          <t>MC602
=&gt; 2</t>
        </r>
      </text>
    </comment>
    <comment ref="H37" authorId="0" shapeId="0">
      <text>
        <r>
          <rPr>
            <b/>
            <sz val="9"/>
            <color indexed="81"/>
            <rFont val="Tahoma"/>
            <family val="2"/>
          </rPr>
          <t>Mbist HVCC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</rPr>
          <t>TD HVCC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SPI HVCC</t>
        </r>
      </text>
    </comment>
  </commentList>
</comments>
</file>

<file path=xl/comments2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<sst xmlns="http://schemas.openxmlformats.org/spreadsheetml/2006/main" count="553" uniqueCount="258">
  <si>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</si>
  <si>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</si>
  <si>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</si>
  <si>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</si>
  <si>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</si>
  <si>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</si>
  <si>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</si>
  <si>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</si>
  <si>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</si>
  <si>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</si>
  <si>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</si>
  <si>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</si>
  <si>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SOC</t>
    <phoneticPr fontId="3" type="noConversion"/>
  </si>
  <si>
    <t>Other Performance mode</t>
    <phoneticPr fontId="3" type="noConversion"/>
  </si>
  <si>
    <t>0~9</t>
    <phoneticPr fontId="3" type="noConversion"/>
  </si>
  <si>
    <t>Performance mode</t>
    <phoneticPr fontId="3" type="noConversion"/>
  </si>
  <si>
    <t>CPU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</si>
  <si>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</si>
  <si>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</si>
  <si>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</si>
  <si>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SOC</t>
    <phoneticPr fontId="3" type="noConversion"/>
  </si>
  <si>
    <t>Other Performance mode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</si>
  <si>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</si>
  <si>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</si>
  <si>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</si>
  <si>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Mbist LVCC</t>
    <phoneticPr fontId="3" type="noConversion"/>
  </si>
  <si>
    <t>CPU</t>
    <phoneticPr fontId="3" type="noConversion"/>
  </si>
  <si>
    <t>TD Binning</t>
    <phoneticPr fontId="3" type="noConversion"/>
  </si>
  <si>
    <t>TD LVCC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</si>
  <si>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</si>
  <si>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</si>
  <si>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</si>
  <si>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</si>
  <si>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</si>
  <si>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</si>
  <si>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</si>
  <si>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</si>
  <si>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</si>
  <si>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</si>
  <si>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</si>
  <si>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</si>
  <si>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</si>
  <si>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</si>
  <si>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</si>
  <si>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</si>
  <si>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</si>
  <si>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</si>
  <si>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</si>
  <si>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HLV</t>
    <phoneticPr fontId="3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</si>
  <si>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</si>
  <si>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</si>
  <si>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</si>
  <si>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</si>
  <si>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</si>
  <si>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Mbist</t>
    <phoneticPr fontId="3" type="noConversion"/>
  </si>
  <si>
    <t>TD</t>
    <phoneticPr fontId="3" type="noConversion"/>
  </si>
  <si>
    <t>Scan</t>
    <phoneticPr fontId="3" type="noConversion"/>
  </si>
  <si>
    <t>Performance mode</t>
    <phoneticPr fontId="3" type="noConversion"/>
  </si>
  <si>
    <t>SOC</t>
    <phoneticPr fontId="3" type="noConversion"/>
  </si>
  <si>
    <t>CPU</t>
    <phoneticPr fontId="3" type="noConversion"/>
  </si>
  <si>
    <t xml:space="preserve">CPU </t>
    <phoneticPr fontId="3" type="noConversion"/>
  </si>
  <si>
    <t>BIRA</t>
    <phoneticPr fontId="3" type="noConversion"/>
  </si>
  <si>
    <t>SOC</t>
    <phoneticPr fontId="3" type="noConversion"/>
  </si>
  <si>
    <t>CPU</t>
    <phoneticPr fontId="3" type="noConversion"/>
  </si>
  <si>
    <t>Scan</t>
    <phoneticPr fontId="3" type="noConversion"/>
  </si>
  <si>
    <t>Bist</t>
    <phoneticPr fontId="3" type="noConversion"/>
  </si>
  <si>
    <t>GFX</t>
  </si>
  <si>
    <t>GFX</t>
    <phoneticPr fontId="1" type="noConversion"/>
  </si>
  <si>
    <t>Module</t>
    <phoneticPr fontId="1" type="noConversion"/>
  </si>
  <si>
    <t>SubModule</t>
    <phoneticPr fontId="1" type="noConversion"/>
  </si>
  <si>
    <t>Block</t>
    <phoneticPr fontId="1" type="noConversion"/>
  </si>
  <si>
    <t>BinX</t>
    <phoneticPr fontId="3" type="noConversion"/>
  </si>
  <si>
    <t>CPU</t>
    <phoneticPr fontId="1" type="noConversion"/>
  </si>
  <si>
    <t>GFX</t>
    <phoneticPr fontId="1" type="noConversion"/>
  </si>
  <si>
    <t>SOC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</si>
  <si>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</si>
  <si>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</si>
  <si>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</si>
  <si>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</si>
  <si>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</si>
  <si>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Binning</t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</si>
  <si>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</si>
  <si>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</si>
  <si>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</si>
  <si>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</si>
  <si>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</si>
  <si>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</si>
  <si>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</si>
  <si>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</si>
  <si>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</si>
  <si>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</si>
  <si>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</si>
  <si>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</si>
  <si>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</si>
  <si>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</si>
  <si>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</si>
  <si>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</si>
  <si>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</si>
  <si>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</si>
  <si>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</si>
  <si>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</si>
  <si>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</si>
  <si>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 xml:space="preserve">sub dig </t>
    <phoneticPr fontId="1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</si>
  <si>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</si>
  <si>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</si>
  <si>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</si>
  <si>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</si>
  <si>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</si>
  <si>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</si>
  <si>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B</t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</si>
  <si>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</si>
  <si>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</si>
  <si>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</si>
  <si>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</si>
  <si>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open &amp; TMPS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</si>
  <si>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</si>
  <si>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</si>
  <si>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</si>
  <si>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</si>
  <si>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</si>
  <si>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</si>
  <si>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3" type="noConversion"/>
  </si>
  <si>
    <t>Sa</t>
    <phoneticPr fontId="1" type="noConversion"/>
  </si>
  <si>
    <t>SCAN</t>
    <phoneticPr fontId="1" type="noConversion"/>
  </si>
  <si>
    <t>VDD_bining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</si>
  <si>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</si>
  <si>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</si>
  <si>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</si>
  <si>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</si>
  <si>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</si>
  <si>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</si>
  <si>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>SaChain</t>
    <phoneticPr fontId="3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</si>
  <si>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</si>
  <si>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</si>
  <si>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</si>
  <si>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</si>
  <si>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</si>
  <si>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</si>
  <si>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</si>
  <si>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</si>
  <si>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</si>
  <si>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</si>
  <si>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</si>
  <si>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</si>
  <si>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</si>
  <si>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</si>
  <si>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</si>
  <si>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</si>
  <si>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</si>
  <si>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</si>
  <si>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</si>
  <si>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</si>
  <si>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</si>
  <si>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</si>
  <si>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</si>
  <si>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</si>
  <si>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</si>
  <si>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</si>
  <si>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VDD_bining</t>
    <phoneticPr fontId="3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</si>
  <si>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</si>
  <si>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</si>
  <si>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</si>
  <si>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</si>
  <si>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</si>
  <si>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</si>
  <si>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</si>
  <si>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</si>
  <si>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</si>
  <si>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</si>
  <si>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</si>
  <si>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</si>
  <si>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DDR</t>
    <phoneticPr fontId="3" type="noConversion"/>
  </si>
  <si>
    <t>DDR</t>
    <phoneticPr fontId="1" type="noConversion"/>
  </si>
  <si>
    <t>Mbist</t>
    <phoneticPr fontId="3" type="noConversion"/>
  </si>
  <si>
    <t>CPU</t>
    <phoneticPr fontId="3" type="noConversion"/>
  </si>
  <si>
    <t>CPU</t>
    <phoneticPr fontId="3" type="noConversion"/>
  </si>
  <si>
    <t>MBIST</t>
    <phoneticPr fontId="1" type="noConversion"/>
  </si>
  <si>
    <t>O</t>
  </si>
  <si>
    <t>Open</t>
    <phoneticPr fontId="3" type="noConversion"/>
  </si>
  <si>
    <t>DC Conti</t>
    <phoneticPr fontId="3" type="noConversion"/>
  </si>
  <si>
    <t>HNLV Scan</t>
    <phoneticPr fontId="3" type="noConversion"/>
  </si>
  <si>
    <t>PMIC_SCAN_HNLV</t>
    <phoneticPr fontId="3" type="noConversion"/>
  </si>
  <si>
    <t>B</t>
    <phoneticPr fontId="3" type="noConversion"/>
  </si>
  <si>
    <t>Short</t>
    <phoneticPr fontId="3" type="noConversion"/>
  </si>
  <si>
    <t>DC Conti</t>
    <phoneticPr fontId="3" type="noConversion"/>
  </si>
  <si>
    <t>OpenShort</t>
    <phoneticPr fontId="3" type="noConversion"/>
  </si>
  <si>
    <t>Power open</t>
    <phoneticPr fontId="3" type="noConversion"/>
  </si>
  <si>
    <t>PowerOpen</t>
    <phoneticPr fontId="3" type="noConversion"/>
  </si>
  <si>
    <t>Power short</t>
    <phoneticPr fontId="3" type="noConversion"/>
  </si>
  <si>
    <t>PowerShort</t>
    <phoneticPr fontId="3" type="noConversion"/>
  </si>
  <si>
    <t>system error</t>
    <phoneticPr fontId="3" type="noConversion"/>
  </si>
  <si>
    <t>SCAN</t>
    <phoneticPr fontId="3" type="noConversion"/>
  </si>
  <si>
    <t>NLV Scan</t>
    <phoneticPr fontId="3" type="noConversion"/>
  </si>
  <si>
    <t>PMIC_SCAN_NLV</t>
    <phoneticPr fontId="3" type="noConversion"/>
  </si>
  <si>
    <t>HLV Scan</t>
    <phoneticPr fontId="3" type="noConversion"/>
  </si>
  <si>
    <t>PMIC_SCAN_HLV</t>
    <phoneticPr fontId="3" type="noConversion"/>
  </si>
  <si>
    <t>HNV Scan</t>
    <phoneticPr fontId="3" type="noConversion"/>
  </si>
  <si>
    <t>PMIC_SCAN_HNV</t>
    <phoneticPr fontId="3" type="noConversion"/>
  </si>
  <si>
    <t>LV Scan</t>
    <phoneticPr fontId="3" type="noConversion"/>
  </si>
  <si>
    <t>PMIC_SCAN_LV</t>
    <phoneticPr fontId="3" type="noConversion"/>
  </si>
  <si>
    <t>NV Scan</t>
    <phoneticPr fontId="3" type="noConversion"/>
  </si>
  <si>
    <t>PMIC_SCAN_NV</t>
    <phoneticPr fontId="3" type="noConversion"/>
  </si>
  <si>
    <t>HV Scan</t>
    <phoneticPr fontId="3" type="noConversion"/>
  </si>
  <si>
    <t>PMIC_SCAN_HV</t>
    <phoneticPr fontId="3" type="noConversion"/>
  </si>
  <si>
    <t>HNLV MBIST</t>
    <phoneticPr fontId="3" type="noConversion"/>
  </si>
  <si>
    <t>PMIC_MBIST_HNLV</t>
    <phoneticPr fontId="3" type="noConversion"/>
  </si>
  <si>
    <t>MBIST</t>
    <phoneticPr fontId="3" type="noConversion"/>
  </si>
  <si>
    <t>NLV MBIST</t>
    <phoneticPr fontId="3" type="noConversion"/>
  </si>
  <si>
    <t>PMIC_MBIST_NLV</t>
    <phoneticPr fontId="3" type="noConversion"/>
  </si>
  <si>
    <t>HLV MBIST</t>
    <phoneticPr fontId="3" type="noConversion"/>
  </si>
  <si>
    <t>PMIC_MBIST_HLV</t>
    <phoneticPr fontId="3" type="noConversion"/>
  </si>
  <si>
    <t>HNV MBIST</t>
    <phoneticPr fontId="3" type="noConversion"/>
  </si>
  <si>
    <t>PMIC_MBIST_HNV</t>
    <phoneticPr fontId="3" type="noConversion"/>
  </si>
  <si>
    <t>LV MBIST</t>
    <phoneticPr fontId="3" type="noConversion"/>
  </si>
  <si>
    <t>PMIC_MBIST_LV</t>
    <phoneticPr fontId="3" type="noConversion"/>
  </si>
  <si>
    <t>NV MBIST</t>
    <phoneticPr fontId="3" type="noConversion"/>
  </si>
  <si>
    <t>PMIC_MBIST_NV</t>
    <phoneticPr fontId="3" type="noConversion"/>
  </si>
  <si>
    <t>HV MBIST</t>
    <phoneticPr fontId="3" type="noConversion"/>
  </si>
  <si>
    <t>PMIC_MBIST_HV</t>
    <phoneticPr fontId="3" type="noConversion"/>
  </si>
  <si>
    <t>OTP Binning</t>
    <phoneticPr fontId="3" type="noConversion"/>
  </si>
  <si>
    <t>PMIC</t>
    <phoneticPr fontId="3" type="noConversion"/>
  </si>
  <si>
    <t>OTP</t>
    <phoneticPr fontId="3" type="noConversion"/>
  </si>
  <si>
    <t>LDO</t>
    <phoneticPr fontId="3" type="noConversion"/>
  </si>
  <si>
    <t>LDO_TRIM</t>
    <phoneticPr fontId="3" type="noConversion"/>
  </si>
  <si>
    <t>LDO_POSTBURN</t>
    <phoneticPr fontId="3" type="noConversion"/>
  </si>
  <si>
    <t>LDO_POSTBURN_HV</t>
    <phoneticPr fontId="3" type="noConversion"/>
  </si>
  <si>
    <t>LDO_POSTBURN_LV</t>
    <phoneticPr fontId="3" type="noConversion"/>
  </si>
  <si>
    <t>BUCK1P</t>
    <phoneticPr fontId="3" type="noConversion"/>
  </si>
  <si>
    <t>BUCK1P_TRIM</t>
    <phoneticPr fontId="3" type="noConversion"/>
  </si>
  <si>
    <t>BUCK1P_Postburn</t>
    <phoneticPr fontId="3" type="noConversion"/>
  </si>
  <si>
    <t>BUCK1P_Postburn_HV</t>
    <phoneticPr fontId="3" type="noConversion"/>
  </si>
  <si>
    <t>BUCK1P_Postburn_LV</t>
    <phoneticPr fontId="3" type="noConversion"/>
  </si>
  <si>
    <t>BUCK1ph</t>
    <phoneticPr fontId="3" type="noConversion"/>
  </si>
  <si>
    <t>BUCK1ph_TRIM</t>
    <phoneticPr fontId="3" type="noConversion"/>
  </si>
  <si>
    <t>BUCK1ph_POSTBURN</t>
    <phoneticPr fontId="3" type="noConversion"/>
  </si>
  <si>
    <t>BUCK1ph_POSTBURN_HV</t>
    <phoneticPr fontId="3" type="noConversion"/>
  </si>
  <si>
    <t>BUCK1ph_POSTBURN_LV</t>
    <phoneticPr fontId="3" type="noConversion"/>
  </si>
  <si>
    <t>BUCK2p</t>
    <phoneticPr fontId="3" type="noConversion"/>
  </si>
  <si>
    <t>BUCK2p_TRIM</t>
    <phoneticPr fontId="3" type="noConversion"/>
  </si>
  <si>
    <t>BUCK2p_POSTBURN</t>
    <phoneticPr fontId="3" type="noConversion"/>
  </si>
  <si>
    <t>BUCK2p_POSTBURN_HV</t>
    <phoneticPr fontId="3" type="noConversion"/>
  </si>
  <si>
    <t>BUCK2p_POSTBURN_LV</t>
    <phoneticPr fontId="3" type="noConversion"/>
  </si>
  <si>
    <t>BUCK3p5p</t>
    <phoneticPr fontId="3" type="noConversion"/>
  </si>
  <si>
    <t>BUCK3p5p_TRIM</t>
    <phoneticPr fontId="3" type="noConversion"/>
  </si>
  <si>
    <t>BUCK3p5p_POSTBURN</t>
    <phoneticPr fontId="3" type="noConversion"/>
  </si>
  <si>
    <t>BUCK3p5p_POSTBURN_HV</t>
    <phoneticPr fontId="3" type="noConversion"/>
  </si>
  <si>
    <t>BUCK3p5p_POSTBURN_LV</t>
    <phoneticPr fontId="3" type="noConversion"/>
  </si>
  <si>
    <t>Default</t>
    <phoneticPr fontId="3" type="noConversion"/>
  </si>
  <si>
    <t>Default</t>
    <phoneticPr fontId="3" type="noConversion"/>
  </si>
  <si>
    <t>ACORE_TEST</t>
    <phoneticPr fontId="3" type="noConversion"/>
  </si>
  <si>
    <t>ACORE_POST</t>
    <phoneticPr fontId="3" type="noConversion"/>
  </si>
  <si>
    <t>ACORE_POST_HV</t>
    <phoneticPr fontId="3" type="noConversion"/>
  </si>
  <si>
    <t>ACORE_POST_LV</t>
    <phoneticPr fontId="3" type="noConversion"/>
  </si>
  <si>
    <t>ACORE</t>
  </si>
  <si>
    <t>SCAN</t>
  </si>
  <si>
    <t xml:space="preserve">Reserved for Forbidden </t>
  </si>
  <si>
    <t>RTOS Binning</t>
  </si>
  <si>
    <t>RTOS LVCC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</si>
</sst>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theme="0"/>
      <name val="Arial"/>
      <family val="2"/>
    </font>
    <font>
      <sz val="11"/>
      <color theme="1"/>
      <name val="Arial Unicode MS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5" borderId="8" applyNumberFormat="0" applyAlignment="0" applyProtection="0">
      <alignment vertical="center"/>
    </xf>
    <xf numFmtId="0" fontId="7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2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6" fillId="5" borderId="8" xfId="1" applyAlignment="1">
      <alignment horizontal="left"/>
    </xf>
    <xf numFmtId="0" fontId="6" fillId="6" borderId="8" xfId="1" applyFill="1" applyAlignment="1">
      <alignment horizontal="left"/>
    </xf>
    <xf numFmtId="0" fontId="0" fillId="0" borderId="0" xfId="0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3">
    <cellStyle name="Check Cell" xfId="1" builtinId="23"/>
    <cellStyle name="Normal" xfId="0" builtinId="0"/>
    <cellStyle name="一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</sheetPr>
  <dimension ref="A1:I50"/>
  <sheetViews>
    <sheetView topLeftCell="A23" zoomScaleNormal="100" workbookViewId="0">
      <selection activeCell="H48" sqref="H48"/>
    </sheetView>
  </sheetViews>
  <sheetFormatPr defaultRowHeight="15.75"/>
  <cols>
    <col min="1" max="1" width="27.7109375" bestFit="1" customWidth="1"/>
    <col min="2" max="2" width="29.28515625" customWidth="1"/>
    <col min="4" max="4" width="29.28515625" bestFit="1" customWidth="1"/>
    <col min="6" max="6" width="31.5703125" bestFit="1" customWidth="1"/>
    <col min="8" max="8" width="16" bestFit="1" customWidth="1"/>
  </cols>
  <sheetData>
    <row r="1" spans="1:9">
      <c r="A1" s="13"/>
      <c r="B1" s="39" t="s">
        <v>98</v>
      </c>
      <c r="C1" s="40"/>
      <c r="D1" s="41" t="s">
        <v>99</v>
      </c>
      <c r="E1" s="40"/>
      <c r="F1" s="41" t="s">
        <v>100</v>
      </c>
      <c r="G1" s="40"/>
      <c r="H1" s="41" t="s">
        <v>101</v>
      </c>
      <c r="I1" s="40"/>
    </row>
    <row r="2" spans="1:9">
      <c r="A2" s="35" t="s">
        <v>136</v>
      </c>
      <c r="B2" s="34" t="s">
        <v>56</v>
      </c>
      <c r="C2" s="43">
        <v>1</v>
      </c>
      <c r="D2" s="32" t="s">
        <v>12</v>
      </c>
      <c r="E2" s="27">
        <v>1</v>
      </c>
      <c r="F2" s="28" t="s">
        <v>131</v>
      </c>
      <c r="G2" s="28">
        <v>0</v>
      </c>
      <c r="H2" s="3" t="s">
        <v>0</v>
      </c>
      <c r="I2" s="3">
        <v>0</v>
      </c>
    </row>
    <row r="3" spans="1:9">
      <c r="A3" s="36"/>
      <c r="B3" s="34"/>
      <c r="C3" s="44"/>
      <c r="D3" s="42"/>
      <c r="E3" s="38"/>
      <c r="F3" s="28"/>
      <c r="G3" s="28"/>
      <c r="H3" s="3" t="s">
        <v>1</v>
      </c>
      <c r="I3" s="3">
        <v>1</v>
      </c>
    </row>
    <row r="4" spans="1:9">
      <c r="A4" s="36"/>
      <c r="B4" s="34"/>
      <c r="C4" s="44"/>
      <c r="D4" s="32" t="s">
        <v>174</v>
      </c>
      <c r="E4" s="27">
        <v>2</v>
      </c>
      <c r="F4" s="28"/>
      <c r="G4" s="28"/>
      <c r="H4" s="3" t="s">
        <v>2</v>
      </c>
      <c r="I4" s="3">
        <v>2</v>
      </c>
    </row>
    <row r="5" spans="1:9">
      <c r="A5" s="36"/>
      <c r="B5" s="34"/>
      <c r="C5" s="44"/>
      <c r="D5" s="42"/>
      <c r="E5" s="38"/>
      <c r="F5" s="28" t="s">
        <v>121</v>
      </c>
      <c r="G5" s="28">
        <v>1</v>
      </c>
      <c r="H5" s="3" t="s">
        <v>48</v>
      </c>
      <c r="I5" s="3">
        <v>7</v>
      </c>
    </row>
    <row r="6" spans="1:9">
      <c r="A6" s="36"/>
      <c r="B6" s="34"/>
      <c r="C6" s="44"/>
      <c r="D6" s="32" t="s">
        <v>66</v>
      </c>
      <c r="E6" s="27">
        <v>3</v>
      </c>
      <c r="F6" s="28"/>
      <c r="G6" s="28"/>
      <c r="H6" s="3"/>
      <c r="I6" s="3"/>
    </row>
    <row r="7" spans="1:9">
      <c r="A7" s="36"/>
      <c r="B7" s="34"/>
      <c r="C7" s="44"/>
      <c r="D7" s="42"/>
      <c r="E7" s="38"/>
      <c r="F7" s="28"/>
      <c r="G7" s="28"/>
      <c r="H7" s="3"/>
      <c r="I7" s="3"/>
    </row>
    <row r="8" spans="1:9">
      <c r="A8" s="36" t="s">
        <v>137</v>
      </c>
      <c r="B8" s="33" t="s">
        <v>173</v>
      </c>
      <c r="C8" s="48">
        <v>1</v>
      </c>
      <c r="D8" s="27" t="s">
        <v>135</v>
      </c>
      <c r="E8" s="27"/>
      <c r="F8" s="27"/>
      <c r="G8" s="27"/>
      <c r="H8" s="27"/>
      <c r="I8" s="27"/>
    </row>
    <row r="9" spans="1:9">
      <c r="A9" s="36"/>
      <c r="B9" s="33"/>
      <c r="C9" s="48"/>
      <c r="D9" s="27"/>
      <c r="E9" s="27"/>
      <c r="F9" s="27"/>
      <c r="G9" s="27"/>
      <c r="H9" s="27"/>
      <c r="I9" s="27"/>
    </row>
    <row r="10" spans="1:9">
      <c r="A10" s="36"/>
      <c r="B10" s="33"/>
      <c r="C10" s="48"/>
      <c r="D10" s="27"/>
      <c r="E10" s="27"/>
      <c r="F10" s="27"/>
      <c r="G10" s="27"/>
      <c r="H10" s="27"/>
      <c r="I10" s="27"/>
    </row>
    <row r="11" spans="1:9">
      <c r="A11" s="36"/>
      <c r="B11" s="33"/>
      <c r="C11" s="48"/>
      <c r="D11" s="27"/>
      <c r="E11" s="27"/>
      <c r="F11" s="27"/>
      <c r="G11" s="27"/>
      <c r="H11" s="27"/>
      <c r="I11" s="27"/>
    </row>
    <row r="12" spans="1:9">
      <c r="A12" s="36"/>
      <c r="B12" s="33"/>
      <c r="C12" s="48"/>
      <c r="D12" s="27"/>
      <c r="E12" s="27"/>
      <c r="F12" s="27"/>
      <c r="G12" s="27"/>
      <c r="H12" s="27"/>
      <c r="I12" s="27"/>
    </row>
    <row r="13" spans="1:9">
      <c r="A13" s="36"/>
      <c r="B13" s="33"/>
      <c r="C13" s="48"/>
      <c r="D13" s="27"/>
      <c r="E13" s="27"/>
      <c r="F13" s="27"/>
      <c r="G13" s="27"/>
      <c r="H13" s="27"/>
      <c r="I13" s="27"/>
    </row>
    <row r="14" spans="1:9">
      <c r="A14" s="36"/>
      <c r="B14" s="33"/>
      <c r="C14" s="48"/>
      <c r="D14" s="27"/>
      <c r="E14" s="27"/>
      <c r="F14" s="27"/>
      <c r="G14" s="27"/>
      <c r="H14" s="27"/>
      <c r="I14" s="27"/>
    </row>
    <row r="15" spans="1:9">
      <c r="A15" s="36"/>
      <c r="B15" s="33"/>
      <c r="C15" s="48"/>
      <c r="D15" s="27"/>
      <c r="E15" s="27"/>
      <c r="F15" s="27"/>
      <c r="G15" s="27"/>
      <c r="H15" s="27"/>
      <c r="I15" s="27"/>
    </row>
    <row r="16" spans="1:9">
      <c r="A16" s="36"/>
      <c r="B16" s="33"/>
      <c r="C16" s="48"/>
      <c r="D16" s="27"/>
      <c r="E16" s="27"/>
      <c r="F16" s="27"/>
      <c r="G16" s="27"/>
      <c r="H16" s="27"/>
      <c r="I16" s="27"/>
    </row>
    <row r="17" spans="1:9">
      <c r="A17" s="36"/>
      <c r="B17" s="33"/>
      <c r="C17" s="48"/>
      <c r="D17" s="27"/>
      <c r="E17" s="27"/>
      <c r="F17" s="27"/>
      <c r="G17" s="27"/>
      <c r="H17" s="27"/>
      <c r="I17" s="27"/>
    </row>
    <row r="18" spans="1:9">
      <c r="A18" s="37"/>
      <c r="B18" s="33"/>
      <c r="C18" s="49"/>
      <c r="D18" s="27"/>
      <c r="E18" s="27"/>
      <c r="F18" s="27"/>
      <c r="G18" s="27"/>
      <c r="H18" s="27"/>
      <c r="I18" s="27"/>
    </row>
    <row r="19" spans="1:9">
      <c r="A19" s="23" t="s">
        <v>132</v>
      </c>
      <c r="B19" s="34" t="s">
        <v>64</v>
      </c>
      <c r="C19" s="28">
        <v>2</v>
      </c>
      <c r="D19" s="14" t="s">
        <v>58</v>
      </c>
      <c r="E19" s="2">
        <v>1</v>
      </c>
      <c r="F19" s="27" t="s">
        <v>94</v>
      </c>
      <c r="G19" s="27" t="s">
        <v>7</v>
      </c>
      <c r="H19" s="3" t="s">
        <v>8</v>
      </c>
      <c r="I19" s="3">
        <v>0</v>
      </c>
    </row>
    <row r="20" spans="1:9">
      <c r="A20" s="23"/>
      <c r="B20" s="34"/>
      <c r="C20" s="28"/>
      <c r="D20" s="14" t="s">
        <v>60</v>
      </c>
      <c r="E20" s="2">
        <v>2</v>
      </c>
      <c r="F20" s="27"/>
      <c r="G20" s="27"/>
      <c r="H20" s="3" t="s">
        <v>9</v>
      </c>
      <c r="I20" s="3">
        <v>1</v>
      </c>
    </row>
    <row r="21" spans="1:9">
      <c r="A21" s="23"/>
      <c r="B21" s="34"/>
      <c r="C21" s="28"/>
      <c r="D21" s="14" t="s">
        <v>66</v>
      </c>
      <c r="E21" s="2">
        <v>3</v>
      </c>
      <c r="F21" s="27"/>
      <c r="G21" s="27"/>
      <c r="H21" s="3" t="s">
        <v>10</v>
      </c>
      <c r="I21" s="3">
        <v>2</v>
      </c>
    </row>
    <row r="22" spans="1:9">
      <c r="A22" s="23"/>
      <c r="B22" s="34"/>
      <c r="C22" s="28"/>
      <c r="D22" s="15"/>
      <c r="E22" s="4"/>
      <c r="F22" s="27"/>
      <c r="G22" s="27"/>
      <c r="H22" s="3" t="s">
        <v>11</v>
      </c>
      <c r="I22" s="3">
        <v>7</v>
      </c>
    </row>
    <row r="23" spans="1:9">
      <c r="A23" s="23" t="s">
        <v>61</v>
      </c>
      <c r="B23" s="33" t="s">
        <v>54</v>
      </c>
      <c r="C23" s="38">
        <v>2</v>
      </c>
      <c r="D23" s="14" t="s">
        <v>58</v>
      </c>
      <c r="E23" s="2">
        <v>4</v>
      </c>
      <c r="F23" s="46" t="s">
        <v>93</v>
      </c>
      <c r="G23" s="27" t="s">
        <v>92</v>
      </c>
      <c r="H23" s="3" t="s">
        <v>0</v>
      </c>
      <c r="I23" s="3">
        <v>0</v>
      </c>
    </row>
    <row r="24" spans="1:9">
      <c r="A24" s="23"/>
      <c r="B24" s="33"/>
      <c r="C24" s="38"/>
      <c r="D24" s="14" t="s">
        <v>59</v>
      </c>
      <c r="E24" s="2">
        <v>5</v>
      </c>
      <c r="F24" s="46"/>
      <c r="G24" s="27"/>
      <c r="H24" s="3" t="s">
        <v>1</v>
      </c>
      <c r="I24" s="3">
        <v>1</v>
      </c>
    </row>
    <row r="25" spans="1:9">
      <c r="A25" s="23"/>
      <c r="B25" s="33"/>
      <c r="C25" s="38"/>
      <c r="D25" s="14" t="s">
        <v>66</v>
      </c>
      <c r="E25" s="2">
        <v>6</v>
      </c>
      <c r="F25" s="46"/>
      <c r="G25" s="27"/>
      <c r="H25" s="3" t="s">
        <v>2</v>
      </c>
      <c r="I25" s="3">
        <v>2</v>
      </c>
    </row>
    <row r="26" spans="1:9">
      <c r="A26" s="23"/>
      <c r="B26" s="33"/>
      <c r="C26" s="38"/>
      <c r="D26" s="4"/>
      <c r="E26" s="4"/>
      <c r="F26" s="46"/>
      <c r="G26" s="27"/>
      <c r="H26" s="3" t="s">
        <v>11</v>
      </c>
      <c r="I26" s="3">
        <v>7</v>
      </c>
    </row>
    <row r="27" spans="1:9">
      <c r="A27" s="45" t="s">
        <v>65</v>
      </c>
      <c r="B27" s="14" t="s">
        <v>12</v>
      </c>
      <c r="C27" s="3">
        <v>3</v>
      </c>
      <c r="D27" s="27" t="s">
        <v>21</v>
      </c>
      <c r="E27" s="27" t="s">
        <v>14</v>
      </c>
      <c r="F27" s="27" t="s">
        <v>57</v>
      </c>
      <c r="G27" s="27" t="s">
        <v>14</v>
      </c>
      <c r="H27" s="3" t="s">
        <v>0</v>
      </c>
      <c r="I27" s="3">
        <v>0</v>
      </c>
    </row>
    <row r="28" spans="1:9">
      <c r="A28" s="45"/>
      <c r="B28" s="47" t="s">
        <v>175</v>
      </c>
      <c r="C28" s="28">
        <v>4</v>
      </c>
      <c r="D28" s="38"/>
      <c r="E28" s="27"/>
      <c r="F28" s="46"/>
      <c r="G28" s="46"/>
      <c r="H28" s="3" t="s">
        <v>17</v>
      </c>
      <c r="I28" s="3">
        <v>1</v>
      </c>
    </row>
    <row r="29" spans="1:9">
      <c r="A29" s="45"/>
      <c r="B29" s="47"/>
      <c r="C29" s="28"/>
      <c r="D29" s="38"/>
      <c r="E29" s="38"/>
      <c r="F29" s="46"/>
      <c r="G29" s="46"/>
      <c r="H29" s="3" t="s">
        <v>18</v>
      </c>
      <c r="I29" s="3">
        <v>2</v>
      </c>
    </row>
    <row r="30" spans="1:9">
      <c r="A30" s="45"/>
      <c r="B30" s="32" t="s">
        <v>66</v>
      </c>
      <c r="C30" s="28">
        <v>5</v>
      </c>
      <c r="D30" s="38"/>
      <c r="E30" s="38"/>
      <c r="F30" s="46"/>
      <c r="G30" s="46"/>
      <c r="H30" s="28" t="s">
        <v>19</v>
      </c>
      <c r="I30" s="28">
        <v>7</v>
      </c>
    </row>
    <row r="31" spans="1:9">
      <c r="A31" s="45"/>
      <c r="B31" s="32"/>
      <c r="C31" s="28"/>
      <c r="D31" s="38"/>
      <c r="E31" s="38"/>
      <c r="F31" s="46"/>
      <c r="G31" s="46"/>
      <c r="H31" s="38"/>
      <c r="I31" s="38"/>
    </row>
    <row r="32" spans="1:9">
      <c r="A32" s="23" t="s">
        <v>55</v>
      </c>
      <c r="B32" s="14" t="s">
        <v>12</v>
      </c>
      <c r="C32" s="3">
        <v>6</v>
      </c>
      <c r="D32" s="27" t="s">
        <v>13</v>
      </c>
      <c r="E32" s="27" t="s">
        <v>14</v>
      </c>
      <c r="F32" s="27" t="s">
        <v>15</v>
      </c>
      <c r="G32" s="27" t="s">
        <v>14</v>
      </c>
      <c r="H32" s="3" t="s">
        <v>0</v>
      </c>
      <c r="I32" s="3">
        <v>0</v>
      </c>
    </row>
    <row r="33" spans="1:9">
      <c r="A33" s="23"/>
      <c r="B33" s="32" t="s">
        <v>16</v>
      </c>
      <c r="C33" s="28">
        <v>7</v>
      </c>
      <c r="D33" s="38"/>
      <c r="E33" s="27"/>
      <c r="F33" s="46"/>
      <c r="G33" s="46"/>
      <c r="H33" s="3" t="s">
        <v>17</v>
      </c>
      <c r="I33" s="3">
        <v>1</v>
      </c>
    </row>
    <row r="34" spans="1:9">
      <c r="A34" s="23"/>
      <c r="B34" s="32"/>
      <c r="C34" s="28"/>
      <c r="D34" s="38"/>
      <c r="E34" s="38"/>
      <c r="F34" s="46"/>
      <c r="G34" s="46"/>
      <c r="H34" s="3" t="s">
        <v>18</v>
      </c>
      <c r="I34" s="3">
        <v>2</v>
      </c>
    </row>
    <row r="35" spans="1:9">
      <c r="A35" s="23"/>
      <c r="B35" s="32" t="s">
        <v>66</v>
      </c>
      <c r="C35" s="28">
        <v>8</v>
      </c>
      <c r="D35" s="38"/>
      <c r="E35" s="38"/>
      <c r="F35" s="46"/>
      <c r="G35" s="46"/>
      <c r="H35" s="28" t="s">
        <v>19</v>
      </c>
      <c r="I35" s="28">
        <v>7</v>
      </c>
    </row>
    <row r="36" spans="1:9">
      <c r="A36" s="23"/>
      <c r="B36" s="32"/>
      <c r="C36" s="28"/>
      <c r="D36" s="38"/>
      <c r="E36" s="38"/>
      <c r="F36" s="46"/>
      <c r="G36" s="46"/>
      <c r="H36" s="38"/>
      <c r="I36" s="38"/>
    </row>
    <row r="37" spans="1:9">
      <c r="A37" s="29" t="s">
        <v>158</v>
      </c>
      <c r="B37" s="32" t="s">
        <v>20</v>
      </c>
      <c r="C37" s="28">
        <v>6</v>
      </c>
      <c r="D37" s="24" t="s">
        <v>21</v>
      </c>
      <c r="E37" s="24" t="s">
        <v>22</v>
      </c>
      <c r="F37" s="24" t="s">
        <v>6</v>
      </c>
      <c r="G37" s="24" t="s">
        <v>22</v>
      </c>
      <c r="H37" s="3" t="s">
        <v>24</v>
      </c>
      <c r="I37" s="2">
        <v>3</v>
      </c>
    </row>
    <row r="38" spans="1:9">
      <c r="A38" s="30"/>
      <c r="B38" s="32"/>
      <c r="C38" s="28"/>
      <c r="D38" s="25"/>
      <c r="E38" s="25"/>
      <c r="F38" s="25"/>
      <c r="G38" s="25"/>
      <c r="H38" s="3" t="s">
        <v>82</v>
      </c>
      <c r="I38" s="2">
        <v>4</v>
      </c>
    </row>
    <row r="39" spans="1:9">
      <c r="A39" s="30"/>
      <c r="B39" s="32" t="s">
        <v>26</v>
      </c>
      <c r="C39" s="28">
        <v>7</v>
      </c>
      <c r="D39" s="25"/>
      <c r="E39" s="25"/>
      <c r="F39" s="25"/>
      <c r="G39" s="25"/>
      <c r="H39" s="3" t="s">
        <v>84</v>
      </c>
      <c r="I39" s="2">
        <v>5</v>
      </c>
    </row>
    <row r="40" spans="1:9">
      <c r="A40" s="30"/>
      <c r="B40" s="32"/>
      <c r="C40" s="28"/>
      <c r="D40" s="25"/>
      <c r="E40" s="25"/>
      <c r="F40" s="25"/>
      <c r="G40" s="25"/>
      <c r="H40" s="3" t="s">
        <v>86</v>
      </c>
      <c r="I40" s="2">
        <v>6</v>
      </c>
    </row>
    <row r="41" spans="1:9">
      <c r="A41" s="30"/>
      <c r="B41" s="32" t="s">
        <v>66</v>
      </c>
      <c r="C41" s="28">
        <v>8</v>
      </c>
      <c r="D41" s="25"/>
      <c r="E41" s="25"/>
      <c r="F41" s="25"/>
      <c r="G41" s="25"/>
      <c r="H41" s="3" t="s">
        <v>256</v>
      </c>
      <c r="I41" s="2">
        <v>8</v>
      </c>
    </row>
    <row r="42" spans="1:9">
      <c r="A42" s="30"/>
      <c r="B42" s="32"/>
      <c r="C42" s="28"/>
      <c r="D42" s="25"/>
      <c r="E42" s="25"/>
      <c r="F42" s="25"/>
      <c r="G42" s="25"/>
      <c r="H42" s="3" t="s">
        <v>257</v>
      </c>
      <c r="I42" s="2">
        <v>9</v>
      </c>
    </row>
    <row r="43" spans="1:9">
      <c r="A43" s="31"/>
      <c r="B43" s="14" t="s">
        <v>171</v>
      </c>
      <c r="C43" s="11">
        <v>9</v>
      </c>
      <c r="D43" s="26"/>
      <c r="E43" s="26"/>
      <c r="F43" s="26"/>
      <c r="G43" s="26"/>
      <c r="H43" s="11"/>
      <c r="I43" s="12"/>
    </row>
    <row r="44" spans="1:9">
      <c r="A44" s="23" t="s">
        <v>71</v>
      </c>
      <c r="B44" s="32" t="s">
        <v>62</v>
      </c>
      <c r="C44" s="28">
        <v>3</v>
      </c>
      <c r="D44" s="27" t="s">
        <v>21</v>
      </c>
      <c r="E44" s="27" t="s">
        <v>22</v>
      </c>
      <c r="F44" s="27" t="s">
        <v>23</v>
      </c>
      <c r="G44" s="27" t="s">
        <v>22</v>
      </c>
      <c r="H44" s="11" t="s">
        <v>24</v>
      </c>
      <c r="I44" s="12">
        <v>3</v>
      </c>
    </row>
    <row r="45" spans="1:9">
      <c r="A45" s="23"/>
      <c r="B45" s="32"/>
      <c r="C45" s="28"/>
      <c r="D45" s="27"/>
      <c r="E45" s="27"/>
      <c r="F45" s="27"/>
      <c r="G45" s="27"/>
      <c r="H45" s="11" t="s">
        <v>25</v>
      </c>
      <c r="I45" s="12">
        <v>4</v>
      </c>
    </row>
    <row r="46" spans="1:9">
      <c r="A46" s="23"/>
      <c r="B46" s="32" t="s">
        <v>63</v>
      </c>
      <c r="C46" s="28">
        <v>4</v>
      </c>
      <c r="D46" s="27"/>
      <c r="E46" s="27"/>
      <c r="F46" s="27"/>
      <c r="G46" s="27"/>
      <c r="H46" s="11" t="s">
        <v>27</v>
      </c>
      <c r="I46" s="12">
        <v>5</v>
      </c>
    </row>
    <row r="47" spans="1:9">
      <c r="A47" s="23"/>
      <c r="B47" s="32"/>
      <c r="C47" s="28"/>
      <c r="D47" s="27"/>
      <c r="E47" s="27"/>
      <c r="F47" s="27"/>
      <c r="G47" s="27"/>
      <c r="H47" s="11" t="s">
        <v>28</v>
      </c>
      <c r="I47" s="12">
        <v>6</v>
      </c>
    </row>
    <row r="48" spans="1:9">
      <c r="A48" s="23"/>
      <c r="B48" s="32" t="s">
        <v>66</v>
      </c>
      <c r="C48" s="28">
        <v>5</v>
      </c>
      <c r="D48" s="27"/>
      <c r="E48" s="27"/>
      <c r="F48" s="27"/>
      <c r="G48" s="27"/>
      <c r="H48" s="11" t="s">
        <v>256</v>
      </c>
      <c r="I48" s="12">
        <v>8</v>
      </c>
    </row>
    <row r="49" spans="1:9">
      <c r="A49" s="23"/>
      <c r="B49" s="32"/>
      <c r="C49" s="28"/>
      <c r="D49" s="27"/>
      <c r="E49" s="27"/>
      <c r="F49" s="27"/>
      <c r="G49" s="27"/>
      <c r="H49" s="11" t="s">
        <v>257</v>
      </c>
      <c r="I49" s="12">
        <v>9</v>
      </c>
    </row>
    <row r="50" spans="1:9">
      <c r="A50" s="23"/>
      <c r="B50" s="14" t="s">
        <v>171</v>
      </c>
      <c r="C50" s="11">
        <v>2</v>
      </c>
      <c r="D50" s="27"/>
      <c r="E50" s="27"/>
      <c r="F50" s="27"/>
      <c r="G50" s="27"/>
      <c r="H50" s="1"/>
      <c r="I50" s="1"/>
    </row>
  </sheetData>
  <mergeCells count="75">
    <mergeCell ref="H1:I1"/>
    <mergeCell ref="F19:F22"/>
    <mergeCell ref="F23:F26"/>
    <mergeCell ref="G19:G22"/>
    <mergeCell ref="G23:G26"/>
    <mergeCell ref="D8:I18"/>
    <mergeCell ref="F5:F7"/>
    <mergeCell ref="G2:G4"/>
    <mergeCell ref="G5:G7"/>
    <mergeCell ref="B44:B45"/>
    <mergeCell ref="C44:C45"/>
    <mergeCell ref="B37:B38"/>
    <mergeCell ref="C37:C38"/>
    <mergeCell ref="C8:C18"/>
    <mergeCell ref="C23:C26"/>
    <mergeCell ref="C39:C40"/>
    <mergeCell ref="B41:B42"/>
    <mergeCell ref="H35:H36"/>
    <mergeCell ref="I35:I36"/>
    <mergeCell ref="A32:A36"/>
    <mergeCell ref="D32:D36"/>
    <mergeCell ref="E32:E36"/>
    <mergeCell ref="F32:F36"/>
    <mergeCell ref="G32:G36"/>
    <mergeCell ref="B33:B34"/>
    <mergeCell ref="C33:C34"/>
    <mergeCell ref="B35:B36"/>
    <mergeCell ref="C35:C36"/>
    <mergeCell ref="A27:A31"/>
    <mergeCell ref="D27:D31"/>
    <mergeCell ref="E27:E31"/>
    <mergeCell ref="F27:F31"/>
    <mergeCell ref="G27:G31"/>
    <mergeCell ref="B28:B29"/>
    <mergeCell ref="C28:C29"/>
    <mergeCell ref="B30:B31"/>
    <mergeCell ref="C30:C31"/>
    <mergeCell ref="I30:I31"/>
    <mergeCell ref="H30:H31"/>
    <mergeCell ref="B1:C1"/>
    <mergeCell ref="D1:E1"/>
    <mergeCell ref="F1:G1"/>
    <mergeCell ref="D2:D3"/>
    <mergeCell ref="E2:E3"/>
    <mergeCell ref="B2:B7"/>
    <mergeCell ref="B8:B18"/>
    <mergeCell ref="D6:D7"/>
    <mergeCell ref="E6:E7"/>
    <mergeCell ref="F2:F4"/>
    <mergeCell ref="D4:D5"/>
    <mergeCell ref="E4:E5"/>
    <mergeCell ref="C19:C22"/>
    <mergeCell ref="C2:C7"/>
    <mergeCell ref="A19:A22"/>
    <mergeCell ref="A23:A26"/>
    <mergeCell ref="B23:B26"/>
    <mergeCell ref="B19:B22"/>
    <mergeCell ref="A2:A7"/>
    <mergeCell ref="A8:A18"/>
    <mergeCell ref="A44:A50"/>
    <mergeCell ref="D37:D43"/>
    <mergeCell ref="E37:E43"/>
    <mergeCell ref="F37:F43"/>
    <mergeCell ref="G37:G43"/>
    <mergeCell ref="D44:D50"/>
    <mergeCell ref="E44:E50"/>
    <mergeCell ref="F44:F50"/>
    <mergeCell ref="G44:G50"/>
    <mergeCell ref="C41:C42"/>
    <mergeCell ref="A37:A43"/>
    <mergeCell ref="B46:B47"/>
    <mergeCell ref="C46:C47"/>
    <mergeCell ref="B48:B49"/>
    <mergeCell ref="C48:C49"/>
    <mergeCell ref="B39:B40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N34"/>
  <sheetViews>
    <sheetView workbookViewId="0">
      <selection activeCell="C33" sqref="C33:C34"/>
    </sheetView>
  </sheetViews>
  <sheetFormatPr defaultRowHeight="15.75"/>
  <cols>
    <col min="4" max="4" width="31.28515625" bestFit="1" customWidth="1"/>
    <col min="5" max="5" width="13.42578125" customWidth="1"/>
    <col min="6" max="6" width="17.42578125" customWidth="1"/>
    <col min="7" max="7" width="12.85546875" bestFit="1" customWidth="1"/>
    <col min="8" max="8" width="23.85546875" customWidth="1"/>
    <col min="9" max="9" width="15.7109375" customWidth="1"/>
    <col min="10" max="10" width="17.28515625" customWidth="1"/>
    <col min="11" max="11" width="12.5703125" customWidth="1"/>
    <col min="12" max="13" width="15.42578125" customWidth="1"/>
    <col min="14" max="14" width="18.140625" customWidth="1"/>
  </cols>
  <sheetData>
    <row r="1" spans="1:14" ht="16.5">
      <c r="A1" s="1"/>
      <c r="B1" s="51" t="s">
        <v>95</v>
      </c>
      <c r="C1" s="51"/>
      <c r="D1" s="52" t="s">
        <v>96</v>
      </c>
      <c r="E1" s="53"/>
      <c r="F1" s="53"/>
      <c r="G1" s="53"/>
      <c r="H1" s="53"/>
      <c r="I1" s="53"/>
      <c r="J1" s="54"/>
      <c r="K1" s="50" t="s">
        <v>97</v>
      </c>
      <c r="L1" s="50"/>
      <c r="M1" s="50"/>
      <c r="N1" s="50"/>
    </row>
    <row r="2" spans="1:14" ht="16.5">
      <c r="A2" s="1"/>
      <c r="B2" s="6" t="s">
        <v>88</v>
      </c>
      <c r="C2" s="7" t="s">
        <v>90</v>
      </c>
      <c r="D2" s="10" t="s">
        <v>134</v>
      </c>
      <c r="E2" s="10" t="s">
        <v>89</v>
      </c>
      <c r="F2" s="10" t="s">
        <v>102</v>
      </c>
      <c r="G2" s="10" t="s">
        <v>91</v>
      </c>
      <c r="H2" s="10" t="s">
        <v>50</v>
      </c>
      <c r="I2" s="10" t="s">
        <v>91</v>
      </c>
      <c r="J2" s="10" t="s">
        <v>50</v>
      </c>
      <c r="K2" s="10" t="s">
        <v>49</v>
      </c>
      <c r="L2" s="10" t="s">
        <v>51</v>
      </c>
      <c r="M2" s="10" t="s">
        <v>53</v>
      </c>
      <c r="N2" s="10" t="s">
        <v>52</v>
      </c>
    </row>
    <row r="3" spans="1:14" ht="16.5">
      <c r="A3" s="38" t="s">
        <v>72</v>
      </c>
      <c r="B3" s="38" t="s">
        <v>87</v>
      </c>
      <c r="C3" s="38">
        <v>4</v>
      </c>
      <c r="D3" s="1" t="s">
        <v>29</v>
      </c>
      <c r="E3" s="1">
        <v>1</v>
      </c>
      <c r="F3" s="1" t="s">
        <v>151</v>
      </c>
      <c r="G3" s="1" t="s">
        <v>166</v>
      </c>
      <c r="H3" s="1" t="s">
        <v>159</v>
      </c>
      <c r="I3" s="1" t="s">
        <v>146</v>
      </c>
      <c r="J3" s="1" t="s">
        <v>147</v>
      </c>
      <c r="K3" s="10"/>
      <c r="L3" s="10"/>
      <c r="M3" s="1"/>
      <c r="N3" s="10"/>
    </row>
    <row r="4" spans="1:14">
      <c r="A4" s="38"/>
      <c r="B4" s="38"/>
      <c r="C4" s="38"/>
      <c r="D4" s="1" t="s">
        <v>32</v>
      </c>
      <c r="E4" s="1">
        <v>2</v>
      </c>
      <c r="F4" s="1" t="s">
        <v>154</v>
      </c>
      <c r="G4" s="1" t="s">
        <v>146</v>
      </c>
      <c r="H4" s="1" t="s">
        <v>161</v>
      </c>
      <c r="I4" s="1"/>
      <c r="J4" s="1"/>
      <c r="K4" s="1" t="s">
        <v>152</v>
      </c>
      <c r="L4" s="1">
        <v>0</v>
      </c>
      <c r="M4" s="1" t="s">
        <v>170</v>
      </c>
      <c r="N4" s="1" t="s">
        <v>152</v>
      </c>
    </row>
    <row r="5" spans="1:14">
      <c r="A5" s="38"/>
      <c r="B5" s="38"/>
      <c r="C5" s="38"/>
      <c r="D5" s="1" t="s">
        <v>33</v>
      </c>
      <c r="E5" s="1">
        <v>3</v>
      </c>
      <c r="F5" s="1" t="s">
        <v>154</v>
      </c>
      <c r="G5" s="1" t="s">
        <v>146</v>
      </c>
      <c r="H5" s="1" t="s">
        <v>162</v>
      </c>
      <c r="I5" s="1"/>
      <c r="J5" s="1"/>
      <c r="K5" s="1" t="s">
        <v>153</v>
      </c>
      <c r="L5" s="1">
        <v>1</v>
      </c>
      <c r="M5" s="1" t="s">
        <v>170</v>
      </c>
      <c r="N5" s="1" t="s">
        <v>153</v>
      </c>
    </row>
    <row r="6" spans="1:14">
      <c r="A6" s="38"/>
      <c r="B6" s="38"/>
      <c r="C6" s="38"/>
      <c r="D6" s="1" t="s">
        <v>160</v>
      </c>
      <c r="E6" s="1">
        <v>4</v>
      </c>
      <c r="F6" s="1" t="s">
        <v>154</v>
      </c>
      <c r="G6" s="1" t="s">
        <v>146</v>
      </c>
      <c r="H6" s="1" t="s">
        <v>163</v>
      </c>
      <c r="I6" s="1"/>
      <c r="J6" s="1"/>
      <c r="K6" s="1" t="s">
        <v>43</v>
      </c>
      <c r="L6" s="1">
        <v>2</v>
      </c>
      <c r="M6" s="1" t="s">
        <v>170</v>
      </c>
      <c r="N6" s="1" t="s">
        <v>43</v>
      </c>
    </row>
    <row r="7" spans="1:14">
      <c r="A7" s="38"/>
      <c r="B7" s="38"/>
      <c r="C7" s="38"/>
      <c r="D7" s="1" t="s">
        <v>34</v>
      </c>
      <c r="E7" s="1">
        <v>5</v>
      </c>
      <c r="F7" s="1" t="s">
        <v>154</v>
      </c>
      <c r="G7" s="1" t="s">
        <v>146</v>
      </c>
      <c r="H7" s="1" t="s">
        <v>164</v>
      </c>
      <c r="I7" s="1"/>
      <c r="J7" s="1"/>
      <c r="K7" s="1" t="s">
        <v>31</v>
      </c>
      <c r="L7" s="1">
        <v>7</v>
      </c>
      <c r="M7" s="1" t="s">
        <v>170</v>
      </c>
      <c r="N7" s="1" t="s">
        <v>31</v>
      </c>
    </row>
    <row r="8" spans="1:14">
      <c r="A8" s="38"/>
      <c r="B8" s="38"/>
      <c r="C8" s="38"/>
      <c r="D8" s="1" t="s">
        <v>35</v>
      </c>
      <c r="E8" s="1">
        <v>6</v>
      </c>
      <c r="F8" s="1" t="s">
        <v>157</v>
      </c>
      <c r="G8" s="1" t="s">
        <v>146</v>
      </c>
      <c r="H8" s="1" t="s">
        <v>165</v>
      </c>
      <c r="I8" s="1"/>
      <c r="J8" s="1"/>
      <c r="K8" s="1" t="s">
        <v>149</v>
      </c>
      <c r="L8" s="1">
        <v>3</v>
      </c>
      <c r="M8" s="1" t="s">
        <v>168</v>
      </c>
      <c r="N8" s="1" t="s">
        <v>44</v>
      </c>
    </row>
    <row r="9" spans="1:14">
      <c r="A9" s="38"/>
      <c r="B9" s="38"/>
      <c r="C9" s="38"/>
      <c r="D9" s="1" t="s">
        <v>30</v>
      </c>
      <c r="E9" s="1">
        <v>7</v>
      </c>
      <c r="F9" s="1" t="s">
        <v>151</v>
      </c>
      <c r="G9" s="1" t="s">
        <v>166</v>
      </c>
      <c r="H9" s="1" t="s">
        <v>159</v>
      </c>
      <c r="I9" s="1" t="s">
        <v>146</v>
      </c>
      <c r="J9" s="1" t="s">
        <v>148</v>
      </c>
      <c r="K9" s="1" t="s">
        <v>4</v>
      </c>
      <c r="L9" s="1">
        <v>4</v>
      </c>
      <c r="M9" s="1"/>
      <c r="N9" s="1"/>
    </row>
    <row r="10" spans="1:14">
      <c r="A10" s="38"/>
      <c r="B10" s="38"/>
      <c r="C10" s="38"/>
      <c r="D10" s="1" t="s">
        <v>36</v>
      </c>
      <c r="E10" s="1">
        <v>8</v>
      </c>
      <c r="F10" s="1"/>
      <c r="G10" s="1" t="s">
        <v>167</v>
      </c>
      <c r="H10" s="1" t="s">
        <v>141</v>
      </c>
      <c r="I10" s="1"/>
      <c r="J10" s="1"/>
      <c r="K10" s="1" t="s">
        <v>150</v>
      </c>
      <c r="L10" s="1">
        <v>5</v>
      </c>
      <c r="M10" s="1" t="s">
        <v>168</v>
      </c>
      <c r="N10" s="1" t="s">
        <v>45</v>
      </c>
    </row>
    <row r="11" spans="1:14">
      <c r="A11" s="38"/>
      <c r="B11" s="38"/>
      <c r="C11" s="38"/>
      <c r="D11" s="1" t="s">
        <v>37</v>
      </c>
      <c r="E11" s="1">
        <v>9</v>
      </c>
      <c r="F11" s="1" t="s">
        <v>154</v>
      </c>
      <c r="G11" s="1" t="s">
        <v>167</v>
      </c>
      <c r="H11" s="1" t="s">
        <v>142</v>
      </c>
      <c r="I11" s="1"/>
      <c r="J11" s="1"/>
      <c r="K11" s="1" t="s">
        <v>155</v>
      </c>
      <c r="L11" s="1">
        <v>8</v>
      </c>
      <c r="M11" s="1" t="s">
        <v>169</v>
      </c>
      <c r="N11" s="1" t="s">
        <v>46</v>
      </c>
    </row>
    <row r="12" spans="1:14">
      <c r="A12" s="38"/>
      <c r="B12" s="38"/>
      <c r="C12" s="38"/>
      <c r="D12" s="1" t="s">
        <v>140</v>
      </c>
      <c r="E12" s="1">
        <v>0</v>
      </c>
      <c r="F12" s="1" t="s">
        <v>154</v>
      </c>
      <c r="G12" s="1"/>
      <c r="H12" s="1"/>
      <c r="I12" s="1"/>
      <c r="J12" s="1"/>
      <c r="K12" s="1" t="s">
        <v>156</v>
      </c>
      <c r="L12" s="1">
        <v>9</v>
      </c>
      <c r="M12" s="1" t="s">
        <v>169</v>
      </c>
      <c r="N12" s="1" t="s">
        <v>47</v>
      </c>
    </row>
    <row r="13" spans="1:14">
      <c r="A13" s="38" t="s">
        <v>67</v>
      </c>
      <c r="B13" s="38" t="s">
        <v>67</v>
      </c>
      <c r="C13" s="38">
        <v>5</v>
      </c>
      <c r="D13" s="1" t="s">
        <v>29</v>
      </c>
      <c r="E13" s="1">
        <v>1</v>
      </c>
      <c r="F13" s="1" t="s">
        <v>151</v>
      </c>
      <c r="G13" s="1" t="s">
        <v>166</v>
      </c>
      <c r="H13" s="1" t="s">
        <v>159</v>
      </c>
      <c r="I13" s="1" t="s">
        <v>146</v>
      </c>
      <c r="J13" s="1" t="s">
        <v>147</v>
      </c>
      <c r="K13" s="1"/>
      <c r="L13" s="1"/>
      <c r="M13" s="1"/>
      <c r="N13" s="1"/>
    </row>
    <row r="14" spans="1:14">
      <c r="A14" s="38"/>
      <c r="B14" s="38"/>
      <c r="C14" s="38"/>
      <c r="D14" s="1" t="s">
        <v>32</v>
      </c>
      <c r="E14" s="1">
        <v>2</v>
      </c>
      <c r="F14" s="1" t="s">
        <v>154</v>
      </c>
      <c r="G14" s="1" t="s">
        <v>146</v>
      </c>
      <c r="H14" s="1" t="s">
        <v>161</v>
      </c>
      <c r="I14" s="1"/>
      <c r="J14" s="1"/>
      <c r="K14" s="1" t="s">
        <v>41</v>
      </c>
      <c r="L14" s="1">
        <v>0</v>
      </c>
      <c r="M14" s="1" t="s">
        <v>170</v>
      </c>
      <c r="N14" s="1" t="s">
        <v>152</v>
      </c>
    </row>
    <row r="15" spans="1:14">
      <c r="A15" s="38"/>
      <c r="B15" s="38"/>
      <c r="C15" s="38"/>
      <c r="D15" s="1" t="s">
        <v>33</v>
      </c>
      <c r="E15" s="1">
        <v>3</v>
      </c>
      <c r="F15" s="1" t="s">
        <v>154</v>
      </c>
      <c r="G15" s="1" t="s">
        <v>146</v>
      </c>
      <c r="H15" s="1" t="s">
        <v>162</v>
      </c>
      <c r="I15" s="1"/>
      <c r="J15" s="1"/>
      <c r="K15" s="1" t="s">
        <v>42</v>
      </c>
      <c r="L15" s="1">
        <v>1</v>
      </c>
      <c r="M15" s="1" t="s">
        <v>170</v>
      </c>
      <c r="N15" s="1" t="s">
        <v>153</v>
      </c>
    </row>
    <row r="16" spans="1:14">
      <c r="A16" s="38"/>
      <c r="B16" s="38"/>
      <c r="C16" s="38"/>
      <c r="D16" s="1" t="s">
        <v>160</v>
      </c>
      <c r="E16" s="1">
        <v>4</v>
      </c>
      <c r="F16" s="1" t="s">
        <v>154</v>
      </c>
      <c r="G16" s="1" t="s">
        <v>146</v>
      </c>
      <c r="H16" s="1" t="s">
        <v>163</v>
      </c>
      <c r="I16" s="1"/>
      <c r="J16" s="1"/>
      <c r="K16" s="1" t="s">
        <v>43</v>
      </c>
      <c r="L16" s="1">
        <v>2</v>
      </c>
      <c r="M16" s="1" t="s">
        <v>170</v>
      </c>
      <c r="N16" s="1" t="s">
        <v>43</v>
      </c>
    </row>
    <row r="17" spans="1:14">
      <c r="A17" s="38"/>
      <c r="B17" s="38"/>
      <c r="C17" s="38"/>
      <c r="D17" s="1" t="s">
        <v>34</v>
      </c>
      <c r="E17" s="1">
        <v>5</v>
      </c>
      <c r="F17" s="1" t="s">
        <v>154</v>
      </c>
      <c r="G17" s="1" t="s">
        <v>146</v>
      </c>
      <c r="H17" s="1" t="s">
        <v>164</v>
      </c>
      <c r="I17" s="1"/>
      <c r="J17" s="1"/>
      <c r="K17" s="1" t="s">
        <v>31</v>
      </c>
      <c r="L17" s="1">
        <v>7</v>
      </c>
      <c r="M17" s="1" t="s">
        <v>170</v>
      </c>
      <c r="N17" s="1" t="s">
        <v>31</v>
      </c>
    </row>
    <row r="18" spans="1:14">
      <c r="A18" s="38"/>
      <c r="B18" s="38"/>
      <c r="C18" s="38"/>
      <c r="D18" s="1" t="s">
        <v>35</v>
      </c>
      <c r="E18" s="1">
        <v>6</v>
      </c>
      <c r="F18" s="1" t="s">
        <v>157</v>
      </c>
      <c r="G18" s="1" t="s">
        <v>146</v>
      </c>
      <c r="H18" s="1" t="s">
        <v>165</v>
      </c>
      <c r="I18" s="1"/>
      <c r="J18" s="1"/>
      <c r="K18" s="1" t="s">
        <v>3</v>
      </c>
      <c r="L18" s="1">
        <v>3</v>
      </c>
      <c r="M18" s="1" t="s">
        <v>168</v>
      </c>
      <c r="N18" s="1" t="s">
        <v>44</v>
      </c>
    </row>
    <row r="19" spans="1:14">
      <c r="A19" s="38"/>
      <c r="B19" s="38"/>
      <c r="C19" s="38"/>
      <c r="D19" s="1" t="s">
        <v>30</v>
      </c>
      <c r="E19" s="1">
        <v>7</v>
      </c>
      <c r="F19" s="1" t="s">
        <v>151</v>
      </c>
      <c r="G19" s="1" t="s">
        <v>166</v>
      </c>
      <c r="H19" s="1" t="s">
        <v>159</v>
      </c>
      <c r="I19" s="1" t="s">
        <v>146</v>
      </c>
      <c r="J19" s="1" t="s">
        <v>148</v>
      </c>
      <c r="K19" s="1" t="s">
        <v>4</v>
      </c>
      <c r="L19" s="1">
        <v>4</v>
      </c>
      <c r="M19" s="1"/>
      <c r="N19" s="1"/>
    </row>
    <row r="20" spans="1:14">
      <c r="A20" s="38"/>
      <c r="B20" s="38"/>
      <c r="C20" s="38"/>
      <c r="D20" s="1" t="s">
        <v>36</v>
      </c>
      <c r="E20" s="1">
        <v>8</v>
      </c>
      <c r="F20" s="1"/>
      <c r="G20" s="1" t="s">
        <v>167</v>
      </c>
      <c r="H20" s="1" t="s">
        <v>141</v>
      </c>
      <c r="I20" s="1"/>
      <c r="J20" s="1"/>
      <c r="K20" s="1" t="s">
        <v>5</v>
      </c>
      <c r="L20" s="1">
        <v>5</v>
      </c>
      <c r="M20" s="1" t="s">
        <v>168</v>
      </c>
      <c r="N20" s="1" t="s">
        <v>45</v>
      </c>
    </row>
    <row r="21" spans="1:14">
      <c r="A21" s="38"/>
      <c r="B21" s="38"/>
      <c r="C21" s="38"/>
      <c r="D21" s="1" t="s">
        <v>37</v>
      </c>
      <c r="E21" s="1">
        <v>9</v>
      </c>
      <c r="F21" s="1" t="s">
        <v>154</v>
      </c>
      <c r="G21" s="1" t="s">
        <v>167</v>
      </c>
      <c r="H21" s="1" t="s">
        <v>142</v>
      </c>
      <c r="I21" s="1"/>
      <c r="J21" s="1"/>
      <c r="K21" s="1" t="s">
        <v>38</v>
      </c>
      <c r="L21" s="1">
        <v>8</v>
      </c>
      <c r="M21" s="1" t="s">
        <v>167</v>
      </c>
      <c r="N21" s="1" t="s">
        <v>46</v>
      </c>
    </row>
    <row r="22" spans="1:14">
      <c r="A22" s="38"/>
      <c r="B22" s="38"/>
      <c r="C22" s="38"/>
      <c r="D22" s="1" t="s">
        <v>140</v>
      </c>
      <c r="E22" s="1">
        <v>0</v>
      </c>
      <c r="F22" s="1" t="s">
        <v>154</v>
      </c>
      <c r="G22" s="1"/>
      <c r="H22" s="1"/>
      <c r="I22" s="1"/>
      <c r="J22" s="1"/>
      <c r="K22" s="1" t="s">
        <v>39</v>
      </c>
      <c r="L22" s="1">
        <v>9</v>
      </c>
      <c r="M22" s="1" t="s">
        <v>167</v>
      </c>
      <c r="N22" s="1" t="s">
        <v>47</v>
      </c>
    </row>
    <row r="23" spans="1:14">
      <c r="A23" s="38" t="s">
        <v>40</v>
      </c>
      <c r="B23" s="38" t="s">
        <v>40</v>
      </c>
      <c r="C23" s="38">
        <v>6</v>
      </c>
      <c r="D23" s="1" t="s">
        <v>29</v>
      </c>
      <c r="E23" s="1">
        <v>1</v>
      </c>
      <c r="F23" s="1" t="s">
        <v>151</v>
      </c>
      <c r="G23" s="1" t="s">
        <v>166</v>
      </c>
      <c r="H23" s="1" t="s">
        <v>159</v>
      </c>
      <c r="I23" s="1" t="s">
        <v>146</v>
      </c>
      <c r="J23" s="1" t="s">
        <v>147</v>
      </c>
      <c r="K23" s="1"/>
      <c r="L23" s="1"/>
      <c r="M23" s="1"/>
      <c r="N23" s="1"/>
    </row>
    <row r="24" spans="1:14">
      <c r="A24" s="38"/>
      <c r="B24" s="38"/>
      <c r="C24" s="38"/>
      <c r="D24" s="1" t="s">
        <v>32</v>
      </c>
      <c r="E24" s="1">
        <v>2</v>
      </c>
      <c r="F24" s="1" t="s">
        <v>154</v>
      </c>
      <c r="G24" s="1" t="s">
        <v>146</v>
      </c>
      <c r="H24" s="1" t="s">
        <v>161</v>
      </c>
      <c r="I24" s="1"/>
      <c r="J24" s="1"/>
      <c r="K24" s="1" t="s">
        <v>41</v>
      </c>
      <c r="L24" s="1">
        <v>0</v>
      </c>
      <c r="M24" s="1" t="s">
        <v>170</v>
      </c>
      <c r="N24" s="1" t="s">
        <v>152</v>
      </c>
    </row>
    <row r="25" spans="1:14">
      <c r="A25" s="38"/>
      <c r="B25" s="38"/>
      <c r="C25" s="38"/>
      <c r="D25" s="1" t="s">
        <v>33</v>
      </c>
      <c r="E25" s="1">
        <v>3</v>
      </c>
      <c r="F25" s="1" t="s">
        <v>154</v>
      </c>
      <c r="G25" s="1" t="s">
        <v>146</v>
      </c>
      <c r="H25" s="1" t="s">
        <v>162</v>
      </c>
      <c r="I25" s="1"/>
      <c r="J25" s="1"/>
      <c r="K25" s="1" t="s">
        <v>42</v>
      </c>
      <c r="L25" s="1">
        <v>1</v>
      </c>
      <c r="M25" s="1" t="s">
        <v>170</v>
      </c>
      <c r="N25" s="1" t="s">
        <v>153</v>
      </c>
    </row>
    <row r="26" spans="1:14">
      <c r="A26" s="38"/>
      <c r="B26" s="38"/>
      <c r="C26" s="38"/>
      <c r="D26" s="1" t="s">
        <v>160</v>
      </c>
      <c r="E26" s="1">
        <v>4</v>
      </c>
      <c r="F26" s="1" t="s">
        <v>154</v>
      </c>
      <c r="G26" s="1" t="s">
        <v>146</v>
      </c>
      <c r="H26" s="1" t="s">
        <v>163</v>
      </c>
      <c r="I26" s="1"/>
      <c r="J26" s="1"/>
      <c r="K26" s="1" t="s">
        <v>43</v>
      </c>
      <c r="L26" s="1">
        <v>2</v>
      </c>
      <c r="M26" s="1" t="s">
        <v>170</v>
      </c>
      <c r="N26" s="1" t="s">
        <v>43</v>
      </c>
    </row>
    <row r="27" spans="1:14">
      <c r="A27" s="38"/>
      <c r="B27" s="38"/>
      <c r="C27" s="38"/>
      <c r="D27" s="1" t="s">
        <v>34</v>
      </c>
      <c r="E27" s="1">
        <v>5</v>
      </c>
      <c r="F27" s="1" t="s">
        <v>154</v>
      </c>
      <c r="G27" s="1" t="s">
        <v>146</v>
      </c>
      <c r="H27" s="1" t="s">
        <v>164</v>
      </c>
      <c r="I27" s="1"/>
      <c r="J27" s="1"/>
      <c r="K27" s="1" t="s">
        <v>31</v>
      </c>
      <c r="L27" s="1">
        <v>7</v>
      </c>
      <c r="M27" s="1" t="s">
        <v>170</v>
      </c>
      <c r="N27" s="1" t="s">
        <v>31</v>
      </c>
    </row>
    <row r="28" spans="1:14">
      <c r="A28" s="38"/>
      <c r="B28" s="38"/>
      <c r="C28" s="38"/>
      <c r="D28" s="1" t="s">
        <v>35</v>
      </c>
      <c r="E28" s="1">
        <v>6</v>
      </c>
      <c r="F28" s="1" t="s">
        <v>157</v>
      </c>
      <c r="G28" s="1" t="s">
        <v>146</v>
      </c>
      <c r="H28" s="1" t="s">
        <v>165</v>
      </c>
      <c r="I28" s="1"/>
      <c r="J28" s="1"/>
      <c r="K28" s="1" t="s">
        <v>3</v>
      </c>
      <c r="L28" s="1">
        <v>3</v>
      </c>
      <c r="M28" s="1" t="s">
        <v>166</v>
      </c>
      <c r="N28" s="1" t="s">
        <v>44</v>
      </c>
    </row>
    <row r="29" spans="1:14">
      <c r="A29" s="38"/>
      <c r="B29" s="38"/>
      <c r="C29" s="38"/>
      <c r="D29" s="1" t="s">
        <v>30</v>
      </c>
      <c r="E29" s="1">
        <v>7</v>
      </c>
      <c r="F29" s="1" t="s">
        <v>151</v>
      </c>
      <c r="G29" s="1" t="s">
        <v>166</v>
      </c>
      <c r="H29" s="1" t="s">
        <v>159</v>
      </c>
      <c r="I29" s="1" t="s">
        <v>146</v>
      </c>
      <c r="J29" s="1" t="s">
        <v>148</v>
      </c>
      <c r="K29" s="1" t="s">
        <v>4</v>
      </c>
      <c r="L29" s="1">
        <v>4</v>
      </c>
      <c r="M29" s="1"/>
      <c r="N29" s="1"/>
    </row>
    <row r="30" spans="1:14">
      <c r="A30" s="38"/>
      <c r="B30" s="38"/>
      <c r="C30" s="38"/>
      <c r="D30" s="1" t="s">
        <v>36</v>
      </c>
      <c r="E30" s="1">
        <v>8</v>
      </c>
      <c r="F30" s="1"/>
      <c r="G30" s="1" t="s">
        <v>167</v>
      </c>
      <c r="H30" s="1" t="s">
        <v>141</v>
      </c>
      <c r="I30" s="1"/>
      <c r="J30" s="1"/>
      <c r="K30" s="1" t="s">
        <v>5</v>
      </c>
      <c r="L30" s="1">
        <v>5</v>
      </c>
      <c r="M30" s="1" t="s">
        <v>166</v>
      </c>
      <c r="N30" s="1" t="s">
        <v>45</v>
      </c>
    </row>
    <row r="31" spans="1:14">
      <c r="A31" s="38"/>
      <c r="B31" s="38"/>
      <c r="C31" s="38"/>
      <c r="D31" s="1" t="s">
        <v>37</v>
      </c>
      <c r="E31" s="1">
        <v>9</v>
      </c>
      <c r="F31" s="1" t="s">
        <v>154</v>
      </c>
      <c r="G31" s="1" t="s">
        <v>167</v>
      </c>
      <c r="H31" s="1" t="s">
        <v>142</v>
      </c>
      <c r="I31" s="1"/>
      <c r="J31" s="1"/>
      <c r="K31" s="1" t="s">
        <v>38</v>
      </c>
      <c r="L31" s="1">
        <v>8</v>
      </c>
      <c r="M31" s="1" t="s">
        <v>167</v>
      </c>
      <c r="N31" s="1" t="s">
        <v>46</v>
      </c>
    </row>
    <row r="32" spans="1:14">
      <c r="A32" s="38"/>
      <c r="B32" s="38"/>
      <c r="C32" s="38"/>
      <c r="D32" s="1" t="s">
        <v>140</v>
      </c>
      <c r="E32" s="1">
        <v>0</v>
      </c>
      <c r="F32" s="1" t="s">
        <v>154</v>
      </c>
      <c r="G32" s="1"/>
      <c r="H32" s="1"/>
      <c r="I32" s="1"/>
      <c r="J32" s="1"/>
      <c r="K32" s="1" t="s">
        <v>39</v>
      </c>
      <c r="L32" s="1">
        <v>9</v>
      </c>
      <c r="M32" s="1" t="s">
        <v>167</v>
      </c>
      <c r="N32" s="1" t="s">
        <v>47</v>
      </c>
    </row>
    <row r="33" spans="2:14"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>
      <formula1>"Pattern,Voltage,Label,Action"</formula1>
    </dataValidation>
    <dataValidation type="list" allowBlank="1" showInputMessage="1" showErrorMessage="1" sqref="M4:M7 M14:M17 M24:M27">
      <formula1>"Pattern,Voltage,Label,Action,Level"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E11"/>
  <sheetViews>
    <sheetView tabSelected="1" workbookViewId="0">
      <selection activeCell="E10" sqref="E10"/>
    </sheetView>
  </sheetViews>
  <sheetFormatPr defaultRowHeight="15.75"/>
  <cols>
    <col min="1" max="1" width="20.85546875" customWidth="1"/>
    <col min="2" max="2" width="15.5703125" customWidth="1"/>
    <col min="3" max="3" width="14.7109375" customWidth="1"/>
    <col min="5" max="5" width="16.140625" customWidth="1"/>
  </cols>
  <sheetData>
    <row r="1" spans="1:5">
      <c r="A1" s="5" t="s">
        <v>129</v>
      </c>
      <c r="B1" s="5" t="s">
        <v>68</v>
      </c>
      <c r="C1" s="5" t="s">
        <v>69</v>
      </c>
      <c r="D1" s="5" t="s">
        <v>70</v>
      </c>
      <c r="E1" s="5" t="s">
        <v>75</v>
      </c>
    </row>
    <row r="2" spans="1:5">
      <c r="A2" s="1" t="s">
        <v>138</v>
      </c>
      <c r="B2" s="1" t="s">
        <v>123</v>
      </c>
      <c r="C2" s="1" t="s">
        <v>122</v>
      </c>
      <c r="D2" s="1" t="s">
        <v>72</v>
      </c>
      <c r="E2" s="1" t="s">
        <v>76</v>
      </c>
    </row>
    <row r="3" spans="1:5">
      <c r="A3" s="1" t="s">
        <v>139</v>
      </c>
      <c r="B3" s="1" t="s">
        <v>176</v>
      </c>
      <c r="C3" s="1" t="s">
        <v>130</v>
      </c>
      <c r="D3" s="1" t="s">
        <v>73</v>
      </c>
      <c r="E3" s="1" t="s">
        <v>77</v>
      </c>
    </row>
    <row r="4" spans="1:5">
      <c r="A4" s="1" t="s">
        <v>124</v>
      </c>
      <c r="B4" s="1"/>
      <c r="C4" s="1"/>
      <c r="D4" s="1" t="s">
        <v>74</v>
      </c>
      <c r="E4" s="1" t="s">
        <v>78</v>
      </c>
    </row>
    <row r="5" spans="1:5">
      <c r="A5" s="1" t="s">
        <v>125</v>
      </c>
      <c r="B5" s="1"/>
      <c r="C5" s="1"/>
      <c r="D5" s="1" t="s">
        <v>172</v>
      </c>
      <c r="E5" s="1" t="s">
        <v>79</v>
      </c>
    </row>
    <row r="6" spans="1:5">
      <c r="A6" s="1" t="s">
        <v>126</v>
      </c>
      <c r="B6" s="1"/>
      <c r="C6" s="1"/>
      <c r="D6" s="1"/>
      <c r="E6" s="1" t="s">
        <v>80</v>
      </c>
    </row>
    <row r="7" spans="1:5">
      <c r="A7" s="1" t="s">
        <v>127</v>
      </c>
      <c r="B7" s="1"/>
      <c r="C7" s="1"/>
      <c r="D7" s="1"/>
      <c r="E7" s="1" t="s">
        <v>81</v>
      </c>
    </row>
    <row r="8" spans="1:5">
      <c r="A8" s="1" t="s">
        <v>133</v>
      </c>
      <c r="B8" s="1"/>
      <c r="C8" s="1"/>
      <c r="D8" s="1"/>
      <c r="E8" s="1" t="s">
        <v>83</v>
      </c>
    </row>
    <row r="9" spans="1:5">
      <c r="A9" s="1" t="s">
        <v>128</v>
      </c>
      <c r="B9" s="1"/>
      <c r="C9" s="1"/>
      <c r="D9" s="1"/>
      <c r="E9" s="1" t="s">
        <v>85</v>
      </c>
    </row>
    <row r="10" spans="1:5">
      <c r="A10" s="1"/>
      <c r="B10" s="1"/>
      <c r="C10" s="1"/>
      <c r="D10" s="1"/>
      <c r="E10" s="1" t="s">
        <v>256</v>
      </c>
    </row>
    <row r="11" spans="1:5">
      <c r="A11" s="1"/>
      <c r="B11" s="1"/>
      <c r="C11" s="1"/>
      <c r="D11" s="1"/>
      <c r="E11" s="1" t="s">
        <v>257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H48"/>
  <sheetViews>
    <sheetView workbookViewId="0">
      <selection activeCell="D24" sqref="D24"/>
    </sheetView>
  </sheetViews>
  <sheetFormatPr defaultRowHeight="15.75"/>
  <cols>
    <col min="1" max="1" width="24.42578125" style="18" customWidth="1"/>
    <col min="2" max="2" width="14.140625" style="18" bestFit="1" customWidth="1"/>
    <col min="3" max="3" width="22.85546875" style="18" bestFit="1" customWidth="1"/>
    <col min="4" max="4" width="22.7109375" style="18" bestFit="1" customWidth="1"/>
    <col min="5" max="5" width="21.7109375" style="18" bestFit="1" customWidth="1"/>
    <col min="6" max="6" width="13.28515625" style="18" bestFit="1" customWidth="1"/>
    <col min="7" max="7" width="6.85546875" style="18" bestFit="1" customWidth="1"/>
    <col min="8" max="8" width="10.28515625" style="18" bestFit="1" customWidth="1"/>
    <col min="10" max="10" width="16.85546875" customWidth="1"/>
  </cols>
  <sheetData>
    <row r="1" spans="1:8" ht="17.25" thickTop="1" thickBot="1">
      <c r="A1" s="16" t="s">
        <v>104</v>
      </c>
      <c r="B1" s="17" t="s">
        <v>143</v>
      </c>
      <c r="C1" s="17" t="s">
        <v>144</v>
      </c>
      <c r="D1" s="16" t="s">
        <v>105</v>
      </c>
      <c r="E1" s="16" t="s">
        <v>106</v>
      </c>
      <c r="F1" s="17" t="s">
        <v>107</v>
      </c>
      <c r="G1" s="16" t="s">
        <v>108</v>
      </c>
      <c r="H1" s="16" t="s">
        <v>145</v>
      </c>
    </row>
    <row r="2" spans="1:8" s="19" customFormat="1" ht="17.25" thickTop="1">
      <c r="A2" s="20" t="s">
        <v>178</v>
      </c>
      <c r="B2" s="21" t="s">
        <v>179</v>
      </c>
      <c r="C2" s="20" t="s">
        <v>178</v>
      </c>
      <c r="D2" s="20">
        <v>5</v>
      </c>
      <c r="E2" s="20">
        <v>5</v>
      </c>
      <c r="F2" s="20" t="s">
        <v>177</v>
      </c>
      <c r="G2" s="22">
        <f t="shared" ref="G2:G10" si="0">E2-D2+1</f>
        <v>1</v>
      </c>
      <c r="H2" s="22">
        <v>5</v>
      </c>
    </row>
    <row r="3" spans="1:8" s="19" customFormat="1" ht="16.5">
      <c r="A3" s="20" t="s">
        <v>183</v>
      </c>
      <c r="B3" s="21" t="s">
        <v>184</v>
      </c>
      <c r="C3" s="20" t="s">
        <v>183</v>
      </c>
      <c r="D3" s="20">
        <v>6</v>
      </c>
      <c r="E3" s="20">
        <v>6</v>
      </c>
      <c r="F3" s="20" t="s">
        <v>177</v>
      </c>
      <c r="G3" s="22">
        <f t="shared" si="0"/>
        <v>1</v>
      </c>
      <c r="H3" s="22">
        <v>5</v>
      </c>
    </row>
    <row r="4" spans="1:8" s="19" customFormat="1" ht="16.5">
      <c r="A4" s="20" t="s">
        <v>185</v>
      </c>
      <c r="B4" s="21" t="s">
        <v>184</v>
      </c>
      <c r="C4" s="20" t="s">
        <v>185</v>
      </c>
      <c r="D4" s="20">
        <v>7</v>
      </c>
      <c r="E4" s="20">
        <v>7</v>
      </c>
      <c r="F4" s="20" t="s">
        <v>177</v>
      </c>
      <c r="G4" s="22">
        <f t="shared" si="0"/>
        <v>1</v>
      </c>
      <c r="H4" s="22">
        <v>5</v>
      </c>
    </row>
    <row r="5" spans="1:8" s="19" customFormat="1" ht="16.5">
      <c r="A5" s="20" t="s">
        <v>186</v>
      </c>
      <c r="B5" s="21" t="s">
        <v>184</v>
      </c>
      <c r="C5" s="20" t="s">
        <v>187</v>
      </c>
      <c r="D5" s="20">
        <v>8</v>
      </c>
      <c r="E5" s="20">
        <v>8</v>
      </c>
      <c r="F5" s="20" t="s">
        <v>177</v>
      </c>
      <c r="G5" s="22">
        <f t="shared" si="0"/>
        <v>1</v>
      </c>
      <c r="H5" s="22">
        <v>5</v>
      </c>
    </row>
    <row r="6" spans="1:8" s="19" customFormat="1" ht="16.5">
      <c r="A6" s="20" t="s">
        <v>188</v>
      </c>
      <c r="B6" s="21" t="s">
        <v>184</v>
      </c>
      <c r="C6" s="20" t="s">
        <v>189</v>
      </c>
      <c r="D6" s="20">
        <v>8</v>
      </c>
      <c r="E6" s="20">
        <v>8</v>
      </c>
      <c r="F6" s="20" t="s">
        <v>177</v>
      </c>
      <c r="G6" s="22">
        <f t="shared" si="0"/>
        <v>1</v>
      </c>
      <c r="H6" s="22">
        <v>5</v>
      </c>
    </row>
    <row r="7" spans="1:8" s="19" customFormat="1" ht="16.5">
      <c r="A7" s="20" t="s">
        <v>190</v>
      </c>
      <c r="B7" s="21" t="s">
        <v>190</v>
      </c>
      <c r="C7" s="20" t="s">
        <v>190</v>
      </c>
      <c r="D7" s="20">
        <v>99</v>
      </c>
      <c r="E7" s="20">
        <v>99</v>
      </c>
      <c r="F7" s="20" t="s">
        <v>182</v>
      </c>
      <c r="G7" s="22">
        <f t="shared" si="0"/>
        <v>1</v>
      </c>
      <c r="H7" s="22">
        <v>6</v>
      </c>
    </row>
    <row r="8" spans="1:8" s="19" customFormat="1" ht="16.5">
      <c r="A8" s="20" t="s">
        <v>219</v>
      </c>
      <c r="B8" s="21" t="s">
        <v>220</v>
      </c>
      <c r="C8" s="20" t="s">
        <v>221</v>
      </c>
      <c r="D8" s="20">
        <v>51</v>
      </c>
      <c r="E8" s="20">
        <v>60</v>
      </c>
      <c r="F8" s="20" t="s">
        <v>109</v>
      </c>
      <c r="G8" s="22">
        <f t="shared" si="0"/>
        <v>10</v>
      </c>
      <c r="H8" s="22">
        <v>9</v>
      </c>
    </row>
    <row r="9" spans="1:8" s="19" customFormat="1" ht="16.5">
      <c r="A9" s="20" t="s">
        <v>255</v>
      </c>
      <c r="B9" s="20" t="s">
        <v>247</v>
      </c>
      <c r="C9" s="20" t="s">
        <v>247</v>
      </c>
      <c r="D9" s="20">
        <v>61</v>
      </c>
      <c r="E9" s="20">
        <v>149</v>
      </c>
      <c r="F9" s="20" t="s">
        <v>109</v>
      </c>
      <c r="G9" s="22">
        <f t="shared" si="0"/>
        <v>89</v>
      </c>
      <c r="H9" s="22">
        <v>9</v>
      </c>
    </row>
    <row r="10" spans="1:8" s="19" customFormat="1" ht="16.5">
      <c r="A10" s="20" t="s">
        <v>180</v>
      </c>
      <c r="B10" s="20" t="s">
        <v>191</v>
      </c>
      <c r="C10" s="21" t="s">
        <v>181</v>
      </c>
      <c r="D10" s="20">
        <v>150</v>
      </c>
      <c r="E10" s="20">
        <v>154</v>
      </c>
      <c r="F10" s="20" t="s">
        <v>109</v>
      </c>
      <c r="G10" s="22">
        <f t="shared" si="0"/>
        <v>5</v>
      </c>
      <c r="H10" s="22">
        <v>7</v>
      </c>
    </row>
    <row r="11" spans="1:8" s="19" customFormat="1" ht="16.5">
      <c r="A11" s="20" t="s">
        <v>192</v>
      </c>
      <c r="B11" s="20" t="s">
        <v>191</v>
      </c>
      <c r="C11" s="21" t="s">
        <v>193</v>
      </c>
      <c r="D11" s="20">
        <v>155</v>
      </c>
      <c r="E11" s="20">
        <v>159</v>
      </c>
      <c r="F11" s="20" t="s">
        <v>109</v>
      </c>
      <c r="G11" s="22">
        <f t="shared" ref="G11:G48" si="1">E11-D11+1</f>
        <v>5</v>
      </c>
      <c r="H11" s="22">
        <v>7</v>
      </c>
    </row>
    <row r="12" spans="1:8" s="19" customFormat="1" ht="16.5">
      <c r="A12" s="20" t="s">
        <v>194</v>
      </c>
      <c r="B12" s="20" t="s">
        <v>254</v>
      </c>
      <c r="C12" s="21" t="s">
        <v>195</v>
      </c>
      <c r="D12" s="20">
        <v>160</v>
      </c>
      <c r="E12" s="20">
        <v>164</v>
      </c>
      <c r="F12" s="20" t="s">
        <v>109</v>
      </c>
      <c r="G12" s="22">
        <f t="shared" si="1"/>
        <v>5</v>
      </c>
      <c r="H12" s="22">
        <v>7</v>
      </c>
    </row>
    <row r="13" spans="1:8" s="19" customFormat="1" ht="16.5">
      <c r="A13" s="20" t="s">
        <v>196</v>
      </c>
      <c r="B13" s="20" t="s">
        <v>191</v>
      </c>
      <c r="C13" s="21" t="s">
        <v>197</v>
      </c>
      <c r="D13" s="20">
        <v>165</v>
      </c>
      <c r="E13" s="20">
        <v>169</v>
      </c>
      <c r="F13" s="20" t="s">
        <v>109</v>
      </c>
      <c r="G13" s="22">
        <f t="shared" si="1"/>
        <v>5</v>
      </c>
      <c r="H13" s="22">
        <v>7</v>
      </c>
    </row>
    <row r="14" spans="1:8" s="19" customFormat="1" ht="16.5">
      <c r="A14" s="20" t="s">
        <v>198</v>
      </c>
      <c r="B14" s="20" t="s">
        <v>191</v>
      </c>
      <c r="C14" s="21" t="s">
        <v>199</v>
      </c>
      <c r="D14" s="20">
        <v>170</v>
      </c>
      <c r="E14" s="20">
        <v>174</v>
      </c>
      <c r="F14" s="20" t="s">
        <v>109</v>
      </c>
      <c r="G14" s="22">
        <f t="shared" si="1"/>
        <v>5</v>
      </c>
      <c r="H14" s="22">
        <v>7</v>
      </c>
    </row>
    <row r="15" spans="1:8" s="19" customFormat="1" ht="16.5">
      <c r="A15" s="20" t="s">
        <v>200</v>
      </c>
      <c r="B15" s="20" t="s">
        <v>191</v>
      </c>
      <c r="C15" s="21" t="s">
        <v>201</v>
      </c>
      <c r="D15" s="20">
        <v>175</v>
      </c>
      <c r="E15" s="20">
        <v>179</v>
      </c>
      <c r="F15" s="20" t="s">
        <v>109</v>
      </c>
      <c r="G15" s="22">
        <f t="shared" si="1"/>
        <v>5</v>
      </c>
      <c r="H15" s="22">
        <v>7</v>
      </c>
    </row>
    <row r="16" spans="1:8" s="19" customFormat="1" ht="16.5">
      <c r="A16" s="20" t="s">
        <v>202</v>
      </c>
      <c r="B16" s="20" t="s">
        <v>191</v>
      </c>
      <c r="C16" s="21" t="s">
        <v>203</v>
      </c>
      <c r="D16" s="20">
        <v>180</v>
      </c>
      <c r="E16" s="20">
        <v>184</v>
      </c>
      <c r="F16" s="20" t="s">
        <v>109</v>
      </c>
      <c r="G16" s="22">
        <f t="shared" si="1"/>
        <v>5</v>
      </c>
      <c r="H16" s="22">
        <v>7</v>
      </c>
    </row>
    <row r="17" spans="1:8" s="19" customFormat="1" ht="16.5">
      <c r="A17" s="20" t="s">
        <v>204</v>
      </c>
      <c r="B17" s="20" t="s">
        <v>206</v>
      </c>
      <c r="C17" s="21" t="s">
        <v>205</v>
      </c>
      <c r="D17" s="20">
        <v>185</v>
      </c>
      <c r="E17" s="20">
        <v>189</v>
      </c>
      <c r="F17" s="20" t="s">
        <v>109</v>
      </c>
      <c r="G17" s="22">
        <f t="shared" si="1"/>
        <v>5</v>
      </c>
      <c r="H17" s="22">
        <v>7</v>
      </c>
    </row>
    <row r="18" spans="1:8" s="19" customFormat="1" ht="16.5">
      <c r="A18" s="20" t="s">
        <v>207</v>
      </c>
      <c r="B18" s="20" t="s">
        <v>206</v>
      </c>
      <c r="C18" s="21" t="s">
        <v>208</v>
      </c>
      <c r="D18" s="20">
        <v>190</v>
      </c>
      <c r="E18" s="20">
        <v>194</v>
      </c>
      <c r="F18" s="20" t="s">
        <v>109</v>
      </c>
      <c r="G18" s="22">
        <f t="shared" si="1"/>
        <v>5</v>
      </c>
      <c r="H18" s="22">
        <v>7</v>
      </c>
    </row>
    <row r="19" spans="1:8" s="19" customFormat="1" ht="16.5">
      <c r="A19" s="20" t="s">
        <v>209</v>
      </c>
      <c r="B19" s="20" t="s">
        <v>206</v>
      </c>
      <c r="C19" s="21" t="s">
        <v>210</v>
      </c>
      <c r="D19" s="20">
        <v>195</v>
      </c>
      <c r="E19" s="20">
        <v>199</v>
      </c>
      <c r="F19" s="20" t="s">
        <v>109</v>
      </c>
      <c r="G19" s="22">
        <f t="shared" si="1"/>
        <v>5</v>
      </c>
      <c r="H19" s="22">
        <v>7</v>
      </c>
    </row>
    <row r="20" spans="1:8" s="19" customFormat="1" ht="16.5">
      <c r="A20" s="20" t="s">
        <v>211</v>
      </c>
      <c r="B20" s="20" t="s">
        <v>206</v>
      </c>
      <c r="C20" s="21" t="s">
        <v>212</v>
      </c>
      <c r="D20" s="20">
        <v>200</v>
      </c>
      <c r="E20" s="20">
        <v>204</v>
      </c>
      <c r="F20" s="20" t="s">
        <v>109</v>
      </c>
      <c r="G20" s="22">
        <f t="shared" si="1"/>
        <v>5</v>
      </c>
      <c r="H20" s="22">
        <v>7</v>
      </c>
    </row>
    <row r="21" spans="1:8" s="19" customFormat="1" ht="16.5">
      <c r="A21" s="20" t="s">
        <v>213</v>
      </c>
      <c r="B21" s="20" t="s">
        <v>206</v>
      </c>
      <c r="C21" s="21" t="s">
        <v>214</v>
      </c>
      <c r="D21" s="20">
        <v>205</v>
      </c>
      <c r="E21" s="20">
        <v>209</v>
      </c>
      <c r="F21" s="20" t="s">
        <v>109</v>
      </c>
      <c r="G21" s="22">
        <f t="shared" si="1"/>
        <v>5</v>
      </c>
      <c r="H21" s="22">
        <v>7</v>
      </c>
    </row>
    <row r="22" spans="1:8" s="19" customFormat="1" ht="16.5">
      <c r="A22" s="20" t="s">
        <v>215</v>
      </c>
      <c r="B22" s="20" t="s">
        <v>206</v>
      </c>
      <c r="C22" s="21" t="s">
        <v>216</v>
      </c>
      <c r="D22" s="20">
        <v>210</v>
      </c>
      <c r="E22" s="20">
        <v>214</v>
      </c>
      <c r="F22" s="20" t="s">
        <v>109</v>
      </c>
      <c r="G22" s="22">
        <f t="shared" si="1"/>
        <v>5</v>
      </c>
      <c r="H22" s="22">
        <v>7</v>
      </c>
    </row>
    <row r="23" spans="1:8" s="19" customFormat="1" ht="16.5">
      <c r="A23" s="20" t="s">
        <v>217</v>
      </c>
      <c r="B23" s="20" t="s">
        <v>206</v>
      </c>
      <c r="C23" s="21" t="s">
        <v>218</v>
      </c>
      <c r="D23" s="20">
        <v>215</v>
      </c>
      <c r="E23" s="20">
        <v>219</v>
      </c>
      <c r="F23" s="20" t="s">
        <v>109</v>
      </c>
      <c r="G23" s="22">
        <f t="shared" si="1"/>
        <v>5</v>
      </c>
      <c r="H23" s="22">
        <v>7</v>
      </c>
    </row>
    <row r="24" spans="1:8" s="19" customFormat="1" ht="16.5">
      <c r="A24" s="20" t="s">
        <v>247</v>
      </c>
      <c r="B24" s="20" t="s">
        <v>248</v>
      </c>
      <c r="C24" s="20" t="s">
        <v>247</v>
      </c>
      <c r="D24" s="20">
        <v>220</v>
      </c>
      <c r="E24" s="20">
        <v>399</v>
      </c>
      <c r="F24" s="20" t="s">
        <v>109</v>
      </c>
      <c r="G24" s="22">
        <f t="shared" si="1"/>
        <v>180</v>
      </c>
      <c r="H24" s="22">
        <v>7</v>
      </c>
    </row>
    <row r="25" spans="1:8" s="19" customFormat="1" ht="16.5">
      <c r="A25" s="20" t="s">
        <v>253</v>
      </c>
      <c r="B25" s="21" t="s">
        <v>220</v>
      </c>
      <c r="C25" s="21" t="s">
        <v>249</v>
      </c>
      <c r="D25" s="20">
        <v>251</v>
      </c>
      <c r="E25" s="20">
        <v>299</v>
      </c>
      <c r="F25" s="20" t="s">
        <v>109</v>
      </c>
      <c r="G25" s="22">
        <f t="shared" si="1"/>
        <v>49</v>
      </c>
      <c r="H25" s="22">
        <v>8</v>
      </c>
    </row>
    <row r="26" spans="1:8" s="19" customFormat="1" ht="16.5">
      <c r="A26" s="20" t="s">
        <v>253</v>
      </c>
      <c r="B26" s="21" t="s">
        <v>220</v>
      </c>
      <c r="C26" s="21" t="s">
        <v>250</v>
      </c>
      <c r="D26" s="20">
        <v>2200</v>
      </c>
      <c r="E26" s="20">
        <v>2299</v>
      </c>
      <c r="F26" s="20" t="s">
        <v>109</v>
      </c>
      <c r="G26" s="22">
        <f t="shared" si="1"/>
        <v>100</v>
      </c>
      <c r="H26" s="22">
        <v>8</v>
      </c>
    </row>
    <row r="27" spans="1:8" s="19" customFormat="1" ht="16.5">
      <c r="A27" s="20" t="s">
        <v>253</v>
      </c>
      <c r="B27" s="21" t="s">
        <v>220</v>
      </c>
      <c r="C27" s="21" t="s">
        <v>251</v>
      </c>
      <c r="D27" s="20">
        <v>4200</v>
      </c>
      <c r="E27" s="20">
        <v>4299</v>
      </c>
      <c r="F27" s="20" t="s">
        <v>109</v>
      </c>
      <c r="G27" s="22">
        <f t="shared" si="1"/>
        <v>100</v>
      </c>
      <c r="H27" s="22">
        <v>8</v>
      </c>
    </row>
    <row r="28" spans="1:8" s="19" customFormat="1" ht="16.5">
      <c r="A28" s="20" t="s">
        <v>253</v>
      </c>
      <c r="B28" s="21" t="s">
        <v>220</v>
      </c>
      <c r="C28" s="21" t="s">
        <v>252</v>
      </c>
      <c r="D28" s="20">
        <v>6200</v>
      </c>
      <c r="E28" s="20">
        <v>6299</v>
      </c>
      <c r="F28" s="20" t="s">
        <v>109</v>
      </c>
      <c r="G28" s="22">
        <f t="shared" si="1"/>
        <v>100</v>
      </c>
      <c r="H28" s="22">
        <v>8</v>
      </c>
    </row>
    <row r="29" spans="1:8" s="19" customFormat="1" ht="16.5">
      <c r="A29" s="20" t="s">
        <v>222</v>
      </c>
      <c r="B29" s="21" t="s">
        <v>220</v>
      </c>
      <c r="C29" s="21" t="s">
        <v>223</v>
      </c>
      <c r="D29" s="20">
        <v>201</v>
      </c>
      <c r="E29" s="20">
        <v>250</v>
      </c>
      <c r="F29" s="20" t="s">
        <v>109</v>
      </c>
      <c r="G29" s="22">
        <f t="shared" si="1"/>
        <v>50</v>
      </c>
      <c r="H29" s="22">
        <v>5</v>
      </c>
    </row>
    <row r="30" spans="1:8" s="19" customFormat="1" ht="16.5">
      <c r="A30" s="20" t="s">
        <v>222</v>
      </c>
      <c r="B30" s="21" t="s">
        <v>220</v>
      </c>
      <c r="C30" s="21" t="s">
        <v>224</v>
      </c>
      <c r="D30" s="20">
        <v>2011</v>
      </c>
      <c r="E30" s="20">
        <v>2499</v>
      </c>
      <c r="F30" s="20" t="s">
        <v>109</v>
      </c>
      <c r="G30" s="22">
        <f t="shared" si="1"/>
        <v>489</v>
      </c>
      <c r="H30" s="22">
        <v>5</v>
      </c>
    </row>
    <row r="31" spans="1:8" s="19" customFormat="1" ht="16.5">
      <c r="A31" s="20" t="s">
        <v>222</v>
      </c>
      <c r="B31" s="21" t="s">
        <v>220</v>
      </c>
      <c r="C31" s="21" t="s">
        <v>225</v>
      </c>
      <c r="D31" s="20">
        <v>4300</v>
      </c>
      <c r="E31" s="20">
        <v>4499</v>
      </c>
      <c r="F31" s="20" t="s">
        <v>109</v>
      </c>
      <c r="G31" s="22">
        <f t="shared" si="1"/>
        <v>200</v>
      </c>
      <c r="H31" s="22">
        <v>5</v>
      </c>
    </row>
    <row r="32" spans="1:8" s="19" customFormat="1" ht="16.5">
      <c r="A32" s="20" t="s">
        <v>222</v>
      </c>
      <c r="B32" s="21" t="s">
        <v>220</v>
      </c>
      <c r="C32" s="21" t="s">
        <v>226</v>
      </c>
      <c r="D32" s="20">
        <v>6300</v>
      </c>
      <c r="E32" s="20">
        <v>6499</v>
      </c>
      <c r="F32" s="20" t="s">
        <v>109</v>
      </c>
      <c r="G32" s="22">
        <f t="shared" si="1"/>
        <v>200</v>
      </c>
      <c r="H32" s="22">
        <v>5</v>
      </c>
    </row>
    <row r="33" spans="1:8" s="19" customFormat="1" ht="16.5">
      <c r="A33" s="20" t="s">
        <v>227</v>
      </c>
      <c r="B33" s="21" t="s">
        <v>220</v>
      </c>
      <c r="C33" s="21" t="s">
        <v>228</v>
      </c>
      <c r="D33" s="20">
        <v>500</v>
      </c>
      <c r="E33" s="20">
        <v>699</v>
      </c>
      <c r="F33" s="20" t="s">
        <v>109</v>
      </c>
      <c r="G33" s="22">
        <f t="shared" si="1"/>
        <v>200</v>
      </c>
      <c r="H33" s="22">
        <v>10</v>
      </c>
    </row>
    <row r="34" spans="1:8" s="19" customFormat="1" ht="16.5">
      <c r="A34" s="20" t="s">
        <v>227</v>
      </c>
      <c r="B34" s="21" t="s">
        <v>220</v>
      </c>
      <c r="C34" s="21" t="s">
        <v>229</v>
      </c>
      <c r="D34" s="20">
        <v>2500</v>
      </c>
      <c r="E34" s="20">
        <v>2699</v>
      </c>
      <c r="F34" s="20" t="s">
        <v>109</v>
      </c>
      <c r="G34" s="22">
        <f t="shared" si="1"/>
        <v>200</v>
      </c>
      <c r="H34" s="22">
        <v>10</v>
      </c>
    </row>
    <row r="35" spans="1:8" s="19" customFormat="1" ht="16.5">
      <c r="A35" s="20" t="s">
        <v>227</v>
      </c>
      <c r="B35" s="21" t="s">
        <v>220</v>
      </c>
      <c r="C35" s="21" t="s">
        <v>230</v>
      </c>
      <c r="D35" s="20">
        <v>4500</v>
      </c>
      <c r="E35" s="20">
        <v>4699</v>
      </c>
      <c r="F35" s="20" t="s">
        <v>109</v>
      </c>
      <c r="G35" s="22">
        <f t="shared" si="1"/>
        <v>200</v>
      </c>
      <c r="H35" s="22">
        <v>10</v>
      </c>
    </row>
    <row r="36" spans="1:8" s="19" customFormat="1" ht="16.5">
      <c r="A36" s="20" t="s">
        <v>227</v>
      </c>
      <c r="B36" s="21" t="s">
        <v>220</v>
      </c>
      <c r="C36" s="21" t="s">
        <v>231</v>
      </c>
      <c r="D36" s="20">
        <v>6500</v>
      </c>
      <c r="E36" s="20">
        <v>6699</v>
      </c>
      <c r="F36" s="20" t="s">
        <v>109</v>
      </c>
      <c r="G36" s="22">
        <f t="shared" si="1"/>
        <v>200</v>
      </c>
      <c r="H36" s="22">
        <v>10</v>
      </c>
    </row>
    <row r="37" spans="1:8" s="19" customFormat="1" ht="16.5">
      <c r="A37" s="20" t="s">
        <v>232</v>
      </c>
      <c r="B37" s="21" t="s">
        <v>220</v>
      </c>
      <c r="C37" s="21" t="s">
        <v>233</v>
      </c>
      <c r="D37" s="20">
        <v>700</v>
      </c>
      <c r="E37" s="20">
        <v>899</v>
      </c>
      <c r="F37" s="20" t="s">
        <v>109</v>
      </c>
      <c r="G37" s="22">
        <f t="shared" si="1"/>
        <v>200</v>
      </c>
      <c r="H37" s="22">
        <v>11</v>
      </c>
    </row>
    <row r="38" spans="1:8" s="19" customFormat="1" ht="16.5">
      <c r="A38" s="20" t="s">
        <v>232</v>
      </c>
      <c r="B38" s="21" t="s">
        <v>220</v>
      </c>
      <c r="C38" s="21" t="s">
        <v>234</v>
      </c>
      <c r="D38" s="20">
        <v>2700</v>
      </c>
      <c r="E38" s="20">
        <v>2899</v>
      </c>
      <c r="F38" s="20" t="s">
        <v>109</v>
      </c>
      <c r="G38" s="22">
        <f t="shared" si="1"/>
        <v>200</v>
      </c>
      <c r="H38" s="22">
        <v>11</v>
      </c>
    </row>
    <row r="39" spans="1:8" s="19" customFormat="1" ht="16.5">
      <c r="A39" s="20" t="s">
        <v>232</v>
      </c>
      <c r="B39" s="21" t="s">
        <v>220</v>
      </c>
      <c r="C39" s="21" t="s">
        <v>235</v>
      </c>
      <c r="D39" s="20">
        <v>4700</v>
      </c>
      <c r="E39" s="20">
        <v>4899</v>
      </c>
      <c r="F39" s="20" t="s">
        <v>109</v>
      </c>
      <c r="G39" s="22">
        <f t="shared" si="1"/>
        <v>200</v>
      </c>
      <c r="H39" s="22">
        <v>11</v>
      </c>
    </row>
    <row r="40" spans="1:8" s="19" customFormat="1" ht="16.5">
      <c r="A40" s="20" t="s">
        <v>232</v>
      </c>
      <c r="B40" s="21" t="s">
        <v>220</v>
      </c>
      <c r="C40" s="21" t="s">
        <v>236</v>
      </c>
      <c r="D40" s="20">
        <v>6700</v>
      </c>
      <c r="E40" s="20">
        <v>6899</v>
      </c>
      <c r="F40" s="20" t="s">
        <v>109</v>
      </c>
      <c r="G40" s="22">
        <f t="shared" si="1"/>
        <v>200</v>
      </c>
      <c r="H40" s="22">
        <v>11</v>
      </c>
    </row>
    <row r="41" spans="1:8" s="19" customFormat="1" ht="16.5">
      <c r="A41" s="20" t="s">
        <v>237</v>
      </c>
      <c r="B41" s="21" t="s">
        <v>220</v>
      </c>
      <c r="C41" s="21" t="s">
        <v>238</v>
      </c>
      <c r="D41" s="20">
        <v>900</v>
      </c>
      <c r="E41" s="20">
        <v>1099</v>
      </c>
      <c r="F41" s="20" t="s">
        <v>109</v>
      </c>
      <c r="G41" s="22">
        <f t="shared" si="1"/>
        <v>200</v>
      </c>
      <c r="H41" s="22">
        <v>12</v>
      </c>
    </row>
    <row r="42" spans="1:8" s="19" customFormat="1" ht="16.5">
      <c r="A42" s="20" t="s">
        <v>237</v>
      </c>
      <c r="B42" s="21" t="s">
        <v>220</v>
      </c>
      <c r="C42" s="21" t="s">
        <v>239</v>
      </c>
      <c r="D42" s="20">
        <v>2900</v>
      </c>
      <c r="E42" s="20">
        <v>3099</v>
      </c>
      <c r="F42" s="20" t="s">
        <v>109</v>
      </c>
      <c r="G42" s="22">
        <f t="shared" si="1"/>
        <v>200</v>
      </c>
      <c r="H42" s="22">
        <v>12</v>
      </c>
    </row>
    <row r="43" spans="1:8" s="19" customFormat="1" ht="16.5">
      <c r="A43" s="20" t="s">
        <v>237</v>
      </c>
      <c r="B43" s="21" t="s">
        <v>220</v>
      </c>
      <c r="C43" s="21" t="s">
        <v>240</v>
      </c>
      <c r="D43" s="20">
        <v>4900</v>
      </c>
      <c r="E43" s="20">
        <v>5099</v>
      </c>
      <c r="F43" s="20" t="s">
        <v>109</v>
      </c>
      <c r="G43" s="22">
        <f t="shared" si="1"/>
        <v>200</v>
      </c>
      <c r="H43" s="22">
        <v>12</v>
      </c>
    </row>
    <row r="44" spans="1:8" s="19" customFormat="1" ht="16.5">
      <c r="A44" s="20" t="s">
        <v>237</v>
      </c>
      <c r="B44" s="21" t="s">
        <v>220</v>
      </c>
      <c r="C44" s="21" t="s">
        <v>241</v>
      </c>
      <c r="D44" s="20">
        <v>6900</v>
      </c>
      <c r="E44" s="20">
        <v>7099</v>
      </c>
      <c r="F44" s="20" t="s">
        <v>109</v>
      </c>
      <c r="G44" s="22">
        <f t="shared" si="1"/>
        <v>200</v>
      </c>
      <c r="H44" s="22">
        <v>12</v>
      </c>
    </row>
    <row r="45" spans="1:8" s="19" customFormat="1" ht="16.5">
      <c r="A45" s="20" t="s">
        <v>242</v>
      </c>
      <c r="B45" s="21" t="s">
        <v>220</v>
      </c>
      <c r="C45" s="21" t="s">
        <v>243</v>
      </c>
      <c r="D45" s="20">
        <v>1100</v>
      </c>
      <c r="E45" s="20">
        <v>1299</v>
      </c>
      <c r="F45" s="20" t="s">
        <v>109</v>
      </c>
      <c r="G45" s="22">
        <f t="shared" si="1"/>
        <v>200</v>
      </c>
      <c r="H45" s="22">
        <v>13</v>
      </c>
    </row>
    <row r="46" spans="1:8" s="19" customFormat="1" ht="16.5">
      <c r="A46" s="20" t="s">
        <v>242</v>
      </c>
      <c r="B46" s="21" t="s">
        <v>220</v>
      </c>
      <c r="C46" s="21" t="s">
        <v>244</v>
      </c>
      <c r="D46" s="20">
        <v>3100</v>
      </c>
      <c r="E46" s="20">
        <v>3299</v>
      </c>
      <c r="F46" s="20" t="s">
        <v>109</v>
      </c>
      <c r="G46" s="22">
        <f t="shared" si="1"/>
        <v>200</v>
      </c>
      <c r="H46" s="22">
        <v>13</v>
      </c>
    </row>
    <row r="47" spans="1:8" s="19" customFormat="1" ht="16.5">
      <c r="A47" s="20" t="s">
        <v>242</v>
      </c>
      <c r="B47" s="21" t="s">
        <v>220</v>
      </c>
      <c r="C47" s="21" t="s">
        <v>245</v>
      </c>
      <c r="D47" s="20">
        <v>5100</v>
      </c>
      <c r="E47" s="20">
        <v>5299</v>
      </c>
      <c r="F47" s="20" t="s">
        <v>109</v>
      </c>
      <c r="G47" s="22">
        <f t="shared" si="1"/>
        <v>200</v>
      </c>
      <c r="H47" s="22">
        <v>13</v>
      </c>
    </row>
    <row r="48" spans="1:8" s="19" customFormat="1" ht="16.5">
      <c r="A48" s="20" t="s">
        <v>242</v>
      </c>
      <c r="B48" s="21" t="s">
        <v>220</v>
      </c>
      <c r="C48" s="21" t="s">
        <v>246</v>
      </c>
      <c r="D48" s="20">
        <v>7100</v>
      </c>
      <c r="E48" s="20">
        <v>7299</v>
      </c>
      <c r="F48" s="20" t="s">
        <v>109</v>
      </c>
      <c r="G48" s="22">
        <f t="shared" si="1"/>
        <v>200</v>
      </c>
      <c r="H48" s="22">
        <v>13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11"/>
  <sheetViews>
    <sheetView workbookViewId="0">
      <selection activeCell="D33" sqref="D33"/>
    </sheetView>
  </sheetViews>
  <sheetFormatPr defaultRowHeight="15.75"/>
  <cols>
    <col min="1" max="1" width="15.7109375" bestFit="1" customWidth="1"/>
    <col min="2" max="2" width="27.7109375" bestFit="1" customWidth="1"/>
    <col min="3" max="3" width="21.42578125" bestFit="1" customWidth="1"/>
    <col min="4" max="4" width="27.28515625" bestFit="1" customWidth="1"/>
    <col min="5" max="5" width="18.85546875" bestFit="1" customWidth="1"/>
    <col min="8" max="8" width="14.140625" bestFit="1" customWidth="1"/>
  </cols>
  <sheetData>
    <row r="1" spans="1:2">
      <c r="A1" s="5" t="s">
        <v>116</v>
      </c>
      <c r="B1" s="5" t="s">
        <v>103</v>
      </c>
    </row>
    <row r="2" spans="1:2">
      <c r="A2" s="1">
        <v>1</v>
      </c>
      <c r="B2" s="1" t="s">
        <v>117</v>
      </c>
    </row>
    <row r="3" spans="1:2">
      <c r="A3" s="1">
        <v>2</v>
      </c>
      <c r="B3" s="1" t="s">
        <v>118</v>
      </c>
    </row>
    <row r="4" spans="1:2">
      <c r="A4" s="1">
        <v>3</v>
      </c>
      <c r="B4" s="1" t="s">
        <v>119</v>
      </c>
    </row>
    <row r="5" spans="1:2">
      <c r="A5" s="1">
        <v>4</v>
      </c>
      <c r="B5" s="1" t="s">
        <v>111</v>
      </c>
    </row>
    <row r="6" spans="1:2">
      <c r="A6" s="1">
        <v>5</v>
      </c>
      <c r="B6" s="1" t="s">
        <v>112</v>
      </c>
    </row>
    <row r="7" spans="1:2">
      <c r="A7" s="1">
        <v>6</v>
      </c>
      <c r="B7" s="1" t="s">
        <v>113</v>
      </c>
    </row>
    <row r="8" spans="1:2">
      <c r="A8" s="1">
        <v>7</v>
      </c>
      <c r="B8" s="1" t="s">
        <v>120</v>
      </c>
    </row>
    <row r="9" spans="1:2">
      <c r="A9" s="1">
        <v>8</v>
      </c>
      <c r="B9" s="1" t="s">
        <v>110</v>
      </c>
    </row>
    <row r="10" spans="1:2">
      <c r="A10" s="1">
        <v>9</v>
      </c>
      <c r="B10" s="1" t="s">
        <v>114</v>
      </c>
    </row>
    <row r="11" spans="1:2">
      <c r="A11" s="1">
        <v>10</v>
      </c>
      <c r="B11" s="1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蘇瀚文</cp:lastModifiedBy>
  <dcterms:created xsi:type="dcterms:W3CDTF">2016-05-03T02:21:57Z</dcterms:created>
  <dcterms:modified xsi:type="dcterms:W3CDTF">2023-10-02T09:47:07Z</dcterms:modified>
</cp:coreProperties>
</file>