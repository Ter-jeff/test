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Central_Code\HardIP\backup for cleanup\"/>
    </mc:Choice>
  </mc:AlternateContent>
  <bookViews>
    <workbookView xWindow="0" yWindow="0" windowWidth="27630" windowHeight="12015" firstSheet="4" activeTab="5"/>
  </bookViews>
  <sheets>
    <sheet name="Sheet1" sheetId="28" r:id="rId1"/>
    <sheet name="DSP_LIB_HardIP" sheetId="1" r:id="rId2"/>
    <sheet name="DSP_NAND_HARDIP" sheetId="6" r:id="rId3"/>
    <sheet name="DSP_LIB_DACTrim_AP" sheetId="8" r:id="rId4"/>
    <sheet name="VBT_LIB_DACTrim_AP" sheetId="18" r:id="rId5"/>
    <sheet name="VBT_LIB_HardIP" sheetId="9" r:id="rId6"/>
    <sheet name="VBT_LIB_HardIP_ADC_AP" sheetId="10" r:id="rId7"/>
    <sheet name="VBT_LIB_HardIP_AP" sheetId="11" r:id="rId8"/>
    <sheet name="VBT_LIB_HardIP_Customize" sheetId="12" r:id="rId9"/>
    <sheet name="VBT_LIB_HardIP_JitterEye_AP" sheetId="13" r:id="rId10"/>
    <sheet name="VBT_LIB_HardIP_Metrology_AP" sheetId="17" r:id="rId11"/>
    <sheet name="VBT_LIB_HardIP_PCIE_PI_AP" sheetId="16" r:id="rId12"/>
    <sheet name="VBT_LIB_K_ADDRIO_AP" sheetId="15" r:id="rId13"/>
    <sheet name="LIB_DACTrim_AP" sheetId="19" r:id="rId14"/>
    <sheet name="LIB_HardIP" sheetId="20" r:id="rId15"/>
    <sheet name="LIB_HardIP_ADC_AP" sheetId="21" r:id="rId16"/>
    <sheet name="LIB_HardIP_AP" sheetId="22" r:id="rId17"/>
    <sheet name="LIB_HardIP_Calc" sheetId="23" r:id="rId18"/>
    <sheet name="LIB_HardIP_Calc_Turks_AP" sheetId="24" r:id="rId19"/>
    <sheet name="LIB_HardIP_Dictionary" sheetId="25" r:id="rId20"/>
    <sheet name="LIB_HardIP_Metrology_AP" sheetId="26" r:id="rId21"/>
    <sheet name="overview" sheetId="27" r:id="rId22"/>
  </sheets>
  <definedNames>
    <definedName name="_xlnm._FilterDatabase" localSheetId="1" hidden="1">DSP_LIB_HardIP!$A$1:$J$100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5" i="23" l="1"/>
  <c r="B9" i="27" s="1"/>
  <c r="C21" i="27" l="1"/>
  <c r="C20" i="27"/>
  <c r="B20" i="27"/>
  <c r="C19" i="27"/>
  <c r="C18" i="27"/>
  <c r="B18" i="27"/>
  <c r="C17" i="27"/>
  <c r="B17" i="27"/>
  <c r="C16" i="27"/>
  <c r="C15" i="27"/>
  <c r="C14" i="27"/>
  <c r="C13" i="27"/>
  <c r="B13" i="27"/>
  <c r="C12" i="27"/>
  <c r="B12" i="27"/>
  <c r="C11" i="27"/>
  <c r="C10" i="27"/>
  <c r="B10" i="27"/>
  <c r="C9" i="27"/>
  <c r="C8" i="27"/>
  <c r="B8" i="27"/>
  <c r="C7" i="27"/>
  <c r="C6" i="27"/>
  <c r="C5" i="27"/>
  <c r="C4" i="27"/>
  <c r="C3" i="27"/>
  <c r="C2" i="27"/>
  <c r="B2" i="27"/>
  <c r="D13" i="27" l="1"/>
  <c r="E13" i="27" s="1"/>
  <c r="C22" i="27"/>
  <c r="D18" i="27"/>
  <c r="E18" i="27" s="1"/>
  <c r="D9" i="27"/>
  <c r="E9" i="27" s="1"/>
  <c r="D20" i="27"/>
  <c r="E20" i="27" s="1"/>
  <c r="D17" i="27"/>
  <c r="E17" i="27" s="1"/>
  <c r="D2" i="27"/>
  <c r="E2" i="27" s="1"/>
  <c r="D12" i="27"/>
  <c r="E12" i="27" s="1"/>
  <c r="D10" i="27"/>
  <c r="E10" i="27" s="1"/>
  <c r="D8" i="27"/>
  <c r="E8" i="27" s="1"/>
  <c r="X4" i="26"/>
  <c r="X5" i="26" s="1"/>
  <c r="V5" i="25"/>
  <c r="B11" i="27" s="1"/>
  <c r="D11" i="27" s="1"/>
  <c r="E11" i="27" s="1"/>
  <c r="W4" i="25"/>
  <c r="W5" i="25" s="1"/>
  <c r="V5" i="24"/>
  <c r="W4" i="24"/>
  <c r="W5" i="24" s="1"/>
  <c r="V4" i="23"/>
  <c r="V5" i="23" s="1"/>
  <c r="P5" i="22"/>
  <c r="Q4" i="22"/>
  <c r="Q5" i="22" s="1"/>
  <c r="Q5" i="21"/>
  <c r="B7" i="27" s="1"/>
  <c r="D7" i="27" s="1"/>
  <c r="E7" i="27" s="1"/>
  <c r="R4" i="21"/>
  <c r="R5" i="21" s="1"/>
  <c r="U5" i="20"/>
  <c r="B6" i="27" s="1"/>
  <c r="D6" i="27" s="1"/>
  <c r="E6" i="27" s="1"/>
  <c r="V4" i="20"/>
  <c r="V5" i="20" s="1"/>
  <c r="V5" i="19"/>
  <c r="B5" i="27" s="1"/>
  <c r="D5" i="27" s="1"/>
  <c r="E5" i="27" s="1"/>
  <c r="W4" i="19"/>
  <c r="W5" i="19" s="1"/>
  <c r="V5" i="15"/>
  <c r="B21" i="27" s="1"/>
  <c r="D21" i="27" s="1"/>
  <c r="E21" i="27" s="1"/>
  <c r="W4" i="15"/>
  <c r="W5" i="15" s="1"/>
  <c r="W5" i="16"/>
  <c r="X4" i="16"/>
  <c r="X5" i="16" s="1"/>
  <c r="W5" i="17"/>
  <c r="B19" i="27" s="1"/>
  <c r="D19" i="27" s="1"/>
  <c r="E19" i="27" s="1"/>
  <c r="X4" i="17"/>
  <c r="X5" i="17" s="1"/>
  <c r="T5" i="13"/>
  <c r="U4" i="13"/>
  <c r="U5" i="13" s="1"/>
  <c r="V5" i="12"/>
  <c r="W4" i="12"/>
  <c r="W5" i="12" s="1"/>
  <c r="V5" i="11"/>
  <c r="B16" i="27" s="1"/>
  <c r="D16" i="27" s="1"/>
  <c r="E16" i="27" s="1"/>
  <c r="W4" i="11"/>
  <c r="W5" i="11" s="1"/>
  <c r="U5" i="10"/>
  <c r="B15" i="27" s="1"/>
  <c r="D15" i="27" s="1"/>
  <c r="E15" i="27" s="1"/>
  <c r="V4" i="10"/>
  <c r="V5" i="10" s="1"/>
  <c r="X5" i="9"/>
  <c r="B14" i="27" s="1"/>
  <c r="D14" i="27" s="1"/>
  <c r="E14" i="27" s="1"/>
  <c r="Y4" i="9"/>
  <c r="Y5" i="9" s="1"/>
  <c r="T5" i="18"/>
  <c r="U4" i="18"/>
  <c r="U5" i="18" s="1"/>
  <c r="U5" i="8"/>
  <c r="V4" i="8"/>
  <c r="V5" i="8" s="1"/>
  <c r="W5" i="6"/>
  <c r="B4" i="27" s="1"/>
  <c r="D4" i="27" s="1"/>
  <c r="E4" i="27" s="1"/>
  <c r="X4" i="6"/>
  <c r="X5" i="6" s="1"/>
  <c r="X3" i="1"/>
  <c r="X4" i="1" s="1"/>
  <c r="W4" i="1"/>
  <c r="B3" i="27" s="1"/>
  <c r="D3" i="27" s="1"/>
  <c r="E3" i="27" l="1"/>
  <c r="B22" i="27"/>
  <c r="D22" i="27"/>
</calcChain>
</file>

<file path=xl/comments1.xml><?xml version="1.0" encoding="utf-8"?>
<comments xmlns="http://schemas.openxmlformats.org/spreadsheetml/2006/main">
  <authors>
    <author>Yi-Hsiu Yen 顏義修</author>
  </authors>
  <commentList>
    <comment ref="J7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reStartFRC</t>
        </r>
      </text>
    </comment>
    <comment ref="E47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Split_Dspwave_AUS_TTR</t>
        </r>
      </text>
    </comment>
  </commentList>
</comments>
</file>

<file path=xl/comments2.xml><?xml version="1.0" encoding="utf-8"?>
<comments xmlns="http://schemas.openxmlformats.org/spreadsheetml/2006/main">
  <authors>
    <author>Yi-Hsiu Yen 顏義修</author>
    <author>Zhi-Yu Hung</author>
  </authors>
  <commentList>
    <comment ref="D20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use FindMaxEyeWidth_reverse…..had used</t>
        </r>
      </text>
    </comment>
    <comment ref="M25" authorId="1" shapeId="0">
      <text>
        <r>
          <rPr>
            <b/>
            <sz val="9"/>
            <color indexed="81"/>
            <rFont val="Tahoma"/>
            <family val="2"/>
          </rPr>
          <t>TrimCodeFreq_new 
TrimCodeFreq_new_0828</t>
        </r>
      </text>
    </comment>
    <comment ref="M28" authorId="1" shapeId="0">
      <text>
        <r>
          <rPr>
            <b/>
            <sz val="9"/>
            <color indexed="81"/>
            <rFont val="Tahoma"/>
            <family val="2"/>
          </rPr>
          <t>Calc_RXEye</t>
        </r>
      </text>
    </comment>
    <comment ref="M29" authorId="1" shapeId="0">
      <text>
        <r>
          <rPr>
            <b/>
            <sz val="9"/>
            <color indexed="81"/>
            <rFont val="Tahoma"/>
            <family val="2"/>
          </rPr>
          <t>FindMaxEyeWidth_reverse_bywidth 
DSP_Opt_EYE 
Opt_DdrLpBkFunc2</t>
        </r>
      </text>
    </comment>
    <comment ref="G30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Calc_DigCap_Avg_Store</t>
        </r>
      </text>
    </comment>
    <comment ref="M37" authorId="1" shapeId="0">
      <text>
        <r>
          <rPr>
            <b/>
            <sz val="9"/>
            <color indexed="81"/>
            <rFont val="Tahoma"/>
            <family val="2"/>
          </rPr>
          <t xml:space="preserve">MTRG_t5p2a_DigSrc_Coefficient_PreCalc 
MTRG_t6p3abc_DigSrc_Coefficient_PreCalc 
TrimCodeImpedence
</t>
        </r>
      </text>
    </comment>
    <comment ref="M38" authorId="1" shapeId="0">
      <text>
        <r>
          <rPr>
            <b/>
            <sz val="9"/>
            <color indexed="81"/>
            <rFont val="Tahoma"/>
            <family val="2"/>
          </rPr>
          <t>Calc_RXEye 
ReMeasImpedByAveTrimCode 
TrimCodeImpedence</t>
        </r>
      </text>
    </comment>
    <comment ref="M39" authorId="1" shapeId="0">
      <text>
        <r>
          <rPr>
            <b/>
            <sz val="9"/>
            <color indexed="81"/>
            <rFont val="Tahoma"/>
            <family val="2"/>
          </rPr>
          <t>TrimCodeImpedence</t>
        </r>
      </text>
    </comment>
    <comment ref="A40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ConcatenateDSP_TTR</t>
        </r>
      </text>
    </comment>
    <comment ref="D40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call ConcatenateDSP_TTR</t>
        </r>
      </text>
    </comment>
    <comment ref="M41" authorId="1" shapeId="0">
      <text>
        <r>
          <rPr>
            <b/>
            <sz val="9"/>
            <color indexed="81"/>
            <rFont val="Tahoma"/>
            <family val="2"/>
          </rPr>
          <t>Calc_BitwiseDSP</t>
        </r>
      </text>
    </comment>
    <comment ref="M42" authorId="1" shapeId="0">
      <text>
        <r>
          <rPr>
            <b/>
            <sz val="9"/>
            <color indexed="81"/>
            <rFont val="Tahoma"/>
            <family val="2"/>
          </rPr>
          <t>Calc_BitwiseDSP</t>
        </r>
      </text>
    </comment>
    <comment ref="M43" authorId="1" shapeId="0">
      <text>
        <r>
          <rPr>
            <b/>
            <sz val="9"/>
            <color indexed="81"/>
            <rFont val="Tahoma"/>
            <family val="2"/>
          </rPr>
          <t>Calc_BitwiseDSP</t>
        </r>
      </text>
    </comment>
    <comment ref="M47" authorId="1" shapeId="0">
      <text>
        <r>
          <rPr>
            <b/>
            <sz val="9"/>
            <color indexed="81"/>
            <rFont val="Tahoma"/>
            <family val="2"/>
          </rPr>
          <t>Split_Gray_2sComplementDSPWave_to_Dec 
Split_Gray_to_Dec 
Calc_GrayCodeToBin</t>
        </r>
      </text>
    </comment>
    <comment ref="M49" authorId="1" shapeId="0">
      <text>
        <r>
          <rPr>
            <b/>
            <sz val="9"/>
            <color indexed="81"/>
            <rFont val="Tahoma"/>
            <family val="2"/>
          </rPr>
          <t>Split_Gray_2sComplementDSPWave_to_Dec</t>
        </r>
      </text>
    </comment>
    <comment ref="M52" authorId="1" shapeId="0">
      <text>
        <r>
          <rPr>
            <b/>
            <sz val="9"/>
            <color indexed="81"/>
            <rFont val="Tahoma"/>
            <family val="2"/>
          </rPr>
          <t>Calc_MDLL_Monotonicity_DevideBlock</t>
        </r>
      </text>
    </comment>
    <comment ref="A56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call from Opt_DdrLpBkFunc2</t>
        </r>
      </text>
    </comment>
    <comment ref="M56" authorId="1" shapeId="0">
      <text>
        <r>
          <rPr>
            <b/>
            <sz val="9"/>
            <color indexed="81"/>
            <rFont val="Tahoma"/>
            <family val="2"/>
          </rPr>
          <t>Opt_DdrLpBkFunc2</t>
        </r>
      </text>
    </comment>
    <comment ref="M59" authorId="1" shapeId="0">
      <text>
        <r>
          <rPr>
            <b/>
            <sz val="9"/>
            <color indexed="81"/>
            <rFont val="Tahoma"/>
            <family val="2"/>
          </rPr>
          <t>MetrologySense_Calibration</t>
        </r>
      </text>
    </comment>
    <comment ref="M60" authorId="1" shapeId="0">
      <text>
        <r>
          <rPr>
            <b/>
            <sz val="9"/>
            <color indexed="81"/>
            <rFont val="Tahoma"/>
            <family val="2"/>
          </rPr>
          <t>MetrologySense_Calibration</t>
        </r>
      </text>
    </comment>
    <comment ref="A65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Split_Dspwave_AUS_TTR</t>
        </r>
      </text>
    </comment>
    <comment ref="M70" authorId="1" shapeId="0">
      <text>
        <r>
          <rPr>
            <b/>
            <sz val="9"/>
            <color indexed="81"/>
            <rFont val="Tahoma"/>
            <family val="2"/>
          </rPr>
          <t>Split_GrayDSP_2sComplementDSP_to_Dec</t>
        </r>
      </text>
    </comment>
    <comment ref="M71" authorId="1" shapeId="0">
      <text>
        <r>
          <rPr>
            <b/>
            <sz val="9"/>
            <color indexed="81"/>
            <rFont val="Tahoma"/>
            <family val="2"/>
          </rPr>
          <t>Opt_DdrLpBkFunc3</t>
        </r>
      </text>
    </comment>
    <comment ref="M72" authorId="1" shapeId="0">
      <text>
        <r>
          <rPr>
            <b/>
            <sz val="9"/>
            <color indexed="81"/>
            <rFont val="Tahoma"/>
            <family val="2"/>
          </rPr>
          <t>Split_GrayDSP_to_Dec</t>
        </r>
      </text>
    </comment>
    <comment ref="M74" authorId="1" shapeId="0">
      <text>
        <r>
          <rPr>
            <b/>
            <sz val="9"/>
            <color indexed="81"/>
            <rFont val="Tahoma"/>
            <family val="2"/>
          </rPr>
          <t>TrimCodeBasicDig</t>
        </r>
      </text>
    </comment>
    <comment ref="M75" authorId="1" shapeId="0">
      <text>
        <r>
          <rPr>
            <b/>
            <sz val="9"/>
            <color indexed="81"/>
            <rFont val="Tahoma"/>
            <family val="2"/>
          </rPr>
          <t>TrimCodeBasicDig</t>
        </r>
      </text>
    </comment>
    <comment ref="M76" authorId="1" shapeId="0">
      <text>
        <r>
          <rPr>
            <b/>
            <sz val="9"/>
            <color indexed="81"/>
            <rFont val="Tahoma"/>
            <family val="2"/>
          </rPr>
          <t>TrimCodeBasicDig</t>
        </r>
      </text>
    </comment>
    <comment ref="M77" authorId="1" shapeId="0">
      <text>
        <r>
          <rPr>
            <b/>
            <sz val="9"/>
            <color indexed="81"/>
            <rFont val="Tahoma"/>
            <family val="2"/>
          </rPr>
          <t>TrimCodeBasicDig</t>
        </r>
      </text>
    </comment>
    <comment ref="M78" authorId="1" shapeId="0">
      <text>
        <r>
          <rPr>
            <b/>
            <sz val="9"/>
            <color indexed="81"/>
            <rFont val="Tahoma"/>
            <family val="2"/>
          </rPr>
          <t>TrimCodeBasicDig</t>
        </r>
      </text>
    </comment>
    <comment ref="C82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DSP_CalcMDLLMonotonicityDevideBlockSEG</t>
        </r>
      </text>
    </comment>
    <comment ref="M82" authorId="1" shapeId="0">
      <text>
        <r>
          <rPr>
            <b/>
            <sz val="9"/>
            <color indexed="81"/>
            <rFont val="Tahoma"/>
            <family val="2"/>
          </rPr>
          <t>Calc_MDLL_Monotonicity_DevideBlock_TTR</t>
        </r>
      </text>
    </comment>
    <comment ref="M89" authorId="1" shapeId="0">
      <text>
        <r>
          <rPr>
            <b/>
            <sz val="9"/>
            <color indexed="81"/>
            <rFont val="Tahoma"/>
            <family val="2"/>
          </rPr>
          <t>Calc_EquationTrim</t>
        </r>
      </text>
    </comment>
  </commentList>
</comments>
</file>

<file path=xl/comments3.xml><?xml version="1.0" encoding="utf-8"?>
<comments xmlns="http://schemas.openxmlformats.org/spreadsheetml/2006/main">
  <authors>
    <author>Zhi-Yu Hung</author>
  </authors>
  <commentList>
    <comment ref="M2" authorId="0" shapeId="0">
      <text>
        <r>
          <rPr>
            <b/>
            <sz val="9"/>
            <color indexed="81"/>
            <rFont val="Tahoma"/>
            <family val="2"/>
          </rPr>
          <t>CAL_WAVE_CREATE 
CAL_WAVE_CREATE1 
CAL_WAVE_CREATE2 
CAL_WAVE_CREATE3 
CAL_WAVE_CREATE4</t>
        </r>
      </text>
    </comment>
    <comment ref="N2" authorId="0" shapeId="0">
      <text>
        <r>
          <rPr>
            <b/>
            <sz val="9"/>
            <color indexed="81"/>
            <rFont val="Tahoma"/>
            <family val="2"/>
          </rPr>
          <t>CalcTarget_V2</t>
        </r>
      </text>
    </comment>
    <comment ref="N3" authorId="0" shapeId="0">
      <text>
        <r>
          <rPr>
            <b/>
            <sz val="9"/>
            <color indexed="81"/>
            <rFont val="Tahoma"/>
            <family val="2"/>
          </rPr>
          <t>RPIndexSetting 
DACTrim_DigSrcSetting</t>
        </r>
      </text>
    </comment>
    <comment ref="N4" authorId="0" shapeId="0">
      <text>
        <r>
          <rPr>
            <b/>
            <sz val="9"/>
            <color indexed="81"/>
            <rFont val="Tahoma"/>
            <family val="2"/>
          </rPr>
          <t>DACTrim_DigSrcSetting</t>
        </r>
      </text>
    </comment>
    <comment ref="N5" authorId="0" shapeId="0">
      <text>
        <r>
          <rPr>
            <b/>
            <sz val="9"/>
            <color indexed="81"/>
            <rFont val="Tahoma"/>
            <family val="2"/>
          </rPr>
          <t>DACTrim_DigSrc_Data</t>
        </r>
      </text>
    </comment>
    <comment ref="M9" authorId="0" shapeId="0">
      <text>
        <r>
          <rPr>
            <b/>
            <sz val="9"/>
            <color indexed="81"/>
            <rFont val="Tahoma"/>
            <family val="2"/>
          </rPr>
          <t>Calc_PVTN</t>
        </r>
      </text>
    </comment>
    <comment ref="M21" authorId="0" shapeId="0">
      <text>
        <r>
          <rPr>
            <b/>
            <sz val="9"/>
            <color indexed="81"/>
            <rFont val="Tahoma"/>
            <family val="2"/>
          </rPr>
          <t>Calc_AverageDSP</t>
        </r>
      </text>
    </comment>
    <comment ref="M22" authorId="0" shapeId="0">
      <text>
        <r>
          <rPr>
            <b/>
            <sz val="9"/>
            <color indexed="81"/>
            <rFont val="Tahoma"/>
            <family val="2"/>
          </rPr>
          <t>Calc_NAND_PHY_MDLL</t>
        </r>
      </text>
    </comment>
  </commentList>
</comments>
</file>

<file path=xl/comments4.xml><?xml version="1.0" encoding="utf-8"?>
<comments xmlns="http://schemas.openxmlformats.org/spreadsheetml/2006/main">
  <authors>
    <author>Yi-Hsiu Yen 顏義修</author>
    <author>蔡育庭</author>
    <author>CW</author>
  </authors>
  <commentList>
    <comment ref="H3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Meas_VIR_IO_Universal_func_GPIO</t>
        </r>
      </text>
    </comment>
    <comment ref="B12" authorId="1" shapeId="0">
      <text>
        <r>
          <rPr>
            <b/>
            <sz val="9"/>
            <color indexed="81"/>
            <rFont val="Tahoma"/>
            <family val="2"/>
          </rPr>
          <t>蔡育庭:</t>
        </r>
        <r>
          <rPr>
            <sz val="9"/>
            <color indexed="81"/>
            <rFont val="Tahoma"/>
            <family val="2"/>
          </rPr>
          <t xml:space="preserve">
call from DigCapDataProcessByDSP</t>
        </r>
      </text>
    </comment>
    <comment ref="C12" authorId="1" shapeId="0">
      <text>
        <r>
          <rPr>
            <b/>
            <sz val="9"/>
            <color indexed="81"/>
            <rFont val="Tahoma"/>
            <family val="2"/>
          </rPr>
          <t>蔡育庭:</t>
        </r>
        <r>
          <rPr>
            <sz val="9"/>
            <color indexed="81"/>
            <rFont val="Tahoma"/>
            <family val="2"/>
          </rPr>
          <t xml:space="preserve">
call from DigCapDataProcessByDSP</t>
        </r>
      </text>
    </comment>
    <comment ref="D12" authorId="1" shapeId="0">
      <text>
        <r>
          <rPr>
            <b/>
            <sz val="9"/>
            <color indexed="81"/>
            <rFont val="Tahoma"/>
            <family val="2"/>
          </rPr>
          <t>蔡育庭:</t>
        </r>
        <r>
          <rPr>
            <sz val="9"/>
            <color indexed="81"/>
            <rFont val="Tahoma"/>
            <family val="2"/>
          </rPr>
          <t xml:space="preserve">
call from DigCapDataProcessByDSP</t>
        </r>
      </text>
    </comment>
    <comment ref="E12" authorId="1" shapeId="0">
      <text>
        <r>
          <rPr>
            <b/>
            <sz val="9"/>
            <color indexed="81"/>
            <rFont val="Tahoma"/>
            <family val="2"/>
          </rPr>
          <t>蔡育庭:</t>
        </r>
        <r>
          <rPr>
            <sz val="9"/>
            <color indexed="81"/>
            <rFont val="Tahoma"/>
            <family val="2"/>
          </rPr>
          <t xml:space="preserve">
call from DigCapDataProcessByDSP</t>
        </r>
      </text>
    </comment>
    <comment ref="F12" authorId="1" shapeId="0">
      <text>
        <r>
          <rPr>
            <b/>
            <sz val="9"/>
            <color indexed="81"/>
            <rFont val="Tahoma"/>
            <family val="2"/>
          </rPr>
          <t>蔡育庭:</t>
        </r>
        <r>
          <rPr>
            <sz val="9"/>
            <color indexed="81"/>
            <rFont val="Tahoma"/>
            <family val="2"/>
          </rPr>
          <t xml:space="preserve">
call from DigCapDataProcessByDSP, move to LIB_HIP</t>
        </r>
      </text>
    </comment>
    <comment ref="G12" authorId="1" shapeId="0">
      <text>
        <r>
          <rPr>
            <b/>
            <sz val="9"/>
            <color indexed="81"/>
            <rFont val="Tahoma"/>
            <family val="2"/>
          </rPr>
          <t>蔡育庭:</t>
        </r>
        <r>
          <rPr>
            <sz val="9"/>
            <color indexed="81"/>
            <rFont val="Tahoma"/>
            <family val="2"/>
          </rPr>
          <t xml:space="preserve">
call from DigCapDataProcessByDSP, move to LIB_HIP</t>
        </r>
      </text>
    </comment>
    <comment ref="A13" authorId="1" shapeId="0">
      <text>
        <r>
          <rPr>
            <b/>
            <sz val="9"/>
            <color indexed="81"/>
            <rFont val="Tahoma"/>
            <family val="2"/>
          </rPr>
          <t>蔡育庭:</t>
        </r>
        <r>
          <rPr>
            <sz val="9"/>
            <color indexed="81"/>
            <rFont val="Tahoma"/>
            <family val="2"/>
          </rPr>
          <t xml:space="preserve">
DC conti</t>
        </r>
      </text>
    </comment>
    <comment ref="D13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DC_Continuity_PowerSense_Impedance</t>
        </r>
      </text>
    </comment>
    <comment ref="L15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TrimCodeDig_Reverse_Dip</t>
        </r>
      </text>
    </comment>
    <comment ref="A17" authorId="2" shapeId="0">
      <text>
        <r>
          <rPr>
            <b/>
            <sz val="9"/>
            <color indexed="81"/>
            <rFont val="Tahoma"/>
            <charset val="1"/>
          </rPr>
          <t>CW:</t>
        </r>
        <r>
          <rPr>
            <sz val="9"/>
            <color indexed="81"/>
            <rFont val="Tahoma"/>
            <charset val="1"/>
          </rPr>
          <t xml:space="preserve">
PalmaD2D, D2D2C</t>
        </r>
      </text>
    </comment>
  </commentList>
</comments>
</file>

<file path=xl/comments5.xml><?xml version="1.0" encoding="utf-8"?>
<comments xmlns="http://schemas.openxmlformats.org/spreadsheetml/2006/main">
  <authors>
    <author>Yi-Hsiu Yen 顏義修</author>
    <author>蔡育庭</author>
  </authors>
  <commentList>
    <comment ref="A28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call from TrimCodeFreq_New_ALG</t>
        </r>
      </text>
    </comment>
    <comment ref="G28" authorId="1" shapeId="0">
      <text>
        <r>
          <rPr>
            <b/>
            <sz val="9"/>
            <color indexed="81"/>
            <rFont val="MingLiU"/>
            <family val="3"/>
            <charset val="136"/>
          </rPr>
          <t>蔡育庭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call from TrimCodeFreq_New_ALG</t>
        </r>
      </text>
    </comment>
    <comment ref="A29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call from TrimCodeFreq_New_ALG</t>
        </r>
      </text>
    </comment>
    <comment ref="G29" authorId="1" shapeId="0">
      <text>
        <r>
          <rPr>
            <b/>
            <sz val="9"/>
            <color indexed="81"/>
            <rFont val="Tahoma"/>
            <family val="2"/>
          </rPr>
          <t>蔡育庭:</t>
        </r>
        <r>
          <rPr>
            <sz val="9"/>
            <color indexed="81"/>
            <rFont val="Tahoma"/>
            <family val="2"/>
          </rPr>
          <t xml:space="preserve">
call from TrimCodeFreq_New_ALG</t>
        </r>
      </text>
    </comment>
  </commentList>
</comments>
</file>

<file path=xl/comments6.xml><?xml version="1.0" encoding="utf-8"?>
<comments xmlns="http://schemas.openxmlformats.org/spreadsheetml/2006/main">
  <authors>
    <author>蔡育庭</author>
    <author>Yi-Hsiu Yen 顏義修</author>
  </authors>
  <commentList>
    <comment ref="A4" authorId="0" shapeId="0">
      <text>
        <r>
          <rPr>
            <b/>
            <sz val="9"/>
            <color indexed="81"/>
            <rFont val="Tahoma"/>
            <family val="2"/>
          </rPr>
          <t>蔡育庭:</t>
        </r>
        <r>
          <rPr>
            <sz val="9"/>
            <color indexed="81"/>
            <rFont val="Tahoma"/>
            <family val="2"/>
          </rPr>
          <t xml:space="preserve">
call from Meas_VIR_IO_Universal_func_GPIO</t>
        </r>
      </text>
    </comment>
    <comment ref="B4" authorId="0" shapeId="0">
      <text>
        <r>
          <rPr>
            <b/>
            <sz val="9"/>
            <color indexed="81"/>
            <rFont val="Tahoma"/>
            <family val="2"/>
          </rPr>
          <t>蔡育庭:</t>
        </r>
        <r>
          <rPr>
            <sz val="9"/>
            <color indexed="81"/>
            <rFont val="Tahoma"/>
            <family val="2"/>
          </rPr>
          <t xml:space="preserve">
call from Meas_VIR_IO_Universal_func_GPIO, move to LIB_HIP</t>
        </r>
      </text>
    </comment>
    <comment ref="E4" authorId="0" shapeId="0">
      <text>
        <r>
          <rPr>
            <b/>
            <sz val="9"/>
            <color indexed="81"/>
            <rFont val="Tahoma"/>
            <family val="2"/>
          </rPr>
          <t>蔡育庭:</t>
        </r>
        <r>
          <rPr>
            <sz val="9"/>
            <color indexed="81"/>
            <rFont val="Tahoma"/>
            <family val="2"/>
          </rPr>
          <t xml:space="preserve">
call from Meas_VIR_IO_Universal_func_GPIO</t>
        </r>
      </text>
    </comment>
    <comment ref="F4" authorId="0" shapeId="0">
      <text>
        <r>
          <rPr>
            <b/>
            <sz val="9"/>
            <color indexed="81"/>
            <rFont val="Tahoma"/>
            <family val="2"/>
          </rPr>
          <t>蔡育庭:</t>
        </r>
        <r>
          <rPr>
            <sz val="9"/>
            <color indexed="81"/>
            <rFont val="Tahoma"/>
            <family val="2"/>
          </rPr>
          <t xml:space="preserve">
call from Meas_VIR_IO_Universal_func_GPIO_TTR, move to LIB_HIP</t>
        </r>
      </text>
    </comment>
    <comment ref="G4" authorId="0" shapeId="0">
      <text>
        <r>
          <rPr>
            <b/>
            <sz val="9"/>
            <color indexed="81"/>
            <rFont val="Tahoma"/>
            <family val="2"/>
          </rPr>
          <t>蔡育庭:</t>
        </r>
        <r>
          <rPr>
            <sz val="9"/>
            <color indexed="81"/>
            <rFont val="Tahoma"/>
            <family val="2"/>
          </rPr>
          <t xml:space="preserve">
call from Meas_VIR_IO_Universal_func_GPIO</t>
        </r>
      </text>
    </comment>
    <comment ref="A5" authorId="0" shapeId="0">
      <text>
        <r>
          <rPr>
            <b/>
            <sz val="9"/>
            <color indexed="81"/>
            <rFont val="Tahoma"/>
            <family val="2"/>
          </rPr>
          <t>蔡育庭:</t>
        </r>
        <r>
          <rPr>
            <sz val="9"/>
            <color indexed="81"/>
            <rFont val="Tahoma"/>
            <family val="2"/>
          </rPr>
          <t xml:space="preserve">
call from IO_HardIP_PPMU_Measure_R</t>
        </r>
      </text>
    </comment>
    <comment ref="B5" authorId="0" shapeId="0">
      <text>
        <r>
          <rPr>
            <b/>
            <sz val="9"/>
            <color indexed="81"/>
            <rFont val="Tahoma"/>
            <family val="2"/>
          </rPr>
          <t>蔡育庭:</t>
        </r>
        <r>
          <rPr>
            <sz val="9"/>
            <color indexed="81"/>
            <rFont val="Tahoma"/>
            <family val="2"/>
          </rPr>
          <t xml:space="preserve">
call from Meas_VIR_IO_Universal_func_GPIO, move to LIB_HIP</t>
        </r>
      </text>
    </comment>
    <comment ref="E5" authorId="0" shapeId="0">
      <text>
        <r>
          <rPr>
            <b/>
            <sz val="9"/>
            <color indexed="81"/>
            <rFont val="Tahoma"/>
            <family val="2"/>
          </rPr>
          <t>蔡育庭:</t>
        </r>
        <r>
          <rPr>
            <sz val="9"/>
            <color indexed="81"/>
            <rFont val="Tahoma"/>
            <family val="2"/>
          </rPr>
          <t xml:space="preserve">
call from Meas_VIR_IO_Universal_func_GPIO</t>
        </r>
      </text>
    </comment>
    <comment ref="F5" authorId="0" shapeId="0">
      <text>
        <r>
          <rPr>
            <b/>
            <sz val="9"/>
            <color indexed="81"/>
            <rFont val="Tahoma"/>
            <family val="2"/>
          </rPr>
          <t>蔡育庭:</t>
        </r>
        <r>
          <rPr>
            <sz val="9"/>
            <color indexed="81"/>
            <rFont val="Tahoma"/>
            <family val="2"/>
          </rPr>
          <t xml:space="preserve">
call from IO_HardIP_PPMU_Measure_R, move to LIB_HIP</t>
        </r>
      </text>
    </comment>
    <comment ref="G5" authorId="0" shapeId="0">
      <text>
        <r>
          <rPr>
            <b/>
            <sz val="9"/>
            <color indexed="81"/>
            <rFont val="Tahoma"/>
            <family val="2"/>
          </rPr>
          <t>蔡育庭:</t>
        </r>
        <r>
          <rPr>
            <sz val="9"/>
            <color indexed="81"/>
            <rFont val="Tahoma"/>
            <family val="2"/>
          </rPr>
          <t xml:space="preserve">
call from Meas_VIR_IO_Universal_func_GPIO</t>
        </r>
      </text>
    </comment>
    <comment ref="A6" authorId="1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call from Meas_VIR_IO_Universal_func</t>
        </r>
      </text>
    </comment>
    <comment ref="E6" authorId="0" shapeId="0">
      <text>
        <r>
          <rPr>
            <b/>
            <sz val="9"/>
            <color indexed="81"/>
            <rFont val="Tahoma"/>
            <family val="2"/>
          </rPr>
          <t>蔡育庭:</t>
        </r>
        <r>
          <rPr>
            <sz val="9"/>
            <color indexed="81"/>
            <rFont val="Tahoma"/>
            <family val="2"/>
          </rPr>
          <t xml:space="preserve">
call from Meas_VIR_IO_Universal_func_GPIO</t>
        </r>
      </text>
    </comment>
    <comment ref="F6" authorId="0" shapeId="0">
      <text>
        <r>
          <rPr>
            <b/>
            <sz val="9"/>
            <color indexed="81"/>
            <rFont val="Tahoma"/>
            <family val="2"/>
          </rPr>
          <t>蔡育庭:</t>
        </r>
        <r>
          <rPr>
            <sz val="9"/>
            <color indexed="81"/>
            <rFont val="Tahoma"/>
            <family val="2"/>
          </rPr>
          <t xml:space="preserve">
call from IO_HardIP_PPMU_Measure_R, move to LIB_HIP</t>
        </r>
      </text>
    </comment>
    <comment ref="A7" authorId="0" shapeId="0">
      <text>
        <r>
          <rPr>
            <b/>
            <sz val="9"/>
            <color indexed="81"/>
            <rFont val="Tahoma"/>
            <family val="2"/>
          </rPr>
          <t>蔡育庭:</t>
        </r>
        <r>
          <rPr>
            <sz val="9"/>
            <color indexed="81"/>
            <rFont val="Tahoma"/>
            <family val="2"/>
          </rPr>
          <t xml:space="preserve">
call from GeneralDigSrcSetting</t>
        </r>
      </text>
    </comment>
    <comment ref="B7" authorId="0" shapeId="0">
      <text>
        <r>
          <rPr>
            <b/>
            <sz val="9"/>
            <color indexed="81"/>
            <rFont val="Tahoma"/>
            <family val="2"/>
          </rPr>
          <t>蔡育庭:</t>
        </r>
        <r>
          <rPr>
            <sz val="9"/>
            <color indexed="81"/>
            <rFont val="Tahoma"/>
            <family val="2"/>
          </rPr>
          <t xml:space="preserve">
call from Meas_VIR_IO_Universal_func_GPIO, move to LIB_HIP</t>
        </r>
      </text>
    </comment>
    <comment ref="E7" authorId="0" shapeId="0">
      <text>
        <r>
          <rPr>
            <b/>
            <sz val="9"/>
            <color indexed="81"/>
            <rFont val="Tahoma"/>
            <family val="2"/>
          </rPr>
          <t>蔡育庭:</t>
        </r>
        <r>
          <rPr>
            <sz val="9"/>
            <color indexed="81"/>
            <rFont val="Tahoma"/>
            <family val="2"/>
          </rPr>
          <t xml:space="preserve">
call from Meas_VIR_IO_Universal_func_GPIO</t>
        </r>
      </text>
    </comment>
    <comment ref="F7" authorId="0" shapeId="0">
      <text>
        <r>
          <rPr>
            <b/>
            <sz val="9"/>
            <color indexed="81"/>
            <rFont val="Tahoma"/>
            <family val="2"/>
          </rPr>
          <t>蔡育庭:</t>
        </r>
        <r>
          <rPr>
            <sz val="9"/>
            <color indexed="81"/>
            <rFont val="Tahoma"/>
            <family val="2"/>
          </rPr>
          <t xml:space="preserve">
call from IO_HardIP_PPMU_Measure_R, move to LIB_HIP</t>
        </r>
      </text>
    </comment>
    <comment ref="G7" authorId="0" shapeId="0">
      <text>
        <r>
          <rPr>
            <b/>
            <sz val="9"/>
            <color indexed="81"/>
            <rFont val="Tahoma"/>
            <family val="2"/>
          </rPr>
          <t>蔡育庭:</t>
        </r>
        <r>
          <rPr>
            <sz val="9"/>
            <color indexed="81"/>
            <rFont val="Tahoma"/>
            <family val="2"/>
          </rPr>
          <t xml:space="preserve">
call from Meas_VIR_IO_Universal_func_GPIO</t>
        </r>
      </text>
    </comment>
    <comment ref="A8" authorId="0" shapeId="0">
      <text>
        <r>
          <rPr>
            <b/>
            <sz val="9"/>
            <color indexed="81"/>
            <rFont val="Tahoma"/>
            <family val="2"/>
          </rPr>
          <t>蔡育庭:</t>
        </r>
        <r>
          <rPr>
            <sz val="9"/>
            <color indexed="81"/>
            <rFont val="Tahoma"/>
            <family val="2"/>
          </rPr>
          <t xml:space="preserve">
call from Meas_FreqVoltCurr_Universal_func</t>
        </r>
      </text>
    </comment>
    <comment ref="B8" authorId="0" shapeId="0">
      <text>
        <r>
          <rPr>
            <b/>
            <sz val="9"/>
            <color indexed="81"/>
            <rFont val="Tahoma"/>
            <family val="2"/>
          </rPr>
          <t>蔡育庭:</t>
        </r>
        <r>
          <rPr>
            <sz val="9"/>
            <color indexed="81"/>
            <rFont val="Tahoma"/>
            <family val="2"/>
          </rPr>
          <t xml:space="preserve">
call from Meas_VIR_IO_Universal_func_GPIO, move to LIB_HIP</t>
        </r>
      </text>
    </comment>
    <comment ref="E8" authorId="0" shapeId="0">
      <text>
        <r>
          <rPr>
            <b/>
            <sz val="9"/>
            <color indexed="81"/>
            <rFont val="Tahoma"/>
            <family val="2"/>
          </rPr>
          <t>蔡育庭:</t>
        </r>
        <r>
          <rPr>
            <sz val="9"/>
            <color indexed="81"/>
            <rFont val="Tahoma"/>
            <family val="2"/>
          </rPr>
          <t xml:space="preserve">
call from Meas_VIR_IO_Universal_func_GPIO</t>
        </r>
      </text>
    </comment>
    <comment ref="F8" authorId="0" shapeId="0">
      <text>
        <r>
          <rPr>
            <b/>
            <sz val="9"/>
            <color indexed="81"/>
            <rFont val="Tahoma"/>
            <family val="2"/>
          </rPr>
          <t>蔡育庭:</t>
        </r>
        <r>
          <rPr>
            <sz val="9"/>
            <color indexed="81"/>
            <rFont val="Tahoma"/>
            <family val="2"/>
          </rPr>
          <t xml:space="preserve">
call from IO_HardIP_PPMU_Measure_R, move to LIB_HIP</t>
        </r>
      </text>
    </comment>
    <comment ref="G8" authorId="0" shapeId="0">
      <text>
        <r>
          <rPr>
            <b/>
            <sz val="9"/>
            <color indexed="81"/>
            <rFont val="Tahoma"/>
            <family val="2"/>
          </rPr>
          <t>蔡育庭:</t>
        </r>
        <r>
          <rPr>
            <sz val="9"/>
            <color indexed="81"/>
            <rFont val="Tahoma"/>
            <family val="2"/>
          </rPr>
          <t xml:space="preserve">
call from Meas_VIR_IO_Universal_func_GPIO</t>
        </r>
      </text>
    </comment>
    <comment ref="A9" authorId="0" shapeId="0">
      <text>
        <r>
          <rPr>
            <b/>
            <sz val="9"/>
            <color indexed="81"/>
            <rFont val="Tahoma"/>
            <family val="2"/>
          </rPr>
          <t>蔡育庭:</t>
        </r>
        <r>
          <rPr>
            <sz val="9"/>
            <color indexed="81"/>
            <rFont val="Tahoma"/>
            <family val="2"/>
          </rPr>
          <t xml:space="preserve">
call from HardIP_SetupAndMeasureVolt_PPMU</t>
        </r>
      </text>
    </comment>
    <comment ref="B9" authorId="0" shapeId="0">
      <text>
        <r>
          <rPr>
            <b/>
            <sz val="9"/>
            <color indexed="81"/>
            <rFont val="Tahoma"/>
            <family val="2"/>
          </rPr>
          <t>蔡育庭:</t>
        </r>
        <r>
          <rPr>
            <sz val="9"/>
            <color indexed="81"/>
            <rFont val="Tahoma"/>
            <family val="2"/>
          </rPr>
          <t xml:space="preserve">
call from Meas_VIR_IO_Universal_func_GPIO, move to LIB_HIP</t>
        </r>
      </text>
    </comment>
    <comment ref="E9" authorId="0" shapeId="0">
      <text>
        <r>
          <rPr>
            <b/>
            <sz val="9"/>
            <color indexed="81"/>
            <rFont val="Tahoma"/>
            <family val="2"/>
          </rPr>
          <t>蔡育庭:</t>
        </r>
        <r>
          <rPr>
            <sz val="9"/>
            <color indexed="81"/>
            <rFont val="Tahoma"/>
            <family val="2"/>
          </rPr>
          <t xml:space="preserve">
call from Meas_VIR_IO_Universal_func_GPIO</t>
        </r>
      </text>
    </comment>
    <comment ref="F9" authorId="0" shapeId="0">
      <text>
        <r>
          <rPr>
            <b/>
            <sz val="9"/>
            <color indexed="81"/>
            <rFont val="Tahoma"/>
            <family val="2"/>
          </rPr>
          <t>蔡育庭:</t>
        </r>
        <r>
          <rPr>
            <sz val="9"/>
            <color indexed="81"/>
            <rFont val="Tahoma"/>
            <family val="2"/>
          </rPr>
          <t xml:space="preserve">
call from IO_HardIP_PPMU_Measure_R, move to LIB_HIP</t>
        </r>
      </text>
    </comment>
    <comment ref="G9" authorId="0" shapeId="0">
      <text>
        <r>
          <rPr>
            <b/>
            <sz val="9"/>
            <color indexed="81"/>
            <rFont val="Tahoma"/>
            <family val="2"/>
          </rPr>
          <t>蔡育庭:</t>
        </r>
        <r>
          <rPr>
            <sz val="9"/>
            <color indexed="81"/>
            <rFont val="Tahoma"/>
            <family val="2"/>
          </rPr>
          <t xml:space="preserve">
call from Meas_VIR_IO_Universal_func_GPIO</t>
        </r>
      </text>
    </comment>
    <comment ref="A10" authorId="0" shapeId="0">
      <text>
        <r>
          <rPr>
            <b/>
            <sz val="9"/>
            <color indexed="81"/>
            <rFont val="Tahoma"/>
            <family val="2"/>
          </rPr>
          <t>蔡育庭:</t>
        </r>
        <r>
          <rPr>
            <sz val="9"/>
            <color indexed="81"/>
            <rFont val="Tahoma"/>
            <family val="2"/>
          </rPr>
          <t xml:space="preserve">
call from Opt_DdrLpBkFunc2</t>
        </r>
      </text>
    </comment>
    <comment ref="A11" authorId="0" shapeId="0">
      <text>
        <r>
          <rPr>
            <b/>
            <sz val="9"/>
            <color indexed="81"/>
            <rFont val="Tahoma"/>
            <family val="2"/>
          </rPr>
          <t>蔡育庭:</t>
        </r>
        <r>
          <rPr>
            <sz val="9"/>
            <color indexed="81"/>
            <rFont val="Tahoma"/>
            <family val="2"/>
          </rPr>
          <t xml:space="preserve">
call from IO_HardIP_PPMU_Measure_I</t>
        </r>
      </text>
    </comment>
    <comment ref="B11" authorId="0" shapeId="0">
      <text>
        <r>
          <rPr>
            <b/>
            <sz val="9"/>
            <color indexed="81"/>
            <rFont val="Tahoma"/>
            <family val="2"/>
          </rPr>
          <t>蔡育庭:</t>
        </r>
        <r>
          <rPr>
            <sz val="9"/>
            <color indexed="81"/>
            <rFont val="Tahoma"/>
            <family val="2"/>
          </rPr>
          <t xml:space="preserve">
call from Meas_VIR_IO_Universal_func_GPIO, move to LIB_HIP</t>
        </r>
      </text>
    </comment>
    <comment ref="E11" authorId="0" shapeId="0">
      <text>
        <r>
          <rPr>
            <b/>
            <sz val="9"/>
            <color indexed="81"/>
            <rFont val="Tahoma"/>
            <family val="2"/>
          </rPr>
          <t>蔡育庭:</t>
        </r>
        <r>
          <rPr>
            <sz val="9"/>
            <color indexed="81"/>
            <rFont val="Tahoma"/>
            <family val="2"/>
          </rPr>
          <t xml:space="preserve">
call from Meas_VIR_IO_Universal_func_GPIO</t>
        </r>
      </text>
    </comment>
    <comment ref="F11" authorId="0" shapeId="0">
      <text>
        <r>
          <rPr>
            <b/>
            <sz val="9"/>
            <color indexed="81"/>
            <rFont val="Tahoma"/>
            <family val="2"/>
          </rPr>
          <t>蔡育庭:</t>
        </r>
        <r>
          <rPr>
            <sz val="9"/>
            <color indexed="81"/>
            <rFont val="Tahoma"/>
            <family val="2"/>
          </rPr>
          <t xml:space="preserve">
call from IO_HardIP_PPMU_Measure_R, move to LIB_HIP</t>
        </r>
      </text>
    </comment>
    <comment ref="G11" authorId="0" shapeId="0">
      <text>
        <r>
          <rPr>
            <b/>
            <sz val="9"/>
            <color indexed="81"/>
            <rFont val="Tahoma"/>
            <family val="2"/>
          </rPr>
          <t>蔡育庭:</t>
        </r>
        <r>
          <rPr>
            <sz val="9"/>
            <color indexed="81"/>
            <rFont val="Tahoma"/>
            <family val="2"/>
          </rPr>
          <t xml:space="preserve">
call from Meas_VIR_IO_Universal_func_GPIO</t>
        </r>
      </text>
    </comment>
    <comment ref="A12" authorId="0" shapeId="0">
      <text>
        <r>
          <rPr>
            <b/>
            <sz val="9"/>
            <color indexed="81"/>
            <rFont val="Tahoma"/>
            <family val="2"/>
          </rPr>
          <t>蔡育庭:</t>
        </r>
        <r>
          <rPr>
            <sz val="9"/>
            <color indexed="81"/>
            <rFont val="Tahoma"/>
            <family val="2"/>
          </rPr>
          <t xml:space="preserve">
call from HardIP_SetupAndMeasureVolt_PPMU</t>
        </r>
      </text>
    </comment>
    <comment ref="B12" authorId="0" shapeId="0">
      <text>
        <r>
          <rPr>
            <b/>
            <sz val="9"/>
            <color indexed="81"/>
            <rFont val="Tahoma"/>
            <family val="2"/>
          </rPr>
          <t>蔡育庭:</t>
        </r>
        <r>
          <rPr>
            <sz val="9"/>
            <color indexed="81"/>
            <rFont val="Tahoma"/>
            <family val="2"/>
          </rPr>
          <t xml:space="preserve">
call from Meas_VIR_IO_Universal_func_GPIO, move to LIB_HIP</t>
        </r>
      </text>
    </comment>
    <comment ref="E12" authorId="0" shapeId="0">
      <text>
        <r>
          <rPr>
            <b/>
            <sz val="9"/>
            <color indexed="81"/>
            <rFont val="Tahoma"/>
            <family val="2"/>
          </rPr>
          <t>蔡育庭:</t>
        </r>
        <r>
          <rPr>
            <sz val="9"/>
            <color indexed="81"/>
            <rFont val="Tahoma"/>
            <family val="2"/>
          </rPr>
          <t xml:space="preserve">
call from Meas_VIR_IO_Universal_func_GPIO</t>
        </r>
      </text>
    </comment>
    <comment ref="F12" authorId="0" shapeId="0">
      <text>
        <r>
          <rPr>
            <b/>
            <sz val="9"/>
            <color indexed="81"/>
            <rFont val="Tahoma"/>
            <family val="2"/>
          </rPr>
          <t>蔡育庭:</t>
        </r>
        <r>
          <rPr>
            <sz val="9"/>
            <color indexed="81"/>
            <rFont val="Tahoma"/>
            <family val="2"/>
          </rPr>
          <t xml:space="preserve">
call from IO_HardIP_PPMU_Measure_R, move to LIB_HIP</t>
        </r>
      </text>
    </comment>
    <comment ref="G12" authorId="0" shapeId="0">
      <text>
        <r>
          <rPr>
            <b/>
            <sz val="9"/>
            <color indexed="81"/>
            <rFont val="Tahoma"/>
            <family val="2"/>
          </rPr>
          <t>蔡育庭:</t>
        </r>
        <r>
          <rPr>
            <sz val="9"/>
            <color indexed="81"/>
            <rFont val="Tahoma"/>
            <family val="2"/>
          </rPr>
          <t xml:space="preserve">
call from Meas_VIR_IO_Universal_func_GPIO</t>
        </r>
      </text>
    </comment>
    <comment ref="A13" authorId="0" shapeId="0">
      <text>
        <r>
          <rPr>
            <b/>
            <sz val="9"/>
            <color indexed="81"/>
            <rFont val="Tahoma"/>
            <family val="2"/>
          </rPr>
          <t>蔡育庭:</t>
        </r>
        <r>
          <rPr>
            <sz val="9"/>
            <color indexed="81"/>
            <rFont val="Tahoma"/>
            <family val="2"/>
          </rPr>
          <t xml:space="preserve">
call from HardIP_MeasureFreq</t>
        </r>
      </text>
    </comment>
    <comment ref="B13" authorId="0" shapeId="0">
      <text>
        <r>
          <rPr>
            <b/>
            <sz val="9"/>
            <color indexed="81"/>
            <rFont val="Tahoma"/>
            <family val="2"/>
          </rPr>
          <t>蔡育庭:</t>
        </r>
        <r>
          <rPr>
            <sz val="9"/>
            <color indexed="81"/>
            <rFont val="Tahoma"/>
            <family val="2"/>
          </rPr>
          <t xml:space="preserve">
call from Meas_VIR_IO_Universal_func_GPIO, move to LIB_HIP</t>
        </r>
      </text>
    </comment>
    <comment ref="E13" authorId="0" shapeId="0">
      <text>
        <r>
          <rPr>
            <b/>
            <sz val="9"/>
            <color indexed="81"/>
            <rFont val="Tahoma"/>
            <family val="2"/>
          </rPr>
          <t>蔡育庭:</t>
        </r>
        <r>
          <rPr>
            <sz val="9"/>
            <color indexed="81"/>
            <rFont val="Tahoma"/>
            <family val="2"/>
          </rPr>
          <t xml:space="preserve">
call from Meas_VIR_IO_Universal_func_GPIO</t>
        </r>
      </text>
    </comment>
    <comment ref="F13" authorId="0" shapeId="0">
      <text>
        <r>
          <rPr>
            <b/>
            <sz val="9"/>
            <color indexed="81"/>
            <rFont val="Tahoma"/>
            <family val="2"/>
          </rPr>
          <t>蔡育庭:</t>
        </r>
        <r>
          <rPr>
            <sz val="9"/>
            <color indexed="81"/>
            <rFont val="Tahoma"/>
            <family val="2"/>
          </rPr>
          <t xml:space="preserve">
call from IO_HardIP_PPMU_Measure_R, move to LIB_HIP</t>
        </r>
      </text>
    </comment>
    <comment ref="G13" authorId="0" shapeId="0">
      <text>
        <r>
          <rPr>
            <b/>
            <sz val="9"/>
            <color indexed="81"/>
            <rFont val="Tahoma"/>
            <family val="2"/>
          </rPr>
          <t>蔡育庭:</t>
        </r>
        <r>
          <rPr>
            <sz val="9"/>
            <color indexed="81"/>
            <rFont val="Tahoma"/>
            <family val="2"/>
          </rPr>
          <t xml:space="preserve">
call from Meas_VIR_IO_Universal_func_GPIO</t>
        </r>
      </text>
    </comment>
  </commentList>
</comments>
</file>

<file path=xl/comments7.xml><?xml version="1.0" encoding="utf-8"?>
<comments xmlns="http://schemas.openxmlformats.org/spreadsheetml/2006/main">
  <authors>
    <author>Yi-Hsiu Yen 顏義修</author>
    <author>蔡育庭</author>
  </authors>
  <commentList>
    <comment ref="A3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call from K_TrimImpedance, move to LIB_HIP</t>
        </r>
      </text>
    </comment>
    <comment ref="B3" authorId="1" shapeId="0">
      <text>
        <r>
          <rPr>
            <b/>
            <sz val="9"/>
            <color indexed="81"/>
            <rFont val="MingLiU"/>
            <family val="3"/>
            <charset val="136"/>
          </rPr>
          <t>蔡育庭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call from K_TrimImpedance, move to LIB_HIP</t>
        </r>
      </text>
    </comment>
    <comment ref="A6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call from K_TrimImpedance, move to LIB_HIP</t>
        </r>
      </text>
    </comment>
    <comment ref="B6" authorId="1" shapeId="0">
      <text>
        <r>
          <rPr>
            <b/>
            <sz val="9"/>
            <color indexed="81"/>
            <rFont val="Tahoma"/>
            <family val="2"/>
          </rPr>
          <t>蔡育庭:</t>
        </r>
        <r>
          <rPr>
            <sz val="9"/>
            <color indexed="81"/>
            <rFont val="Tahoma"/>
            <family val="2"/>
          </rPr>
          <t xml:space="preserve">
call from K_TrimImpedance, move to LIB_HIP</t>
        </r>
      </text>
    </comment>
    <comment ref="A7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call from K_TrimImpedance, move to LIB_HIP</t>
        </r>
      </text>
    </comment>
    <comment ref="B7" authorId="1" shapeId="0">
      <text>
        <r>
          <rPr>
            <b/>
            <sz val="9"/>
            <color indexed="81"/>
            <rFont val="Tahoma"/>
            <family val="2"/>
          </rPr>
          <t>蔡育庭:</t>
        </r>
        <r>
          <rPr>
            <sz val="9"/>
            <color indexed="81"/>
            <rFont val="Tahoma"/>
            <family val="2"/>
          </rPr>
          <t xml:space="preserve">
call from K_TrimImpedance, move to LIB_HIP</t>
        </r>
      </text>
    </comment>
    <comment ref="A8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call from K_TrimImpedance, move to LIB_HIP</t>
        </r>
      </text>
    </comment>
    <comment ref="B8" authorId="1" shapeId="0">
      <text>
        <r>
          <rPr>
            <b/>
            <sz val="9"/>
            <color indexed="81"/>
            <rFont val="Tahoma"/>
            <family val="2"/>
          </rPr>
          <t>蔡育庭:</t>
        </r>
        <r>
          <rPr>
            <sz val="9"/>
            <color indexed="81"/>
            <rFont val="Tahoma"/>
            <family val="2"/>
          </rPr>
          <t xml:space="preserve">
call from K_TrimImpedance, move to LIB_HIP</t>
        </r>
      </text>
    </comment>
    <comment ref="A9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call from K_TrimImpedance, move to LIB_HIP</t>
        </r>
      </text>
    </comment>
    <comment ref="B9" authorId="1" shapeId="0">
      <text>
        <r>
          <rPr>
            <b/>
            <sz val="9"/>
            <color indexed="81"/>
            <rFont val="Tahoma"/>
            <family val="2"/>
          </rPr>
          <t>蔡育庭:</t>
        </r>
        <r>
          <rPr>
            <sz val="9"/>
            <color indexed="81"/>
            <rFont val="Tahoma"/>
            <family val="2"/>
          </rPr>
          <t xml:space="preserve">
call from K_TrimImpedance, move to LIB_HIP</t>
        </r>
      </text>
    </comment>
    <comment ref="A16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call from K_TrimImpedance, move to LIB_HIP</t>
        </r>
      </text>
    </comment>
    <comment ref="C16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call K_TrimImpedance</t>
        </r>
      </text>
    </comment>
    <comment ref="A18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call from K_TrimImpedance, move to LIB_HIP</t>
        </r>
      </text>
    </comment>
    <comment ref="C18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K_TrimImpedance</t>
        </r>
      </text>
    </comment>
    <comment ref="A23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call from K_TrimImpedance, move to LIB_HIP</t>
        </r>
      </text>
    </comment>
    <comment ref="C23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K_TrimImpedance</t>
        </r>
      </text>
    </comment>
    <comment ref="A24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call from K_TrimImpedance_Turks_V1</t>
        </r>
      </text>
    </comment>
    <comment ref="A25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call from K_TrimImpedance, move to LIB_HIP</t>
        </r>
      </text>
    </comment>
    <comment ref="B25" authorId="1" shapeId="0">
      <text>
        <r>
          <rPr>
            <b/>
            <sz val="9"/>
            <color indexed="81"/>
            <rFont val="Tahoma"/>
            <family val="2"/>
          </rPr>
          <t>蔡育庭:</t>
        </r>
        <r>
          <rPr>
            <sz val="9"/>
            <color indexed="81"/>
            <rFont val="Tahoma"/>
            <family val="2"/>
          </rPr>
          <t xml:space="preserve">
call from K_TrimImpedance, move to LIB_HIP</t>
        </r>
      </text>
    </comment>
  </commentList>
</comments>
</file>

<file path=xl/comments8.xml><?xml version="1.0" encoding="utf-8"?>
<comments xmlns="http://schemas.openxmlformats.org/spreadsheetml/2006/main">
  <authors>
    <author>Yi-Hsiu Yen 顏義修</author>
  </authors>
  <commentList>
    <comment ref="A6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reStartFRC</t>
        </r>
      </text>
    </comment>
    <comment ref="G12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VBT_LIB_PowerUp_PMIC</t>
        </r>
      </text>
    </comment>
    <comment ref="O33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Report_TName_From_Instance</t>
        </r>
      </text>
    </comment>
  </commentList>
</comments>
</file>

<file path=xl/comments9.xml><?xml version="1.0" encoding="utf-8"?>
<comments xmlns="http://schemas.openxmlformats.org/spreadsheetml/2006/main">
  <authors>
    <author>Yi-Hsiu Yen 顏義修</author>
  </authors>
  <commentList>
    <comment ref="B6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call from VBT_LIB_DC_Func</t>
        </r>
      </text>
    </comment>
    <comment ref="B9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Call from VBT_LIB_DC_Func
</t>
        </r>
      </text>
    </comment>
    <comment ref="D9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call from VBT_LIB_DC_Func</t>
        </r>
      </text>
    </comment>
    <comment ref="G9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VBT_LIB_DC_Func</t>
        </r>
      </text>
    </comment>
    <comment ref="B10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Call from VBT_LIB_DC_Func
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Call from VBT_LIB_DC_Func
</t>
        </r>
      </text>
    </comment>
    <comment ref="C23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Meas_VIR_IO_Universal_func_GPIO</t>
        </r>
      </text>
    </comment>
    <comment ref="D23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call from VBT_LIB_DC_Func</t>
        </r>
      </text>
    </comment>
    <comment ref="F23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VBT_LIB_DC_Func</t>
        </r>
      </text>
    </comment>
    <comment ref="G23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VBT_LIB_DC_Func</t>
        </r>
      </text>
    </comment>
    <comment ref="H23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VBT_LIB_DC_Func</t>
        </r>
      </text>
    </comment>
    <comment ref="F24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VBT_LIB_DC_Func</t>
        </r>
      </text>
    </comment>
    <comment ref="B25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Call from VBT_LIB_DC_Func
</t>
        </r>
      </text>
    </comment>
    <comment ref="C25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Meas_VIR_IO_Universal_func_GPIO
</t>
        </r>
      </text>
    </comment>
    <comment ref="F25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VBT_LIB_DC_Func</t>
        </r>
      </text>
    </comment>
    <comment ref="G25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VBT_LIB_DC_Func</t>
        </r>
      </text>
    </comment>
    <comment ref="B27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Call from VBT_LIB_DC_Func
</t>
        </r>
      </text>
    </comment>
    <comment ref="C27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Meas_VIR_IO_Universal_func_GPIO</t>
        </r>
      </text>
    </comment>
    <comment ref="F27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VBT_LIB_DC_Func</t>
        </r>
      </text>
    </comment>
    <comment ref="G27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VBT_LIB_DC_Func</t>
        </r>
      </text>
    </comment>
    <comment ref="H27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VBT_LIB_DC_Func</t>
        </r>
      </text>
    </comment>
    <comment ref="B28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Call from VBT_LIB_DC_Func
</t>
        </r>
      </text>
    </comment>
    <comment ref="C28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Meas_VIR_IO_Universal_func_GPIO</t>
        </r>
      </text>
    </comment>
    <comment ref="F28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VBT_LIB_DC_Func</t>
        </r>
      </text>
    </comment>
    <comment ref="G28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VBT_LIB_DC_Func</t>
        </r>
      </text>
    </comment>
    <comment ref="H28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VBT_LIB_DC_Func</t>
        </r>
      </text>
    </comment>
    <comment ref="B31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call from LIB_Digital_Shmoo</t>
        </r>
      </text>
    </comment>
    <comment ref="C31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LIB_Digital_Shmoo</t>
        </r>
      </text>
    </comment>
    <comment ref="D31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call from LIB_Digital_Shmoo</t>
        </r>
      </text>
    </comment>
    <comment ref="E31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LIB_Digital_Shmoo</t>
        </r>
      </text>
    </comment>
    <comment ref="F31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LIB_Digital_Shmoo</t>
        </r>
      </text>
    </comment>
    <comment ref="G31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LIB_Digital_Shmoo</t>
        </r>
      </text>
    </comment>
    <comment ref="H31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LIB_Digital_Shmoo</t>
        </r>
      </text>
    </comment>
    <comment ref="B46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Call from VBT_LIB_DC_Func
</t>
        </r>
      </text>
    </comment>
    <comment ref="H46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VBT_LIB_DC_Func</t>
        </r>
      </text>
    </comment>
    <comment ref="B47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Call from VBT_LIB_DC_Func
</t>
        </r>
      </text>
    </comment>
    <comment ref="C47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Meas_VIR_IO_Universal_func_GPIO</t>
        </r>
      </text>
    </comment>
    <comment ref="F47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VBT_LIB_DC_Func</t>
        </r>
      </text>
    </comment>
    <comment ref="G47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VBT_LIB_DC_Func</t>
        </r>
      </text>
    </comment>
    <comment ref="H47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VBT_LIB_DC_Func</t>
        </r>
      </text>
    </comment>
    <comment ref="B49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Call from VBT_LIB_DC_Func
</t>
        </r>
      </text>
    </comment>
    <comment ref="C49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Meas_VIR_IO_Universal_func_GPIO</t>
        </r>
      </text>
    </comment>
    <comment ref="G49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VBT_LIB_DC_Func</t>
        </r>
      </text>
    </comment>
    <comment ref="H49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VBT_LIB_DC_Func</t>
        </r>
      </text>
    </comment>
    <comment ref="B53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Call from VBT_LIB_DC_Func
</t>
        </r>
      </text>
    </comment>
    <comment ref="C53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Meas_VIR_IO_Universal_func_GPIO</t>
        </r>
      </text>
    </comment>
    <comment ref="G53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VBT_LIB_DC_Func</t>
        </r>
      </text>
    </comment>
    <comment ref="B54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Call from VBT_LIB_DC_Func
</t>
        </r>
      </text>
    </comment>
    <comment ref="C54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Meas_VIR_IO_Universal_func_GPIO</t>
        </r>
      </text>
    </comment>
    <comment ref="G54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VBT_LIB_DC_Func</t>
        </r>
      </text>
    </comment>
    <comment ref="H54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VBT_LIB_DC_Func</t>
        </r>
      </text>
    </comment>
    <comment ref="C56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LIB_Digital_Shmoo</t>
        </r>
      </text>
    </comment>
    <comment ref="F56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many module used it</t>
        </r>
      </text>
    </comment>
    <comment ref="D61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PLL_calibration_calc_MOD_AUS</t>
        </r>
      </text>
    </comment>
    <comment ref="D62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PLL_calibration_calc_MOD_AUS</t>
        </r>
      </text>
    </comment>
    <comment ref="B71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Call from VBT_LIB_DC_Func
</t>
        </r>
      </text>
    </comment>
    <comment ref="C71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Meas_VIR_IO_Universal_func_GPIO</t>
        </r>
      </text>
    </comment>
    <comment ref="F71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VBT_LIB_DC_Func</t>
        </r>
      </text>
    </comment>
    <comment ref="G71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VBT_LIB_DC_Func</t>
        </r>
      </text>
    </comment>
    <comment ref="B72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Call from VBT_LIB_DC_Func
</t>
        </r>
      </text>
    </comment>
    <comment ref="C72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Meas_VIR_IO_Universal_func_GPIO</t>
        </r>
      </text>
    </comment>
    <comment ref="F72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VBT_LIB_DC_Func</t>
        </r>
      </text>
    </comment>
    <comment ref="G72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VBT_LIB_DC_Func</t>
        </r>
      </text>
    </comment>
    <comment ref="D73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call from VBT_LIB_DC_Func</t>
        </r>
      </text>
    </comment>
    <comment ref="E73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Meas_VIR_IO_Universal_func_GPIO_TTR</t>
        </r>
      </text>
    </comment>
    <comment ref="H73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VBT_LIB_DC_Func</t>
        </r>
      </text>
    </comment>
    <comment ref="H87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ProcessDSPCalculation_Complexity</t>
        </r>
      </text>
    </comment>
    <comment ref="B99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call from LIB_HardIP_Calc</t>
        </r>
      </text>
    </comment>
    <comment ref="A101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call from Opt_DdrLpBkFunc2</t>
        </r>
      </text>
    </comment>
    <comment ref="B107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call from VBT_LIB_Digital_XXX and efuse</t>
        </r>
      </text>
    </comment>
    <comment ref="C114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Meas_VIR_IO_Universal_func_GPIO
</t>
        </r>
      </text>
    </comment>
    <comment ref="G128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Calc_MetrologyBTS_Coefficient_10b
</t>
        </r>
      </text>
    </comment>
    <comment ref="D142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call from LIB_Digital_Shmoo</t>
        </r>
      </text>
    </comment>
    <comment ref="D149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call from VBT_LIB_DC_Func</t>
        </r>
      </text>
    </comment>
    <comment ref="B176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we don't use case "P" for current proflie</t>
        </r>
      </text>
    </comment>
    <comment ref="D176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we don't use case p to draw current profile</t>
        </r>
      </text>
    </comment>
    <comment ref="E176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we don't use this for current profile</t>
        </r>
      </text>
    </comment>
    <comment ref="B186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Call from LIB_Harvest</t>
        </r>
      </text>
    </comment>
    <comment ref="H197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LDO_Measurement_Process_Universal</t>
        </r>
      </text>
    </comment>
    <comment ref="A226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TrimCodeDig_Reverse_Ellis</t>
        </r>
      </text>
    </comment>
    <comment ref="A227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TrimCodeDig_Reverse_Ellis</t>
        </r>
      </text>
    </comment>
  </commentList>
</comments>
</file>

<file path=xl/comments10.xml><?xml version="1.0" encoding="utf-8"?>
<comments xmlns="http://schemas.openxmlformats.org/spreadsheetml/2006/main">
  <authors>
    <author>Yi-Hsiu Yen 顏義修</author>
  </authors>
  <commentList>
    <comment ref="H5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Create_DigSrc_Data</t>
        </r>
      </text>
    </comment>
  </commentList>
</comments>
</file>

<file path=xl/comments11.xml><?xml version="1.0" encoding="utf-8"?>
<comments xmlns="http://schemas.openxmlformats.org/spreadsheetml/2006/main">
  <authors>
    <author>Yi-Hsiu Yen 顏義修</author>
    <author>李偉加</author>
    <author>CW</author>
  </authors>
  <commentList>
    <comment ref="F22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Calc_MDLL_Monotonicity_DevideBlock_SEG_TTR_New</t>
        </r>
      </text>
    </comment>
    <comment ref="E30" authorId="1" shapeId="0">
      <text>
        <r>
          <rPr>
            <b/>
            <sz val="9"/>
            <color indexed="81"/>
            <rFont val="MingLiU"/>
            <family val="3"/>
            <charset val="136"/>
          </rPr>
          <t>李偉加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CalcDelayJitter_Skua</t>
        </r>
      </text>
    </comment>
    <comment ref="D41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Calc_MDLL_Monotonicity_DevideBlock_TTR</t>
        </r>
      </text>
    </comment>
    <comment ref="E41" authorId="1" shapeId="0">
      <text>
        <r>
          <rPr>
            <b/>
            <sz val="9"/>
            <color indexed="81"/>
            <rFont val="MingLiU"/>
            <family val="3"/>
            <charset val="136"/>
          </rPr>
          <t>李偉加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Calc_MDLL_Monotonicity_DevideBlock_TTR</t>
        </r>
      </text>
    </comment>
    <comment ref="F41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Calc_MDLL_Monotonicity_DevideBlock_SEG_TTR_New</t>
        </r>
      </text>
    </comment>
    <comment ref="E68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HIP_eFuse_Read</t>
        </r>
      </text>
    </comment>
    <comment ref="F68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HIP_eFuse_Read</t>
        </r>
      </text>
    </comment>
    <comment ref="G68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HIP_eFuse_Read</t>
        </r>
      </text>
    </comment>
    <comment ref="D82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call from Report_TName_From_Instance</t>
        </r>
      </text>
    </comment>
    <comment ref="E82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Report_TName_From_Instance</t>
        </r>
      </text>
    </comment>
    <comment ref="F104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Calc_GRPPercentage_Codes_TTR</t>
        </r>
      </text>
    </comment>
    <comment ref="A119" authorId="2" shapeId="0">
      <text>
        <r>
          <rPr>
            <b/>
            <sz val="9"/>
            <color indexed="81"/>
            <rFont val="Tahoma"/>
            <charset val="1"/>
          </rPr>
          <t>CW:</t>
        </r>
        <r>
          <rPr>
            <sz val="9"/>
            <color indexed="81"/>
            <rFont val="Tahoma"/>
            <charset val="1"/>
          </rPr>
          <t xml:space="preserve">
PalmaD2D, D2DCZ</t>
        </r>
      </text>
    </comment>
    <comment ref="C127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Calc_UCSDM_DFT_ADC</t>
        </r>
      </text>
    </comment>
  </commentList>
</comments>
</file>

<file path=xl/comments12.xml><?xml version="1.0" encoding="utf-8"?>
<comments xmlns="http://schemas.openxmlformats.org/spreadsheetml/2006/main">
  <authors>
    <author>Yi-Hsiu Yen 顏義修</author>
  </authors>
  <commentList>
    <comment ref="E20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TrimImpedance_M9</t>
        </r>
      </text>
    </comment>
    <comment ref="F20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K_TrimImpedance</t>
        </r>
      </text>
    </comment>
    <comment ref="G20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K_TrimImpedance</t>
        </r>
      </text>
    </comment>
    <comment ref="E21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Report_TestLimit_by_CZ_Format</t>
        </r>
      </text>
    </comment>
    <comment ref="F21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Report_TestLimit_by_CZ_Format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K_TrimImpedance</t>
        </r>
      </text>
    </comment>
  </commentList>
</comments>
</file>

<file path=xl/comments13.xml><?xml version="1.0" encoding="utf-8"?>
<comments xmlns="http://schemas.openxmlformats.org/spreadsheetml/2006/main">
  <authors>
    <author>Yi-Hsiu Yen 顏義修</author>
  </authors>
  <commentList>
    <comment ref="B13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call from ForceVal_Compare</t>
        </r>
      </text>
    </comment>
    <comment ref="C13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LIB_Harvest
</t>
        </r>
      </text>
    </comment>
    <comment ref="C15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Public_GetStoredString</t>
        </r>
      </text>
    </comment>
  </commentList>
</comments>
</file>

<file path=xl/comments14.xml><?xml version="1.0" encoding="utf-8"?>
<comments xmlns="http://schemas.openxmlformats.org/spreadsheetml/2006/main">
  <authors>
    <author>Yi-Hsiu Yen 顏義修</author>
    <author>李偉加</author>
  </authors>
  <commentList>
    <comment ref="D2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call from MetrologyTMPS_Calibration</t>
        </r>
      </text>
    </comment>
    <comment ref="D6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Calc_MetrologyTMPS_Gain_update</t>
        </r>
      </text>
    </comment>
    <comment ref="E6" authorId="1" shapeId="0">
      <text>
        <r>
          <rPr>
            <b/>
            <sz val="9"/>
            <color indexed="81"/>
            <rFont val="MingLiU"/>
            <family val="3"/>
            <charset val="136"/>
          </rPr>
          <t>李偉加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gain_update</t>
        </r>
      </text>
    </comment>
    <comment ref="C13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Calc_MetrologyTMPS_Coefficients_N3</t>
        </r>
      </text>
    </comment>
    <comment ref="C16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Calc_MetrologyTMPS_Temperature</t>
        </r>
      </text>
    </comment>
    <comment ref="D16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call from Calc_MetrologyTMPS_OffSet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use N3</t>
        </r>
      </text>
    </comment>
    <comment ref="C23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Calc_MetrologyBTS_OffSet_N3</t>
        </r>
      </text>
    </comment>
    <comment ref="F23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Calc_MetrologyBTS_OffSet_10b</t>
        </r>
      </text>
    </comment>
    <comment ref="G23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Calc_MetrologyBTS_OffSet_10b</t>
        </r>
      </text>
    </comment>
    <comment ref="B25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use 10b n3</t>
        </r>
      </text>
    </comment>
    <comment ref="C25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Calc_MetrologyBTS_Coefficient_10b_N3</t>
        </r>
      </text>
    </comment>
    <comment ref="F25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Calc_MetrologyBTS_Coefficient_10b</t>
        </r>
      </text>
    </comment>
    <comment ref="G25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Calc_MetrologyBTS_Coefficient_10b
</t>
        </r>
      </text>
    </comment>
    <comment ref="H25" authorId="0" shapeId="0">
      <text>
        <r>
          <rPr>
            <b/>
            <sz val="9"/>
            <color indexed="81"/>
            <rFont val="Tahoma"/>
            <family val="2"/>
          </rPr>
          <t xml:space="preserve">Yi-Hsiu Yen </t>
        </r>
        <r>
          <rPr>
            <b/>
            <sz val="9"/>
            <color indexed="81"/>
            <rFont val="MingLiU"/>
            <family val="3"/>
            <charset val="136"/>
          </rPr>
          <t>顏義修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Calc_MetrologyBTS_CoefficientB0</t>
        </r>
      </text>
    </comment>
  </commentList>
</comments>
</file>

<file path=xl/sharedStrings.xml><?xml version="1.0" encoding="utf-8"?>
<sst xmlns="http://schemas.openxmlformats.org/spreadsheetml/2006/main" count="10712" uniqueCount="1360">
  <si>
    <t>T-Ibi(QN98_CP1)</t>
  </si>
  <si>
    <t>DSP Function</t>
  </si>
  <si>
    <t>Measure_DutyCycle</t>
  </si>
  <si>
    <t>trim_calc</t>
  </si>
  <si>
    <t>trim_conveter</t>
  </si>
  <si>
    <t>MeasureJitter_US10G</t>
  </si>
  <si>
    <t>Measure_Eye_US10G</t>
  </si>
  <si>
    <t>Measure_DutyCycle_Freq_US10G</t>
  </si>
  <si>
    <t>LoopEyeMeas</t>
  </si>
  <si>
    <t>duty_freq_meas</t>
  </si>
  <si>
    <t>pulseMeas</t>
  </si>
  <si>
    <t>LoopJitterMeas</t>
  </si>
  <si>
    <t>DDR_LoopJitterMeas</t>
  </si>
  <si>
    <t>Measure_Eye</t>
  </si>
  <si>
    <t>Measure_Jitter</t>
  </si>
  <si>
    <t>MeasureJitter_vb</t>
  </si>
  <si>
    <t>analyzeEye_vb</t>
  </si>
  <si>
    <t>Measuredutycycle</t>
  </si>
  <si>
    <t>BitWf2Arry</t>
  </si>
  <si>
    <t>DdrSwpWf2Arry</t>
  </si>
  <si>
    <t>Split_Dspwave</t>
  </si>
  <si>
    <t>CreatSerDigSrc</t>
  </si>
  <si>
    <t>SetupTrimCodeBit</t>
  </si>
  <si>
    <t>ConvertToLongAndSerialToParrel</t>
  </si>
  <si>
    <t>CombineDSPWave_and_ConvertToLongAndSerialToParrel</t>
  </si>
  <si>
    <t>DSP_Add</t>
  </si>
  <si>
    <t>DSP_Subtract</t>
  </si>
  <si>
    <t>DSP_Multiply</t>
  </si>
  <si>
    <t>DSP_Divide</t>
  </si>
  <si>
    <t>DSPWaveDecToBinary</t>
  </si>
  <si>
    <t>Transfer2GrayCode</t>
  </si>
  <si>
    <t>DSP_DivideConstant</t>
  </si>
  <si>
    <t>CombineDSPWave</t>
  </si>
  <si>
    <t>SelectCertainBitsToDec</t>
  </si>
  <si>
    <t>ConcatenateDSP</t>
  </si>
  <si>
    <t>DSP_BitWiseAnd</t>
  </si>
  <si>
    <t>DSP_BitWiseOr</t>
  </si>
  <si>
    <t>DSP_BitWiseXOR</t>
  </si>
  <si>
    <t>BinToDec</t>
  </si>
  <si>
    <t>DSP_Convert_2S_Complement</t>
  </si>
  <si>
    <t>DSP_ConvertDataTypeToLong</t>
  </si>
  <si>
    <t>DSP_GrayCode2Bin</t>
  </si>
  <si>
    <t>DSP_2S_Complement_To_SignDec</t>
  </si>
  <si>
    <t>DSP_SignedBin_To_SignDec</t>
  </si>
  <si>
    <t>LPDPRX_EyeSweep</t>
  </si>
  <si>
    <t>PCIE_EyeSweep</t>
  </si>
  <si>
    <t>SeprateDSP</t>
  </si>
  <si>
    <t>AveWithStdev</t>
  </si>
  <si>
    <t>SeprateDSP_TTR_Single</t>
  </si>
  <si>
    <t>SeprateDSP_TTR</t>
  </si>
  <si>
    <t>DspWaveMergeRepeat</t>
  </si>
  <si>
    <t>DSPWf_Concatenate</t>
  </si>
  <si>
    <t>MTR_ASGMTR_Freq_Calculation</t>
  </si>
  <si>
    <t>MTR_DSGMTR_Freq_Calculation</t>
  </si>
  <si>
    <t>Split_Dspwave_PCIETXPLL_Central_bak</t>
  </si>
  <si>
    <t>Split_Dspwave_PCIETXPLL</t>
  </si>
  <si>
    <t>Split_Dspwave_CIOCALC</t>
  </si>
  <si>
    <t>Split_Dspwave_CIOPLL</t>
  </si>
  <si>
    <t>Split_Dspwave_AUS</t>
  </si>
  <si>
    <t>Split_Dspwave_CIO</t>
  </si>
  <si>
    <t>Split_Dspwave_PCIEREFPLL</t>
  </si>
  <si>
    <t>Split_Dspwave_CIOREFPLL</t>
  </si>
  <si>
    <t>Split_2SComplementDSPWave_To_SignDec</t>
  </si>
  <si>
    <t>Split_Gray_2sComplementDSPWave_to_Dec</t>
  </si>
  <si>
    <t>DSP_Opt_EYE</t>
  </si>
  <si>
    <t>Split_Gray_to_Dec</t>
  </si>
  <si>
    <t>DSPWf_Dec2Binary</t>
  </si>
  <si>
    <t>ReAssignmentDSPWave</t>
  </si>
  <si>
    <t>ElementTransformer</t>
  </si>
  <si>
    <t>SetupLinearTrimCodeBit</t>
  </si>
  <si>
    <t>CalculateDSPWaveforTrimCode</t>
  </si>
  <si>
    <t>SetupBinaryTrimCodeBit</t>
  </si>
  <si>
    <t>BitWf2Arry_MSB1st</t>
  </si>
  <si>
    <t>Split_Dspwave_MSB1st</t>
  </si>
  <si>
    <t>SetupLinearTrimCodeBit_Linear</t>
  </si>
  <si>
    <t>DSP_CalcMDLLMonotonicityDevideBlock</t>
  </si>
  <si>
    <t>Split_Tolerance_DSPWave</t>
  </si>
  <si>
    <t>Split_Dspwave_ADC_Convert_Avg</t>
  </si>
  <si>
    <t>Split_Dspwave_AUS_TTR</t>
  </si>
  <si>
    <t>Split_Dspwave_CIO3PLL</t>
  </si>
  <si>
    <t>Split_Dspwave_ASGMTR_Freq_Comp_Decomp</t>
  </si>
  <si>
    <t>Split_Dspwave_AUS_TTR_Charz</t>
  </si>
  <si>
    <t>Calc_EquationTrim_DSP</t>
  </si>
  <si>
    <t>Split_Dspwave_MSB</t>
  </si>
  <si>
    <t>Split_Dspwave_Reverse</t>
  </si>
  <si>
    <t>DSP_CalcMDLLMonotonicityDevideBlockSEG</t>
  </si>
  <si>
    <t>Split_Dspwave_LPDDR5PLL</t>
  </si>
  <si>
    <t>Split_Dspwave_AUSPLL</t>
  </si>
  <si>
    <t>X</t>
  </si>
  <si>
    <t>V</t>
  </si>
  <si>
    <t>CIO3PLL_TrimCalcDSP</t>
  </si>
  <si>
    <t>CMN_TrimCalcDSP</t>
  </si>
  <si>
    <t>AUSPLL16_TrimCalcDSP</t>
  </si>
  <si>
    <t>Split_Dspwave_AMPLP5_CODES</t>
  </si>
  <si>
    <t>Split_Dspwave_Partial</t>
  </si>
  <si>
    <t>MergeWave</t>
  </si>
  <si>
    <t>NANDIO_DigCap</t>
  </si>
  <si>
    <t>NANDIO_CAL_UD_Wave</t>
  </si>
  <si>
    <t>NANDIO_CAL_DOWN_Wave</t>
  </si>
  <si>
    <t>NANDIO_CAL_UP_Wave</t>
  </si>
  <si>
    <t>NANDIO_CAL_UD</t>
  </si>
  <si>
    <t>NAND_PVTP</t>
  </si>
  <si>
    <t>NAND_PVTN</t>
  </si>
  <si>
    <t>NAND_PVTR</t>
  </si>
  <si>
    <t>RepeatWave</t>
  </si>
  <si>
    <t>MergeBit</t>
  </si>
  <si>
    <t>CAL_WAVE_CREATE</t>
  </si>
  <si>
    <t>CAL_WAVE_CREATE_1</t>
  </si>
  <si>
    <t>CAL_WAVE_CREATE_2</t>
  </si>
  <si>
    <t>CAL_WAVE_CREATE_3</t>
  </si>
  <si>
    <t>CAL_WAVE_CREATE_4</t>
  </si>
  <si>
    <t>PVTPN_Wave_Gen</t>
  </si>
  <si>
    <t>PVTPN_New_Wave_Gen</t>
  </si>
  <si>
    <t>PassWave</t>
  </si>
  <si>
    <t>Calc_Average_DSP_Porcedure</t>
  </si>
  <si>
    <t>Calc_NAND_PHY_MDLL_DSP</t>
  </si>
  <si>
    <t>Trim_ConvertToLongAndSerialToParrel</t>
  </si>
  <si>
    <t>DSPWf_Merge</t>
  </si>
  <si>
    <t>TrimSrcRP</t>
  </si>
  <si>
    <t>Meas_Vdiff_func</t>
  </si>
  <si>
    <t>Meas_VIR_IO_Universal_func</t>
  </si>
  <si>
    <t>Meas_FreqVoltCurr_Universal_func</t>
  </si>
  <si>
    <t>Opt_DdrLpBkFunc2</t>
  </si>
  <si>
    <t>Opt_DdrLpBkFunc3</t>
  </si>
  <si>
    <t>DigSrc_DigCap_Universal_func</t>
  </si>
  <si>
    <t>TMPS_Voltage_Print</t>
  </si>
  <si>
    <t>ReMeasImpedByAveTrimCode</t>
  </si>
  <si>
    <t>TMPS_Bin2Dec</t>
  </si>
  <si>
    <t>TMPS_Dec2Bin</t>
  </si>
  <si>
    <t>Eye_Diagram</t>
  </si>
  <si>
    <t>PPMU_Impedance_Function</t>
  </si>
  <si>
    <t>TrimCodeDig</t>
  </si>
  <si>
    <t>TrimCodeDig_SeaHawk</t>
  </si>
  <si>
    <t>TrimCodeBasicDig</t>
  </si>
  <si>
    <t>PCIE_Eye_Diagram_0</t>
  </si>
  <si>
    <t>PCIE_Eye_Diagram_1</t>
  </si>
  <si>
    <t>PCIE_Eye_Diagram_2</t>
  </si>
  <si>
    <t>PCIE_Eye_Diagram_3</t>
  </si>
  <si>
    <t>PCIE_Eye_Diagram_4</t>
  </si>
  <si>
    <t>PCIE_Eye_Diagram_5</t>
  </si>
  <si>
    <t>LPDPRX_Eye_Diagram</t>
  </si>
  <si>
    <t>Enable_HIP_Datalog_Format</t>
  </si>
  <si>
    <t>Enable_HIP_Datalog_Format_CZ</t>
  </si>
  <si>
    <t>Disable_HIP_Datalog_Format</t>
  </si>
  <si>
    <t>Set_SEPVM_Ref_Level_Div</t>
  </si>
  <si>
    <t>SEPVM_Ref_measurement</t>
  </si>
  <si>
    <t>SEPVM_Ref2_Calibration</t>
  </si>
  <si>
    <t>ReSet_SEPVM_Ref_Level_Div</t>
  </si>
  <si>
    <t>LDO_Calibration</t>
  </si>
  <si>
    <t>ADC_BandGap_Calibration</t>
  </si>
  <si>
    <t>ADC_LDO_Calibration</t>
  </si>
  <si>
    <t>HIP_eFuse_Read_TMPS_Coeff</t>
  </si>
  <si>
    <t>TMPS</t>
  </si>
  <si>
    <t>HIP_eFuse_Write</t>
  </si>
  <si>
    <t>ADC_Trim</t>
  </si>
  <si>
    <t>MTR_Sense_Calibration_Coeff_Verification</t>
  </si>
  <si>
    <t>Metrology_CAL_eFuse_Write</t>
  </si>
  <si>
    <t>HIP_eFuse_Write_by_MTRGSNS</t>
  </si>
  <si>
    <t>Check_MTRGSNS_25C_Fuse</t>
  </si>
  <si>
    <t>MTR_REL_Fuse_Calc_Verification</t>
  </si>
  <si>
    <t>MTR_Sense_Alignment_Calc</t>
  </si>
  <si>
    <t>MTR_Sense_Calibration_Coeff_Calc</t>
  </si>
  <si>
    <t>MTRG_t5p2a_DigSrc_Coefficient_PreCalc</t>
  </si>
  <si>
    <t>MTRG_t6p3abc_DigSrc_Coefficient_PreCalc</t>
  </si>
  <si>
    <t>DSSC_Search</t>
  </si>
  <si>
    <t>DSSC_Search_LDO</t>
  </si>
  <si>
    <t>TrimUVI80Code_VFI_2sComplement</t>
  </si>
  <si>
    <t>TrimUVI80Code_VFI</t>
  </si>
  <si>
    <t>TrimUVI80Code_VFI_ADC</t>
  </si>
  <si>
    <t>TrimCodeFreq_new</t>
  </si>
  <si>
    <t>TrimCodeFreq_new_0828</t>
  </si>
  <si>
    <t>TrimCodeFreq</t>
  </si>
  <si>
    <t>TrimCodeFreq_DSSC</t>
  </si>
  <si>
    <t>TrimCodeImpedence</t>
  </si>
  <si>
    <t>HIP_eFuse_Read</t>
  </si>
  <si>
    <t>MTR_Verification_Calculate</t>
  </si>
  <si>
    <t>TrimCodeFreq_New_ALG</t>
  </si>
  <si>
    <t>TrimCodeFreq_RunPat_and_MeasF</t>
  </si>
  <si>
    <t>TrimCodeFreq_WriteComment_DspTrimCode</t>
  </si>
  <si>
    <t>HardIP_Trim_Set_PrePoint</t>
    <phoneticPr fontId="4" type="noConversion"/>
  </si>
  <si>
    <t>HardIP_Trim_Set_PostPoint</t>
    <phoneticPr fontId="4" type="noConversion"/>
  </si>
  <si>
    <t>AMP_EYE_VT_Setup</t>
  </si>
  <si>
    <t>CUS_AMP_SDLL_SWP_Init</t>
  </si>
  <si>
    <t>CUS_VIR_MainProgram_MeasV_CalR</t>
  </si>
  <si>
    <t>AnalyzeCusStrToCalcR</t>
  </si>
  <si>
    <t>Cust_Sweep_V</t>
  </si>
  <si>
    <t>VOLH_Sweep</t>
  </si>
  <si>
    <t>MTR_UVI80_Setup</t>
  </si>
  <si>
    <t>CUS_DDR_Emulate_Const_Res_Loading</t>
  </si>
  <si>
    <t>CUS_DDR_DCS_PrintOut</t>
  </si>
  <si>
    <t>MEAS_I_ABS</t>
  </si>
  <si>
    <t>CUS_RREF_Rak_Calc</t>
  </si>
  <si>
    <t>Time_Measure_kit_UP1600</t>
  </si>
  <si>
    <t>DDR_RO_Time_Measure_KIT_UP1600</t>
  </si>
  <si>
    <t>MetrologyTMPS_Calibration</t>
  </si>
  <si>
    <t>MetrologySense_Calibration</t>
  </si>
  <si>
    <t>MTRTMPS_OffSet_AVG</t>
  </si>
  <si>
    <t>MTRTMPS_Gain_Cal</t>
  </si>
  <si>
    <t>MetrologyGR_Calibration</t>
  </si>
  <si>
    <t>PCIE_PI_TEST</t>
  </si>
  <si>
    <t>PCIE_PI_Pat1</t>
  </si>
  <si>
    <t>PCIE_PI_Pat2</t>
  </si>
  <si>
    <t>PCIE_PI_Pat3</t>
  </si>
  <si>
    <t>PCIE_PI_Pat4</t>
  </si>
  <si>
    <t>PI_continuous_fai_count</t>
  </si>
  <si>
    <t>EyeCount</t>
  </si>
  <si>
    <t>EyeWidth</t>
  </si>
  <si>
    <t>ReadEfuseDecimal_from_Dictionary</t>
  </si>
  <si>
    <t>SaveEfuseDecimal_to_Dictionary</t>
  </si>
  <si>
    <t>SetWriteDecimalPassFlagToEFuse</t>
  </si>
  <si>
    <t>TrimImpedance_M9</t>
  </si>
  <si>
    <t>TrimImpedance_MeasR</t>
  </si>
  <si>
    <t>UP1600_PPMU_Measure_R_SingleEnd</t>
  </si>
  <si>
    <t>UP1600_PPMU_Measure_R_Differential</t>
  </si>
  <si>
    <t>MeasurePins_to_Differential_Pair</t>
  </si>
  <si>
    <t>Show_Fuse_Check</t>
  </si>
  <si>
    <t>HIP_eFuse_Read_and_Set_SiteVar</t>
  </si>
  <si>
    <t>Show_Num_Of_Data_In_Fuse</t>
  </si>
  <si>
    <t>CombineTrimCodeInEFuseAndTrimII</t>
  </si>
  <si>
    <t>TrimImpedance_M9_Check_TrimCode</t>
  </si>
  <si>
    <t>RemoveAllEfuseDecimal_to_Dictionary</t>
  </si>
  <si>
    <t>K_TrimImpedance_Turks_TTR</t>
  </si>
  <si>
    <t>TrimImpedance_M9_Check_TrimCode_V1</t>
  </si>
  <si>
    <t>K_TrimImpedance_Turks_V1</t>
  </si>
  <si>
    <t>K_ADDRIO_FUSE_WRITE</t>
  </si>
  <si>
    <t>K_ADDRIO_FUSE_READ</t>
  </si>
  <si>
    <t>K_Show_Data_Count_In_Fuse</t>
  </si>
  <si>
    <t>K_Merge_TrimCode_From_Fuse_n_Trim</t>
  </si>
  <si>
    <t>K_Str_DumpDspWave</t>
  </si>
  <si>
    <t>CZ_Style_TName_InstanceInfo_Clear</t>
  </si>
  <si>
    <t>DACTrimPrint</t>
  </si>
  <si>
    <t>PrintAllTrimResult</t>
  </si>
  <si>
    <t>BinDSP2Str</t>
  </si>
  <si>
    <t>DACTrim_DigSrcSetting</t>
  </si>
  <si>
    <t>DecomposePatternSet</t>
  </si>
  <si>
    <t>DACTrim_WriteFuncResult</t>
  </si>
  <si>
    <t>StartFRC</t>
  </si>
  <si>
    <t>StopFRC</t>
  </si>
  <si>
    <t>Select_Measure_Pin</t>
  </si>
  <si>
    <t>Select_MeasureI_CurrentRange</t>
  </si>
  <si>
    <t>DACTrim_FrequencyMeasureSingleEnd</t>
  </si>
  <si>
    <t>DiscriminateMeasV_PinType</t>
  </si>
  <si>
    <t>GetInstrumentType</t>
  </si>
  <si>
    <t>DACTrim_SetupAndMeasureVolt_UVI80</t>
  </si>
  <si>
    <t>DACTrim_MergePinListData</t>
  </si>
  <si>
    <t>DACTrim_MeasureCurrent</t>
  </si>
  <si>
    <t>DACTrim_MeasureI_Combine2TestCondition</t>
  </si>
  <si>
    <t>DiscriminateMeasI_TestCondition</t>
  </si>
  <si>
    <t>DACTrim_NC_Pin</t>
  </si>
  <si>
    <t>IsEmptyArray</t>
  </si>
  <si>
    <t>TrimPinNameDuplicate</t>
  </si>
  <si>
    <t>DACTrim_SetupAndMeasureCurrent_UVI80</t>
  </si>
  <si>
    <t>DACTrim_SetupAndMeasureCurrent_UVS256</t>
  </si>
  <si>
    <t>DACTrim_UVS256__MI_StoreCondition</t>
  </si>
  <si>
    <t>DACDigSrcDspWave</t>
  </si>
  <si>
    <t>DACTrim_UVS256__MI_RestoreCondition</t>
  </si>
  <si>
    <t>DisConnectMeasureVoltPins</t>
  </si>
  <si>
    <t>DACTrim_DigSrc_Data</t>
  </si>
  <si>
    <t>CheckInputStringAt</t>
  </si>
  <si>
    <t>BinStr2Dec</t>
  </si>
  <si>
    <t>Dec2BinStr</t>
  </si>
  <si>
    <t>CalcTarget_V2</t>
  </si>
  <si>
    <t>Do_All</t>
  </si>
  <si>
    <t>TransitionSearch</t>
  </si>
  <si>
    <t>BinarySearch</t>
  </si>
  <si>
    <t>Boundary</t>
  </si>
  <si>
    <t>LinearSearch</t>
  </si>
  <si>
    <t>Interpolate</t>
  </si>
  <si>
    <t>GetTrimName</t>
  </si>
  <si>
    <t>GetTrimCode</t>
  </si>
  <si>
    <t>GetTrimVal</t>
  </si>
  <si>
    <t>TrimLimit_V2</t>
  </si>
  <si>
    <t>TrimCodeLimit</t>
  </si>
  <si>
    <t>TrimVallimit</t>
  </si>
  <si>
    <t>TrimVallimit_V2</t>
  </si>
  <si>
    <t>fuseCode</t>
  </si>
  <si>
    <t>FuseVal</t>
  </si>
  <si>
    <t>GetCustomSearch</t>
  </si>
  <si>
    <t>InverseBinStr</t>
  </si>
  <si>
    <t>InverseDec</t>
  </si>
  <si>
    <t>MapSearchMethod</t>
  </si>
  <si>
    <t>DACTrim_ProcessCalcEquation</t>
  </si>
  <si>
    <t>AddDSPWf2Dic</t>
  </si>
  <si>
    <t>Trim_DiscriminateMeasureV_TestCondition</t>
  </si>
  <si>
    <t>ReplStr</t>
  </si>
  <si>
    <t>EqMapping</t>
  </si>
  <si>
    <t>TrimReturn</t>
  </si>
  <si>
    <t>ArrayCheck</t>
  </si>
  <si>
    <t>Description_on_RINGS</t>
  </si>
  <si>
    <t>HardIP_waittime_trimming</t>
  </si>
  <si>
    <t>IO_Power_Split</t>
  </si>
  <si>
    <t>PATT_GetPatListFromPatternSet</t>
  </si>
  <si>
    <t>Decide_Measure_Pin</t>
  </si>
  <si>
    <t>Decide_MeasureI_CurrentRange</t>
  </si>
  <si>
    <t>HardIP_WriteFuncResult</t>
  </si>
  <si>
    <t>GetFlowSingleUseLimit</t>
  </si>
  <si>
    <t>Find_Assignement</t>
  </si>
  <si>
    <t>HardIP_MeasureVolt</t>
  </si>
  <si>
    <t>DSSCSrcBitFromFlowForLoop</t>
  </si>
  <si>
    <t>EndSetupForMeasureVoltPins</t>
  </si>
  <si>
    <t>PinNameDuplicateCheck</t>
  </si>
  <si>
    <t>Printout_DigSrc</t>
  </si>
  <si>
    <t>Printout_DigSrc_Newformat</t>
  </si>
  <si>
    <t>Create_DigSrc_Data</t>
  </si>
  <si>
    <t>SetupDigSrcDspWave</t>
  </si>
  <si>
    <t>DigCapSetup</t>
  </si>
  <si>
    <t>MergePinListData</t>
  </si>
  <si>
    <t>Freq_PPMU_Meas_VOH</t>
  </si>
  <si>
    <t>IO_HardIP_PPMU_Measure_V</t>
  </si>
  <si>
    <t>IO_HardIP_PPMU_Measure_I</t>
  </si>
  <si>
    <t>IO_HardIP_PPMU_Measure_R</t>
  </si>
  <si>
    <t>HardIP_SetupAndMeasureR</t>
  </si>
  <si>
    <t>Meas_VIR_IO_PreSetupBeforeMeasurement</t>
  </si>
  <si>
    <t>Meas_VIR_IO_PostSetupAfterMeasurement</t>
  </si>
  <si>
    <t>HardIP_MeasureCurrent</t>
  </si>
  <si>
    <t>PPMU_Reset</t>
  </si>
  <si>
    <t>UVI80_Reset</t>
  </si>
  <si>
    <t>HardIP_SetupAndMeasureVolt_UVI80_old</t>
  </si>
  <si>
    <t>HardIP_SetupAndMeasureVolt_UVI80</t>
  </si>
  <si>
    <t>HardIP_Characterization_ShmooEndFunction</t>
  </si>
  <si>
    <t>HardIP_SetupAndMeasureVolt_UVI80_Diff</t>
  </si>
  <si>
    <t>HardIP_SetupAndMeasureVolt_PPMU</t>
  </si>
  <si>
    <t>HardIP_SetupAndMeasureCurrent_UVI80</t>
  </si>
  <si>
    <t>HardIP_SetupAndMeasureCurrent_VSM</t>
  </si>
  <si>
    <t>HardIP_SetupAndMeasureCurrent_UVS256</t>
  </si>
  <si>
    <t>HardIP_UVS256_autorange</t>
  </si>
  <si>
    <t>UVS256_setup_range_n_time</t>
  </si>
  <si>
    <t>HardIP_Freq_MeasFreqStart</t>
  </si>
  <si>
    <t>ContentIsNumeral</t>
  </si>
  <si>
    <t>IO_HardIP_PPMU_Measure_Z</t>
  </si>
  <si>
    <t>CheckDuplicateInputPins</t>
  </si>
  <si>
    <t>Print_Force_Condition</t>
  </si>
  <si>
    <t>Print_Force_Condition_I</t>
  </si>
  <si>
    <t>IPF_CZ_PrintFreq</t>
  </si>
  <si>
    <t>Freq_ProcessEventSourceTerminationMode</t>
  </si>
  <si>
    <t>VIR_CheckTestCondition_Measure_I_R_Z</t>
  </si>
  <si>
    <t>MeasureR_ForceDifferentVolt</t>
  </si>
  <si>
    <t>HardIP_OnProgramStarted_Process</t>
  </si>
  <si>
    <t>GetInstrument</t>
  </si>
  <si>
    <t>SrcVoltFromFlowForLoop</t>
  </si>
  <si>
    <t>Rev_BinArray</t>
  </si>
  <si>
    <t>CheckInputStringByAt</t>
  </si>
  <si>
    <t>DigCapDataProcessByDSP</t>
  </si>
  <si>
    <t>PLL_calibration_calc</t>
  </si>
  <si>
    <t>PLL_calibration_calc_MOD</t>
  </si>
  <si>
    <t>PLL_calibration_calc_MOD_PCIETXPLL</t>
  </si>
  <si>
    <t>PLL_calibration_calc_MOD_PCIEREFPLL</t>
  </si>
  <si>
    <t>PLL_calibration_calc_MOD_AUS</t>
  </si>
  <si>
    <t>PLL_calibration_calc_MOD_CIO</t>
  </si>
  <si>
    <t>CreateSimulateDataDSPWave</t>
  </si>
  <si>
    <t>Freq_WalkingStrobe_Meas_VOHVOL</t>
  </si>
  <si>
    <t>SimulateOutputFreq</t>
  </si>
  <si>
    <t>IPF_CZ_PrintDigCapInfo</t>
  </si>
  <si>
    <t>CheckRangesAndClamps</t>
  </si>
  <si>
    <t>GetAppropriateMeterCurrentRange</t>
  </si>
  <si>
    <t>VFI_ProcessInputString</t>
  </si>
  <si>
    <t>VFI_ProcessWaitTimeString</t>
  </si>
  <si>
    <t>VFI_AnalyzedInputStringByAt</t>
  </si>
  <si>
    <t>AnalyzeDigSrcEquationAssignmentContent</t>
  </si>
  <si>
    <t>Checker_WithDictionary</t>
  </si>
  <si>
    <t>Checker_ConstantBinary</t>
  </si>
  <si>
    <t>Checker_StoreDigCapAllToDictionary</t>
  </si>
  <si>
    <t>Checker_StoreWholeDigSrcInDict</t>
  </si>
  <si>
    <t>Checker_DigSrcFromDict</t>
  </si>
  <si>
    <t>HardIP_InitialSetupForPatgen</t>
  </si>
  <si>
    <t>AnalyzePatName</t>
  </si>
  <si>
    <t>ProcessCalcEquation</t>
  </si>
  <si>
    <t>IsConstant</t>
  </si>
  <si>
    <t>GetSplitKeyWord</t>
  </si>
  <si>
    <t>ProcessDSPCalculation</t>
  </si>
  <si>
    <t>ProcessStringForCalType</t>
  </si>
  <si>
    <t>StandardCalcuation</t>
  </si>
  <si>
    <t>CreateSimulateDataDSPWave_Parallel</t>
  </si>
  <si>
    <t>DigCapDataProcessByDSP_Parallel</t>
  </si>
  <si>
    <t>VIR_AnalyzedInputStringByAt</t>
  </si>
  <si>
    <t>Checker_DictCalculated</t>
  </si>
  <si>
    <t>AnalyzeDictCalculatedContent</t>
  </si>
  <si>
    <t>GeneralDigSrcSetting</t>
  </si>
  <si>
    <t>GeneralDigCapSetting</t>
  </si>
  <si>
    <t>HardIP_Alarm_off</t>
  </si>
  <si>
    <t>VIR_ProcessInputString</t>
  </si>
  <si>
    <t>GrayCode2Bin_TTR</t>
  </si>
  <si>
    <t>DSSC_Search_par_run</t>
  </si>
  <si>
    <t>DSSC_Special_Str_Filter</t>
  </si>
  <si>
    <t>SimulatePreCheckOutputFreq</t>
  </si>
  <si>
    <t>GetFlowTestName</t>
  </si>
  <si>
    <t>VIR_CheckForceVal</t>
  </si>
  <si>
    <t>VIR_ProcessForceVal</t>
  </si>
  <si>
    <t>SimulateFlowForSweep</t>
  </si>
  <si>
    <t>PrLoadPattern</t>
  </si>
  <si>
    <t>Freq_WalkingStrobe_Meas_VOD_Diff</t>
  </si>
  <si>
    <t>UP1600_PPMU_Measure_R_SE</t>
  </si>
  <si>
    <t>SubMeasR</t>
  </si>
  <si>
    <t>SimulateOutputImped</t>
  </si>
  <si>
    <t>EvaluateForDCSpec</t>
  </si>
  <si>
    <t>ProcessEvaluateDCSpec</t>
  </si>
  <si>
    <t>HIP_Evaluate_ForceVal</t>
  </si>
  <si>
    <t>HEX_to_BIN</t>
  </si>
  <si>
    <t>UP1600_PPMU_Measure_R_DI</t>
  </si>
  <si>
    <t>CreateSimulateMDLL_Data</t>
  </si>
  <si>
    <t>IPF_Connect_PPMU_ForceV</t>
  </si>
  <si>
    <t>IPF_Connect_Digital</t>
  </si>
  <si>
    <t>PPMU_SerialMeasureCurr</t>
  </si>
  <si>
    <t>DictDSPToSiteLong</t>
  </si>
  <si>
    <t>HardIP_Duty_Frequency</t>
  </si>
  <si>
    <t>Dec2BinStr32Bit_Rev</t>
  </si>
  <si>
    <t>DisplayForLoopFuncResult_EndOfTest</t>
  </si>
  <si>
    <t>PrintDigCapSetting</t>
  </si>
  <si>
    <t>Select_MeasIRange</t>
  </si>
  <si>
    <t>HardIP_Bin2Dec</t>
  </si>
  <si>
    <t>HardIP_Dec2Bin</t>
  </si>
  <si>
    <t>TMPS_Coeff_Calculation</t>
  </si>
  <si>
    <t>TMPS_Coeff_Calculation_1point</t>
  </si>
  <si>
    <t>TMPS_2s_Complement_Fractional_Conversion</t>
  </si>
  <si>
    <t>TMPS_Temperature2iEDA</t>
  </si>
  <si>
    <t>TrimUVI80_Meas_VFI</t>
  </si>
  <si>
    <t>Trim_CIOTXbyTable</t>
  </si>
  <si>
    <t>Trim_SetupandmeasureF_UVI80</t>
  </si>
  <si>
    <t>Trim_SetupandmeasureI_UVI80</t>
  </si>
  <si>
    <t>Trim_SetupandmeasureV_UVI80</t>
  </si>
  <si>
    <t>Addstorecapture_Trim</t>
  </si>
  <si>
    <t>Create_DigSrc_Data_Trim</t>
  </si>
  <si>
    <t>SetForceSweepVoltAndTName</t>
  </si>
  <si>
    <t>SortSweepInfo</t>
  </si>
  <si>
    <t>Merge_TName</t>
  </si>
  <si>
    <t>Report_TName_From_Instance</t>
  </si>
  <si>
    <t>GetFlowTName</t>
  </si>
  <si>
    <t>SetupDatalogFormat</t>
  </si>
  <si>
    <t>HardIP_SetupAndMeasureCurrent_PPMU</t>
  </si>
  <si>
    <t>ProcessTestNameInputString</t>
  </si>
  <si>
    <t>HIP_Evaluate_ForceVal_New</t>
  </si>
  <si>
    <t>GetHiLimitFromFlow</t>
  </si>
  <si>
    <t>GetLowLimitFromFlow</t>
  </si>
  <si>
    <t>ProsscessTestLimit</t>
  </si>
  <si>
    <t>ProcessSweepString</t>
  </si>
  <si>
    <t>ProcessSweepString_specailcase</t>
  </si>
  <si>
    <t>DSSC_Search_par_run_LDO</t>
  </si>
  <si>
    <t>GeneralDigSrcSetting_LDO</t>
  </si>
  <si>
    <t>Print_NewFormat</t>
  </si>
  <si>
    <t>ConcatenateDSP_TTR</t>
  </si>
  <si>
    <t>TrimUVI80_Meas_VFI_ADC</t>
  </si>
  <si>
    <t>Trim_SetupandmeasureV_UVI80_ADC</t>
  </si>
  <si>
    <t>RegAssignChecker</t>
  </si>
  <si>
    <t>ProcessInputToGLB</t>
  </si>
  <si>
    <t>SplitInputCondition</t>
  </si>
  <si>
    <t>SortPinInstrument</t>
  </si>
  <si>
    <t>SortPinChannelType</t>
  </si>
  <si>
    <t>GetInstTypToDic</t>
  </si>
  <si>
    <t>Rtn_Dic_count</t>
  </si>
  <si>
    <t>ParseData</t>
  </si>
  <si>
    <t>CheckAndReturnArrayData</t>
  </si>
  <si>
    <t>HardIP_MeasureFreq</t>
  </si>
  <si>
    <t>HardIP_SetupAndMeasureZ</t>
  </si>
  <si>
    <t>HardIP_FrequencyMeasure</t>
  </si>
  <si>
    <t>HardIP_FrequencyMeasure_Dctime</t>
  </si>
  <si>
    <t>HardIP_DCVS_MI_StoreAndRestoreCondition</t>
  </si>
  <si>
    <t>HardIP_DCVS_MV_StoreAndRestoreCondition</t>
  </si>
  <si>
    <t>HardIP_BySeqCurrentProfile</t>
  </si>
  <si>
    <t>CheckDigSrcEquationAssignment</t>
  </si>
  <si>
    <t>CreateDigSrcDSPWave</t>
  </si>
  <si>
    <t>MergeDigSrcEquationAssignment</t>
  </si>
  <si>
    <t>PrintDigSrcEquationAssignment</t>
  </si>
  <si>
    <t>HardIP_RAK_Init</t>
  </si>
  <si>
    <t>UVI80_DIFFMETER_INIT</t>
  </si>
  <si>
    <t>UVI80_DIFFMETER_SETUP</t>
  </si>
  <si>
    <t>UVI80_DCDIFFMETER</t>
  </si>
  <si>
    <t>UVI80_DIFFMETER_RELEASE</t>
  </si>
  <si>
    <t>ForceVal_Compare</t>
  </si>
  <si>
    <t>Opt_Input_Parsing</t>
  </si>
  <si>
    <t>Split_GrayDSP_2sComplementDSP_to_Dec</t>
  </si>
  <si>
    <t>Special_DigSrc_Collection</t>
  </si>
  <si>
    <t>WaitTime_Check</t>
  </si>
  <si>
    <t>SweepSplit_WaitTime</t>
  </si>
  <si>
    <t>ParseData_Freq</t>
  </si>
  <si>
    <t>ParseData_InterPose</t>
  </si>
  <si>
    <t>StoredRegAssign</t>
  </si>
  <si>
    <t>Split_GrayDSP_to_Dec</t>
  </si>
  <si>
    <t>LDO_Measurement_Process</t>
  </si>
  <si>
    <t>HardIP_SetupAndMeasureVolt_PPMU_BySerial</t>
  </si>
  <si>
    <t>HardIP_SetupAndMeasureCurrent_PPMU_BySerial</t>
  </si>
  <si>
    <t>HardIP_DCVI_MI_StoreAndRestoreCondition</t>
  </si>
  <si>
    <t>ReDefineDigSrcForCharacterization</t>
  </si>
  <si>
    <t>Update_BC_PassFail_Flag</t>
  </si>
  <si>
    <t>FindAvgDict</t>
  </si>
  <si>
    <t>FindingArrayPos</t>
  </si>
  <si>
    <t>ADC_CONVERT_AVERAGE_TestLimit</t>
  </si>
  <si>
    <t>HardIP_SetupAndMeasureCurrent_UVS64</t>
  </si>
  <si>
    <t>HardIP_SetupAndMeasureCurrent_UVS256HP</t>
  </si>
  <si>
    <t>HardIP_SetupAndMeasureVolt_UVS64</t>
  </si>
  <si>
    <t>HardIP_SetupAndMeasureVolt_UVS256HP</t>
  </si>
  <si>
    <t>ProsscessTestLimit_PPMU_TTR</t>
  </si>
  <si>
    <t>CheckSameLimitForMerge</t>
  </si>
  <si>
    <t>Processing_MeasPins</t>
  </si>
  <si>
    <t>Reg_Assign_Processing</t>
  </si>
  <si>
    <t>Process_DSSC_Dictionary</t>
  </si>
  <si>
    <t>Select_MeasPin</t>
  </si>
  <si>
    <t>HardIP_DCVI_MV_StoreAndRestoreCondition</t>
  </si>
  <si>
    <t>HardIP_Special_Binout</t>
  </si>
  <si>
    <t>checkpatcnt</t>
  </si>
  <si>
    <t>Parsing_Burst_Pattern</t>
  </si>
  <si>
    <t>PatternBurstCheckAndSplit</t>
  </si>
  <si>
    <t>ProcessDSPCalculation_DIV2</t>
  </si>
  <si>
    <t>GeneralDigSrcSettingWithBurst</t>
  </si>
  <si>
    <t>DCVS_MeasureCurrent_AutoRange</t>
  </si>
  <si>
    <t>RegAssign_PatBurstReConstruction</t>
  </si>
  <si>
    <t>Select_forcecondition</t>
  </si>
  <si>
    <t>Mease_SEPVME_Force_condition</t>
  </si>
  <si>
    <t>HardIP_RAK_PowerSense</t>
  </si>
  <si>
    <t>IO_HardIP_DS_VOH_VOL_INIT</t>
  </si>
  <si>
    <t>IO_HardIP_DS_VOH_VOL_SETUP</t>
  </si>
  <si>
    <t>TrimCodeFreq_GeneralDigSrcSetting</t>
  </si>
  <si>
    <t>ADC_BandGap_DigCapDataProcessByDSP</t>
  </si>
  <si>
    <t>Calc_ADC_Dict_Store</t>
  </si>
  <si>
    <t>Calc_ADC_REF_Dict_Store</t>
  </si>
  <si>
    <t>Server_Connection</t>
  </si>
  <si>
    <t>binToDecStr</t>
  </si>
  <si>
    <t>HardIP_Decide_Switching_Bit</t>
  </si>
  <si>
    <t>HardIP_Decide_DSSC_Switching_Voltage</t>
  </si>
  <si>
    <t>Printout_BCCallHIP_DigSrc</t>
  </si>
  <si>
    <t>Calc_ADC_LDO_TRIM_TTR</t>
  </si>
  <si>
    <t>Calc_delay</t>
  </si>
  <si>
    <t>Calc_delay_Sicily</t>
  </si>
  <si>
    <t>Calc_SetFlag</t>
  </si>
  <si>
    <t>Calc_GrayCode</t>
  </si>
  <si>
    <t>CMRR</t>
  </si>
  <si>
    <t>PSRR</t>
  </si>
  <si>
    <t>Calc_RXEye</t>
  </si>
  <si>
    <t>Calc_R_Path_Cal</t>
  </si>
  <si>
    <t>Calc_ConcatenateDSP</t>
  </si>
  <si>
    <t>Calc_AverageDSP</t>
  </si>
  <si>
    <t>Calc_BitwiseDSP</t>
  </si>
  <si>
    <t>Calc_Dict_Store</t>
  </si>
  <si>
    <t>Calc_2S_Complement_DSP</t>
  </si>
  <si>
    <t>MSBNEGATE</t>
  </si>
  <si>
    <t>Calc_TMPS_Coeff</t>
  </si>
  <si>
    <t>Calc_TMPS_Coeff_1point</t>
  </si>
  <si>
    <t>ADDRIO_TrimCodeAverage</t>
  </si>
  <si>
    <t>Calc_MDLL_Monotonicity</t>
  </si>
  <si>
    <t>Calc_DDR_MDCC_Freq</t>
  </si>
  <si>
    <t>Calc_MDLL_Monotonicity_DevideBlock_SEG</t>
  </si>
  <si>
    <t>Calc_MDLL_Monotonicity_Analyze</t>
  </si>
  <si>
    <t>Calc_LPDPTX_FXCode</t>
  </si>
  <si>
    <t>Calc_ADCPLL_fuse</t>
  </si>
  <si>
    <t>Calc_GrayCodeToBin</t>
  </si>
  <si>
    <t>CalcDutyDelay</t>
  </si>
  <si>
    <t>CalcDelayDelta_Sicily</t>
  </si>
  <si>
    <t>CalcDutyDelay_Delta</t>
  </si>
  <si>
    <t>CalcDelayJitter</t>
  </si>
  <si>
    <t>CalcJitter</t>
  </si>
  <si>
    <t>Calc_2S_Complement_To_SignDec</t>
  </si>
  <si>
    <t>Calc_TMPS_Code2Temperature</t>
  </si>
  <si>
    <t>Calc_PCIE_ADC</t>
  </si>
  <si>
    <t>TX_Level</t>
  </si>
  <si>
    <t>TX_EQXXXXXXX</t>
  </si>
  <si>
    <t>TX_EQ</t>
  </si>
  <si>
    <t>Calc_2S_Complement_To_SignDec_Modified</t>
  </si>
  <si>
    <t>Calc_2S_Complement_To_SignDec_Modified_Nolimit</t>
  </si>
  <si>
    <t>Calc_MDLL_Monotonicity_DevideBlock</t>
  </si>
  <si>
    <t>Calc_Metrology_GainError</t>
  </si>
  <si>
    <t>Calc_MIPI_CodeTolerance</t>
  </si>
  <si>
    <t>Calc_Metrology_GainErrorOffset</t>
  </si>
  <si>
    <t>Calc_Metrology_EncodeActualTemp</t>
  </si>
  <si>
    <t>Calc_Metrology_DecodeActualTemp</t>
  </si>
  <si>
    <t>Calc_Metrology_adc_tfe_temp_fuses</t>
  </si>
  <si>
    <t>Calc_MTR_REL_Freq_Diff_Percentage</t>
  </si>
  <si>
    <t>Calc_MIPI_VCMTX</t>
  </si>
  <si>
    <t>Calc_MIPID_VCMTX</t>
  </si>
  <si>
    <t>Calc_DigCapCombine</t>
  </si>
  <si>
    <t>Calc_VDiff_t6p1_metrologyGR</t>
  </si>
  <si>
    <t>Calc_DigCapAvg</t>
  </si>
  <si>
    <t>Calc_CalR_FVMI_IO</t>
  </si>
  <si>
    <t>Calc_CalR_FVMI</t>
  </si>
  <si>
    <t>Calc_CalZ_FVMI</t>
  </si>
  <si>
    <t>Calc_MDLL_Monotonicity_DevideBlock_TTR</t>
  </si>
  <si>
    <t>Sub_MDLL</t>
  </si>
  <si>
    <t>Calc_FromLoad_MTR_SE_CAL_Coeff</t>
  </si>
  <si>
    <t>MTR_Cal_DecimalToBinary</t>
  </si>
  <si>
    <t>TX_Low_Level</t>
  </si>
  <si>
    <t>Calc_MIPI_Tolerance</t>
  </si>
  <si>
    <t>Calc_ADC_Error_code</t>
  </si>
  <si>
    <t>ADC_code_toV</t>
  </si>
  <si>
    <t>Calc_MTR_REL_Freq_Diff_AVG</t>
  </si>
  <si>
    <t>Calc_MTR_AVG</t>
  </si>
  <si>
    <t>Report_ALG_TName_From_Instance</t>
  </si>
  <si>
    <t>Calc_ADC_Convert_Average</t>
  </si>
  <si>
    <t>compensate_Volt</t>
  </si>
  <si>
    <t>USB3_ADC</t>
  </si>
  <si>
    <t>Print_Shmoo_Voltage</t>
  </si>
  <si>
    <t>Calc_memcheck</t>
  </si>
  <si>
    <t>LP5_LB_PI</t>
  </si>
  <si>
    <t>LP5_LB_DLL</t>
  </si>
  <si>
    <t>LP5_LB_RDDLL</t>
  </si>
  <si>
    <t>Calc_GPIO_DriverStrength</t>
  </si>
  <si>
    <t>Calc_Voff_t6p2_MetrologyGR</t>
  </si>
  <si>
    <t>Calc_Ratio_off_average_t6p2_MetrologyGR</t>
  </si>
  <si>
    <t>Calc_2S_Complement_To_SignDec_DivConst</t>
  </si>
  <si>
    <t>Calc_Metrology_Trim_Vdiff</t>
  </si>
  <si>
    <t>Calc_DigCap_Avg_Store</t>
  </si>
  <si>
    <t>Calc_DigCap_Avg_Store_TTR</t>
  </si>
  <si>
    <t>Calc_MetrologyGR_t1p0</t>
  </si>
  <si>
    <t>Calc_PCIE_RXTERM</t>
  </si>
  <si>
    <t>Auth_Debug</t>
  </si>
  <si>
    <t>Calc_DigCap_MeanWithVariance</t>
  </si>
  <si>
    <t>Trim_Pll_Freq</t>
  </si>
  <si>
    <t>Calc_DCC_Skew_Range_DSP</t>
  </si>
  <si>
    <t>Calc_DiCap_ParallelMode_For_IPPM</t>
  </si>
  <si>
    <t>prasing_ADC</t>
  </si>
  <si>
    <t>Calc_12bADC_MeanWithVariance</t>
  </si>
  <si>
    <t>DebugPrintRawDigCap</t>
  </si>
  <si>
    <t>Calc_ADC_average</t>
  </si>
  <si>
    <t>Calc_D2D_MAX_MIN_V2</t>
  </si>
  <si>
    <t>P2PBundle_eye</t>
  </si>
  <si>
    <t>P2PBundle_Unflipeye</t>
  </si>
  <si>
    <t>Find_transition_point</t>
  </si>
  <si>
    <t>LB_Error_Count</t>
  </si>
  <si>
    <t>Calc_AUS_DCD</t>
  </si>
  <si>
    <t>Calc_GRPPercentage</t>
  </si>
  <si>
    <t>Calc_EQcal_DigSrc</t>
  </si>
  <si>
    <t>Calc_EyeWidthLimitForEachMode</t>
  </si>
  <si>
    <t>Calc_DCSkew_IN_CLK</t>
  </si>
  <si>
    <t>Functional_Parametric_LoopFunction</t>
  </si>
  <si>
    <t>Calc_RAW_DCO_DAC</t>
  </si>
  <si>
    <t>Calc_DCC_Skew_Range_DSP_Long</t>
  </si>
  <si>
    <t>Calc_GRPPercentageF1</t>
  </si>
  <si>
    <t>Calc_GRPPercentageF2</t>
  </si>
  <si>
    <t>Calc_GRPPercentageF</t>
  </si>
  <si>
    <t>CalcDutyDelay_CapturedFreq</t>
  </si>
  <si>
    <t>CalcDutyDelay_CapturedFreq_PILinear</t>
  </si>
  <si>
    <t>CalcDutyDelay_CapturedFreq_PILinear_Backup</t>
  </si>
  <si>
    <t>Calc_EquationTrim</t>
  </si>
  <si>
    <t>Calc_DigCap_Dec_Avg</t>
  </si>
  <si>
    <t>P2PBundle_Unflipeye_NewCal</t>
  </si>
  <si>
    <t>Check_Powerrails_check</t>
  </si>
  <si>
    <t>Calc_LPDPRX_RX12_Freq</t>
  </si>
  <si>
    <t>Calc_RX12_Freq</t>
  </si>
  <si>
    <t>Calc_DigCap_Offset_Store</t>
  </si>
  <si>
    <t>Calc_DigCap_Offset_Store_TTR</t>
  </si>
  <si>
    <t>Calc_MDLL_Monotonicity_DevideBlock_SEGTTR</t>
  </si>
  <si>
    <t>Calc_EyeWidthLimitForEachMode_TTR</t>
  </si>
  <si>
    <t>Calc_UCSDM</t>
  </si>
  <si>
    <t>Calc_MDLL_BIST</t>
  </si>
  <si>
    <t>Calc_NAND_PHY_MDLL</t>
  </si>
  <si>
    <t>Wave2Str_Single</t>
  </si>
  <si>
    <t>Calc_PVTP</t>
  </si>
  <si>
    <t>Calc_PVTN</t>
  </si>
  <si>
    <t>Calc_ONE_MAX_COUNT</t>
  </si>
  <si>
    <t>Calc_Abs_Res</t>
  </si>
  <si>
    <t>Calc_ROSC_Freq</t>
  </si>
  <si>
    <t>Calc_ANP_Impedance_UP</t>
  </si>
  <si>
    <t>Calc_ANP_Impedance_DOWN</t>
  </si>
  <si>
    <t>Calc_ANP_VrefREAL_and_DeltaFromIdeal</t>
  </si>
  <si>
    <t>Calc_ANP_DeltaFromNoLoad</t>
  </si>
  <si>
    <t>Calc_DNL</t>
  </si>
  <si>
    <t>Calc_SweepV_COMPE</t>
  </si>
  <si>
    <t>Calc_INL</t>
  </si>
  <si>
    <t>Calc_ADDRIO_Find_Closest_Result_To_0_Alg1</t>
  </si>
  <si>
    <t>Calc_ADDRIO_Find_Closest_Result_To_0</t>
  </si>
  <si>
    <t>CZ_Style_TName_InstanceInfo_Reg</t>
  </si>
  <si>
    <t>Report_TName</t>
  </si>
  <si>
    <t>GetStoredMeasurement</t>
  </si>
  <si>
    <t>AddStoredMeasurement</t>
  </si>
  <si>
    <t>GetStoredCaptureData</t>
  </si>
  <si>
    <t>AddStoredCaptureData</t>
  </si>
  <si>
    <t>RemoveAllStored</t>
  </si>
  <si>
    <t>AddStoredData</t>
  </si>
  <si>
    <t>GetStoredData</t>
  </si>
  <si>
    <t>GetRegFromDictByTestByMode</t>
  </si>
  <si>
    <t>Public_AddStoredCaptureData</t>
  </si>
  <si>
    <t>Public_GetStoredCaptureData</t>
  </si>
  <si>
    <t>Public_AddStoredString</t>
  </si>
  <si>
    <t>Public_GetStoredString</t>
  </si>
  <si>
    <t>GetStoredString</t>
  </si>
  <si>
    <t>MetrologyTMPS_Measurement_Process</t>
  </si>
  <si>
    <t>MTRSNS_IDLoading</t>
  </si>
  <si>
    <t>MTRTMPS_Gain_AVG</t>
  </si>
  <si>
    <t>Calc_MetrologyTMPS_OffSet</t>
  </si>
  <si>
    <t>Calc_MetrologyTMPS_Gain</t>
  </si>
  <si>
    <t>MTRTMPS_DSSCOUT_AVG</t>
  </si>
  <si>
    <t>MetrologyGR_Measurement_Process</t>
  </si>
  <si>
    <t>Calc_MetrologyGR_TRC</t>
  </si>
  <si>
    <t>Calc_MetrologySense_Frequency</t>
  </si>
  <si>
    <t>Calc_MetrologyTMPS_Temperature</t>
  </si>
  <si>
    <t>Calc_MetrologyTMPS_Vref_Error</t>
  </si>
  <si>
    <t>Calc_MetrologyTMPS_Coefficients</t>
  </si>
  <si>
    <t>Calc_MetrologySense_Compression</t>
  </si>
  <si>
    <t>MetrologyTMPS_2s_Complement_Fractional_Conversion</t>
  </si>
  <si>
    <t>Calc_MetrologySense_DeCompression</t>
  </si>
  <si>
    <t>Calc_MetrologyGR_Offset</t>
  </si>
  <si>
    <t>Calc_MetrologyGR_RPSRSPARE0</t>
  </si>
  <si>
    <t>Calc_MetrologyTMPS_OffSet_Update</t>
  </si>
  <si>
    <t>Calc_MetrologyTMPS_Gain_Update</t>
  </si>
  <si>
    <t>Calc_MetrologyBTS_Select</t>
  </si>
  <si>
    <t>Calc_MetrologyBTS_OffSet</t>
  </si>
  <si>
    <t>Calc_MetrologyBTS_Gain</t>
  </si>
  <si>
    <t>Calc_MetrologyBTS_Coefficient</t>
  </si>
  <si>
    <t>Calc_MetrologyBTS_Temperature</t>
  </si>
  <si>
    <t>V</t>
    <phoneticPr fontId="4" type="noConversion"/>
  </si>
  <si>
    <t>DSPWF_AVG</t>
  </si>
  <si>
    <t>DSPWF_OFFSET</t>
  </si>
  <si>
    <t>T-Cai(QW67_CP1)</t>
  </si>
  <si>
    <t>T-Lob(QG39_CP2)</t>
    <phoneticPr fontId="4" type="noConversion"/>
  </si>
  <si>
    <t>T-Col(QG367_CP1)</t>
    <phoneticPr fontId="4" type="noConversion"/>
  </si>
  <si>
    <t>V</t>
    <phoneticPr fontId="4" type="noConversion"/>
  </si>
  <si>
    <t>V</t>
    <phoneticPr fontId="4" type="noConversion"/>
  </si>
  <si>
    <t>T-Pal(QG40_CP1)</t>
  </si>
  <si>
    <t>V</t>
    <phoneticPr fontId="4" type="noConversion"/>
  </si>
  <si>
    <t>V</t>
    <phoneticPr fontId="4" type="noConversion"/>
  </si>
  <si>
    <t>V</t>
    <phoneticPr fontId="4" type="noConversion"/>
  </si>
  <si>
    <t>V</t>
    <phoneticPr fontId="4" type="noConversion"/>
  </si>
  <si>
    <t>V</t>
    <phoneticPr fontId="4" type="noConversion"/>
  </si>
  <si>
    <t>Leda</t>
  </si>
  <si>
    <t>T-Pal(QG40_CZ)</t>
    <phoneticPr fontId="4" type="noConversion"/>
  </si>
  <si>
    <t>T-Pal(QG40_CZ)</t>
    <phoneticPr fontId="4" type="noConversion"/>
  </si>
  <si>
    <t>V</t>
    <phoneticPr fontId="4" type="noConversion"/>
  </si>
  <si>
    <t>V</t>
    <phoneticPr fontId="4" type="noConversion"/>
  </si>
  <si>
    <t>V</t>
    <phoneticPr fontId="4" type="noConversion"/>
  </si>
  <si>
    <t>V</t>
    <phoneticPr fontId="4" type="noConversion"/>
  </si>
  <si>
    <t>V</t>
    <phoneticPr fontId="4" type="noConversion"/>
  </si>
  <si>
    <t>V</t>
    <phoneticPr fontId="4" type="noConversion"/>
  </si>
  <si>
    <t>V</t>
    <phoneticPr fontId="4" type="noConversion"/>
  </si>
  <si>
    <t>V</t>
    <phoneticPr fontId="4" type="noConversion"/>
  </si>
  <si>
    <t>V</t>
    <phoneticPr fontId="4" type="noConversion"/>
  </si>
  <si>
    <t>T-Pal(QG40_CZ)</t>
    <phoneticPr fontId="4" type="noConversion"/>
  </si>
  <si>
    <t>V</t>
    <phoneticPr fontId="4" type="noConversion"/>
  </si>
  <si>
    <t>T-Pal(QG40_CZ)</t>
    <phoneticPr fontId="4" type="noConversion"/>
  </si>
  <si>
    <t>V</t>
    <phoneticPr fontId="4" type="noConversion"/>
  </si>
  <si>
    <t>T-Pal(QG40_CZ)</t>
    <phoneticPr fontId="4" type="noConversion"/>
  </si>
  <si>
    <t>T-Pal(QG40_CZ)</t>
    <phoneticPr fontId="4" type="noConversion"/>
  </si>
  <si>
    <t>V</t>
    <phoneticPr fontId="4" type="noConversion"/>
  </si>
  <si>
    <t>T-Pal(QG40_CZ)</t>
    <phoneticPr fontId="4" type="noConversion"/>
  </si>
  <si>
    <t>T-Pal(QG40_CZ)</t>
    <phoneticPr fontId="4" type="noConversion"/>
  </si>
  <si>
    <t>v</t>
    <phoneticPr fontId="4" type="noConversion"/>
  </si>
  <si>
    <t>?</t>
    <phoneticPr fontId="4" type="noConversion"/>
  </si>
  <si>
    <t>?</t>
    <phoneticPr fontId="4" type="noConversion"/>
  </si>
  <si>
    <t>v</t>
    <phoneticPr fontId="4" type="noConversion"/>
  </si>
  <si>
    <t>?</t>
    <phoneticPr fontId="4" type="noConversion"/>
  </si>
  <si>
    <t>V</t>
    <phoneticPr fontId="4" type="noConversion"/>
  </si>
  <si>
    <t>v</t>
    <phoneticPr fontId="4" type="noConversion"/>
  </si>
  <si>
    <t>V</t>
    <phoneticPr fontId="4" type="noConversion"/>
  </si>
  <si>
    <t>V</t>
    <phoneticPr fontId="4" type="noConversion"/>
  </si>
  <si>
    <t>T-Pal(QG40_CZ)</t>
    <phoneticPr fontId="4" type="noConversion"/>
  </si>
  <si>
    <t>v</t>
  </si>
  <si>
    <t>V</t>
    <phoneticPr fontId="4" type="noConversion"/>
  </si>
  <si>
    <t>?</t>
    <phoneticPr fontId="4" type="noConversion"/>
  </si>
  <si>
    <t>Leda</t>
    <phoneticPr fontId="4" type="noConversion"/>
  </si>
  <si>
    <t>Leda</t>
    <phoneticPr fontId="4" type="noConversion"/>
  </si>
  <si>
    <t>Leda_CZ</t>
    <phoneticPr fontId="4" type="noConversion"/>
  </si>
  <si>
    <t>Leda_CZ</t>
    <phoneticPr fontId="4" type="noConversion"/>
  </si>
  <si>
    <t>V</t>
    <phoneticPr fontId="4" type="noConversion"/>
  </si>
  <si>
    <t>V</t>
    <phoneticPr fontId="4" type="noConversion"/>
  </si>
  <si>
    <t>Leda</t>
    <phoneticPr fontId="3" type="noConversion"/>
  </si>
  <si>
    <t>Leda_CZ</t>
    <phoneticPr fontId="4" type="noConversion"/>
  </si>
  <si>
    <t>Leda_cz</t>
    <phoneticPr fontId="4" type="noConversion"/>
  </si>
  <si>
    <t>Leda_cz</t>
    <phoneticPr fontId="4" type="noConversion"/>
  </si>
  <si>
    <t>V</t>
    <phoneticPr fontId="4" type="noConversion"/>
  </si>
  <si>
    <t>V</t>
    <phoneticPr fontId="4" type="noConversion"/>
  </si>
  <si>
    <t>V</t>
    <phoneticPr fontId="4" type="noConversion"/>
  </si>
  <si>
    <t>Leda_cz</t>
    <phoneticPr fontId="4" type="noConversion"/>
  </si>
  <si>
    <t>CUS_AMP_SDLL_SWP</t>
  </si>
  <si>
    <t>Leda_CZ</t>
    <phoneticPr fontId="4" type="noConversion"/>
  </si>
  <si>
    <t>V</t>
    <phoneticPr fontId="4" type="noConversion"/>
  </si>
  <si>
    <t>V</t>
    <phoneticPr fontId="4" type="noConversion"/>
  </si>
  <si>
    <t>V</t>
    <phoneticPr fontId="4" type="noConversion"/>
  </si>
  <si>
    <t>V</t>
    <phoneticPr fontId="4" type="noConversion"/>
  </si>
  <si>
    <t>V</t>
    <phoneticPr fontId="4" type="noConversion"/>
  </si>
  <si>
    <t>?</t>
    <phoneticPr fontId="4" type="noConversion"/>
  </si>
  <si>
    <t>?</t>
    <phoneticPr fontId="4" type="noConversion"/>
  </si>
  <si>
    <t>V</t>
    <phoneticPr fontId="4" type="noConversion"/>
  </si>
  <si>
    <t>V</t>
    <phoneticPr fontId="4" type="noConversion"/>
  </si>
  <si>
    <t>Leda_CZ</t>
    <phoneticPr fontId="4" type="noConversion"/>
  </si>
  <si>
    <t>Leda_CZ</t>
    <phoneticPr fontId="4" type="noConversion"/>
  </si>
  <si>
    <t>V</t>
    <phoneticPr fontId="4" type="noConversion"/>
  </si>
  <si>
    <t>V</t>
    <phoneticPr fontId="4" type="noConversion"/>
  </si>
  <si>
    <t>V</t>
    <phoneticPr fontId="4" type="noConversion"/>
  </si>
  <si>
    <t>FindMaXEyeWidth</t>
  </si>
  <si>
    <t>FleXibleBitWf2Arry</t>
  </si>
  <si>
    <t>CreateFleXibleDSPWave</t>
  </si>
  <si>
    <t>CreateFleXibleDSPWave_lpro</t>
  </si>
  <si>
    <t>FindMaXEyeWidth_reverse</t>
  </si>
  <si>
    <t>PreCheckMinMaXTrimCode</t>
  </si>
  <si>
    <t>FindMaXEyeWidth_reverse_bywidth</t>
  </si>
  <si>
    <t>Split_Dspwave_Partial_IndeX</t>
  </si>
  <si>
    <t>RPIndeXSetting</t>
  </si>
  <si>
    <t>ADCLK_MatriX_Loading</t>
  </si>
  <si>
    <t>DACTrim_SetupAndMeasureCurrent_HeXVS</t>
  </si>
  <si>
    <t>DACTrim_HeXVS__MI_StoreCondition</t>
  </si>
  <si>
    <t>DACTrim_HeXVS__MI_RestoreCondition</t>
  </si>
  <si>
    <t>SiteEXpand</t>
  </si>
  <si>
    <t>SiteEXpandDSPWf</t>
  </si>
  <si>
    <t>PATT_EXculdePath</t>
  </si>
  <si>
    <t>HardIP_SetupAndMeasureCurrent_HeXVS</t>
  </si>
  <si>
    <t>UVS256_neXt_range</t>
  </si>
  <si>
    <t>return_maX</t>
  </si>
  <si>
    <t>Return_RangeAndMaXWaitTime</t>
  </si>
  <si>
    <t>RegEXCheckStringIsNumber</t>
  </si>
  <si>
    <t>IsRegAssignSheetEXist</t>
  </si>
  <si>
    <t>HeX2Base64</t>
  </si>
  <si>
    <t>Calc_LPDPRX_Bin2HeX</t>
  </si>
  <si>
    <t>Calc_FmaX_Divide_Fmin</t>
  </si>
  <si>
    <t>Calc_MTR_BinStr2HeXStr</t>
  </si>
  <si>
    <t>Calc_BinStr2HeXStr</t>
  </si>
  <si>
    <t>Calc_PVTX</t>
  </si>
  <si>
    <t>IsEXists_StoredCaptureData</t>
  </si>
  <si>
    <t>MTRSNS_MatriX_Loading</t>
  </si>
  <si>
    <t>T-Cai(QW67_CZ)</t>
    <phoneticPr fontId="4" type="noConversion"/>
  </si>
  <si>
    <t>T-Cai(QW67_CZ)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</si>
  <si>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</si>
  <si>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</si>
  <si>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</si>
  <si>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</si>
  <si>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</si>
  <si>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</si>
  <si>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</si>
  <si>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</si>
  <si>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V</t>
    <phoneticPr fontId="4" type="noConversion"/>
  </si>
  <si>
    <t>V</t>
    <phoneticPr fontId="4" type="noConversion"/>
  </si>
  <si>
    <t>X</t>
    <phoneticPr fontId="4" type="noConversion"/>
  </si>
  <si>
    <t>X</t>
    <phoneticPr fontId="3" type="noConversion"/>
  </si>
  <si>
    <t>X</t>
    <phoneticPr fontId="3" type="noConversion"/>
  </si>
  <si>
    <t>X</t>
    <phoneticPr fontId="3" type="noConversion"/>
  </si>
  <si>
    <t>X</t>
    <phoneticPr fontId="3" type="noConversion"/>
  </si>
  <si>
    <t>T-Cai(QW67_CZ)</t>
    <phoneticPr fontId="4" type="noConversion"/>
  </si>
  <si>
    <t>X</t>
    <phoneticPr fontId="3" type="noConversion"/>
  </si>
  <si>
    <t>X</t>
    <phoneticPr fontId="3" type="noConversion"/>
  </si>
  <si>
    <t>X</t>
    <phoneticPr fontId="3" type="noConversion"/>
  </si>
  <si>
    <t>X</t>
    <phoneticPr fontId="3" type="noConversion"/>
  </si>
  <si>
    <t>T-Cai(QW67_CZ)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</si>
  <si>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</si>
  <si>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</si>
  <si>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</si>
  <si>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</si>
  <si>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V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</si>
  <si>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</si>
  <si>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</si>
  <si>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</si>
  <si>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T-Cai(QW67_CZ)</t>
    <phoneticPr fontId="4" type="noConversion"/>
  </si>
  <si>
    <t>X</t>
    <phoneticPr fontId="4" type="noConversion"/>
  </si>
  <si>
    <t>V</t>
    <phoneticPr fontId="4" type="noConversion"/>
  </si>
  <si>
    <t>T-Cai(QW67_CZ)</t>
    <phoneticPr fontId="4" type="noConversion"/>
  </si>
  <si>
    <t>X</t>
    <phoneticPr fontId="4" type="noConversion"/>
  </si>
  <si>
    <t>V</t>
    <phoneticPr fontId="4" type="noConversion"/>
  </si>
  <si>
    <t>X</t>
    <phoneticPr fontId="4" type="noConversion"/>
  </si>
  <si>
    <t>V</t>
    <phoneticPr fontId="4" type="noConversion"/>
  </si>
  <si>
    <t>T-Cai(QW67_CZ)</t>
    <phoneticPr fontId="4" type="noConversion"/>
  </si>
  <si>
    <t>X</t>
    <phoneticPr fontId="4" type="noConversion"/>
  </si>
  <si>
    <t>V</t>
    <phoneticPr fontId="4" type="noConversion"/>
  </si>
  <si>
    <t>T-Cai(QW67_CZ)</t>
    <phoneticPr fontId="4" type="noConversion"/>
  </si>
  <si>
    <t>X</t>
    <phoneticPr fontId="4" type="noConversion"/>
  </si>
  <si>
    <t>T-Cai(QW67_CZ)</t>
    <phoneticPr fontId="4" type="noConversion"/>
  </si>
  <si>
    <t>X</t>
    <phoneticPr fontId="4" type="noConversion"/>
  </si>
  <si>
    <t>T-Cai(QW67_CZ)</t>
    <phoneticPr fontId="4" type="noConversion"/>
  </si>
  <si>
    <t>?</t>
    <phoneticPr fontId="4" type="noConversion"/>
  </si>
  <si>
    <t>V</t>
    <phoneticPr fontId="4" type="noConversion"/>
  </si>
  <si>
    <t>?</t>
    <phoneticPr fontId="4" type="noConversion"/>
  </si>
  <si>
    <t>X</t>
    <phoneticPr fontId="4" type="noConversion"/>
  </si>
  <si>
    <t>T-Cai(QW67_CZ)</t>
    <phoneticPr fontId="4" type="noConversion"/>
  </si>
  <si>
    <t>X</t>
    <phoneticPr fontId="4" type="noConversion"/>
  </si>
  <si>
    <t>V</t>
    <phoneticPr fontId="4" type="noConversion"/>
  </si>
  <si>
    <t>T-Cai(QW67_CZ)</t>
    <phoneticPr fontId="4" type="noConversion"/>
  </si>
  <si>
    <t>V</t>
    <phoneticPr fontId="4" type="noConversion"/>
  </si>
  <si>
    <t>T-Cai(QW67_CZ)</t>
    <phoneticPr fontId="4" type="noConversion"/>
  </si>
  <si>
    <t>V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</si>
  <si>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</si>
  <si>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</si>
  <si>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</si>
  <si>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?</t>
    <phoneticPr fontId="4" type="noConversion"/>
  </si>
  <si>
    <t>?</t>
    <phoneticPr fontId="4" type="noConversion"/>
  </si>
  <si>
    <t>T-Lob(QG39_CP2)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</si>
  <si>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</si>
  <si>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</si>
  <si>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</si>
  <si>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V</t>
    <phoneticPr fontId="4" type="noConversion"/>
  </si>
  <si>
    <t>X</t>
    <phoneticPr fontId="4" type="noConversion"/>
  </si>
  <si>
    <t>V</t>
    <phoneticPr fontId="4" type="noConversion"/>
  </si>
  <si>
    <t>X</t>
    <phoneticPr fontId="3" type="noConversion"/>
  </si>
  <si>
    <t>X</t>
    <phoneticPr fontId="3" type="noConversion"/>
  </si>
  <si>
    <t>T-Lob(QG39_CP2)</t>
    <phoneticPr fontId="4" type="noConversion"/>
  </si>
  <si>
    <t>X</t>
    <phoneticPr fontId="4" type="noConversion"/>
  </si>
  <si>
    <t>X</t>
    <phoneticPr fontId="4" type="noConversion"/>
  </si>
  <si>
    <t>V</t>
    <phoneticPr fontId="4" type="noConversion"/>
  </si>
  <si>
    <t>T-Lob(QG39_CP2)</t>
    <phoneticPr fontId="4" type="noConversion"/>
  </si>
  <si>
    <t>V</t>
    <phoneticPr fontId="4" type="noConversion"/>
  </si>
  <si>
    <t>X</t>
    <phoneticPr fontId="4" type="noConversion"/>
  </si>
  <si>
    <t>T-Lob(QG39_CP2)</t>
    <phoneticPr fontId="4" type="noConversion"/>
  </si>
  <si>
    <t>V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</si>
  <si>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</si>
  <si>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</si>
  <si>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</si>
  <si>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</si>
  <si>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</si>
  <si>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</si>
  <si>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</si>
  <si>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</si>
  <si>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</si>
  <si>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</si>
  <si>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</si>
  <si>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</si>
  <si>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</si>
  <si>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</si>
  <si>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</si>
  <si>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</si>
  <si>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</si>
  <si>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</si>
  <si>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</si>
  <si>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</si>
  <si>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</si>
  <si>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</si>
  <si>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</si>
  <si>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</si>
  <si>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</si>
  <si>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</si>
  <si>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</si>
  <si>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</si>
  <si>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</si>
  <si>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</si>
  <si>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</si>
  <si>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</si>
  <si>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</si>
  <si>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V</t>
    <phoneticPr fontId="4" type="noConversion"/>
  </si>
  <si>
    <t>X</t>
    <phoneticPr fontId="4" type="noConversion"/>
  </si>
  <si>
    <t>V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</si>
  <si>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</si>
  <si>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</si>
  <si>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</si>
  <si>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</si>
  <si>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</si>
  <si>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V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</si>
  <si>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</si>
  <si>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</si>
  <si>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</si>
  <si>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</si>
  <si>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</si>
  <si>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3" type="noConversion"/>
  </si>
  <si>
    <t>X</t>
    <phoneticPr fontId="3" type="noConversion"/>
  </si>
  <si>
    <t>X</t>
    <phoneticPr fontId="4" type="noConversion"/>
  </si>
  <si>
    <t>total count</t>
    <phoneticPr fontId="4" type="noConversion"/>
  </si>
  <si>
    <t>un-use</t>
    <phoneticPr fontId="4" type="noConversion"/>
  </si>
  <si>
    <t>used</t>
    <phoneticPr fontId="4" type="noConversion"/>
  </si>
  <si>
    <t>%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</si>
  <si>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</si>
  <si>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</si>
  <si>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</si>
  <si>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module</t>
    <phoneticPr fontId="4" type="noConversion"/>
  </si>
  <si>
    <t>DSP_LIB_DACTrim_AP</t>
  </si>
  <si>
    <t>DSP_LIB_HardIP</t>
  </si>
  <si>
    <t>DSP_NAND_HARDIP</t>
  </si>
  <si>
    <t>LIB_DACTrim_AP</t>
  </si>
  <si>
    <t>LIB_HardIP</t>
  </si>
  <si>
    <t>LIB_HardIP_ADC_AP</t>
  </si>
  <si>
    <t>LIB_HardIP_AP</t>
  </si>
  <si>
    <t>LIB_HardIP_Calc</t>
  </si>
  <si>
    <t>LIB_HardIP_Calc_Turks_AP</t>
  </si>
  <si>
    <t>LIB_HardIP_Dictionary</t>
  </si>
  <si>
    <t>LIB_HardIP_Metrology_AP</t>
  </si>
  <si>
    <t>VBT_LIB_DACTrim_AP</t>
  </si>
  <si>
    <t>VBT_LIB_HardIP</t>
  </si>
  <si>
    <t>VBT_LIB_HardIP_ADC_AP</t>
  </si>
  <si>
    <t>VBT_LIB_HardIP_AP</t>
  </si>
  <si>
    <t>VBT_LIB_HardIP_Customize</t>
  </si>
  <si>
    <t>VBT_LIB_HardIP_JitterEye_AP</t>
  </si>
  <si>
    <t>VBT_LIB_HardIP_Metrology_AP</t>
  </si>
  <si>
    <t>VBT_LIB_HardIP_PCIE_PI_AP</t>
  </si>
  <si>
    <t>VBT_LIB_K_ADDRIO_AP</t>
  </si>
  <si>
    <t>use(%)</t>
    <phoneticPr fontId="4" type="noConversion"/>
  </si>
  <si>
    <t>use count</t>
    <phoneticPr fontId="4" type="noConversion"/>
  </si>
  <si>
    <t>un-use count</t>
    <phoneticPr fontId="4" type="noConversion"/>
  </si>
  <si>
    <t>Dip_CZ(RF98)</t>
    <phoneticPr fontId="4" type="noConversion"/>
  </si>
  <si>
    <t>V</t>
    <phoneticPr fontId="4" type="noConversion"/>
  </si>
  <si>
    <t>V</t>
    <phoneticPr fontId="4" type="noConversion"/>
  </si>
  <si>
    <t>X</t>
    <phoneticPr fontId="4" type="noConversion"/>
  </si>
  <si>
    <t>X</t>
    <phoneticPr fontId="4" type="noConversion"/>
  </si>
  <si>
    <t>V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</si>
  <si>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</si>
  <si>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</si>
  <si>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</si>
  <si>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</si>
  <si>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</si>
  <si>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</si>
  <si>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V</t>
    <phoneticPr fontId="4" type="noConversion"/>
  </si>
  <si>
    <t>V</t>
    <phoneticPr fontId="4" type="noConversion"/>
  </si>
  <si>
    <t>V</t>
    <phoneticPr fontId="4" type="noConversion"/>
  </si>
  <si>
    <t>V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</si>
  <si>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</si>
  <si>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</si>
  <si>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</si>
  <si>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V</t>
    <phoneticPr fontId="4" type="noConversion"/>
  </si>
  <si>
    <t>X</t>
    <phoneticPr fontId="4" type="noConversion"/>
  </si>
  <si>
    <t>T-Dip(RF98_CZ)</t>
    <phoneticPr fontId="4" type="noConversion"/>
  </si>
  <si>
    <t>Serch project list</t>
    <phoneticPr fontId="4" type="noConversion"/>
  </si>
  <si>
    <t>Toltal count</t>
    <phoneticPr fontId="4" type="noConversion"/>
  </si>
  <si>
    <t>T-Dip(RF98_CP1)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</si>
  <si>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</si>
  <si>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</si>
  <si>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</si>
  <si>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</si>
  <si>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</si>
  <si>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</si>
  <si>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</si>
  <si>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</si>
  <si>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</si>
  <si>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</si>
  <si>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</si>
  <si>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</si>
  <si>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</si>
  <si>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</si>
  <si>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</si>
  <si>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</si>
  <si>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V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</si>
  <si>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</si>
  <si>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</si>
  <si>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</si>
  <si>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</si>
  <si>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</si>
  <si>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</si>
  <si>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</si>
  <si>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</si>
  <si>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</si>
  <si>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</si>
  <si>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</si>
  <si>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</si>
  <si>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</si>
  <si>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</si>
  <si>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</si>
  <si>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</si>
  <si>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</si>
  <si>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</si>
  <si>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</si>
  <si>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</si>
  <si>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</si>
  <si>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K_TrimImpedance_CodeCheck_V1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</si>
  <si>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</si>
  <si>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</si>
  <si>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</si>
  <si>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</si>
  <si>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</si>
  <si>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</si>
  <si>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</si>
  <si>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?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</si>
  <si>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</si>
  <si>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</si>
  <si>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</si>
  <si>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</si>
  <si>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</si>
  <si>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</si>
  <si>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</si>
  <si>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</si>
  <si>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</si>
  <si>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</si>
  <si>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</si>
  <si>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</si>
  <si>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</si>
  <si>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</si>
  <si>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</si>
  <si>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</si>
  <si>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</si>
  <si>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</si>
  <si>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</si>
  <si>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</si>
  <si>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</si>
  <si>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</si>
  <si>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</si>
  <si>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</si>
  <si>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</si>
  <si>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</si>
  <si>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</si>
  <si>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</si>
  <si>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</si>
  <si>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V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</si>
  <si>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</si>
  <si>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</si>
  <si>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</si>
  <si>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</si>
  <si>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</si>
  <si>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</si>
  <si>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</si>
  <si>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</si>
  <si>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Calc_MetrologyTMPS_MaX_Min</t>
    <phoneticPr fontId="4" type="noConversion"/>
  </si>
  <si>
    <t>Calc_MetrologyBTS_Temperature_MaX_Min_Avg</t>
    <phoneticPr fontId="4" type="noConversion"/>
  </si>
  <si>
    <t>Calc_Metrology_Temperature_MaX_Min_Avg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</si>
  <si>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</si>
  <si>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</si>
  <si>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</si>
  <si>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</si>
  <si>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</si>
  <si>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</si>
  <si>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</si>
  <si>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</si>
  <si>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</si>
  <si>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</si>
  <si>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</si>
  <si>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</si>
  <si>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</si>
  <si>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</si>
  <si>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3" type="noConversion"/>
  </si>
  <si>
    <t>X</t>
    <phoneticPr fontId="3" type="noConversion"/>
  </si>
  <si>
    <t>X</t>
    <phoneticPr fontId="3" type="noConversion"/>
  </si>
  <si>
    <t>X</t>
    <phoneticPr fontId="3" type="noConversion"/>
  </si>
  <si>
    <t>T-Col(QG40_CZ)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</si>
  <si>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</si>
  <si>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</si>
  <si>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</si>
  <si>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</si>
  <si>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</si>
  <si>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</si>
  <si>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</si>
  <si>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</si>
  <si>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</si>
  <si>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</si>
  <si>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</si>
  <si>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</si>
  <si>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</si>
  <si>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</si>
  <si>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V</t>
    <phoneticPr fontId="4" type="noConversion"/>
  </si>
  <si>
    <t>V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</si>
  <si>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</si>
  <si>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</si>
  <si>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</si>
  <si>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</si>
  <si>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</si>
  <si>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TrimCodeDig_Reverse_Ellis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</si>
  <si>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</si>
  <si>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</si>
  <si>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</si>
  <si>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</si>
  <si>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3" type="noConversion"/>
  </si>
  <si>
    <t>X</t>
    <phoneticPr fontId="3" type="noConversion"/>
  </si>
  <si>
    <t>X</t>
    <phoneticPr fontId="3" type="noConversion"/>
  </si>
  <si>
    <t>X</t>
    <phoneticPr fontId="3" type="noConversion"/>
  </si>
  <si>
    <t>X</t>
    <phoneticPr fontId="3" type="noConversion"/>
  </si>
  <si>
    <t>X</t>
    <phoneticPr fontId="3" type="noConversion"/>
  </si>
  <si>
    <t>V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</si>
  <si>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</si>
  <si>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</si>
  <si>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</si>
  <si>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</si>
  <si>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</si>
  <si>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</si>
  <si>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</si>
  <si>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</si>
  <si>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</si>
  <si>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</si>
  <si>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</si>
  <si>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Rhode(NM31)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</si>
  <si>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</si>
  <si>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</si>
  <si>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</si>
  <si>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</si>
  <si>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</si>
  <si>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</si>
  <si>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</si>
  <si>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</si>
  <si>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</si>
  <si>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</si>
  <si>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</si>
  <si>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</si>
  <si>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</si>
  <si>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</si>
  <si>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V</t>
    <phoneticPr fontId="4" type="noConversion"/>
  </si>
  <si>
    <t>X</t>
    <phoneticPr fontId="4" type="noConversion"/>
  </si>
  <si>
    <t>V</t>
    <phoneticPr fontId="4" type="noConversion"/>
  </si>
  <si>
    <t>V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</si>
  <si>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</si>
  <si>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</si>
  <si>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</si>
  <si>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Crete(NV31)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</si>
  <si>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</si>
  <si>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</si>
  <si>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</si>
  <si>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</si>
  <si>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T-Staten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</si>
  <si>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</si>
  <si>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</si>
  <si>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</si>
  <si>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</si>
  <si>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V</t>
    <phoneticPr fontId="4" type="noConversion"/>
  </si>
  <si>
    <t>X</t>
    <phoneticPr fontId="4" type="noConversion"/>
  </si>
  <si>
    <t>X</t>
    <phoneticPr fontId="4" type="noConversion"/>
  </si>
  <si>
    <t>V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</si>
  <si>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</si>
  <si>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</si>
  <si>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</si>
  <si>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</si>
  <si>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</si>
  <si>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</si>
  <si>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</si>
  <si>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</si>
  <si>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</si>
  <si>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</si>
  <si>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</si>
  <si>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</si>
  <si>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</si>
  <si>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</si>
  <si>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</si>
  <si>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V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</si>
  <si>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</si>
  <si>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</si>
  <si>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</si>
  <si>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</si>
  <si>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</si>
  <si>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</si>
  <si>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</si>
  <si>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</si>
  <si>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</si>
  <si>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</si>
  <si>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</si>
  <si>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</si>
  <si>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</si>
  <si>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</si>
  <si>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</si>
  <si>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</si>
  <si>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</si>
  <si>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</si>
  <si>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3" type="noConversion"/>
  </si>
  <si>
    <t>X</t>
    <phoneticPr fontId="3" type="noConversion"/>
  </si>
  <si>
    <t>X</t>
    <phoneticPr fontId="3" type="noConversion"/>
  </si>
  <si>
    <t>X</t>
    <phoneticPr fontId="3" type="noConversion"/>
  </si>
  <si>
    <t>X</t>
    <phoneticPr fontId="3" type="noConversion"/>
  </si>
  <si>
    <t>X</t>
    <phoneticPr fontId="3" type="noConversion"/>
  </si>
  <si>
    <t>X</t>
    <phoneticPr fontId="3" type="noConversion"/>
  </si>
  <si>
    <t>X</t>
    <phoneticPr fontId="3" type="noConversion"/>
  </si>
  <si>
    <t>X</t>
    <phoneticPr fontId="4" type="noConversion"/>
  </si>
  <si>
    <t>X</t>
    <phoneticPr fontId="4" type="noConversion"/>
  </si>
  <si>
    <t>X</t>
    <phoneticPr fontId="4" type="noConversion"/>
  </si>
  <si>
    <t>Crete(CZ)</t>
    <phoneticPr fontId="4" type="noConversion"/>
  </si>
  <si>
    <t>Crete(CZ)</t>
    <phoneticPr fontId="4" type="noConversion"/>
  </si>
  <si>
    <t>Crete(NV38)</t>
    <phoneticPr fontId="4" type="noConversion"/>
  </si>
  <si>
    <t>Crete(CZ)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</si>
  <si>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</si>
  <si>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</si>
  <si>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</si>
  <si>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</si>
  <si>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</si>
  <si>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</si>
  <si>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</si>
  <si>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</si>
  <si>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</si>
  <si>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Crete(CZ)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</si>
  <si>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</si>
  <si>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</si>
  <si>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</si>
  <si>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</si>
  <si>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</si>
  <si>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</si>
  <si>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</si>
  <si>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</si>
  <si>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</si>
  <si>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</si>
  <si>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</si>
  <si>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</si>
  <si>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</si>
  <si>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</si>
  <si>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</si>
  <si>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</si>
  <si>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</si>
  <si>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</si>
  <si>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</si>
  <si>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</si>
  <si>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</si>
  <si>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</si>
  <si>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</si>
  <si>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</si>
  <si>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</si>
  <si>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</si>
  <si>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</si>
  <si>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3" type="noConversion"/>
  </si>
  <si>
    <t>X</t>
    <phoneticPr fontId="3" type="noConversion"/>
  </si>
  <si>
    <t>X</t>
    <phoneticPr fontId="3" type="noConversion"/>
  </si>
  <si>
    <t>X</t>
    <phoneticPr fontId="3" type="noConversion"/>
  </si>
  <si>
    <t>X</t>
    <phoneticPr fontId="3" type="noConversion"/>
  </si>
  <si>
    <t>X</t>
    <phoneticPr fontId="3" type="noConversion"/>
  </si>
  <si>
    <t>X</t>
    <phoneticPr fontId="3" type="noConversion"/>
  </si>
  <si>
    <t>X</t>
    <phoneticPr fontId="3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</si>
  <si>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</si>
  <si>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</si>
  <si>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</si>
  <si>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</si>
  <si>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</si>
  <si>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</si>
  <si>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</si>
  <si>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</si>
  <si>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</si>
  <si>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</si>
  <si>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</si>
  <si>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</si>
  <si>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</si>
  <si>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</si>
  <si>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</si>
  <si>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</si>
  <si>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</si>
  <si>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</si>
  <si>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V</t>
    <phoneticPr fontId="4" type="noConversion"/>
  </si>
  <si>
    <t>V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</si>
  <si>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</si>
  <si>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</si>
  <si>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</si>
  <si>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3" type="noConversion"/>
  </si>
  <si>
    <t>X</t>
    <phoneticPr fontId="3" type="noConversion"/>
  </si>
  <si>
    <t>X</t>
    <phoneticPr fontId="3" type="noConversion"/>
  </si>
  <si>
    <t>X</t>
    <phoneticPr fontId="3" type="noConversion"/>
  </si>
  <si>
    <t>X</t>
    <phoneticPr fontId="4" type="noConversion"/>
  </si>
  <si>
    <t>Rhode(CZ)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</si>
  <si>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</si>
  <si>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</si>
  <si>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</si>
  <si>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</si>
  <si>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Rhode(CZ)</t>
    <phoneticPr fontId="4" type="noConversion"/>
  </si>
  <si>
    <t>X</t>
    <phoneticPr fontId="4" type="noConversion"/>
  </si>
  <si>
    <t>X</t>
    <phoneticPr fontId="4" type="noConversion"/>
  </si>
  <si>
    <t>X</t>
    <phoneticPr fontId="4" type="noConversion"/>
  </si>
  <si>
    <t>Rhode(CZ)</t>
    <phoneticPr fontId="4" type="noConversion"/>
  </si>
  <si>
    <t>X</t>
    <phoneticPr fontId="4" type="noConversion"/>
  </si>
  <si>
    <t>X</t>
    <phoneticPr fontId="4" type="noConversion"/>
  </si>
  <si>
    <t>V</t>
    <phoneticPr fontId="4" type="noConversion"/>
  </si>
  <si>
    <t>Rhode(CZ)</t>
    <phoneticPr fontId="4" type="noConversion"/>
  </si>
  <si>
    <t>X</t>
    <phoneticPr fontId="3" type="noConversion"/>
  </si>
  <si>
    <t>X</t>
    <phoneticPr fontId="3" type="noConversion"/>
  </si>
  <si>
    <t>X</t>
    <phoneticPr fontId="3" type="noConversion"/>
  </si>
  <si>
    <t>X</t>
    <phoneticPr fontId="4" type="noConversion"/>
  </si>
  <si>
    <t>X</t>
    <phoneticPr fontId="4" type="noConversion"/>
  </si>
  <si>
    <t>T-Staten</t>
    <phoneticPr fontId="4" type="noConversion"/>
  </si>
  <si>
    <t>T-Staten CZ</t>
    <phoneticPr fontId="4" type="noConversion"/>
  </si>
  <si>
    <t>X</t>
    <phoneticPr fontId="4" type="noConversion"/>
  </si>
  <si>
    <t>X</t>
    <phoneticPr fontId="4" type="noConversion"/>
  </si>
  <si>
    <t>T-Staten CZ</t>
    <phoneticPr fontId="4" type="noConversion"/>
  </si>
  <si>
    <t>X</t>
    <phoneticPr fontId="4" type="noConversion"/>
  </si>
  <si>
    <t>T-Staten</t>
    <phoneticPr fontId="4" type="noConversion"/>
  </si>
  <si>
    <t>X</t>
    <phoneticPr fontId="4" type="noConversion"/>
  </si>
  <si>
    <t>V</t>
    <phoneticPr fontId="4" type="noConversion"/>
  </si>
  <si>
    <t>X</t>
    <phoneticPr fontId="4" type="noConversion"/>
  </si>
  <si>
    <t>V</t>
    <phoneticPr fontId="4" type="noConversion"/>
  </si>
  <si>
    <t>T-Staten</t>
    <phoneticPr fontId="4" type="noConversion"/>
  </si>
  <si>
    <t>T-Staten CZ</t>
    <phoneticPr fontId="4" type="noConversion"/>
  </si>
  <si>
    <t>T-Staten</t>
    <phoneticPr fontId="4" type="noConversion"/>
  </si>
  <si>
    <t>X</t>
    <phoneticPr fontId="4" type="noConversion"/>
  </si>
  <si>
    <t>T-Staten</t>
  </si>
  <si>
    <t>T-Staten CZ</t>
  </si>
  <si>
    <t>T-Staten</t>
    <phoneticPr fontId="4" type="noConversion"/>
  </si>
  <si>
    <t>T-Staten CZ</t>
    <phoneticPr fontId="4" type="noConversion"/>
  </si>
  <si>
    <t>X</t>
    <phoneticPr fontId="4" type="noConversion"/>
  </si>
  <si>
    <t>V</t>
    <phoneticPr fontId="4" type="noConversion"/>
  </si>
  <si>
    <t>X</t>
    <phoneticPr fontId="4" type="noConversion"/>
  </si>
  <si>
    <t>T-Staten</t>
    <phoneticPr fontId="4" type="noConversion"/>
  </si>
  <si>
    <t>T-Staten CZ</t>
    <phoneticPr fontId="4" type="noConversion"/>
  </si>
  <si>
    <t>X</t>
    <phoneticPr fontId="4" type="noConversion"/>
  </si>
  <si>
    <t>T-Staten CZ</t>
    <phoneticPr fontId="4" type="noConversion"/>
  </si>
  <si>
    <t>V</t>
    <phoneticPr fontId="4" type="noConversion"/>
  </si>
  <si>
    <t>T-Rho(NM31)</t>
    <phoneticPr fontId="4" type="noConversion"/>
  </si>
  <si>
    <t>T-Rho(CZ)</t>
    <phoneticPr fontId="4" type="noConversion"/>
  </si>
  <si>
    <t>Crete(NV38)</t>
    <phoneticPr fontId="4" type="noConversion"/>
  </si>
  <si>
    <t>T-Cre(NV38)</t>
    <phoneticPr fontId="4" type="noConversion"/>
  </si>
  <si>
    <t>T-Cre(CZ)</t>
    <phoneticPr fontId="4" type="noConversion"/>
  </si>
  <si>
    <t>T-Sta</t>
    <phoneticPr fontId="4" type="noConversion"/>
  </si>
  <si>
    <t>T-Sta-CZ</t>
    <phoneticPr fontId="4" type="noConversion"/>
  </si>
  <si>
    <t>T-Lob(QG39)</t>
    <phoneticPr fontId="4" type="noConversion"/>
  </si>
  <si>
    <t>T-Dip(CZ)</t>
    <phoneticPr fontId="4" type="noConversion"/>
  </si>
  <si>
    <t>Calc_MetrologyGR_t5p5</t>
    <phoneticPr fontId="4" type="noConversion"/>
  </si>
  <si>
    <t>Measure_Jitter</t>
    <phoneticPr fontId="4" type="noConversion"/>
  </si>
  <si>
    <t>Measuredutycycle</t>
    <phoneticPr fontId="4" type="noConversion"/>
  </si>
  <si>
    <t>NAND_PVTR</t>
    <phoneticPr fontId="4" type="noConversion"/>
  </si>
  <si>
    <t>Calc_MIPI_CodeTolerance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</si>
</sst>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9"/>
      <name val="Calibri"/>
      <family val="3"/>
      <charset val="136"/>
      <scheme val="minor"/>
    </font>
    <font>
      <sz val="9"/>
      <color indexed="81"/>
      <name val="Tahoma"/>
      <family val="2"/>
    </font>
    <font>
      <sz val="11"/>
      <name val="Calibri"/>
      <family val="2"/>
      <scheme val="minor"/>
    </font>
    <font>
      <b/>
      <sz val="9"/>
      <color indexed="81"/>
      <name val="MingLiU"/>
      <family val="3"/>
      <charset val="136"/>
    </font>
    <font>
      <b/>
      <sz val="11"/>
      <color theme="1"/>
      <name val="Times New Roman Uni"/>
      <family val="1"/>
      <charset val="128"/>
    </font>
    <font>
      <b/>
      <sz val="10"/>
      <color theme="1"/>
      <name val="Times New Roman Uni"/>
      <family val="1"/>
    </font>
    <font>
      <b/>
      <sz val="10"/>
      <color theme="1"/>
      <name val="Times New Roman Uni"/>
      <family val="1"/>
      <charset val="128"/>
    </font>
    <font>
      <sz val="11"/>
      <name val="Calibri"/>
      <family val="1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1" xfId="0" applyBorder="1"/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6" fillId="0" borderId="0" xfId="0" applyFon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6" borderId="1" xfId="0" applyFill="1" applyBorder="1" applyAlignment="1">
      <alignment horizontal="left"/>
    </xf>
    <xf numFmtId="0" fontId="0" fillId="6" borderId="1" xfId="0" applyFill="1" applyBorder="1"/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3" xfId="0" applyFont="1" applyBorder="1" applyAlignment="1">
      <alignment horizontal="left"/>
    </xf>
    <xf numFmtId="0" fontId="0" fillId="0" borderId="0" xfId="0" applyAlignment="1">
      <alignment horizontal="left"/>
    </xf>
    <xf numFmtId="0" fontId="8" fillId="8" borderId="6" xfId="0" applyFont="1" applyFill="1" applyBorder="1" applyAlignment="1">
      <alignment horizontal="left"/>
    </xf>
    <xf numFmtId="0" fontId="8" fillId="8" borderId="1" xfId="0" applyFont="1" applyFill="1" applyBorder="1" applyAlignment="1">
      <alignment horizontal="center"/>
    </xf>
    <xf numFmtId="0" fontId="8" fillId="8" borderId="7" xfId="0" applyFont="1" applyFill="1" applyBorder="1" applyAlignment="1">
      <alignment horizontal="center"/>
    </xf>
    <xf numFmtId="0" fontId="8" fillId="9" borderId="6" xfId="0" applyFont="1" applyFill="1" applyBorder="1" applyAlignment="1">
      <alignment horizontal="left"/>
    </xf>
    <xf numFmtId="0" fontId="8" fillId="9" borderId="1" xfId="0" applyFont="1" applyFill="1" applyBorder="1" applyAlignment="1">
      <alignment horizontal="center"/>
    </xf>
    <xf numFmtId="0" fontId="8" fillId="9" borderId="7" xfId="0" applyFont="1" applyFill="1" applyBorder="1" applyAlignment="1">
      <alignment horizontal="center"/>
    </xf>
    <xf numFmtId="0" fontId="8" fillId="10" borderId="6" xfId="0" applyFont="1" applyFill="1" applyBorder="1" applyAlignment="1">
      <alignment horizontal="left"/>
    </xf>
    <xf numFmtId="0" fontId="8" fillId="10" borderId="1" xfId="0" applyFont="1" applyFill="1" applyBorder="1" applyAlignment="1">
      <alignment horizontal="center"/>
    </xf>
    <xf numFmtId="0" fontId="8" fillId="10" borderId="7" xfId="0" applyFont="1" applyFill="1" applyBorder="1" applyAlignment="1">
      <alignment horizontal="center"/>
    </xf>
    <xf numFmtId="0" fontId="9" fillId="0" borderId="9" xfId="0" applyFont="1" applyFill="1" applyBorder="1" applyAlignment="1">
      <alignment horizontal="center"/>
    </xf>
    <xf numFmtId="0" fontId="10" fillId="0" borderId="8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center"/>
    </xf>
    <xf numFmtId="0" fontId="8" fillId="10" borderId="11" xfId="0" applyFont="1" applyFill="1" applyBorder="1" applyAlignment="1">
      <alignment horizontal="left"/>
    </xf>
    <xf numFmtId="0" fontId="8" fillId="10" borderId="12" xfId="0" applyFont="1" applyFill="1" applyBorder="1" applyAlignment="1">
      <alignment horizontal="center"/>
    </xf>
    <xf numFmtId="0" fontId="8" fillId="10" borderId="13" xfId="0" applyFont="1" applyFill="1" applyBorder="1" applyAlignment="1">
      <alignment horizontal="center"/>
    </xf>
    <xf numFmtId="0" fontId="0" fillId="11" borderId="14" xfId="0" applyFill="1" applyBorder="1" applyAlignment="1">
      <alignment horizontal="left"/>
    </xf>
    <xf numFmtId="0" fontId="0" fillId="11" borderId="15" xfId="0" applyFill="1" applyBorder="1"/>
    <xf numFmtId="0" fontId="0" fillId="11" borderId="16" xfId="0" applyFill="1" applyBorder="1"/>
    <xf numFmtId="0" fontId="0" fillId="12" borderId="0" xfId="0" applyFill="1"/>
    <xf numFmtId="0" fontId="11" fillId="0" borderId="1" xfId="0" applyFont="1" applyBorder="1" applyAlignment="1">
      <alignment horizontal="center"/>
    </xf>
    <xf numFmtId="0" fontId="12" fillId="6" borderId="0" xfId="0" applyFont="1" applyFill="1"/>
    <xf numFmtId="0" fontId="0" fillId="0" borderId="0" xfId="0" applyFill="1"/>
    <xf numFmtId="0" fontId="1" fillId="3" borderId="0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2" borderId="0" xfId="0" applyFill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" xfId="0" applyFill="1" applyBorder="1"/>
    <xf numFmtId="0" fontId="0" fillId="0" borderId="12" xfId="0" applyFill="1" applyBorder="1"/>
    <xf numFmtId="0" fontId="0" fillId="0" borderId="1" xfId="0" applyFill="1" applyBorder="1"/>
    <xf numFmtId="0" fontId="0" fillId="0" borderId="20" xfId="0" applyFill="1" applyBorder="1"/>
    <xf numFmtId="0" fontId="0" fillId="0" borderId="18" xfId="0" applyFill="1" applyBorder="1"/>
    <xf numFmtId="0" fontId="0" fillId="13" borderId="17" xfId="0" applyFill="1" applyBorder="1"/>
    <xf numFmtId="0" fontId="0" fillId="0" borderId="12" xfId="0" applyBorder="1"/>
    <xf numFmtId="0" fontId="0" fillId="0" borderId="2" xfId="0" applyBorder="1"/>
    <xf numFmtId="0" fontId="0" fillId="0" borderId="19" xfId="0" applyBorder="1" applyAlignment="1">
      <alignment horizontal="left"/>
    </xf>
  </cellXfs>
  <cellStyles count="1">
    <cellStyle name="Normal" xfId="0" builtinId="0"/>
  </cellStyles>
  <dxfs count="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2"/>
  <dimension ref="D1:P60"/>
  <sheetViews>
    <sheetView zoomScale="85" zoomScaleNormal="85" workbookViewId="0">
      <selection activeCell="F15" sqref="F15"/>
    </sheetView>
  </sheetViews>
  <sheetFormatPr defaultRowHeight="15"/>
  <cols>
    <col min="4" max="4" width="31.7109375" bestFit="1" customWidth="1"/>
    <col min="5" max="5" width="42.42578125" bestFit="1" customWidth="1"/>
    <col min="6" max="6" width="28.28515625" bestFit="1" customWidth="1"/>
    <col min="7" max="7" width="40.5703125" bestFit="1" customWidth="1"/>
    <col min="10" max="10" width="43.7109375" bestFit="1" customWidth="1"/>
    <col min="11" max="11" width="41.28515625" bestFit="1" customWidth="1"/>
    <col min="12" max="12" width="42.42578125" bestFit="1" customWidth="1"/>
    <col min="13" max="13" width="51.28515625" bestFit="1" customWidth="1"/>
    <col min="14" max="14" width="43.140625" bestFit="1" customWidth="1"/>
    <col min="15" max="15" width="35.85546875" bestFit="1" customWidth="1"/>
    <col min="16" max="16" width="48" bestFit="1" customWidth="1"/>
  </cols>
  <sheetData>
    <row r="1" spans="4:16" ht="15.75" thickBot="1"/>
    <row r="2" spans="4:16" ht="15.75" thickBot="1">
      <c r="D2" s="58" t="s">
        <v>954</v>
      </c>
      <c r="E2" s="58" t="s">
        <v>957</v>
      </c>
      <c r="F2" s="58" t="s">
        <v>958</v>
      </c>
      <c r="G2" s="58" t="s">
        <v>962</v>
      </c>
      <c r="J2" s="58" t="s">
        <v>946</v>
      </c>
      <c r="K2" s="51" t="s">
        <v>787</v>
      </c>
      <c r="L2" s="58" t="s">
        <v>947</v>
      </c>
      <c r="M2" s="51" t="s">
        <v>420</v>
      </c>
      <c r="N2" s="58" t="s">
        <v>950</v>
      </c>
      <c r="O2" s="52" t="s">
        <v>590</v>
      </c>
      <c r="P2" s="59" t="s">
        <v>554</v>
      </c>
    </row>
    <row r="3" spans="4:16" ht="15.75" thickBot="1">
      <c r="D3" s="53" t="s">
        <v>230</v>
      </c>
      <c r="E3" s="53" t="s">
        <v>151</v>
      </c>
      <c r="F3" s="53" t="s">
        <v>181</v>
      </c>
      <c r="G3" s="53" t="s">
        <v>207</v>
      </c>
      <c r="J3" s="60" t="s">
        <v>232</v>
      </c>
      <c r="K3" s="1" t="s">
        <v>788</v>
      </c>
      <c r="L3" s="60" t="s">
        <v>290</v>
      </c>
      <c r="M3" s="1" t="s">
        <v>436</v>
      </c>
      <c r="N3" s="60" t="s">
        <v>555</v>
      </c>
      <c r="O3" s="50" t="s">
        <v>591</v>
      </c>
      <c r="P3" s="58" t="s">
        <v>951</v>
      </c>
    </row>
    <row r="4" spans="4:16" ht="15.75" thickBot="1">
      <c r="D4" s="54" t="s">
        <v>231</v>
      </c>
      <c r="E4" s="55" t="s">
        <v>152</v>
      </c>
      <c r="F4" s="55" t="s">
        <v>182</v>
      </c>
      <c r="G4" s="55" t="s">
        <v>209</v>
      </c>
      <c r="J4" s="1" t="s">
        <v>233</v>
      </c>
      <c r="K4" s="1" t="s">
        <v>261</v>
      </c>
      <c r="L4" s="1" t="s">
        <v>789</v>
      </c>
      <c r="M4" s="1" t="s">
        <v>448</v>
      </c>
      <c r="N4" s="1" t="s">
        <v>556</v>
      </c>
      <c r="O4" s="1" t="s">
        <v>799</v>
      </c>
      <c r="P4" s="60" t="s">
        <v>801</v>
      </c>
    </row>
    <row r="5" spans="4:16" ht="15.75" thickBot="1">
      <c r="D5" s="58" t="s">
        <v>955</v>
      </c>
      <c r="E5" s="56" t="s">
        <v>154</v>
      </c>
      <c r="F5" s="54" t="s">
        <v>783</v>
      </c>
      <c r="G5" s="55" t="s">
        <v>210</v>
      </c>
      <c r="J5" s="1" t="s">
        <v>234</v>
      </c>
      <c r="K5" s="1" t="s">
        <v>262</v>
      </c>
      <c r="L5" s="1" t="s">
        <v>292</v>
      </c>
      <c r="M5" s="59" t="s">
        <v>476</v>
      </c>
      <c r="N5" s="1" t="s">
        <v>557</v>
      </c>
      <c r="O5" s="1" t="s">
        <v>593</v>
      </c>
      <c r="P5" s="1" t="s">
        <v>640</v>
      </c>
    </row>
    <row r="6" spans="4:16" ht="15.75" thickBot="1">
      <c r="D6" s="53" t="s">
        <v>123</v>
      </c>
      <c r="E6" s="57" t="s">
        <v>155</v>
      </c>
      <c r="F6" s="58" t="s">
        <v>959</v>
      </c>
      <c r="G6" s="56" t="s">
        <v>215</v>
      </c>
      <c r="J6" s="1" t="s">
        <v>235</v>
      </c>
      <c r="K6" s="1" t="s">
        <v>263</v>
      </c>
      <c r="L6" s="50" t="s">
        <v>293</v>
      </c>
      <c r="M6" s="58" t="s">
        <v>950</v>
      </c>
      <c r="N6" s="52" t="s">
        <v>558</v>
      </c>
      <c r="O6" s="1" t="s">
        <v>594</v>
      </c>
      <c r="P6" s="1" t="s">
        <v>641</v>
      </c>
    </row>
    <row r="7" spans="4:16">
      <c r="D7" s="55" t="s">
        <v>124</v>
      </c>
      <c r="E7" s="55" t="s">
        <v>156</v>
      </c>
      <c r="F7" s="53" t="s">
        <v>192</v>
      </c>
      <c r="G7" s="55" t="s">
        <v>216</v>
      </c>
      <c r="J7" s="1" t="s">
        <v>236</v>
      </c>
      <c r="K7" s="1" t="s">
        <v>264</v>
      </c>
      <c r="L7" s="1" t="s">
        <v>300</v>
      </c>
      <c r="M7" s="60" t="s">
        <v>520</v>
      </c>
      <c r="N7" s="1" t="s">
        <v>1359</v>
      </c>
      <c r="O7" s="1" t="s">
        <v>595</v>
      </c>
      <c r="P7" s="1" t="s">
        <v>642</v>
      </c>
    </row>
    <row r="8" spans="4:16" ht="15.75" thickBot="1">
      <c r="D8" s="55" t="s">
        <v>125</v>
      </c>
      <c r="E8" s="55" t="s">
        <v>157</v>
      </c>
      <c r="F8" s="54" t="s">
        <v>193</v>
      </c>
      <c r="G8" s="55" t="s">
        <v>217</v>
      </c>
      <c r="J8" s="1" t="s">
        <v>237</v>
      </c>
      <c r="K8" s="1" t="s">
        <v>265</v>
      </c>
      <c r="L8" s="1" t="s">
        <v>319</v>
      </c>
      <c r="M8" s="1" t="s">
        <v>522</v>
      </c>
      <c r="N8" s="1" t="s">
        <v>560</v>
      </c>
      <c r="O8" s="1" t="s">
        <v>596</v>
      </c>
      <c r="P8" s="1" t="s">
        <v>643</v>
      </c>
    </row>
    <row r="9" spans="4:16" ht="15.75" thickBot="1">
      <c r="D9" s="55" t="s">
        <v>126</v>
      </c>
      <c r="E9" s="57" t="s">
        <v>158</v>
      </c>
      <c r="F9" s="58" t="s">
        <v>960</v>
      </c>
      <c r="G9" s="56" t="s">
        <v>218</v>
      </c>
      <c r="J9" s="1" t="s">
        <v>238</v>
      </c>
      <c r="K9" s="1" t="s">
        <v>266</v>
      </c>
      <c r="L9" s="1" t="s">
        <v>333</v>
      </c>
      <c r="M9" s="1" t="s">
        <v>523</v>
      </c>
      <c r="N9" s="1" t="s">
        <v>561</v>
      </c>
      <c r="O9" s="1" t="s">
        <v>1355</v>
      </c>
      <c r="P9" s="1" t="s">
        <v>644</v>
      </c>
    </row>
    <row r="10" spans="4:16">
      <c r="D10" s="55" t="s">
        <v>127</v>
      </c>
      <c r="E10" s="55" t="s">
        <v>159</v>
      </c>
      <c r="F10" s="53" t="s">
        <v>195</v>
      </c>
      <c r="G10" s="55" t="s">
        <v>219</v>
      </c>
      <c r="J10" s="1" t="s">
        <v>239</v>
      </c>
      <c r="K10" s="1" t="s">
        <v>267</v>
      </c>
      <c r="L10" s="1" t="s">
        <v>339</v>
      </c>
      <c r="M10" s="1" t="s">
        <v>524</v>
      </c>
      <c r="N10" s="1" t="s">
        <v>562</v>
      </c>
      <c r="O10" s="1" t="s">
        <v>599</v>
      </c>
      <c r="P10" s="1" t="s">
        <v>645</v>
      </c>
    </row>
    <row r="11" spans="4:16">
      <c r="D11" s="55" t="s">
        <v>128</v>
      </c>
      <c r="E11" s="55" t="s">
        <v>160</v>
      </c>
      <c r="F11" s="55" t="s">
        <v>196</v>
      </c>
      <c r="G11" s="55" t="s">
        <v>220</v>
      </c>
      <c r="J11" s="1" t="s">
        <v>240</v>
      </c>
      <c r="K11" s="1" t="s">
        <v>268</v>
      </c>
      <c r="L11" s="1" t="s">
        <v>340</v>
      </c>
      <c r="M11" s="1" t="s">
        <v>525</v>
      </c>
      <c r="N11" s="1" t="s">
        <v>563</v>
      </c>
      <c r="O11" s="1" t="s">
        <v>600</v>
      </c>
      <c r="P11" s="1" t="s">
        <v>646</v>
      </c>
    </row>
    <row r="12" spans="4:16" ht="15.75" thickBot="1">
      <c r="D12" s="55" t="s">
        <v>132</v>
      </c>
      <c r="E12" s="55" t="s">
        <v>161</v>
      </c>
      <c r="F12" s="54" t="s">
        <v>197</v>
      </c>
      <c r="G12" s="55" t="s">
        <v>222</v>
      </c>
      <c r="J12" s="1" t="s">
        <v>241</v>
      </c>
      <c r="K12" s="1" t="s">
        <v>269</v>
      </c>
      <c r="L12" s="1" t="s">
        <v>343</v>
      </c>
      <c r="M12" s="1" t="s">
        <v>526</v>
      </c>
      <c r="N12" s="1" t="s">
        <v>564</v>
      </c>
      <c r="O12" s="1" t="s">
        <v>601</v>
      </c>
      <c r="P12" s="1" t="s">
        <v>647</v>
      </c>
    </row>
    <row r="13" spans="4:16" ht="15.75" thickBot="1">
      <c r="D13" s="55" t="s">
        <v>133</v>
      </c>
      <c r="E13" s="57" t="s">
        <v>162</v>
      </c>
      <c r="F13" s="58" t="s">
        <v>961</v>
      </c>
      <c r="G13" s="56" t="s">
        <v>224</v>
      </c>
      <c r="J13" s="1" t="s">
        <v>243</v>
      </c>
      <c r="K13" s="1" t="s">
        <v>270</v>
      </c>
      <c r="L13" s="1" t="s">
        <v>356</v>
      </c>
      <c r="M13" s="1" t="s">
        <v>529</v>
      </c>
      <c r="N13" s="1" t="s">
        <v>566</v>
      </c>
      <c r="O13" s="1" t="s">
        <v>602</v>
      </c>
      <c r="P13" s="1" t="s">
        <v>653</v>
      </c>
    </row>
    <row r="14" spans="4:16" ht="15.75" thickBot="1">
      <c r="D14" s="55" t="s">
        <v>134</v>
      </c>
      <c r="E14" s="55" t="s">
        <v>163</v>
      </c>
      <c r="F14" s="53" t="s">
        <v>199</v>
      </c>
      <c r="G14" s="55" t="s">
        <v>225</v>
      </c>
      <c r="J14" s="1" t="s">
        <v>244</v>
      </c>
      <c r="K14" s="1" t="s">
        <v>271</v>
      </c>
      <c r="L14" s="1" t="s">
        <v>357</v>
      </c>
      <c r="M14" s="1" t="s">
        <v>531</v>
      </c>
      <c r="N14" s="1" t="s">
        <v>567</v>
      </c>
      <c r="O14" s="1" t="s">
        <v>603</v>
      </c>
      <c r="P14" s="59" t="s">
        <v>655</v>
      </c>
    </row>
    <row r="15" spans="4:16" ht="15.75" thickBot="1">
      <c r="D15" s="55" t="s">
        <v>135</v>
      </c>
      <c r="E15" s="55" t="s">
        <v>164</v>
      </c>
      <c r="F15" s="55" t="s">
        <v>200</v>
      </c>
      <c r="G15" s="55" t="s">
        <v>226</v>
      </c>
      <c r="J15" s="1" t="s">
        <v>245</v>
      </c>
      <c r="K15" s="1" t="s">
        <v>272</v>
      </c>
      <c r="L15" s="1" t="s">
        <v>379</v>
      </c>
      <c r="M15" s="1" t="s">
        <v>534</v>
      </c>
      <c r="N15" s="1" t="s">
        <v>568</v>
      </c>
      <c r="O15" s="50" t="s">
        <v>604</v>
      </c>
      <c r="P15" s="58" t="s">
        <v>952</v>
      </c>
    </row>
    <row r="16" spans="4:16">
      <c r="D16" s="55" t="s">
        <v>136</v>
      </c>
      <c r="E16" s="55" t="s">
        <v>165</v>
      </c>
      <c r="F16" s="55" t="s">
        <v>201</v>
      </c>
      <c r="G16" s="55" t="s">
        <v>227</v>
      </c>
      <c r="J16" s="1" t="s">
        <v>246</v>
      </c>
      <c r="K16" s="1" t="s">
        <v>273</v>
      </c>
      <c r="L16" s="1" t="s">
        <v>382</v>
      </c>
      <c r="M16" s="1" t="s">
        <v>535</v>
      </c>
      <c r="N16" s="1" t="s">
        <v>569</v>
      </c>
      <c r="O16" s="1" t="s">
        <v>605</v>
      </c>
      <c r="P16" s="60" t="s">
        <v>667</v>
      </c>
    </row>
    <row r="17" spans="4:16" ht="15.75" thickBot="1">
      <c r="D17" s="55" t="s">
        <v>137</v>
      </c>
      <c r="E17" s="55" t="s">
        <v>166</v>
      </c>
      <c r="F17" s="55" t="s">
        <v>202</v>
      </c>
      <c r="G17" s="55"/>
      <c r="J17" s="1" t="s">
        <v>247</v>
      </c>
      <c r="K17" s="1" t="s">
        <v>274</v>
      </c>
      <c r="L17" s="1" t="s">
        <v>390</v>
      </c>
      <c r="M17" s="1" t="s">
        <v>536</v>
      </c>
      <c r="N17" s="1" t="s">
        <v>570</v>
      </c>
      <c r="O17" s="1" t="s">
        <v>606</v>
      </c>
      <c r="P17" s="59" t="s">
        <v>668</v>
      </c>
    </row>
    <row r="18" spans="4:16" ht="15.75" thickBot="1">
      <c r="D18" s="55" t="s">
        <v>138</v>
      </c>
      <c r="E18" s="55" t="s">
        <v>167</v>
      </c>
      <c r="F18" s="55" t="s">
        <v>203</v>
      </c>
      <c r="G18" s="55"/>
      <c r="J18" s="1" t="s">
        <v>248</v>
      </c>
      <c r="K18" s="1" t="s">
        <v>275</v>
      </c>
      <c r="L18" s="1" t="s">
        <v>391</v>
      </c>
      <c r="M18" s="1" t="s">
        <v>537</v>
      </c>
      <c r="N18" s="1" t="s">
        <v>572</v>
      </c>
      <c r="O18" s="50" t="s">
        <v>607</v>
      </c>
      <c r="P18" s="58" t="s">
        <v>953</v>
      </c>
    </row>
    <row r="19" spans="4:16">
      <c r="D19" s="55" t="s">
        <v>139</v>
      </c>
      <c r="E19" s="55" t="s">
        <v>170</v>
      </c>
      <c r="F19" s="55" t="s">
        <v>204</v>
      </c>
      <c r="G19" s="55"/>
      <c r="J19" s="1" t="s">
        <v>249</v>
      </c>
      <c r="K19" s="1" t="s">
        <v>276</v>
      </c>
      <c r="L19" s="1" t="s">
        <v>392</v>
      </c>
      <c r="M19" s="1" t="s">
        <v>540</v>
      </c>
      <c r="N19" s="1" t="s">
        <v>574</v>
      </c>
      <c r="O19" s="1" t="s">
        <v>608</v>
      </c>
      <c r="P19" s="60" t="s">
        <v>674</v>
      </c>
    </row>
    <row r="20" spans="4:16">
      <c r="D20" s="55" t="s">
        <v>140</v>
      </c>
      <c r="E20" s="55" t="s">
        <v>173</v>
      </c>
      <c r="F20" s="55" t="s">
        <v>205</v>
      </c>
      <c r="G20" s="55"/>
      <c r="J20" s="1" t="s">
        <v>250</v>
      </c>
      <c r="K20" s="1" t="s">
        <v>277</v>
      </c>
      <c r="L20" s="1" t="s">
        <v>393</v>
      </c>
      <c r="M20" s="1" t="s">
        <v>541</v>
      </c>
      <c r="N20" s="1" t="s">
        <v>575</v>
      </c>
      <c r="O20" s="1" t="s">
        <v>609</v>
      </c>
      <c r="P20" s="1" t="s">
        <v>688</v>
      </c>
    </row>
    <row r="21" spans="4:16">
      <c r="D21" s="55" t="s">
        <v>142</v>
      </c>
      <c r="E21" s="55" t="s">
        <v>175</v>
      </c>
      <c r="F21" s="55" t="s">
        <v>206</v>
      </c>
      <c r="G21" s="55"/>
      <c r="J21" s="1" t="s">
        <v>251</v>
      </c>
      <c r="K21" s="1" t="s">
        <v>278</v>
      </c>
      <c r="L21" s="1" t="s">
        <v>398</v>
      </c>
      <c r="M21" s="1" t="s">
        <v>542</v>
      </c>
      <c r="N21" s="1" t="s">
        <v>576</v>
      </c>
      <c r="O21" s="1" t="s">
        <v>610</v>
      </c>
      <c r="P21" s="1" t="s">
        <v>691</v>
      </c>
    </row>
    <row r="22" spans="4:16">
      <c r="D22" s="55" t="s">
        <v>144</v>
      </c>
      <c r="E22" s="55" t="s">
        <v>179</v>
      </c>
      <c r="F22" s="55"/>
      <c r="G22" s="55"/>
      <c r="J22" s="1" t="s">
        <v>784</v>
      </c>
      <c r="K22" s="1" t="s">
        <v>279</v>
      </c>
      <c r="L22" s="1" t="s">
        <v>399</v>
      </c>
      <c r="M22" s="1" t="s">
        <v>543</v>
      </c>
      <c r="N22" s="1" t="s">
        <v>577</v>
      </c>
      <c r="O22" s="1" t="s">
        <v>611</v>
      </c>
      <c r="P22" s="1" t="s">
        <v>1076</v>
      </c>
    </row>
    <row r="23" spans="4:16">
      <c r="D23" s="55" t="s">
        <v>145</v>
      </c>
      <c r="E23" s="55" t="s">
        <v>180</v>
      </c>
      <c r="F23" s="55"/>
      <c r="G23" s="55"/>
      <c r="J23" s="1" t="s">
        <v>785</v>
      </c>
      <c r="K23" s="1" t="s">
        <v>280</v>
      </c>
      <c r="L23" s="1" t="s">
        <v>400</v>
      </c>
      <c r="M23" s="55" t="s">
        <v>544</v>
      </c>
      <c r="N23" s="1" t="s">
        <v>578</v>
      </c>
      <c r="O23" s="1" t="s">
        <v>612</v>
      </c>
      <c r="P23" s="1" t="s">
        <v>1077</v>
      </c>
    </row>
    <row r="24" spans="4:16">
      <c r="D24" s="55" t="s">
        <v>146</v>
      </c>
      <c r="E24" s="55"/>
      <c r="F24" s="55"/>
      <c r="G24" s="55"/>
      <c r="J24" s="1" t="s">
        <v>786</v>
      </c>
      <c r="K24" s="1" t="s">
        <v>281</v>
      </c>
      <c r="L24" s="1" t="s">
        <v>401</v>
      </c>
      <c r="M24" s="1" t="s">
        <v>546</v>
      </c>
      <c r="N24" s="1" t="s">
        <v>579</v>
      </c>
      <c r="O24" s="1" t="s">
        <v>614</v>
      </c>
      <c r="P24" s="1"/>
    </row>
    <row r="25" spans="4:16">
      <c r="D25" s="55" t="s">
        <v>147</v>
      </c>
      <c r="E25" s="55"/>
      <c r="F25" s="55"/>
      <c r="G25" s="55"/>
      <c r="J25" s="1" t="s">
        <v>252</v>
      </c>
      <c r="K25" s="1" t="s">
        <v>282</v>
      </c>
      <c r="L25" s="1" t="s">
        <v>403</v>
      </c>
      <c r="M25" s="1" t="s">
        <v>547</v>
      </c>
      <c r="N25" s="1" t="s">
        <v>580</v>
      </c>
      <c r="O25" s="1" t="s">
        <v>617</v>
      </c>
      <c r="P25" s="1"/>
    </row>
    <row r="26" spans="4:16">
      <c r="J26" s="1" t="s">
        <v>253</v>
      </c>
      <c r="K26" s="1" t="s">
        <v>283</v>
      </c>
      <c r="L26" s="1" t="s">
        <v>404</v>
      </c>
      <c r="M26" s="1" t="s">
        <v>548</v>
      </c>
      <c r="N26" s="1" t="s">
        <v>581</v>
      </c>
      <c r="O26" s="1" t="s">
        <v>619</v>
      </c>
      <c r="P26" s="1"/>
    </row>
    <row r="27" spans="4:16">
      <c r="J27" s="1" t="s">
        <v>254</v>
      </c>
      <c r="K27" s="1" t="s">
        <v>284</v>
      </c>
      <c r="L27" s="1" t="s">
        <v>415</v>
      </c>
      <c r="M27" s="1" t="s">
        <v>549</v>
      </c>
      <c r="N27" s="1" t="s">
        <v>582</v>
      </c>
      <c r="O27" s="1" t="s">
        <v>620</v>
      </c>
      <c r="P27" s="1"/>
    </row>
    <row r="28" spans="4:16">
      <c r="J28" s="1" t="s">
        <v>255</v>
      </c>
      <c r="K28" s="1" t="s">
        <v>285</v>
      </c>
      <c r="L28" s="1" t="s">
        <v>416</v>
      </c>
      <c r="M28" s="1" t="s">
        <v>550</v>
      </c>
      <c r="N28" s="1" t="s">
        <v>586</v>
      </c>
      <c r="O28" s="1" t="s">
        <v>621</v>
      </c>
      <c r="P28" s="1"/>
    </row>
    <row r="29" spans="4:16">
      <c r="J29" s="1" t="s">
        <v>256</v>
      </c>
      <c r="K29" s="1" t="s">
        <v>286</v>
      </c>
      <c r="L29" s="1" t="s">
        <v>417</v>
      </c>
      <c r="M29" s="1" t="s">
        <v>551</v>
      </c>
      <c r="N29" s="1" t="s">
        <v>587</v>
      </c>
      <c r="O29" s="1" t="s">
        <v>625</v>
      </c>
      <c r="P29" s="1"/>
    </row>
    <row r="30" spans="4:16">
      <c r="J30" s="1" t="s">
        <v>257</v>
      </c>
      <c r="K30" s="1" t="s">
        <v>287</v>
      </c>
      <c r="L30" s="1" t="s">
        <v>418</v>
      </c>
      <c r="M30" s="1" t="s">
        <v>797</v>
      </c>
      <c r="N30" s="1" t="s">
        <v>588</v>
      </c>
      <c r="O30" s="1" t="s">
        <v>631</v>
      </c>
      <c r="P30" s="1"/>
    </row>
    <row r="31" spans="4:16">
      <c r="J31" s="1" t="s">
        <v>258</v>
      </c>
      <c r="K31" s="1" t="s">
        <v>259</v>
      </c>
      <c r="L31" s="1" t="s">
        <v>419</v>
      </c>
      <c r="M31" s="1" t="s">
        <v>553</v>
      </c>
      <c r="N31" s="1" t="s">
        <v>589</v>
      </c>
      <c r="O31" s="1" t="s">
        <v>632</v>
      </c>
      <c r="P31" s="1"/>
    </row>
    <row r="37" spans="4:7" ht="15.75" thickBot="1"/>
    <row r="38" spans="4:7" ht="15.75" thickBot="1">
      <c r="D38" s="58" t="s">
        <v>944</v>
      </c>
      <c r="E38" s="61" t="s">
        <v>32</v>
      </c>
      <c r="F38" s="58" t="s">
        <v>945</v>
      </c>
      <c r="G38" s="58" t="s">
        <v>943</v>
      </c>
    </row>
    <row r="39" spans="4:7">
      <c r="D39" s="5" t="s">
        <v>2</v>
      </c>
      <c r="E39" s="4" t="s">
        <v>33</v>
      </c>
      <c r="F39" s="60" t="s">
        <v>95</v>
      </c>
      <c r="G39" s="60" t="s">
        <v>116</v>
      </c>
    </row>
    <row r="40" spans="4:7">
      <c r="D40" s="4" t="s">
        <v>3</v>
      </c>
      <c r="E40" s="4" t="s">
        <v>47</v>
      </c>
      <c r="F40" s="1" t="s">
        <v>96</v>
      </c>
      <c r="G40" s="1" t="s">
        <v>117</v>
      </c>
    </row>
    <row r="41" spans="4:7">
      <c r="D41" s="4" t="s">
        <v>4</v>
      </c>
      <c r="E41" s="4" t="s">
        <v>48</v>
      </c>
      <c r="F41" s="1" t="s">
        <v>97</v>
      </c>
      <c r="G41" s="1" t="s">
        <v>782</v>
      </c>
    </row>
    <row r="42" spans="4:7">
      <c r="D42" s="4" t="s">
        <v>5</v>
      </c>
      <c r="E42" s="4" t="s">
        <v>49</v>
      </c>
      <c r="F42" s="1" t="s">
        <v>98</v>
      </c>
      <c r="G42" s="1" t="s">
        <v>118</v>
      </c>
    </row>
    <row r="43" spans="4:7">
      <c r="D43" s="4" t="s">
        <v>6</v>
      </c>
      <c r="E43" s="4" t="s">
        <v>52</v>
      </c>
      <c r="F43" s="1" t="s">
        <v>99</v>
      </c>
      <c r="G43" s="1"/>
    </row>
    <row r="44" spans="4:7">
      <c r="D44" s="4" t="s">
        <v>7</v>
      </c>
      <c r="E44" s="4" t="s">
        <v>53</v>
      </c>
      <c r="F44" s="1" t="s">
        <v>100</v>
      </c>
      <c r="G44" s="1"/>
    </row>
    <row r="45" spans="4:7">
      <c r="D45" s="4" t="s">
        <v>8</v>
      </c>
      <c r="E45" s="4" t="s">
        <v>54</v>
      </c>
      <c r="F45" s="1" t="s">
        <v>101</v>
      </c>
      <c r="G45" s="1"/>
    </row>
    <row r="46" spans="4:7">
      <c r="D46" s="4" t="s">
        <v>9</v>
      </c>
      <c r="E46" s="4" t="s">
        <v>56</v>
      </c>
      <c r="F46" s="1" t="s">
        <v>102</v>
      </c>
      <c r="G46" s="1"/>
    </row>
    <row r="47" spans="4:7">
      <c r="D47" s="4" t="s">
        <v>10</v>
      </c>
      <c r="E47" s="4" t="s">
        <v>58</v>
      </c>
      <c r="F47" s="1" t="s">
        <v>1358</v>
      </c>
      <c r="G47" s="1"/>
    </row>
    <row r="48" spans="4:7">
      <c r="D48" s="4" t="s">
        <v>11</v>
      </c>
      <c r="E48" s="4" t="s">
        <v>59</v>
      </c>
      <c r="F48" s="1" t="s">
        <v>104</v>
      </c>
      <c r="G48" s="1"/>
    </row>
    <row r="49" spans="4:7">
      <c r="D49" s="4" t="s">
        <v>12</v>
      </c>
      <c r="E49" s="4" t="s">
        <v>61</v>
      </c>
      <c r="F49" s="1" t="s">
        <v>105</v>
      </c>
      <c r="G49" s="1"/>
    </row>
    <row r="50" spans="4:7">
      <c r="D50" s="4" t="s">
        <v>13</v>
      </c>
      <c r="E50" s="4" t="s">
        <v>65</v>
      </c>
      <c r="F50" s="1" t="s">
        <v>106</v>
      </c>
      <c r="G50" s="1"/>
    </row>
    <row r="51" spans="4:7">
      <c r="D51" s="4" t="s">
        <v>1356</v>
      </c>
      <c r="E51" s="4" t="s">
        <v>67</v>
      </c>
      <c r="F51" s="1" t="s">
        <v>107</v>
      </c>
      <c r="G51" s="1"/>
    </row>
    <row r="52" spans="4:7">
      <c r="D52" s="4" t="s">
        <v>15</v>
      </c>
      <c r="E52" s="4" t="s">
        <v>68</v>
      </c>
      <c r="F52" s="1" t="s">
        <v>108</v>
      </c>
      <c r="G52" s="1"/>
    </row>
    <row r="53" spans="4:7">
      <c r="D53" s="4" t="s">
        <v>16</v>
      </c>
      <c r="E53" s="4" t="s">
        <v>69</v>
      </c>
      <c r="F53" s="1" t="s">
        <v>109</v>
      </c>
      <c r="G53" s="1"/>
    </row>
    <row r="54" spans="4:7">
      <c r="D54" s="4" t="s">
        <v>1357</v>
      </c>
      <c r="E54" s="4" t="s">
        <v>70</v>
      </c>
      <c r="F54" s="1" t="s">
        <v>110</v>
      </c>
      <c r="G54" s="1"/>
    </row>
    <row r="55" spans="4:7">
      <c r="D55" s="4" t="s">
        <v>19</v>
      </c>
      <c r="E55" s="4" t="s">
        <v>71</v>
      </c>
      <c r="F55" s="1" t="s">
        <v>111</v>
      </c>
      <c r="G55" s="1"/>
    </row>
    <row r="56" spans="4:7">
      <c r="D56" s="4" t="s">
        <v>775</v>
      </c>
      <c r="E56" s="4" t="s">
        <v>74</v>
      </c>
      <c r="F56" s="1" t="s">
        <v>112</v>
      </c>
      <c r="G56" s="1"/>
    </row>
    <row r="57" spans="4:7">
      <c r="D57" s="4" t="s">
        <v>21</v>
      </c>
      <c r="E57" s="1" t="s">
        <v>90</v>
      </c>
      <c r="F57" s="1" t="s">
        <v>113</v>
      </c>
      <c r="G57" s="1"/>
    </row>
    <row r="58" spans="4:7">
      <c r="D58" s="4" t="s">
        <v>26</v>
      </c>
      <c r="E58" s="1" t="s">
        <v>91</v>
      </c>
      <c r="F58" s="1" t="s">
        <v>114</v>
      </c>
      <c r="G58" s="1"/>
    </row>
    <row r="59" spans="4:7">
      <c r="D59" s="4" t="s">
        <v>27</v>
      </c>
      <c r="E59" s="1" t="s">
        <v>92</v>
      </c>
      <c r="F59" s="1" t="s">
        <v>115</v>
      </c>
      <c r="G59" s="1"/>
    </row>
    <row r="60" spans="4:7">
      <c r="D60" s="4" t="s">
        <v>28</v>
      </c>
      <c r="E60" s="1" t="s">
        <v>94</v>
      </c>
      <c r="F60" s="1"/>
      <c r="G60" s="1"/>
    </row>
  </sheetData>
  <phoneticPr fontId="4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theme="9"/>
  </sheetPr>
  <dimension ref="A1:X102"/>
  <sheetViews>
    <sheetView topLeftCell="A16" zoomScaleNormal="100" workbookViewId="0">
      <selection activeCell="A39" sqref="A39"/>
    </sheetView>
  </sheetViews>
  <sheetFormatPr defaultRowHeight="15"/>
  <cols>
    <col min="1" max="1" width="53.42578125" customWidth="1"/>
    <col min="2" max="2" width="20.28515625" style="8" bestFit="1" customWidth="1"/>
    <col min="3" max="3" width="19.140625" bestFit="1" customWidth="1"/>
    <col min="4" max="4" width="6.28515625" bestFit="1" customWidth="1"/>
    <col min="5" max="5" width="10.28515625" bestFit="1" customWidth="1"/>
    <col min="6" max="6" width="20.85546875" bestFit="1" customWidth="1"/>
    <col min="7" max="7" width="19.7109375" bestFit="1" customWidth="1"/>
    <col min="8" max="8" width="21" style="8" bestFit="1" customWidth="1"/>
    <col min="9" max="9" width="14.5703125" bestFit="1" customWidth="1"/>
    <col min="10" max="10" width="17.85546875" bestFit="1" customWidth="1"/>
    <col min="11" max="11" width="21.85546875" bestFit="1" customWidth="1"/>
    <col min="12" max="12" width="19.42578125" bestFit="1" customWidth="1"/>
    <col min="13" max="13" width="6.5703125" style="8" customWidth="1"/>
    <col min="14" max="14" width="14.28515625" style="8" bestFit="1" customWidth="1"/>
    <col min="15" max="15" width="11.42578125" style="8" bestFit="1" customWidth="1"/>
    <col min="16" max="16" width="14" style="8" bestFit="1" customWidth="1"/>
    <col min="17" max="17" width="28.42578125" style="8" customWidth="1"/>
    <col min="18" max="18" width="9.85546875" style="8" bestFit="1" customWidth="1"/>
    <col min="19" max="19" width="9.85546875" style="8" customWidth="1"/>
    <col min="20" max="20" width="28.42578125" style="8" customWidth="1"/>
    <col min="22" max="22" width="10.28515625" bestFit="1" customWidth="1"/>
  </cols>
  <sheetData>
    <row r="1" spans="1:24">
      <c r="A1" s="6" t="s">
        <v>1</v>
      </c>
      <c r="B1" s="2" t="s">
        <v>704</v>
      </c>
      <c r="C1" s="2" t="s">
        <v>712</v>
      </c>
      <c r="D1" s="2" t="s">
        <v>745</v>
      </c>
      <c r="E1" s="2" t="s">
        <v>747</v>
      </c>
      <c r="F1" s="2" t="s">
        <v>699</v>
      </c>
      <c r="G1" s="2" t="s">
        <v>805</v>
      </c>
      <c r="H1" s="2" t="s">
        <v>867</v>
      </c>
      <c r="I1" t="s">
        <v>966</v>
      </c>
      <c r="J1" t="s">
        <v>990</v>
      </c>
      <c r="K1" s="2" t="s">
        <v>701</v>
      </c>
      <c r="L1" s="2" t="s">
        <v>1097</v>
      </c>
      <c r="M1" s="2" t="s">
        <v>0</v>
      </c>
      <c r="N1" s="44" t="s">
        <v>1225</v>
      </c>
      <c r="O1" s="44" t="s">
        <v>1226</v>
      </c>
      <c r="P1" t="s">
        <v>1142</v>
      </c>
      <c r="Q1" t="s">
        <v>1309</v>
      </c>
      <c r="R1" s="44" t="s">
        <v>1319</v>
      </c>
      <c r="S1" s="44" t="s">
        <v>1320</v>
      </c>
      <c r="T1" s="44"/>
      <c r="X1" s="8" t="s">
        <v>938</v>
      </c>
    </row>
    <row r="2" spans="1:24">
      <c r="A2" s="5" t="s">
        <v>2</v>
      </c>
      <c r="B2" s="7" t="s">
        <v>88</v>
      </c>
      <c r="C2" t="s">
        <v>88</v>
      </c>
      <c r="D2" t="s">
        <v>88</v>
      </c>
      <c r="E2" t="s">
        <v>88</v>
      </c>
      <c r="F2" t="s">
        <v>806</v>
      </c>
      <c r="G2" t="s">
        <v>808</v>
      </c>
      <c r="H2" s="7" t="s">
        <v>868</v>
      </c>
      <c r="I2" t="s">
        <v>922</v>
      </c>
      <c r="J2" t="s">
        <v>1038</v>
      </c>
      <c r="K2" t="s">
        <v>1049</v>
      </c>
      <c r="L2" t="s">
        <v>1049</v>
      </c>
      <c r="M2" s="7" t="s">
        <v>88</v>
      </c>
      <c r="N2" s="45" t="s">
        <v>1201</v>
      </c>
      <c r="O2" s="45" t="s">
        <v>1227</v>
      </c>
      <c r="P2" s="45" t="s">
        <v>1262</v>
      </c>
      <c r="Q2" s="45" t="s">
        <v>1256</v>
      </c>
      <c r="R2" s="45" t="s">
        <v>806</v>
      </c>
      <c r="S2" s="45" t="s">
        <v>1321</v>
      </c>
      <c r="T2" s="45"/>
      <c r="V2" t="s">
        <v>935</v>
      </c>
      <c r="W2">
        <v>101</v>
      </c>
    </row>
    <row r="3" spans="1:24">
      <c r="A3" s="4" t="s">
        <v>3</v>
      </c>
      <c r="B3" s="3" t="s">
        <v>88</v>
      </c>
      <c r="C3" t="s">
        <v>88</v>
      </c>
      <c r="D3" t="s">
        <v>88</v>
      </c>
      <c r="E3" t="s">
        <v>88</v>
      </c>
      <c r="F3" t="s">
        <v>806</v>
      </c>
      <c r="G3" t="s">
        <v>809</v>
      </c>
      <c r="H3" s="3" t="s">
        <v>839</v>
      </c>
      <c r="I3" t="s">
        <v>886</v>
      </c>
      <c r="J3" t="s">
        <v>1039</v>
      </c>
      <c r="K3" t="s">
        <v>1081</v>
      </c>
      <c r="L3" t="s">
        <v>1049</v>
      </c>
      <c r="M3" s="3" t="s">
        <v>88</v>
      </c>
      <c r="N3" s="45" t="s">
        <v>1202</v>
      </c>
      <c r="O3" s="45" t="s">
        <v>1227</v>
      </c>
      <c r="P3" s="45" t="s">
        <v>1275</v>
      </c>
      <c r="Q3" s="45" t="s">
        <v>1310</v>
      </c>
      <c r="R3" s="45" t="s">
        <v>1321</v>
      </c>
      <c r="S3" s="45" t="s">
        <v>1321</v>
      </c>
      <c r="T3" s="45"/>
      <c r="V3" t="s">
        <v>936</v>
      </c>
      <c r="W3">
        <v>45</v>
      </c>
      <c r="X3">
        <f>W3/W2*100</f>
        <v>44.554455445544555</v>
      </c>
    </row>
    <row r="4" spans="1:24">
      <c r="A4" s="4" t="s">
        <v>4</v>
      </c>
      <c r="B4" s="3" t="s">
        <v>88</v>
      </c>
      <c r="C4" t="s">
        <v>88</v>
      </c>
      <c r="D4" t="s">
        <v>88</v>
      </c>
      <c r="E4" t="s">
        <v>88</v>
      </c>
      <c r="F4" t="s">
        <v>806</v>
      </c>
      <c r="G4" t="s">
        <v>810</v>
      </c>
      <c r="H4" s="3" t="s">
        <v>839</v>
      </c>
      <c r="I4" t="s">
        <v>887</v>
      </c>
      <c r="J4" t="s">
        <v>1040</v>
      </c>
      <c r="K4" t="s">
        <v>1049</v>
      </c>
      <c r="L4" t="s">
        <v>1050</v>
      </c>
      <c r="M4" s="3" t="s">
        <v>88</v>
      </c>
      <c r="N4" s="45" t="s">
        <v>1201</v>
      </c>
      <c r="O4" s="45" t="s">
        <v>1227</v>
      </c>
      <c r="P4" s="45" t="s">
        <v>1275</v>
      </c>
      <c r="Q4" s="45" t="s">
        <v>1256</v>
      </c>
      <c r="R4" s="45" t="s">
        <v>1321</v>
      </c>
      <c r="S4" s="45" t="s">
        <v>1322</v>
      </c>
      <c r="T4" s="45"/>
      <c r="V4" t="s">
        <v>937</v>
      </c>
      <c r="W4">
        <f>W2-W3</f>
        <v>56</v>
      </c>
      <c r="X4">
        <f>100-X3</f>
        <v>55.445544554455445</v>
      </c>
    </row>
    <row r="5" spans="1:24">
      <c r="A5" s="4" t="s">
        <v>5</v>
      </c>
      <c r="B5" s="3" t="s">
        <v>88</v>
      </c>
      <c r="C5" t="s">
        <v>88</v>
      </c>
      <c r="D5" t="s">
        <v>88</v>
      </c>
      <c r="E5" t="s">
        <v>88</v>
      </c>
      <c r="F5" t="s">
        <v>811</v>
      </c>
      <c r="G5" t="s">
        <v>807</v>
      </c>
      <c r="H5" s="3" t="s">
        <v>833</v>
      </c>
      <c r="I5" t="s">
        <v>886</v>
      </c>
      <c r="J5" t="s">
        <v>1041</v>
      </c>
      <c r="K5" t="s">
        <v>1050</v>
      </c>
      <c r="L5" t="s">
        <v>1052</v>
      </c>
      <c r="M5" s="3" t="s">
        <v>88</v>
      </c>
      <c r="N5" s="45" t="s">
        <v>1203</v>
      </c>
      <c r="O5" s="45" t="s">
        <v>1227</v>
      </c>
      <c r="P5" s="45" t="s">
        <v>1256</v>
      </c>
      <c r="Q5" s="45" t="s">
        <v>1259</v>
      </c>
      <c r="R5" s="45" t="s">
        <v>1322</v>
      </c>
      <c r="S5" s="45" t="s">
        <v>1321</v>
      </c>
      <c r="T5" s="45"/>
    </row>
    <row r="6" spans="1:24">
      <c r="A6" s="4" t="s">
        <v>6</v>
      </c>
      <c r="B6" s="3" t="s">
        <v>88</v>
      </c>
      <c r="C6" t="s">
        <v>88</v>
      </c>
      <c r="D6" t="s">
        <v>88</v>
      </c>
      <c r="E6" t="s">
        <v>88</v>
      </c>
      <c r="F6" t="s">
        <v>806</v>
      </c>
      <c r="G6" t="s">
        <v>810</v>
      </c>
      <c r="H6" s="3" t="s">
        <v>869</v>
      </c>
      <c r="I6" t="s">
        <v>922</v>
      </c>
      <c r="J6" t="s">
        <v>1042</v>
      </c>
      <c r="K6" t="s">
        <v>1049</v>
      </c>
      <c r="L6" t="s">
        <v>1049</v>
      </c>
      <c r="M6" s="3" t="s">
        <v>88</v>
      </c>
      <c r="N6" s="45" t="s">
        <v>1201</v>
      </c>
      <c r="O6" s="45" t="s">
        <v>1227</v>
      </c>
      <c r="P6" s="45" t="s">
        <v>1292</v>
      </c>
      <c r="Q6" s="45" t="s">
        <v>1301</v>
      </c>
      <c r="R6" s="45" t="s">
        <v>1321</v>
      </c>
      <c r="S6" s="45" t="s">
        <v>1322</v>
      </c>
      <c r="T6" s="45"/>
    </row>
    <row r="7" spans="1:24">
      <c r="A7" s="4" t="s">
        <v>7</v>
      </c>
      <c r="B7" s="3" t="s">
        <v>88</v>
      </c>
      <c r="C7" t="s">
        <v>88</v>
      </c>
      <c r="D7" t="s">
        <v>88</v>
      </c>
      <c r="E7" t="s">
        <v>88</v>
      </c>
      <c r="F7" t="s">
        <v>811</v>
      </c>
      <c r="G7" t="s">
        <v>809</v>
      </c>
      <c r="H7" s="3" t="s">
        <v>833</v>
      </c>
      <c r="I7" t="s">
        <v>922</v>
      </c>
      <c r="J7" t="s">
        <v>1040</v>
      </c>
      <c r="K7" t="s">
        <v>1052</v>
      </c>
      <c r="L7" t="s">
        <v>1052</v>
      </c>
      <c r="M7" s="3" t="s">
        <v>88</v>
      </c>
      <c r="N7" s="45" t="s">
        <v>1203</v>
      </c>
      <c r="O7" s="45" t="s">
        <v>1227</v>
      </c>
      <c r="P7" s="45" t="s">
        <v>1256</v>
      </c>
      <c r="Q7" s="45" t="s">
        <v>1256</v>
      </c>
      <c r="R7" s="45" t="s">
        <v>1322</v>
      </c>
      <c r="S7" s="45" t="s">
        <v>1321</v>
      </c>
      <c r="T7" s="45"/>
    </row>
    <row r="8" spans="1:24">
      <c r="A8" s="4" t="s">
        <v>8</v>
      </c>
      <c r="B8" s="3" t="s">
        <v>88</v>
      </c>
      <c r="C8" t="s">
        <v>88</v>
      </c>
      <c r="D8" t="s">
        <v>88</v>
      </c>
      <c r="E8" t="s">
        <v>88</v>
      </c>
      <c r="F8" t="s">
        <v>812</v>
      </c>
      <c r="G8" t="s">
        <v>810</v>
      </c>
      <c r="H8" s="3" t="s">
        <v>839</v>
      </c>
      <c r="I8" t="s">
        <v>886</v>
      </c>
      <c r="J8" t="s">
        <v>1040</v>
      </c>
      <c r="K8" t="s">
        <v>1052</v>
      </c>
      <c r="L8" t="s">
        <v>1049</v>
      </c>
      <c r="M8" s="3" t="s">
        <v>88</v>
      </c>
      <c r="N8" s="45" t="s">
        <v>1204</v>
      </c>
      <c r="O8" s="45" t="s">
        <v>1228</v>
      </c>
      <c r="P8" s="45" t="s">
        <v>1256</v>
      </c>
      <c r="Q8" s="45" t="s">
        <v>1260</v>
      </c>
      <c r="R8" s="45" t="s">
        <v>1322</v>
      </c>
      <c r="S8" s="45" t="s">
        <v>1322</v>
      </c>
      <c r="T8" s="45"/>
    </row>
    <row r="9" spans="1:24">
      <c r="A9" s="4" t="s">
        <v>9</v>
      </c>
      <c r="B9" s="3" t="s">
        <v>88</v>
      </c>
      <c r="C9" t="s">
        <v>88</v>
      </c>
      <c r="D9" t="s">
        <v>88</v>
      </c>
      <c r="E9" t="s">
        <v>88</v>
      </c>
      <c r="F9" t="s">
        <v>811</v>
      </c>
      <c r="G9" t="s">
        <v>809</v>
      </c>
      <c r="H9" s="3" t="s">
        <v>869</v>
      </c>
      <c r="I9" t="s">
        <v>923</v>
      </c>
      <c r="J9" t="s">
        <v>1043</v>
      </c>
      <c r="K9" t="s">
        <v>1083</v>
      </c>
      <c r="L9" t="s">
        <v>1080</v>
      </c>
      <c r="M9" s="3" t="s">
        <v>88</v>
      </c>
      <c r="N9" s="45" t="s">
        <v>1205</v>
      </c>
      <c r="O9" s="45" t="s">
        <v>1227</v>
      </c>
      <c r="P9" s="45" t="s">
        <v>1256</v>
      </c>
      <c r="Q9" s="45" t="s">
        <v>1256</v>
      </c>
      <c r="R9" s="8" t="s">
        <v>1322</v>
      </c>
      <c r="S9" s="45" t="s">
        <v>1322</v>
      </c>
      <c r="T9" s="45"/>
    </row>
    <row r="10" spans="1:24">
      <c r="A10" s="4" t="s">
        <v>10</v>
      </c>
      <c r="B10" s="3" t="s">
        <v>88</v>
      </c>
      <c r="C10" t="s">
        <v>88</v>
      </c>
      <c r="D10" t="s">
        <v>88</v>
      </c>
      <c r="E10" t="s">
        <v>88</v>
      </c>
      <c r="F10" t="s">
        <v>806</v>
      </c>
      <c r="G10" t="s">
        <v>807</v>
      </c>
      <c r="H10" s="3" t="s">
        <v>833</v>
      </c>
      <c r="I10" t="s">
        <v>886</v>
      </c>
      <c r="J10" t="s">
        <v>1044</v>
      </c>
      <c r="K10" t="s">
        <v>1049</v>
      </c>
      <c r="L10" t="s">
        <v>1049</v>
      </c>
      <c r="M10" s="3" t="s">
        <v>88</v>
      </c>
      <c r="N10" s="45" t="s">
        <v>1201</v>
      </c>
      <c r="O10" s="45" t="s">
        <v>1229</v>
      </c>
      <c r="P10" s="45" t="s">
        <v>1259</v>
      </c>
      <c r="Q10" s="45" t="s">
        <v>1256</v>
      </c>
      <c r="R10" s="8" t="s">
        <v>1322</v>
      </c>
      <c r="S10" s="45" t="s">
        <v>1322</v>
      </c>
      <c r="T10" s="45"/>
    </row>
    <row r="11" spans="1:24">
      <c r="A11" s="4" t="s">
        <v>11</v>
      </c>
      <c r="B11" s="3" t="s">
        <v>88</v>
      </c>
      <c r="C11" t="s">
        <v>88</v>
      </c>
      <c r="D11" t="s">
        <v>88</v>
      </c>
      <c r="E11" t="s">
        <v>88</v>
      </c>
      <c r="F11" t="s">
        <v>813</v>
      </c>
      <c r="G11" t="s">
        <v>810</v>
      </c>
      <c r="H11" s="3" t="s">
        <v>839</v>
      </c>
      <c r="I11" t="s">
        <v>886</v>
      </c>
      <c r="J11" t="s">
        <v>1043</v>
      </c>
      <c r="K11" t="s">
        <v>1050</v>
      </c>
      <c r="L11" t="s">
        <v>1049</v>
      </c>
      <c r="M11" s="3" t="s">
        <v>88</v>
      </c>
      <c r="N11" s="45" t="s">
        <v>1203</v>
      </c>
      <c r="O11" s="45" t="s">
        <v>1227</v>
      </c>
      <c r="P11" s="45" t="s">
        <v>1257</v>
      </c>
      <c r="Q11" s="45" t="s">
        <v>1256</v>
      </c>
      <c r="R11" s="8" t="s">
        <v>1322</v>
      </c>
      <c r="S11" s="45" t="s">
        <v>1322</v>
      </c>
      <c r="T11" s="45"/>
    </row>
    <row r="12" spans="1:24">
      <c r="A12" s="4" t="s">
        <v>12</v>
      </c>
      <c r="B12" s="3" t="s">
        <v>88</v>
      </c>
      <c r="C12" t="s">
        <v>88</v>
      </c>
      <c r="D12" t="s">
        <v>88</v>
      </c>
      <c r="E12" t="s">
        <v>88</v>
      </c>
      <c r="F12" t="s">
        <v>811</v>
      </c>
      <c r="G12" t="s">
        <v>810</v>
      </c>
      <c r="H12" s="3" t="s">
        <v>839</v>
      </c>
      <c r="I12" t="s">
        <v>886</v>
      </c>
      <c r="J12" t="s">
        <v>1038</v>
      </c>
      <c r="K12" t="s">
        <v>1049</v>
      </c>
      <c r="L12" t="s">
        <v>1087</v>
      </c>
      <c r="M12" s="3" t="s">
        <v>88</v>
      </c>
      <c r="N12" s="45" t="s">
        <v>1203</v>
      </c>
      <c r="O12" s="45" t="s">
        <v>1227</v>
      </c>
      <c r="P12" s="45" t="s">
        <v>1263</v>
      </c>
      <c r="Q12" s="45" t="s">
        <v>1261</v>
      </c>
      <c r="R12" s="8" t="s">
        <v>1322</v>
      </c>
      <c r="S12" s="45" t="s">
        <v>1322</v>
      </c>
      <c r="T12" s="45"/>
    </row>
    <row r="13" spans="1:24">
      <c r="A13" s="4" t="s">
        <v>13</v>
      </c>
      <c r="B13" s="3" t="s">
        <v>88</v>
      </c>
      <c r="C13" t="s">
        <v>88</v>
      </c>
      <c r="D13" t="s">
        <v>88</v>
      </c>
      <c r="E13" t="s">
        <v>88</v>
      </c>
      <c r="F13" t="s">
        <v>811</v>
      </c>
      <c r="G13" t="s">
        <v>810</v>
      </c>
      <c r="H13" s="3" t="s">
        <v>806</v>
      </c>
      <c r="I13" t="s">
        <v>886</v>
      </c>
      <c r="J13" t="s">
        <v>1040</v>
      </c>
      <c r="K13" t="s">
        <v>1049</v>
      </c>
      <c r="L13" t="s">
        <v>1120</v>
      </c>
      <c r="M13" s="3" t="s">
        <v>88</v>
      </c>
      <c r="N13" s="45" t="s">
        <v>1203</v>
      </c>
      <c r="O13" s="45" t="s">
        <v>1230</v>
      </c>
      <c r="P13" s="45" t="s">
        <v>1256</v>
      </c>
      <c r="Q13" s="45" t="s">
        <v>1256</v>
      </c>
      <c r="R13" s="8" t="s">
        <v>1322</v>
      </c>
      <c r="S13" s="45" t="s">
        <v>1322</v>
      </c>
      <c r="T13" s="45"/>
    </row>
    <row r="14" spans="1:24">
      <c r="A14" s="4" t="s">
        <v>14</v>
      </c>
      <c r="B14" s="3" t="s">
        <v>88</v>
      </c>
      <c r="C14" t="s">
        <v>88</v>
      </c>
      <c r="D14" t="s">
        <v>88</v>
      </c>
      <c r="E14" t="s">
        <v>88</v>
      </c>
      <c r="F14" t="s">
        <v>811</v>
      </c>
      <c r="G14" t="s">
        <v>810</v>
      </c>
      <c r="H14" s="3" t="s">
        <v>833</v>
      </c>
      <c r="I14" t="s">
        <v>886</v>
      </c>
      <c r="J14" t="s">
        <v>1040</v>
      </c>
      <c r="K14" t="s">
        <v>1049</v>
      </c>
      <c r="L14" t="s">
        <v>1049</v>
      </c>
      <c r="M14" s="3" t="s">
        <v>88</v>
      </c>
      <c r="N14" s="45" t="s">
        <v>1201</v>
      </c>
      <c r="O14" s="45" t="s">
        <v>1227</v>
      </c>
      <c r="P14" s="45" t="s">
        <v>1256</v>
      </c>
      <c r="Q14" s="45" t="s">
        <v>1256</v>
      </c>
      <c r="R14" s="8" t="s">
        <v>1322</v>
      </c>
      <c r="S14" s="45" t="s">
        <v>1322</v>
      </c>
      <c r="T14" s="45"/>
    </row>
    <row r="15" spans="1:24">
      <c r="A15" s="4" t="s">
        <v>15</v>
      </c>
      <c r="B15" s="3" t="s">
        <v>88</v>
      </c>
      <c r="C15" t="s">
        <v>88</v>
      </c>
      <c r="D15" t="s">
        <v>88</v>
      </c>
      <c r="E15" t="s">
        <v>88</v>
      </c>
      <c r="F15" t="s">
        <v>811</v>
      </c>
      <c r="G15" t="s">
        <v>810</v>
      </c>
      <c r="H15" s="3" t="s">
        <v>806</v>
      </c>
      <c r="I15" t="s">
        <v>886</v>
      </c>
      <c r="J15" t="s">
        <v>1040</v>
      </c>
      <c r="K15" t="s">
        <v>1049</v>
      </c>
      <c r="L15" t="s">
        <v>1049</v>
      </c>
      <c r="M15" s="3" t="s">
        <v>88</v>
      </c>
      <c r="N15" s="45" t="s">
        <v>1203</v>
      </c>
      <c r="O15" s="45" t="s">
        <v>1227</v>
      </c>
      <c r="P15" s="45" t="s">
        <v>1256</v>
      </c>
      <c r="Q15" s="45" t="s">
        <v>1260</v>
      </c>
      <c r="R15" s="8" t="s">
        <v>1322</v>
      </c>
      <c r="S15" s="45" t="s">
        <v>1322</v>
      </c>
      <c r="T15" s="45"/>
    </row>
    <row r="16" spans="1:24">
      <c r="A16" s="4" t="s">
        <v>16</v>
      </c>
      <c r="B16" s="3" t="s">
        <v>88</v>
      </c>
      <c r="C16" t="s">
        <v>88</v>
      </c>
      <c r="D16" t="s">
        <v>88</v>
      </c>
      <c r="E16" t="s">
        <v>88</v>
      </c>
      <c r="F16" t="s">
        <v>811</v>
      </c>
      <c r="G16" t="s">
        <v>810</v>
      </c>
      <c r="H16" s="3" t="s">
        <v>870</v>
      </c>
      <c r="I16" t="s">
        <v>886</v>
      </c>
      <c r="J16" t="s">
        <v>1040</v>
      </c>
      <c r="K16" t="s">
        <v>1050</v>
      </c>
      <c r="L16" t="s">
        <v>1117</v>
      </c>
      <c r="M16" s="3" t="s">
        <v>88</v>
      </c>
      <c r="N16" s="45" t="s">
        <v>1203</v>
      </c>
      <c r="O16" s="45" t="s">
        <v>1231</v>
      </c>
      <c r="P16" s="45" t="s">
        <v>1263</v>
      </c>
      <c r="Q16" s="45" t="s">
        <v>1259</v>
      </c>
      <c r="R16" s="8" t="s">
        <v>1322</v>
      </c>
      <c r="S16" s="45" t="s">
        <v>1321</v>
      </c>
      <c r="T16" s="45"/>
    </row>
    <row r="17" spans="1:20">
      <c r="A17" s="4" t="s">
        <v>17</v>
      </c>
      <c r="B17" s="3" t="s">
        <v>88</v>
      </c>
      <c r="C17" t="s">
        <v>88</v>
      </c>
      <c r="D17" t="s">
        <v>88</v>
      </c>
      <c r="E17" t="s">
        <v>88</v>
      </c>
      <c r="F17" t="s">
        <v>811</v>
      </c>
      <c r="G17" t="s">
        <v>810</v>
      </c>
      <c r="H17" s="3" t="s">
        <v>833</v>
      </c>
      <c r="I17" t="s">
        <v>886</v>
      </c>
      <c r="J17" t="s">
        <v>1040</v>
      </c>
      <c r="K17" t="s">
        <v>1050</v>
      </c>
      <c r="L17" t="s">
        <v>1090</v>
      </c>
      <c r="M17" s="3" t="s">
        <v>88</v>
      </c>
      <c r="N17" s="45" t="s">
        <v>1204</v>
      </c>
      <c r="O17" s="45" t="s">
        <v>1227</v>
      </c>
      <c r="P17" s="45" t="s">
        <v>1276</v>
      </c>
      <c r="Q17" s="45" t="s">
        <v>1280</v>
      </c>
      <c r="R17" s="8" t="s">
        <v>1322</v>
      </c>
      <c r="S17" s="45" t="s">
        <v>1322</v>
      </c>
      <c r="T17" s="45"/>
    </row>
    <row r="18" spans="1:20">
      <c r="A18" s="16" t="s">
        <v>18</v>
      </c>
      <c r="B18" s="3" t="s">
        <v>696</v>
      </c>
      <c r="C18" t="s">
        <v>88</v>
      </c>
      <c r="D18" t="s">
        <v>748</v>
      </c>
      <c r="E18" t="s">
        <v>749</v>
      </c>
      <c r="F18" t="s">
        <v>814</v>
      </c>
      <c r="G18" t="s">
        <v>815</v>
      </c>
      <c r="H18" s="3" t="s">
        <v>871</v>
      </c>
      <c r="M18" s="3" t="s">
        <v>89</v>
      </c>
      <c r="N18" s="45"/>
      <c r="O18" s="45"/>
      <c r="P18" s="45"/>
      <c r="Q18" s="45"/>
      <c r="R18" s="45"/>
      <c r="S18" s="45"/>
      <c r="T18" s="45"/>
    </row>
    <row r="19" spans="1:20">
      <c r="A19" s="4" t="s">
        <v>19</v>
      </c>
      <c r="B19" s="3" t="s">
        <v>88</v>
      </c>
      <c r="C19" t="s">
        <v>88</v>
      </c>
      <c r="D19" t="s">
        <v>748</v>
      </c>
      <c r="E19" t="s">
        <v>88</v>
      </c>
      <c r="F19" t="s">
        <v>811</v>
      </c>
      <c r="G19" t="s">
        <v>810</v>
      </c>
      <c r="H19" s="3" t="s">
        <v>872</v>
      </c>
      <c r="I19" t="s">
        <v>924</v>
      </c>
      <c r="J19" t="s">
        <v>1045</v>
      </c>
      <c r="K19" t="s">
        <v>1056</v>
      </c>
      <c r="L19" t="s">
        <v>1050</v>
      </c>
      <c r="M19" s="3" t="s">
        <v>88</v>
      </c>
      <c r="N19" s="45" t="s">
        <v>1204</v>
      </c>
      <c r="O19" s="45" t="s">
        <v>1232</v>
      </c>
      <c r="P19" s="45" t="s">
        <v>1277</v>
      </c>
      <c r="Q19" s="45" t="s">
        <v>1256</v>
      </c>
      <c r="R19" s="8" t="s">
        <v>1322</v>
      </c>
      <c r="S19" s="8" t="s">
        <v>1322</v>
      </c>
      <c r="T19" s="45"/>
    </row>
    <row r="20" spans="1:20">
      <c r="A20" s="16" t="s">
        <v>774</v>
      </c>
      <c r="B20" s="3" t="s">
        <v>88</v>
      </c>
      <c r="C20" t="s">
        <v>88</v>
      </c>
      <c r="D20" t="s">
        <v>772</v>
      </c>
      <c r="E20" t="s">
        <v>88</v>
      </c>
      <c r="F20" t="s">
        <v>811</v>
      </c>
      <c r="G20" t="s">
        <v>810</v>
      </c>
      <c r="H20" s="3" t="s">
        <v>870</v>
      </c>
      <c r="M20" s="3" t="s">
        <v>88</v>
      </c>
      <c r="N20" s="45"/>
      <c r="O20" s="45"/>
      <c r="P20" s="45"/>
      <c r="Q20" s="45"/>
      <c r="R20" s="45"/>
      <c r="S20" s="45"/>
      <c r="T20" s="45"/>
    </row>
    <row r="21" spans="1:20">
      <c r="A21" s="4" t="s">
        <v>775</v>
      </c>
      <c r="B21" s="3" t="s">
        <v>88</v>
      </c>
      <c r="C21" t="s">
        <v>88</v>
      </c>
      <c r="D21" t="s">
        <v>88</v>
      </c>
      <c r="E21" t="s">
        <v>88</v>
      </c>
      <c r="F21" t="s">
        <v>811</v>
      </c>
      <c r="G21" t="s">
        <v>810</v>
      </c>
      <c r="H21" s="3" t="s">
        <v>833</v>
      </c>
      <c r="I21" t="s">
        <v>886</v>
      </c>
      <c r="J21" t="s">
        <v>1040</v>
      </c>
      <c r="K21" t="s">
        <v>1083</v>
      </c>
      <c r="L21" t="s">
        <v>1053</v>
      </c>
      <c r="M21" s="3" t="s">
        <v>88</v>
      </c>
      <c r="N21" s="45" t="s">
        <v>1201</v>
      </c>
      <c r="O21" s="45" t="s">
        <v>1227</v>
      </c>
      <c r="P21" s="45" t="s">
        <v>1256</v>
      </c>
      <c r="Q21" s="45" t="s">
        <v>1256</v>
      </c>
      <c r="R21" s="8" t="s">
        <v>1322</v>
      </c>
      <c r="S21" s="8" t="s">
        <v>1322</v>
      </c>
      <c r="T21" s="45"/>
    </row>
    <row r="22" spans="1:20">
      <c r="A22" s="16" t="s">
        <v>20</v>
      </c>
      <c r="B22" s="3" t="s">
        <v>713</v>
      </c>
      <c r="C22" t="s">
        <v>715</v>
      </c>
      <c r="D22" t="s">
        <v>748</v>
      </c>
      <c r="E22" t="s">
        <v>749</v>
      </c>
      <c r="F22" t="s">
        <v>814</v>
      </c>
      <c r="G22" t="s">
        <v>815</v>
      </c>
      <c r="H22" s="3" t="s">
        <v>837</v>
      </c>
      <c r="M22" s="3" t="s">
        <v>89</v>
      </c>
      <c r="N22" s="45"/>
      <c r="O22" s="45"/>
      <c r="P22" s="45"/>
      <c r="Q22" s="45"/>
      <c r="R22" s="45"/>
      <c r="S22" s="45"/>
      <c r="T22" s="45"/>
    </row>
    <row r="23" spans="1:20">
      <c r="A23" s="4" t="s">
        <v>21</v>
      </c>
      <c r="B23" s="3" t="s">
        <v>88</v>
      </c>
      <c r="C23" t="s">
        <v>88</v>
      </c>
      <c r="D23" t="s">
        <v>88</v>
      </c>
      <c r="E23" t="s">
        <v>88</v>
      </c>
      <c r="F23" t="s">
        <v>811</v>
      </c>
      <c r="G23" t="s">
        <v>810</v>
      </c>
      <c r="H23" s="3" t="s">
        <v>833</v>
      </c>
      <c r="I23" t="s">
        <v>886</v>
      </c>
      <c r="J23" t="s">
        <v>1046</v>
      </c>
      <c r="K23" t="s">
        <v>1049</v>
      </c>
      <c r="L23" t="s">
        <v>1049</v>
      </c>
      <c r="M23" s="3" t="s">
        <v>88</v>
      </c>
      <c r="N23" s="45" t="s">
        <v>1203</v>
      </c>
      <c r="O23" s="45" t="s">
        <v>1227</v>
      </c>
      <c r="P23" s="45" t="s">
        <v>1259</v>
      </c>
      <c r="Q23" s="45" t="s">
        <v>1260</v>
      </c>
      <c r="R23" s="8" t="s">
        <v>1322</v>
      </c>
      <c r="S23" s="8" t="s">
        <v>1322</v>
      </c>
      <c r="T23" s="45"/>
    </row>
    <row r="24" spans="1:20">
      <c r="A24" s="16" t="s">
        <v>776</v>
      </c>
      <c r="B24" s="3" t="s">
        <v>713</v>
      </c>
      <c r="C24" t="s">
        <v>715</v>
      </c>
      <c r="D24" t="s">
        <v>88</v>
      </c>
      <c r="E24" t="s">
        <v>88</v>
      </c>
      <c r="F24" t="s">
        <v>814</v>
      </c>
      <c r="G24" t="s">
        <v>810</v>
      </c>
      <c r="H24" s="3" t="s">
        <v>837</v>
      </c>
      <c r="M24" s="3" t="s">
        <v>89</v>
      </c>
      <c r="N24" s="45"/>
      <c r="O24" s="45"/>
      <c r="P24" s="45"/>
      <c r="Q24" s="45"/>
      <c r="R24" s="45"/>
      <c r="S24" s="45"/>
      <c r="T24" s="45"/>
    </row>
    <row r="25" spans="1:20">
      <c r="A25" s="16" t="s">
        <v>777</v>
      </c>
      <c r="B25" s="3" t="s">
        <v>713</v>
      </c>
      <c r="C25" t="s">
        <v>714</v>
      </c>
      <c r="D25" t="s">
        <v>88</v>
      </c>
      <c r="E25" t="s">
        <v>88</v>
      </c>
      <c r="F25" t="s">
        <v>811</v>
      </c>
      <c r="G25" t="s">
        <v>810</v>
      </c>
      <c r="H25" s="3" t="s">
        <v>833</v>
      </c>
      <c r="M25" s="3" t="s">
        <v>88</v>
      </c>
      <c r="N25" s="45"/>
      <c r="O25" s="45"/>
      <c r="P25" s="45"/>
      <c r="Q25" s="45"/>
      <c r="R25" s="45"/>
      <c r="S25" s="45"/>
      <c r="T25" s="45"/>
    </row>
    <row r="26" spans="1:20">
      <c r="A26" s="16" t="s">
        <v>22</v>
      </c>
      <c r="B26" s="3" t="s">
        <v>713</v>
      </c>
      <c r="C26" t="s">
        <v>88</v>
      </c>
      <c r="D26" t="s">
        <v>88</v>
      </c>
      <c r="E26" t="s">
        <v>88</v>
      </c>
      <c r="F26" t="s">
        <v>814</v>
      </c>
      <c r="G26" t="s">
        <v>815</v>
      </c>
      <c r="H26" s="3" t="s">
        <v>873</v>
      </c>
      <c r="M26" s="3" t="s">
        <v>89</v>
      </c>
      <c r="N26" s="45"/>
      <c r="O26" s="45"/>
      <c r="P26" s="45"/>
      <c r="Q26" s="45"/>
      <c r="R26" s="45"/>
      <c r="S26" s="45"/>
      <c r="T26" s="45"/>
    </row>
    <row r="27" spans="1:20">
      <c r="A27" s="16" t="s">
        <v>23</v>
      </c>
      <c r="B27" s="3" t="s">
        <v>713</v>
      </c>
      <c r="C27" t="s">
        <v>715</v>
      </c>
      <c r="D27" t="s">
        <v>748</v>
      </c>
      <c r="E27" t="s">
        <v>749</v>
      </c>
      <c r="F27" t="s">
        <v>814</v>
      </c>
      <c r="G27" t="s">
        <v>815</v>
      </c>
      <c r="H27" s="3" t="s">
        <v>837</v>
      </c>
      <c r="M27" s="3" t="s">
        <v>89</v>
      </c>
      <c r="N27" s="45"/>
      <c r="O27" s="45"/>
      <c r="P27" s="45"/>
      <c r="Q27" s="45"/>
      <c r="R27" s="45"/>
      <c r="S27" s="45"/>
      <c r="T27" s="45"/>
    </row>
    <row r="28" spans="1:20">
      <c r="A28" s="16" t="s">
        <v>24</v>
      </c>
      <c r="B28" s="3" t="s">
        <v>713</v>
      </c>
      <c r="C28" t="s">
        <v>88</v>
      </c>
      <c r="D28" t="s">
        <v>748</v>
      </c>
      <c r="E28" t="s">
        <v>88</v>
      </c>
      <c r="F28" t="s">
        <v>811</v>
      </c>
      <c r="G28" t="s">
        <v>810</v>
      </c>
      <c r="H28" s="3" t="s">
        <v>833</v>
      </c>
      <c r="M28" s="3" t="s">
        <v>88</v>
      </c>
      <c r="N28" s="45"/>
      <c r="O28" s="45"/>
      <c r="P28" s="45"/>
      <c r="Q28" s="45"/>
      <c r="R28" s="45"/>
      <c r="S28" s="45"/>
      <c r="T28" s="45"/>
    </row>
    <row r="29" spans="1:20">
      <c r="A29" s="16" t="s">
        <v>778</v>
      </c>
      <c r="B29" s="3" t="s">
        <v>88</v>
      </c>
      <c r="C29" t="s">
        <v>88</v>
      </c>
      <c r="D29" t="s">
        <v>748</v>
      </c>
      <c r="E29" t="s">
        <v>749</v>
      </c>
      <c r="F29" t="s">
        <v>811</v>
      </c>
      <c r="G29" t="s">
        <v>810</v>
      </c>
      <c r="H29" s="3" t="s">
        <v>839</v>
      </c>
      <c r="M29" s="3" t="s">
        <v>88</v>
      </c>
      <c r="N29" s="45"/>
      <c r="O29" s="45"/>
      <c r="P29" s="45"/>
      <c r="Q29" s="45"/>
      <c r="R29" s="45"/>
      <c r="S29" s="45"/>
      <c r="T29" s="45"/>
    </row>
    <row r="30" spans="1:20">
      <c r="A30" s="16" t="s">
        <v>25</v>
      </c>
      <c r="B30" s="3" t="s">
        <v>717</v>
      </c>
      <c r="C30" t="s">
        <v>715</v>
      </c>
      <c r="D30" t="s">
        <v>88</v>
      </c>
      <c r="E30" t="s">
        <v>88</v>
      </c>
      <c r="F30" t="s">
        <v>814</v>
      </c>
      <c r="G30" t="s">
        <v>815</v>
      </c>
      <c r="H30" s="3" t="s">
        <v>873</v>
      </c>
      <c r="M30" s="3" t="s">
        <v>89</v>
      </c>
      <c r="N30" s="45"/>
      <c r="O30" s="45"/>
      <c r="P30" s="45"/>
      <c r="Q30" s="45"/>
      <c r="R30" s="45"/>
      <c r="S30" s="45"/>
      <c r="T30" s="45"/>
    </row>
    <row r="31" spans="1:20">
      <c r="A31" s="4" t="s">
        <v>26</v>
      </c>
      <c r="B31" s="3" t="s">
        <v>88</v>
      </c>
      <c r="C31" t="s">
        <v>88</v>
      </c>
      <c r="D31" t="s">
        <v>88</v>
      </c>
      <c r="E31" t="s">
        <v>88</v>
      </c>
      <c r="F31" t="s">
        <v>811</v>
      </c>
      <c r="G31" t="s">
        <v>810</v>
      </c>
      <c r="H31" s="3" t="s">
        <v>872</v>
      </c>
      <c r="I31" t="s">
        <v>886</v>
      </c>
      <c r="J31" t="s">
        <v>1047</v>
      </c>
      <c r="K31" t="s">
        <v>1052</v>
      </c>
      <c r="L31" t="s">
        <v>1052</v>
      </c>
      <c r="M31" s="3" t="s">
        <v>88</v>
      </c>
      <c r="N31" s="45" t="s">
        <v>1203</v>
      </c>
      <c r="O31" s="45" t="s">
        <v>1233</v>
      </c>
      <c r="P31" s="45" t="s">
        <v>1256</v>
      </c>
      <c r="Q31" s="45" t="s">
        <v>1260</v>
      </c>
      <c r="R31" s="8" t="s">
        <v>1322</v>
      </c>
      <c r="S31" s="8" t="s">
        <v>1322</v>
      </c>
      <c r="T31" s="45"/>
    </row>
    <row r="32" spans="1:20">
      <c r="A32" s="4" t="s">
        <v>27</v>
      </c>
      <c r="B32" s="3" t="s">
        <v>88</v>
      </c>
      <c r="C32" t="s">
        <v>88</v>
      </c>
      <c r="D32" t="s">
        <v>88</v>
      </c>
      <c r="E32" t="s">
        <v>88</v>
      </c>
      <c r="F32" t="s">
        <v>811</v>
      </c>
      <c r="G32" t="s">
        <v>810</v>
      </c>
      <c r="H32" s="3" t="s">
        <v>833</v>
      </c>
      <c r="I32" t="s">
        <v>886</v>
      </c>
      <c r="J32" t="s">
        <v>1040</v>
      </c>
      <c r="K32" t="s">
        <v>1081</v>
      </c>
      <c r="L32" t="s">
        <v>1049</v>
      </c>
      <c r="M32" s="3" t="s">
        <v>88</v>
      </c>
      <c r="N32" s="45" t="s">
        <v>1206</v>
      </c>
      <c r="O32" s="45" t="s">
        <v>1234</v>
      </c>
      <c r="P32" s="45" t="s">
        <v>1256</v>
      </c>
      <c r="Q32" s="45" t="s">
        <v>1256</v>
      </c>
      <c r="R32" s="8" t="s">
        <v>1322</v>
      </c>
      <c r="S32" s="8" t="s">
        <v>1322</v>
      </c>
      <c r="T32" s="45"/>
    </row>
    <row r="33" spans="1:20">
      <c r="A33" s="4" t="s">
        <v>28</v>
      </c>
      <c r="B33" s="3" t="s">
        <v>88</v>
      </c>
      <c r="C33" t="s">
        <v>88</v>
      </c>
      <c r="D33" t="s">
        <v>88</v>
      </c>
      <c r="E33" t="s">
        <v>88</v>
      </c>
      <c r="F33" t="s">
        <v>811</v>
      </c>
      <c r="G33" t="s">
        <v>810</v>
      </c>
      <c r="H33" s="3" t="s">
        <v>833</v>
      </c>
      <c r="I33" t="s">
        <v>886</v>
      </c>
      <c r="J33" t="s">
        <v>1040</v>
      </c>
      <c r="K33" t="s">
        <v>1049</v>
      </c>
      <c r="L33" t="s">
        <v>1050</v>
      </c>
      <c r="M33" s="3" t="s">
        <v>88</v>
      </c>
      <c r="N33" s="45" t="s">
        <v>1203</v>
      </c>
      <c r="O33" s="45" t="s">
        <v>1227</v>
      </c>
      <c r="P33" s="45" t="s">
        <v>1280</v>
      </c>
      <c r="Q33" s="45" t="s">
        <v>1306</v>
      </c>
      <c r="R33" s="8" t="s">
        <v>1322</v>
      </c>
      <c r="S33" s="8" t="s">
        <v>1322</v>
      </c>
      <c r="T33" s="45"/>
    </row>
    <row r="34" spans="1:20">
      <c r="A34" s="16" t="s">
        <v>29</v>
      </c>
      <c r="B34" s="3" t="s">
        <v>88</v>
      </c>
      <c r="C34" t="s">
        <v>88</v>
      </c>
      <c r="D34" t="s">
        <v>748</v>
      </c>
      <c r="E34" t="s">
        <v>749</v>
      </c>
      <c r="F34" t="s">
        <v>814</v>
      </c>
      <c r="G34" t="s">
        <v>815</v>
      </c>
      <c r="H34" s="3" t="s">
        <v>837</v>
      </c>
      <c r="M34" s="3" t="s">
        <v>89</v>
      </c>
      <c r="N34" s="45"/>
      <c r="O34" s="45"/>
      <c r="P34" s="45"/>
      <c r="Q34" s="45"/>
      <c r="R34" s="45"/>
      <c r="S34" s="45"/>
      <c r="T34" s="45"/>
    </row>
    <row r="35" spans="1:20">
      <c r="A35" s="16" t="s">
        <v>30</v>
      </c>
      <c r="B35" s="3" t="s">
        <v>88</v>
      </c>
      <c r="C35" t="s">
        <v>88</v>
      </c>
      <c r="D35" t="s">
        <v>748</v>
      </c>
      <c r="E35" t="s">
        <v>749</v>
      </c>
      <c r="F35" t="s">
        <v>814</v>
      </c>
      <c r="G35" t="s">
        <v>815</v>
      </c>
      <c r="H35" s="3" t="s">
        <v>837</v>
      </c>
      <c r="M35" s="3" t="s">
        <v>89</v>
      </c>
      <c r="N35" s="45"/>
      <c r="O35" s="45"/>
      <c r="P35" s="45"/>
      <c r="Q35" s="45"/>
      <c r="R35" s="45"/>
      <c r="S35" s="45"/>
      <c r="T35" s="45"/>
    </row>
    <row r="36" spans="1:20">
      <c r="A36" s="16" t="s">
        <v>779</v>
      </c>
      <c r="B36" s="3" t="s">
        <v>713</v>
      </c>
      <c r="C36" t="s">
        <v>715</v>
      </c>
      <c r="D36" t="s">
        <v>88</v>
      </c>
      <c r="E36" t="s">
        <v>88</v>
      </c>
      <c r="F36" t="s">
        <v>814</v>
      </c>
      <c r="G36" t="s">
        <v>815</v>
      </c>
      <c r="H36" s="3" t="s">
        <v>837</v>
      </c>
      <c r="M36" s="3" t="s">
        <v>1130</v>
      </c>
      <c r="N36" s="45"/>
      <c r="O36" s="45"/>
      <c r="P36" s="45"/>
      <c r="Q36" s="45"/>
      <c r="R36" s="45"/>
      <c r="S36" s="45"/>
      <c r="T36" s="45"/>
    </row>
    <row r="37" spans="1:20">
      <c r="A37" s="16" t="s">
        <v>31</v>
      </c>
      <c r="B37" s="3" t="s">
        <v>718</v>
      </c>
      <c r="C37" t="s">
        <v>715</v>
      </c>
      <c r="D37" t="s">
        <v>88</v>
      </c>
      <c r="E37" t="s">
        <v>88</v>
      </c>
      <c r="F37" t="s">
        <v>814</v>
      </c>
      <c r="G37" t="s">
        <v>815</v>
      </c>
      <c r="H37" s="3" t="s">
        <v>837</v>
      </c>
      <c r="M37" s="3" t="s">
        <v>1130</v>
      </c>
      <c r="N37" s="45"/>
      <c r="O37" s="45"/>
      <c r="P37" s="45"/>
      <c r="Q37" s="45"/>
      <c r="R37" s="45"/>
      <c r="S37" s="45"/>
      <c r="T37" s="45"/>
    </row>
    <row r="38" spans="1:20">
      <c r="A38" s="4" t="s">
        <v>32</v>
      </c>
      <c r="B38" s="3" t="s">
        <v>88</v>
      </c>
      <c r="C38" t="s">
        <v>88</v>
      </c>
      <c r="D38" t="s">
        <v>88</v>
      </c>
      <c r="E38" t="s">
        <v>88</v>
      </c>
      <c r="F38" t="s">
        <v>811</v>
      </c>
      <c r="G38" t="s">
        <v>810</v>
      </c>
      <c r="H38" s="3" t="s">
        <v>872</v>
      </c>
      <c r="I38" t="s">
        <v>885</v>
      </c>
      <c r="J38" t="s">
        <v>1042</v>
      </c>
      <c r="K38" t="s">
        <v>1049</v>
      </c>
      <c r="L38" t="s">
        <v>1121</v>
      </c>
      <c r="M38" s="3" t="s">
        <v>88</v>
      </c>
      <c r="N38" s="45" t="s">
        <v>1207</v>
      </c>
      <c r="O38" s="45" t="s">
        <v>1232</v>
      </c>
      <c r="P38" s="45" t="s">
        <v>1256</v>
      </c>
      <c r="Q38" s="45" t="s">
        <v>1256</v>
      </c>
      <c r="R38" s="8" t="s">
        <v>1322</v>
      </c>
      <c r="S38" s="8" t="s">
        <v>1322</v>
      </c>
      <c r="T38" s="45"/>
    </row>
    <row r="39" spans="1:20">
      <c r="A39" s="4" t="s">
        <v>33</v>
      </c>
      <c r="B39" s="3" t="s">
        <v>88</v>
      </c>
      <c r="C39" t="s">
        <v>88</v>
      </c>
      <c r="D39" t="s">
        <v>88</v>
      </c>
      <c r="E39" t="s">
        <v>88</v>
      </c>
      <c r="F39" t="s">
        <v>811</v>
      </c>
      <c r="G39" t="s">
        <v>810</v>
      </c>
      <c r="H39" s="3" t="s">
        <v>839</v>
      </c>
      <c r="I39" t="s">
        <v>886</v>
      </c>
      <c r="J39" t="s">
        <v>1040</v>
      </c>
      <c r="K39" t="s">
        <v>1050</v>
      </c>
      <c r="L39" t="s">
        <v>1049</v>
      </c>
      <c r="M39" s="3" t="s">
        <v>88</v>
      </c>
      <c r="N39" s="45" t="s">
        <v>1201</v>
      </c>
      <c r="O39" s="45" t="s">
        <v>1227</v>
      </c>
      <c r="P39" s="45" t="s">
        <v>1276</v>
      </c>
      <c r="Q39" s="45" t="s">
        <v>1260</v>
      </c>
      <c r="R39" s="8" t="s">
        <v>1322</v>
      </c>
      <c r="S39" s="8" t="s">
        <v>1322</v>
      </c>
      <c r="T39" s="45"/>
    </row>
    <row r="40" spans="1:20">
      <c r="A40" s="16" t="s">
        <v>34</v>
      </c>
      <c r="B40" s="3" t="s">
        <v>88</v>
      </c>
      <c r="C40" t="s">
        <v>88</v>
      </c>
      <c r="D40" t="s">
        <v>88</v>
      </c>
      <c r="E40" t="s">
        <v>88</v>
      </c>
      <c r="F40" t="s">
        <v>811</v>
      </c>
      <c r="G40" t="s">
        <v>810</v>
      </c>
      <c r="H40" s="3" t="s">
        <v>833</v>
      </c>
      <c r="M40" s="3" t="s">
        <v>88</v>
      </c>
      <c r="N40" s="45"/>
      <c r="O40" s="45"/>
      <c r="P40" s="45"/>
      <c r="Q40" s="45"/>
      <c r="R40" s="45"/>
      <c r="S40" s="45"/>
      <c r="T40" s="45"/>
    </row>
    <row r="41" spans="1:20">
      <c r="A41" s="16" t="s">
        <v>35</v>
      </c>
      <c r="B41" s="3" t="s">
        <v>88</v>
      </c>
      <c r="C41" t="s">
        <v>88</v>
      </c>
      <c r="D41" t="s">
        <v>88</v>
      </c>
      <c r="E41" t="s">
        <v>749</v>
      </c>
      <c r="F41" t="s">
        <v>811</v>
      </c>
      <c r="G41" t="s">
        <v>810</v>
      </c>
      <c r="H41" s="3" t="s">
        <v>833</v>
      </c>
      <c r="M41" s="3" t="s">
        <v>88</v>
      </c>
      <c r="N41" s="45"/>
      <c r="O41" s="45"/>
      <c r="P41" s="45"/>
      <c r="Q41" s="45"/>
      <c r="R41" s="45"/>
      <c r="S41" s="45"/>
      <c r="T41" s="45"/>
    </row>
    <row r="42" spans="1:20">
      <c r="A42" s="16" t="s">
        <v>36</v>
      </c>
      <c r="B42" s="3" t="s">
        <v>88</v>
      </c>
      <c r="C42" t="s">
        <v>88</v>
      </c>
      <c r="D42" t="s">
        <v>88</v>
      </c>
      <c r="E42" t="s">
        <v>749</v>
      </c>
      <c r="F42" t="s">
        <v>811</v>
      </c>
      <c r="G42" t="s">
        <v>810</v>
      </c>
      <c r="H42" s="3" t="s">
        <v>833</v>
      </c>
      <c r="M42" s="3" t="s">
        <v>88</v>
      </c>
      <c r="N42" s="45"/>
      <c r="O42" s="45"/>
      <c r="P42" s="45"/>
      <c r="Q42" s="45"/>
      <c r="R42" s="45"/>
      <c r="S42" s="45"/>
      <c r="T42" s="45"/>
    </row>
    <row r="43" spans="1:20">
      <c r="A43" s="16" t="s">
        <v>37</v>
      </c>
      <c r="B43" s="3" t="s">
        <v>88</v>
      </c>
      <c r="C43" t="s">
        <v>88</v>
      </c>
      <c r="D43" t="s">
        <v>88</v>
      </c>
      <c r="E43" t="s">
        <v>749</v>
      </c>
      <c r="F43" t="s">
        <v>811</v>
      </c>
      <c r="G43" t="s">
        <v>810</v>
      </c>
      <c r="H43" s="3" t="s">
        <v>833</v>
      </c>
      <c r="M43" s="3" t="s">
        <v>88</v>
      </c>
      <c r="N43" s="45"/>
      <c r="O43" s="45"/>
      <c r="P43" s="45"/>
      <c r="Q43" s="45"/>
      <c r="R43" s="45"/>
      <c r="S43" s="45"/>
      <c r="T43" s="45"/>
    </row>
    <row r="44" spans="1:20">
      <c r="A44" s="16" t="s">
        <v>38</v>
      </c>
      <c r="B44" s="3" t="s">
        <v>719</v>
      </c>
      <c r="C44" t="s">
        <v>715</v>
      </c>
      <c r="D44" t="s">
        <v>748</v>
      </c>
      <c r="E44" t="s">
        <v>749</v>
      </c>
      <c r="F44" t="s">
        <v>814</v>
      </c>
      <c r="G44" t="s">
        <v>815</v>
      </c>
      <c r="H44" s="3" t="s">
        <v>873</v>
      </c>
      <c r="M44" s="3" t="s">
        <v>89</v>
      </c>
      <c r="N44" s="45"/>
      <c r="O44" s="45"/>
      <c r="P44" s="45"/>
      <c r="Q44" s="45"/>
      <c r="R44" s="45"/>
      <c r="S44" s="45"/>
      <c r="T44" s="45"/>
    </row>
    <row r="45" spans="1:20">
      <c r="A45" s="16" t="s">
        <v>39</v>
      </c>
      <c r="B45" s="3" t="s">
        <v>88</v>
      </c>
      <c r="C45" t="s">
        <v>88</v>
      </c>
      <c r="D45" t="s">
        <v>748</v>
      </c>
      <c r="E45" t="s">
        <v>88</v>
      </c>
      <c r="F45" t="s">
        <v>811</v>
      </c>
      <c r="G45" t="s">
        <v>810</v>
      </c>
      <c r="H45" s="3" t="s">
        <v>833</v>
      </c>
      <c r="M45" s="3" t="s">
        <v>88</v>
      </c>
      <c r="N45" s="45"/>
      <c r="O45" s="45"/>
      <c r="P45" s="45"/>
      <c r="Q45" s="45"/>
      <c r="R45" s="45"/>
      <c r="S45" s="45"/>
      <c r="T45" s="45"/>
    </row>
    <row r="46" spans="1:20">
      <c r="A46" s="16" t="s">
        <v>40</v>
      </c>
      <c r="B46" s="3" t="s">
        <v>88</v>
      </c>
      <c r="C46" t="s">
        <v>88</v>
      </c>
      <c r="D46" t="s">
        <v>748</v>
      </c>
      <c r="E46" t="s">
        <v>88</v>
      </c>
      <c r="F46" t="s">
        <v>811</v>
      </c>
      <c r="G46" t="s">
        <v>810</v>
      </c>
      <c r="H46" s="3" t="s">
        <v>833</v>
      </c>
      <c r="M46" s="3" t="s">
        <v>88</v>
      </c>
      <c r="N46" s="45"/>
      <c r="O46" s="45"/>
      <c r="P46" s="45"/>
      <c r="Q46" s="45"/>
      <c r="R46" s="45"/>
      <c r="S46" s="45"/>
      <c r="T46" s="45"/>
    </row>
    <row r="47" spans="1:20">
      <c r="A47" s="16" t="s">
        <v>41</v>
      </c>
      <c r="B47" s="3" t="s">
        <v>719</v>
      </c>
      <c r="C47" t="s">
        <v>715</v>
      </c>
      <c r="D47" t="s">
        <v>748</v>
      </c>
      <c r="E47" t="s">
        <v>749</v>
      </c>
      <c r="F47" t="s">
        <v>814</v>
      </c>
      <c r="G47" t="s">
        <v>815</v>
      </c>
      <c r="H47" s="3" t="s">
        <v>837</v>
      </c>
      <c r="M47" s="3" t="s">
        <v>88</v>
      </c>
      <c r="N47" s="45"/>
      <c r="O47" s="45"/>
      <c r="P47" s="45"/>
      <c r="Q47" s="45"/>
      <c r="R47" s="45"/>
      <c r="S47" s="45"/>
      <c r="T47" s="45"/>
    </row>
    <row r="48" spans="1:20">
      <c r="A48" s="16" t="s">
        <v>42</v>
      </c>
      <c r="B48" s="3" t="s">
        <v>720</v>
      </c>
      <c r="C48" t="s">
        <v>715</v>
      </c>
      <c r="D48" t="s">
        <v>748</v>
      </c>
      <c r="E48" t="s">
        <v>749</v>
      </c>
      <c r="F48" t="s">
        <v>814</v>
      </c>
      <c r="G48" t="s">
        <v>815</v>
      </c>
      <c r="H48" s="3" t="s">
        <v>837</v>
      </c>
      <c r="M48" s="3" t="s">
        <v>89</v>
      </c>
      <c r="N48" s="45"/>
      <c r="O48" s="45"/>
      <c r="P48" s="45"/>
      <c r="Q48" s="45"/>
      <c r="R48" s="45"/>
      <c r="S48" s="45"/>
      <c r="T48" s="45"/>
    </row>
    <row r="49" spans="1:20">
      <c r="A49" s="16" t="s">
        <v>43</v>
      </c>
      <c r="B49" s="3" t="s">
        <v>720</v>
      </c>
      <c r="C49" t="s">
        <v>715</v>
      </c>
      <c r="D49" t="s">
        <v>748</v>
      </c>
      <c r="E49" t="s">
        <v>749</v>
      </c>
      <c r="F49" t="s">
        <v>814</v>
      </c>
      <c r="G49" t="s">
        <v>815</v>
      </c>
      <c r="H49" s="3" t="s">
        <v>837</v>
      </c>
      <c r="M49" s="3" t="s">
        <v>88</v>
      </c>
      <c r="N49" s="45"/>
      <c r="O49" s="45"/>
      <c r="P49" s="45"/>
      <c r="Q49" s="45"/>
      <c r="R49" s="45"/>
      <c r="S49" s="45"/>
      <c r="T49" s="45"/>
    </row>
    <row r="50" spans="1:20">
      <c r="A50" s="16" t="s">
        <v>44</v>
      </c>
      <c r="B50" s="3" t="s">
        <v>713</v>
      </c>
      <c r="C50" t="s">
        <v>715</v>
      </c>
      <c r="D50" t="s">
        <v>748</v>
      </c>
      <c r="E50" t="s">
        <v>749</v>
      </c>
      <c r="F50" t="s">
        <v>814</v>
      </c>
      <c r="G50" t="s">
        <v>815</v>
      </c>
      <c r="H50" s="3" t="s">
        <v>837</v>
      </c>
      <c r="M50" s="3" t="s">
        <v>89</v>
      </c>
      <c r="N50" s="45"/>
      <c r="O50" s="45"/>
      <c r="P50" s="45"/>
      <c r="Q50" s="45"/>
      <c r="R50" s="45"/>
      <c r="S50" s="45"/>
      <c r="T50" s="45"/>
    </row>
    <row r="51" spans="1:20">
      <c r="A51" s="16" t="s">
        <v>45</v>
      </c>
      <c r="B51" s="3" t="s">
        <v>713</v>
      </c>
      <c r="C51" t="s">
        <v>714</v>
      </c>
      <c r="D51" t="s">
        <v>748</v>
      </c>
      <c r="E51" t="s">
        <v>749</v>
      </c>
      <c r="F51" t="s">
        <v>814</v>
      </c>
      <c r="G51" t="s">
        <v>815</v>
      </c>
      <c r="H51" s="3" t="s">
        <v>837</v>
      </c>
      <c r="M51" s="3" t="s">
        <v>89</v>
      </c>
      <c r="N51" s="45"/>
      <c r="O51" s="45"/>
      <c r="P51" s="45"/>
      <c r="Q51" s="45"/>
      <c r="R51" s="45"/>
      <c r="S51" s="45"/>
      <c r="T51" s="45"/>
    </row>
    <row r="52" spans="1:20">
      <c r="A52" s="16" t="s">
        <v>46</v>
      </c>
      <c r="B52" s="3" t="s">
        <v>713</v>
      </c>
      <c r="C52" t="s">
        <v>715</v>
      </c>
      <c r="D52" t="s">
        <v>88</v>
      </c>
      <c r="E52" t="s">
        <v>88</v>
      </c>
      <c r="F52" t="s">
        <v>811</v>
      </c>
      <c r="G52" t="s">
        <v>810</v>
      </c>
      <c r="H52" s="3" t="s">
        <v>839</v>
      </c>
      <c r="M52" s="3" t="s">
        <v>88</v>
      </c>
      <c r="N52" s="45"/>
      <c r="O52" s="45"/>
      <c r="P52" s="45"/>
      <c r="Q52" s="45"/>
      <c r="R52" s="45"/>
      <c r="S52" s="45"/>
      <c r="T52" s="45"/>
    </row>
    <row r="53" spans="1:20">
      <c r="A53" s="4" t="s">
        <v>47</v>
      </c>
      <c r="B53" s="3" t="s">
        <v>88</v>
      </c>
      <c r="C53" t="s">
        <v>88</v>
      </c>
      <c r="D53" t="s">
        <v>88</v>
      </c>
      <c r="E53" t="s">
        <v>88</v>
      </c>
      <c r="F53" t="s">
        <v>811</v>
      </c>
      <c r="G53" t="s">
        <v>810</v>
      </c>
      <c r="H53" s="3" t="s">
        <v>833</v>
      </c>
      <c r="I53" t="s">
        <v>885</v>
      </c>
      <c r="J53" t="s">
        <v>1040</v>
      </c>
      <c r="K53" t="s">
        <v>1049</v>
      </c>
      <c r="L53" t="s">
        <v>1117</v>
      </c>
      <c r="M53" s="3" t="s">
        <v>88</v>
      </c>
      <c r="N53" s="45" t="s">
        <v>1205</v>
      </c>
      <c r="O53" s="45" t="s">
        <v>1227</v>
      </c>
      <c r="P53" s="45" t="s">
        <v>1256</v>
      </c>
      <c r="Q53" s="45" t="s">
        <v>1256</v>
      </c>
      <c r="R53" s="8" t="s">
        <v>1322</v>
      </c>
      <c r="S53" s="8" t="s">
        <v>1322</v>
      </c>
      <c r="T53" s="45"/>
    </row>
    <row r="54" spans="1:20">
      <c r="A54" s="4" t="s">
        <v>48</v>
      </c>
      <c r="B54" s="3" t="s">
        <v>88</v>
      </c>
      <c r="C54" t="s">
        <v>88</v>
      </c>
      <c r="D54" t="s">
        <v>88</v>
      </c>
      <c r="E54" t="s">
        <v>88</v>
      </c>
      <c r="F54" t="s">
        <v>811</v>
      </c>
      <c r="G54" t="s">
        <v>810</v>
      </c>
      <c r="H54" s="3" t="s">
        <v>833</v>
      </c>
      <c r="I54" t="s">
        <v>886</v>
      </c>
      <c r="J54" t="s">
        <v>1042</v>
      </c>
      <c r="K54" t="s">
        <v>1050</v>
      </c>
      <c r="L54" t="s">
        <v>1052</v>
      </c>
      <c r="M54" s="3" t="s">
        <v>88</v>
      </c>
      <c r="N54" s="45" t="s">
        <v>1201</v>
      </c>
      <c r="O54" s="45" t="s">
        <v>1228</v>
      </c>
      <c r="P54" s="45" t="s">
        <v>1256</v>
      </c>
      <c r="Q54" s="45" t="s">
        <v>1260</v>
      </c>
      <c r="R54" s="8" t="s">
        <v>1322</v>
      </c>
      <c r="S54" s="8" t="s">
        <v>1322</v>
      </c>
      <c r="T54" s="45"/>
    </row>
    <row r="55" spans="1:20">
      <c r="A55" s="4" t="s">
        <v>49</v>
      </c>
      <c r="B55" s="3" t="s">
        <v>88</v>
      </c>
      <c r="C55" t="s">
        <v>88</v>
      </c>
      <c r="D55" t="s">
        <v>88</v>
      </c>
      <c r="E55" t="s">
        <v>88</v>
      </c>
      <c r="F55" t="s">
        <v>811</v>
      </c>
      <c r="G55" t="s">
        <v>810</v>
      </c>
      <c r="H55" s="3" t="s">
        <v>833</v>
      </c>
      <c r="I55" t="s">
        <v>925</v>
      </c>
      <c r="J55" t="s">
        <v>1040</v>
      </c>
      <c r="K55" t="s">
        <v>1087</v>
      </c>
      <c r="L55" t="s">
        <v>1049</v>
      </c>
      <c r="M55" s="3" t="s">
        <v>88</v>
      </c>
      <c r="N55" s="45" t="s">
        <v>1203</v>
      </c>
      <c r="O55" s="45" t="s">
        <v>1228</v>
      </c>
      <c r="P55" s="45" t="s">
        <v>1256</v>
      </c>
      <c r="Q55" s="45" t="s">
        <v>1256</v>
      </c>
      <c r="R55" s="8" t="s">
        <v>1322</v>
      </c>
      <c r="S55" s="8" t="s">
        <v>1322</v>
      </c>
      <c r="T55" s="45"/>
    </row>
    <row r="56" spans="1:20">
      <c r="A56" s="16" t="s">
        <v>780</v>
      </c>
      <c r="B56" s="3" t="s">
        <v>88</v>
      </c>
      <c r="C56" t="s">
        <v>88</v>
      </c>
      <c r="D56" t="s">
        <v>88</v>
      </c>
      <c r="E56" t="s">
        <v>88</v>
      </c>
      <c r="F56" t="s">
        <v>811</v>
      </c>
      <c r="G56" t="s">
        <v>810</v>
      </c>
      <c r="H56" s="3" t="s">
        <v>833</v>
      </c>
      <c r="I56" t="s">
        <v>926</v>
      </c>
      <c r="M56" s="3" t="s">
        <v>88</v>
      </c>
      <c r="N56" s="45"/>
      <c r="O56" s="45"/>
      <c r="P56" s="45"/>
      <c r="Q56" s="45"/>
      <c r="R56" s="45"/>
      <c r="S56" s="45"/>
      <c r="T56" s="45"/>
    </row>
    <row r="57" spans="1:20">
      <c r="A57" s="16" t="s">
        <v>50</v>
      </c>
      <c r="B57" s="3" t="s">
        <v>696</v>
      </c>
      <c r="C57" t="s">
        <v>715</v>
      </c>
      <c r="D57" t="s">
        <v>748</v>
      </c>
      <c r="E57" t="s">
        <v>88</v>
      </c>
      <c r="F57" t="s">
        <v>814</v>
      </c>
      <c r="G57" t="s">
        <v>815</v>
      </c>
      <c r="H57" s="3" t="s">
        <v>837</v>
      </c>
      <c r="M57" s="3" t="s">
        <v>89</v>
      </c>
      <c r="N57" s="45"/>
      <c r="O57" s="45"/>
      <c r="P57" s="45"/>
      <c r="Q57" s="45"/>
      <c r="R57" s="45"/>
      <c r="S57" s="45"/>
      <c r="T57" s="45"/>
    </row>
    <row r="58" spans="1:20">
      <c r="A58" s="16" t="s">
        <v>51</v>
      </c>
      <c r="B58" s="3" t="s">
        <v>713</v>
      </c>
      <c r="C58" t="s">
        <v>715</v>
      </c>
      <c r="D58" t="s">
        <v>748</v>
      </c>
      <c r="E58" t="s">
        <v>88</v>
      </c>
      <c r="F58" t="s">
        <v>814</v>
      </c>
      <c r="G58" t="s">
        <v>815</v>
      </c>
      <c r="H58" s="3" t="s">
        <v>837</v>
      </c>
      <c r="M58" s="3" t="s">
        <v>89</v>
      </c>
      <c r="N58" s="45"/>
      <c r="O58" s="45"/>
      <c r="P58" s="45"/>
      <c r="Q58" s="45"/>
      <c r="R58" s="45"/>
      <c r="S58" s="45"/>
      <c r="T58" s="45"/>
    </row>
    <row r="59" spans="1:20">
      <c r="A59" s="4" t="s">
        <v>52</v>
      </c>
      <c r="B59" s="3" t="s">
        <v>88</v>
      </c>
      <c r="C59" t="s">
        <v>88</v>
      </c>
      <c r="D59" t="s">
        <v>88</v>
      </c>
      <c r="E59" t="s">
        <v>88</v>
      </c>
      <c r="F59" t="s">
        <v>811</v>
      </c>
      <c r="G59" t="s">
        <v>810</v>
      </c>
      <c r="H59" s="3" t="s">
        <v>833</v>
      </c>
      <c r="I59" t="s">
        <v>886</v>
      </c>
      <c r="J59" t="s">
        <v>1040</v>
      </c>
      <c r="K59" t="s">
        <v>1049</v>
      </c>
      <c r="L59" t="s">
        <v>1087</v>
      </c>
      <c r="M59" s="3" t="s">
        <v>88</v>
      </c>
      <c r="N59" s="45" t="s">
        <v>1203</v>
      </c>
      <c r="O59" s="45" t="s">
        <v>1227</v>
      </c>
      <c r="P59" s="45" t="s">
        <v>1259</v>
      </c>
      <c r="Q59" s="45" t="s">
        <v>1260</v>
      </c>
      <c r="R59" s="8" t="s">
        <v>1322</v>
      </c>
      <c r="S59" s="8" t="s">
        <v>1322</v>
      </c>
      <c r="T59" s="45"/>
    </row>
    <row r="60" spans="1:20">
      <c r="A60" s="4" t="s">
        <v>53</v>
      </c>
      <c r="B60" s="3" t="s">
        <v>88</v>
      </c>
      <c r="C60" t="s">
        <v>88</v>
      </c>
      <c r="D60" t="s">
        <v>88</v>
      </c>
      <c r="E60" t="s">
        <v>88</v>
      </c>
      <c r="F60" t="s">
        <v>811</v>
      </c>
      <c r="G60" t="s">
        <v>810</v>
      </c>
      <c r="H60" s="3" t="s">
        <v>833</v>
      </c>
      <c r="I60" t="s">
        <v>886</v>
      </c>
      <c r="J60" t="s">
        <v>1040</v>
      </c>
      <c r="K60" t="s">
        <v>1072</v>
      </c>
      <c r="L60" t="s">
        <v>1104</v>
      </c>
      <c r="M60" s="3" t="s">
        <v>88</v>
      </c>
      <c r="N60" s="45" t="s">
        <v>1203</v>
      </c>
      <c r="O60" s="45" t="s">
        <v>1235</v>
      </c>
      <c r="P60" s="45" t="s">
        <v>1256</v>
      </c>
      <c r="Q60" s="45" t="s">
        <v>1275</v>
      </c>
      <c r="R60" s="8" t="s">
        <v>1322</v>
      </c>
      <c r="S60" s="8" t="s">
        <v>1322</v>
      </c>
      <c r="T60" s="45"/>
    </row>
    <row r="61" spans="1:20">
      <c r="A61" s="4" t="s">
        <v>54</v>
      </c>
      <c r="B61" s="3" t="s">
        <v>88</v>
      </c>
      <c r="C61" t="s">
        <v>88</v>
      </c>
      <c r="D61" t="s">
        <v>88</v>
      </c>
      <c r="E61" t="s">
        <v>88</v>
      </c>
      <c r="F61" t="s">
        <v>811</v>
      </c>
      <c r="G61" t="s">
        <v>810</v>
      </c>
      <c r="H61" s="3" t="s">
        <v>833</v>
      </c>
      <c r="I61" t="s">
        <v>886</v>
      </c>
      <c r="J61" t="s">
        <v>1040</v>
      </c>
      <c r="K61" t="s">
        <v>1080</v>
      </c>
      <c r="L61" t="s">
        <v>1049</v>
      </c>
      <c r="M61" s="3" t="s">
        <v>88</v>
      </c>
      <c r="N61" s="45" t="s">
        <v>1203</v>
      </c>
      <c r="O61" s="45" t="s">
        <v>1227</v>
      </c>
      <c r="P61" s="45" t="s">
        <v>1259</v>
      </c>
      <c r="Q61" s="45" t="s">
        <v>1307</v>
      </c>
      <c r="R61" s="8" t="s">
        <v>1322</v>
      </c>
      <c r="S61" s="8" t="s">
        <v>1322</v>
      </c>
      <c r="T61" s="45"/>
    </row>
    <row r="62" spans="1:20">
      <c r="A62" s="16" t="s">
        <v>55</v>
      </c>
      <c r="B62" s="3" t="s">
        <v>88</v>
      </c>
      <c r="C62" t="s">
        <v>88</v>
      </c>
      <c r="D62" t="s">
        <v>748</v>
      </c>
      <c r="E62" t="s">
        <v>749</v>
      </c>
      <c r="F62" t="s">
        <v>811</v>
      </c>
      <c r="G62" t="s">
        <v>810</v>
      </c>
      <c r="H62" s="3" t="s">
        <v>833</v>
      </c>
      <c r="M62" s="3" t="s">
        <v>89</v>
      </c>
      <c r="N62" s="45"/>
      <c r="O62" s="45"/>
      <c r="P62" s="45"/>
      <c r="Q62" s="45"/>
      <c r="R62" s="45"/>
      <c r="S62" s="45"/>
      <c r="T62" s="45"/>
    </row>
    <row r="63" spans="1:20">
      <c r="A63" s="4" t="s">
        <v>56</v>
      </c>
      <c r="B63" s="3" t="s">
        <v>88</v>
      </c>
      <c r="C63" t="s">
        <v>88</v>
      </c>
      <c r="D63" t="s">
        <v>88</v>
      </c>
      <c r="E63" t="s">
        <v>88</v>
      </c>
      <c r="F63" t="s">
        <v>811</v>
      </c>
      <c r="G63" t="s">
        <v>810</v>
      </c>
      <c r="H63" s="3" t="s">
        <v>833</v>
      </c>
      <c r="I63" t="s">
        <v>886</v>
      </c>
      <c r="J63" t="s">
        <v>1042</v>
      </c>
      <c r="K63" t="s">
        <v>1049</v>
      </c>
      <c r="L63" t="s">
        <v>1089</v>
      </c>
      <c r="M63" s="3" t="s">
        <v>88</v>
      </c>
      <c r="N63" s="45" t="s">
        <v>1206</v>
      </c>
      <c r="O63" s="45" t="s">
        <v>1231</v>
      </c>
      <c r="P63" s="45" t="s">
        <v>1277</v>
      </c>
      <c r="Q63" s="45" t="s">
        <v>1256</v>
      </c>
      <c r="R63" s="8" t="s">
        <v>1322</v>
      </c>
      <c r="S63" s="8" t="s">
        <v>1322</v>
      </c>
      <c r="T63" s="45"/>
    </row>
    <row r="64" spans="1:20">
      <c r="A64" s="16" t="s">
        <v>57</v>
      </c>
      <c r="B64" s="3" t="s">
        <v>88</v>
      </c>
      <c r="C64" t="s">
        <v>88</v>
      </c>
      <c r="D64" t="s">
        <v>748</v>
      </c>
      <c r="E64" t="s">
        <v>749</v>
      </c>
      <c r="F64" t="s">
        <v>811</v>
      </c>
      <c r="G64" t="s">
        <v>810</v>
      </c>
      <c r="H64" s="3" t="s">
        <v>806</v>
      </c>
      <c r="M64" s="3" t="s">
        <v>89</v>
      </c>
      <c r="N64" s="45"/>
      <c r="O64" s="45"/>
      <c r="P64" s="45"/>
      <c r="Q64" s="45"/>
      <c r="R64" s="45"/>
      <c r="S64" s="45"/>
      <c r="T64" s="45"/>
    </row>
    <row r="65" spans="1:20">
      <c r="A65" s="4" t="s">
        <v>58</v>
      </c>
      <c r="B65" s="3" t="s">
        <v>88</v>
      </c>
      <c r="C65" t="s">
        <v>88</v>
      </c>
      <c r="D65" t="s">
        <v>88</v>
      </c>
      <c r="E65" t="s">
        <v>88</v>
      </c>
      <c r="F65" t="s">
        <v>811</v>
      </c>
      <c r="G65" t="s">
        <v>810</v>
      </c>
      <c r="H65" s="3" t="s">
        <v>833</v>
      </c>
      <c r="I65" t="s">
        <v>886</v>
      </c>
      <c r="J65" t="s">
        <v>1040</v>
      </c>
      <c r="K65" t="s">
        <v>1049</v>
      </c>
      <c r="L65" t="s">
        <v>1049</v>
      </c>
      <c r="M65" s="3" t="s">
        <v>89</v>
      </c>
      <c r="N65" s="45" t="s">
        <v>1203</v>
      </c>
      <c r="O65" s="45" t="s">
        <v>1228</v>
      </c>
      <c r="P65" s="45" t="s">
        <v>1259</v>
      </c>
      <c r="Q65" s="45" t="s">
        <v>1261</v>
      </c>
      <c r="R65" s="8" t="s">
        <v>1322</v>
      </c>
      <c r="S65" s="8" t="s">
        <v>1321</v>
      </c>
      <c r="T65" s="45"/>
    </row>
    <row r="66" spans="1:20">
      <c r="A66" s="4" t="s">
        <v>59</v>
      </c>
      <c r="B66" s="3" t="s">
        <v>88</v>
      </c>
      <c r="C66" t="s">
        <v>88</v>
      </c>
      <c r="D66" t="s">
        <v>88</v>
      </c>
      <c r="E66" t="s">
        <v>88</v>
      </c>
      <c r="F66" t="s">
        <v>811</v>
      </c>
      <c r="G66" t="s">
        <v>810</v>
      </c>
      <c r="H66" s="3" t="s">
        <v>833</v>
      </c>
      <c r="I66" t="s">
        <v>886</v>
      </c>
      <c r="J66" t="s">
        <v>1041</v>
      </c>
      <c r="K66" t="s">
        <v>1092</v>
      </c>
      <c r="L66" t="s">
        <v>1087</v>
      </c>
      <c r="M66" s="3" t="s">
        <v>88</v>
      </c>
      <c r="N66" s="45" t="s">
        <v>1203</v>
      </c>
      <c r="O66" s="45" t="s">
        <v>1227</v>
      </c>
      <c r="P66" s="45" t="s">
        <v>1261</v>
      </c>
      <c r="Q66" s="45" t="s">
        <v>1259</v>
      </c>
      <c r="R66" s="8" t="s">
        <v>1322</v>
      </c>
      <c r="S66" s="8" t="s">
        <v>1322</v>
      </c>
      <c r="T66" s="45"/>
    </row>
    <row r="67" spans="1:20">
      <c r="A67" s="16" t="s">
        <v>60</v>
      </c>
      <c r="B67" s="3" t="s">
        <v>713</v>
      </c>
      <c r="C67" t="s">
        <v>715</v>
      </c>
      <c r="D67" t="s">
        <v>88</v>
      </c>
      <c r="E67" t="s">
        <v>88</v>
      </c>
      <c r="F67" t="s">
        <v>814</v>
      </c>
      <c r="G67" t="s">
        <v>815</v>
      </c>
      <c r="H67" s="3" t="s">
        <v>837</v>
      </c>
      <c r="M67" s="3" t="s">
        <v>89</v>
      </c>
      <c r="N67" s="45"/>
      <c r="O67" s="45"/>
      <c r="P67" s="45"/>
      <c r="Q67" s="45"/>
      <c r="R67" s="45"/>
      <c r="S67" s="45"/>
      <c r="T67" s="45"/>
    </row>
    <row r="68" spans="1:20">
      <c r="A68" s="4" t="s">
        <v>61</v>
      </c>
      <c r="B68" s="3" t="s">
        <v>88</v>
      </c>
      <c r="C68" t="s">
        <v>88</v>
      </c>
      <c r="D68" t="s">
        <v>88</v>
      </c>
      <c r="E68" t="s">
        <v>88</v>
      </c>
      <c r="F68" t="s">
        <v>811</v>
      </c>
      <c r="G68" t="s">
        <v>810</v>
      </c>
      <c r="H68" s="3" t="s">
        <v>872</v>
      </c>
      <c r="I68" t="s">
        <v>887</v>
      </c>
      <c r="J68" t="s">
        <v>1038</v>
      </c>
      <c r="K68" t="s">
        <v>1083</v>
      </c>
      <c r="L68" t="s">
        <v>1049</v>
      </c>
      <c r="M68" s="3" t="s">
        <v>89</v>
      </c>
      <c r="N68" s="45" t="s">
        <v>1203</v>
      </c>
      <c r="O68" s="45" t="s">
        <v>1227</v>
      </c>
      <c r="P68" s="45" t="s">
        <v>1282</v>
      </c>
      <c r="Q68" s="45" t="s">
        <v>1259</v>
      </c>
      <c r="R68" s="8" t="s">
        <v>1322</v>
      </c>
      <c r="S68" s="8" t="s">
        <v>1322</v>
      </c>
      <c r="T68" s="45"/>
    </row>
    <row r="69" spans="1:20">
      <c r="A69" s="16" t="s">
        <v>62</v>
      </c>
      <c r="B69" s="3" t="s">
        <v>713</v>
      </c>
      <c r="C69" t="s">
        <v>715</v>
      </c>
      <c r="D69" t="s">
        <v>748</v>
      </c>
      <c r="E69" t="s">
        <v>749</v>
      </c>
      <c r="F69" t="s">
        <v>814</v>
      </c>
      <c r="G69" t="s">
        <v>815</v>
      </c>
      <c r="H69" s="3" t="s">
        <v>837</v>
      </c>
      <c r="M69" s="3" t="s">
        <v>89</v>
      </c>
      <c r="N69" s="45"/>
      <c r="O69" s="45"/>
      <c r="P69" s="45"/>
      <c r="Q69" s="45"/>
      <c r="R69" s="45"/>
      <c r="S69" s="45"/>
      <c r="T69" s="45"/>
    </row>
    <row r="70" spans="1:20">
      <c r="A70" s="16" t="s">
        <v>63</v>
      </c>
      <c r="B70" s="3" t="s">
        <v>713</v>
      </c>
      <c r="C70" t="s">
        <v>715</v>
      </c>
      <c r="D70" t="s">
        <v>748</v>
      </c>
      <c r="E70" t="s">
        <v>749</v>
      </c>
      <c r="F70" t="s">
        <v>814</v>
      </c>
      <c r="G70" t="s">
        <v>815</v>
      </c>
      <c r="H70" s="3" t="s">
        <v>837</v>
      </c>
      <c r="M70" s="3" t="s">
        <v>1130</v>
      </c>
      <c r="N70" s="45"/>
      <c r="O70" s="45"/>
      <c r="P70" s="45"/>
      <c r="Q70" s="45"/>
      <c r="R70" s="45"/>
      <c r="S70" s="45"/>
      <c r="T70" s="45"/>
    </row>
    <row r="71" spans="1:20">
      <c r="A71" s="16" t="s">
        <v>64</v>
      </c>
      <c r="B71" s="3" t="s">
        <v>88</v>
      </c>
      <c r="C71" t="s">
        <v>88</v>
      </c>
      <c r="D71" t="s">
        <v>748</v>
      </c>
      <c r="E71" t="s">
        <v>749</v>
      </c>
      <c r="F71" t="s">
        <v>811</v>
      </c>
      <c r="G71" t="s">
        <v>810</v>
      </c>
      <c r="H71" s="3" t="s">
        <v>833</v>
      </c>
      <c r="M71" s="3" t="s">
        <v>88</v>
      </c>
      <c r="N71" s="45"/>
      <c r="O71" s="45"/>
      <c r="P71" s="45"/>
      <c r="Q71" s="45"/>
      <c r="R71" s="45"/>
      <c r="S71" s="45"/>
      <c r="T71" s="45"/>
    </row>
    <row r="72" spans="1:20">
      <c r="A72" s="4" t="s">
        <v>65</v>
      </c>
      <c r="B72" s="3" t="s">
        <v>88</v>
      </c>
      <c r="C72" t="s">
        <v>88</v>
      </c>
      <c r="D72" t="s">
        <v>88</v>
      </c>
      <c r="E72" t="s">
        <v>88</v>
      </c>
      <c r="F72" t="s">
        <v>811</v>
      </c>
      <c r="G72" t="s">
        <v>810</v>
      </c>
      <c r="H72" s="3" t="s">
        <v>833</v>
      </c>
      <c r="I72" t="s">
        <v>927</v>
      </c>
      <c r="J72" t="s">
        <v>1044</v>
      </c>
      <c r="K72" t="s">
        <v>1052</v>
      </c>
      <c r="L72" t="s">
        <v>1049</v>
      </c>
      <c r="M72" s="3" t="s">
        <v>1130</v>
      </c>
      <c r="N72" s="45" t="s">
        <v>1203</v>
      </c>
      <c r="O72" s="45" t="s">
        <v>1259</v>
      </c>
      <c r="P72" s="45" t="s">
        <v>1293</v>
      </c>
      <c r="Q72" s="45" t="s">
        <v>1256</v>
      </c>
      <c r="R72" s="8" t="s">
        <v>1322</v>
      </c>
      <c r="S72" s="8" t="s">
        <v>1321</v>
      </c>
      <c r="T72" s="45"/>
    </row>
    <row r="73" spans="1:20">
      <c r="A73" s="16" t="s">
        <v>66</v>
      </c>
      <c r="B73" s="3" t="s">
        <v>719</v>
      </c>
      <c r="C73" t="s">
        <v>715</v>
      </c>
      <c r="D73" t="s">
        <v>748</v>
      </c>
      <c r="E73" t="s">
        <v>749</v>
      </c>
      <c r="F73" t="s">
        <v>814</v>
      </c>
      <c r="G73" t="s">
        <v>815</v>
      </c>
      <c r="H73" s="3" t="s">
        <v>837</v>
      </c>
      <c r="M73" s="3" t="s">
        <v>89</v>
      </c>
      <c r="N73" s="45"/>
      <c r="O73" s="45"/>
      <c r="P73" s="45"/>
      <c r="Q73" s="45"/>
      <c r="R73" s="45"/>
      <c r="S73" s="45"/>
      <c r="T73" s="45"/>
    </row>
    <row r="74" spans="1:20">
      <c r="A74" s="4" t="s">
        <v>67</v>
      </c>
      <c r="B74" s="3" t="s">
        <v>88</v>
      </c>
      <c r="C74" t="s">
        <v>88</v>
      </c>
      <c r="D74" t="s">
        <v>88</v>
      </c>
      <c r="E74" t="s">
        <v>88</v>
      </c>
      <c r="F74" t="s">
        <v>811</v>
      </c>
      <c r="G74" t="s">
        <v>810</v>
      </c>
      <c r="H74" s="3" t="s">
        <v>833</v>
      </c>
      <c r="I74" t="s">
        <v>886</v>
      </c>
      <c r="J74" t="s">
        <v>1040</v>
      </c>
      <c r="K74" t="s">
        <v>1050</v>
      </c>
      <c r="L74" t="s">
        <v>1117</v>
      </c>
      <c r="M74" s="3" t="s">
        <v>88</v>
      </c>
      <c r="N74" s="45" t="s">
        <v>1204</v>
      </c>
      <c r="O74" s="45" t="s">
        <v>1256</v>
      </c>
      <c r="P74" s="45" t="s">
        <v>1282</v>
      </c>
      <c r="Q74" s="45" t="s">
        <v>1256</v>
      </c>
      <c r="R74" s="8" t="s">
        <v>1322</v>
      </c>
      <c r="S74" s="8" t="s">
        <v>1322</v>
      </c>
      <c r="T74" s="45"/>
    </row>
    <row r="75" spans="1:20">
      <c r="A75" s="4" t="s">
        <v>68</v>
      </c>
      <c r="B75" s="3" t="s">
        <v>88</v>
      </c>
      <c r="C75" t="s">
        <v>88</v>
      </c>
      <c r="D75" t="s">
        <v>88</v>
      </c>
      <c r="E75" t="s">
        <v>88</v>
      </c>
      <c r="F75" t="s">
        <v>811</v>
      </c>
      <c r="G75" t="s">
        <v>810</v>
      </c>
      <c r="H75" s="3" t="s">
        <v>833</v>
      </c>
      <c r="I75" t="s">
        <v>928</v>
      </c>
      <c r="J75" t="s">
        <v>1038</v>
      </c>
      <c r="K75" t="s">
        <v>1083</v>
      </c>
      <c r="L75" t="s">
        <v>1117</v>
      </c>
      <c r="M75" s="41" t="s">
        <v>88</v>
      </c>
      <c r="N75" s="46" t="s">
        <v>1201</v>
      </c>
      <c r="O75" s="46" t="s">
        <v>1260</v>
      </c>
      <c r="P75" s="46" t="s">
        <v>1294</v>
      </c>
      <c r="Q75" s="46" t="s">
        <v>1285</v>
      </c>
      <c r="R75" s="8" t="s">
        <v>1322</v>
      </c>
      <c r="S75" s="8" t="s">
        <v>1322</v>
      </c>
      <c r="T75" s="46"/>
    </row>
    <row r="76" spans="1:20">
      <c r="A76" s="4" t="s">
        <v>69</v>
      </c>
      <c r="B76" s="3" t="s">
        <v>88</v>
      </c>
      <c r="C76" t="s">
        <v>88</v>
      </c>
      <c r="D76" t="s">
        <v>88</v>
      </c>
      <c r="E76" t="s">
        <v>88</v>
      </c>
      <c r="F76" t="s">
        <v>811</v>
      </c>
      <c r="G76" t="s">
        <v>810</v>
      </c>
      <c r="H76" s="3" t="s">
        <v>833</v>
      </c>
      <c r="I76" t="s">
        <v>929</v>
      </c>
      <c r="J76" t="s">
        <v>1040</v>
      </c>
      <c r="K76" t="s">
        <v>1050</v>
      </c>
      <c r="L76" t="s">
        <v>1049</v>
      </c>
      <c r="M76" s="3" t="s">
        <v>88</v>
      </c>
      <c r="N76" s="45" t="s">
        <v>1203</v>
      </c>
      <c r="O76" s="45" t="s">
        <v>1257</v>
      </c>
      <c r="P76" s="45" t="s">
        <v>1256</v>
      </c>
      <c r="Q76" s="45" t="s">
        <v>1256</v>
      </c>
      <c r="R76" s="8" t="s">
        <v>1322</v>
      </c>
      <c r="S76" s="8" t="s">
        <v>1321</v>
      </c>
      <c r="T76" s="45"/>
    </row>
    <row r="77" spans="1:20">
      <c r="A77" s="4" t="s">
        <v>70</v>
      </c>
      <c r="B77" s="3" t="s">
        <v>88</v>
      </c>
      <c r="C77" t="s">
        <v>88</v>
      </c>
      <c r="D77" t="s">
        <v>88</v>
      </c>
      <c r="E77" t="s">
        <v>88</v>
      </c>
      <c r="F77" t="s">
        <v>811</v>
      </c>
      <c r="G77" t="s">
        <v>810</v>
      </c>
      <c r="H77" s="3" t="s">
        <v>833</v>
      </c>
      <c r="I77" t="s">
        <v>886</v>
      </c>
      <c r="J77" t="s">
        <v>1040</v>
      </c>
      <c r="K77" t="s">
        <v>1050</v>
      </c>
      <c r="L77" t="s">
        <v>1049</v>
      </c>
      <c r="M77" s="3" t="s">
        <v>88</v>
      </c>
      <c r="N77" s="45" t="s">
        <v>1203</v>
      </c>
      <c r="O77" s="45" t="s">
        <v>1261</v>
      </c>
      <c r="P77" s="45" t="s">
        <v>1260</v>
      </c>
      <c r="Q77" s="45" t="s">
        <v>1301</v>
      </c>
      <c r="R77" s="8" t="s">
        <v>1322</v>
      </c>
      <c r="S77" s="8" t="s">
        <v>1322</v>
      </c>
      <c r="T77" s="45"/>
    </row>
    <row r="78" spans="1:20">
      <c r="A78" s="4" t="s">
        <v>71</v>
      </c>
      <c r="B78" s="3" t="s">
        <v>88</v>
      </c>
      <c r="C78" t="s">
        <v>88</v>
      </c>
      <c r="D78" t="s">
        <v>88</v>
      </c>
      <c r="E78" t="s">
        <v>88</v>
      </c>
      <c r="F78" t="s">
        <v>811</v>
      </c>
      <c r="G78" t="s">
        <v>810</v>
      </c>
      <c r="H78" s="3" t="s">
        <v>839</v>
      </c>
      <c r="I78" t="s">
        <v>929</v>
      </c>
      <c r="J78" t="s">
        <v>1048</v>
      </c>
      <c r="K78" t="s">
        <v>1081</v>
      </c>
      <c r="L78" t="s">
        <v>1049</v>
      </c>
      <c r="M78" s="3" t="s">
        <v>88</v>
      </c>
      <c r="N78" s="45" t="s">
        <v>1208</v>
      </c>
      <c r="O78" s="45" t="s">
        <v>1256</v>
      </c>
      <c r="P78" s="45" t="s">
        <v>1256</v>
      </c>
      <c r="Q78" s="45" t="s">
        <v>1301</v>
      </c>
      <c r="R78" s="8" t="s">
        <v>1322</v>
      </c>
      <c r="S78" s="8" t="s">
        <v>1322</v>
      </c>
      <c r="T78" s="45"/>
    </row>
    <row r="79" spans="1:20">
      <c r="A79" s="16" t="s">
        <v>72</v>
      </c>
      <c r="B79" s="3" t="s">
        <v>713</v>
      </c>
      <c r="C79" t="s">
        <v>715</v>
      </c>
      <c r="D79" t="s">
        <v>748</v>
      </c>
      <c r="E79" t="s">
        <v>749</v>
      </c>
      <c r="F79" t="s">
        <v>814</v>
      </c>
      <c r="G79" t="s">
        <v>815</v>
      </c>
      <c r="H79" s="3" t="s">
        <v>873</v>
      </c>
      <c r="M79" s="3" t="s">
        <v>89</v>
      </c>
      <c r="N79" s="45"/>
      <c r="O79" s="45"/>
      <c r="P79" s="45"/>
      <c r="Q79" s="45"/>
      <c r="R79" s="45"/>
      <c r="S79" s="45"/>
      <c r="T79" s="45"/>
    </row>
    <row r="80" spans="1:20">
      <c r="A80" s="16" t="s">
        <v>73</v>
      </c>
      <c r="B80" s="3" t="s">
        <v>713</v>
      </c>
      <c r="C80" t="s">
        <v>715</v>
      </c>
      <c r="D80" t="s">
        <v>88</v>
      </c>
      <c r="E80" t="s">
        <v>88</v>
      </c>
      <c r="F80" t="s">
        <v>814</v>
      </c>
      <c r="G80" t="s">
        <v>815</v>
      </c>
      <c r="H80" s="3" t="s">
        <v>872</v>
      </c>
      <c r="M80" s="3" t="s">
        <v>88</v>
      </c>
      <c r="N80" s="45"/>
      <c r="O80" s="45"/>
      <c r="P80" s="45"/>
      <c r="Q80" s="45"/>
      <c r="R80" s="45"/>
      <c r="S80" s="45"/>
      <c r="T80" s="45"/>
    </row>
    <row r="81" spans="1:20">
      <c r="A81" s="4" t="s">
        <v>74</v>
      </c>
      <c r="B81" s="3" t="s">
        <v>88</v>
      </c>
      <c r="C81" t="s">
        <v>88</v>
      </c>
      <c r="D81" t="s">
        <v>88</v>
      </c>
      <c r="E81" t="s">
        <v>88</v>
      </c>
      <c r="F81" t="s">
        <v>811</v>
      </c>
      <c r="G81" t="s">
        <v>810</v>
      </c>
      <c r="H81" s="3" t="s">
        <v>833</v>
      </c>
      <c r="I81" t="s">
        <v>930</v>
      </c>
      <c r="J81" t="s">
        <v>1040</v>
      </c>
      <c r="K81" t="s">
        <v>1050</v>
      </c>
      <c r="L81" t="s">
        <v>1049</v>
      </c>
      <c r="M81" s="3" t="s">
        <v>88</v>
      </c>
      <c r="N81" s="45" t="s">
        <v>1203</v>
      </c>
      <c r="O81" s="45" t="s">
        <v>1262</v>
      </c>
      <c r="P81" s="45" t="s">
        <v>1260</v>
      </c>
      <c r="Q81" s="45" t="s">
        <v>1256</v>
      </c>
      <c r="R81" s="8" t="s">
        <v>1322</v>
      </c>
      <c r="S81" s="8" t="s">
        <v>1322</v>
      </c>
      <c r="T81" s="45"/>
    </row>
    <row r="82" spans="1:20">
      <c r="A82" s="16" t="s">
        <v>75</v>
      </c>
      <c r="B82" s="3" t="s">
        <v>88</v>
      </c>
      <c r="C82" t="s">
        <v>88</v>
      </c>
      <c r="D82" t="s">
        <v>748</v>
      </c>
      <c r="E82" t="s">
        <v>749</v>
      </c>
      <c r="F82" t="s">
        <v>811</v>
      </c>
      <c r="G82" t="s">
        <v>810</v>
      </c>
      <c r="H82" s="3" t="s">
        <v>833</v>
      </c>
      <c r="M82" s="3" t="s">
        <v>88</v>
      </c>
      <c r="N82" s="45"/>
      <c r="O82" s="45"/>
      <c r="P82" s="45"/>
      <c r="Q82" s="45"/>
      <c r="R82" s="45"/>
      <c r="S82" s="45"/>
      <c r="T82" s="45"/>
    </row>
    <row r="83" spans="1:20">
      <c r="A83" s="16" t="s">
        <v>76</v>
      </c>
      <c r="B83" s="3" t="s">
        <v>713</v>
      </c>
      <c r="C83" t="s">
        <v>715</v>
      </c>
      <c r="D83" t="s">
        <v>748</v>
      </c>
      <c r="E83" t="s">
        <v>749</v>
      </c>
      <c r="F83" t="s">
        <v>814</v>
      </c>
      <c r="G83" t="s">
        <v>815</v>
      </c>
      <c r="H83" s="3" t="s">
        <v>837</v>
      </c>
      <c r="M83" s="3" t="s">
        <v>89</v>
      </c>
      <c r="N83" s="45"/>
      <c r="O83" s="45"/>
      <c r="P83" s="45"/>
      <c r="Q83" s="45"/>
      <c r="R83" s="45"/>
      <c r="S83" s="45"/>
      <c r="T83" s="45"/>
    </row>
    <row r="84" spans="1:20">
      <c r="A84" s="16" t="s">
        <v>77</v>
      </c>
      <c r="B84" s="3" t="s">
        <v>713</v>
      </c>
      <c r="C84" t="s">
        <v>715</v>
      </c>
      <c r="D84" t="s">
        <v>748</v>
      </c>
      <c r="E84" t="s">
        <v>749</v>
      </c>
      <c r="F84" t="s">
        <v>814</v>
      </c>
      <c r="G84" t="s">
        <v>815</v>
      </c>
      <c r="H84" s="3" t="s">
        <v>837</v>
      </c>
      <c r="M84" s="3" t="s">
        <v>89</v>
      </c>
      <c r="N84" s="45"/>
      <c r="O84" s="45"/>
      <c r="P84" s="45"/>
      <c r="Q84" s="45"/>
      <c r="R84" s="45"/>
      <c r="S84" s="45"/>
      <c r="T84" s="45"/>
    </row>
    <row r="85" spans="1:20">
      <c r="A85" s="16" t="s">
        <v>78</v>
      </c>
      <c r="B85" s="3" t="s">
        <v>88</v>
      </c>
      <c r="C85" t="s">
        <v>88</v>
      </c>
      <c r="D85" t="s">
        <v>748</v>
      </c>
      <c r="E85" t="s">
        <v>749</v>
      </c>
      <c r="F85" t="s">
        <v>811</v>
      </c>
      <c r="G85" t="s">
        <v>810</v>
      </c>
      <c r="H85" s="3" t="s">
        <v>833</v>
      </c>
      <c r="M85" s="3" t="s">
        <v>89</v>
      </c>
      <c r="N85" s="45"/>
      <c r="O85" s="45"/>
      <c r="P85" s="45"/>
      <c r="Q85" s="45"/>
      <c r="R85" s="45"/>
      <c r="S85" s="45"/>
      <c r="T85" s="45"/>
    </row>
    <row r="86" spans="1:20">
      <c r="A86" s="16" t="s">
        <v>79</v>
      </c>
      <c r="B86" s="3" t="s">
        <v>713</v>
      </c>
      <c r="C86" t="s">
        <v>715</v>
      </c>
      <c r="D86" t="s">
        <v>88</v>
      </c>
      <c r="E86" t="s">
        <v>88</v>
      </c>
      <c r="F86" t="s">
        <v>814</v>
      </c>
      <c r="G86" t="s">
        <v>815</v>
      </c>
      <c r="H86" s="3" t="s">
        <v>837</v>
      </c>
      <c r="M86" s="3" t="s">
        <v>89</v>
      </c>
      <c r="N86" s="45"/>
      <c r="O86" s="45"/>
      <c r="P86" s="45"/>
      <c r="Q86" s="45"/>
      <c r="R86" s="45"/>
      <c r="S86" s="45"/>
      <c r="T86" s="45"/>
    </row>
    <row r="87" spans="1:20">
      <c r="A87" s="16" t="s">
        <v>80</v>
      </c>
      <c r="B87" s="3" t="s">
        <v>716</v>
      </c>
      <c r="C87" t="s">
        <v>715</v>
      </c>
      <c r="D87" t="s">
        <v>748</v>
      </c>
      <c r="E87" t="s">
        <v>749</v>
      </c>
      <c r="F87" t="s">
        <v>814</v>
      </c>
      <c r="G87" t="s">
        <v>815</v>
      </c>
      <c r="H87" s="3" t="s">
        <v>873</v>
      </c>
      <c r="M87" s="3" t="s">
        <v>89</v>
      </c>
      <c r="N87" s="45"/>
      <c r="O87" s="45"/>
      <c r="P87" s="45"/>
      <c r="Q87" s="45"/>
      <c r="R87" s="45"/>
      <c r="S87" s="45"/>
      <c r="T87" s="45"/>
    </row>
    <row r="88" spans="1:20">
      <c r="A88" s="16" t="s">
        <v>81</v>
      </c>
      <c r="B88" s="3" t="s">
        <v>713</v>
      </c>
      <c r="C88" t="s">
        <v>715</v>
      </c>
      <c r="D88" t="s">
        <v>88</v>
      </c>
      <c r="E88" t="s">
        <v>88</v>
      </c>
      <c r="F88" t="s">
        <v>814</v>
      </c>
      <c r="G88" t="s">
        <v>815</v>
      </c>
      <c r="H88" s="3" t="s">
        <v>837</v>
      </c>
      <c r="M88" s="3" t="s">
        <v>89</v>
      </c>
      <c r="N88" s="45"/>
      <c r="O88" s="45"/>
      <c r="P88" s="45"/>
      <c r="Q88" s="45"/>
      <c r="R88" s="45"/>
      <c r="S88" s="45"/>
      <c r="T88" s="45"/>
    </row>
    <row r="89" spans="1:20">
      <c r="A89" s="16" t="s">
        <v>82</v>
      </c>
      <c r="B89" s="3" t="s">
        <v>88</v>
      </c>
      <c r="C89" t="s">
        <v>715</v>
      </c>
      <c r="D89" t="s">
        <v>88</v>
      </c>
      <c r="E89" t="s">
        <v>88</v>
      </c>
      <c r="F89" t="s">
        <v>811</v>
      </c>
      <c r="G89" t="s">
        <v>810</v>
      </c>
      <c r="H89" s="3" t="s">
        <v>833</v>
      </c>
      <c r="M89" s="3" t="s">
        <v>88</v>
      </c>
      <c r="N89" s="45"/>
      <c r="O89" s="45"/>
      <c r="P89" s="45"/>
      <c r="Q89" s="45"/>
      <c r="R89" s="45"/>
      <c r="S89" s="45"/>
      <c r="T89" s="45"/>
    </row>
    <row r="90" spans="1:20">
      <c r="A90" s="16" t="s">
        <v>83</v>
      </c>
      <c r="B90" s="3" t="s">
        <v>713</v>
      </c>
      <c r="C90" t="s">
        <v>715</v>
      </c>
      <c r="D90" t="s">
        <v>748</v>
      </c>
      <c r="E90" t="s">
        <v>88</v>
      </c>
      <c r="F90" t="s">
        <v>814</v>
      </c>
      <c r="G90" t="s">
        <v>815</v>
      </c>
      <c r="H90" s="3" t="s">
        <v>837</v>
      </c>
      <c r="M90" s="3" t="s">
        <v>89</v>
      </c>
      <c r="N90" s="45"/>
      <c r="O90" s="45"/>
      <c r="P90" s="45"/>
      <c r="Q90" s="45"/>
      <c r="R90" s="45"/>
      <c r="S90" s="45"/>
      <c r="T90" s="45"/>
    </row>
    <row r="91" spans="1:20">
      <c r="A91" s="16" t="s">
        <v>84</v>
      </c>
      <c r="B91" s="3" t="s">
        <v>713</v>
      </c>
      <c r="C91" t="s">
        <v>715</v>
      </c>
      <c r="D91" t="s">
        <v>88</v>
      </c>
      <c r="E91" t="s">
        <v>88</v>
      </c>
      <c r="F91" t="s">
        <v>814</v>
      </c>
      <c r="G91" t="s">
        <v>815</v>
      </c>
      <c r="H91" s="3" t="s">
        <v>837</v>
      </c>
      <c r="M91" s="3" t="s">
        <v>89</v>
      </c>
      <c r="N91" s="45"/>
      <c r="O91" s="45"/>
      <c r="P91" s="45"/>
      <c r="Q91" s="45"/>
      <c r="R91" s="45"/>
      <c r="S91" s="45"/>
      <c r="T91" s="45"/>
    </row>
    <row r="92" spans="1:20">
      <c r="A92" s="16" t="s">
        <v>85</v>
      </c>
      <c r="B92" s="3" t="s">
        <v>713</v>
      </c>
      <c r="C92" t="s">
        <v>714</v>
      </c>
      <c r="D92" t="s">
        <v>88</v>
      </c>
      <c r="E92" t="s">
        <v>88</v>
      </c>
      <c r="F92" t="s">
        <v>814</v>
      </c>
      <c r="G92" t="s">
        <v>815</v>
      </c>
      <c r="H92" s="3" t="s">
        <v>837</v>
      </c>
      <c r="M92" s="3" t="s">
        <v>89</v>
      </c>
      <c r="N92" s="45"/>
      <c r="O92" s="45"/>
      <c r="P92" s="45"/>
      <c r="Q92" s="45"/>
      <c r="R92" s="45"/>
      <c r="S92" s="45"/>
      <c r="T92" s="45"/>
    </row>
    <row r="93" spans="1:20">
      <c r="A93" s="16" t="s">
        <v>86</v>
      </c>
      <c r="B93" s="3" t="s">
        <v>88</v>
      </c>
      <c r="C93" t="s">
        <v>88</v>
      </c>
      <c r="D93" t="s">
        <v>88</v>
      </c>
      <c r="E93" t="s">
        <v>749</v>
      </c>
      <c r="F93" t="s">
        <v>811</v>
      </c>
      <c r="G93" t="s">
        <v>810</v>
      </c>
      <c r="H93" s="3" t="s">
        <v>872</v>
      </c>
      <c r="M93" s="3" t="s">
        <v>89</v>
      </c>
      <c r="N93" s="45"/>
      <c r="O93" s="45"/>
      <c r="P93" s="45"/>
      <c r="Q93" s="45"/>
      <c r="R93" s="45"/>
      <c r="S93" s="45"/>
      <c r="T93" s="45"/>
    </row>
    <row r="94" spans="1:20">
      <c r="A94" s="16" t="s">
        <v>87</v>
      </c>
      <c r="B94" s="9" t="s">
        <v>713</v>
      </c>
      <c r="C94" t="s">
        <v>715</v>
      </c>
      <c r="D94" t="s">
        <v>88</v>
      </c>
      <c r="E94" t="s">
        <v>88</v>
      </c>
      <c r="F94" t="s">
        <v>814</v>
      </c>
      <c r="G94" t="s">
        <v>815</v>
      </c>
      <c r="H94" s="9" t="s">
        <v>837</v>
      </c>
      <c r="M94" s="9" t="s">
        <v>89</v>
      </c>
      <c r="N94" s="47"/>
      <c r="O94" s="47"/>
      <c r="P94" s="47"/>
      <c r="Q94" s="47"/>
      <c r="R94" s="45"/>
      <c r="S94" s="45"/>
      <c r="T94" s="47"/>
    </row>
    <row r="95" spans="1:20">
      <c r="A95" s="1" t="s">
        <v>90</v>
      </c>
      <c r="B95" s="10" t="s">
        <v>88</v>
      </c>
      <c r="C95" t="s">
        <v>88</v>
      </c>
      <c r="D95" t="s">
        <v>88</v>
      </c>
      <c r="E95" t="s">
        <v>88</v>
      </c>
      <c r="F95" t="s">
        <v>811</v>
      </c>
      <c r="G95" t="s">
        <v>810</v>
      </c>
      <c r="H95" s="10" t="s">
        <v>833</v>
      </c>
      <c r="I95" t="s">
        <v>931</v>
      </c>
      <c r="J95" t="s">
        <v>1040</v>
      </c>
      <c r="K95" t="s">
        <v>1049</v>
      </c>
      <c r="L95" t="s">
        <v>1049</v>
      </c>
      <c r="M95" s="10" t="s">
        <v>1131</v>
      </c>
      <c r="N95" s="48" t="s">
        <v>1206</v>
      </c>
      <c r="O95" s="48" t="s">
        <v>1256</v>
      </c>
      <c r="P95" s="48" t="s">
        <v>1263</v>
      </c>
      <c r="Q95" s="48" t="s">
        <v>1311</v>
      </c>
      <c r="R95" s="8" t="s">
        <v>1322</v>
      </c>
      <c r="S95" s="8" t="s">
        <v>1322</v>
      </c>
      <c r="T95" s="48"/>
    </row>
    <row r="96" spans="1:20">
      <c r="A96" s="1" t="s">
        <v>91</v>
      </c>
      <c r="B96" s="10" t="s">
        <v>88</v>
      </c>
      <c r="C96" t="s">
        <v>88</v>
      </c>
      <c r="D96" t="s">
        <v>88</v>
      </c>
      <c r="E96" t="s">
        <v>88</v>
      </c>
      <c r="F96" t="s">
        <v>811</v>
      </c>
      <c r="G96" t="s">
        <v>810</v>
      </c>
      <c r="H96" s="10" t="s">
        <v>833</v>
      </c>
      <c r="I96" t="s">
        <v>886</v>
      </c>
      <c r="J96" t="s">
        <v>1040</v>
      </c>
      <c r="K96" t="s">
        <v>1083</v>
      </c>
      <c r="L96" t="s">
        <v>1104</v>
      </c>
      <c r="M96" s="10" t="s">
        <v>1131</v>
      </c>
      <c r="N96" s="48" t="s">
        <v>1209</v>
      </c>
      <c r="O96" s="48" t="s">
        <v>1256</v>
      </c>
      <c r="P96" s="48" t="s">
        <v>1256</v>
      </c>
      <c r="Q96" s="48" t="s">
        <v>1260</v>
      </c>
      <c r="R96" s="8" t="s">
        <v>1322</v>
      </c>
      <c r="S96" s="8" t="s">
        <v>1322</v>
      </c>
      <c r="T96" s="48"/>
    </row>
    <row r="97" spans="1:20">
      <c r="A97" s="1" t="s">
        <v>92</v>
      </c>
      <c r="B97" s="10" t="s">
        <v>88</v>
      </c>
      <c r="C97" t="s">
        <v>88</v>
      </c>
      <c r="D97" t="s">
        <v>88</v>
      </c>
      <c r="E97" t="s">
        <v>88</v>
      </c>
      <c r="F97" t="s">
        <v>811</v>
      </c>
      <c r="G97" t="s">
        <v>810</v>
      </c>
      <c r="H97" s="10" t="s">
        <v>833</v>
      </c>
      <c r="I97" t="s">
        <v>927</v>
      </c>
      <c r="J97" t="s">
        <v>1040</v>
      </c>
      <c r="K97" t="s">
        <v>1050</v>
      </c>
      <c r="L97" t="s">
        <v>1122</v>
      </c>
      <c r="M97" s="10" t="s">
        <v>1131</v>
      </c>
      <c r="N97" s="48" t="s">
        <v>1210</v>
      </c>
      <c r="O97" s="48" t="s">
        <v>1259</v>
      </c>
      <c r="P97" s="48" t="s">
        <v>1259</v>
      </c>
      <c r="Q97" s="48" t="s">
        <v>1260</v>
      </c>
      <c r="R97" s="8" t="s">
        <v>1322</v>
      </c>
      <c r="S97" s="8" t="s">
        <v>1322</v>
      </c>
      <c r="T97" s="48"/>
    </row>
    <row r="98" spans="1:20">
      <c r="A98" s="17" t="s">
        <v>93</v>
      </c>
      <c r="B98" s="10" t="s">
        <v>88</v>
      </c>
      <c r="C98" t="s">
        <v>88</v>
      </c>
      <c r="D98" t="s">
        <v>88</v>
      </c>
      <c r="E98" t="s">
        <v>88</v>
      </c>
      <c r="F98" t="s">
        <v>811</v>
      </c>
      <c r="G98" t="s">
        <v>810</v>
      </c>
      <c r="H98" s="10" t="s">
        <v>833</v>
      </c>
      <c r="I98" t="s">
        <v>886</v>
      </c>
      <c r="J98" t="s">
        <v>1040</v>
      </c>
      <c r="K98" t="s">
        <v>1049</v>
      </c>
      <c r="L98" t="s">
        <v>1083</v>
      </c>
      <c r="M98" s="10" t="s">
        <v>1131</v>
      </c>
      <c r="N98" s="48" t="s">
        <v>1203</v>
      </c>
      <c r="O98" s="48" t="s">
        <v>1256</v>
      </c>
      <c r="P98" s="48" t="s">
        <v>1290</v>
      </c>
      <c r="Q98" s="48" t="s">
        <v>1312</v>
      </c>
      <c r="R98" s="8" t="s">
        <v>1322</v>
      </c>
      <c r="S98" s="8" t="s">
        <v>1322</v>
      </c>
      <c r="T98" s="48"/>
    </row>
    <row r="99" spans="1:20">
      <c r="A99" s="1" t="s">
        <v>94</v>
      </c>
      <c r="B99" s="10" t="s">
        <v>88</v>
      </c>
      <c r="C99" t="s">
        <v>88</v>
      </c>
      <c r="D99" t="s">
        <v>88</v>
      </c>
      <c r="E99" t="s">
        <v>88</v>
      </c>
      <c r="F99" t="s">
        <v>811</v>
      </c>
      <c r="G99" t="s">
        <v>810</v>
      </c>
      <c r="H99" s="10" t="s">
        <v>833</v>
      </c>
      <c r="I99" t="s">
        <v>886</v>
      </c>
      <c r="J99" t="s">
        <v>1040</v>
      </c>
      <c r="K99" t="s">
        <v>1083</v>
      </c>
      <c r="L99" t="s">
        <v>1123</v>
      </c>
      <c r="M99" s="10" t="s">
        <v>1131</v>
      </c>
      <c r="N99" s="48" t="s">
        <v>1211</v>
      </c>
      <c r="O99" s="48" t="s">
        <v>1263</v>
      </c>
      <c r="P99" s="48" t="s">
        <v>1259</v>
      </c>
      <c r="Q99" s="48" t="s">
        <v>1261</v>
      </c>
      <c r="R99" s="8" t="s">
        <v>1322</v>
      </c>
      <c r="S99" s="8" t="s">
        <v>1322</v>
      </c>
      <c r="T99" s="48"/>
    </row>
    <row r="100" spans="1:20">
      <c r="A100" s="17" t="s">
        <v>781</v>
      </c>
      <c r="B100" s="10" t="s">
        <v>721</v>
      </c>
      <c r="C100" t="s">
        <v>715</v>
      </c>
      <c r="D100" t="s">
        <v>88</v>
      </c>
      <c r="E100" t="s">
        <v>88</v>
      </c>
      <c r="F100" t="s">
        <v>814</v>
      </c>
      <c r="G100" t="s">
        <v>815</v>
      </c>
      <c r="H100" s="10" t="s">
        <v>833</v>
      </c>
      <c r="M100" s="10" t="s">
        <v>1131</v>
      </c>
      <c r="N100" s="48"/>
      <c r="O100" s="48"/>
      <c r="P100" s="48"/>
      <c r="Q100" s="48"/>
      <c r="R100" s="45"/>
      <c r="S100" s="45"/>
      <c r="T100" s="48"/>
    </row>
    <row r="101" spans="1:20">
      <c r="A101" s="14" t="s">
        <v>697</v>
      </c>
      <c r="B101" s="8" t="s">
        <v>713</v>
      </c>
      <c r="C101" t="s">
        <v>715</v>
      </c>
      <c r="D101" t="s">
        <v>88</v>
      </c>
      <c r="E101" t="s">
        <v>88</v>
      </c>
      <c r="F101" t="s">
        <v>811</v>
      </c>
      <c r="G101" t="s">
        <v>810</v>
      </c>
      <c r="H101" s="8" t="s">
        <v>839</v>
      </c>
      <c r="M101" s="8" t="s">
        <v>1132</v>
      </c>
    </row>
    <row r="102" spans="1:20">
      <c r="A102" s="14" t="s">
        <v>698</v>
      </c>
      <c r="B102" s="8" t="s">
        <v>88</v>
      </c>
      <c r="C102" t="s">
        <v>88</v>
      </c>
      <c r="D102" t="s">
        <v>88</v>
      </c>
      <c r="E102" t="s">
        <v>88</v>
      </c>
      <c r="F102" t="s">
        <v>814</v>
      </c>
      <c r="G102" t="s">
        <v>815</v>
      </c>
      <c r="H102" s="8" t="s">
        <v>833</v>
      </c>
      <c r="M102" s="8" t="s">
        <v>1132</v>
      </c>
    </row>
  </sheetData>
  <phoneticPr fontId="4" type="noConversion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tabColor theme="9"/>
  </sheetPr>
  <dimension ref="A1:X22"/>
  <sheetViews>
    <sheetView workbookViewId="0">
      <selection activeCell="V23" sqref="V23"/>
    </sheetView>
  </sheetViews>
  <sheetFormatPr defaultRowHeight="15"/>
  <cols>
    <col min="1" max="1" width="30.85546875" bestFit="1" customWidth="1"/>
    <col min="2" max="2" width="20" hidden="1" customWidth="1"/>
    <col min="3" max="6" width="30.85546875" hidden="1" customWidth="1"/>
    <col min="7" max="7" width="25.85546875" hidden="1" customWidth="1"/>
    <col min="8" max="8" width="20" hidden="1" customWidth="1"/>
    <col min="9" max="9" width="14.5703125" hidden="1" customWidth="1"/>
    <col min="10" max="12" width="0" hidden="1" customWidth="1"/>
    <col min="13" max="13" width="20" hidden="1" customWidth="1"/>
    <col min="14" max="14" width="12.42578125" hidden="1" customWidth="1"/>
    <col min="15" max="17" width="14.28515625" hidden="1" customWidth="1"/>
    <col min="18" max="18" width="14.28515625" customWidth="1"/>
    <col min="19" max="19" width="9.85546875" bestFit="1" customWidth="1"/>
    <col min="20" max="20" width="9.85546875" customWidth="1"/>
  </cols>
  <sheetData>
    <row r="1" spans="1:24">
      <c r="A1" s="6" t="s">
        <v>1</v>
      </c>
      <c r="B1" s="2" t="s">
        <v>704</v>
      </c>
      <c r="C1" s="2" t="s">
        <v>711</v>
      </c>
      <c r="D1" s="2" t="s">
        <v>750</v>
      </c>
      <c r="E1" s="2" t="s">
        <v>751</v>
      </c>
      <c r="F1" s="2" t="s">
        <v>699</v>
      </c>
      <c r="G1" s="2" t="s">
        <v>821</v>
      </c>
      <c r="H1" s="2" t="s">
        <v>867</v>
      </c>
      <c r="I1" t="s">
        <v>966</v>
      </c>
      <c r="J1" t="s">
        <v>990</v>
      </c>
      <c r="K1" s="2" t="s">
        <v>701</v>
      </c>
      <c r="L1" s="2" t="s">
        <v>1097</v>
      </c>
      <c r="M1" s="2" t="s">
        <v>0</v>
      </c>
      <c r="N1" s="2" t="s">
        <v>0</v>
      </c>
      <c r="O1" s="44" t="s">
        <v>1225</v>
      </c>
      <c r="P1" s="44" t="s">
        <v>1223</v>
      </c>
      <c r="Q1" t="s">
        <v>1142</v>
      </c>
      <c r="R1" t="s">
        <v>1313</v>
      </c>
      <c r="S1" s="44" t="s">
        <v>1319</v>
      </c>
      <c r="T1" s="44" t="s">
        <v>1323</v>
      </c>
    </row>
    <row r="2" spans="1:24">
      <c r="A2" s="1" t="s">
        <v>95</v>
      </c>
      <c r="B2" s="3" t="s">
        <v>88</v>
      </c>
      <c r="C2" t="s">
        <v>88</v>
      </c>
      <c r="D2" t="s">
        <v>88</v>
      </c>
      <c r="E2" t="s">
        <v>88</v>
      </c>
      <c r="F2" t="s">
        <v>822</v>
      </c>
      <c r="G2" t="s">
        <v>817</v>
      </c>
      <c r="H2" s="3" t="s">
        <v>874</v>
      </c>
      <c r="I2" t="s">
        <v>932</v>
      </c>
      <c r="J2" t="s">
        <v>1094</v>
      </c>
      <c r="K2" t="s">
        <v>1094</v>
      </c>
      <c r="L2" t="s">
        <v>1124</v>
      </c>
      <c r="M2" s="3" t="s">
        <v>88</v>
      </c>
      <c r="N2" s="3" t="s">
        <v>88</v>
      </c>
      <c r="O2" t="s">
        <v>1214</v>
      </c>
      <c r="P2" t="s">
        <v>1264</v>
      </c>
      <c r="Q2" t="s">
        <v>1268</v>
      </c>
      <c r="R2" t="s">
        <v>1264</v>
      </c>
      <c r="S2" s="3" t="s">
        <v>88</v>
      </c>
      <c r="T2" s="3" t="s">
        <v>88</v>
      </c>
      <c r="X2" s="8" t="s">
        <v>938</v>
      </c>
    </row>
    <row r="3" spans="1:24">
      <c r="A3" s="1" t="s">
        <v>96</v>
      </c>
      <c r="B3" s="3" t="s">
        <v>88</v>
      </c>
      <c r="C3" t="s">
        <v>88</v>
      </c>
      <c r="D3" t="s">
        <v>88</v>
      </c>
      <c r="E3" t="s">
        <v>88</v>
      </c>
      <c r="F3" t="s">
        <v>823</v>
      </c>
      <c r="G3" t="s">
        <v>819</v>
      </c>
      <c r="H3" s="3" t="s">
        <v>874</v>
      </c>
      <c r="I3" t="s">
        <v>933</v>
      </c>
      <c r="J3" t="s">
        <v>1094</v>
      </c>
      <c r="K3" t="s">
        <v>1094</v>
      </c>
      <c r="L3" t="s">
        <v>1125</v>
      </c>
      <c r="M3" s="3" t="s">
        <v>88</v>
      </c>
      <c r="N3" s="3" t="s">
        <v>88</v>
      </c>
      <c r="O3" t="s">
        <v>1215</v>
      </c>
      <c r="P3" t="s">
        <v>1264</v>
      </c>
      <c r="Q3" t="s">
        <v>1296</v>
      </c>
      <c r="R3" t="s">
        <v>1264</v>
      </c>
      <c r="S3" s="3" t="s">
        <v>88</v>
      </c>
      <c r="T3" s="3" t="s">
        <v>88</v>
      </c>
      <c r="V3" t="s">
        <v>935</v>
      </c>
      <c r="W3">
        <v>21</v>
      </c>
    </row>
    <row r="4" spans="1:24">
      <c r="A4" s="1" t="s">
        <v>97</v>
      </c>
      <c r="B4" s="3" t="s">
        <v>88</v>
      </c>
      <c r="C4" t="s">
        <v>88</v>
      </c>
      <c r="D4" t="s">
        <v>88</v>
      </c>
      <c r="E4" t="s">
        <v>88</v>
      </c>
      <c r="F4" t="s">
        <v>818</v>
      </c>
      <c r="G4" t="s">
        <v>819</v>
      </c>
      <c r="H4" s="3" t="s">
        <v>874</v>
      </c>
      <c r="I4" t="s">
        <v>932</v>
      </c>
      <c r="J4" t="s">
        <v>1095</v>
      </c>
      <c r="K4" t="s">
        <v>1095</v>
      </c>
      <c r="L4" t="s">
        <v>1126</v>
      </c>
      <c r="M4" s="3" t="s">
        <v>88</v>
      </c>
      <c r="N4" s="3" t="s">
        <v>88</v>
      </c>
      <c r="O4" t="s">
        <v>1212</v>
      </c>
      <c r="P4" t="s">
        <v>1264</v>
      </c>
      <c r="Q4" t="s">
        <v>1264</v>
      </c>
      <c r="R4" t="s">
        <v>1264</v>
      </c>
      <c r="S4" s="3" t="s">
        <v>88</v>
      </c>
      <c r="T4" s="3" t="s">
        <v>88</v>
      </c>
      <c r="V4" t="s">
        <v>936</v>
      </c>
      <c r="W4">
        <v>21</v>
      </c>
      <c r="X4">
        <f>W4/W3*100</f>
        <v>100</v>
      </c>
    </row>
    <row r="5" spans="1:24">
      <c r="A5" s="1" t="s">
        <v>98</v>
      </c>
      <c r="B5" s="3" t="s">
        <v>88</v>
      </c>
      <c r="C5" t="s">
        <v>88</v>
      </c>
      <c r="D5" t="s">
        <v>88</v>
      </c>
      <c r="E5" t="s">
        <v>88</v>
      </c>
      <c r="F5" t="s">
        <v>820</v>
      </c>
      <c r="G5" t="s">
        <v>817</v>
      </c>
      <c r="H5" s="3" t="s">
        <v>874</v>
      </c>
      <c r="I5" t="s">
        <v>932</v>
      </c>
      <c r="J5" t="s">
        <v>1094</v>
      </c>
      <c r="K5" t="s">
        <v>1094</v>
      </c>
      <c r="L5" t="s">
        <v>1127</v>
      </c>
      <c r="M5" s="3" t="s">
        <v>88</v>
      </c>
      <c r="N5" s="3" t="s">
        <v>88</v>
      </c>
      <c r="O5" t="s">
        <v>1212</v>
      </c>
      <c r="P5" t="s">
        <v>1267</v>
      </c>
      <c r="Q5" t="s">
        <v>1267</v>
      </c>
      <c r="R5" t="s">
        <v>1264</v>
      </c>
      <c r="S5" s="3" t="s">
        <v>88</v>
      </c>
      <c r="T5" s="3" t="s">
        <v>88</v>
      </c>
      <c r="V5" t="s">
        <v>937</v>
      </c>
      <c r="W5">
        <f>W3-W4</f>
        <v>0</v>
      </c>
      <c r="X5">
        <f>100-X4</f>
        <v>0</v>
      </c>
    </row>
    <row r="6" spans="1:24">
      <c r="A6" s="1" t="s">
        <v>99</v>
      </c>
      <c r="B6" s="3" t="s">
        <v>88</v>
      </c>
      <c r="C6" t="s">
        <v>88</v>
      </c>
      <c r="D6" t="s">
        <v>88</v>
      </c>
      <c r="E6" t="s">
        <v>88</v>
      </c>
      <c r="F6" t="s">
        <v>820</v>
      </c>
      <c r="G6" t="s">
        <v>819</v>
      </c>
      <c r="H6" s="3" t="s">
        <v>874</v>
      </c>
      <c r="I6" t="s">
        <v>932</v>
      </c>
      <c r="J6" t="s">
        <v>1096</v>
      </c>
      <c r="K6" t="s">
        <v>1096</v>
      </c>
      <c r="L6" t="s">
        <v>1128</v>
      </c>
      <c r="M6" s="3" t="s">
        <v>88</v>
      </c>
      <c r="O6" t="s">
        <v>1216</v>
      </c>
      <c r="P6" t="s">
        <v>1264</v>
      </c>
      <c r="Q6" t="s">
        <v>1267</v>
      </c>
      <c r="R6" t="s">
        <v>1315</v>
      </c>
      <c r="S6" s="3" t="s">
        <v>88</v>
      </c>
      <c r="T6" s="3" t="s">
        <v>88</v>
      </c>
    </row>
    <row r="7" spans="1:24">
      <c r="A7" s="1" t="s">
        <v>100</v>
      </c>
      <c r="B7" s="3" t="s">
        <v>88</v>
      </c>
      <c r="C7" t="s">
        <v>88</v>
      </c>
      <c r="D7" t="s">
        <v>88</v>
      </c>
      <c r="E7" t="s">
        <v>88</v>
      </c>
      <c r="F7" t="s">
        <v>820</v>
      </c>
      <c r="G7" t="s">
        <v>817</v>
      </c>
      <c r="H7" s="3" t="s">
        <v>874</v>
      </c>
      <c r="I7" t="s">
        <v>932</v>
      </c>
      <c r="J7" t="s">
        <v>1094</v>
      </c>
      <c r="K7" t="s">
        <v>1094</v>
      </c>
      <c r="L7" t="s">
        <v>1094</v>
      </c>
      <c r="M7" s="3" t="s">
        <v>88</v>
      </c>
      <c r="O7" t="s">
        <v>1215</v>
      </c>
      <c r="P7" t="s">
        <v>1268</v>
      </c>
      <c r="Q7" t="s">
        <v>1264</v>
      </c>
      <c r="R7" t="s">
        <v>1265</v>
      </c>
      <c r="S7" s="3" t="s">
        <v>88</v>
      </c>
      <c r="T7" s="3" t="s">
        <v>88</v>
      </c>
    </row>
    <row r="8" spans="1:24">
      <c r="A8" s="1" t="s">
        <v>101</v>
      </c>
      <c r="B8" s="3" t="s">
        <v>88</v>
      </c>
      <c r="C8" t="s">
        <v>88</v>
      </c>
      <c r="D8" t="s">
        <v>88</v>
      </c>
      <c r="E8" t="s">
        <v>88</v>
      </c>
      <c r="F8" t="s">
        <v>820</v>
      </c>
      <c r="G8" t="s">
        <v>824</v>
      </c>
      <c r="H8" s="3" t="s">
        <v>874</v>
      </c>
      <c r="I8" t="s">
        <v>932</v>
      </c>
      <c r="J8" t="s">
        <v>1094</v>
      </c>
      <c r="K8" t="s">
        <v>1094</v>
      </c>
      <c r="L8" t="s">
        <v>1094</v>
      </c>
      <c r="M8" s="3" t="s">
        <v>88</v>
      </c>
      <c r="O8" t="s">
        <v>1217</v>
      </c>
      <c r="P8" t="s">
        <v>1265</v>
      </c>
      <c r="Q8" t="s">
        <v>1264</v>
      </c>
      <c r="R8" t="s">
        <v>1298</v>
      </c>
      <c r="S8" s="3" t="s">
        <v>88</v>
      </c>
      <c r="T8" s="3" t="s">
        <v>88</v>
      </c>
    </row>
    <row r="9" spans="1:24">
      <c r="A9" s="1" t="s">
        <v>102</v>
      </c>
      <c r="B9" s="3" t="s">
        <v>88</v>
      </c>
      <c r="C9" t="s">
        <v>88</v>
      </c>
      <c r="D9" t="s">
        <v>88</v>
      </c>
      <c r="E9" t="s">
        <v>88</v>
      </c>
      <c r="F9" t="s">
        <v>818</v>
      </c>
      <c r="G9" t="s">
        <v>819</v>
      </c>
      <c r="H9" s="3" t="s">
        <v>874</v>
      </c>
      <c r="I9" t="s">
        <v>932</v>
      </c>
      <c r="J9" t="s">
        <v>1094</v>
      </c>
      <c r="K9" t="s">
        <v>1094</v>
      </c>
      <c r="L9" t="s">
        <v>1094</v>
      </c>
      <c r="M9" s="3" t="s">
        <v>88</v>
      </c>
      <c r="O9" t="s">
        <v>1218</v>
      </c>
      <c r="P9" t="s">
        <v>1264</v>
      </c>
      <c r="Q9" t="s">
        <v>1264</v>
      </c>
      <c r="R9" t="s">
        <v>1267</v>
      </c>
      <c r="S9" s="3" t="s">
        <v>88</v>
      </c>
      <c r="T9" s="3" t="s">
        <v>88</v>
      </c>
    </row>
    <row r="10" spans="1:24">
      <c r="A10" s="1" t="s">
        <v>103</v>
      </c>
      <c r="B10" s="3" t="s">
        <v>88</v>
      </c>
      <c r="C10" t="s">
        <v>88</v>
      </c>
      <c r="D10" t="s">
        <v>88</v>
      </c>
      <c r="E10" t="s">
        <v>88</v>
      </c>
      <c r="F10" t="s">
        <v>818</v>
      </c>
      <c r="G10" t="s">
        <v>817</v>
      </c>
      <c r="H10" s="3" t="s">
        <v>817</v>
      </c>
      <c r="I10" t="s">
        <v>932</v>
      </c>
      <c r="J10" t="s">
        <v>1094</v>
      </c>
      <c r="K10" t="s">
        <v>1094</v>
      </c>
      <c r="L10" t="s">
        <v>1094</v>
      </c>
      <c r="M10" s="3" t="s">
        <v>88</v>
      </c>
      <c r="O10" t="s">
        <v>1218</v>
      </c>
      <c r="P10" t="s">
        <v>1267</v>
      </c>
      <c r="Q10" t="s">
        <v>1264</v>
      </c>
      <c r="R10" t="s">
        <v>1316</v>
      </c>
      <c r="S10" s="3" t="s">
        <v>88</v>
      </c>
      <c r="T10" s="3" t="s">
        <v>88</v>
      </c>
    </row>
    <row r="11" spans="1:24">
      <c r="A11" s="1" t="s">
        <v>104</v>
      </c>
      <c r="B11" s="3" t="s">
        <v>88</v>
      </c>
      <c r="C11" t="s">
        <v>88</v>
      </c>
      <c r="D11" t="s">
        <v>88</v>
      </c>
      <c r="E11" t="s">
        <v>88</v>
      </c>
      <c r="F11" t="s">
        <v>818</v>
      </c>
      <c r="G11" t="s">
        <v>817</v>
      </c>
      <c r="H11" s="3" t="s">
        <v>874</v>
      </c>
      <c r="I11" t="s">
        <v>932</v>
      </c>
      <c r="J11" t="s">
        <v>1094</v>
      </c>
      <c r="K11" t="s">
        <v>1094</v>
      </c>
      <c r="L11" t="s">
        <v>1095</v>
      </c>
      <c r="M11" s="3" t="s">
        <v>88</v>
      </c>
      <c r="O11" t="s">
        <v>1212</v>
      </c>
      <c r="P11" t="s">
        <v>1269</v>
      </c>
      <c r="Q11" t="s">
        <v>1298</v>
      </c>
      <c r="R11" t="s">
        <v>1267</v>
      </c>
      <c r="S11" s="3" t="s">
        <v>88</v>
      </c>
      <c r="T11" s="3" t="s">
        <v>88</v>
      </c>
    </row>
    <row r="12" spans="1:24">
      <c r="A12" s="1" t="s">
        <v>105</v>
      </c>
      <c r="B12" s="3" t="s">
        <v>88</v>
      </c>
      <c r="C12" t="s">
        <v>88</v>
      </c>
      <c r="D12" t="s">
        <v>88</v>
      </c>
      <c r="E12" t="s">
        <v>88</v>
      </c>
      <c r="F12" t="s">
        <v>818</v>
      </c>
      <c r="G12" t="s">
        <v>817</v>
      </c>
      <c r="H12" s="3" t="s">
        <v>874</v>
      </c>
      <c r="I12" t="s">
        <v>932</v>
      </c>
      <c r="J12" t="s">
        <v>1095</v>
      </c>
      <c r="K12" t="s">
        <v>1095</v>
      </c>
      <c r="L12" t="s">
        <v>1094</v>
      </c>
      <c r="M12" s="3" t="s">
        <v>88</v>
      </c>
      <c r="O12" t="s">
        <v>1212</v>
      </c>
      <c r="P12" t="s">
        <v>1270</v>
      </c>
      <c r="Q12" t="s">
        <v>1264</v>
      </c>
      <c r="R12" t="s">
        <v>1265</v>
      </c>
      <c r="S12" s="3" t="s">
        <v>88</v>
      </c>
      <c r="T12" s="3" t="s">
        <v>88</v>
      </c>
    </row>
    <row r="13" spans="1:24">
      <c r="A13" s="1" t="s">
        <v>106</v>
      </c>
      <c r="B13" s="3" t="s">
        <v>88</v>
      </c>
      <c r="C13" t="s">
        <v>88</v>
      </c>
      <c r="D13" t="s">
        <v>88</v>
      </c>
      <c r="E13" t="s">
        <v>88</v>
      </c>
      <c r="F13" t="s">
        <v>818</v>
      </c>
      <c r="G13" t="s">
        <v>817</v>
      </c>
      <c r="H13" s="3" t="s">
        <v>875</v>
      </c>
      <c r="I13" t="s">
        <v>932</v>
      </c>
      <c r="J13" t="s">
        <v>1093</v>
      </c>
      <c r="K13" t="s">
        <v>1093</v>
      </c>
      <c r="L13" t="s">
        <v>1094</v>
      </c>
      <c r="M13" s="3" t="s">
        <v>88</v>
      </c>
      <c r="O13" t="s">
        <v>1212</v>
      </c>
      <c r="P13" t="s">
        <v>1264</v>
      </c>
      <c r="Q13" t="s">
        <v>1267</v>
      </c>
      <c r="R13" t="s">
        <v>1314</v>
      </c>
      <c r="S13" s="3" t="s">
        <v>88</v>
      </c>
      <c r="T13" s="3" t="s">
        <v>88</v>
      </c>
    </row>
    <row r="14" spans="1:24">
      <c r="A14" s="1" t="s">
        <v>107</v>
      </c>
      <c r="B14" s="3" t="s">
        <v>88</v>
      </c>
      <c r="C14" t="s">
        <v>88</v>
      </c>
      <c r="D14" t="s">
        <v>88</v>
      </c>
      <c r="E14" t="s">
        <v>88</v>
      </c>
      <c r="F14" t="s">
        <v>818</v>
      </c>
      <c r="G14" t="s">
        <v>817</v>
      </c>
      <c r="H14" s="3" t="s">
        <v>875</v>
      </c>
      <c r="I14" t="s">
        <v>932</v>
      </c>
      <c r="J14" t="s">
        <v>1093</v>
      </c>
      <c r="K14" t="s">
        <v>1093</v>
      </c>
      <c r="L14" t="s">
        <v>1094</v>
      </c>
      <c r="M14" s="3" t="s">
        <v>88</v>
      </c>
      <c r="O14" t="s">
        <v>1212</v>
      </c>
      <c r="P14" t="s">
        <v>1264</v>
      </c>
      <c r="Q14" t="s">
        <v>1295</v>
      </c>
      <c r="R14" t="s">
        <v>1265</v>
      </c>
      <c r="S14" s="3" t="s">
        <v>88</v>
      </c>
      <c r="T14" s="3" t="s">
        <v>88</v>
      </c>
    </row>
    <row r="15" spans="1:24">
      <c r="A15" s="1" t="s">
        <v>108</v>
      </c>
      <c r="B15" s="3" t="s">
        <v>88</v>
      </c>
      <c r="C15" t="s">
        <v>88</v>
      </c>
      <c r="D15" t="s">
        <v>88</v>
      </c>
      <c r="E15" t="s">
        <v>88</v>
      </c>
      <c r="F15" t="s">
        <v>823</v>
      </c>
      <c r="G15" t="s">
        <v>817</v>
      </c>
      <c r="H15" s="3" t="s">
        <v>817</v>
      </c>
      <c r="I15" t="s">
        <v>932</v>
      </c>
      <c r="J15" t="s">
        <v>1093</v>
      </c>
      <c r="K15" t="s">
        <v>1093</v>
      </c>
      <c r="L15" t="s">
        <v>1094</v>
      </c>
      <c r="M15" s="3" t="s">
        <v>88</v>
      </c>
      <c r="O15" t="s">
        <v>1212</v>
      </c>
      <c r="P15" t="s">
        <v>1265</v>
      </c>
      <c r="Q15" t="s">
        <v>1267</v>
      </c>
      <c r="R15" t="s">
        <v>1267</v>
      </c>
      <c r="S15" s="3" t="s">
        <v>88</v>
      </c>
      <c r="T15" s="3" t="s">
        <v>88</v>
      </c>
    </row>
    <row r="16" spans="1:24">
      <c r="A16" s="1" t="s">
        <v>109</v>
      </c>
      <c r="B16" s="3" t="s">
        <v>88</v>
      </c>
      <c r="C16" t="s">
        <v>88</v>
      </c>
      <c r="D16" t="s">
        <v>88</v>
      </c>
      <c r="E16" t="s">
        <v>88</v>
      </c>
      <c r="F16" t="s">
        <v>818</v>
      </c>
      <c r="G16" t="s">
        <v>817</v>
      </c>
      <c r="H16" s="3" t="s">
        <v>874</v>
      </c>
      <c r="I16" t="s">
        <v>932</v>
      </c>
      <c r="J16" t="s">
        <v>1093</v>
      </c>
      <c r="K16" t="s">
        <v>1093</v>
      </c>
      <c r="L16" t="s">
        <v>1094</v>
      </c>
      <c r="M16" s="3" t="s">
        <v>88</v>
      </c>
      <c r="O16" t="s">
        <v>1213</v>
      </c>
      <c r="P16" t="s">
        <v>1266</v>
      </c>
      <c r="Q16" t="s">
        <v>1296</v>
      </c>
      <c r="R16" t="s">
        <v>1269</v>
      </c>
      <c r="S16" s="3" t="s">
        <v>88</v>
      </c>
      <c r="T16" s="3" t="s">
        <v>88</v>
      </c>
    </row>
    <row r="17" spans="1:20">
      <c r="A17" s="1" t="s">
        <v>110</v>
      </c>
      <c r="B17" s="3" t="s">
        <v>88</v>
      </c>
      <c r="C17" t="s">
        <v>88</v>
      </c>
      <c r="D17" t="s">
        <v>88</v>
      </c>
      <c r="E17" t="s">
        <v>88</v>
      </c>
      <c r="F17" t="s">
        <v>818</v>
      </c>
      <c r="G17" t="s">
        <v>817</v>
      </c>
      <c r="H17" s="3" t="s">
        <v>874</v>
      </c>
      <c r="I17" t="s">
        <v>932</v>
      </c>
      <c r="J17" t="s">
        <v>1093</v>
      </c>
      <c r="K17" t="s">
        <v>1093</v>
      </c>
      <c r="L17" t="s">
        <v>1094</v>
      </c>
      <c r="M17" s="3" t="s">
        <v>88</v>
      </c>
      <c r="O17" t="s">
        <v>1212</v>
      </c>
      <c r="P17" t="s">
        <v>1264</v>
      </c>
      <c r="Q17" t="s">
        <v>1297</v>
      </c>
      <c r="R17" t="s">
        <v>1265</v>
      </c>
      <c r="S17" s="3" t="s">
        <v>88</v>
      </c>
      <c r="T17" s="3" t="s">
        <v>88</v>
      </c>
    </row>
    <row r="18" spans="1:20">
      <c r="A18" s="1" t="s">
        <v>111</v>
      </c>
      <c r="B18" s="3" t="s">
        <v>88</v>
      </c>
      <c r="C18" t="s">
        <v>88</v>
      </c>
      <c r="D18" t="s">
        <v>88</v>
      </c>
      <c r="E18" t="s">
        <v>88</v>
      </c>
      <c r="F18" t="s">
        <v>818</v>
      </c>
      <c r="G18" t="s">
        <v>817</v>
      </c>
      <c r="H18" s="3" t="s">
        <v>874</v>
      </c>
      <c r="I18" t="s">
        <v>932</v>
      </c>
      <c r="J18" t="s">
        <v>1094</v>
      </c>
      <c r="K18" t="s">
        <v>1094</v>
      </c>
      <c r="L18" t="s">
        <v>1126</v>
      </c>
      <c r="M18" s="3" t="s">
        <v>88</v>
      </c>
      <c r="O18" t="s">
        <v>1219</v>
      </c>
      <c r="P18" t="s">
        <v>1269</v>
      </c>
      <c r="Q18" t="s">
        <v>1264</v>
      </c>
      <c r="R18" t="s">
        <v>1264</v>
      </c>
      <c r="S18" s="3" t="s">
        <v>88</v>
      </c>
      <c r="T18" s="3" t="s">
        <v>88</v>
      </c>
    </row>
    <row r="19" spans="1:20">
      <c r="A19" s="1" t="s">
        <v>112</v>
      </c>
      <c r="B19" s="3" t="s">
        <v>88</v>
      </c>
      <c r="C19" t="s">
        <v>88</v>
      </c>
      <c r="D19" t="s">
        <v>88</v>
      </c>
      <c r="E19" t="s">
        <v>88</v>
      </c>
      <c r="F19" t="s">
        <v>818</v>
      </c>
      <c r="G19" t="s">
        <v>817</v>
      </c>
      <c r="H19" s="3" t="s">
        <v>875</v>
      </c>
      <c r="I19" t="s">
        <v>932</v>
      </c>
      <c r="J19" t="s">
        <v>1094</v>
      </c>
      <c r="K19" t="s">
        <v>1094</v>
      </c>
      <c r="L19" t="s">
        <v>1094</v>
      </c>
      <c r="M19" s="3" t="s">
        <v>88</v>
      </c>
      <c r="O19" t="s">
        <v>1218</v>
      </c>
      <c r="P19" t="s">
        <v>1264</v>
      </c>
      <c r="Q19" t="s">
        <v>1264</v>
      </c>
      <c r="R19" t="s">
        <v>1296</v>
      </c>
      <c r="S19" s="3" t="s">
        <v>88</v>
      </c>
      <c r="T19" s="3" t="s">
        <v>88</v>
      </c>
    </row>
    <row r="20" spans="1:20">
      <c r="A20" s="1" t="s">
        <v>113</v>
      </c>
      <c r="B20" s="3" t="s">
        <v>88</v>
      </c>
      <c r="C20" t="s">
        <v>88</v>
      </c>
      <c r="D20" t="s">
        <v>88</v>
      </c>
      <c r="E20" t="s">
        <v>88</v>
      </c>
      <c r="F20" t="s">
        <v>818</v>
      </c>
      <c r="G20" t="s">
        <v>817</v>
      </c>
      <c r="H20" s="3" t="s">
        <v>874</v>
      </c>
      <c r="I20" t="s">
        <v>932</v>
      </c>
      <c r="J20" t="s">
        <v>1095</v>
      </c>
      <c r="K20" t="s">
        <v>1095</v>
      </c>
      <c r="L20" t="s">
        <v>1127</v>
      </c>
      <c r="M20" s="3" t="s">
        <v>88</v>
      </c>
      <c r="O20" t="s">
        <v>1217</v>
      </c>
      <c r="P20" t="s">
        <v>1264</v>
      </c>
      <c r="Q20" t="s">
        <v>1264</v>
      </c>
      <c r="R20" t="s">
        <v>1270</v>
      </c>
      <c r="S20" s="3" t="s">
        <v>88</v>
      </c>
      <c r="T20" s="3" t="s">
        <v>88</v>
      </c>
    </row>
    <row r="21" spans="1:20">
      <c r="A21" s="1" t="s">
        <v>114</v>
      </c>
      <c r="B21" s="3" t="s">
        <v>88</v>
      </c>
      <c r="C21" t="s">
        <v>88</v>
      </c>
      <c r="D21" t="s">
        <v>88</v>
      </c>
      <c r="E21" t="s">
        <v>88</v>
      </c>
      <c r="F21" t="s">
        <v>818</v>
      </c>
      <c r="G21" t="s">
        <v>825</v>
      </c>
      <c r="H21" s="3" t="s">
        <v>874</v>
      </c>
      <c r="I21" t="s">
        <v>932</v>
      </c>
      <c r="J21" t="s">
        <v>1094</v>
      </c>
      <c r="K21" t="s">
        <v>1094</v>
      </c>
      <c r="L21" t="s">
        <v>1095</v>
      </c>
      <c r="M21" s="3" t="s">
        <v>88</v>
      </c>
      <c r="O21" t="s">
        <v>1218</v>
      </c>
      <c r="P21" t="s">
        <v>1264</v>
      </c>
      <c r="Q21" t="s">
        <v>1264</v>
      </c>
      <c r="R21" t="s">
        <v>1267</v>
      </c>
      <c r="S21" s="3" t="s">
        <v>88</v>
      </c>
      <c r="T21" s="3" t="s">
        <v>88</v>
      </c>
    </row>
    <row r="22" spans="1:20">
      <c r="A22" s="1" t="s">
        <v>115</v>
      </c>
      <c r="B22" s="3" t="s">
        <v>88</v>
      </c>
      <c r="C22" t="s">
        <v>88</v>
      </c>
      <c r="D22" t="s">
        <v>88</v>
      </c>
      <c r="E22" t="s">
        <v>88</v>
      </c>
      <c r="F22" t="s">
        <v>818</v>
      </c>
      <c r="G22" t="s">
        <v>817</v>
      </c>
      <c r="H22" s="3" t="s">
        <v>875</v>
      </c>
      <c r="I22" t="s">
        <v>932</v>
      </c>
      <c r="J22" t="s">
        <v>1094</v>
      </c>
      <c r="K22" t="s">
        <v>1094</v>
      </c>
      <c r="L22" t="s">
        <v>1129</v>
      </c>
      <c r="M22" s="3" t="s">
        <v>88</v>
      </c>
      <c r="O22" t="s">
        <v>1212</v>
      </c>
      <c r="P22" t="s">
        <v>1271</v>
      </c>
      <c r="Q22" t="s">
        <v>1267</v>
      </c>
      <c r="R22" t="s">
        <v>1264</v>
      </c>
      <c r="S22" s="3" t="s">
        <v>88</v>
      </c>
      <c r="T22" s="3" t="s">
        <v>88</v>
      </c>
    </row>
  </sheetData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9"/>
  </sheetPr>
  <dimension ref="A1:V5"/>
  <sheetViews>
    <sheetView workbookViewId="0">
      <selection activeCell="A2" sqref="A2"/>
    </sheetView>
  </sheetViews>
  <sheetFormatPr defaultRowHeight="15"/>
  <cols>
    <col min="1" max="1" width="38.28515625" bestFit="1" customWidth="1"/>
    <col min="2" max="2" width="20.140625" hidden="1" customWidth="1"/>
    <col min="3" max="6" width="19.85546875" hidden="1" customWidth="1"/>
    <col min="7" max="7" width="19.7109375" hidden="1" customWidth="1"/>
    <col min="8" max="8" width="20.140625" hidden="1" customWidth="1"/>
    <col min="9" max="9" width="14.5703125" hidden="1" customWidth="1"/>
    <col min="10" max="15" width="0" hidden="1" customWidth="1"/>
  </cols>
  <sheetData>
    <row r="1" spans="1:22">
      <c r="A1" s="6" t="s">
        <v>1</v>
      </c>
      <c r="B1" s="2" t="s">
        <v>704</v>
      </c>
      <c r="C1" s="2" t="s">
        <v>722</v>
      </c>
      <c r="D1" s="2" t="s">
        <v>744</v>
      </c>
      <c r="E1" s="2" t="s">
        <v>746</v>
      </c>
      <c r="F1" s="2" t="s">
        <v>699</v>
      </c>
      <c r="G1" s="2" t="s">
        <v>826</v>
      </c>
      <c r="H1" s="2" t="s">
        <v>876</v>
      </c>
      <c r="I1" t="s">
        <v>966</v>
      </c>
      <c r="J1" t="s">
        <v>990</v>
      </c>
      <c r="K1" s="2" t="s">
        <v>701</v>
      </c>
      <c r="L1" s="2" t="s">
        <v>1097</v>
      </c>
      <c r="M1" s="44" t="s">
        <v>1225</v>
      </c>
      <c r="N1" s="44" t="s">
        <v>1223</v>
      </c>
      <c r="O1" t="s">
        <v>1142</v>
      </c>
      <c r="P1" t="s">
        <v>1309</v>
      </c>
      <c r="Q1" s="44" t="s">
        <v>1169</v>
      </c>
      <c r="R1" s="44" t="s">
        <v>1320</v>
      </c>
      <c r="S1" s="44"/>
    </row>
    <row r="2" spans="1:22">
      <c r="A2" s="1" t="s">
        <v>116</v>
      </c>
      <c r="B2" s="3" t="s">
        <v>88</v>
      </c>
      <c r="C2" t="s">
        <v>88</v>
      </c>
      <c r="D2" t="s">
        <v>88</v>
      </c>
      <c r="E2" t="s">
        <v>88</v>
      </c>
      <c r="F2" t="s">
        <v>806</v>
      </c>
      <c r="G2" t="s">
        <v>816</v>
      </c>
      <c r="H2" s="3" t="s">
        <v>832</v>
      </c>
      <c r="I2" t="s">
        <v>934</v>
      </c>
      <c r="J2" t="s">
        <v>992</v>
      </c>
      <c r="K2" t="s">
        <v>1049</v>
      </c>
      <c r="L2" t="s">
        <v>1121</v>
      </c>
      <c r="M2" t="s">
        <v>1201</v>
      </c>
      <c r="N2" t="s">
        <v>1272</v>
      </c>
      <c r="O2" t="s">
        <v>1273</v>
      </c>
      <c r="P2" t="s">
        <v>1317</v>
      </c>
      <c r="Q2" t="s">
        <v>1324</v>
      </c>
      <c r="R2" t="s">
        <v>806</v>
      </c>
      <c r="V2" s="8" t="s">
        <v>938</v>
      </c>
    </row>
    <row r="3" spans="1:22">
      <c r="A3" s="1" t="s">
        <v>117</v>
      </c>
      <c r="B3" s="3" t="s">
        <v>88</v>
      </c>
      <c r="C3" t="s">
        <v>88</v>
      </c>
      <c r="D3" t="s">
        <v>88</v>
      </c>
      <c r="E3" t="s">
        <v>88</v>
      </c>
      <c r="F3" t="s">
        <v>806</v>
      </c>
      <c r="G3" t="s">
        <v>827</v>
      </c>
      <c r="H3" s="3" t="s">
        <v>806</v>
      </c>
      <c r="I3" t="s">
        <v>886</v>
      </c>
      <c r="J3" t="s">
        <v>997</v>
      </c>
      <c r="K3" t="s">
        <v>1049</v>
      </c>
      <c r="L3" t="s">
        <v>1049</v>
      </c>
      <c r="M3" t="s">
        <v>1220</v>
      </c>
      <c r="N3" t="s">
        <v>1273</v>
      </c>
      <c r="O3" t="s">
        <v>1273</v>
      </c>
      <c r="P3" t="s">
        <v>1318</v>
      </c>
      <c r="Q3" t="s">
        <v>1324</v>
      </c>
      <c r="R3" t="s">
        <v>1321</v>
      </c>
      <c r="T3" t="s">
        <v>935</v>
      </c>
      <c r="U3">
        <v>4</v>
      </c>
    </row>
    <row r="4" spans="1:22">
      <c r="A4" s="1" t="s">
        <v>782</v>
      </c>
      <c r="B4" s="3" t="s">
        <v>88</v>
      </c>
      <c r="C4" t="s">
        <v>88</v>
      </c>
      <c r="D4" t="s">
        <v>88</v>
      </c>
      <c r="E4" t="s">
        <v>88</v>
      </c>
      <c r="F4" t="s">
        <v>828</v>
      </c>
      <c r="G4" t="s">
        <v>827</v>
      </c>
      <c r="H4" s="3" t="s">
        <v>832</v>
      </c>
      <c r="I4" t="s">
        <v>886</v>
      </c>
      <c r="J4" t="s">
        <v>992</v>
      </c>
      <c r="K4" t="s">
        <v>1085</v>
      </c>
      <c r="L4" t="s">
        <v>1049</v>
      </c>
      <c r="M4" t="s">
        <v>1221</v>
      </c>
      <c r="N4" t="s">
        <v>1299</v>
      </c>
      <c r="O4" t="s">
        <v>1273</v>
      </c>
      <c r="P4" t="s">
        <v>1273</v>
      </c>
      <c r="Q4" t="s">
        <v>806</v>
      </c>
      <c r="R4" t="s">
        <v>806</v>
      </c>
      <c r="T4" t="s">
        <v>936</v>
      </c>
      <c r="U4">
        <v>4</v>
      </c>
      <c r="V4">
        <f>U4/U3*100</f>
        <v>100</v>
      </c>
    </row>
    <row r="5" spans="1:22">
      <c r="A5" s="1" t="s">
        <v>118</v>
      </c>
      <c r="B5" s="3" t="s">
        <v>88</v>
      </c>
      <c r="C5" t="s">
        <v>88</v>
      </c>
      <c r="D5" t="s">
        <v>88</v>
      </c>
      <c r="E5" t="s">
        <v>88</v>
      </c>
      <c r="F5" t="s">
        <v>828</v>
      </c>
      <c r="G5" t="s">
        <v>807</v>
      </c>
      <c r="H5" s="3" t="s">
        <v>806</v>
      </c>
      <c r="I5" t="s">
        <v>886</v>
      </c>
      <c r="J5" t="s">
        <v>992</v>
      </c>
      <c r="K5" t="s">
        <v>1074</v>
      </c>
      <c r="L5" t="s">
        <v>1049</v>
      </c>
      <c r="M5" t="s">
        <v>1222</v>
      </c>
      <c r="N5" t="s">
        <v>1274</v>
      </c>
      <c r="O5" t="s">
        <v>1273</v>
      </c>
      <c r="P5" t="s">
        <v>1317</v>
      </c>
      <c r="Q5" t="s">
        <v>806</v>
      </c>
      <c r="R5" t="s">
        <v>1321</v>
      </c>
      <c r="T5" t="s">
        <v>937</v>
      </c>
      <c r="U5">
        <f>U3-U4</f>
        <v>0</v>
      </c>
      <c r="V5">
        <f>100-V4</f>
        <v>0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7" tint="0.59999389629810485"/>
  </sheetPr>
  <dimension ref="A1:U5"/>
  <sheetViews>
    <sheetView workbookViewId="0">
      <selection activeCell="A10" sqref="A10"/>
    </sheetView>
  </sheetViews>
  <sheetFormatPr defaultRowHeight="15"/>
  <cols>
    <col min="1" max="1" width="18.28515625" bestFit="1" customWidth="1"/>
    <col min="2" max="2" width="20" style="8" hidden="1" customWidth="1"/>
    <col min="3" max="3" width="16.7109375" style="8" hidden="1" customWidth="1"/>
    <col min="4" max="4" width="22.5703125" style="8" hidden="1" customWidth="1"/>
    <col min="5" max="5" width="35.7109375" style="8" hidden="1" customWidth="1"/>
    <col min="6" max="6" width="22.5703125" style="8" hidden="1" customWidth="1"/>
    <col min="7" max="7" width="19.140625" hidden="1" customWidth="1"/>
    <col min="8" max="8" width="15.28515625" hidden="1" customWidth="1"/>
    <col min="9" max="9" width="9.140625" hidden="1" customWidth="1"/>
    <col min="10" max="10" width="20.85546875" hidden="1" customWidth="1"/>
    <col min="11" max="11" width="19.7109375" hidden="1" customWidth="1"/>
    <col min="12" max="12" width="14.5703125" hidden="1" customWidth="1"/>
    <col min="13" max="14" width="0" hidden="1" customWidth="1"/>
    <col min="15" max="15" width="9.5703125" customWidth="1"/>
    <col min="16" max="16" width="14.28515625" bestFit="1" customWidth="1"/>
    <col min="17" max="18" width="14.28515625" customWidth="1"/>
  </cols>
  <sheetData>
    <row r="1" spans="1:21">
      <c r="A1" s="6" t="s">
        <v>1</v>
      </c>
      <c r="B1" s="2" t="s">
        <v>0</v>
      </c>
      <c r="C1" s="2" t="s">
        <v>699</v>
      </c>
      <c r="D1" s="2" t="s">
        <v>700</v>
      </c>
      <c r="E1" s="2" t="s">
        <v>701</v>
      </c>
      <c r="F1" s="2" t="s">
        <v>704</v>
      </c>
      <c r="G1" s="2" t="s">
        <v>722</v>
      </c>
      <c r="H1" s="2" t="s">
        <v>710</v>
      </c>
      <c r="I1" s="2" t="s">
        <v>752</v>
      </c>
      <c r="J1" s="2" t="s">
        <v>699</v>
      </c>
      <c r="K1" s="2" t="s">
        <v>804</v>
      </c>
      <c r="L1" t="s">
        <v>966</v>
      </c>
      <c r="M1" t="s">
        <v>990</v>
      </c>
      <c r="N1" s="2" t="s">
        <v>1097</v>
      </c>
      <c r="O1" t="s">
        <v>1142</v>
      </c>
      <c r="P1" s="44" t="s">
        <v>1225</v>
      </c>
      <c r="Q1" s="44" t="s">
        <v>1325</v>
      </c>
      <c r="R1" s="44" t="s">
        <v>1320</v>
      </c>
    </row>
    <row r="2" spans="1:21">
      <c r="A2" s="13" t="s">
        <v>230</v>
      </c>
      <c r="B2" s="8" t="s">
        <v>88</v>
      </c>
      <c r="C2" s="8" t="s">
        <v>88</v>
      </c>
      <c r="D2" s="8" t="s">
        <v>88</v>
      </c>
      <c r="E2" s="8" t="s">
        <v>88</v>
      </c>
      <c r="F2" s="8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806</v>
      </c>
      <c r="L2" t="s">
        <v>885</v>
      </c>
      <c r="M2" t="s">
        <v>991</v>
      </c>
      <c r="N2" t="s">
        <v>1049</v>
      </c>
      <c r="O2" t="s">
        <v>1163</v>
      </c>
      <c r="P2" t="s">
        <v>1165</v>
      </c>
      <c r="Q2" t="s">
        <v>1326</v>
      </c>
      <c r="R2" t="s">
        <v>1326</v>
      </c>
      <c r="U2" s="8" t="s">
        <v>938</v>
      </c>
    </row>
    <row r="3" spans="1:21">
      <c r="A3" s="13" t="s">
        <v>231</v>
      </c>
      <c r="B3" s="8" t="s">
        <v>88</v>
      </c>
      <c r="C3" s="8" t="s">
        <v>88</v>
      </c>
      <c r="D3" s="8" t="s">
        <v>88</v>
      </c>
      <c r="E3" s="8" t="s">
        <v>88</v>
      </c>
      <c r="F3" s="8" t="s">
        <v>88</v>
      </c>
      <c r="G3" t="s">
        <v>88</v>
      </c>
      <c r="H3" t="s">
        <v>88</v>
      </c>
      <c r="I3" t="s">
        <v>88</v>
      </c>
      <c r="J3" t="s">
        <v>88</v>
      </c>
      <c r="K3" t="s">
        <v>829</v>
      </c>
      <c r="L3" t="s">
        <v>886</v>
      </c>
      <c r="M3" t="s">
        <v>992</v>
      </c>
      <c r="N3" t="s">
        <v>1092</v>
      </c>
      <c r="O3" t="s">
        <v>1163</v>
      </c>
      <c r="P3" t="s">
        <v>1165</v>
      </c>
      <c r="Q3" t="s">
        <v>806</v>
      </c>
      <c r="R3" t="s">
        <v>806</v>
      </c>
      <c r="S3" t="s">
        <v>935</v>
      </c>
      <c r="T3">
        <v>2</v>
      </c>
    </row>
    <row r="4" spans="1:21">
      <c r="S4" t="s">
        <v>936</v>
      </c>
      <c r="T4">
        <v>2</v>
      </c>
      <c r="U4">
        <f>T4/T3*100</f>
        <v>100</v>
      </c>
    </row>
    <row r="5" spans="1:21">
      <c r="S5" t="s">
        <v>937</v>
      </c>
      <c r="T5">
        <f>T3-T4</f>
        <v>0</v>
      </c>
      <c r="U5">
        <f>100-U4</f>
        <v>0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tabColor theme="7" tint="0.59999389629810485"/>
  </sheetPr>
  <dimension ref="A1:Y32"/>
  <sheetViews>
    <sheetView tabSelected="1" topLeftCell="A7" workbookViewId="0">
      <selection activeCell="B26" sqref="B26"/>
    </sheetView>
  </sheetViews>
  <sheetFormatPr defaultRowHeight="15"/>
  <cols>
    <col min="1" max="1" width="33.85546875" bestFit="1" customWidth="1"/>
    <col min="2" max="2" width="20" style="8" customWidth="1"/>
    <col min="3" max="3" width="31.42578125" customWidth="1"/>
    <col min="4" max="4" width="19.7109375" customWidth="1"/>
    <col min="5" max="5" width="22.5703125" style="8" customWidth="1"/>
    <col min="6" max="6" width="24.85546875" style="8" customWidth="1"/>
    <col min="7" max="7" width="22.5703125" style="8" customWidth="1"/>
    <col min="8" max="8" width="19.140625" customWidth="1"/>
    <col min="9" max="10" width="9.140625" customWidth="1"/>
    <col min="11" max="11" width="14.5703125" customWidth="1"/>
    <col min="12" max="12" width="9.140625" customWidth="1"/>
    <col min="13" max="13" width="19.42578125" customWidth="1"/>
    <col min="15" max="15" width="14.28515625" bestFit="1" customWidth="1"/>
    <col min="16" max="16" width="11.42578125" bestFit="1" customWidth="1"/>
  </cols>
  <sheetData>
    <row r="1" spans="1:25">
      <c r="A1" s="6" t="s">
        <v>1</v>
      </c>
      <c r="B1" s="2" t="s">
        <v>0</v>
      </c>
      <c r="C1" s="2" t="s">
        <v>699</v>
      </c>
      <c r="D1" s="2" t="s">
        <v>804</v>
      </c>
      <c r="E1" s="2" t="s">
        <v>700</v>
      </c>
      <c r="F1" s="2" t="s">
        <v>701</v>
      </c>
      <c r="G1" s="2" t="s">
        <v>704</v>
      </c>
      <c r="H1" s="2" t="s">
        <v>722</v>
      </c>
      <c r="I1" s="2" t="s">
        <v>710</v>
      </c>
      <c r="J1" s="2" t="s">
        <v>753</v>
      </c>
      <c r="K1" t="s">
        <v>966</v>
      </c>
      <c r="L1" t="s">
        <v>990</v>
      </c>
      <c r="M1" s="2" t="s">
        <v>1097</v>
      </c>
      <c r="N1" t="s">
        <v>1142</v>
      </c>
      <c r="O1" s="44" t="s">
        <v>1225</v>
      </c>
      <c r="P1" s="44" t="s">
        <v>1223</v>
      </c>
      <c r="Q1" s="44" t="s">
        <v>1169</v>
      </c>
      <c r="R1" s="44" t="s">
        <v>1320</v>
      </c>
    </row>
    <row r="2" spans="1:25">
      <c r="A2" s="14" t="s">
        <v>119</v>
      </c>
      <c r="B2" s="11" t="s">
        <v>696</v>
      </c>
      <c r="C2" t="s">
        <v>88</v>
      </c>
      <c r="D2" t="s">
        <v>830</v>
      </c>
      <c r="E2" s="8" t="s">
        <v>696</v>
      </c>
      <c r="F2" s="8" t="s">
        <v>702</v>
      </c>
      <c r="G2" s="8" t="s">
        <v>89</v>
      </c>
      <c r="H2" t="s">
        <v>696</v>
      </c>
      <c r="I2" t="s">
        <v>89</v>
      </c>
      <c r="J2" t="s">
        <v>696</v>
      </c>
      <c r="Q2" t="s">
        <v>1327</v>
      </c>
      <c r="Y2" s="8" t="s">
        <v>938</v>
      </c>
    </row>
    <row r="3" spans="1:25">
      <c r="A3" s="14" t="s">
        <v>120</v>
      </c>
      <c r="B3" s="12" t="s">
        <v>88</v>
      </c>
      <c r="C3" t="s">
        <v>88</v>
      </c>
      <c r="D3" t="s">
        <v>806</v>
      </c>
      <c r="E3" s="8" t="s">
        <v>89</v>
      </c>
      <c r="F3" s="8" t="s">
        <v>88</v>
      </c>
      <c r="G3" s="8" t="s">
        <v>88</v>
      </c>
      <c r="H3" t="s">
        <v>88</v>
      </c>
      <c r="I3" t="s">
        <v>89</v>
      </c>
      <c r="J3" t="s">
        <v>696</v>
      </c>
      <c r="Q3" t="s">
        <v>1328</v>
      </c>
      <c r="W3" t="s">
        <v>935</v>
      </c>
      <c r="X3">
        <v>31</v>
      </c>
    </row>
    <row r="4" spans="1:25">
      <c r="A4" s="14" t="s">
        <v>121</v>
      </c>
      <c r="B4" s="8" t="s">
        <v>696</v>
      </c>
      <c r="C4" t="s">
        <v>89</v>
      </c>
      <c r="D4" t="s">
        <v>831</v>
      </c>
      <c r="E4" s="8" t="s">
        <v>696</v>
      </c>
      <c r="F4" s="8" t="s">
        <v>702</v>
      </c>
      <c r="G4" s="8" t="s">
        <v>89</v>
      </c>
      <c r="H4" t="s">
        <v>713</v>
      </c>
      <c r="I4" t="s">
        <v>89</v>
      </c>
      <c r="J4" t="s">
        <v>696</v>
      </c>
      <c r="Q4" t="s">
        <v>1327</v>
      </c>
      <c r="W4" t="s">
        <v>936</v>
      </c>
      <c r="X4">
        <v>20</v>
      </c>
      <c r="Y4">
        <f>X4/X3*100</f>
        <v>64.516129032258064</v>
      </c>
    </row>
    <row r="5" spans="1:25">
      <c r="A5" s="14" t="s">
        <v>122</v>
      </c>
      <c r="B5" s="8" t="s">
        <v>88</v>
      </c>
      <c r="C5" t="s">
        <v>88</v>
      </c>
      <c r="D5" t="s">
        <v>806</v>
      </c>
      <c r="E5" s="8" t="s">
        <v>88</v>
      </c>
      <c r="F5" s="8" t="s">
        <v>88</v>
      </c>
      <c r="G5" s="8" t="s">
        <v>88</v>
      </c>
      <c r="H5" t="s">
        <v>88</v>
      </c>
      <c r="I5" t="s">
        <v>89</v>
      </c>
      <c r="J5" t="s">
        <v>696</v>
      </c>
      <c r="Q5" t="s">
        <v>1328</v>
      </c>
      <c r="W5" t="s">
        <v>937</v>
      </c>
      <c r="X5">
        <f>X3-X4</f>
        <v>11</v>
      </c>
      <c r="Y5">
        <f>100-Y4</f>
        <v>35.483870967741936</v>
      </c>
    </row>
    <row r="6" spans="1:25">
      <c r="A6" s="13" t="s">
        <v>123</v>
      </c>
      <c r="B6" s="8" t="s">
        <v>88</v>
      </c>
      <c r="C6" t="s">
        <v>88</v>
      </c>
      <c r="D6" t="s">
        <v>830</v>
      </c>
      <c r="E6" s="8" t="s">
        <v>88</v>
      </c>
      <c r="F6" s="8" t="s">
        <v>88</v>
      </c>
      <c r="G6" s="8" t="s">
        <v>88</v>
      </c>
      <c r="H6" t="s">
        <v>88</v>
      </c>
      <c r="I6" t="s">
        <v>88</v>
      </c>
      <c r="J6" t="s">
        <v>88</v>
      </c>
      <c r="K6" t="s">
        <v>886</v>
      </c>
      <c r="L6" t="s">
        <v>993</v>
      </c>
      <c r="M6" t="s">
        <v>1050</v>
      </c>
      <c r="N6" t="s">
        <v>1163</v>
      </c>
      <c r="O6" t="s">
        <v>1163</v>
      </c>
      <c r="P6" t="s">
        <v>974</v>
      </c>
      <c r="Q6" t="s">
        <v>1328</v>
      </c>
      <c r="R6" t="s">
        <v>1328</v>
      </c>
    </row>
    <row r="7" spans="1:25">
      <c r="A7" s="13" t="s">
        <v>124</v>
      </c>
      <c r="B7" s="8" t="s">
        <v>88</v>
      </c>
      <c r="C7" t="s">
        <v>88</v>
      </c>
      <c r="D7" t="s">
        <v>830</v>
      </c>
      <c r="E7" s="8" t="s">
        <v>88</v>
      </c>
      <c r="F7" s="8" t="s">
        <v>88</v>
      </c>
      <c r="G7" s="8" t="s">
        <v>88</v>
      </c>
      <c r="H7" t="s">
        <v>88</v>
      </c>
      <c r="I7" t="s">
        <v>88</v>
      </c>
      <c r="J7" t="s">
        <v>88</v>
      </c>
      <c r="K7" t="s">
        <v>887</v>
      </c>
      <c r="L7" t="s">
        <v>992</v>
      </c>
      <c r="M7" t="s">
        <v>1052</v>
      </c>
      <c r="N7" t="s">
        <v>1163</v>
      </c>
      <c r="O7" t="s">
        <v>1163</v>
      </c>
      <c r="P7" t="s">
        <v>974</v>
      </c>
      <c r="Q7" t="s">
        <v>1328</v>
      </c>
      <c r="R7" t="s">
        <v>1328</v>
      </c>
    </row>
    <row r="8" spans="1:25">
      <c r="A8" s="13" t="s">
        <v>125</v>
      </c>
      <c r="B8" s="8" t="s">
        <v>88</v>
      </c>
      <c r="C8" t="s">
        <v>88</v>
      </c>
      <c r="D8" t="s">
        <v>811</v>
      </c>
      <c r="E8" s="8" t="s">
        <v>88</v>
      </c>
      <c r="F8" s="8" t="s">
        <v>88</v>
      </c>
      <c r="G8" s="8" t="s">
        <v>88</v>
      </c>
      <c r="H8" t="s">
        <v>88</v>
      </c>
      <c r="I8" t="s">
        <v>88</v>
      </c>
      <c r="J8" t="s">
        <v>88</v>
      </c>
      <c r="K8" t="s">
        <v>888</v>
      </c>
      <c r="L8" t="s">
        <v>994</v>
      </c>
      <c r="M8" t="s">
        <v>1052</v>
      </c>
      <c r="N8" t="s">
        <v>1163</v>
      </c>
      <c r="O8" t="s">
        <v>1163</v>
      </c>
      <c r="P8" t="s">
        <v>974</v>
      </c>
      <c r="Q8" t="s">
        <v>1328</v>
      </c>
      <c r="R8" t="s">
        <v>1328</v>
      </c>
    </row>
    <row r="9" spans="1:25">
      <c r="A9" s="13" t="s">
        <v>126</v>
      </c>
      <c r="B9" s="8" t="s">
        <v>88</v>
      </c>
      <c r="C9" t="s">
        <v>88</v>
      </c>
      <c r="D9" t="s">
        <v>811</v>
      </c>
      <c r="E9" s="8" t="s">
        <v>88</v>
      </c>
      <c r="F9" s="8" t="s">
        <v>88</v>
      </c>
      <c r="G9" s="8" t="s">
        <v>88</v>
      </c>
      <c r="H9" t="s">
        <v>88</v>
      </c>
      <c r="I9" t="s">
        <v>88</v>
      </c>
      <c r="J9" t="s">
        <v>88</v>
      </c>
      <c r="K9" t="s">
        <v>885</v>
      </c>
      <c r="L9" t="s">
        <v>992</v>
      </c>
      <c r="M9" t="s">
        <v>1098</v>
      </c>
      <c r="N9" t="s">
        <v>1163</v>
      </c>
      <c r="O9" t="s">
        <v>1163</v>
      </c>
      <c r="P9" t="s">
        <v>974</v>
      </c>
      <c r="Q9" t="s">
        <v>1322</v>
      </c>
      <c r="R9" t="s">
        <v>1328</v>
      </c>
    </row>
    <row r="10" spans="1:25">
      <c r="A10" s="13" t="s">
        <v>127</v>
      </c>
      <c r="B10" s="8" t="s">
        <v>88</v>
      </c>
      <c r="C10" t="s">
        <v>88</v>
      </c>
      <c r="D10" t="s">
        <v>830</v>
      </c>
      <c r="E10" s="8" t="s">
        <v>88</v>
      </c>
      <c r="F10" s="8" t="s">
        <v>88</v>
      </c>
      <c r="G10" s="8" t="s">
        <v>88</v>
      </c>
      <c r="H10" t="s">
        <v>88</v>
      </c>
      <c r="I10" t="s">
        <v>88</v>
      </c>
      <c r="J10" t="s">
        <v>88</v>
      </c>
      <c r="K10" t="s">
        <v>886</v>
      </c>
      <c r="L10" t="s">
        <v>992</v>
      </c>
      <c r="M10" t="s">
        <v>1049</v>
      </c>
      <c r="N10" t="s">
        <v>1163</v>
      </c>
      <c r="O10" t="s">
        <v>1163</v>
      </c>
      <c r="P10" t="s">
        <v>974</v>
      </c>
      <c r="Q10" t="s">
        <v>1328</v>
      </c>
      <c r="R10" t="s">
        <v>1328</v>
      </c>
    </row>
    <row r="11" spans="1:25">
      <c r="A11" s="13" t="s">
        <v>128</v>
      </c>
      <c r="B11" s="8" t="s">
        <v>88</v>
      </c>
      <c r="C11" t="s">
        <v>88</v>
      </c>
      <c r="D11" t="s">
        <v>811</v>
      </c>
      <c r="E11" s="8" t="s">
        <v>88</v>
      </c>
      <c r="F11" s="8" t="s">
        <v>88</v>
      </c>
      <c r="G11" s="8" t="s">
        <v>88</v>
      </c>
      <c r="H11" t="s">
        <v>88</v>
      </c>
      <c r="I11" t="s">
        <v>88</v>
      </c>
      <c r="J11" t="s">
        <v>88</v>
      </c>
      <c r="K11" t="s">
        <v>885</v>
      </c>
      <c r="L11" t="s">
        <v>993</v>
      </c>
      <c r="M11" t="s">
        <v>1079</v>
      </c>
      <c r="N11" t="s">
        <v>1163</v>
      </c>
      <c r="O11" t="s">
        <v>1163</v>
      </c>
      <c r="P11" t="s">
        <v>974</v>
      </c>
      <c r="Q11" t="s">
        <v>1328</v>
      </c>
      <c r="R11" t="s">
        <v>1328</v>
      </c>
    </row>
    <row r="12" spans="1:25">
      <c r="A12" s="15" t="s">
        <v>129</v>
      </c>
      <c r="B12" s="8" t="s">
        <v>89</v>
      </c>
      <c r="C12" s="8" t="s">
        <v>89</v>
      </c>
      <c r="D12" s="8" t="s">
        <v>89</v>
      </c>
      <c r="E12" s="8" t="s">
        <v>89</v>
      </c>
      <c r="F12" s="8" t="s">
        <v>89</v>
      </c>
      <c r="G12" s="8" t="s">
        <v>89</v>
      </c>
      <c r="H12" t="s">
        <v>773</v>
      </c>
      <c r="I12" t="s">
        <v>755</v>
      </c>
      <c r="J12" t="s">
        <v>754</v>
      </c>
      <c r="Q12" t="s">
        <v>1322</v>
      </c>
      <c r="R12" t="s">
        <v>1328</v>
      </c>
    </row>
    <row r="13" spans="1:25">
      <c r="A13" s="14" t="s">
        <v>130</v>
      </c>
      <c r="B13" s="8" t="s">
        <v>705</v>
      </c>
      <c r="C13" t="s">
        <v>89</v>
      </c>
      <c r="D13" t="s">
        <v>696</v>
      </c>
      <c r="E13" s="8" t="s">
        <v>696</v>
      </c>
      <c r="F13" s="8" t="s">
        <v>702</v>
      </c>
      <c r="G13" s="8" t="s">
        <v>89</v>
      </c>
      <c r="H13" t="s">
        <v>713</v>
      </c>
      <c r="I13" t="s">
        <v>89</v>
      </c>
      <c r="J13" t="s">
        <v>756</v>
      </c>
      <c r="Q13" t="s">
        <v>1329</v>
      </c>
    </row>
    <row r="14" spans="1:25">
      <c r="A14" s="14" t="s">
        <v>131</v>
      </c>
      <c r="B14" s="8" t="s">
        <v>705</v>
      </c>
      <c r="C14" t="s">
        <v>89</v>
      </c>
      <c r="D14" t="s">
        <v>814</v>
      </c>
      <c r="E14" s="8" t="s">
        <v>696</v>
      </c>
      <c r="F14" s="8" t="s">
        <v>702</v>
      </c>
      <c r="G14" s="8" t="s">
        <v>89</v>
      </c>
      <c r="H14" t="s">
        <v>713</v>
      </c>
      <c r="I14" t="s">
        <v>88</v>
      </c>
      <c r="J14" t="s">
        <v>88</v>
      </c>
      <c r="Q14" t="s">
        <v>1322</v>
      </c>
    </row>
    <row r="15" spans="1:25">
      <c r="A15" s="40" t="s">
        <v>1119</v>
      </c>
      <c r="B15" s="8" t="s">
        <v>88</v>
      </c>
      <c r="C15" t="s">
        <v>88</v>
      </c>
      <c r="D15" t="s">
        <v>806</v>
      </c>
      <c r="E15" s="8" t="s">
        <v>88</v>
      </c>
      <c r="F15" s="8" t="s">
        <v>88</v>
      </c>
      <c r="G15" s="8" t="s">
        <v>88</v>
      </c>
      <c r="H15" t="s">
        <v>88</v>
      </c>
      <c r="I15" t="s">
        <v>88</v>
      </c>
      <c r="J15" t="s">
        <v>88</v>
      </c>
      <c r="K15" t="s">
        <v>887</v>
      </c>
      <c r="L15" t="s">
        <v>1037</v>
      </c>
      <c r="Q15" t="s">
        <v>1322</v>
      </c>
      <c r="R15" t="s">
        <v>1322</v>
      </c>
    </row>
    <row r="16" spans="1:25">
      <c r="A16" s="13" t="s">
        <v>132</v>
      </c>
      <c r="B16" s="8" t="s">
        <v>88</v>
      </c>
      <c r="C16" t="s">
        <v>88</v>
      </c>
      <c r="D16" t="s">
        <v>830</v>
      </c>
      <c r="E16" s="8" t="s">
        <v>88</v>
      </c>
      <c r="F16" s="8" t="s">
        <v>88</v>
      </c>
      <c r="G16" s="8" t="s">
        <v>88</v>
      </c>
      <c r="H16" t="s">
        <v>88</v>
      </c>
      <c r="I16" t="s">
        <v>88</v>
      </c>
      <c r="J16" t="s">
        <v>88</v>
      </c>
      <c r="K16" t="s">
        <v>886</v>
      </c>
      <c r="L16" t="s">
        <v>995</v>
      </c>
      <c r="M16" t="s">
        <v>1050</v>
      </c>
      <c r="N16" t="s">
        <v>1163</v>
      </c>
      <c r="O16" t="s">
        <v>1163</v>
      </c>
      <c r="P16" t="s">
        <v>974</v>
      </c>
      <c r="Q16" t="s">
        <v>1322</v>
      </c>
      <c r="R16" t="s">
        <v>1322</v>
      </c>
    </row>
    <row r="17" spans="1:18">
      <c r="A17" s="14" t="s">
        <v>133</v>
      </c>
      <c r="B17" s="8" t="s">
        <v>88</v>
      </c>
      <c r="C17" t="s">
        <v>88</v>
      </c>
      <c r="D17" t="s">
        <v>811</v>
      </c>
      <c r="E17" s="8" t="s">
        <v>88</v>
      </c>
      <c r="F17" s="8" t="s">
        <v>88</v>
      </c>
      <c r="G17" s="8" t="s">
        <v>88</v>
      </c>
      <c r="H17" t="s">
        <v>88</v>
      </c>
      <c r="I17" t="s">
        <v>88</v>
      </c>
      <c r="J17" t="s">
        <v>88</v>
      </c>
      <c r="K17" t="s">
        <v>886</v>
      </c>
      <c r="L17" t="s">
        <v>992</v>
      </c>
      <c r="M17" t="s">
        <v>1050</v>
      </c>
      <c r="N17" t="s">
        <v>1163</v>
      </c>
      <c r="O17" t="s">
        <v>1163</v>
      </c>
      <c r="P17" t="s">
        <v>974</v>
      </c>
      <c r="Q17" t="s">
        <v>1322</v>
      </c>
      <c r="R17" t="s">
        <v>1322</v>
      </c>
    </row>
    <row r="18" spans="1:18">
      <c r="A18" s="13" t="s">
        <v>134</v>
      </c>
      <c r="B18" s="8" t="s">
        <v>88</v>
      </c>
      <c r="C18" t="s">
        <v>88</v>
      </c>
      <c r="D18" t="s">
        <v>811</v>
      </c>
      <c r="E18" s="8" t="s">
        <v>88</v>
      </c>
      <c r="F18" s="8" t="s">
        <v>88</v>
      </c>
      <c r="G18" s="8" t="s">
        <v>88</v>
      </c>
      <c r="H18" t="s">
        <v>88</v>
      </c>
      <c r="I18" t="s">
        <v>88</v>
      </c>
      <c r="J18" t="s">
        <v>88</v>
      </c>
      <c r="K18" t="s">
        <v>888</v>
      </c>
      <c r="L18" t="s">
        <v>996</v>
      </c>
      <c r="M18" t="s">
        <v>1085</v>
      </c>
      <c r="N18" t="s">
        <v>1163</v>
      </c>
      <c r="O18" t="s">
        <v>1163</v>
      </c>
      <c r="P18" t="s">
        <v>974</v>
      </c>
      <c r="Q18" t="s">
        <v>1322</v>
      </c>
      <c r="R18" t="s">
        <v>1322</v>
      </c>
    </row>
    <row r="19" spans="1:18">
      <c r="A19" s="13" t="s">
        <v>135</v>
      </c>
      <c r="B19" s="8" t="s">
        <v>88</v>
      </c>
      <c r="C19" t="s">
        <v>88</v>
      </c>
      <c r="D19" t="s">
        <v>811</v>
      </c>
      <c r="E19" s="8" t="s">
        <v>88</v>
      </c>
      <c r="F19" s="8" t="s">
        <v>88</v>
      </c>
      <c r="G19" s="8" t="s">
        <v>88</v>
      </c>
      <c r="H19" t="s">
        <v>88</v>
      </c>
      <c r="I19" t="s">
        <v>88</v>
      </c>
      <c r="J19" t="s">
        <v>88</v>
      </c>
      <c r="K19" t="s">
        <v>888</v>
      </c>
      <c r="L19" t="s">
        <v>996</v>
      </c>
      <c r="M19" t="s">
        <v>1049</v>
      </c>
      <c r="N19" t="s">
        <v>1163</v>
      </c>
      <c r="O19" t="s">
        <v>1163</v>
      </c>
      <c r="P19" t="s">
        <v>974</v>
      </c>
      <c r="Q19" t="s">
        <v>1322</v>
      </c>
      <c r="R19" t="s">
        <v>1322</v>
      </c>
    </row>
    <row r="20" spans="1:18">
      <c r="A20" s="13" t="s">
        <v>136</v>
      </c>
      <c r="B20" s="8" t="s">
        <v>88</v>
      </c>
      <c r="C20" t="s">
        <v>88</v>
      </c>
      <c r="D20" t="s">
        <v>830</v>
      </c>
      <c r="E20" s="8" t="s">
        <v>88</v>
      </c>
      <c r="F20" s="8" t="s">
        <v>88</v>
      </c>
      <c r="G20" s="8" t="s">
        <v>88</v>
      </c>
      <c r="H20" t="s">
        <v>88</v>
      </c>
      <c r="I20" t="s">
        <v>88</v>
      </c>
      <c r="J20" t="s">
        <v>88</v>
      </c>
      <c r="K20" t="s">
        <v>888</v>
      </c>
      <c r="L20" t="s">
        <v>996</v>
      </c>
      <c r="M20" t="s">
        <v>1049</v>
      </c>
      <c r="N20" t="s">
        <v>1163</v>
      </c>
      <c r="O20" t="s">
        <v>1163</v>
      </c>
      <c r="P20" t="s">
        <v>974</v>
      </c>
      <c r="Q20" t="s">
        <v>1322</v>
      </c>
      <c r="R20" t="s">
        <v>1322</v>
      </c>
    </row>
    <row r="21" spans="1:18">
      <c r="A21" s="13" t="s">
        <v>137</v>
      </c>
      <c r="B21" s="8" t="s">
        <v>88</v>
      </c>
      <c r="C21" t="s">
        <v>88</v>
      </c>
      <c r="D21" t="s">
        <v>811</v>
      </c>
      <c r="E21" s="8" t="s">
        <v>88</v>
      </c>
      <c r="F21" s="8" t="s">
        <v>88</v>
      </c>
      <c r="G21" s="8" t="s">
        <v>88</v>
      </c>
      <c r="H21" t="s">
        <v>88</v>
      </c>
      <c r="I21" t="s">
        <v>88</v>
      </c>
      <c r="J21" t="s">
        <v>88</v>
      </c>
      <c r="K21" t="s">
        <v>888</v>
      </c>
      <c r="L21" t="s">
        <v>996</v>
      </c>
      <c r="M21" t="s">
        <v>1099</v>
      </c>
      <c r="N21" t="s">
        <v>1163</v>
      </c>
      <c r="O21" t="s">
        <v>1163</v>
      </c>
      <c r="P21" t="s">
        <v>974</v>
      </c>
      <c r="Q21" t="s">
        <v>1322</v>
      </c>
      <c r="R21" t="s">
        <v>1322</v>
      </c>
    </row>
    <row r="22" spans="1:18">
      <c r="A22" s="13" t="s">
        <v>138</v>
      </c>
      <c r="B22" s="8" t="s">
        <v>88</v>
      </c>
      <c r="C22" t="s">
        <v>88</v>
      </c>
      <c r="D22" t="s">
        <v>811</v>
      </c>
      <c r="E22" s="8" t="s">
        <v>88</v>
      </c>
      <c r="F22" s="8" t="s">
        <v>88</v>
      </c>
      <c r="G22" s="8" t="s">
        <v>88</v>
      </c>
      <c r="H22" t="s">
        <v>88</v>
      </c>
      <c r="I22" t="s">
        <v>88</v>
      </c>
      <c r="J22" t="s">
        <v>88</v>
      </c>
      <c r="K22" t="s">
        <v>888</v>
      </c>
      <c r="L22" t="s">
        <v>996</v>
      </c>
      <c r="M22" t="s">
        <v>1049</v>
      </c>
      <c r="N22" t="s">
        <v>1163</v>
      </c>
      <c r="O22" t="s">
        <v>1163</v>
      </c>
      <c r="P22" t="s">
        <v>974</v>
      </c>
      <c r="Q22" t="s">
        <v>1322</v>
      </c>
      <c r="R22" t="s">
        <v>1322</v>
      </c>
    </row>
    <row r="23" spans="1:18">
      <c r="A23" s="13" t="s">
        <v>139</v>
      </c>
      <c r="B23" s="8" t="s">
        <v>88</v>
      </c>
      <c r="C23" t="s">
        <v>88</v>
      </c>
      <c r="D23" t="s">
        <v>811</v>
      </c>
      <c r="E23" s="8" t="s">
        <v>88</v>
      </c>
      <c r="F23" s="8" t="s">
        <v>88</v>
      </c>
      <c r="G23" s="8" t="s">
        <v>88</v>
      </c>
      <c r="H23" t="s">
        <v>88</v>
      </c>
      <c r="I23" t="s">
        <v>88</v>
      </c>
      <c r="J23" t="s">
        <v>88</v>
      </c>
      <c r="K23" t="s">
        <v>888</v>
      </c>
      <c r="L23" t="s">
        <v>996</v>
      </c>
      <c r="M23" t="s">
        <v>1085</v>
      </c>
      <c r="N23" t="s">
        <v>1163</v>
      </c>
      <c r="O23" t="s">
        <v>1163</v>
      </c>
      <c r="P23" t="s">
        <v>974</v>
      </c>
      <c r="Q23" t="s">
        <v>1322</v>
      </c>
      <c r="R23" t="s">
        <v>1322</v>
      </c>
    </row>
    <row r="24" spans="1:18">
      <c r="A24" s="13" t="s">
        <v>140</v>
      </c>
      <c r="B24" s="8" t="s">
        <v>88</v>
      </c>
      <c r="C24" t="s">
        <v>88</v>
      </c>
      <c r="D24" t="s">
        <v>811</v>
      </c>
      <c r="E24" s="8" t="s">
        <v>88</v>
      </c>
      <c r="F24" s="8" t="s">
        <v>88</v>
      </c>
      <c r="G24" s="8" t="s">
        <v>88</v>
      </c>
      <c r="H24" t="s">
        <v>88</v>
      </c>
      <c r="I24" t="s">
        <v>88</v>
      </c>
      <c r="J24" t="s">
        <v>88</v>
      </c>
      <c r="K24" t="s">
        <v>885</v>
      </c>
      <c r="L24" t="s">
        <v>997</v>
      </c>
      <c r="M24" t="s">
        <v>1099</v>
      </c>
      <c r="N24" t="s">
        <v>1163</v>
      </c>
      <c r="O24" t="s">
        <v>1163</v>
      </c>
      <c r="P24" t="s">
        <v>974</v>
      </c>
      <c r="Q24" t="s">
        <v>1322</v>
      </c>
      <c r="R24" t="s">
        <v>1322</v>
      </c>
    </row>
    <row r="25" spans="1:18">
      <c r="A25" s="14" t="s">
        <v>141</v>
      </c>
      <c r="B25" s="8" t="s">
        <v>705</v>
      </c>
      <c r="C25" t="s">
        <v>89</v>
      </c>
      <c r="D25" t="s">
        <v>814</v>
      </c>
      <c r="E25" s="8" t="s">
        <v>696</v>
      </c>
      <c r="F25" s="8" t="s">
        <v>702</v>
      </c>
      <c r="G25" s="8" t="s">
        <v>89</v>
      </c>
      <c r="H25" t="s">
        <v>723</v>
      </c>
      <c r="I25" t="s">
        <v>89</v>
      </c>
      <c r="J25" t="s">
        <v>748</v>
      </c>
      <c r="Q25" t="s">
        <v>1329</v>
      </c>
    </row>
    <row r="26" spans="1:18">
      <c r="A26" s="13" t="s">
        <v>142</v>
      </c>
      <c r="B26" s="8" t="s">
        <v>88</v>
      </c>
      <c r="C26" t="s">
        <v>88</v>
      </c>
      <c r="D26" t="s">
        <v>806</v>
      </c>
      <c r="E26" s="8" t="s">
        <v>88</v>
      </c>
      <c r="F26" s="8" t="s">
        <v>88</v>
      </c>
      <c r="G26" s="8" t="s">
        <v>88</v>
      </c>
      <c r="H26" t="s">
        <v>88</v>
      </c>
      <c r="I26" t="s">
        <v>88</v>
      </c>
      <c r="J26" t="s">
        <v>88</v>
      </c>
      <c r="K26" t="s">
        <v>886</v>
      </c>
      <c r="L26" t="s">
        <v>998</v>
      </c>
      <c r="M26" t="s">
        <v>1053</v>
      </c>
      <c r="N26" t="s">
        <v>1163</v>
      </c>
      <c r="O26" t="s">
        <v>1163</v>
      </c>
      <c r="P26" t="s">
        <v>974</v>
      </c>
      <c r="Q26" t="s">
        <v>1322</v>
      </c>
      <c r="R26" t="s">
        <v>1322</v>
      </c>
    </row>
    <row r="27" spans="1:18">
      <c r="A27" s="14" t="s">
        <v>143</v>
      </c>
      <c r="B27" s="8" t="s">
        <v>705</v>
      </c>
      <c r="C27" t="s">
        <v>89</v>
      </c>
      <c r="D27" t="s">
        <v>814</v>
      </c>
      <c r="E27" s="8" t="s">
        <v>696</v>
      </c>
      <c r="F27" s="8" t="s">
        <v>702</v>
      </c>
      <c r="G27" s="8" t="s">
        <v>89</v>
      </c>
      <c r="H27" t="s">
        <v>713</v>
      </c>
      <c r="I27" t="s">
        <v>89</v>
      </c>
      <c r="J27" t="s">
        <v>748</v>
      </c>
      <c r="Q27" t="s">
        <v>1329</v>
      </c>
    </row>
    <row r="28" spans="1:18">
      <c r="A28" s="13" t="s">
        <v>144</v>
      </c>
      <c r="B28" s="8" t="s">
        <v>88</v>
      </c>
      <c r="C28" t="s">
        <v>88</v>
      </c>
      <c r="D28" t="s">
        <v>811</v>
      </c>
      <c r="E28" s="8" t="s">
        <v>88</v>
      </c>
      <c r="F28" s="8" t="s">
        <v>88</v>
      </c>
      <c r="G28" s="8" t="s">
        <v>88</v>
      </c>
      <c r="H28" t="s">
        <v>88</v>
      </c>
      <c r="I28" t="s">
        <v>88</v>
      </c>
      <c r="J28" t="s">
        <v>88</v>
      </c>
      <c r="K28" t="s">
        <v>886</v>
      </c>
      <c r="L28" t="s">
        <v>992</v>
      </c>
      <c r="M28" t="s">
        <v>1049</v>
      </c>
      <c r="N28" t="s">
        <v>1163</v>
      </c>
      <c r="O28" t="s">
        <v>1163</v>
      </c>
      <c r="P28" t="s">
        <v>974</v>
      </c>
      <c r="Q28" t="s">
        <v>1322</v>
      </c>
      <c r="R28" t="s">
        <v>1322</v>
      </c>
    </row>
    <row r="29" spans="1:18">
      <c r="A29" s="13" t="s">
        <v>145</v>
      </c>
      <c r="B29" s="8" t="s">
        <v>88</v>
      </c>
      <c r="C29" t="s">
        <v>88</v>
      </c>
      <c r="D29" t="s">
        <v>811</v>
      </c>
      <c r="E29" s="8" t="s">
        <v>88</v>
      </c>
      <c r="F29" s="8" t="s">
        <v>88</v>
      </c>
      <c r="G29" s="8" t="s">
        <v>88</v>
      </c>
      <c r="H29" t="s">
        <v>88</v>
      </c>
      <c r="I29" t="s">
        <v>88</v>
      </c>
      <c r="J29" t="s">
        <v>88</v>
      </c>
      <c r="K29" t="s">
        <v>886</v>
      </c>
      <c r="L29" t="s">
        <v>999</v>
      </c>
      <c r="M29" t="s">
        <v>1100</v>
      </c>
      <c r="N29" t="s">
        <v>1163</v>
      </c>
      <c r="O29" t="s">
        <v>1163</v>
      </c>
      <c r="P29" t="s">
        <v>974</v>
      </c>
      <c r="Q29" t="s">
        <v>1322</v>
      </c>
      <c r="R29" t="s">
        <v>1322</v>
      </c>
    </row>
    <row r="30" spans="1:18">
      <c r="A30" s="13" t="s">
        <v>146</v>
      </c>
      <c r="B30" s="8" t="s">
        <v>88</v>
      </c>
      <c r="C30" t="s">
        <v>88</v>
      </c>
      <c r="D30" t="s">
        <v>811</v>
      </c>
      <c r="E30" s="8" t="s">
        <v>88</v>
      </c>
      <c r="F30" s="8" t="s">
        <v>88</v>
      </c>
      <c r="G30" s="8" t="s">
        <v>88</v>
      </c>
      <c r="H30" t="s">
        <v>88</v>
      </c>
      <c r="I30" t="s">
        <v>88</v>
      </c>
      <c r="J30" t="s">
        <v>88</v>
      </c>
      <c r="K30" t="s">
        <v>888</v>
      </c>
      <c r="L30" t="s">
        <v>1000</v>
      </c>
      <c r="M30" t="s">
        <v>1101</v>
      </c>
      <c r="N30" t="s">
        <v>1163</v>
      </c>
      <c r="O30" t="s">
        <v>1163</v>
      </c>
      <c r="P30" t="s">
        <v>974</v>
      </c>
      <c r="Q30" t="s">
        <v>1322</v>
      </c>
      <c r="R30" t="s">
        <v>1322</v>
      </c>
    </row>
    <row r="31" spans="1:18">
      <c r="A31" s="13" t="s">
        <v>147</v>
      </c>
      <c r="B31" s="8" t="s">
        <v>88</v>
      </c>
      <c r="C31" t="s">
        <v>88</v>
      </c>
      <c r="D31" t="s">
        <v>811</v>
      </c>
      <c r="E31" s="8" t="s">
        <v>88</v>
      </c>
      <c r="F31" s="8" t="s">
        <v>88</v>
      </c>
      <c r="G31" s="8" t="s">
        <v>88</v>
      </c>
      <c r="H31" t="s">
        <v>88</v>
      </c>
      <c r="I31" t="s">
        <v>88</v>
      </c>
      <c r="J31" t="s">
        <v>88</v>
      </c>
      <c r="K31" t="s">
        <v>886</v>
      </c>
      <c r="L31" t="s">
        <v>1001</v>
      </c>
      <c r="M31" t="s">
        <v>1049</v>
      </c>
      <c r="N31" t="s">
        <v>1163</v>
      </c>
      <c r="O31" t="s">
        <v>1163</v>
      </c>
      <c r="P31" t="s">
        <v>974</v>
      </c>
      <c r="Q31" t="s">
        <v>1322</v>
      </c>
      <c r="R31" t="s">
        <v>1322</v>
      </c>
    </row>
    <row r="32" spans="1:18">
      <c r="A32" s="14" t="s">
        <v>148</v>
      </c>
      <c r="B32" s="8" t="s">
        <v>705</v>
      </c>
      <c r="C32" t="s">
        <v>88</v>
      </c>
      <c r="D32" t="s">
        <v>811</v>
      </c>
      <c r="E32" s="8" t="s">
        <v>88</v>
      </c>
      <c r="F32" s="8" t="s">
        <v>702</v>
      </c>
      <c r="G32" s="8" t="s">
        <v>89</v>
      </c>
      <c r="H32" t="s">
        <v>696</v>
      </c>
      <c r="I32" t="s">
        <v>89</v>
      </c>
      <c r="J32" t="s">
        <v>88</v>
      </c>
      <c r="Q32" t="s">
        <v>1329</v>
      </c>
    </row>
  </sheetData>
  <phoneticPr fontId="4" type="noConversion"/>
  <conditionalFormatting sqref="N2:P32">
    <cfRule type="cellIs" dxfId="7" priority="2" operator="equal">
      <formula>"V"</formula>
    </cfRule>
  </conditionalFormatting>
  <conditionalFormatting sqref="Q2:R32">
    <cfRule type="cellIs" dxfId="6" priority="1" operator="equal">
      <formula>"V"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7" tint="0.59999389629810485"/>
  </sheetPr>
  <dimension ref="A1:V5"/>
  <sheetViews>
    <sheetView workbookViewId="0">
      <selection activeCell="P1" sqref="P1:Q1048576"/>
    </sheetView>
  </sheetViews>
  <sheetFormatPr defaultRowHeight="15"/>
  <cols>
    <col min="1" max="1" width="26" bestFit="1" customWidth="1"/>
    <col min="2" max="2" width="20" style="8" hidden="1" customWidth="1"/>
    <col min="3" max="3" width="25.42578125" hidden="1" customWidth="1"/>
    <col min="4" max="4" width="19.7109375" hidden="1" customWidth="1"/>
    <col min="5" max="5" width="22.5703125" style="8" hidden="1" customWidth="1"/>
    <col min="6" max="6" width="21.85546875" style="8" hidden="1" customWidth="1"/>
    <col min="7" max="7" width="22.5703125" style="8" hidden="1" customWidth="1"/>
    <col min="8" max="10" width="9.140625" hidden="1" customWidth="1"/>
    <col min="11" max="11" width="14.5703125" hidden="1" customWidth="1"/>
  </cols>
  <sheetData>
    <row r="1" spans="1:22">
      <c r="A1" s="6" t="s">
        <v>1</v>
      </c>
      <c r="B1" s="2" t="s">
        <v>0</v>
      </c>
      <c r="C1" s="2" t="s">
        <v>699</v>
      </c>
      <c r="D1" s="2" t="s">
        <v>804</v>
      </c>
      <c r="E1" s="2" t="s">
        <v>700</v>
      </c>
      <c r="F1" s="2" t="s">
        <v>701</v>
      </c>
      <c r="G1" s="2" t="s">
        <v>704</v>
      </c>
      <c r="H1" s="2" t="s">
        <v>724</v>
      </c>
      <c r="I1" s="2" t="s">
        <v>710</v>
      </c>
      <c r="J1" s="2" t="s">
        <v>757</v>
      </c>
      <c r="K1" t="s">
        <v>966</v>
      </c>
      <c r="L1" t="s">
        <v>990</v>
      </c>
      <c r="M1" s="2" t="s">
        <v>1097</v>
      </c>
      <c r="N1" t="s">
        <v>1142</v>
      </c>
      <c r="O1" s="44" t="s">
        <v>1225</v>
      </c>
      <c r="P1" s="44" t="s">
        <v>1330</v>
      </c>
      <c r="Q1" s="44" t="s">
        <v>1331</v>
      </c>
    </row>
    <row r="2" spans="1:22">
      <c r="A2" s="14" t="s">
        <v>149</v>
      </c>
      <c r="B2" s="8" t="s">
        <v>706</v>
      </c>
      <c r="C2" t="s">
        <v>806</v>
      </c>
      <c r="D2" t="s">
        <v>834</v>
      </c>
      <c r="E2" s="8" t="s">
        <v>696</v>
      </c>
      <c r="F2" s="8" t="s">
        <v>703</v>
      </c>
      <c r="G2" s="8" t="s">
        <v>89</v>
      </c>
      <c r="H2" s="8" t="s">
        <v>89</v>
      </c>
      <c r="I2" t="s">
        <v>88</v>
      </c>
      <c r="J2" t="s">
        <v>88</v>
      </c>
      <c r="P2" t="s">
        <v>696</v>
      </c>
      <c r="Q2" t="s">
        <v>696</v>
      </c>
      <c r="V2" s="8" t="s">
        <v>938</v>
      </c>
    </row>
    <row r="3" spans="1:22">
      <c r="A3" s="14" t="s">
        <v>150</v>
      </c>
      <c r="B3" s="8" t="s">
        <v>88</v>
      </c>
      <c r="C3" t="s">
        <v>88</v>
      </c>
      <c r="D3" t="s">
        <v>806</v>
      </c>
      <c r="E3" s="8" t="s">
        <v>88</v>
      </c>
      <c r="F3" s="8" t="s">
        <v>88</v>
      </c>
      <c r="G3" s="8" t="s">
        <v>88</v>
      </c>
      <c r="H3" t="s">
        <v>88</v>
      </c>
      <c r="I3" t="s">
        <v>88</v>
      </c>
      <c r="J3" t="s">
        <v>88</v>
      </c>
      <c r="K3" t="s">
        <v>885</v>
      </c>
      <c r="L3" t="s">
        <v>994</v>
      </c>
      <c r="M3" t="s">
        <v>1050</v>
      </c>
      <c r="N3" t="s">
        <v>1159</v>
      </c>
      <c r="O3" t="s">
        <v>1160</v>
      </c>
      <c r="P3" t="s">
        <v>696</v>
      </c>
      <c r="Q3" t="s">
        <v>696</v>
      </c>
      <c r="T3" t="s">
        <v>935</v>
      </c>
      <c r="U3">
        <v>2</v>
      </c>
    </row>
    <row r="4" spans="1:22">
      <c r="T4" t="s">
        <v>936</v>
      </c>
      <c r="U4">
        <v>0</v>
      </c>
      <c r="V4">
        <f>U4/U3*100</f>
        <v>0</v>
      </c>
    </row>
    <row r="5" spans="1:22">
      <c r="T5" t="s">
        <v>937</v>
      </c>
      <c r="U5">
        <f>U3-U4</f>
        <v>2</v>
      </c>
      <c r="V5">
        <f>100-V4</f>
        <v>100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>
    <tabColor theme="7" tint="0.59999389629810485"/>
  </sheetPr>
  <dimension ref="A1:W31"/>
  <sheetViews>
    <sheetView topLeftCell="A7" workbookViewId="0">
      <selection activeCell="A28" sqref="A28"/>
    </sheetView>
  </sheetViews>
  <sheetFormatPr defaultRowHeight="15"/>
  <cols>
    <col min="1" max="1" width="43.28515625" bestFit="1" customWidth="1"/>
    <col min="2" max="2" width="20.140625" style="8" customWidth="1"/>
    <col min="3" max="3" width="24.42578125" customWidth="1"/>
    <col min="4" max="4" width="19.7109375" customWidth="1"/>
    <col min="5" max="5" width="22.5703125" style="8" customWidth="1"/>
    <col min="6" max="6" width="21.85546875" style="8" customWidth="1"/>
    <col min="7" max="7" width="22.5703125" style="8" customWidth="1"/>
    <col min="8" max="8" width="19.140625" customWidth="1"/>
    <col min="9" max="10" width="9.140625" customWidth="1"/>
    <col min="11" max="11" width="14.5703125" customWidth="1"/>
    <col min="12" max="12" width="9.140625" customWidth="1"/>
    <col min="13" max="13" width="19.42578125" customWidth="1"/>
    <col min="14" max="14" width="4" customWidth="1"/>
  </cols>
  <sheetData>
    <row r="1" spans="1:23">
      <c r="A1" s="6" t="s">
        <v>1</v>
      </c>
      <c r="B1" s="2" t="s">
        <v>0</v>
      </c>
      <c r="C1" s="2" t="s">
        <v>699</v>
      </c>
      <c r="D1" s="2" t="s">
        <v>838</v>
      </c>
      <c r="E1" s="2" t="s">
        <v>700</v>
      </c>
      <c r="F1" s="2" t="s">
        <v>701</v>
      </c>
      <c r="G1" s="2" t="s">
        <v>704</v>
      </c>
      <c r="H1" s="2" t="s">
        <v>711</v>
      </c>
      <c r="I1" s="2" t="s">
        <v>710</v>
      </c>
      <c r="J1" s="2" t="s">
        <v>753</v>
      </c>
      <c r="K1" t="s">
        <v>966</v>
      </c>
      <c r="L1" t="s">
        <v>990</v>
      </c>
      <c r="M1" s="2" t="s">
        <v>1097</v>
      </c>
      <c r="N1" t="s">
        <v>1142</v>
      </c>
      <c r="O1" s="44" t="s">
        <v>1225</v>
      </c>
      <c r="P1" s="44" t="s">
        <v>1223</v>
      </c>
      <c r="Q1" s="44" t="s">
        <v>1332</v>
      </c>
      <c r="R1" s="44" t="s">
        <v>1320</v>
      </c>
    </row>
    <row r="2" spans="1:23">
      <c r="A2" s="13" t="s">
        <v>151</v>
      </c>
      <c r="B2" s="8" t="s">
        <v>88</v>
      </c>
      <c r="C2" t="s">
        <v>88</v>
      </c>
      <c r="D2" t="s">
        <v>839</v>
      </c>
      <c r="E2" s="8" t="s">
        <v>88</v>
      </c>
      <c r="F2" s="8" t="s">
        <v>88</v>
      </c>
      <c r="G2" s="8" t="s">
        <v>88</v>
      </c>
      <c r="H2" t="s">
        <v>88</v>
      </c>
      <c r="I2" t="s">
        <v>88</v>
      </c>
      <c r="J2" t="s">
        <v>88</v>
      </c>
      <c r="K2" t="s">
        <v>1002</v>
      </c>
      <c r="L2" t="s">
        <v>992</v>
      </c>
      <c r="M2" t="s">
        <v>1052</v>
      </c>
      <c r="N2" t="s">
        <v>1145</v>
      </c>
      <c r="O2" t="s">
        <v>1144</v>
      </c>
      <c r="P2" t="s">
        <v>1144</v>
      </c>
      <c r="Q2" t="s">
        <v>806</v>
      </c>
      <c r="R2" t="s">
        <v>806</v>
      </c>
      <c r="W2" s="8" t="s">
        <v>938</v>
      </c>
    </row>
    <row r="3" spans="1:23">
      <c r="A3" s="13" t="s">
        <v>152</v>
      </c>
      <c r="B3" s="8" t="s">
        <v>88</v>
      </c>
      <c r="C3" t="s">
        <v>88</v>
      </c>
      <c r="D3" t="s">
        <v>839</v>
      </c>
      <c r="E3" s="8" t="s">
        <v>88</v>
      </c>
      <c r="F3" s="8" t="s">
        <v>88</v>
      </c>
      <c r="G3" s="8" t="s">
        <v>88</v>
      </c>
      <c r="H3" t="s">
        <v>88</v>
      </c>
      <c r="I3" t="s">
        <v>88</v>
      </c>
      <c r="J3" t="s">
        <v>88</v>
      </c>
      <c r="K3" t="s">
        <v>886</v>
      </c>
      <c r="L3" t="s">
        <v>992</v>
      </c>
      <c r="M3" t="s">
        <v>1050</v>
      </c>
      <c r="N3" t="s">
        <v>1145</v>
      </c>
      <c r="O3" t="s">
        <v>1144</v>
      </c>
      <c r="P3" t="s">
        <v>1144</v>
      </c>
      <c r="Q3" t="s">
        <v>806</v>
      </c>
      <c r="R3" t="s">
        <v>806</v>
      </c>
      <c r="U3" t="s">
        <v>935</v>
      </c>
      <c r="V3">
        <v>30</v>
      </c>
    </row>
    <row r="4" spans="1:23">
      <c r="A4" s="14" t="s">
        <v>153</v>
      </c>
      <c r="B4" s="8" t="s">
        <v>707</v>
      </c>
      <c r="C4" t="s">
        <v>89</v>
      </c>
      <c r="D4" t="s">
        <v>840</v>
      </c>
      <c r="E4" s="8" t="s">
        <v>696</v>
      </c>
      <c r="F4" s="8" t="s">
        <v>702</v>
      </c>
      <c r="G4" s="8" t="s">
        <v>89</v>
      </c>
      <c r="H4" t="s">
        <v>716</v>
      </c>
      <c r="I4" t="s">
        <v>89</v>
      </c>
      <c r="J4" t="s">
        <v>748</v>
      </c>
      <c r="Q4" t="s">
        <v>1329</v>
      </c>
      <c r="U4" t="s">
        <v>936</v>
      </c>
      <c r="V4">
        <v>21</v>
      </c>
      <c r="W4">
        <f>V4/V3*100</f>
        <v>70</v>
      </c>
    </row>
    <row r="5" spans="1:23">
      <c r="A5" s="13" t="s">
        <v>154</v>
      </c>
      <c r="B5" s="8" t="s">
        <v>88</v>
      </c>
      <c r="C5" t="s">
        <v>1136</v>
      </c>
      <c r="D5" t="s">
        <v>833</v>
      </c>
      <c r="E5" s="8" t="s">
        <v>88</v>
      </c>
      <c r="F5" s="8" t="s">
        <v>88</v>
      </c>
      <c r="G5" s="8" t="s">
        <v>88</v>
      </c>
      <c r="H5" t="s">
        <v>88</v>
      </c>
      <c r="I5" t="s">
        <v>88</v>
      </c>
      <c r="J5" t="s">
        <v>88</v>
      </c>
      <c r="N5" t="s">
        <v>1145</v>
      </c>
      <c r="O5" t="s">
        <v>1144</v>
      </c>
      <c r="P5" t="s">
        <v>1144</v>
      </c>
      <c r="Q5" t="s">
        <v>806</v>
      </c>
      <c r="R5" t="s">
        <v>1322</v>
      </c>
      <c r="U5" t="s">
        <v>937</v>
      </c>
      <c r="V5">
        <f>V3-V4</f>
        <v>9</v>
      </c>
      <c r="W5">
        <f>100-W4</f>
        <v>30</v>
      </c>
    </row>
    <row r="6" spans="1:23">
      <c r="A6" s="13" t="s">
        <v>155</v>
      </c>
      <c r="B6" s="8" t="s">
        <v>88</v>
      </c>
      <c r="C6" t="s">
        <v>88</v>
      </c>
      <c r="D6" t="s">
        <v>806</v>
      </c>
      <c r="E6" s="8" t="s">
        <v>88</v>
      </c>
      <c r="F6" s="8" t="s">
        <v>88</v>
      </c>
      <c r="G6" s="8" t="s">
        <v>88</v>
      </c>
      <c r="H6" t="s">
        <v>88</v>
      </c>
      <c r="I6" t="s">
        <v>88</v>
      </c>
      <c r="J6" t="s">
        <v>88</v>
      </c>
      <c r="K6" t="s">
        <v>885</v>
      </c>
      <c r="L6" t="s">
        <v>992</v>
      </c>
      <c r="M6" t="s">
        <v>1102</v>
      </c>
      <c r="N6" t="s">
        <v>1145</v>
      </c>
      <c r="O6" t="s">
        <v>1144</v>
      </c>
      <c r="P6" t="s">
        <v>1144</v>
      </c>
      <c r="Q6" t="s">
        <v>806</v>
      </c>
      <c r="R6" t="s">
        <v>1322</v>
      </c>
    </row>
    <row r="7" spans="1:23">
      <c r="A7" s="13" t="s">
        <v>156</v>
      </c>
      <c r="B7" s="8" t="s">
        <v>88</v>
      </c>
      <c r="C7" t="s">
        <v>88</v>
      </c>
      <c r="D7" t="s">
        <v>841</v>
      </c>
      <c r="E7" s="8" t="s">
        <v>88</v>
      </c>
      <c r="F7" s="8" t="s">
        <v>88</v>
      </c>
      <c r="G7" s="8" t="s">
        <v>88</v>
      </c>
      <c r="H7" t="s">
        <v>88</v>
      </c>
      <c r="I7" t="s">
        <v>88</v>
      </c>
      <c r="J7" t="s">
        <v>88</v>
      </c>
      <c r="K7" t="s">
        <v>886</v>
      </c>
      <c r="L7" t="s">
        <v>992</v>
      </c>
      <c r="M7" t="s">
        <v>1049</v>
      </c>
      <c r="N7" t="s">
        <v>1145</v>
      </c>
      <c r="O7" t="s">
        <v>1144</v>
      </c>
      <c r="P7" t="s">
        <v>1144</v>
      </c>
      <c r="Q7" t="s">
        <v>1322</v>
      </c>
      <c r="R7" t="s">
        <v>1322</v>
      </c>
    </row>
    <row r="8" spans="1:23">
      <c r="A8" s="13" t="s">
        <v>157</v>
      </c>
      <c r="B8" s="8" t="s">
        <v>88</v>
      </c>
      <c r="C8" t="s">
        <v>88</v>
      </c>
      <c r="D8" t="s">
        <v>841</v>
      </c>
      <c r="E8" s="8" t="s">
        <v>88</v>
      </c>
      <c r="F8" s="8" t="s">
        <v>88</v>
      </c>
      <c r="G8" s="8" t="s">
        <v>88</v>
      </c>
      <c r="H8" t="s">
        <v>88</v>
      </c>
      <c r="I8" t="s">
        <v>88</v>
      </c>
      <c r="J8" t="s">
        <v>88</v>
      </c>
      <c r="K8" t="s">
        <v>886</v>
      </c>
      <c r="L8" t="s">
        <v>994</v>
      </c>
      <c r="M8" t="s">
        <v>1049</v>
      </c>
      <c r="N8" t="s">
        <v>1145</v>
      </c>
      <c r="O8" t="s">
        <v>1144</v>
      </c>
      <c r="P8" t="s">
        <v>1144</v>
      </c>
      <c r="Q8" t="s">
        <v>1322</v>
      </c>
      <c r="R8" t="s">
        <v>1322</v>
      </c>
    </row>
    <row r="9" spans="1:23">
      <c r="A9" s="13" t="s">
        <v>158</v>
      </c>
      <c r="B9" s="8" t="s">
        <v>88</v>
      </c>
      <c r="C9" t="s">
        <v>88</v>
      </c>
      <c r="D9" t="s">
        <v>841</v>
      </c>
      <c r="E9" s="8" t="s">
        <v>88</v>
      </c>
      <c r="F9" s="8" t="s">
        <v>88</v>
      </c>
      <c r="G9" s="8" t="s">
        <v>88</v>
      </c>
      <c r="H9" t="s">
        <v>88</v>
      </c>
      <c r="I9" t="s">
        <v>88</v>
      </c>
      <c r="J9" t="s">
        <v>88</v>
      </c>
      <c r="K9" t="s">
        <v>939</v>
      </c>
      <c r="L9" t="s">
        <v>995</v>
      </c>
      <c r="M9" t="s">
        <v>1049</v>
      </c>
      <c r="N9" t="s">
        <v>1145</v>
      </c>
      <c r="O9" t="s">
        <v>1144</v>
      </c>
      <c r="P9" t="s">
        <v>1144</v>
      </c>
      <c r="Q9" t="s">
        <v>806</v>
      </c>
      <c r="R9" t="s">
        <v>1322</v>
      </c>
    </row>
    <row r="10" spans="1:23">
      <c r="A10" s="13" t="s">
        <v>159</v>
      </c>
      <c r="B10" s="8" t="s">
        <v>88</v>
      </c>
      <c r="C10" t="s">
        <v>88</v>
      </c>
      <c r="D10" t="s">
        <v>841</v>
      </c>
      <c r="E10" s="8" t="s">
        <v>88</v>
      </c>
      <c r="F10" s="8" t="s">
        <v>88</v>
      </c>
      <c r="G10" s="8" t="s">
        <v>88</v>
      </c>
      <c r="H10" t="s">
        <v>88</v>
      </c>
      <c r="I10" t="s">
        <v>88</v>
      </c>
      <c r="J10" t="s">
        <v>88</v>
      </c>
      <c r="K10" t="s">
        <v>929</v>
      </c>
      <c r="L10" t="s">
        <v>992</v>
      </c>
      <c r="M10" t="s">
        <v>1049</v>
      </c>
      <c r="N10" t="s">
        <v>1145</v>
      </c>
      <c r="O10" t="s">
        <v>1144</v>
      </c>
      <c r="P10" t="s">
        <v>1144</v>
      </c>
      <c r="Q10" t="s">
        <v>1322</v>
      </c>
      <c r="R10" t="s">
        <v>1322</v>
      </c>
    </row>
    <row r="11" spans="1:23">
      <c r="A11" s="13" t="s">
        <v>160</v>
      </c>
      <c r="B11" s="8" t="s">
        <v>88</v>
      </c>
      <c r="C11" t="s">
        <v>88</v>
      </c>
      <c r="D11" t="s">
        <v>841</v>
      </c>
      <c r="E11" s="8" t="s">
        <v>88</v>
      </c>
      <c r="F11" s="8" t="s">
        <v>88</v>
      </c>
      <c r="G11" s="8" t="s">
        <v>88</v>
      </c>
      <c r="H11" t="s">
        <v>88</v>
      </c>
      <c r="I11" t="s">
        <v>88</v>
      </c>
      <c r="J11" t="s">
        <v>88</v>
      </c>
      <c r="K11" t="s">
        <v>886</v>
      </c>
      <c r="L11" t="s">
        <v>992</v>
      </c>
      <c r="M11" t="s">
        <v>1092</v>
      </c>
      <c r="N11" t="s">
        <v>1145</v>
      </c>
      <c r="O11" t="s">
        <v>1144</v>
      </c>
      <c r="P11" t="s">
        <v>1144</v>
      </c>
      <c r="Q11" t="s">
        <v>806</v>
      </c>
      <c r="R11" t="s">
        <v>1322</v>
      </c>
    </row>
    <row r="12" spans="1:23">
      <c r="A12" s="13" t="s">
        <v>161</v>
      </c>
      <c r="B12" s="8" t="s">
        <v>88</v>
      </c>
      <c r="C12" t="s">
        <v>88</v>
      </c>
      <c r="D12" t="s">
        <v>833</v>
      </c>
      <c r="E12" s="8" t="s">
        <v>88</v>
      </c>
      <c r="F12" s="8" t="s">
        <v>88</v>
      </c>
      <c r="G12" s="8" t="s">
        <v>88</v>
      </c>
      <c r="H12" t="s">
        <v>88</v>
      </c>
      <c r="I12" t="s">
        <v>88</v>
      </c>
      <c r="J12" t="s">
        <v>88</v>
      </c>
      <c r="K12" t="s">
        <v>886</v>
      </c>
      <c r="L12" t="s">
        <v>992</v>
      </c>
      <c r="M12" t="s">
        <v>1087</v>
      </c>
      <c r="N12" t="s">
        <v>1145</v>
      </c>
      <c r="O12" t="s">
        <v>1144</v>
      </c>
      <c r="P12" t="s">
        <v>1144</v>
      </c>
      <c r="Q12" t="s">
        <v>806</v>
      </c>
      <c r="R12" t="s">
        <v>806</v>
      </c>
    </row>
    <row r="13" spans="1:23">
      <c r="A13" s="13" t="s">
        <v>162</v>
      </c>
      <c r="B13" s="8" t="s">
        <v>88</v>
      </c>
      <c r="C13" t="s">
        <v>88</v>
      </c>
      <c r="D13" t="s">
        <v>833</v>
      </c>
      <c r="E13" s="8" t="s">
        <v>88</v>
      </c>
      <c r="F13" s="8" t="s">
        <v>88</v>
      </c>
      <c r="G13" s="8" t="s">
        <v>88</v>
      </c>
      <c r="H13" t="s">
        <v>88</v>
      </c>
      <c r="I13" t="s">
        <v>88</v>
      </c>
      <c r="J13" t="s">
        <v>88</v>
      </c>
      <c r="K13" t="s">
        <v>887</v>
      </c>
      <c r="L13" t="s">
        <v>997</v>
      </c>
      <c r="M13" t="s">
        <v>1049</v>
      </c>
      <c r="N13" t="s">
        <v>1145</v>
      </c>
      <c r="O13" t="s">
        <v>1144</v>
      </c>
      <c r="P13" t="s">
        <v>1144</v>
      </c>
      <c r="Q13" t="s">
        <v>1322</v>
      </c>
      <c r="R13" t="s">
        <v>1322</v>
      </c>
    </row>
    <row r="14" spans="1:23">
      <c r="A14" s="13" t="s">
        <v>163</v>
      </c>
      <c r="B14" s="8" t="s">
        <v>88</v>
      </c>
      <c r="C14" t="s">
        <v>88</v>
      </c>
      <c r="D14" t="s">
        <v>833</v>
      </c>
      <c r="E14" s="8" t="s">
        <v>88</v>
      </c>
      <c r="F14" s="8" t="s">
        <v>88</v>
      </c>
      <c r="G14" s="8" t="s">
        <v>88</v>
      </c>
      <c r="H14" t="s">
        <v>88</v>
      </c>
      <c r="I14" t="s">
        <v>88</v>
      </c>
      <c r="J14" t="s">
        <v>88</v>
      </c>
      <c r="K14" t="s">
        <v>887</v>
      </c>
      <c r="L14" t="s">
        <v>994</v>
      </c>
      <c r="M14" t="s">
        <v>1103</v>
      </c>
      <c r="N14" t="s">
        <v>1145</v>
      </c>
      <c r="O14" t="s">
        <v>1144</v>
      </c>
      <c r="P14" t="s">
        <v>1144</v>
      </c>
      <c r="Q14" t="s">
        <v>1322</v>
      </c>
      <c r="R14" t="s">
        <v>1322</v>
      </c>
    </row>
    <row r="15" spans="1:23">
      <c r="A15" s="13" t="s">
        <v>164</v>
      </c>
      <c r="B15" s="8" t="s">
        <v>88</v>
      </c>
      <c r="C15" t="s">
        <v>88</v>
      </c>
      <c r="D15" t="s">
        <v>833</v>
      </c>
      <c r="E15" s="8" t="s">
        <v>88</v>
      </c>
      <c r="F15" s="8" t="s">
        <v>88</v>
      </c>
      <c r="G15" s="8" t="s">
        <v>88</v>
      </c>
      <c r="H15" t="s">
        <v>88</v>
      </c>
      <c r="I15" t="s">
        <v>88</v>
      </c>
      <c r="J15" t="s">
        <v>88</v>
      </c>
      <c r="K15" t="s">
        <v>886</v>
      </c>
      <c r="L15" t="s">
        <v>997</v>
      </c>
      <c r="M15" t="s">
        <v>1049</v>
      </c>
      <c r="N15" t="s">
        <v>1145</v>
      </c>
      <c r="O15" t="s">
        <v>1144</v>
      </c>
      <c r="P15" t="s">
        <v>1144</v>
      </c>
      <c r="Q15" t="s">
        <v>1322</v>
      </c>
      <c r="R15" t="s">
        <v>1322</v>
      </c>
    </row>
    <row r="16" spans="1:23">
      <c r="A16" s="13" t="s">
        <v>165</v>
      </c>
      <c r="B16" s="8" t="s">
        <v>88</v>
      </c>
      <c r="C16" t="s">
        <v>88</v>
      </c>
      <c r="D16" t="s">
        <v>833</v>
      </c>
      <c r="E16" s="8" t="s">
        <v>88</v>
      </c>
      <c r="F16" s="8" t="s">
        <v>88</v>
      </c>
      <c r="G16" s="8" t="s">
        <v>88</v>
      </c>
      <c r="H16" t="s">
        <v>88</v>
      </c>
      <c r="I16" t="s">
        <v>88</v>
      </c>
      <c r="J16" t="s">
        <v>88</v>
      </c>
      <c r="K16" t="s">
        <v>929</v>
      </c>
      <c r="L16" t="s">
        <v>1003</v>
      </c>
      <c r="M16" t="s">
        <v>1050</v>
      </c>
      <c r="N16" t="s">
        <v>1145</v>
      </c>
      <c r="O16" t="s">
        <v>1144</v>
      </c>
      <c r="P16" t="s">
        <v>1144</v>
      </c>
      <c r="Q16" t="s">
        <v>1322</v>
      </c>
      <c r="R16" t="s">
        <v>1322</v>
      </c>
    </row>
    <row r="17" spans="1:18">
      <c r="A17" s="13" t="s">
        <v>166</v>
      </c>
      <c r="B17" s="8" t="s">
        <v>88</v>
      </c>
      <c r="C17" t="s">
        <v>88</v>
      </c>
      <c r="D17" t="s">
        <v>833</v>
      </c>
      <c r="E17" s="8" t="s">
        <v>88</v>
      </c>
      <c r="F17" s="8" t="s">
        <v>88</v>
      </c>
      <c r="G17" s="8" t="s">
        <v>88</v>
      </c>
      <c r="H17" t="s">
        <v>88</v>
      </c>
      <c r="I17" t="s">
        <v>88</v>
      </c>
      <c r="J17" t="s">
        <v>88</v>
      </c>
      <c r="K17" t="s">
        <v>940</v>
      </c>
      <c r="L17" t="s">
        <v>1000</v>
      </c>
      <c r="M17" t="s">
        <v>1049</v>
      </c>
      <c r="N17" t="s">
        <v>1145</v>
      </c>
      <c r="O17" t="s">
        <v>1144</v>
      </c>
      <c r="P17" t="s">
        <v>1144</v>
      </c>
      <c r="Q17" t="s">
        <v>1322</v>
      </c>
      <c r="R17" t="s">
        <v>1333</v>
      </c>
    </row>
    <row r="18" spans="1:18">
      <c r="A18" s="13" t="s">
        <v>167</v>
      </c>
      <c r="B18" s="8" t="s">
        <v>88</v>
      </c>
      <c r="C18" t="s">
        <v>88</v>
      </c>
      <c r="D18" t="s">
        <v>833</v>
      </c>
      <c r="E18" s="8" t="s">
        <v>88</v>
      </c>
      <c r="F18" s="8" t="s">
        <v>88</v>
      </c>
      <c r="G18" s="8" t="s">
        <v>88</v>
      </c>
      <c r="H18" t="s">
        <v>88</v>
      </c>
      <c r="I18" t="s">
        <v>88</v>
      </c>
      <c r="J18" t="s">
        <v>88</v>
      </c>
      <c r="K18" t="s">
        <v>929</v>
      </c>
      <c r="L18" t="s">
        <v>992</v>
      </c>
      <c r="M18" t="s">
        <v>1052</v>
      </c>
      <c r="N18" t="s">
        <v>1145</v>
      </c>
      <c r="O18" t="s">
        <v>1144</v>
      </c>
      <c r="P18" t="s">
        <v>1144</v>
      </c>
      <c r="Q18" t="s">
        <v>1322</v>
      </c>
      <c r="R18" t="s">
        <v>1322</v>
      </c>
    </row>
    <row r="19" spans="1:18">
      <c r="A19" s="14" t="s">
        <v>168</v>
      </c>
      <c r="B19" s="8" t="s">
        <v>88</v>
      </c>
      <c r="C19" t="s">
        <v>88</v>
      </c>
      <c r="D19" t="s">
        <v>833</v>
      </c>
      <c r="E19" s="8" t="s">
        <v>88</v>
      </c>
      <c r="F19" s="8" t="s">
        <v>88</v>
      </c>
      <c r="G19" s="8" t="s">
        <v>88</v>
      </c>
      <c r="H19" t="s">
        <v>88</v>
      </c>
      <c r="I19" t="s">
        <v>88</v>
      </c>
      <c r="J19" t="s">
        <v>88</v>
      </c>
      <c r="K19" t="s">
        <v>885</v>
      </c>
      <c r="L19" t="s">
        <v>1004</v>
      </c>
      <c r="M19" t="s">
        <v>1049</v>
      </c>
      <c r="N19" t="s">
        <v>1145</v>
      </c>
      <c r="O19" t="s">
        <v>1144</v>
      </c>
      <c r="P19" t="s">
        <v>1144</v>
      </c>
      <c r="Q19" t="s">
        <v>1329</v>
      </c>
    </row>
    <row r="20" spans="1:18">
      <c r="A20" s="14" t="s">
        <v>169</v>
      </c>
      <c r="B20" s="8" t="s">
        <v>88</v>
      </c>
      <c r="C20" t="s">
        <v>88</v>
      </c>
      <c r="D20" t="s">
        <v>833</v>
      </c>
      <c r="E20" s="8" t="s">
        <v>88</v>
      </c>
      <c r="F20" s="8" t="s">
        <v>88</v>
      </c>
      <c r="G20" s="8" t="s">
        <v>89</v>
      </c>
      <c r="H20" t="s">
        <v>716</v>
      </c>
      <c r="I20" t="s">
        <v>88</v>
      </c>
      <c r="J20" t="s">
        <v>88</v>
      </c>
      <c r="Q20" t="s">
        <v>1322</v>
      </c>
    </row>
    <row r="21" spans="1:18">
      <c r="A21" s="13" t="s">
        <v>170</v>
      </c>
      <c r="B21" s="8" t="s">
        <v>88</v>
      </c>
      <c r="C21" t="s">
        <v>88</v>
      </c>
      <c r="D21" t="s">
        <v>833</v>
      </c>
      <c r="E21" s="8" t="s">
        <v>88</v>
      </c>
      <c r="F21" s="8" t="s">
        <v>88</v>
      </c>
      <c r="G21" s="8" t="s">
        <v>88</v>
      </c>
      <c r="H21" t="s">
        <v>88</v>
      </c>
      <c r="I21" t="s">
        <v>88</v>
      </c>
      <c r="J21" t="s">
        <v>88</v>
      </c>
      <c r="K21" t="s">
        <v>885</v>
      </c>
      <c r="L21" t="s">
        <v>1004</v>
      </c>
      <c r="M21" t="s">
        <v>1052</v>
      </c>
      <c r="N21" t="s">
        <v>1145</v>
      </c>
      <c r="O21" t="s">
        <v>1144</v>
      </c>
      <c r="P21" t="s">
        <v>1144</v>
      </c>
      <c r="Q21" t="s">
        <v>1322</v>
      </c>
      <c r="R21" t="s">
        <v>1322</v>
      </c>
    </row>
    <row r="22" spans="1:18">
      <c r="A22" s="14" t="s">
        <v>171</v>
      </c>
      <c r="B22" s="8" t="s">
        <v>708</v>
      </c>
      <c r="C22" t="s">
        <v>89</v>
      </c>
      <c r="D22" t="s">
        <v>837</v>
      </c>
      <c r="E22" s="8" t="s">
        <v>88</v>
      </c>
      <c r="F22" s="8" t="s">
        <v>88</v>
      </c>
      <c r="G22" s="8" t="s">
        <v>88</v>
      </c>
      <c r="H22" t="s">
        <v>88</v>
      </c>
      <c r="I22" t="s">
        <v>88</v>
      </c>
      <c r="J22" t="s">
        <v>88</v>
      </c>
      <c r="Q22" t="s">
        <v>1329</v>
      </c>
    </row>
    <row r="23" spans="1:18">
      <c r="A23" s="14" t="s">
        <v>172</v>
      </c>
      <c r="B23" s="8" t="s">
        <v>709</v>
      </c>
      <c r="C23" t="s">
        <v>88</v>
      </c>
      <c r="D23" t="s">
        <v>833</v>
      </c>
      <c r="E23" s="8" t="s">
        <v>696</v>
      </c>
      <c r="F23" s="8" t="s">
        <v>89</v>
      </c>
      <c r="G23" s="8" t="s">
        <v>88</v>
      </c>
      <c r="H23" t="s">
        <v>88</v>
      </c>
      <c r="I23" t="s">
        <v>88</v>
      </c>
      <c r="J23" t="s">
        <v>88</v>
      </c>
      <c r="L23" t="s">
        <v>1007</v>
      </c>
      <c r="Q23" t="s">
        <v>1322</v>
      </c>
    </row>
    <row r="24" spans="1:18">
      <c r="A24" s="13" t="s">
        <v>173</v>
      </c>
      <c r="B24" s="8" t="s">
        <v>88</v>
      </c>
      <c r="C24" t="s">
        <v>88</v>
      </c>
      <c r="D24" t="s">
        <v>833</v>
      </c>
      <c r="E24" s="8" t="s">
        <v>88</v>
      </c>
      <c r="F24" s="8" t="s">
        <v>88</v>
      </c>
      <c r="G24" s="8" t="s">
        <v>88</v>
      </c>
      <c r="H24" t="s">
        <v>88</v>
      </c>
      <c r="I24" t="s">
        <v>88</v>
      </c>
      <c r="J24" t="s">
        <v>88</v>
      </c>
      <c r="K24" t="s">
        <v>941</v>
      </c>
      <c r="L24" t="s">
        <v>996</v>
      </c>
      <c r="M24" t="s">
        <v>1092</v>
      </c>
      <c r="N24" t="s">
        <v>1145</v>
      </c>
      <c r="O24" t="s">
        <v>1144</v>
      </c>
      <c r="P24" t="s">
        <v>1144</v>
      </c>
      <c r="Q24" t="s">
        <v>1322</v>
      </c>
      <c r="R24" t="s">
        <v>1322</v>
      </c>
    </row>
    <row r="25" spans="1:18">
      <c r="A25" s="14" t="s">
        <v>174</v>
      </c>
      <c r="B25" s="8" t="s">
        <v>709</v>
      </c>
      <c r="C25" t="s">
        <v>89</v>
      </c>
      <c r="D25" t="s">
        <v>837</v>
      </c>
      <c r="E25" s="8" t="s">
        <v>696</v>
      </c>
      <c r="F25" s="8" t="s">
        <v>89</v>
      </c>
      <c r="G25" s="8" t="s">
        <v>89</v>
      </c>
      <c r="H25" t="s">
        <v>713</v>
      </c>
      <c r="I25" t="s">
        <v>89</v>
      </c>
      <c r="J25" t="s">
        <v>748</v>
      </c>
      <c r="Q25" t="s">
        <v>1329</v>
      </c>
    </row>
    <row r="26" spans="1:18">
      <c r="A26" s="13" t="s">
        <v>175</v>
      </c>
      <c r="B26" s="8" t="s">
        <v>88</v>
      </c>
      <c r="C26" t="s">
        <v>88</v>
      </c>
      <c r="D26" t="s">
        <v>833</v>
      </c>
      <c r="E26" s="8" t="s">
        <v>88</v>
      </c>
      <c r="F26" s="8" t="s">
        <v>88</v>
      </c>
      <c r="G26" s="8" t="s">
        <v>88</v>
      </c>
      <c r="H26" t="s">
        <v>88</v>
      </c>
      <c r="I26" t="s">
        <v>88</v>
      </c>
      <c r="J26" t="s">
        <v>88</v>
      </c>
      <c r="K26" t="s">
        <v>941</v>
      </c>
      <c r="L26" t="s">
        <v>992</v>
      </c>
      <c r="M26" t="s">
        <v>1052</v>
      </c>
      <c r="N26" t="s">
        <v>1145</v>
      </c>
      <c r="O26" t="s">
        <v>1144</v>
      </c>
      <c r="P26" t="s">
        <v>1144</v>
      </c>
      <c r="Q26" t="s">
        <v>1322</v>
      </c>
      <c r="R26" t="s">
        <v>1322</v>
      </c>
    </row>
    <row r="27" spans="1:18">
      <c r="A27" s="14" t="s">
        <v>176</v>
      </c>
      <c r="B27" s="8" t="s">
        <v>88</v>
      </c>
      <c r="C27" t="s">
        <v>88</v>
      </c>
      <c r="D27" t="s">
        <v>833</v>
      </c>
      <c r="E27" s="8" t="s">
        <v>88</v>
      </c>
      <c r="F27" s="8" t="s">
        <v>88</v>
      </c>
      <c r="G27" s="8" t="s">
        <v>89</v>
      </c>
      <c r="H27" t="s">
        <v>713</v>
      </c>
      <c r="I27" t="s">
        <v>88</v>
      </c>
      <c r="J27" t="s">
        <v>88</v>
      </c>
      <c r="Q27" t="s">
        <v>1322</v>
      </c>
    </row>
    <row r="28" spans="1:18">
      <c r="A28" s="15" t="s">
        <v>177</v>
      </c>
      <c r="B28" s="8" t="s">
        <v>88</v>
      </c>
      <c r="C28" t="s">
        <v>88</v>
      </c>
      <c r="D28" t="s">
        <v>833</v>
      </c>
      <c r="E28" s="8" t="s">
        <v>88</v>
      </c>
      <c r="F28" s="8" t="s">
        <v>88</v>
      </c>
      <c r="G28" s="8" t="s">
        <v>89</v>
      </c>
      <c r="H28" t="s">
        <v>719</v>
      </c>
      <c r="I28" t="s">
        <v>88</v>
      </c>
      <c r="J28" t="s">
        <v>88</v>
      </c>
      <c r="Q28" t="s">
        <v>1322</v>
      </c>
    </row>
    <row r="29" spans="1:18">
      <c r="A29" s="15" t="s">
        <v>178</v>
      </c>
      <c r="B29" s="8" t="s">
        <v>88</v>
      </c>
      <c r="C29" t="s">
        <v>88</v>
      </c>
      <c r="D29" t="s">
        <v>833</v>
      </c>
      <c r="E29" s="8" t="s">
        <v>88</v>
      </c>
      <c r="F29" s="8" t="s">
        <v>88</v>
      </c>
      <c r="G29" s="8" t="s">
        <v>89</v>
      </c>
      <c r="H29" t="s">
        <v>725</v>
      </c>
      <c r="I29" t="s">
        <v>88</v>
      </c>
      <c r="J29" t="s">
        <v>88</v>
      </c>
      <c r="Q29" t="s">
        <v>1322</v>
      </c>
    </row>
    <row r="30" spans="1:18">
      <c r="A30" s="13" t="s">
        <v>179</v>
      </c>
      <c r="B30" s="8" t="s">
        <v>88</v>
      </c>
      <c r="C30" t="s">
        <v>88</v>
      </c>
      <c r="D30" t="s">
        <v>833</v>
      </c>
      <c r="E30" s="8" t="s">
        <v>88</v>
      </c>
      <c r="F30" s="8" t="s">
        <v>88</v>
      </c>
      <c r="G30" s="8" t="s">
        <v>88</v>
      </c>
      <c r="H30" t="s">
        <v>88</v>
      </c>
      <c r="I30" t="s">
        <v>88</v>
      </c>
      <c r="J30" t="s">
        <v>88</v>
      </c>
      <c r="K30" t="s">
        <v>885</v>
      </c>
      <c r="L30" t="s">
        <v>997</v>
      </c>
      <c r="M30" t="s">
        <v>1092</v>
      </c>
      <c r="N30" t="s">
        <v>1145</v>
      </c>
      <c r="O30" t="s">
        <v>1144</v>
      </c>
      <c r="P30" t="s">
        <v>1144</v>
      </c>
      <c r="Q30" t="s">
        <v>1322</v>
      </c>
      <c r="R30" t="s">
        <v>1322</v>
      </c>
    </row>
    <row r="31" spans="1:18">
      <c r="A31" s="13" t="s">
        <v>180</v>
      </c>
      <c r="B31" s="8" t="s">
        <v>88</v>
      </c>
      <c r="C31" t="s">
        <v>88</v>
      </c>
      <c r="D31" t="s">
        <v>833</v>
      </c>
      <c r="E31" s="8" t="s">
        <v>88</v>
      </c>
      <c r="F31" s="8" t="s">
        <v>88</v>
      </c>
      <c r="G31" s="8" t="s">
        <v>88</v>
      </c>
      <c r="H31" t="s">
        <v>88</v>
      </c>
      <c r="I31" t="s">
        <v>88</v>
      </c>
      <c r="J31" t="s">
        <v>88</v>
      </c>
      <c r="K31" t="s">
        <v>885</v>
      </c>
      <c r="L31" t="s">
        <v>992</v>
      </c>
      <c r="M31" t="s">
        <v>1050</v>
      </c>
      <c r="N31" t="s">
        <v>1145</v>
      </c>
      <c r="O31" t="s">
        <v>1144</v>
      </c>
      <c r="P31" t="s">
        <v>1144</v>
      </c>
      <c r="Q31" t="s">
        <v>1322</v>
      </c>
      <c r="R31" t="s">
        <v>1322</v>
      </c>
    </row>
  </sheetData>
  <phoneticPr fontId="4" type="noConversion"/>
  <conditionalFormatting sqref="Q2:R31">
    <cfRule type="cellIs" dxfId="5" priority="1" operator="equal">
      <formula>"V"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>
    <tabColor theme="7" tint="0.59999389629810485"/>
  </sheetPr>
  <dimension ref="A1:W14"/>
  <sheetViews>
    <sheetView workbookViewId="0">
      <selection activeCell="A14" sqref="A14"/>
    </sheetView>
  </sheetViews>
  <sheetFormatPr defaultRowHeight="15"/>
  <cols>
    <col min="1" max="1" width="38.7109375" bestFit="1" customWidth="1"/>
    <col min="2" max="2" width="20" style="8" hidden="1" customWidth="1"/>
    <col min="3" max="3" width="16.7109375" hidden="1" customWidth="1"/>
    <col min="4" max="4" width="19.7109375" hidden="1" customWidth="1"/>
    <col min="5" max="5" width="22.5703125" style="8" hidden="1" customWidth="1"/>
    <col min="6" max="6" width="22.140625" style="8" hidden="1" customWidth="1"/>
    <col min="7" max="7" width="22.5703125" style="8" hidden="1" customWidth="1"/>
    <col min="8" max="8" width="19.140625" hidden="1" customWidth="1"/>
    <col min="9" max="10" width="9.140625" hidden="1" customWidth="1"/>
    <col min="11" max="11" width="14.5703125" hidden="1" customWidth="1"/>
    <col min="12" max="12" width="0" hidden="1" customWidth="1"/>
    <col min="13" max="13" width="19.42578125" hidden="1" customWidth="1"/>
  </cols>
  <sheetData>
    <row r="1" spans="1:23">
      <c r="A1" s="6" t="s">
        <v>1</v>
      </c>
      <c r="B1" s="2" t="s">
        <v>0</v>
      </c>
      <c r="C1" s="2" t="s">
        <v>699</v>
      </c>
      <c r="D1" s="2" t="s">
        <v>804</v>
      </c>
      <c r="E1" s="2" t="s">
        <v>700</v>
      </c>
      <c r="F1" s="2" t="s">
        <v>701</v>
      </c>
      <c r="G1" s="2" t="s">
        <v>704</v>
      </c>
      <c r="H1" s="2" t="s">
        <v>726</v>
      </c>
      <c r="I1" s="2" t="s">
        <v>710</v>
      </c>
      <c r="J1" s="2" t="s">
        <v>746</v>
      </c>
      <c r="K1" t="s">
        <v>966</v>
      </c>
      <c r="L1" t="s">
        <v>990</v>
      </c>
      <c r="M1" s="2" t="s">
        <v>1097</v>
      </c>
      <c r="N1" t="s">
        <v>1142</v>
      </c>
      <c r="O1" s="44" t="s">
        <v>1164</v>
      </c>
      <c r="P1" s="44" t="s">
        <v>1223</v>
      </c>
      <c r="Q1" s="44" t="s">
        <v>1334</v>
      </c>
      <c r="R1" t="s">
        <v>1335</v>
      </c>
    </row>
    <row r="2" spans="1:23">
      <c r="A2" s="13" t="s">
        <v>181</v>
      </c>
      <c r="B2" s="8" t="s">
        <v>88</v>
      </c>
      <c r="C2" t="s">
        <v>88</v>
      </c>
      <c r="D2" t="s">
        <v>806</v>
      </c>
      <c r="E2" s="8" t="s">
        <v>88</v>
      </c>
      <c r="F2" s="8" t="s">
        <v>88</v>
      </c>
      <c r="G2" s="8" t="s">
        <v>88</v>
      </c>
      <c r="H2" t="s">
        <v>88</v>
      </c>
      <c r="I2" t="s">
        <v>88</v>
      </c>
      <c r="J2" t="s">
        <v>88</v>
      </c>
      <c r="K2" t="s">
        <v>894</v>
      </c>
      <c r="L2" t="s">
        <v>1005</v>
      </c>
      <c r="M2" t="s">
        <v>1049</v>
      </c>
      <c r="N2" t="s">
        <v>1144</v>
      </c>
      <c r="O2" t="s">
        <v>1146</v>
      </c>
      <c r="P2" t="s">
        <v>934</v>
      </c>
      <c r="Q2" t="s">
        <v>88</v>
      </c>
      <c r="R2" t="s">
        <v>88</v>
      </c>
      <c r="W2" s="8" t="s">
        <v>938</v>
      </c>
    </row>
    <row r="3" spans="1:23">
      <c r="A3" s="13" t="s">
        <v>182</v>
      </c>
      <c r="B3" s="8" t="s">
        <v>88</v>
      </c>
      <c r="C3" t="s">
        <v>88</v>
      </c>
      <c r="D3" t="s">
        <v>806</v>
      </c>
      <c r="E3" s="8" t="s">
        <v>88</v>
      </c>
      <c r="F3" s="8" t="s">
        <v>88</v>
      </c>
      <c r="G3" s="8" t="s">
        <v>88</v>
      </c>
      <c r="H3" t="s">
        <v>88</v>
      </c>
      <c r="I3" t="s">
        <v>88</v>
      </c>
      <c r="J3" t="s">
        <v>88</v>
      </c>
      <c r="K3" t="s">
        <v>894</v>
      </c>
      <c r="L3" t="s">
        <v>996</v>
      </c>
      <c r="M3" t="s">
        <v>1079</v>
      </c>
      <c r="N3" t="s">
        <v>1146</v>
      </c>
      <c r="O3" t="s">
        <v>1166</v>
      </c>
      <c r="P3" t="s">
        <v>1166</v>
      </c>
      <c r="Q3" t="s">
        <v>88</v>
      </c>
      <c r="R3" t="s">
        <v>88</v>
      </c>
      <c r="U3" t="s">
        <v>935</v>
      </c>
      <c r="V3">
        <v>13</v>
      </c>
    </row>
    <row r="4" spans="1:23">
      <c r="A4" s="15" t="s">
        <v>183</v>
      </c>
      <c r="B4" s="8" t="s">
        <v>89</v>
      </c>
      <c r="C4" t="s">
        <v>705</v>
      </c>
      <c r="D4" t="s">
        <v>705</v>
      </c>
      <c r="E4" s="8" t="s">
        <v>89</v>
      </c>
      <c r="F4" s="8" t="s">
        <v>89</v>
      </c>
      <c r="G4" s="8" t="s">
        <v>89</v>
      </c>
      <c r="H4" t="s">
        <v>88</v>
      </c>
      <c r="I4" t="s">
        <v>89</v>
      </c>
      <c r="J4" t="s">
        <v>89</v>
      </c>
      <c r="Q4" t="s">
        <v>88</v>
      </c>
      <c r="U4" t="s">
        <v>936</v>
      </c>
      <c r="V4">
        <v>3</v>
      </c>
      <c r="W4">
        <f>V4/V3*100</f>
        <v>23.076923076923077</v>
      </c>
    </row>
    <row r="5" spans="1:23">
      <c r="A5" s="15" t="s">
        <v>184</v>
      </c>
      <c r="B5" s="8" t="s">
        <v>89</v>
      </c>
      <c r="C5" t="s">
        <v>842</v>
      </c>
      <c r="D5" t="s">
        <v>705</v>
      </c>
      <c r="E5" s="8" t="s">
        <v>89</v>
      </c>
      <c r="F5" s="8" t="s">
        <v>89</v>
      </c>
      <c r="G5" s="8" t="s">
        <v>89</v>
      </c>
      <c r="H5" t="s">
        <v>88</v>
      </c>
      <c r="I5" t="s">
        <v>89</v>
      </c>
      <c r="J5" t="s">
        <v>89</v>
      </c>
      <c r="Q5" t="s">
        <v>88</v>
      </c>
      <c r="U5" t="s">
        <v>937</v>
      </c>
      <c r="V5">
        <f>V3-V4</f>
        <v>10</v>
      </c>
      <c r="W5">
        <f>100-W4</f>
        <v>76.92307692307692</v>
      </c>
    </row>
    <row r="6" spans="1:23">
      <c r="A6" s="15" t="s">
        <v>185</v>
      </c>
      <c r="B6" s="8" t="s">
        <v>88</v>
      </c>
      <c r="C6" t="s">
        <v>88</v>
      </c>
      <c r="D6" t="s">
        <v>833</v>
      </c>
      <c r="E6" s="8" t="s">
        <v>89</v>
      </c>
      <c r="F6" s="8" t="s">
        <v>89</v>
      </c>
      <c r="G6" s="8" t="s">
        <v>88</v>
      </c>
      <c r="H6" t="s">
        <v>88</v>
      </c>
      <c r="I6" t="s">
        <v>89</v>
      </c>
      <c r="J6" t="s">
        <v>89</v>
      </c>
      <c r="Q6" t="s">
        <v>88</v>
      </c>
    </row>
    <row r="7" spans="1:23">
      <c r="A7" s="15" t="s">
        <v>186</v>
      </c>
      <c r="B7" s="8" t="s">
        <v>89</v>
      </c>
      <c r="C7" t="s">
        <v>837</v>
      </c>
      <c r="D7" t="s">
        <v>842</v>
      </c>
      <c r="E7" s="8" t="s">
        <v>89</v>
      </c>
      <c r="F7" s="8" t="s">
        <v>89</v>
      </c>
      <c r="G7" s="8" t="s">
        <v>89</v>
      </c>
      <c r="H7" t="s">
        <v>88</v>
      </c>
      <c r="I7" t="s">
        <v>89</v>
      </c>
      <c r="J7" t="s">
        <v>89</v>
      </c>
      <c r="Q7" t="s">
        <v>88</v>
      </c>
    </row>
    <row r="8" spans="1:23">
      <c r="A8" s="15" t="s">
        <v>187</v>
      </c>
      <c r="B8" s="8" t="s">
        <v>89</v>
      </c>
      <c r="C8" t="s">
        <v>705</v>
      </c>
      <c r="D8" t="s">
        <v>705</v>
      </c>
      <c r="E8" s="8" t="s">
        <v>89</v>
      </c>
      <c r="F8" s="8" t="s">
        <v>89</v>
      </c>
      <c r="G8" s="8" t="s">
        <v>89</v>
      </c>
      <c r="H8" t="s">
        <v>88</v>
      </c>
      <c r="I8" t="s">
        <v>89</v>
      </c>
      <c r="J8" t="s">
        <v>89</v>
      </c>
      <c r="Q8" t="s">
        <v>88</v>
      </c>
    </row>
    <row r="9" spans="1:23">
      <c r="A9" s="15" t="s">
        <v>188</v>
      </c>
      <c r="B9" s="8" t="s">
        <v>89</v>
      </c>
      <c r="C9" t="s">
        <v>837</v>
      </c>
      <c r="D9" t="s">
        <v>705</v>
      </c>
      <c r="E9" s="8" t="s">
        <v>89</v>
      </c>
      <c r="F9" s="8" t="s">
        <v>89</v>
      </c>
      <c r="G9" s="8" t="s">
        <v>89</v>
      </c>
      <c r="H9" t="s">
        <v>88</v>
      </c>
      <c r="I9" t="s">
        <v>89</v>
      </c>
      <c r="J9" t="s">
        <v>89</v>
      </c>
      <c r="Q9" t="s">
        <v>88</v>
      </c>
    </row>
    <row r="10" spans="1:23">
      <c r="A10" s="15" t="s">
        <v>189</v>
      </c>
      <c r="B10" s="8" t="s">
        <v>88</v>
      </c>
      <c r="C10" t="s">
        <v>88</v>
      </c>
      <c r="D10" t="s">
        <v>806</v>
      </c>
      <c r="E10" s="8" t="s">
        <v>88</v>
      </c>
      <c r="F10" s="8" t="s">
        <v>88</v>
      </c>
      <c r="G10" s="8" t="s">
        <v>88</v>
      </c>
      <c r="H10" t="s">
        <v>88</v>
      </c>
      <c r="I10" t="s">
        <v>89</v>
      </c>
      <c r="J10" t="s">
        <v>89</v>
      </c>
      <c r="Q10" t="s">
        <v>88</v>
      </c>
    </row>
    <row r="11" spans="1:23">
      <c r="A11" s="15" t="s">
        <v>190</v>
      </c>
      <c r="B11" s="8" t="s">
        <v>89</v>
      </c>
      <c r="C11" t="s">
        <v>705</v>
      </c>
      <c r="D11" t="s">
        <v>705</v>
      </c>
      <c r="E11" s="8" t="s">
        <v>89</v>
      </c>
      <c r="F11" s="8" t="s">
        <v>89</v>
      </c>
      <c r="G11" s="8" t="s">
        <v>89</v>
      </c>
      <c r="H11" t="s">
        <v>88</v>
      </c>
      <c r="I11" t="s">
        <v>89</v>
      </c>
      <c r="J11" t="s">
        <v>89</v>
      </c>
      <c r="Q11" t="s">
        <v>88</v>
      </c>
    </row>
    <row r="12" spans="1:23">
      <c r="A12" s="15" t="s">
        <v>191</v>
      </c>
      <c r="B12" s="8" t="s">
        <v>89</v>
      </c>
      <c r="C12" t="s">
        <v>837</v>
      </c>
      <c r="D12" t="s">
        <v>837</v>
      </c>
      <c r="E12" s="8" t="s">
        <v>89</v>
      </c>
      <c r="F12" s="8" t="s">
        <v>89</v>
      </c>
      <c r="G12" s="8" t="s">
        <v>89</v>
      </c>
      <c r="H12" t="s">
        <v>88</v>
      </c>
      <c r="I12" t="s">
        <v>89</v>
      </c>
      <c r="J12" t="s">
        <v>89</v>
      </c>
      <c r="Q12" t="s">
        <v>88</v>
      </c>
    </row>
    <row r="13" spans="1:23">
      <c r="A13" s="15" t="s">
        <v>758</v>
      </c>
      <c r="B13" s="8" t="s">
        <v>89</v>
      </c>
      <c r="C13" t="s">
        <v>837</v>
      </c>
      <c r="D13" t="s">
        <v>842</v>
      </c>
      <c r="E13" s="8" t="s">
        <v>89</v>
      </c>
      <c r="F13" s="8" t="s">
        <v>89</v>
      </c>
      <c r="G13" s="8" t="s">
        <v>89</v>
      </c>
      <c r="H13" t="s">
        <v>88</v>
      </c>
      <c r="I13" t="s">
        <v>89</v>
      </c>
      <c r="J13" t="s">
        <v>89</v>
      </c>
      <c r="Q13" t="s">
        <v>88</v>
      </c>
    </row>
    <row r="14" spans="1:23">
      <c r="A14" s="13" t="s">
        <v>783</v>
      </c>
      <c r="B14" s="8" t="s">
        <v>88</v>
      </c>
      <c r="C14" t="s">
        <v>88</v>
      </c>
      <c r="D14" t="s">
        <v>806</v>
      </c>
      <c r="E14" s="8" t="s">
        <v>88</v>
      </c>
      <c r="F14" s="8" t="s">
        <v>88</v>
      </c>
      <c r="G14" s="8" t="s">
        <v>88</v>
      </c>
      <c r="H14" t="s">
        <v>88</v>
      </c>
      <c r="I14" t="s">
        <v>88</v>
      </c>
      <c r="J14" t="s">
        <v>88</v>
      </c>
      <c r="K14" t="s">
        <v>895</v>
      </c>
      <c r="L14" t="s">
        <v>992</v>
      </c>
      <c r="M14" t="s">
        <v>1050</v>
      </c>
      <c r="N14" t="s">
        <v>1145</v>
      </c>
      <c r="O14" t="s">
        <v>1167</v>
      </c>
      <c r="P14" t="s">
        <v>1167</v>
      </c>
      <c r="Q14" t="s">
        <v>88</v>
      </c>
      <c r="R14" t="s">
        <v>88</v>
      </c>
    </row>
  </sheetData>
  <phoneticPr fontId="4" type="noConversion"/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7" tint="0.59999389629810485"/>
  </sheetPr>
  <dimension ref="A1:U5"/>
  <sheetViews>
    <sheetView workbookViewId="0">
      <selection activeCell="A3" sqref="A3"/>
    </sheetView>
  </sheetViews>
  <sheetFormatPr defaultRowHeight="15"/>
  <cols>
    <col min="1" max="1" width="37.7109375" bestFit="1" customWidth="1"/>
    <col min="2" max="2" width="20" style="8" hidden="1" customWidth="1"/>
    <col min="3" max="3" width="22.5703125" hidden="1" customWidth="1"/>
    <col min="4" max="4" width="0" hidden="1" customWidth="1"/>
    <col min="5" max="5" width="22.5703125" style="8" hidden="1" customWidth="1"/>
    <col min="6" max="6" width="17.42578125" style="8" hidden="1" customWidth="1"/>
    <col min="7" max="7" width="22.5703125" style="8" hidden="1" customWidth="1"/>
    <col min="8" max="8" width="19.140625" hidden="1" customWidth="1"/>
    <col min="9" max="10" width="0" hidden="1" customWidth="1"/>
    <col min="11" max="11" width="14.5703125" hidden="1" customWidth="1"/>
    <col min="12" max="12" width="0" hidden="1" customWidth="1"/>
    <col min="13" max="13" width="19.42578125" bestFit="1" customWidth="1"/>
  </cols>
  <sheetData>
    <row r="1" spans="1:21">
      <c r="A1" s="6" t="s">
        <v>1</v>
      </c>
      <c r="B1" s="2" t="s">
        <v>0</v>
      </c>
      <c r="C1" s="2" t="s">
        <v>699</v>
      </c>
      <c r="D1" s="2" t="s">
        <v>843</v>
      </c>
      <c r="E1" s="2" t="s">
        <v>700</v>
      </c>
      <c r="F1" s="2" t="s">
        <v>701</v>
      </c>
      <c r="G1" s="2" t="s">
        <v>704</v>
      </c>
      <c r="H1" s="2" t="s">
        <v>727</v>
      </c>
      <c r="I1" s="2" t="s">
        <v>710</v>
      </c>
      <c r="J1" s="2" t="s">
        <v>759</v>
      </c>
      <c r="K1" t="s">
        <v>966</v>
      </c>
      <c r="L1" t="s">
        <v>990</v>
      </c>
      <c r="M1" s="2" t="s">
        <v>1097</v>
      </c>
      <c r="N1" t="s">
        <v>1142</v>
      </c>
      <c r="O1" s="44" t="s">
        <v>1225</v>
      </c>
      <c r="P1" s="44" t="s">
        <v>1224</v>
      </c>
      <c r="Q1" s="44" t="s">
        <v>1336</v>
      </c>
      <c r="R1" s="44" t="s">
        <v>1337</v>
      </c>
    </row>
    <row r="2" spans="1:21">
      <c r="A2" s="13" t="s">
        <v>192</v>
      </c>
      <c r="B2" s="8" t="s">
        <v>88</v>
      </c>
      <c r="C2" t="s">
        <v>88</v>
      </c>
      <c r="D2" t="s">
        <v>844</v>
      </c>
      <c r="E2" s="8" t="s">
        <v>88</v>
      </c>
      <c r="F2" s="8" t="s">
        <v>88</v>
      </c>
      <c r="G2" s="8" t="s">
        <v>88</v>
      </c>
      <c r="H2" t="s">
        <v>88</v>
      </c>
      <c r="I2" t="s">
        <v>88</v>
      </c>
      <c r="J2" t="s">
        <v>88</v>
      </c>
      <c r="K2" t="s">
        <v>890</v>
      </c>
      <c r="L2" t="s">
        <v>996</v>
      </c>
      <c r="M2" t="s">
        <v>1050</v>
      </c>
      <c r="N2" t="s">
        <v>827</v>
      </c>
      <c r="O2" t="s">
        <v>1145</v>
      </c>
      <c r="P2" t="s">
        <v>1145</v>
      </c>
      <c r="Q2" t="s">
        <v>1338</v>
      </c>
      <c r="R2" t="s">
        <v>1338</v>
      </c>
      <c r="U2" s="8" t="s">
        <v>938</v>
      </c>
    </row>
    <row r="3" spans="1:21">
      <c r="A3" s="13" t="s">
        <v>193</v>
      </c>
      <c r="B3" s="8" t="s">
        <v>88</v>
      </c>
      <c r="C3" t="s">
        <v>88</v>
      </c>
      <c r="D3" t="s">
        <v>833</v>
      </c>
      <c r="E3" s="8" t="s">
        <v>88</v>
      </c>
      <c r="F3" s="8" t="s">
        <v>88</v>
      </c>
      <c r="G3" s="8" t="s">
        <v>88</v>
      </c>
      <c r="H3" t="s">
        <v>88</v>
      </c>
      <c r="I3" t="s">
        <v>88</v>
      </c>
      <c r="J3" t="s">
        <v>88</v>
      </c>
      <c r="K3" t="s">
        <v>890</v>
      </c>
      <c r="L3" t="s">
        <v>992</v>
      </c>
      <c r="M3" t="s">
        <v>1074</v>
      </c>
      <c r="N3" t="s">
        <v>827</v>
      </c>
      <c r="O3" t="s">
        <v>1144</v>
      </c>
      <c r="P3" t="s">
        <v>1144</v>
      </c>
      <c r="Q3" t="s">
        <v>1338</v>
      </c>
      <c r="R3" t="s">
        <v>1338</v>
      </c>
      <c r="S3" t="s">
        <v>935</v>
      </c>
      <c r="T3">
        <v>2</v>
      </c>
    </row>
    <row r="4" spans="1:21">
      <c r="S4" t="s">
        <v>936</v>
      </c>
      <c r="T4">
        <v>2</v>
      </c>
      <c r="U4">
        <f>T4/T3*100</f>
        <v>100</v>
      </c>
    </row>
    <row r="5" spans="1:21">
      <c r="S5" t="s">
        <v>937</v>
      </c>
      <c r="T5">
        <f>T3-T4</f>
        <v>0</v>
      </c>
      <c r="U5">
        <f>100-U4</f>
        <v>0</v>
      </c>
    </row>
  </sheetData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theme="7" tint="0.59999389629810485"/>
  </sheetPr>
  <dimension ref="A1:X6"/>
  <sheetViews>
    <sheetView workbookViewId="0">
      <selection activeCell="A3" sqref="A3:A5"/>
    </sheetView>
  </sheetViews>
  <sheetFormatPr defaultRowHeight="15"/>
  <cols>
    <col min="1" max="1" width="27.7109375" bestFit="1" customWidth="1"/>
    <col min="2" max="2" width="20" style="8" hidden="1" customWidth="1"/>
    <col min="3" max="3" width="18.140625" hidden="1" customWidth="1"/>
    <col min="4" max="4" width="9.140625" hidden="1" customWidth="1"/>
    <col min="5" max="5" width="22.5703125" style="8" hidden="1" customWidth="1"/>
    <col min="6" max="6" width="17.42578125" style="8" hidden="1" customWidth="1"/>
    <col min="7" max="7" width="22.5703125" style="8" hidden="1" customWidth="1"/>
    <col min="8" max="8" width="19.140625" hidden="1" customWidth="1"/>
    <col min="9" max="10" width="9.140625" hidden="1" customWidth="1"/>
    <col min="11" max="11" width="14.5703125" hidden="1" customWidth="1"/>
    <col min="12" max="12" width="0" hidden="1" customWidth="1"/>
  </cols>
  <sheetData>
    <row r="1" spans="1:24">
      <c r="A1" s="6" t="s">
        <v>1</v>
      </c>
      <c r="B1" s="2" t="s">
        <v>0</v>
      </c>
      <c r="C1" s="2" t="s">
        <v>699</v>
      </c>
      <c r="D1" s="2" t="s">
        <v>835</v>
      </c>
      <c r="E1" s="2" t="s">
        <v>700</v>
      </c>
      <c r="F1" s="2" t="s">
        <v>701</v>
      </c>
      <c r="G1" s="2" t="s">
        <v>704</v>
      </c>
      <c r="H1" s="2" t="s">
        <v>711</v>
      </c>
      <c r="I1" s="2" t="s">
        <v>710</v>
      </c>
      <c r="J1" s="2" t="s">
        <v>759</v>
      </c>
      <c r="K1" t="s">
        <v>966</v>
      </c>
      <c r="L1" t="s">
        <v>990</v>
      </c>
      <c r="M1" s="2" t="s">
        <v>1097</v>
      </c>
      <c r="N1" t="s">
        <v>1142</v>
      </c>
      <c r="O1" s="44" t="s">
        <v>1225</v>
      </c>
      <c r="P1" s="44" t="s">
        <v>1223</v>
      </c>
      <c r="Q1" s="44" t="s">
        <v>1169</v>
      </c>
      <c r="R1" s="44" t="s">
        <v>1320</v>
      </c>
    </row>
    <row r="2" spans="1:24">
      <c r="A2" s="14" t="s">
        <v>194</v>
      </c>
      <c r="B2" s="8" t="s">
        <v>88</v>
      </c>
      <c r="C2" t="s">
        <v>89</v>
      </c>
      <c r="D2" t="s">
        <v>845</v>
      </c>
      <c r="E2" s="8" t="s">
        <v>89</v>
      </c>
      <c r="F2" s="8" t="s">
        <v>88</v>
      </c>
      <c r="G2" s="8" t="s">
        <v>89</v>
      </c>
      <c r="H2" t="s">
        <v>728</v>
      </c>
      <c r="I2" t="s">
        <v>89</v>
      </c>
      <c r="J2" t="s">
        <v>760</v>
      </c>
      <c r="Q2" t="s">
        <v>1339</v>
      </c>
      <c r="X2" s="8" t="s">
        <v>938</v>
      </c>
    </row>
    <row r="3" spans="1:24">
      <c r="A3" s="13" t="s">
        <v>195</v>
      </c>
      <c r="B3" s="8" t="s">
        <v>88</v>
      </c>
      <c r="C3" t="s">
        <v>88</v>
      </c>
      <c r="D3" t="s">
        <v>836</v>
      </c>
      <c r="E3" s="8" t="s">
        <v>88</v>
      </c>
      <c r="F3" s="8" t="s">
        <v>88</v>
      </c>
      <c r="G3" s="8" t="s">
        <v>88</v>
      </c>
      <c r="H3" t="s">
        <v>88</v>
      </c>
      <c r="I3" t="s">
        <v>88</v>
      </c>
      <c r="J3" t="s">
        <v>88</v>
      </c>
      <c r="K3" t="s">
        <v>898</v>
      </c>
      <c r="L3" t="s">
        <v>1006</v>
      </c>
      <c r="M3" t="s">
        <v>1049</v>
      </c>
      <c r="N3" t="s">
        <v>1049</v>
      </c>
      <c r="O3" t="s">
        <v>1145</v>
      </c>
      <c r="P3" t="s">
        <v>1145</v>
      </c>
      <c r="Q3" t="s">
        <v>1340</v>
      </c>
      <c r="R3" t="s">
        <v>1340</v>
      </c>
      <c r="V3" t="s">
        <v>935</v>
      </c>
      <c r="W3">
        <v>5</v>
      </c>
    </row>
    <row r="4" spans="1:24">
      <c r="A4" s="13" t="s">
        <v>196</v>
      </c>
      <c r="B4" s="8" t="s">
        <v>88</v>
      </c>
      <c r="C4" t="s">
        <v>88</v>
      </c>
      <c r="D4" t="s">
        <v>836</v>
      </c>
      <c r="E4" s="8" t="s">
        <v>88</v>
      </c>
      <c r="F4" s="8" t="s">
        <v>88</v>
      </c>
      <c r="G4" s="8" t="s">
        <v>88</v>
      </c>
      <c r="H4" t="s">
        <v>88</v>
      </c>
      <c r="I4" t="s">
        <v>88</v>
      </c>
      <c r="J4" t="s">
        <v>88</v>
      </c>
      <c r="K4" t="s">
        <v>893</v>
      </c>
      <c r="L4" t="s">
        <v>1000</v>
      </c>
      <c r="M4" t="s">
        <v>1049</v>
      </c>
      <c r="N4" t="s">
        <v>1049</v>
      </c>
      <c r="O4" t="s">
        <v>1144</v>
      </c>
      <c r="P4" t="s">
        <v>1144</v>
      </c>
      <c r="Q4" t="s">
        <v>1340</v>
      </c>
      <c r="R4" t="s">
        <v>1340</v>
      </c>
      <c r="V4" t="s">
        <v>936</v>
      </c>
      <c r="W4">
        <v>3</v>
      </c>
      <c r="X4">
        <f>W4/W3*100</f>
        <v>60</v>
      </c>
    </row>
    <row r="5" spans="1:24">
      <c r="A5" s="13" t="s">
        <v>197</v>
      </c>
      <c r="B5" s="8" t="s">
        <v>88</v>
      </c>
      <c r="C5" t="s">
        <v>88</v>
      </c>
      <c r="D5" t="s">
        <v>836</v>
      </c>
      <c r="E5" s="8" t="s">
        <v>88</v>
      </c>
      <c r="F5" s="8" t="s">
        <v>88</v>
      </c>
      <c r="G5" s="8" t="s">
        <v>88</v>
      </c>
      <c r="H5" t="s">
        <v>88</v>
      </c>
      <c r="I5" t="s">
        <v>88</v>
      </c>
      <c r="J5" t="s">
        <v>88</v>
      </c>
      <c r="K5" t="s">
        <v>904</v>
      </c>
      <c r="L5" t="s">
        <v>992</v>
      </c>
      <c r="M5" t="s">
        <v>1073</v>
      </c>
      <c r="N5" t="s">
        <v>1049</v>
      </c>
      <c r="O5" t="s">
        <v>1168</v>
      </c>
      <c r="P5" t="s">
        <v>1168</v>
      </c>
      <c r="Q5" t="s">
        <v>1340</v>
      </c>
      <c r="R5" t="s">
        <v>1340</v>
      </c>
      <c r="V5" t="s">
        <v>937</v>
      </c>
      <c r="W5">
        <f>W3-W4</f>
        <v>2</v>
      </c>
      <c r="X5">
        <f>100-X4</f>
        <v>40</v>
      </c>
    </row>
    <row r="6" spans="1:24">
      <c r="A6" s="14" t="s">
        <v>198</v>
      </c>
      <c r="B6" s="8" t="s">
        <v>88</v>
      </c>
      <c r="C6" t="s">
        <v>88</v>
      </c>
      <c r="D6" t="s">
        <v>806</v>
      </c>
      <c r="E6" s="8" t="s">
        <v>88</v>
      </c>
      <c r="F6" s="8" t="s">
        <v>88</v>
      </c>
      <c r="G6" s="8" t="s">
        <v>88</v>
      </c>
      <c r="H6" t="s">
        <v>88</v>
      </c>
      <c r="I6" t="s">
        <v>88</v>
      </c>
      <c r="J6" t="s">
        <v>88</v>
      </c>
      <c r="K6" t="s">
        <v>894</v>
      </c>
      <c r="L6" t="s">
        <v>992</v>
      </c>
      <c r="M6" t="s">
        <v>1049</v>
      </c>
      <c r="N6" t="s">
        <v>1157</v>
      </c>
      <c r="O6" t="s">
        <v>1144</v>
      </c>
      <c r="P6" t="s">
        <v>1144</v>
      </c>
      <c r="Q6" t="s">
        <v>1339</v>
      </c>
    </row>
  </sheetData>
  <phoneticPr fontId="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7" tint="0.59999389629810485"/>
  </sheetPr>
  <dimension ref="A1:X9"/>
  <sheetViews>
    <sheetView workbookViewId="0">
      <selection activeCell="A2" sqref="A2:A9"/>
    </sheetView>
  </sheetViews>
  <sheetFormatPr defaultRowHeight="15"/>
  <cols>
    <col min="1" max="1" width="23.28515625" bestFit="1" customWidth="1"/>
    <col min="2" max="2" width="20" style="8" hidden="1" customWidth="1"/>
    <col min="3" max="3" width="18.140625" hidden="1" customWidth="1"/>
    <col min="4" max="4" width="9.140625" hidden="1" customWidth="1"/>
    <col min="5" max="5" width="22.5703125" style="8" hidden="1" customWidth="1"/>
    <col min="6" max="6" width="17.42578125" style="8" hidden="1" customWidth="1"/>
    <col min="7" max="7" width="22.5703125" style="8" hidden="1" customWidth="1"/>
    <col min="8" max="8" width="19.140625" hidden="1" customWidth="1"/>
    <col min="9" max="10" width="9.140625" hidden="1" customWidth="1"/>
    <col min="11" max="11" width="14.5703125" hidden="1" customWidth="1"/>
    <col min="12" max="12" width="0" hidden="1" customWidth="1"/>
  </cols>
  <sheetData>
    <row r="1" spans="1:24">
      <c r="A1" s="6" t="s">
        <v>1</v>
      </c>
      <c r="B1" s="2" t="s">
        <v>0</v>
      </c>
      <c r="C1" s="2" t="s">
        <v>699</v>
      </c>
      <c r="D1" s="2" t="s">
        <v>846</v>
      </c>
      <c r="E1" s="2" t="s">
        <v>700</v>
      </c>
      <c r="F1" s="2" t="s">
        <v>701</v>
      </c>
      <c r="G1" s="2" t="s">
        <v>704</v>
      </c>
      <c r="H1" s="2" t="s">
        <v>711</v>
      </c>
      <c r="I1" s="2" t="s">
        <v>710</v>
      </c>
      <c r="J1" s="2" t="s">
        <v>746</v>
      </c>
      <c r="K1" t="s">
        <v>966</v>
      </c>
      <c r="L1" t="s">
        <v>990</v>
      </c>
      <c r="M1" s="2" t="s">
        <v>1097</v>
      </c>
      <c r="N1" t="s">
        <v>1142</v>
      </c>
      <c r="O1" s="44" t="s">
        <v>1225</v>
      </c>
      <c r="P1" s="44" t="s">
        <v>1224</v>
      </c>
      <c r="Q1" s="44" t="s">
        <v>1341</v>
      </c>
      <c r="R1" s="44" t="s">
        <v>1342</v>
      </c>
    </row>
    <row r="2" spans="1:24">
      <c r="A2" s="13" t="s">
        <v>199</v>
      </c>
      <c r="B2" s="8" t="s">
        <v>88</v>
      </c>
      <c r="C2" t="s">
        <v>88</v>
      </c>
      <c r="D2" t="s">
        <v>88</v>
      </c>
      <c r="E2" s="8" t="s">
        <v>88</v>
      </c>
      <c r="F2" s="8" t="s">
        <v>88</v>
      </c>
      <c r="G2" s="8" t="s">
        <v>88</v>
      </c>
      <c r="H2" t="s">
        <v>88</v>
      </c>
      <c r="I2" t="s">
        <v>88</v>
      </c>
      <c r="J2" t="s">
        <v>88</v>
      </c>
      <c r="K2" t="s">
        <v>893</v>
      </c>
      <c r="L2" t="s">
        <v>1004</v>
      </c>
      <c r="M2" t="s">
        <v>1049</v>
      </c>
      <c r="N2" t="s">
        <v>1049</v>
      </c>
      <c r="O2" t="s">
        <v>1049</v>
      </c>
      <c r="P2" t="s">
        <v>1049</v>
      </c>
      <c r="Q2" t="s">
        <v>1343</v>
      </c>
      <c r="R2" t="s">
        <v>1343</v>
      </c>
      <c r="X2" s="8" t="s">
        <v>938</v>
      </c>
    </row>
    <row r="3" spans="1:24">
      <c r="A3" s="13" t="s">
        <v>200</v>
      </c>
      <c r="B3" s="8" t="s">
        <v>88</v>
      </c>
      <c r="C3" t="s">
        <v>88</v>
      </c>
      <c r="D3" t="s">
        <v>88</v>
      </c>
      <c r="E3" s="8" t="s">
        <v>88</v>
      </c>
      <c r="F3" s="8" t="s">
        <v>88</v>
      </c>
      <c r="G3" s="8" t="s">
        <v>88</v>
      </c>
      <c r="H3" t="s">
        <v>88</v>
      </c>
      <c r="I3" t="s">
        <v>88</v>
      </c>
      <c r="J3" t="s">
        <v>88</v>
      </c>
      <c r="K3" t="s">
        <v>890</v>
      </c>
      <c r="L3" t="s">
        <v>992</v>
      </c>
      <c r="M3" t="s">
        <v>1099</v>
      </c>
      <c r="N3" t="s">
        <v>1049</v>
      </c>
      <c r="O3" t="s">
        <v>1049</v>
      </c>
      <c r="P3" t="s">
        <v>1049</v>
      </c>
      <c r="Q3" t="s">
        <v>1343</v>
      </c>
      <c r="R3" t="s">
        <v>1343</v>
      </c>
      <c r="V3" t="s">
        <v>935</v>
      </c>
      <c r="W3">
        <v>8</v>
      </c>
    </row>
    <row r="4" spans="1:24">
      <c r="A4" s="13" t="s">
        <v>201</v>
      </c>
      <c r="B4" s="8" t="s">
        <v>88</v>
      </c>
      <c r="C4" t="s">
        <v>88</v>
      </c>
      <c r="D4" t="s">
        <v>88</v>
      </c>
      <c r="E4" s="8" t="s">
        <v>88</v>
      </c>
      <c r="F4" s="8" t="s">
        <v>88</v>
      </c>
      <c r="G4" s="8" t="s">
        <v>88</v>
      </c>
      <c r="H4" t="s">
        <v>88</v>
      </c>
      <c r="I4" t="s">
        <v>88</v>
      </c>
      <c r="J4" t="s">
        <v>88</v>
      </c>
      <c r="K4" t="s">
        <v>893</v>
      </c>
      <c r="L4" t="s">
        <v>992</v>
      </c>
      <c r="M4" t="s">
        <v>1049</v>
      </c>
      <c r="N4" t="s">
        <v>1049</v>
      </c>
      <c r="O4" t="s">
        <v>1049</v>
      </c>
      <c r="P4" t="s">
        <v>1049</v>
      </c>
      <c r="Q4" t="s">
        <v>1343</v>
      </c>
      <c r="R4" t="s">
        <v>806</v>
      </c>
      <c r="V4" t="s">
        <v>936</v>
      </c>
      <c r="W4">
        <v>8</v>
      </c>
      <c r="X4">
        <f>W4/W3*100</f>
        <v>100</v>
      </c>
    </row>
    <row r="5" spans="1:24">
      <c r="A5" s="13" t="s">
        <v>202</v>
      </c>
      <c r="B5" s="8" t="s">
        <v>88</v>
      </c>
      <c r="C5" t="s">
        <v>88</v>
      </c>
      <c r="D5" t="s">
        <v>88</v>
      </c>
      <c r="E5" s="8" t="s">
        <v>88</v>
      </c>
      <c r="F5" s="8" t="s">
        <v>88</v>
      </c>
      <c r="G5" s="8" t="s">
        <v>88</v>
      </c>
      <c r="H5" t="s">
        <v>88</v>
      </c>
      <c r="I5" t="s">
        <v>88</v>
      </c>
      <c r="J5" t="s">
        <v>88</v>
      </c>
      <c r="K5" t="s">
        <v>890</v>
      </c>
      <c r="L5" t="s">
        <v>992</v>
      </c>
      <c r="M5" t="s">
        <v>1052</v>
      </c>
      <c r="N5" t="s">
        <v>1049</v>
      </c>
      <c r="O5" t="s">
        <v>1049</v>
      </c>
      <c r="P5" t="s">
        <v>1049</v>
      </c>
      <c r="Q5" t="s">
        <v>1343</v>
      </c>
      <c r="R5" t="s">
        <v>1343</v>
      </c>
      <c r="V5" t="s">
        <v>937</v>
      </c>
      <c r="W5">
        <f>W3-W4</f>
        <v>0</v>
      </c>
      <c r="X5">
        <f>100-X4</f>
        <v>0</v>
      </c>
    </row>
    <row r="6" spans="1:24">
      <c r="A6" s="13" t="s">
        <v>203</v>
      </c>
      <c r="B6" s="8" t="s">
        <v>88</v>
      </c>
      <c r="C6" t="s">
        <v>88</v>
      </c>
      <c r="D6" t="s">
        <v>88</v>
      </c>
      <c r="E6" s="8" t="s">
        <v>88</v>
      </c>
      <c r="F6" s="8" t="s">
        <v>88</v>
      </c>
      <c r="G6" s="8" t="s">
        <v>88</v>
      </c>
      <c r="H6" t="s">
        <v>88</v>
      </c>
      <c r="I6" t="s">
        <v>88</v>
      </c>
      <c r="J6" t="s">
        <v>88</v>
      </c>
      <c r="K6" t="s">
        <v>909</v>
      </c>
      <c r="L6" t="s">
        <v>994</v>
      </c>
      <c r="M6" t="s">
        <v>1049</v>
      </c>
      <c r="N6" t="s">
        <v>1049</v>
      </c>
      <c r="O6" t="s">
        <v>1049</v>
      </c>
      <c r="P6" t="s">
        <v>1049</v>
      </c>
      <c r="Q6" t="s">
        <v>806</v>
      </c>
      <c r="R6" t="s">
        <v>1343</v>
      </c>
    </row>
    <row r="7" spans="1:24">
      <c r="A7" s="13" t="s">
        <v>204</v>
      </c>
      <c r="B7" s="8" t="s">
        <v>88</v>
      </c>
      <c r="C7" t="s">
        <v>88</v>
      </c>
      <c r="D7" t="s">
        <v>806</v>
      </c>
      <c r="E7" s="8" t="s">
        <v>88</v>
      </c>
      <c r="F7" s="8" t="s">
        <v>88</v>
      </c>
      <c r="G7" s="8" t="s">
        <v>88</v>
      </c>
      <c r="H7" t="s">
        <v>88</v>
      </c>
      <c r="I7" t="s">
        <v>88</v>
      </c>
      <c r="J7" t="s">
        <v>88</v>
      </c>
      <c r="K7" t="s">
        <v>894</v>
      </c>
      <c r="L7" t="s">
        <v>992</v>
      </c>
      <c r="M7" t="s">
        <v>1050</v>
      </c>
      <c r="N7" t="s">
        <v>1049</v>
      </c>
      <c r="O7" t="s">
        <v>1049</v>
      </c>
      <c r="P7" t="s">
        <v>1049</v>
      </c>
      <c r="Q7" t="s">
        <v>1343</v>
      </c>
      <c r="R7" t="s">
        <v>806</v>
      </c>
    </row>
    <row r="8" spans="1:24">
      <c r="A8" s="13" t="s">
        <v>205</v>
      </c>
      <c r="B8" s="8" t="s">
        <v>88</v>
      </c>
      <c r="C8" t="s">
        <v>88</v>
      </c>
      <c r="D8" t="s">
        <v>833</v>
      </c>
      <c r="E8" s="8" t="s">
        <v>88</v>
      </c>
      <c r="F8" s="8" t="s">
        <v>88</v>
      </c>
      <c r="G8" s="8" t="s">
        <v>88</v>
      </c>
      <c r="H8" t="s">
        <v>88</v>
      </c>
      <c r="I8" t="s">
        <v>88</v>
      </c>
      <c r="J8" t="s">
        <v>88</v>
      </c>
      <c r="K8" t="s">
        <v>890</v>
      </c>
      <c r="L8" t="s">
        <v>997</v>
      </c>
      <c r="M8" t="s">
        <v>1049</v>
      </c>
      <c r="N8" t="s">
        <v>1049</v>
      </c>
      <c r="O8" t="s">
        <v>1049</v>
      </c>
      <c r="P8" t="s">
        <v>1049</v>
      </c>
      <c r="Q8" t="s">
        <v>1343</v>
      </c>
      <c r="R8" t="s">
        <v>1343</v>
      </c>
    </row>
    <row r="9" spans="1:24">
      <c r="A9" s="13" t="s">
        <v>206</v>
      </c>
      <c r="B9" s="8" t="s">
        <v>88</v>
      </c>
      <c r="C9" t="s">
        <v>88</v>
      </c>
      <c r="D9" t="s">
        <v>833</v>
      </c>
      <c r="E9" s="8" t="s">
        <v>88</v>
      </c>
      <c r="F9" s="8" t="s">
        <v>88</v>
      </c>
      <c r="G9" s="8" t="s">
        <v>88</v>
      </c>
      <c r="H9" t="s">
        <v>88</v>
      </c>
      <c r="I9" t="s">
        <v>88</v>
      </c>
      <c r="J9" t="s">
        <v>88</v>
      </c>
      <c r="K9" t="s">
        <v>897</v>
      </c>
      <c r="L9" t="s">
        <v>1004</v>
      </c>
      <c r="M9" t="s">
        <v>1049</v>
      </c>
      <c r="N9" t="s">
        <v>1049</v>
      </c>
      <c r="O9" t="s">
        <v>1049</v>
      </c>
      <c r="P9" t="s">
        <v>1049</v>
      </c>
      <c r="Q9" t="s">
        <v>806</v>
      </c>
      <c r="R9" t="s">
        <v>806</v>
      </c>
    </row>
  </sheetData>
  <phoneticPr fontId="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>
    <tabColor theme="7" tint="0.59999389629810485"/>
  </sheetPr>
  <dimension ref="A1:W25"/>
  <sheetViews>
    <sheetView workbookViewId="0">
      <selection activeCell="A16" sqref="A16"/>
    </sheetView>
  </sheetViews>
  <sheetFormatPr defaultColWidth="9.28515625" defaultRowHeight="15"/>
  <cols>
    <col min="1" max="1" width="40.5703125" bestFit="1" customWidth="1"/>
    <col min="2" max="2" width="20" style="8" hidden="1" customWidth="1"/>
    <col min="3" max="3" width="22.42578125" hidden="1" customWidth="1"/>
    <col min="4" max="4" width="9.28515625" hidden="1" customWidth="1"/>
    <col min="5" max="5" width="22.5703125" style="8" hidden="1" customWidth="1"/>
    <col min="6" max="6" width="17.42578125" style="8" hidden="1" customWidth="1"/>
    <col min="7" max="7" width="22.5703125" style="8" hidden="1" customWidth="1"/>
    <col min="8" max="8" width="19.140625" hidden="1" customWidth="1"/>
    <col min="9" max="10" width="9.28515625" hidden="1" customWidth="1"/>
    <col min="11" max="11" width="14.5703125" hidden="1" customWidth="1"/>
    <col min="12" max="13" width="9.28515625" hidden="1" customWidth="1"/>
    <col min="14" max="14" width="9.28515625" customWidth="1"/>
  </cols>
  <sheetData>
    <row r="1" spans="1:23">
      <c r="A1" s="6" t="s">
        <v>1</v>
      </c>
      <c r="B1" s="2" t="s">
        <v>0</v>
      </c>
      <c r="C1" s="2" t="s">
        <v>699</v>
      </c>
      <c r="D1" s="2" t="s">
        <v>804</v>
      </c>
      <c r="E1" s="2" t="s">
        <v>700</v>
      </c>
      <c r="F1" s="2" t="s">
        <v>701</v>
      </c>
      <c r="G1" s="2" t="s">
        <v>704</v>
      </c>
      <c r="H1" s="2" t="s">
        <v>729</v>
      </c>
      <c r="I1" s="2" t="s">
        <v>710</v>
      </c>
      <c r="J1" s="2" t="s">
        <v>746</v>
      </c>
      <c r="K1" t="s">
        <v>966</v>
      </c>
      <c r="L1" t="s">
        <v>990</v>
      </c>
      <c r="M1" s="2" t="s">
        <v>1097</v>
      </c>
      <c r="N1" t="s">
        <v>1142</v>
      </c>
      <c r="O1" s="44" t="s">
        <v>1225</v>
      </c>
      <c r="P1" s="44" t="s">
        <v>1224</v>
      </c>
      <c r="Q1" s="44" t="s">
        <v>1169</v>
      </c>
      <c r="R1" s="44" t="s">
        <v>1320</v>
      </c>
    </row>
    <row r="2" spans="1:23">
      <c r="A2" s="13" t="s">
        <v>207</v>
      </c>
      <c r="B2" s="8" t="s">
        <v>88</v>
      </c>
      <c r="C2" t="s">
        <v>88</v>
      </c>
      <c r="D2" t="s">
        <v>806</v>
      </c>
      <c r="E2" s="8" t="s">
        <v>88</v>
      </c>
      <c r="F2" s="8" t="s">
        <v>88</v>
      </c>
      <c r="G2" s="8" t="s">
        <v>88</v>
      </c>
      <c r="H2" t="s">
        <v>88</v>
      </c>
      <c r="I2" t="s">
        <v>88</v>
      </c>
      <c r="J2" t="s">
        <v>88</v>
      </c>
      <c r="K2" t="s">
        <v>889</v>
      </c>
      <c r="L2" t="s">
        <v>992</v>
      </c>
      <c r="M2" t="s">
        <v>1074</v>
      </c>
      <c r="N2" t="s">
        <v>1145</v>
      </c>
      <c r="O2" t="s">
        <v>1145</v>
      </c>
      <c r="P2" t="s">
        <v>1145</v>
      </c>
      <c r="Q2" t="s">
        <v>806</v>
      </c>
      <c r="R2" t="s">
        <v>806</v>
      </c>
      <c r="W2" s="8" t="s">
        <v>938</v>
      </c>
    </row>
    <row r="3" spans="1:23">
      <c r="A3" s="15" t="s">
        <v>208</v>
      </c>
      <c r="B3" s="8" t="s">
        <v>89</v>
      </c>
      <c r="C3" t="s">
        <v>88</v>
      </c>
      <c r="D3" t="s">
        <v>832</v>
      </c>
      <c r="E3" s="8" t="s">
        <v>88</v>
      </c>
      <c r="F3" s="8" t="s">
        <v>88</v>
      </c>
      <c r="G3" s="8" t="s">
        <v>88</v>
      </c>
      <c r="H3" t="s">
        <v>88</v>
      </c>
      <c r="I3" t="s">
        <v>88</v>
      </c>
      <c r="J3" t="s">
        <v>88</v>
      </c>
      <c r="K3" t="s">
        <v>890</v>
      </c>
      <c r="Q3" t="s">
        <v>806</v>
      </c>
      <c r="U3" t="s">
        <v>935</v>
      </c>
      <c r="V3">
        <v>24</v>
      </c>
    </row>
    <row r="4" spans="1:23">
      <c r="A4" s="13" t="s">
        <v>209</v>
      </c>
      <c r="B4" s="8" t="s">
        <v>88</v>
      </c>
      <c r="C4" t="s">
        <v>88</v>
      </c>
      <c r="D4" t="s">
        <v>832</v>
      </c>
      <c r="E4" s="8" t="s">
        <v>88</v>
      </c>
      <c r="F4" s="8" t="s">
        <v>88</v>
      </c>
      <c r="G4" s="8" t="s">
        <v>88</v>
      </c>
      <c r="H4" t="s">
        <v>88</v>
      </c>
      <c r="I4" t="s">
        <v>88</v>
      </c>
      <c r="J4" t="s">
        <v>88</v>
      </c>
      <c r="K4" t="s">
        <v>890</v>
      </c>
      <c r="L4" t="s">
        <v>992</v>
      </c>
      <c r="M4" t="s">
        <v>1049</v>
      </c>
      <c r="N4" t="s">
        <v>1145</v>
      </c>
      <c r="O4" t="s">
        <v>1145</v>
      </c>
      <c r="P4" t="s">
        <v>1145</v>
      </c>
      <c r="Q4" t="s">
        <v>806</v>
      </c>
      <c r="R4" t="s">
        <v>806</v>
      </c>
      <c r="U4" t="s">
        <v>936</v>
      </c>
      <c r="V4">
        <v>14</v>
      </c>
      <c r="W4">
        <f>V4/V3*100</f>
        <v>58.333333333333336</v>
      </c>
    </row>
    <row r="5" spans="1:23">
      <c r="A5" s="13" t="s">
        <v>210</v>
      </c>
      <c r="B5" s="8" t="s">
        <v>88</v>
      </c>
      <c r="C5" t="s">
        <v>88</v>
      </c>
      <c r="D5" t="s">
        <v>806</v>
      </c>
      <c r="E5" s="8" t="s">
        <v>88</v>
      </c>
      <c r="F5" s="8" t="s">
        <v>88</v>
      </c>
      <c r="G5" s="8" t="s">
        <v>88</v>
      </c>
      <c r="H5" t="s">
        <v>88</v>
      </c>
      <c r="I5" t="s">
        <v>88</v>
      </c>
      <c r="J5" t="s">
        <v>88</v>
      </c>
      <c r="K5" t="s">
        <v>890</v>
      </c>
      <c r="L5" t="s">
        <v>992</v>
      </c>
      <c r="M5" t="s">
        <v>1049</v>
      </c>
      <c r="N5" t="s">
        <v>1144</v>
      </c>
      <c r="O5" t="s">
        <v>1145</v>
      </c>
      <c r="P5" t="s">
        <v>1145</v>
      </c>
      <c r="Q5" t="s">
        <v>806</v>
      </c>
      <c r="R5" t="s">
        <v>806</v>
      </c>
      <c r="U5" t="s">
        <v>937</v>
      </c>
      <c r="V5">
        <f>V3-V4</f>
        <v>10</v>
      </c>
      <c r="W5">
        <f>100-W4</f>
        <v>41.666666666666664</v>
      </c>
    </row>
    <row r="6" spans="1:23">
      <c r="A6" s="15" t="s">
        <v>211</v>
      </c>
      <c r="B6" s="8" t="s">
        <v>89</v>
      </c>
      <c r="C6" t="s">
        <v>88</v>
      </c>
      <c r="D6" t="s">
        <v>88</v>
      </c>
      <c r="E6" s="8" t="s">
        <v>88</v>
      </c>
      <c r="F6" s="8" t="s">
        <v>88</v>
      </c>
      <c r="G6" s="8" t="s">
        <v>88</v>
      </c>
      <c r="H6" t="s">
        <v>88</v>
      </c>
      <c r="I6" t="s">
        <v>88</v>
      </c>
      <c r="J6" t="s">
        <v>88</v>
      </c>
      <c r="K6" t="s">
        <v>893</v>
      </c>
      <c r="Q6" t="s">
        <v>806</v>
      </c>
    </row>
    <row r="7" spans="1:23">
      <c r="A7" s="15" t="s">
        <v>212</v>
      </c>
      <c r="B7" s="8" t="s">
        <v>89</v>
      </c>
      <c r="C7" t="s">
        <v>88</v>
      </c>
      <c r="D7" t="s">
        <v>88</v>
      </c>
      <c r="E7" s="8" t="s">
        <v>88</v>
      </c>
      <c r="F7" s="8" t="s">
        <v>88</v>
      </c>
      <c r="G7" s="8" t="s">
        <v>88</v>
      </c>
      <c r="H7" t="s">
        <v>88</v>
      </c>
      <c r="I7" t="s">
        <v>88</v>
      </c>
      <c r="J7" t="s">
        <v>88</v>
      </c>
      <c r="K7" t="s">
        <v>906</v>
      </c>
      <c r="Q7" t="s">
        <v>806</v>
      </c>
    </row>
    <row r="8" spans="1:23">
      <c r="A8" s="15" t="s">
        <v>213</v>
      </c>
      <c r="B8" s="8" t="s">
        <v>89</v>
      </c>
      <c r="C8" t="s">
        <v>88</v>
      </c>
      <c r="D8" t="s">
        <v>88</v>
      </c>
      <c r="E8" s="8" t="s">
        <v>88</v>
      </c>
      <c r="F8" s="8" t="s">
        <v>88</v>
      </c>
      <c r="G8" s="8" t="s">
        <v>88</v>
      </c>
      <c r="H8" t="s">
        <v>88</v>
      </c>
      <c r="I8" t="s">
        <v>88</v>
      </c>
      <c r="J8" t="s">
        <v>88</v>
      </c>
      <c r="K8" t="s">
        <v>898</v>
      </c>
      <c r="Q8" t="s">
        <v>806</v>
      </c>
    </row>
    <row r="9" spans="1:23">
      <c r="A9" s="15" t="s">
        <v>214</v>
      </c>
      <c r="B9" s="8" t="s">
        <v>89</v>
      </c>
      <c r="C9" t="s">
        <v>88</v>
      </c>
      <c r="D9" t="s">
        <v>88</v>
      </c>
      <c r="E9" s="8" t="s">
        <v>88</v>
      </c>
      <c r="F9" s="8" t="s">
        <v>88</v>
      </c>
      <c r="G9" s="8" t="s">
        <v>88</v>
      </c>
      <c r="H9" t="s">
        <v>88</v>
      </c>
      <c r="I9" t="s">
        <v>88</v>
      </c>
      <c r="J9" t="s">
        <v>88</v>
      </c>
      <c r="K9" t="s">
        <v>894</v>
      </c>
      <c r="Q9" t="s">
        <v>1322</v>
      </c>
    </row>
    <row r="10" spans="1:23">
      <c r="A10" s="13" t="s">
        <v>215</v>
      </c>
      <c r="B10" s="8" t="s">
        <v>88</v>
      </c>
      <c r="C10" t="s">
        <v>88</v>
      </c>
      <c r="D10" t="s">
        <v>832</v>
      </c>
      <c r="E10" s="8" t="s">
        <v>88</v>
      </c>
      <c r="F10" s="8" t="s">
        <v>88</v>
      </c>
      <c r="G10" s="8" t="s">
        <v>88</v>
      </c>
      <c r="H10" t="s">
        <v>88</v>
      </c>
      <c r="I10" t="s">
        <v>88</v>
      </c>
      <c r="J10" t="s">
        <v>88</v>
      </c>
      <c r="K10" t="s">
        <v>890</v>
      </c>
      <c r="L10" t="s">
        <v>992</v>
      </c>
      <c r="M10" t="s">
        <v>1104</v>
      </c>
      <c r="N10" t="s">
        <v>1144</v>
      </c>
      <c r="O10" t="s">
        <v>1145</v>
      </c>
      <c r="P10" t="s">
        <v>1145</v>
      </c>
      <c r="Q10" t="s">
        <v>1322</v>
      </c>
      <c r="R10" t="s">
        <v>806</v>
      </c>
    </row>
    <row r="11" spans="1:23">
      <c r="A11" s="13" t="s">
        <v>216</v>
      </c>
      <c r="B11" s="8" t="s">
        <v>88</v>
      </c>
      <c r="C11" t="s">
        <v>88</v>
      </c>
      <c r="D11" t="s">
        <v>832</v>
      </c>
      <c r="E11" s="8" t="s">
        <v>88</v>
      </c>
      <c r="F11" s="8" t="s">
        <v>88</v>
      </c>
      <c r="G11" s="8" t="s">
        <v>88</v>
      </c>
      <c r="H11" t="s">
        <v>88</v>
      </c>
      <c r="I11" t="s">
        <v>88</v>
      </c>
      <c r="J11" t="s">
        <v>88</v>
      </c>
      <c r="K11" t="s">
        <v>891</v>
      </c>
      <c r="L11" t="s">
        <v>992</v>
      </c>
      <c r="M11" t="s">
        <v>1049</v>
      </c>
      <c r="N11" t="s">
        <v>1145</v>
      </c>
      <c r="O11" t="s">
        <v>1145</v>
      </c>
      <c r="P11" t="s">
        <v>1145</v>
      </c>
      <c r="Q11" t="s">
        <v>806</v>
      </c>
      <c r="R11" t="s">
        <v>806</v>
      </c>
    </row>
    <row r="12" spans="1:23">
      <c r="A12" s="13" t="s">
        <v>217</v>
      </c>
      <c r="B12" s="8" t="s">
        <v>88</v>
      </c>
      <c r="C12" t="s">
        <v>88</v>
      </c>
      <c r="D12" t="s">
        <v>832</v>
      </c>
      <c r="E12" s="8" t="s">
        <v>88</v>
      </c>
      <c r="F12" s="8" t="s">
        <v>88</v>
      </c>
      <c r="G12" s="8" t="s">
        <v>88</v>
      </c>
      <c r="H12" t="s">
        <v>88</v>
      </c>
      <c r="I12" t="s">
        <v>88</v>
      </c>
      <c r="J12" t="s">
        <v>88</v>
      </c>
      <c r="K12" t="s">
        <v>890</v>
      </c>
      <c r="L12" t="s">
        <v>992</v>
      </c>
      <c r="M12" t="s">
        <v>1104</v>
      </c>
      <c r="N12" t="s">
        <v>1144</v>
      </c>
      <c r="O12" t="s">
        <v>1145</v>
      </c>
      <c r="P12" t="s">
        <v>1145</v>
      </c>
      <c r="Q12" t="s">
        <v>806</v>
      </c>
      <c r="R12" t="s">
        <v>1322</v>
      </c>
    </row>
    <row r="13" spans="1:23">
      <c r="A13" s="13" t="s">
        <v>218</v>
      </c>
      <c r="B13" s="8" t="s">
        <v>88</v>
      </c>
      <c r="C13" t="s">
        <v>88</v>
      </c>
      <c r="D13" t="s">
        <v>832</v>
      </c>
      <c r="E13" s="8" t="s">
        <v>88</v>
      </c>
      <c r="F13" s="8" t="s">
        <v>88</v>
      </c>
      <c r="G13" s="8" t="s">
        <v>88</v>
      </c>
      <c r="H13" t="s">
        <v>88</v>
      </c>
      <c r="I13" t="s">
        <v>88</v>
      </c>
      <c r="J13" t="s">
        <v>88</v>
      </c>
      <c r="K13" t="s">
        <v>890</v>
      </c>
      <c r="L13" t="s">
        <v>992</v>
      </c>
      <c r="M13" t="s">
        <v>1052</v>
      </c>
      <c r="N13" t="s">
        <v>1145</v>
      </c>
      <c r="O13" t="s">
        <v>1145</v>
      </c>
      <c r="P13" t="s">
        <v>1145</v>
      </c>
      <c r="Q13" t="s">
        <v>806</v>
      </c>
      <c r="R13" t="s">
        <v>1322</v>
      </c>
    </row>
    <row r="14" spans="1:23">
      <c r="A14" s="13" t="s">
        <v>219</v>
      </c>
      <c r="B14" s="8" t="s">
        <v>88</v>
      </c>
      <c r="C14" t="s">
        <v>88</v>
      </c>
      <c r="D14" t="s">
        <v>806</v>
      </c>
      <c r="E14" s="8" t="s">
        <v>88</v>
      </c>
      <c r="F14" s="8" t="s">
        <v>88</v>
      </c>
      <c r="G14" s="8" t="s">
        <v>88</v>
      </c>
      <c r="H14" t="s">
        <v>88</v>
      </c>
      <c r="I14" t="s">
        <v>88</v>
      </c>
      <c r="J14" t="s">
        <v>88</v>
      </c>
      <c r="K14" t="s">
        <v>890</v>
      </c>
      <c r="L14" t="s">
        <v>992</v>
      </c>
      <c r="M14" t="s">
        <v>1049</v>
      </c>
      <c r="N14" t="s">
        <v>1162</v>
      </c>
      <c r="O14" t="s">
        <v>1145</v>
      </c>
      <c r="P14" t="s">
        <v>1145</v>
      </c>
      <c r="Q14" t="s">
        <v>806</v>
      </c>
      <c r="R14" t="s">
        <v>806</v>
      </c>
    </row>
    <row r="15" spans="1:23">
      <c r="A15" s="13" t="s">
        <v>220</v>
      </c>
      <c r="B15" s="8" t="s">
        <v>88</v>
      </c>
      <c r="C15" t="s">
        <v>88</v>
      </c>
      <c r="D15" t="s">
        <v>832</v>
      </c>
      <c r="E15" s="8" t="s">
        <v>88</v>
      </c>
      <c r="F15" s="8" t="s">
        <v>88</v>
      </c>
      <c r="G15" s="8" t="s">
        <v>88</v>
      </c>
      <c r="H15" t="s">
        <v>88</v>
      </c>
      <c r="I15" t="s">
        <v>88</v>
      </c>
      <c r="J15" t="s">
        <v>88</v>
      </c>
      <c r="K15" t="s">
        <v>890</v>
      </c>
      <c r="L15" t="s">
        <v>992</v>
      </c>
      <c r="M15" t="s">
        <v>1052</v>
      </c>
      <c r="N15" t="s">
        <v>1144</v>
      </c>
      <c r="O15" t="s">
        <v>1145</v>
      </c>
      <c r="P15" t="s">
        <v>1145</v>
      </c>
      <c r="Q15" t="s">
        <v>806</v>
      </c>
      <c r="R15" t="s">
        <v>806</v>
      </c>
    </row>
    <row r="16" spans="1:23">
      <c r="A16" s="15" t="s">
        <v>221</v>
      </c>
      <c r="B16" s="8" t="s">
        <v>88</v>
      </c>
      <c r="C16" t="s">
        <v>88</v>
      </c>
      <c r="D16" t="s">
        <v>847</v>
      </c>
      <c r="E16" s="8" t="s">
        <v>88</v>
      </c>
      <c r="F16" s="8" t="s">
        <v>88</v>
      </c>
      <c r="G16" s="8" t="s">
        <v>88</v>
      </c>
      <c r="H16" t="s">
        <v>88</v>
      </c>
      <c r="I16" t="s">
        <v>88</v>
      </c>
      <c r="J16" t="s">
        <v>88</v>
      </c>
      <c r="K16" t="s">
        <v>898</v>
      </c>
      <c r="Q16" t="s">
        <v>806</v>
      </c>
    </row>
    <row r="17" spans="1:18">
      <c r="A17" s="13" t="s">
        <v>222</v>
      </c>
      <c r="B17" s="8" t="s">
        <v>88</v>
      </c>
      <c r="C17" t="s">
        <v>88</v>
      </c>
      <c r="D17" t="s">
        <v>832</v>
      </c>
      <c r="E17" s="8" t="s">
        <v>88</v>
      </c>
      <c r="F17" s="8" t="s">
        <v>88</v>
      </c>
      <c r="G17" s="8" t="s">
        <v>88</v>
      </c>
      <c r="H17" t="s">
        <v>88</v>
      </c>
      <c r="I17" t="s">
        <v>88</v>
      </c>
      <c r="J17" t="s">
        <v>88</v>
      </c>
      <c r="K17" t="s">
        <v>892</v>
      </c>
      <c r="L17" t="s">
        <v>1004</v>
      </c>
      <c r="M17" t="s">
        <v>1049</v>
      </c>
      <c r="N17" t="s">
        <v>1144</v>
      </c>
      <c r="O17" t="s">
        <v>1145</v>
      </c>
      <c r="P17" t="s">
        <v>1145</v>
      </c>
      <c r="Q17" t="s">
        <v>806</v>
      </c>
      <c r="R17" t="s">
        <v>806</v>
      </c>
    </row>
    <row r="18" spans="1:18">
      <c r="A18" s="15" t="s">
        <v>223</v>
      </c>
      <c r="B18" s="8" t="s">
        <v>88</v>
      </c>
      <c r="C18" t="s">
        <v>88</v>
      </c>
      <c r="D18" t="s">
        <v>806</v>
      </c>
      <c r="E18" s="8" t="s">
        <v>88</v>
      </c>
      <c r="F18" s="8" t="s">
        <v>88</v>
      </c>
      <c r="G18" s="8" t="s">
        <v>88</v>
      </c>
      <c r="H18" t="s">
        <v>88</v>
      </c>
      <c r="I18" t="s">
        <v>88</v>
      </c>
      <c r="J18" t="s">
        <v>88</v>
      </c>
      <c r="K18" t="s">
        <v>890</v>
      </c>
      <c r="Q18" t="s">
        <v>806</v>
      </c>
    </row>
    <row r="19" spans="1:18">
      <c r="A19" s="13" t="s">
        <v>224</v>
      </c>
      <c r="B19" s="8" t="s">
        <v>88</v>
      </c>
      <c r="C19" t="s">
        <v>88</v>
      </c>
      <c r="D19" t="s">
        <v>832</v>
      </c>
      <c r="E19" s="8" t="s">
        <v>88</v>
      </c>
      <c r="F19" s="8" t="s">
        <v>88</v>
      </c>
      <c r="G19" s="8" t="s">
        <v>88</v>
      </c>
      <c r="H19" t="s">
        <v>88</v>
      </c>
      <c r="I19" t="s">
        <v>88</v>
      </c>
      <c r="J19" t="s">
        <v>88</v>
      </c>
      <c r="K19" t="s">
        <v>893</v>
      </c>
      <c r="L19" t="s">
        <v>997</v>
      </c>
      <c r="M19" t="s">
        <v>1049</v>
      </c>
      <c r="N19" t="s">
        <v>1146</v>
      </c>
      <c r="O19" t="s">
        <v>1145</v>
      </c>
      <c r="P19" t="s">
        <v>1145</v>
      </c>
      <c r="Q19" t="s">
        <v>806</v>
      </c>
      <c r="R19" t="s">
        <v>806</v>
      </c>
    </row>
    <row r="20" spans="1:18">
      <c r="A20" s="13" t="s">
        <v>225</v>
      </c>
      <c r="B20" s="8" t="s">
        <v>88</v>
      </c>
      <c r="C20" t="s">
        <v>88</v>
      </c>
      <c r="D20" t="s">
        <v>832</v>
      </c>
      <c r="E20" s="8" t="s">
        <v>88</v>
      </c>
      <c r="F20" s="8" t="s">
        <v>88</v>
      </c>
      <c r="G20" s="8" t="s">
        <v>88</v>
      </c>
      <c r="H20" t="s">
        <v>88</v>
      </c>
      <c r="I20" t="s">
        <v>88</v>
      </c>
      <c r="J20" t="s">
        <v>88</v>
      </c>
      <c r="K20" t="s">
        <v>893</v>
      </c>
      <c r="L20" t="s">
        <v>992</v>
      </c>
      <c r="M20" t="s">
        <v>1049</v>
      </c>
      <c r="N20" t="s">
        <v>1144</v>
      </c>
      <c r="O20" t="s">
        <v>1145</v>
      </c>
      <c r="P20" t="s">
        <v>1145</v>
      </c>
      <c r="Q20" t="s">
        <v>806</v>
      </c>
      <c r="R20" t="s">
        <v>806</v>
      </c>
    </row>
    <row r="21" spans="1:18">
      <c r="A21" s="13" t="s">
        <v>226</v>
      </c>
      <c r="B21" s="8" t="s">
        <v>88</v>
      </c>
      <c r="C21" t="s">
        <v>88</v>
      </c>
      <c r="D21" t="s">
        <v>832</v>
      </c>
      <c r="E21" s="8" t="s">
        <v>88</v>
      </c>
      <c r="F21" s="8" t="s">
        <v>88</v>
      </c>
      <c r="G21" s="8" t="s">
        <v>88</v>
      </c>
      <c r="H21" t="s">
        <v>88</v>
      </c>
      <c r="I21" t="s">
        <v>88</v>
      </c>
      <c r="J21" t="s">
        <v>88</v>
      </c>
      <c r="K21" t="s">
        <v>890</v>
      </c>
      <c r="L21" t="s">
        <v>992</v>
      </c>
      <c r="M21" t="s">
        <v>1049</v>
      </c>
      <c r="N21" t="s">
        <v>1145</v>
      </c>
      <c r="O21" t="s">
        <v>1145</v>
      </c>
      <c r="P21" t="s">
        <v>1145</v>
      </c>
      <c r="Q21" t="s">
        <v>1322</v>
      </c>
      <c r="R21" t="s">
        <v>806</v>
      </c>
    </row>
    <row r="22" spans="1:18">
      <c r="A22" s="13" t="s">
        <v>227</v>
      </c>
      <c r="B22" s="8" t="s">
        <v>88</v>
      </c>
      <c r="C22" t="s">
        <v>88</v>
      </c>
      <c r="D22" t="s">
        <v>832</v>
      </c>
      <c r="E22" s="8" t="s">
        <v>88</v>
      </c>
      <c r="F22" s="8" t="s">
        <v>88</v>
      </c>
      <c r="G22" s="8" t="s">
        <v>88</v>
      </c>
      <c r="H22" t="s">
        <v>88</v>
      </c>
      <c r="I22" t="s">
        <v>88</v>
      </c>
      <c r="J22" t="s">
        <v>88</v>
      </c>
      <c r="K22" t="s">
        <v>894</v>
      </c>
      <c r="L22" t="s">
        <v>992</v>
      </c>
      <c r="M22" t="s">
        <v>1049</v>
      </c>
      <c r="N22" t="s">
        <v>1145</v>
      </c>
      <c r="O22" t="s">
        <v>1145</v>
      </c>
      <c r="P22" t="s">
        <v>1145</v>
      </c>
      <c r="Q22" t="s">
        <v>806</v>
      </c>
      <c r="R22" t="s">
        <v>806</v>
      </c>
    </row>
    <row r="23" spans="1:18">
      <c r="A23" s="15" t="s">
        <v>1029</v>
      </c>
      <c r="B23" s="8" t="s">
        <v>88</v>
      </c>
      <c r="C23" t="s">
        <v>88</v>
      </c>
      <c r="D23" t="s">
        <v>832</v>
      </c>
      <c r="E23" s="8" t="s">
        <v>88</v>
      </c>
      <c r="F23" s="8" t="s">
        <v>88</v>
      </c>
      <c r="G23" s="8" t="s">
        <v>88</v>
      </c>
      <c r="H23" t="s">
        <v>88</v>
      </c>
      <c r="I23" t="s">
        <v>88</v>
      </c>
      <c r="J23" t="s">
        <v>88</v>
      </c>
      <c r="K23" t="s">
        <v>890</v>
      </c>
      <c r="Q23" t="s">
        <v>806</v>
      </c>
    </row>
    <row r="24" spans="1:18">
      <c r="A24" s="15" t="s">
        <v>228</v>
      </c>
      <c r="B24" s="8" t="s">
        <v>88</v>
      </c>
      <c r="C24" t="s">
        <v>88</v>
      </c>
      <c r="D24" t="s">
        <v>832</v>
      </c>
      <c r="E24" s="8" t="s">
        <v>88</v>
      </c>
      <c r="F24" s="8" t="s">
        <v>88</v>
      </c>
      <c r="G24" s="8" t="s">
        <v>88</v>
      </c>
      <c r="H24" t="s">
        <v>88</v>
      </c>
      <c r="I24" t="s">
        <v>88</v>
      </c>
      <c r="J24" t="s">
        <v>88</v>
      </c>
      <c r="K24" t="s">
        <v>894</v>
      </c>
      <c r="L24" t="s">
        <v>992</v>
      </c>
      <c r="Q24" t="s">
        <v>806</v>
      </c>
    </row>
    <row r="25" spans="1:18">
      <c r="A25" s="15" t="s">
        <v>229</v>
      </c>
      <c r="B25" s="8" t="s">
        <v>89</v>
      </c>
      <c r="C25" t="s">
        <v>88</v>
      </c>
      <c r="D25" t="s">
        <v>832</v>
      </c>
      <c r="E25" s="8" t="s">
        <v>88</v>
      </c>
      <c r="F25" s="8" t="s">
        <v>88</v>
      </c>
      <c r="G25" s="8" t="s">
        <v>88</v>
      </c>
      <c r="H25" t="s">
        <v>88</v>
      </c>
      <c r="I25" t="s">
        <v>88</v>
      </c>
      <c r="J25" t="s">
        <v>88</v>
      </c>
      <c r="K25" t="s">
        <v>894</v>
      </c>
      <c r="Q25" t="s">
        <v>1322</v>
      </c>
    </row>
  </sheetData>
  <phoneticPr fontId="4" type="noConversion"/>
  <conditionalFormatting sqref="N2:O25">
    <cfRule type="cellIs" dxfId="4" priority="3" operator="equal">
      <formula>"V"</formula>
    </cfRule>
  </conditionalFormatting>
  <conditionalFormatting sqref="P2:P25">
    <cfRule type="cellIs" dxfId="3" priority="2" operator="equal">
      <formula>"V"</formula>
    </cfRule>
  </conditionalFormatting>
  <conditionalFormatting sqref="Q2:R25">
    <cfRule type="cellIs" dxfId="2" priority="1" operator="equal">
      <formula>"V"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">
    <tabColor theme="4" tint="0.59999389629810485"/>
  </sheetPr>
  <dimension ref="A1:W62"/>
  <sheetViews>
    <sheetView workbookViewId="0">
      <selection activeCell="A12" sqref="A12"/>
    </sheetView>
  </sheetViews>
  <sheetFormatPr defaultRowHeight="15"/>
  <cols>
    <col min="1" max="1" width="40" customWidth="1"/>
    <col min="2" max="6" width="10.7109375" customWidth="1"/>
    <col min="7" max="7" width="29.7109375" customWidth="1"/>
    <col min="8" max="12" width="10.7109375" customWidth="1"/>
    <col min="13" max="13" width="10.7109375" style="8" customWidth="1"/>
    <col min="14" max="18" width="10.7109375" customWidth="1"/>
    <col min="19" max="19" width="9.85546875" style="8" bestFit="1" customWidth="1"/>
    <col min="20" max="20" width="20" style="8" customWidth="1"/>
  </cols>
  <sheetData>
    <row r="1" spans="1:23">
      <c r="A1" s="6" t="s">
        <v>1</v>
      </c>
      <c r="B1" s="2" t="s">
        <v>704</v>
      </c>
      <c r="C1" s="2" t="s">
        <v>730</v>
      </c>
      <c r="D1" s="2" t="s">
        <v>710</v>
      </c>
      <c r="E1" s="2" t="s">
        <v>746</v>
      </c>
      <c r="F1" s="2" t="s">
        <v>699</v>
      </c>
      <c r="G1" s="2" t="s">
        <v>848</v>
      </c>
      <c r="H1" s="2" t="s">
        <v>876</v>
      </c>
      <c r="I1" t="s">
        <v>966</v>
      </c>
      <c r="J1" t="s">
        <v>990</v>
      </c>
      <c r="K1" s="2" t="s">
        <v>701</v>
      </c>
      <c r="L1" s="2" t="s">
        <v>1097</v>
      </c>
      <c r="M1" s="2" t="s">
        <v>0</v>
      </c>
      <c r="N1" t="s">
        <v>1142</v>
      </c>
      <c r="O1" s="44" t="s">
        <v>1225</v>
      </c>
      <c r="P1" s="44" t="s">
        <v>1236</v>
      </c>
      <c r="Q1" t="s">
        <v>1142</v>
      </c>
      <c r="R1" t="s">
        <v>1300</v>
      </c>
      <c r="S1" s="44" t="s">
        <v>1341</v>
      </c>
      <c r="T1" s="44" t="s">
        <v>1342</v>
      </c>
    </row>
    <row r="2" spans="1:23">
      <c r="A2" t="s">
        <v>232</v>
      </c>
      <c r="B2" t="s">
        <v>88</v>
      </c>
      <c r="C2" t="s">
        <v>88</v>
      </c>
      <c r="D2" t="s">
        <v>88</v>
      </c>
      <c r="E2" t="s">
        <v>88</v>
      </c>
      <c r="F2" t="s">
        <v>849</v>
      </c>
      <c r="G2" t="s">
        <v>849</v>
      </c>
      <c r="H2" t="s">
        <v>806</v>
      </c>
      <c r="I2" t="s">
        <v>909</v>
      </c>
      <c r="J2" t="s">
        <v>1114</v>
      </c>
      <c r="K2" t="s">
        <v>1087</v>
      </c>
      <c r="L2" t="s">
        <v>1049</v>
      </c>
      <c r="M2" s="8" t="s">
        <v>930</v>
      </c>
      <c r="O2" t="s">
        <v>1178</v>
      </c>
      <c r="P2" t="s">
        <v>1237</v>
      </c>
      <c r="S2" s="8" t="s">
        <v>1343</v>
      </c>
      <c r="T2" s="8" t="s">
        <v>1322</v>
      </c>
      <c r="W2" s="8" t="s">
        <v>938</v>
      </c>
    </row>
    <row r="3" spans="1:23">
      <c r="A3" t="s">
        <v>233</v>
      </c>
      <c r="B3" t="s">
        <v>88</v>
      </c>
      <c r="C3" t="s">
        <v>88</v>
      </c>
      <c r="D3" t="s">
        <v>88</v>
      </c>
      <c r="E3" t="s">
        <v>88</v>
      </c>
      <c r="F3" t="s">
        <v>849</v>
      </c>
      <c r="G3" t="s">
        <v>849</v>
      </c>
      <c r="H3" t="s">
        <v>877</v>
      </c>
      <c r="I3" t="s">
        <v>890</v>
      </c>
      <c r="J3" t="s">
        <v>992</v>
      </c>
      <c r="K3" t="s">
        <v>1049</v>
      </c>
      <c r="L3" t="s">
        <v>1049</v>
      </c>
      <c r="M3" s="8" t="s">
        <v>930</v>
      </c>
      <c r="O3" t="s">
        <v>1188</v>
      </c>
      <c r="P3" t="s">
        <v>1244</v>
      </c>
      <c r="Q3" t="s">
        <v>1277</v>
      </c>
      <c r="R3" t="s">
        <v>1257</v>
      </c>
      <c r="S3" s="8" t="s">
        <v>1322</v>
      </c>
      <c r="T3" s="8" t="s">
        <v>1322</v>
      </c>
      <c r="U3" t="s">
        <v>935</v>
      </c>
      <c r="V3">
        <v>61</v>
      </c>
    </row>
    <row r="4" spans="1:23">
      <c r="A4" t="s">
        <v>234</v>
      </c>
      <c r="B4" t="s">
        <v>88</v>
      </c>
      <c r="C4" t="s">
        <v>88</v>
      </c>
      <c r="D4" t="s">
        <v>88</v>
      </c>
      <c r="E4" t="s">
        <v>88</v>
      </c>
      <c r="F4" t="s">
        <v>849</v>
      </c>
      <c r="G4" t="s">
        <v>849</v>
      </c>
      <c r="H4" t="s">
        <v>877</v>
      </c>
      <c r="I4" t="s">
        <v>890</v>
      </c>
      <c r="J4" t="s">
        <v>992</v>
      </c>
      <c r="K4" t="s">
        <v>1080</v>
      </c>
      <c r="L4" t="s">
        <v>1049</v>
      </c>
      <c r="M4" s="8" t="s">
        <v>930</v>
      </c>
      <c r="O4" t="s">
        <v>1189</v>
      </c>
      <c r="P4" t="s">
        <v>1243</v>
      </c>
      <c r="Q4" t="s">
        <v>1256</v>
      </c>
      <c r="R4" t="s">
        <v>1256</v>
      </c>
      <c r="S4" s="8" t="s">
        <v>1322</v>
      </c>
      <c r="T4" s="8" t="s">
        <v>1322</v>
      </c>
      <c r="U4" t="s">
        <v>936</v>
      </c>
      <c r="V4">
        <v>59</v>
      </c>
      <c r="W4">
        <f>V4/V3*100</f>
        <v>96.721311475409834</v>
      </c>
    </row>
    <row r="5" spans="1:23">
      <c r="A5" t="s">
        <v>235</v>
      </c>
      <c r="B5" t="s">
        <v>88</v>
      </c>
      <c r="C5" t="s">
        <v>88</v>
      </c>
      <c r="D5" t="s">
        <v>88</v>
      </c>
      <c r="E5" t="s">
        <v>88</v>
      </c>
      <c r="F5" t="s">
        <v>849</v>
      </c>
      <c r="G5" t="s">
        <v>849</v>
      </c>
      <c r="H5" t="s">
        <v>806</v>
      </c>
      <c r="I5" t="s">
        <v>890</v>
      </c>
      <c r="J5" t="s">
        <v>992</v>
      </c>
      <c r="K5" t="s">
        <v>1050</v>
      </c>
      <c r="L5" t="s">
        <v>1049</v>
      </c>
      <c r="M5" s="8" t="s">
        <v>930</v>
      </c>
      <c r="O5" t="s">
        <v>1178</v>
      </c>
      <c r="P5" t="s">
        <v>1237</v>
      </c>
      <c r="Q5" t="s">
        <v>1256</v>
      </c>
      <c r="R5" t="s">
        <v>1256</v>
      </c>
      <c r="S5" s="8" t="s">
        <v>1322</v>
      </c>
      <c r="T5" s="8" t="s">
        <v>1322</v>
      </c>
      <c r="U5" t="s">
        <v>937</v>
      </c>
      <c r="V5">
        <f>V3-V4</f>
        <v>2</v>
      </c>
      <c r="W5">
        <f>100-W4</f>
        <v>3.2786885245901658</v>
      </c>
    </row>
    <row r="6" spans="1:23">
      <c r="A6" t="s">
        <v>236</v>
      </c>
      <c r="B6" t="s">
        <v>88</v>
      </c>
      <c r="C6" t="s">
        <v>88</v>
      </c>
      <c r="D6" t="s">
        <v>88</v>
      </c>
      <c r="E6" t="s">
        <v>88</v>
      </c>
      <c r="F6" t="s">
        <v>849</v>
      </c>
      <c r="G6" t="s">
        <v>833</v>
      </c>
      <c r="H6" t="s">
        <v>833</v>
      </c>
      <c r="I6" t="s">
        <v>911</v>
      </c>
      <c r="J6" t="s">
        <v>1030</v>
      </c>
      <c r="K6" t="s">
        <v>1049</v>
      </c>
      <c r="L6" t="s">
        <v>1052</v>
      </c>
      <c r="M6" s="8" t="s">
        <v>930</v>
      </c>
      <c r="O6" t="s">
        <v>1178</v>
      </c>
      <c r="P6" t="s">
        <v>1242</v>
      </c>
      <c r="Q6" t="s">
        <v>1256</v>
      </c>
      <c r="R6" t="s">
        <v>1256</v>
      </c>
      <c r="S6" s="8" t="s">
        <v>1343</v>
      </c>
      <c r="T6" s="8" t="s">
        <v>1322</v>
      </c>
    </row>
    <row r="7" spans="1:23">
      <c r="A7" t="s">
        <v>237</v>
      </c>
      <c r="B7" t="s">
        <v>88</v>
      </c>
      <c r="C7" t="s">
        <v>88</v>
      </c>
      <c r="D7" t="s">
        <v>88</v>
      </c>
      <c r="E7" t="s">
        <v>88</v>
      </c>
      <c r="F7" t="s">
        <v>849</v>
      </c>
      <c r="G7" t="s">
        <v>849</v>
      </c>
      <c r="H7" t="s">
        <v>877</v>
      </c>
      <c r="I7" t="s">
        <v>890</v>
      </c>
      <c r="J7" t="s">
        <v>997</v>
      </c>
      <c r="K7" t="s">
        <v>1079</v>
      </c>
      <c r="L7" t="s">
        <v>1052</v>
      </c>
      <c r="M7" s="8" t="s">
        <v>1132</v>
      </c>
      <c r="O7" t="s">
        <v>1186</v>
      </c>
      <c r="P7" t="s">
        <v>1237</v>
      </c>
      <c r="Q7" t="s">
        <v>1278</v>
      </c>
      <c r="R7" t="s">
        <v>1256</v>
      </c>
      <c r="S7" s="8" t="s">
        <v>1322</v>
      </c>
      <c r="T7" s="8" t="s">
        <v>1322</v>
      </c>
    </row>
    <row r="8" spans="1:23">
      <c r="A8" t="s">
        <v>238</v>
      </c>
      <c r="B8" t="s">
        <v>88</v>
      </c>
      <c r="C8" t="s">
        <v>88</v>
      </c>
      <c r="D8" t="s">
        <v>88</v>
      </c>
      <c r="E8" t="s">
        <v>88</v>
      </c>
      <c r="F8" t="s">
        <v>849</v>
      </c>
      <c r="G8" t="s">
        <v>849</v>
      </c>
      <c r="H8" t="s">
        <v>833</v>
      </c>
      <c r="I8" t="s">
        <v>894</v>
      </c>
      <c r="J8" t="s">
        <v>992</v>
      </c>
      <c r="K8" t="s">
        <v>1052</v>
      </c>
      <c r="L8" t="s">
        <v>1049</v>
      </c>
      <c r="M8" s="8" t="s">
        <v>930</v>
      </c>
      <c r="O8" t="s">
        <v>1186</v>
      </c>
      <c r="P8" t="s">
        <v>1240</v>
      </c>
      <c r="Q8" t="s">
        <v>1259</v>
      </c>
      <c r="R8" t="s">
        <v>1285</v>
      </c>
      <c r="S8" s="8" t="s">
        <v>1322</v>
      </c>
      <c r="T8" s="8" t="s">
        <v>1322</v>
      </c>
    </row>
    <row r="9" spans="1:23">
      <c r="A9" t="s">
        <v>239</v>
      </c>
      <c r="B9" t="s">
        <v>88</v>
      </c>
      <c r="C9" t="s">
        <v>88</v>
      </c>
      <c r="D9" t="s">
        <v>88</v>
      </c>
      <c r="E9" t="s">
        <v>88</v>
      </c>
      <c r="F9" t="s">
        <v>833</v>
      </c>
      <c r="G9" t="s">
        <v>833</v>
      </c>
      <c r="H9" t="s">
        <v>878</v>
      </c>
      <c r="I9" t="s">
        <v>893</v>
      </c>
      <c r="J9" t="s">
        <v>992</v>
      </c>
      <c r="K9" t="s">
        <v>1049</v>
      </c>
      <c r="L9" t="s">
        <v>1049</v>
      </c>
      <c r="M9" s="8" t="s">
        <v>1132</v>
      </c>
      <c r="O9" t="s">
        <v>1181</v>
      </c>
      <c r="P9" t="s">
        <v>1237</v>
      </c>
      <c r="Q9" t="s">
        <v>1256</v>
      </c>
      <c r="R9" t="s">
        <v>1259</v>
      </c>
      <c r="S9" s="8" t="s">
        <v>1322</v>
      </c>
      <c r="T9" s="8" t="s">
        <v>1322</v>
      </c>
    </row>
    <row r="10" spans="1:23">
      <c r="A10" t="s">
        <v>240</v>
      </c>
      <c r="B10" t="s">
        <v>88</v>
      </c>
      <c r="C10" t="s">
        <v>88</v>
      </c>
      <c r="D10" t="s">
        <v>88</v>
      </c>
      <c r="E10" t="s">
        <v>88</v>
      </c>
      <c r="F10" t="s">
        <v>833</v>
      </c>
      <c r="G10" t="s">
        <v>806</v>
      </c>
      <c r="H10" t="s">
        <v>833</v>
      </c>
      <c r="I10" t="s">
        <v>892</v>
      </c>
      <c r="J10" t="s">
        <v>1030</v>
      </c>
      <c r="K10" t="s">
        <v>1049</v>
      </c>
      <c r="L10" t="s">
        <v>1049</v>
      </c>
      <c r="M10" s="8" t="s">
        <v>1132</v>
      </c>
      <c r="O10" t="s">
        <v>1178</v>
      </c>
      <c r="P10" t="s">
        <v>1238</v>
      </c>
      <c r="Q10" t="s">
        <v>1276</v>
      </c>
      <c r="R10" t="s">
        <v>1256</v>
      </c>
      <c r="S10" s="8" t="s">
        <v>1322</v>
      </c>
      <c r="T10" s="8" t="s">
        <v>1322</v>
      </c>
    </row>
    <row r="11" spans="1:23">
      <c r="A11" t="s">
        <v>241</v>
      </c>
      <c r="B11" t="s">
        <v>88</v>
      </c>
      <c r="C11" t="s">
        <v>88</v>
      </c>
      <c r="D11" t="s">
        <v>88</v>
      </c>
      <c r="E11" t="s">
        <v>88</v>
      </c>
      <c r="F11" t="s">
        <v>849</v>
      </c>
      <c r="G11" t="s">
        <v>849</v>
      </c>
      <c r="H11" t="s">
        <v>833</v>
      </c>
      <c r="I11" t="s">
        <v>910</v>
      </c>
      <c r="J11" t="s">
        <v>1031</v>
      </c>
      <c r="K11" t="s">
        <v>1052</v>
      </c>
      <c r="L11" t="s">
        <v>1092</v>
      </c>
      <c r="M11" s="8" t="s">
        <v>930</v>
      </c>
      <c r="O11" t="s">
        <v>1180</v>
      </c>
      <c r="P11" t="s">
        <v>1237</v>
      </c>
      <c r="Q11" t="s">
        <v>1256</v>
      </c>
      <c r="R11" t="s">
        <v>1256</v>
      </c>
      <c r="S11" s="8" t="s">
        <v>1322</v>
      </c>
      <c r="T11" s="8" t="s">
        <v>1343</v>
      </c>
    </row>
    <row r="12" spans="1:23">
      <c r="A12" s="14" t="s">
        <v>242</v>
      </c>
      <c r="B12" t="s">
        <v>88</v>
      </c>
      <c r="C12" t="s">
        <v>88</v>
      </c>
      <c r="D12" t="s">
        <v>88</v>
      </c>
      <c r="E12" t="s">
        <v>88</v>
      </c>
      <c r="F12" t="s">
        <v>833</v>
      </c>
      <c r="G12" t="s">
        <v>837</v>
      </c>
      <c r="H12" t="s">
        <v>878</v>
      </c>
      <c r="M12" s="8" t="s">
        <v>930</v>
      </c>
    </row>
    <row r="13" spans="1:23">
      <c r="A13" t="s">
        <v>243</v>
      </c>
      <c r="B13" t="s">
        <v>88</v>
      </c>
      <c r="C13" t="s">
        <v>88</v>
      </c>
      <c r="D13" t="s">
        <v>88</v>
      </c>
      <c r="E13" t="s">
        <v>88</v>
      </c>
      <c r="F13" t="s">
        <v>833</v>
      </c>
      <c r="G13" t="s">
        <v>806</v>
      </c>
      <c r="H13" t="s">
        <v>878</v>
      </c>
      <c r="I13" t="s">
        <v>894</v>
      </c>
      <c r="J13" t="s">
        <v>992</v>
      </c>
      <c r="K13" t="s">
        <v>1081</v>
      </c>
      <c r="L13" t="s">
        <v>1049</v>
      </c>
      <c r="M13" s="8" t="s">
        <v>930</v>
      </c>
      <c r="O13" t="s">
        <v>1179</v>
      </c>
      <c r="P13" t="s">
        <v>1237</v>
      </c>
      <c r="Q13" t="s">
        <v>1275</v>
      </c>
      <c r="R13" t="s">
        <v>1256</v>
      </c>
      <c r="S13" s="8" t="s">
        <v>1343</v>
      </c>
      <c r="T13" s="8" t="s">
        <v>1322</v>
      </c>
    </row>
    <row r="14" spans="1:23">
      <c r="A14" t="s">
        <v>244</v>
      </c>
      <c r="B14" t="s">
        <v>88</v>
      </c>
      <c r="C14" t="s">
        <v>88</v>
      </c>
      <c r="D14" t="s">
        <v>88</v>
      </c>
      <c r="E14" t="s">
        <v>88</v>
      </c>
      <c r="F14" t="s">
        <v>833</v>
      </c>
      <c r="G14" t="s">
        <v>849</v>
      </c>
      <c r="H14" t="s">
        <v>833</v>
      </c>
      <c r="I14" t="s">
        <v>894</v>
      </c>
      <c r="J14" t="s">
        <v>1032</v>
      </c>
      <c r="K14" t="s">
        <v>1049</v>
      </c>
      <c r="L14" t="s">
        <v>1049</v>
      </c>
      <c r="M14" s="8" t="s">
        <v>1132</v>
      </c>
      <c r="O14" t="s">
        <v>1179</v>
      </c>
      <c r="P14" t="s">
        <v>1238</v>
      </c>
      <c r="Q14" t="s">
        <v>1256</v>
      </c>
      <c r="R14" t="s">
        <v>1256</v>
      </c>
      <c r="S14" s="8" t="s">
        <v>1322</v>
      </c>
      <c r="T14" s="8" t="s">
        <v>1322</v>
      </c>
    </row>
    <row r="15" spans="1:23">
      <c r="A15" t="s">
        <v>245</v>
      </c>
      <c r="B15" t="s">
        <v>88</v>
      </c>
      <c r="C15" t="s">
        <v>88</v>
      </c>
      <c r="D15" t="s">
        <v>88</v>
      </c>
      <c r="E15" t="s">
        <v>88</v>
      </c>
      <c r="F15" t="s">
        <v>833</v>
      </c>
      <c r="G15" t="s">
        <v>833</v>
      </c>
      <c r="H15" t="s">
        <v>833</v>
      </c>
      <c r="I15" t="s">
        <v>890</v>
      </c>
      <c r="J15" t="s">
        <v>997</v>
      </c>
      <c r="K15" t="s">
        <v>1081</v>
      </c>
      <c r="L15" t="s">
        <v>1049</v>
      </c>
      <c r="M15" s="8" t="s">
        <v>1132</v>
      </c>
      <c r="O15" t="s">
        <v>1178</v>
      </c>
      <c r="P15" t="s">
        <v>1237</v>
      </c>
      <c r="Q15" t="s">
        <v>1256</v>
      </c>
      <c r="R15" t="s">
        <v>1259</v>
      </c>
      <c r="S15" s="8" t="s">
        <v>1343</v>
      </c>
      <c r="T15" s="8" t="s">
        <v>1322</v>
      </c>
    </row>
    <row r="16" spans="1:23">
      <c r="A16" t="s">
        <v>246</v>
      </c>
      <c r="B16" t="s">
        <v>88</v>
      </c>
      <c r="C16" t="s">
        <v>88</v>
      </c>
      <c r="D16" t="s">
        <v>88</v>
      </c>
      <c r="E16" t="s">
        <v>88</v>
      </c>
      <c r="F16" t="s">
        <v>849</v>
      </c>
      <c r="G16" t="s">
        <v>833</v>
      </c>
      <c r="H16" t="s">
        <v>877</v>
      </c>
      <c r="I16" t="s">
        <v>890</v>
      </c>
      <c r="J16" t="s">
        <v>994</v>
      </c>
      <c r="K16" t="s">
        <v>1049</v>
      </c>
      <c r="L16" t="s">
        <v>1050</v>
      </c>
      <c r="M16" s="8" t="s">
        <v>930</v>
      </c>
      <c r="O16" t="s">
        <v>1178</v>
      </c>
      <c r="P16" t="s">
        <v>1239</v>
      </c>
      <c r="Q16" t="s">
        <v>1257</v>
      </c>
      <c r="R16" t="s">
        <v>1301</v>
      </c>
      <c r="S16" s="8" t="s">
        <v>1322</v>
      </c>
      <c r="T16" s="8" t="s">
        <v>1322</v>
      </c>
    </row>
    <row r="17" spans="1:20">
      <c r="A17" t="s">
        <v>247</v>
      </c>
      <c r="B17" t="s">
        <v>88</v>
      </c>
      <c r="C17" t="s">
        <v>88</v>
      </c>
      <c r="D17" t="s">
        <v>88</v>
      </c>
      <c r="E17" t="s">
        <v>88</v>
      </c>
      <c r="F17" t="s">
        <v>833</v>
      </c>
      <c r="G17" t="s">
        <v>806</v>
      </c>
      <c r="H17" t="s">
        <v>833</v>
      </c>
      <c r="I17" t="s">
        <v>894</v>
      </c>
      <c r="J17" t="s">
        <v>992</v>
      </c>
      <c r="K17" t="s">
        <v>1049</v>
      </c>
      <c r="L17" t="s">
        <v>1049</v>
      </c>
      <c r="M17" s="8" t="s">
        <v>1133</v>
      </c>
      <c r="O17" t="s">
        <v>1178</v>
      </c>
      <c r="P17" t="s">
        <v>1240</v>
      </c>
      <c r="Q17" t="s">
        <v>1256</v>
      </c>
      <c r="R17" t="s">
        <v>1301</v>
      </c>
      <c r="S17" s="8" t="s">
        <v>1322</v>
      </c>
      <c r="T17" s="8" t="s">
        <v>1322</v>
      </c>
    </row>
    <row r="18" spans="1:20">
      <c r="A18" t="s">
        <v>248</v>
      </c>
      <c r="B18" t="s">
        <v>88</v>
      </c>
      <c r="C18" t="s">
        <v>88</v>
      </c>
      <c r="D18" t="s">
        <v>88</v>
      </c>
      <c r="E18" t="s">
        <v>88</v>
      </c>
      <c r="F18" t="s">
        <v>833</v>
      </c>
      <c r="G18" t="s">
        <v>849</v>
      </c>
      <c r="H18" t="s">
        <v>878</v>
      </c>
      <c r="I18" t="s">
        <v>890</v>
      </c>
      <c r="J18" t="s">
        <v>997</v>
      </c>
      <c r="K18" t="s">
        <v>1049</v>
      </c>
      <c r="L18" t="s">
        <v>1049</v>
      </c>
      <c r="M18" s="8" t="s">
        <v>930</v>
      </c>
      <c r="O18" t="s">
        <v>1182</v>
      </c>
      <c r="P18" t="s">
        <v>1239</v>
      </c>
      <c r="Q18" t="s">
        <v>1256</v>
      </c>
      <c r="R18" t="s">
        <v>1256</v>
      </c>
      <c r="S18" s="8" t="s">
        <v>1322</v>
      </c>
      <c r="T18" s="8" t="s">
        <v>1343</v>
      </c>
    </row>
    <row r="19" spans="1:20">
      <c r="A19" t="s">
        <v>249</v>
      </c>
      <c r="B19" t="s">
        <v>88</v>
      </c>
      <c r="C19" t="s">
        <v>88</v>
      </c>
      <c r="D19" t="s">
        <v>88</v>
      </c>
      <c r="E19" t="s">
        <v>88</v>
      </c>
      <c r="F19" t="s">
        <v>833</v>
      </c>
      <c r="G19" t="s">
        <v>849</v>
      </c>
      <c r="H19" t="s">
        <v>833</v>
      </c>
      <c r="I19" t="s">
        <v>912</v>
      </c>
      <c r="J19" t="s">
        <v>992</v>
      </c>
      <c r="K19" t="s">
        <v>1049</v>
      </c>
      <c r="L19" t="s">
        <v>1099</v>
      </c>
      <c r="M19" s="8" t="s">
        <v>930</v>
      </c>
      <c r="O19" t="s">
        <v>1178</v>
      </c>
      <c r="P19" t="s">
        <v>1241</v>
      </c>
      <c r="Q19" t="s">
        <v>1259</v>
      </c>
      <c r="R19" t="s">
        <v>1281</v>
      </c>
      <c r="S19" s="8" t="s">
        <v>1322</v>
      </c>
      <c r="T19" s="8" t="s">
        <v>1322</v>
      </c>
    </row>
    <row r="20" spans="1:20">
      <c r="A20" t="s">
        <v>250</v>
      </c>
      <c r="B20" t="s">
        <v>88</v>
      </c>
      <c r="C20" t="s">
        <v>88</v>
      </c>
      <c r="D20" t="s">
        <v>88</v>
      </c>
      <c r="E20" t="s">
        <v>88</v>
      </c>
      <c r="F20" t="s">
        <v>833</v>
      </c>
      <c r="G20" t="s">
        <v>833</v>
      </c>
      <c r="H20" t="s">
        <v>833</v>
      </c>
      <c r="I20" t="s">
        <v>890</v>
      </c>
      <c r="J20" t="s">
        <v>992</v>
      </c>
      <c r="K20" t="s">
        <v>1052</v>
      </c>
      <c r="L20" t="s">
        <v>1052</v>
      </c>
      <c r="M20" s="8" t="s">
        <v>1132</v>
      </c>
      <c r="O20" t="s">
        <v>1178</v>
      </c>
      <c r="P20" t="s">
        <v>1240</v>
      </c>
      <c r="Q20" t="s">
        <v>1256</v>
      </c>
      <c r="R20" t="s">
        <v>1259</v>
      </c>
      <c r="S20" s="8" t="s">
        <v>1322</v>
      </c>
      <c r="T20" s="8" t="s">
        <v>1322</v>
      </c>
    </row>
    <row r="21" spans="1:20">
      <c r="A21" t="s">
        <v>251</v>
      </c>
      <c r="B21" t="s">
        <v>88</v>
      </c>
      <c r="C21" t="s">
        <v>88</v>
      </c>
      <c r="D21" t="s">
        <v>88</v>
      </c>
      <c r="E21" t="s">
        <v>88</v>
      </c>
      <c r="F21" t="s">
        <v>833</v>
      </c>
      <c r="G21" t="s">
        <v>833</v>
      </c>
      <c r="H21" t="s">
        <v>833</v>
      </c>
      <c r="I21" t="s">
        <v>913</v>
      </c>
      <c r="J21" t="s">
        <v>997</v>
      </c>
      <c r="K21" t="s">
        <v>1052</v>
      </c>
      <c r="L21" t="s">
        <v>1115</v>
      </c>
      <c r="M21" s="8" t="s">
        <v>1132</v>
      </c>
      <c r="O21" t="s">
        <v>1178</v>
      </c>
      <c r="P21" t="s">
        <v>1237</v>
      </c>
      <c r="Q21" t="s">
        <v>1259</v>
      </c>
      <c r="R21" t="s">
        <v>1256</v>
      </c>
      <c r="S21" s="8" t="s">
        <v>1343</v>
      </c>
      <c r="T21" s="8" t="s">
        <v>806</v>
      </c>
    </row>
    <row r="22" spans="1:20">
      <c r="A22" t="s">
        <v>784</v>
      </c>
      <c r="B22" t="s">
        <v>88</v>
      </c>
      <c r="C22" t="s">
        <v>88</v>
      </c>
      <c r="D22" t="s">
        <v>88</v>
      </c>
      <c r="E22" t="s">
        <v>88</v>
      </c>
      <c r="F22" t="s">
        <v>833</v>
      </c>
      <c r="G22" t="s">
        <v>833</v>
      </c>
      <c r="H22" t="s">
        <v>806</v>
      </c>
      <c r="I22" t="s">
        <v>913</v>
      </c>
      <c r="J22" t="s">
        <v>992</v>
      </c>
      <c r="K22" t="s">
        <v>1082</v>
      </c>
      <c r="L22" t="s">
        <v>1052</v>
      </c>
      <c r="M22" s="8" t="s">
        <v>930</v>
      </c>
      <c r="O22" t="s">
        <v>1178</v>
      </c>
      <c r="P22" t="s">
        <v>1237</v>
      </c>
      <c r="Q22" t="s">
        <v>1279</v>
      </c>
      <c r="R22" t="s">
        <v>1259</v>
      </c>
      <c r="S22" s="8" t="s">
        <v>806</v>
      </c>
      <c r="T22" s="8" t="s">
        <v>1343</v>
      </c>
    </row>
    <row r="23" spans="1:20">
      <c r="A23" t="s">
        <v>785</v>
      </c>
      <c r="B23" t="s">
        <v>88</v>
      </c>
      <c r="C23" t="s">
        <v>88</v>
      </c>
      <c r="D23" t="s">
        <v>88</v>
      </c>
      <c r="E23" t="s">
        <v>88</v>
      </c>
      <c r="F23" t="s">
        <v>833</v>
      </c>
      <c r="G23" t="s">
        <v>833</v>
      </c>
      <c r="H23" t="s">
        <v>833</v>
      </c>
      <c r="I23" t="s">
        <v>890</v>
      </c>
      <c r="J23" t="s">
        <v>1030</v>
      </c>
      <c r="K23" t="s">
        <v>1082</v>
      </c>
      <c r="L23" t="s">
        <v>1065</v>
      </c>
      <c r="M23" s="8" t="s">
        <v>1132</v>
      </c>
      <c r="O23" t="s">
        <v>1184</v>
      </c>
      <c r="P23" t="s">
        <v>1245</v>
      </c>
      <c r="Q23" t="s">
        <v>1280</v>
      </c>
      <c r="R23" t="s">
        <v>1263</v>
      </c>
      <c r="S23" s="8" t="s">
        <v>1322</v>
      </c>
      <c r="T23" s="8" t="s">
        <v>1322</v>
      </c>
    </row>
    <row r="24" spans="1:20">
      <c r="A24" t="s">
        <v>786</v>
      </c>
      <c r="B24" t="s">
        <v>88</v>
      </c>
      <c r="C24" t="s">
        <v>88</v>
      </c>
      <c r="D24" t="s">
        <v>88</v>
      </c>
      <c r="E24" t="s">
        <v>88</v>
      </c>
      <c r="F24" t="s">
        <v>833</v>
      </c>
      <c r="G24" t="s">
        <v>833</v>
      </c>
      <c r="H24" t="s">
        <v>878</v>
      </c>
      <c r="I24" t="s">
        <v>895</v>
      </c>
      <c r="J24" t="s">
        <v>992</v>
      </c>
      <c r="K24" t="s">
        <v>1083</v>
      </c>
      <c r="L24" t="s">
        <v>1049</v>
      </c>
      <c r="M24" s="8" t="s">
        <v>1134</v>
      </c>
      <c r="O24" t="s">
        <v>1183</v>
      </c>
      <c r="P24" t="s">
        <v>1238</v>
      </c>
      <c r="Q24" t="s">
        <v>1256</v>
      </c>
      <c r="R24" t="s">
        <v>1256</v>
      </c>
      <c r="S24" s="8" t="s">
        <v>1322</v>
      </c>
      <c r="T24" s="8" t="s">
        <v>1322</v>
      </c>
    </row>
    <row r="25" spans="1:20">
      <c r="A25" t="s">
        <v>252</v>
      </c>
      <c r="B25" t="s">
        <v>88</v>
      </c>
      <c r="C25" t="s">
        <v>88</v>
      </c>
      <c r="D25" t="s">
        <v>88</v>
      </c>
      <c r="E25" t="s">
        <v>88</v>
      </c>
      <c r="F25" t="s">
        <v>833</v>
      </c>
      <c r="G25" t="s">
        <v>833</v>
      </c>
      <c r="H25" t="s">
        <v>878</v>
      </c>
      <c r="I25" t="s">
        <v>911</v>
      </c>
      <c r="J25" t="s">
        <v>992</v>
      </c>
      <c r="K25" t="s">
        <v>1049</v>
      </c>
      <c r="L25" t="s">
        <v>1049</v>
      </c>
      <c r="M25" s="8" t="s">
        <v>1132</v>
      </c>
      <c r="O25" t="s">
        <v>1179</v>
      </c>
      <c r="P25" t="s">
        <v>1246</v>
      </c>
      <c r="Q25" t="s">
        <v>1260</v>
      </c>
      <c r="R25" t="s">
        <v>1258</v>
      </c>
      <c r="S25" s="8" t="s">
        <v>1322</v>
      </c>
      <c r="T25" s="8" t="s">
        <v>1343</v>
      </c>
    </row>
    <row r="26" spans="1:20">
      <c r="A26" t="s">
        <v>253</v>
      </c>
      <c r="B26" t="s">
        <v>88</v>
      </c>
      <c r="C26" t="s">
        <v>88</v>
      </c>
      <c r="D26" t="s">
        <v>88</v>
      </c>
      <c r="E26" t="s">
        <v>88</v>
      </c>
      <c r="F26" t="s">
        <v>833</v>
      </c>
      <c r="G26" t="s">
        <v>833</v>
      </c>
      <c r="H26" t="s">
        <v>877</v>
      </c>
      <c r="I26" t="s">
        <v>893</v>
      </c>
      <c r="J26" t="s">
        <v>992</v>
      </c>
      <c r="K26" t="s">
        <v>1049</v>
      </c>
      <c r="L26" t="s">
        <v>1050</v>
      </c>
      <c r="M26" s="8" t="s">
        <v>930</v>
      </c>
      <c r="O26" t="s">
        <v>1178</v>
      </c>
      <c r="P26" t="s">
        <v>1247</v>
      </c>
      <c r="Q26" t="s">
        <v>1260</v>
      </c>
      <c r="R26" t="s">
        <v>1259</v>
      </c>
      <c r="S26" s="8" t="s">
        <v>1322</v>
      </c>
      <c r="T26" s="8" t="s">
        <v>1322</v>
      </c>
    </row>
    <row r="27" spans="1:20">
      <c r="A27" t="s">
        <v>254</v>
      </c>
      <c r="B27" t="s">
        <v>88</v>
      </c>
      <c r="C27" t="s">
        <v>88</v>
      </c>
      <c r="D27" t="s">
        <v>88</v>
      </c>
      <c r="E27" t="s">
        <v>88</v>
      </c>
      <c r="F27" t="s">
        <v>833</v>
      </c>
      <c r="G27" t="s">
        <v>833</v>
      </c>
      <c r="H27" t="s">
        <v>877</v>
      </c>
      <c r="I27" t="s">
        <v>894</v>
      </c>
      <c r="J27" t="s">
        <v>997</v>
      </c>
      <c r="K27" t="s">
        <v>1050</v>
      </c>
      <c r="L27" t="s">
        <v>1050</v>
      </c>
      <c r="M27" s="8" t="s">
        <v>1132</v>
      </c>
      <c r="O27" t="s">
        <v>1178</v>
      </c>
      <c r="P27" t="s">
        <v>1237</v>
      </c>
      <c r="Q27" t="s">
        <v>1281</v>
      </c>
      <c r="R27" t="s">
        <v>1259</v>
      </c>
      <c r="S27" s="8" t="s">
        <v>1322</v>
      </c>
      <c r="T27" s="8" t="s">
        <v>1322</v>
      </c>
    </row>
    <row r="28" spans="1:20">
      <c r="A28" t="s">
        <v>255</v>
      </c>
      <c r="B28" t="s">
        <v>88</v>
      </c>
      <c r="C28" t="s">
        <v>88</v>
      </c>
      <c r="D28" t="s">
        <v>88</v>
      </c>
      <c r="E28" t="s">
        <v>88</v>
      </c>
      <c r="F28" t="s">
        <v>833</v>
      </c>
      <c r="G28" t="s">
        <v>833</v>
      </c>
      <c r="H28" t="s">
        <v>833</v>
      </c>
      <c r="I28" t="s">
        <v>894</v>
      </c>
      <c r="J28" t="s">
        <v>1030</v>
      </c>
      <c r="K28" t="s">
        <v>1081</v>
      </c>
      <c r="L28" t="s">
        <v>1049</v>
      </c>
      <c r="M28" s="8" t="s">
        <v>1132</v>
      </c>
      <c r="O28" t="s">
        <v>1178</v>
      </c>
      <c r="P28" t="s">
        <v>1240</v>
      </c>
      <c r="Q28" t="s">
        <v>1256</v>
      </c>
      <c r="R28" t="s">
        <v>1276</v>
      </c>
      <c r="S28" s="8" t="s">
        <v>806</v>
      </c>
      <c r="T28" s="8" t="s">
        <v>1322</v>
      </c>
    </row>
    <row r="29" spans="1:20">
      <c r="A29" t="s">
        <v>256</v>
      </c>
      <c r="B29" t="s">
        <v>88</v>
      </c>
      <c r="C29" t="s">
        <v>88</v>
      </c>
      <c r="D29" t="s">
        <v>88</v>
      </c>
      <c r="E29" t="s">
        <v>88</v>
      </c>
      <c r="F29" t="s">
        <v>833</v>
      </c>
      <c r="G29" t="s">
        <v>833</v>
      </c>
      <c r="H29" t="s">
        <v>833</v>
      </c>
      <c r="I29" t="s">
        <v>890</v>
      </c>
      <c r="J29" t="s">
        <v>992</v>
      </c>
      <c r="K29" t="s">
        <v>1050</v>
      </c>
      <c r="L29" t="s">
        <v>1049</v>
      </c>
      <c r="M29" s="8" t="s">
        <v>1132</v>
      </c>
      <c r="O29" t="s">
        <v>1185</v>
      </c>
      <c r="P29" t="s">
        <v>1237</v>
      </c>
      <c r="Q29" t="s">
        <v>1256</v>
      </c>
      <c r="R29" t="s">
        <v>1256</v>
      </c>
      <c r="S29" s="8" t="s">
        <v>1322</v>
      </c>
      <c r="T29" s="8" t="s">
        <v>1322</v>
      </c>
    </row>
    <row r="30" spans="1:20">
      <c r="A30" t="s">
        <v>257</v>
      </c>
      <c r="B30" t="s">
        <v>88</v>
      </c>
      <c r="C30" t="s">
        <v>88</v>
      </c>
      <c r="D30" t="s">
        <v>88</v>
      </c>
      <c r="E30" t="s">
        <v>88</v>
      </c>
      <c r="F30" t="s">
        <v>833</v>
      </c>
      <c r="G30" t="s">
        <v>833</v>
      </c>
      <c r="H30" t="s">
        <v>878</v>
      </c>
      <c r="I30" t="s">
        <v>890</v>
      </c>
      <c r="J30" t="s">
        <v>992</v>
      </c>
      <c r="K30" t="s">
        <v>1079</v>
      </c>
      <c r="L30" t="s">
        <v>1050</v>
      </c>
      <c r="M30" s="8" t="s">
        <v>930</v>
      </c>
      <c r="O30" t="s">
        <v>1178</v>
      </c>
      <c r="P30" t="s">
        <v>1237</v>
      </c>
      <c r="Q30" t="s">
        <v>1256</v>
      </c>
      <c r="R30" t="s">
        <v>1302</v>
      </c>
      <c r="S30" s="8" t="s">
        <v>1322</v>
      </c>
      <c r="T30" s="8" t="s">
        <v>1322</v>
      </c>
    </row>
    <row r="31" spans="1:20">
      <c r="A31" t="s">
        <v>258</v>
      </c>
      <c r="B31" t="s">
        <v>88</v>
      </c>
      <c r="C31" t="s">
        <v>88</v>
      </c>
      <c r="D31" t="s">
        <v>88</v>
      </c>
      <c r="E31" t="s">
        <v>88</v>
      </c>
      <c r="F31" t="s">
        <v>833</v>
      </c>
      <c r="G31" t="s">
        <v>833</v>
      </c>
      <c r="H31" t="s">
        <v>833</v>
      </c>
      <c r="I31" t="s">
        <v>890</v>
      </c>
      <c r="J31" t="s">
        <v>992</v>
      </c>
      <c r="K31" t="s">
        <v>1049</v>
      </c>
      <c r="L31" t="s">
        <v>1049</v>
      </c>
      <c r="M31" s="8" t="s">
        <v>1132</v>
      </c>
      <c r="O31" t="s">
        <v>1187</v>
      </c>
      <c r="P31" t="s">
        <v>1237</v>
      </c>
      <c r="Q31" t="s">
        <v>1260</v>
      </c>
      <c r="R31" t="s">
        <v>1256</v>
      </c>
      <c r="S31" s="8" t="s">
        <v>1322</v>
      </c>
      <c r="T31" s="8" t="s">
        <v>1322</v>
      </c>
    </row>
    <row r="32" spans="1:20">
      <c r="A32" t="s">
        <v>259</v>
      </c>
      <c r="B32" t="s">
        <v>88</v>
      </c>
      <c r="C32" t="s">
        <v>88</v>
      </c>
      <c r="D32" t="s">
        <v>88</v>
      </c>
      <c r="E32" t="s">
        <v>88</v>
      </c>
      <c r="F32" t="s">
        <v>833</v>
      </c>
      <c r="G32" t="s">
        <v>833</v>
      </c>
      <c r="H32" t="s">
        <v>878</v>
      </c>
      <c r="I32" t="s">
        <v>906</v>
      </c>
      <c r="L32" t="s">
        <v>1049</v>
      </c>
      <c r="M32" s="8" t="s">
        <v>930</v>
      </c>
      <c r="O32" t="s">
        <v>1179</v>
      </c>
      <c r="R32" t="s">
        <v>1256</v>
      </c>
      <c r="S32" s="8" t="s">
        <v>1322</v>
      </c>
      <c r="T32" s="8" t="s">
        <v>1322</v>
      </c>
    </row>
    <row r="33" spans="1:20">
      <c r="A33" s="14" t="s">
        <v>260</v>
      </c>
      <c r="B33" t="s">
        <v>88</v>
      </c>
      <c r="C33" t="s">
        <v>88</v>
      </c>
      <c r="D33" t="s">
        <v>88</v>
      </c>
      <c r="E33" t="s">
        <v>88</v>
      </c>
      <c r="F33" t="s">
        <v>833</v>
      </c>
      <c r="G33" t="s">
        <v>833</v>
      </c>
      <c r="H33" t="s">
        <v>806</v>
      </c>
      <c r="I33" t="s">
        <v>894</v>
      </c>
      <c r="L33" t="s">
        <v>1049</v>
      </c>
      <c r="M33" s="8" t="s">
        <v>1132</v>
      </c>
      <c r="O33" t="s">
        <v>1193</v>
      </c>
      <c r="S33" s="8" t="s">
        <v>1322</v>
      </c>
      <c r="T33" s="8" t="s">
        <v>1322</v>
      </c>
    </row>
    <row r="34" spans="1:20">
      <c r="A34" t="s">
        <v>787</v>
      </c>
      <c r="B34" t="s">
        <v>88</v>
      </c>
      <c r="C34" t="s">
        <v>88</v>
      </c>
      <c r="D34" t="s">
        <v>88</v>
      </c>
      <c r="E34" t="s">
        <v>88</v>
      </c>
      <c r="F34" t="s">
        <v>833</v>
      </c>
      <c r="G34" t="s">
        <v>833</v>
      </c>
      <c r="H34" t="s">
        <v>833</v>
      </c>
      <c r="I34" t="s">
        <v>890</v>
      </c>
      <c r="J34" t="s">
        <v>997</v>
      </c>
      <c r="K34" t="s">
        <v>1056</v>
      </c>
      <c r="L34" t="s">
        <v>1049</v>
      </c>
      <c r="M34" s="8" t="s">
        <v>1132</v>
      </c>
      <c r="O34" t="s">
        <v>1178</v>
      </c>
      <c r="P34" t="s">
        <v>1237</v>
      </c>
      <c r="Q34" t="s">
        <v>1261</v>
      </c>
      <c r="R34" t="s">
        <v>1303</v>
      </c>
      <c r="S34" s="8" t="s">
        <v>1322</v>
      </c>
      <c r="T34" s="8" t="s">
        <v>1322</v>
      </c>
    </row>
    <row r="35" spans="1:20">
      <c r="A35" t="s">
        <v>788</v>
      </c>
      <c r="B35" t="s">
        <v>88</v>
      </c>
      <c r="C35" t="s">
        <v>88</v>
      </c>
      <c r="D35" t="s">
        <v>88</v>
      </c>
      <c r="E35" t="s">
        <v>88</v>
      </c>
      <c r="F35" t="s">
        <v>833</v>
      </c>
      <c r="G35" t="s">
        <v>833</v>
      </c>
      <c r="H35" t="s">
        <v>806</v>
      </c>
      <c r="I35" t="s">
        <v>892</v>
      </c>
      <c r="J35" t="s">
        <v>992</v>
      </c>
      <c r="K35" t="s">
        <v>1049</v>
      </c>
      <c r="L35" t="s">
        <v>1092</v>
      </c>
      <c r="M35" s="8" t="s">
        <v>1132</v>
      </c>
      <c r="O35" t="s">
        <v>1178</v>
      </c>
      <c r="P35" t="s">
        <v>1237</v>
      </c>
      <c r="Q35" t="s">
        <v>1259</v>
      </c>
      <c r="R35" t="s">
        <v>1256</v>
      </c>
      <c r="S35" s="8" t="s">
        <v>1322</v>
      </c>
      <c r="T35" s="8" t="s">
        <v>1322</v>
      </c>
    </row>
    <row r="36" spans="1:20">
      <c r="A36" t="s">
        <v>261</v>
      </c>
      <c r="B36" t="s">
        <v>88</v>
      </c>
      <c r="C36" t="s">
        <v>88</v>
      </c>
      <c r="D36" t="s">
        <v>88</v>
      </c>
      <c r="E36" t="s">
        <v>88</v>
      </c>
      <c r="F36" t="s">
        <v>833</v>
      </c>
      <c r="G36" t="s">
        <v>833</v>
      </c>
      <c r="H36" t="s">
        <v>833</v>
      </c>
      <c r="I36" t="s">
        <v>890</v>
      </c>
      <c r="J36" t="s">
        <v>1033</v>
      </c>
      <c r="K36" t="s">
        <v>1050</v>
      </c>
      <c r="L36" t="s">
        <v>1050</v>
      </c>
      <c r="M36" s="8" t="s">
        <v>930</v>
      </c>
      <c r="O36" t="s">
        <v>1179</v>
      </c>
      <c r="P36" t="s">
        <v>1237</v>
      </c>
      <c r="Q36" t="s">
        <v>1256</v>
      </c>
      <c r="R36" t="s">
        <v>1256</v>
      </c>
      <c r="S36" s="8" t="s">
        <v>1322</v>
      </c>
      <c r="T36" s="8" t="s">
        <v>1322</v>
      </c>
    </row>
    <row r="37" spans="1:20">
      <c r="A37" t="s">
        <v>262</v>
      </c>
      <c r="B37" t="s">
        <v>88</v>
      </c>
      <c r="C37" t="s">
        <v>88</v>
      </c>
      <c r="D37" t="s">
        <v>88</v>
      </c>
      <c r="E37" t="s">
        <v>88</v>
      </c>
      <c r="F37" t="s">
        <v>833</v>
      </c>
      <c r="G37" t="s">
        <v>833</v>
      </c>
      <c r="H37" t="s">
        <v>833</v>
      </c>
      <c r="I37" t="s">
        <v>890</v>
      </c>
      <c r="J37" t="s">
        <v>992</v>
      </c>
      <c r="K37" t="s">
        <v>1049</v>
      </c>
      <c r="L37" t="s">
        <v>1052</v>
      </c>
      <c r="M37" s="8" t="s">
        <v>930</v>
      </c>
      <c r="O37" t="s">
        <v>1192</v>
      </c>
      <c r="P37" t="s">
        <v>1237</v>
      </c>
      <c r="Q37" t="s">
        <v>1275</v>
      </c>
      <c r="R37" t="s">
        <v>1304</v>
      </c>
      <c r="S37" s="8" t="s">
        <v>1322</v>
      </c>
      <c r="T37" s="8" t="s">
        <v>1322</v>
      </c>
    </row>
    <row r="38" spans="1:20">
      <c r="A38" t="s">
        <v>263</v>
      </c>
      <c r="B38" t="s">
        <v>88</v>
      </c>
      <c r="C38" t="s">
        <v>88</v>
      </c>
      <c r="D38" t="s">
        <v>88</v>
      </c>
      <c r="E38" t="s">
        <v>88</v>
      </c>
      <c r="F38" t="s">
        <v>833</v>
      </c>
      <c r="G38" t="s">
        <v>833</v>
      </c>
      <c r="H38" t="s">
        <v>833</v>
      </c>
      <c r="I38" t="s">
        <v>890</v>
      </c>
      <c r="J38" t="s">
        <v>992</v>
      </c>
      <c r="K38" t="s">
        <v>1084</v>
      </c>
      <c r="L38" t="s">
        <v>1049</v>
      </c>
      <c r="M38" s="8" t="s">
        <v>1132</v>
      </c>
      <c r="O38" t="s">
        <v>1178</v>
      </c>
      <c r="P38" t="s">
        <v>1238</v>
      </c>
      <c r="Q38" t="s">
        <v>1280</v>
      </c>
      <c r="R38" t="s">
        <v>1260</v>
      </c>
      <c r="S38" s="8" t="s">
        <v>1322</v>
      </c>
      <c r="T38" s="8" t="s">
        <v>1322</v>
      </c>
    </row>
    <row r="39" spans="1:20">
      <c r="A39" t="s">
        <v>264</v>
      </c>
      <c r="B39" t="s">
        <v>88</v>
      </c>
      <c r="C39" t="s">
        <v>88</v>
      </c>
      <c r="D39" t="s">
        <v>88</v>
      </c>
      <c r="E39" t="s">
        <v>88</v>
      </c>
      <c r="F39" t="s">
        <v>849</v>
      </c>
      <c r="G39" t="s">
        <v>833</v>
      </c>
      <c r="H39" t="s">
        <v>833</v>
      </c>
      <c r="I39" t="s">
        <v>890</v>
      </c>
      <c r="J39" t="s">
        <v>991</v>
      </c>
      <c r="K39" t="s">
        <v>1049</v>
      </c>
      <c r="L39" t="s">
        <v>1050</v>
      </c>
      <c r="M39" s="8" t="s">
        <v>1132</v>
      </c>
      <c r="O39" t="s">
        <v>1178</v>
      </c>
      <c r="P39" t="s">
        <v>1237</v>
      </c>
      <c r="Q39" t="s">
        <v>1256</v>
      </c>
      <c r="R39" t="s">
        <v>1256</v>
      </c>
      <c r="S39" s="8" t="s">
        <v>1322</v>
      </c>
      <c r="T39" s="8" t="s">
        <v>1322</v>
      </c>
    </row>
    <row r="40" spans="1:20">
      <c r="A40" t="s">
        <v>265</v>
      </c>
      <c r="B40" t="s">
        <v>88</v>
      </c>
      <c r="C40" t="s">
        <v>88</v>
      </c>
      <c r="D40" t="s">
        <v>88</v>
      </c>
      <c r="E40" t="s">
        <v>88</v>
      </c>
      <c r="F40" t="s">
        <v>833</v>
      </c>
      <c r="G40" t="s">
        <v>833</v>
      </c>
      <c r="H40" t="s">
        <v>833</v>
      </c>
      <c r="I40" t="s">
        <v>890</v>
      </c>
      <c r="J40" t="s">
        <v>992</v>
      </c>
      <c r="K40" t="s">
        <v>1049</v>
      </c>
      <c r="L40" t="s">
        <v>1082</v>
      </c>
      <c r="M40" s="8" t="s">
        <v>1132</v>
      </c>
      <c r="O40" t="s">
        <v>1178</v>
      </c>
      <c r="P40" t="s">
        <v>1238</v>
      </c>
      <c r="Q40" t="s">
        <v>1256</v>
      </c>
      <c r="R40" t="s">
        <v>1256</v>
      </c>
      <c r="S40" s="8" t="s">
        <v>1322</v>
      </c>
      <c r="T40" s="8" t="s">
        <v>1322</v>
      </c>
    </row>
    <row r="41" spans="1:20">
      <c r="A41" t="s">
        <v>266</v>
      </c>
      <c r="B41" t="s">
        <v>88</v>
      </c>
      <c r="C41" t="s">
        <v>88</v>
      </c>
      <c r="D41" t="s">
        <v>88</v>
      </c>
      <c r="E41" t="s">
        <v>88</v>
      </c>
      <c r="F41" t="s">
        <v>833</v>
      </c>
      <c r="G41" t="s">
        <v>849</v>
      </c>
      <c r="H41" t="s">
        <v>833</v>
      </c>
      <c r="I41" t="s">
        <v>890</v>
      </c>
      <c r="J41" t="s">
        <v>992</v>
      </c>
      <c r="K41" t="s">
        <v>1053</v>
      </c>
      <c r="L41" t="s">
        <v>1049</v>
      </c>
      <c r="M41" s="8" t="s">
        <v>1132</v>
      </c>
      <c r="O41" t="s">
        <v>1188</v>
      </c>
      <c r="P41" t="s">
        <v>1237</v>
      </c>
      <c r="Q41" t="s">
        <v>1256</v>
      </c>
      <c r="R41" t="s">
        <v>1260</v>
      </c>
      <c r="S41" s="8" t="s">
        <v>1322</v>
      </c>
      <c r="T41" s="8" t="s">
        <v>1322</v>
      </c>
    </row>
    <row r="42" spans="1:20">
      <c r="A42" t="s">
        <v>267</v>
      </c>
      <c r="B42" t="s">
        <v>88</v>
      </c>
      <c r="C42" t="s">
        <v>88</v>
      </c>
      <c r="D42" t="s">
        <v>88</v>
      </c>
      <c r="E42" t="s">
        <v>88</v>
      </c>
      <c r="F42" t="s">
        <v>833</v>
      </c>
      <c r="G42" t="s">
        <v>833</v>
      </c>
      <c r="H42" t="s">
        <v>833</v>
      </c>
      <c r="I42" t="s">
        <v>895</v>
      </c>
      <c r="J42" t="s">
        <v>1030</v>
      </c>
      <c r="K42" t="s">
        <v>1049</v>
      </c>
      <c r="L42" t="s">
        <v>1049</v>
      </c>
      <c r="M42" s="8" t="s">
        <v>1132</v>
      </c>
      <c r="O42" t="s">
        <v>1178</v>
      </c>
      <c r="P42" t="s">
        <v>1237</v>
      </c>
      <c r="Q42" t="s">
        <v>1256</v>
      </c>
      <c r="R42" t="s">
        <v>1277</v>
      </c>
      <c r="S42" s="8" t="s">
        <v>1322</v>
      </c>
      <c r="T42" s="8" t="s">
        <v>1322</v>
      </c>
    </row>
    <row r="43" spans="1:20">
      <c r="A43" t="s">
        <v>268</v>
      </c>
      <c r="B43" t="s">
        <v>88</v>
      </c>
      <c r="C43" t="s">
        <v>88</v>
      </c>
      <c r="D43" t="s">
        <v>88</v>
      </c>
      <c r="E43" t="s">
        <v>88</v>
      </c>
      <c r="F43" t="s">
        <v>833</v>
      </c>
      <c r="G43" t="s">
        <v>833</v>
      </c>
      <c r="H43" t="s">
        <v>833</v>
      </c>
      <c r="I43" t="s">
        <v>890</v>
      </c>
      <c r="J43" t="s">
        <v>1030</v>
      </c>
      <c r="K43" t="s">
        <v>1049</v>
      </c>
      <c r="L43" t="s">
        <v>1079</v>
      </c>
      <c r="M43" s="8" t="s">
        <v>930</v>
      </c>
      <c r="O43" t="s">
        <v>1190</v>
      </c>
      <c r="P43" t="s">
        <v>1245</v>
      </c>
      <c r="Q43" t="s">
        <v>1256</v>
      </c>
      <c r="R43" t="s">
        <v>1259</v>
      </c>
      <c r="S43" s="8" t="s">
        <v>1322</v>
      </c>
      <c r="T43" s="8" t="s">
        <v>1322</v>
      </c>
    </row>
    <row r="44" spans="1:20">
      <c r="A44" t="s">
        <v>269</v>
      </c>
      <c r="B44" t="s">
        <v>88</v>
      </c>
      <c r="C44" t="s">
        <v>88</v>
      </c>
      <c r="D44" t="s">
        <v>88</v>
      </c>
      <c r="E44" t="s">
        <v>88</v>
      </c>
      <c r="F44" t="s">
        <v>833</v>
      </c>
      <c r="G44" t="s">
        <v>833</v>
      </c>
      <c r="H44" t="s">
        <v>877</v>
      </c>
      <c r="I44" t="s">
        <v>893</v>
      </c>
      <c r="K44" t="s">
        <v>1049</v>
      </c>
      <c r="L44" t="s">
        <v>1049</v>
      </c>
      <c r="M44" s="8" t="s">
        <v>1132</v>
      </c>
      <c r="O44" t="s">
        <v>1178</v>
      </c>
      <c r="P44" t="s">
        <v>1237</v>
      </c>
      <c r="Q44" t="s">
        <v>1256</v>
      </c>
      <c r="R44" t="s">
        <v>1259</v>
      </c>
      <c r="S44" s="8" t="s">
        <v>1322</v>
      </c>
      <c r="T44" s="8" t="s">
        <v>1322</v>
      </c>
    </row>
    <row r="45" spans="1:20">
      <c r="A45" t="s">
        <v>270</v>
      </c>
      <c r="B45" t="s">
        <v>88</v>
      </c>
      <c r="C45" t="s">
        <v>88</v>
      </c>
      <c r="D45" t="s">
        <v>88</v>
      </c>
      <c r="E45" t="s">
        <v>88</v>
      </c>
      <c r="F45" t="s">
        <v>833</v>
      </c>
      <c r="G45" t="s">
        <v>833</v>
      </c>
      <c r="H45" t="s">
        <v>833</v>
      </c>
      <c r="I45" t="s">
        <v>890</v>
      </c>
      <c r="K45" t="s">
        <v>1052</v>
      </c>
      <c r="L45" t="s">
        <v>1050</v>
      </c>
      <c r="M45" s="8" t="s">
        <v>1132</v>
      </c>
      <c r="O45" t="s">
        <v>1179</v>
      </c>
      <c r="P45" t="s">
        <v>1237</v>
      </c>
      <c r="Q45" t="s">
        <v>1283</v>
      </c>
      <c r="R45" t="s">
        <v>1277</v>
      </c>
      <c r="S45" s="8" t="s">
        <v>1322</v>
      </c>
      <c r="T45" s="8" t="s">
        <v>1322</v>
      </c>
    </row>
    <row r="46" spans="1:20">
      <c r="A46" t="s">
        <v>271</v>
      </c>
      <c r="B46" t="s">
        <v>88</v>
      </c>
      <c r="C46" t="s">
        <v>88</v>
      </c>
      <c r="D46" t="s">
        <v>88</v>
      </c>
      <c r="E46" t="s">
        <v>88</v>
      </c>
      <c r="F46" t="s">
        <v>849</v>
      </c>
      <c r="G46" t="s">
        <v>833</v>
      </c>
      <c r="H46" t="s">
        <v>877</v>
      </c>
      <c r="I46" t="s">
        <v>890</v>
      </c>
      <c r="J46" t="s">
        <v>997</v>
      </c>
      <c r="K46" t="s">
        <v>1049</v>
      </c>
      <c r="L46" t="s">
        <v>1052</v>
      </c>
      <c r="M46" s="8" t="s">
        <v>930</v>
      </c>
      <c r="O46" t="s">
        <v>1189</v>
      </c>
      <c r="P46" t="s">
        <v>1237</v>
      </c>
      <c r="Q46" t="s">
        <v>1282</v>
      </c>
      <c r="R46" t="s">
        <v>1256</v>
      </c>
      <c r="S46" s="8" t="s">
        <v>1322</v>
      </c>
      <c r="T46" s="8" t="s">
        <v>1322</v>
      </c>
    </row>
    <row r="47" spans="1:20">
      <c r="A47" t="s">
        <v>272</v>
      </c>
      <c r="B47" t="s">
        <v>88</v>
      </c>
      <c r="C47" t="s">
        <v>88</v>
      </c>
      <c r="D47" t="s">
        <v>88</v>
      </c>
      <c r="E47" t="s">
        <v>88</v>
      </c>
      <c r="F47" t="s">
        <v>833</v>
      </c>
      <c r="G47" t="s">
        <v>833</v>
      </c>
      <c r="H47" t="s">
        <v>877</v>
      </c>
      <c r="I47" t="s">
        <v>894</v>
      </c>
      <c r="J47" t="s">
        <v>997</v>
      </c>
      <c r="K47" t="s">
        <v>1052</v>
      </c>
      <c r="L47" t="s">
        <v>1049</v>
      </c>
      <c r="M47" s="8" t="s">
        <v>1132</v>
      </c>
      <c r="O47" t="s">
        <v>1178</v>
      </c>
      <c r="P47" t="s">
        <v>1237</v>
      </c>
      <c r="Q47" t="s">
        <v>1256</v>
      </c>
      <c r="R47" t="s">
        <v>1259</v>
      </c>
      <c r="S47" s="8" t="s">
        <v>1322</v>
      </c>
      <c r="T47" s="8" t="s">
        <v>1322</v>
      </c>
    </row>
    <row r="48" spans="1:20">
      <c r="A48" t="s">
        <v>273</v>
      </c>
      <c r="B48" t="s">
        <v>88</v>
      </c>
      <c r="C48" t="s">
        <v>88</v>
      </c>
      <c r="D48" t="s">
        <v>88</v>
      </c>
      <c r="E48" t="s">
        <v>88</v>
      </c>
      <c r="F48" t="s">
        <v>833</v>
      </c>
      <c r="G48" t="s">
        <v>833</v>
      </c>
      <c r="H48" t="s">
        <v>878</v>
      </c>
      <c r="I48" t="s">
        <v>894</v>
      </c>
      <c r="J48" t="s">
        <v>992</v>
      </c>
      <c r="K48" t="s">
        <v>1052</v>
      </c>
      <c r="L48" t="s">
        <v>1052</v>
      </c>
      <c r="M48" s="8" t="s">
        <v>1132</v>
      </c>
      <c r="O48" t="s">
        <v>1179</v>
      </c>
      <c r="P48" t="s">
        <v>1237</v>
      </c>
      <c r="Q48" t="s">
        <v>1259</v>
      </c>
      <c r="R48" t="s">
        <v>1281</v>
      </c>
      <c r="S48" s="8" t="s">
        <v>1322</v>
      </c>
      <c r="T48" s="8" t="s">
        <v>1322</v>
      </c>
    </row>
    <row r="49" spans="1:20">
      <c r="A49" t="s">
        <v>274</v>
      </c>
      <c r="B49" t="s">
        <v>88</v>
      </c>
      <c r="C49" t="s">
        <v>88</v>
      </c>
      <c r="D49" t="s">
        <v>88</v>
      </c>
      <c r="E49" t="s">
        <v>88</v>
      </c>
      <c r="F49" t="s">
        <v>833</v>
      </c>
      <c r="G49" t="s">
        <v>833</v>
      </c>
      <c r="H49" t="s">
        <v>833</v>
      </c>
      <c r="I49" t="s">
        <v>890</v>
      </c>
      <c r="J49" t="s">
        <v>997</v>
      </c>
      <c r="K49" t="s">
        <v>1049</v>
      </c>
      <c r="L49" t="s">
        <v>1049</v>
      </c>
      <c r="M49" s="8" t="s">
        <v>1132</v>
      </c>
      <c r="O49" t="s">
        <v>1191</v>
      </c>
      <c r="P49" t="s">
        <v>1237</v>
      </c>
      <c r="Q49" t="s">
        <v>1256</v>
      </c>
      <c r="R49" t="s">
        <v>1259</v>
      </c>
      <c r="S49" s="8" t="s">
        <v>1322</v>
      </c>
      <c r="T49" s="8" t="s">
        <v>1322</v>
      </c>
    </row>
    <row r="50" spans="1:20">
      <c r="A50" t="s">
        <v>275</v>
      </c>
      <c r="B50" t="s">
        <v>88</v>
      </c>
      <c r="C50" t="s">
        <v>88</v>
      </c>
      <c r="D50" t="s">
        <v>88</v>
      </c>
      <c r="E50" t="s">
        <v>88</v>
      </c>
      <c r="F50" t="s">
        <v>833</v>
      </c>
      <c r="G50" t="s">
        <v>833</v>
      </c>
      <c r="H50" t="s">
        <v>877</v>
      </c>
      <c r="I50" t="s">
        <v>895</v>
      </c>
      <c r="J50" t="s">
        <v>994</v>
      </c>
      <c r="K50" t="s">
        <v>1085</v>
      </c>
      <c r="L50" t="s">
        <v>1049</v>
      </c>
      <c r="M50" s="8" t="s">
        <v>1132</v>
      </c>
      <c r="O50" t="s">
        <v>1178</v>
      </c>
      <c r="P50" t="s">
        <v>1240</v>
      </c>
      <c r="Q50" t="s">
        <v>1284</v>
      </c>
      <c r="R50" t="s">
        <v>1256</v>
      </c>
      <c r="S50" s="8" t="s">
        <v>1322</v>
      </c>
      <c r="T50" s="8" t="s">
        <v>1322</v>
      </c>
    </row>
    <row r="51" spans="1:20">
      <c r="A51" t="s">
        <v>276</v>
      </c>
      <c r="B51" t="s">
        <v>88</v>
      </c>
      <c r="C51" t="s">
        <v>88</v>
      </c>
      <c r="D51" t="s">
        <v>88</v>
      </c>
      <c r="E51" t="s">
        <v>88</v>
      </c>
      <c r="F51" t="s">
        <v>833</v>
      </c>
      <c r="G51" t="s">
        <v>833</v>
      </c>
      <c r="H51" t="s">
        <v>877</v>
      </c>
      <c r="I51" t="s">
        <v>890</v>
      </c>
      <c r="J51" t="s">
        <v>992</v>
      </c>
      <c r="K51" t="s">
        <v>1049</v>
      </c>
      <c r="L51" t="s">
        <v>1049</v>
      </c>
      <c r="M51" s="8" t="s">
        <v>1132</v>
      </c>
      <c r="O51" t="s">
        <v>1179</v>
      </c>
      <c r="P51" t="s">
        <v>1237</v>
      </c>
      <c r="Q51" t="s">
        <v>1256</v>
      </c>
      <c r="R51" t="s">
        <v>1256</v>
      </c>
      <c r="S51" s="8" t="s">
        <v>1322</v>
      </c>
      <c r="T51" s="8" t="s">
        <v>1322</v>
      </c>
    </row>
    <row r="52" spans="1:20">
      <c r="A52" t="s">
        <v>277</v>
      </c>
      <c r="B52" t="s">
        <v>88</v>
      </c>
      <c r="C52" t="s">
        <v>88</v>
      </c>
      <c r="D52" t="s">
        <v>88</v>
      </c>
      <c r="E52" t="s">
        <v>88</v>
      </c>
      <c r="F52" t="s">
        <v>833</v>
      </c>
      <c r="G52" t="s">
        <v>833</v>
      </c>
      <c r="H52" t="s">
        <v>833</v>
      </c>
      <c r="I52" t="s">
        <v>894</v>
      </c>
      <c r="J52" t="s">
        <v>1030</v>
      </c>
      <c r="K52" t="s">
        <v>1049</v>
      </c>
      <c r="L52" t="s">
        <v>1052</v>
      </c>
      <c r="M52" s="8" t="s">
        <v>1132</v>
      </c>
      <c r="O52" t="s">
        <v>1179</v>
      </c>
      <c r="P52" t="s">
        <v>1242</v>
      </c>
      <c r="Q52" t="s">
        <v>1259</v>
      </c>
      <c r="R52" t="s">
        <v>1256</v>
      </c>
      <c r="S52" s="8" t="s">
        <v>1322</v>
      </c>
      <c r="T52" s="8" t="s">
        <v>1322</v>
      </c>
    </row>
    <row r="53" spans="1:20">
      <c r="A53" t="s">
        <v>278</v>
      </c>
      <c r="B53" t="s">
        <v>88</v>
      </c>
      <c r="C53" t="s">
        <v>88</v>
      </c>
      <c r="D53" t="s">
        <v>88</v>
      </c>
      <c r="E53" t="s">
        <v>88</v>
      </c>
      <c r="F53" t="s">
        <v>833</v>
      </c>
      <c r="G53" t="s">
        <v>833</v>
      </c>
      <c r="H53" t="s">
        <v>833</v>
      </c>
      <c r="I53" t="s">
        <v>890</v>
      </c>
      <c r="J53" t="s">
        <v>997</v>
      </c>
      <c r="K53" t="s">
        <v>1049</v>
      </c>
      <c r="L53" t="s">
        <v>1049</v>
      </c>
      <c r="M53" s="8" t="s">
        <v>1132</v>
      </c>
      <c r="O53" t="s">
        <v>1178</v>
      </c>
      <c r="P53" t="s">
        <v>1237</v>
      </c>
      <c r="Q53" t="s">
        <v>1260</v>
      </c>
      <c r="R53" t="s">
        <v>1256</v>
      </c>
      <c r="S53" s="8" t="s">
        <v>1322</v>
      </c>
      <c r="T53" s="8" t="s">
        <v>1322</v>
      </c>
    </row>
    <row r="54" spans="1:20">
      <c r="A54" t="s">
        <v>279</v>
      </c>
      <c r="B54" t="s">
        <v>88</v>
      </c>
      <c r="C54" t="s">
        <v>88</v>
      </c>
      <c r="D54" t="s">
        <v>88</v>
      </c>
      <c r="E54" t="s">
        <v>88</v>
      </c>
      <c r="F54" t="s">
        <v>833</v>
      </c>
      <c r="G54" t="s">
        <v>833</v>
      </c>
      <c r="H54" t="s">
        <v>877</v>
      </c>
      <c r="I54" t="s">
        <v>914</v>
      </c>
      <c r="J54" t="s">
        <v>992</v>
      </c>
      <c r="K54" t="s">
        <v>1082</v>
      </c>
      <c r="L54" t="s">
        <v>1049</v>
      </c>
      <c r="M54" s="8" t="s">
        <v>1132</v>
      </c>
      <c r="O54" t="s">
        <v>1178</v>
      </c>
      <c r="P54" t="s">
        <v>1239</v>
      </c>
      <c r="Q54" t="s">
        <v>1283</v>
      </c>
      <c r="R54" t="s">
        <v>1281</v>
      </c>
      <c r="S54" s="8" t="s">
        <v>1322</v>
      </c>
      <c r="T54" s="8" t="s">
        <v>1322</v>
      </c>
    </row>
    <row r="55" spans="1:20">
      <c r="A55" t="s">
        <v>280</v>
      </c>
      <c r="B55" t="s">
        <v>88</v>
      </c>
      <c r="C55" t="s">
        <v>88</v>
      </c>
      <c r="D55" t="s">
        <v>88</v>
      </c>
      <c r="E55" t="s">
        <v>88</v>
      </c>
      <c r="F55" t="s">
        <v>833</v>
      </c>
      <c r="G55" t="s">
        <v>833</v>
      </c>
      <c r="H55" t="s">
        <v>877</v>
      </c>
      <c r="I55" t="s">
        <v>890</v>
      </c>
      <c r="J55" t="s">
        <v>997</v>
      </c>
      <c r="K55" t="s">
        <v>1049</v>
      </c>
      <c r="L55" t="s">
        <v>1081</v>
      </c>
      <c r="M55" s="8" t="s">
        <v>1132</v>
      </c>
      <c r="O55" t="s">
        <v>1178</v>
      </c>
      <c r="P55" t="s">
        <v>1248</v>
      </c>
      <c r="Q55" t="s">
        <v>1256</v>
      </c>
      <c r="R55" t="s">
        <v>1261</v>
      </c>
      <c r="S55" s="8" t="s">
        <v>1322</v>
      </c>
      <c r="T55" s="8" t="s">
        <v>1322</v>
      </c>
    </row>
    <row r="56" spans="1:20">
      <c r="A56" t="s">
        <v>281</v>
      </c>
      <c r="B56" t="s">
        <v>88</v>
      </c>
      <c r="C56" t="s">
        <v>88</v>
      </c>
      <c r="D56" t="s">
        <v>88</v>
      </c>
      <c r="E56" t="s">
        <v>88</v>
      </c>
      <c r="F56" t="s">
        <v>833</v>
      </c>
      <c r="G56" t="s">
        <v>833</v>
      </c>
      <c r="H56" t="s">
        <v>833</v>
      </c>
      <c r="I56" t="s">
        <v>890</v>
      </c>
      <c r="J56" t="s">
        <v>992</v>
      </c>
      <c r="K56" t="s">
        <v>1050</v>
      </c>
      <c r="L56" t="s">
        <v>1049</v>
      </c>
      <c r="M56" s="8" t="s">
        <v>930</v>
      </c>
      <c r="O56" t="s">
        <v>1178</v>
      </c>
      <c r="P56" t="s">
        <v>1237</v>
      </c>
      <c r="Q56" t="s">
        <v>1256</v>
      </c>
      <c r="R56" t="s">
        <v>1256</v>
      </c>
      <c r="S56" s="8" t="s">
        <v>1322</v>
      </c>
      <c r="T56" s="8" t="s">
        <v>1322</v>
      </c>
    </row>
    <row r="57" spans="1:20">
      <c r="A57" t="s">
        <v>282</v>
      </c>
      <c r="B57" t="s">
        <v>88</v>
      </c>
      <c r="C57" t="s">
        <v>88</v>
      </c>
      <c r="D57" t="s">
        <v>88</v>
      </c>
      <c r="E57" t="s">
        <v>88</v>
      </c>
      <c r="F57" t="s">
        <v>833</v>
      </c>
      <c r="G57" t="s">
        <v>833</v>
      </c>
      <c r="H57" t="s">
        <v>833</v>
      </c>
      <c r="I57" t="s">
        <v>915</v>
      </c>
      <c r="J57" t="s">
        <v>997</v>
      </c>
      <c r="K57" t="s">
        <v>1081</v>
      </c>
      <c r="L57" t="s">
        <v>1049</v>
      </c>
      <c r="M57" s="8" t="s">
        <v>930</v>
      </c>
      <c r="O57" t="s">
        <v>1178</v>
      </c>
      <c r="P57" t="s">
        <v>1237</v>
      </c>
      <c r="Q57" t="s">
        <v>1285</v>
      </c>
      <c r="R57" t="s">
        <v>1256</v>
      </c>
      <c r="S57" s="8" t="s">
        <v>1322</v>
      </c>
      <c r="T57" s="8" t="s">
        <v>1322</v>
      </c>
    </row>
    <row r="58" spans="1:20">
      <c r="A58" t="s">
        <v>283</v>
      </c>
      <c r="B58" t="s">
        <v>88</v>
      </c>
      <c r="C58" t="s">
        <v>88</v>
      </c>
      <c r="D58" t="s">
        <v>88</v>
      </c>
      <c r="E58" t="s">
        <v>88</v>
      </c>
      <c r="F58" t="s">
        <v>833</v>
      </c>
      <c r="G58" t="s">
        <v>833</v>
      </c>
      <c r="H58" t="s">
        <v>833</v>
      </c>
      <c r="I58" t="s">
        <v>906</v>
      </c>
      <c r="J58" t="s">
        <v>992</v>
      </c>
      <c r="K58" t="s">
        <v>1049</v>
      </c>
      <c r="L58" t="s">
        <v>1109</v>
      </c>
      <c r="M58" s="8" t="s">
        <v>1132</v>
      </c>
      <c r="O58" t="s">
        <v>1188</v>
      </c>
      <c r="P58" t="s">
        <v>1242</v>
      </c>
      <c r="Q58" t="s">
        <v>1259</v>
      </c>
      <c r="R58" t="s">
        <v>1282</v>
      </c>
      <c r="S58" s="8" t="s">
        <v>1322</v>
      </c>
      <c r="T58" s="8" t="s">
        <v>1322</v>
      </c>
    </row>
    <row r="59" spans="1:20">
      <c r="A59" t="s">
        <v>284</v>
      </c>
      <c r="B59" t="s">
        <v>88</v>
      </c>
      <c r="C59" t="s">
        <v>88</v>
      </c>
      <c r="D59" t="s">
        <v>88</v>
      </c>
      <c r="E59" t="s">
        <v>88</v>
      </c>
      <c r="F59" t="s">
        <v>833</v>
      </c>
      <c r="G59" t="s">
        <v>833</v>
      </c>
      <c r="H59" t="s">
        <v>833</v>
      </c>
      <c r="I59" t="s">
        <v>890</v>
      </c>
      <c r="J59" t="s">
        <v>997</v>
      </c>
      <c r="K59" t="s">
        <v>1081</v>
      </c>
      <c r="L59" t="s">
        <v>1049</v>
      </c>
      <c r="M59" s="8" t="s">
        <v>1132</v>
      </c>
      <c r="O59" t="s">
        <v>1189</v>
      </c>
      <c r="P59" t="s">
        <v>1247</v>
      </c>
      <c r="Q59" t="s">
        <v>1256</v>
      </c>
      <c r="R59" t="s">
        <v>1256</v>
      </c>
      <c r="S59" s="8" t="s">
        <v>1322</v>
      </c>
      <c r="T59" s="8" t="s">
        <v>1322</v>
      </c>
    </row>
    <row r="60" spans="1:20">
      <c r="A60" t="s">
        <v>285</v>
      </c>
      <c r="B60" t="s">
        <v>88</v>
      </c>
      <c r="C60" t="s">
        <v>88</v>
      </c>
      <c r="D60" t="s">
        <v>88</v>
      </c>
      <c r="E60" t="s">
        <v>88</v>
      </c>
      <c r="F60" t="s">
        <v>833</v>
      </c>
      <c r="G60" t="s">
        <v>833</v>
      </c>
      <c r="H60" t="s">
        <v>833</v>
      </c>
      <c r="I60" t="s">
        <v>890</v>
      </c>
      <c r="J60" t="s">
        <v>992</v>
      </c>
      <c r="K60" t="s">
        <v>1049</v>
      </c>
      <c r="L60" t="s">
        <v>1116</v>
      </c>
      <c r="M60" s="8" t="s">
        <v>1132</v>
      </c>
      <c r="O60" t="s">
        <v>1178</v>
      </c>
      <c r="P60" t="s">
        <v>1237</v>
      </c>
      <c r="Q60" t="s">
        <v>1259</v>
      </c>
      <c r="R60" t="s">
        <v>1256</v>
      </c>
      <c r="S60" s="8" t="s">
        <v>1322</v>
      </c>
      <c r="T60" s="8" t="s">
        <v>1322</v>
      </c>
    </row>
    <row r="61" spans="1:20">
      <c r="A61" t="s">
        <v>286</v>
      </c>
      <c r="B61" t="s">
        <v>88</v>
      </c>
      <c r="C61" t="s">
        <v>88</v>
      </c>
      <c r="D61" t="s">
        <v>88</v>
      </c>
      <c r="E61" t="s">
        <v>88</v>
      </c>
      <c r="F61" t="s">
        <v>833</v>
      </c>
      <c r="G61" t="s">
        <v>833</v>
      </c>
      <c r="H61" t="s">
        <v>833</v>
      </c>
      <c r="I61" t="s">
        <v>890</v>
      </c>
      <c r="J61" t="s">
        <v>992</v>
      </c>
      <c r="K61" t="s">
        <v>1050</v>
      </c>
      <c r="L61" t="s">
        <v>1116</v>
      </c>
      <c r="M61" s="8" t="s">
        <v>1132</v>
      </c>
      <c r="O61" t="s">
        <v>1179</v>
      </c>
      <c r="P61" t="s">
        <v>1249</v>
      </c>
      <c r="Q61" t="s">
        <v>1260</v>
      </c>
      <c r="R61" t="s">
        <v>1259</v>
      </c>
      <c r="S61" s="8" t="s">
        <v>1322</v>
      </c>
      <c r="T61" s="8" t="s">
        <v>1322</v>
      </c>
    </row>
    <row r="62" spans="1:20">
      <c r="A62" t="s">
        <v>287</v>
      </c>
      <c r="B62" t="s">
        <v>88</v>
      </c>
      <c r="C62" t="s">
        <v>88</v>
      </c>
      <c r="D62" t="s">
        <v>88</v>
      </c>
      <c r="E62" t="s">
        <v>88</v>
      </c>
      <c r="F62" t="s">
        <v>833</v>
      </c>
      <c r="G62" t="s">
        <v>833</v>
      </c>
      <c r="H62" t="s">
        <v>806</v>
      </c>
      <c r="I62" t="s">
        <v>895</v>
      </c>
      <c r="J62" t="s">
        <v>992</v>
      </c>
      <c r="K62" t="s">
        <v>1050</v>
      </c>
      <c r="L62" t="s">
        <v>1049</v>
      </c>
      <c r="M62" s="8" t="s">
        <v>1135</v>
      </c>
      <c r="O62" t="s">
        <v>1190</v>
      </c>
      <c r="P62" t="s">
        <v>1237</v>
      </c>
      <c r="Q62" t="s">
        <v>1256</v>
      </c>
      <c r="R62" t="s">
        <v>1261</v>
      </c>
      <c r="S62" s="8" t="s">
        <v>1322</v>
      </c>
      <c r="T62" s="8" t="s">
        <v>1322</v>
      </c>
    </row>
  </sheetData>
  <phoneticPr fontId="4" type="noConversion"/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4">
    <tabColor theme="4" tint="0.59999389629810485"/>
  </sheetPr>
  <dimension ref="A1:V231"/>
  <sheetViews>
    <sheetView workbookViewId="0">
      <selection activeCell="B13" sqref="B13"/>
    </sheetView>
  </sheetViews>
  <sheetFormatPr defaultRowHeight="15"/>
  <cols>
    <col min="1" max="1" width="48.42578125" bestFit="1" customWidth="1"/>
    <col min="2" max="2" width="20" customWidth="1"/>
    <col min="3" max="3" width="19.140625" customWidth="1"/>
    <col min="4" max="5" width="9.140625" customWidth="1"/>
    <col min="6" max="6" width="26.42578125" customWidth="1"/>
    <col min="7" max="7" width="19.7109375" customWidth="1"/>
    <col min="8" max="8" width="20" customWidth="1"/>
    <col min="9" max="11" width="9.140625" customWidth="1"/>
    <col min="12" max="12" width="10.85546875" customWidth="1"/>
    <col min="13" max="13" width="12.140625" customWidth="1"/>
    <col min="14" max="17" width="13" customWidth="1"/>
  </cols>
  <sheetData>
    <row r="1" spans="1:22">
      <c r="A1" s="6" t="s">
        <v>1</v>
      </c>
      <c r="B1" s="2" t="s">
        <v>704</v>
      </c>
      <c r="C1" s="2" t="s">
        <v>711</v>
      </c>
      <c r="D1" s="2" t="s">
        <v>710</v>
      </c>
      <c r="E1" s="2" t="s">
        <v>746</v>
      </c>
      <c r="F1" s="2" t="s">
        <v>699</v>
      </c>
      <c r="G1" s="2" t="s">
        <v>850</v>
      </c>
      <c r="H1" s="2" t="s">
        <v>880</v>
      </c>
      <c r="I1" t="s">
        <v>966</v>
      </c>
      <c r="J1" t="s">
        <v>990</v>
      </c>
      <c r="K1" s="2" t="s">
        <v>701</v>
      </c>
      <c r="L1" s="2" t="s">
        <v>1097</v>
      </c>
      <c r="M1" t="s">
        <v>1142</v>
      </c>
      <c r="N1" s="44" t="s">
        <v>1225</v>
      </c>
      <c r="O1" s="44" t="s">
        <v>1236</v>
      </c>
      <c r="P1" t="s">
        <v>1142</v>
      </c>
      <c r="Q1" t="s">
        <v>1305</v>
      </c>
      <c r="R1" s="44" t="s">
        <v>1169</v>
      </c>
      <c r="S1" s="44" t="s">
        <v>1331</v>
      </c>
    </row>
    <row r="2" spans="1:22">
      <c r="A2" s="14" t="s">
        <v>288</v>
      </c>
      <c r="B2" t="s">
        <v>716</v>
      </c>
      <c r="C2" t="s">
        <v>716</v>
      </c>
      <c r="D2" t="s">
        <v>696</v>
      </c>
      <c r="E2" t="s">
        <v>761</v>
      </c>
      <c r="F2" t="s">
        <v>89</v>
      </c>
      <c r="G2" t="s">
        <v>705</v>
      </c>
      <c r="H2" t="s">
        <v>881</v>
      </c>
      <c r="R2" t="s">
        <v>806</v>
      </c>
      <c r="V2" s="8" t="s">
        <v>938</v>
      </c>
    </row>
    <row r="3" spans="1:22">
      <c r="A3" s="14" t="s">
        <v>289</v>
      </c>
      <c r="B3" t="s">
        <v>696</v>
      </c>
      <c r="C3" t="s">
        <v>696</v>
      </c>
      <c r="D3" t="s">
        <v>762</v>
      </c>
      <c r="E3" t="s">
        <v>763</v>
      </c>
      <c r="F3" t="s">
        <v>89</v>
      </c>
      <c r="G3" t="s">
        <v>705</v>
      </c>
      <c r="H3" t="s">
        <v>881</v>
      </c>
      <c r="R3" t="s">
        <v>1324</v>
      </c>
      <c r="T3" t="s">
        <v>935</v>
      </c>
      <c r="U3">
        <v>230</v>
      </c>
    </row>
    <row r="4" spans="1:22">
      <c r="A4" t="s">
        <v>290</v>
      </c>
      <c r="B4" t="s">
        <v>88</v>
      </c>
      <c r="C4" t="s">
        <v>88</v>
      </c>
      <c r="D4" t="s">
        <v>88</v>
      </c>
      <c r="E4" t="s">
        <v>88</v>
      </c>
      <c r="F4" t="s">
        <v>88</v>
      </c>
      <c r="G4" t="s">
        <v>806</v>
      </c>
      <c r="H4" t="s">
        <v>833</v>
      </c>
      <c r="I4" t="s">
        <v>890</v>
      </c>
      <c r="J4" t="s">
        <v>992</v>
      </c>
      <c r="K4" t="s">
        <v>1073</v>
      </c>
      <c r="L4" t="s">
        <v>1052</v>
      </c>
      <c r="N4" t="s">
        <v>1178</v>
      </c>
      <c r="O4" t="s">
        <v>806</v>
      </c>
      <c r="P4" t="s">
        <v>1260</v>
      </c>
      <c r="Q4" t="s">
        <v>1260</v>
      </c>
      <c r="R4" t="s">
        <v>1322</v>
      </c>
      <c r="S4" t="s">
        <v>806</v>
      </c>
      <c r="T4" t="s">
        <v>936</v>
      </c>
      <c r="U4">
        <v>33</v>
      </c>
      <c r="V4">
        <f>U4/U3*100</f>
        <v>14.347826086956522</v>
      </c>
    </row>
    <row r="5" spans="1:22">
      <c r="A5" t="s">
        <v>789</v>
      </c>
      <c r="B5" t="s">
        <v>88</v>
      </c>
      <c r="C5" t="s">
        <v>88</v>
      </c>
      <c r="D5" t="s">
        <v>88</v>
      </c>
      <c r="E5" t="s">
        <v>88</v>
      </c>
      <c r="F5" t="s">
        <v>88</v>
      </c>
      <c r="G5" t="s">
        <v>833</v>
      </c>
      <c r="H5" t="s">
        <v>833</v>
      </c>
      <c r="I5" t="s">
        <v>890</v>
      </c>
      <c r="J5" t="s">
        <v>992</v>
      </c>
      <c r="K5" t="s">
        <v>1049</v>
      </c>
      <c r="L5" t="s">
        <v>1049</v>
      </c>
      <c r="N5" t="s">
        <v>1194</v>
      </c>
      <c r="O5" t="s">
        <v>1237</v>
      </c>
      <c r="P5" t="s">
        <v>1259</v>
      </c>
      <c r="Q5" t="s">
        <v>1306</v>
      </c>
      <c r="R5" t="s">
        <v>1322</v>
      </c>
      <c r="S5" t="s">
        <v>1322</v>
      </c>
      <c r="T5" t="s">
        <v>937</v>
      </c>
      <c r="U5">
        <f>U3-U4</f>
        <v>197</v>
      </c>
      <c r="V5">
        <f>100-V4</f>
        <v>85.652173913043484</v>
      </c>
    </row>
    <row r="6" spans="1:22">
      <c r="A6" s="14" t="s">
        <v>291</v>
      </c>
      <c r="B6" t="s">
        <v>733</v>
      </c>
      <c r="C6" t="s">
        <v>734</v>
      </c>
      <c r="D6" t="s">
        <v>748</v>
      </c>
      <c r="E6" t="s">
        <v>761</v>
      </c>
      <c r="F6" t="s">
        <v>837</v>
      </c>
      <c r="G6" t="s">
        <v>837</v>
      </c>
      <c r="H6" t="s">
        <v>881</v>
      </c>
    </row>
    <row r="7" spans="1:22">
      <c r="A7" t="s">
        <v>292</v>
      </c>
      <c r="B7" t="s">
        <v>88</v>
      </c>
      <c r="C7" t="s">
        <v>88</v>
      </c>
      <c r="D7" t="s">
        <v>88</v>
      </c>
      <c r="E7" t="s">
        <v>88</v>
      </c>
      <c r="F7" t="s">
        <v>833</v>
      </c>
      <c r="G7" t="s">
        <v>806</v>
      </c>
      <c r="H7" t="s">
        <v>833</v>
      </c>
      <c r="I7" t="s">
        <v>894</v>
      </c>
      <c r="J7" t="s">
        <v>1034</v>
      </c>
      <c r="K7" t="s">
        <v>1049</v>
      </c>
      <c r="L7" t="s">
        <v>1049</v>
      </c>
      <c r="N7" t="s">
        <v>1178</v>
      </c>
      <c r="O7" t="s">
        <v>1240</v>
      </c>
      <c r="P7" t="s">
        <v>1256</v>
      </c>
      <c r="Q7" t="s">
        <v>1256</v>
      </c>
      <c r="R7" t="s">
        <v>1324</v>
      </c>
      <c r="S7" t="s">
        <v>1322</v>
      </c>
    </row>
    <row r="8" spans="1:22">
      <c r="A8" t="s">
        <v>293</v>
      </c>
      <c r="B8" t="s">
        <v>88</v>
      </c>
      <c r="C8" t="s">
        <v>88</v>
      </c>
      <c r="D8" t="s">
        <v>88</v>
      </c>
      <c r="E8" t="s">
        <v>88</v>
      </c>
      <c r="F8" t="s">
        <v>833</v>
      </c>
      <c r="G8" t="s">
        <v>806</v>
      </c>
      <c r="H8" t="s">
        <v>833</v>
      </c>
      <c r="I8" t="s">
        <v>894</v>
      </c>
      <c r="J8" t="s">
        <v>992</v>
      </c>
      <c r="K8" t="s">
        <v>1052</v>
      </c>
      <c r="L8" t="s">
        <v>1049</v>
      </c>
      <c r="N8" t="s">
        <v>1178</v>
      </c>
      <c r="O8" t="s">
        <v>1237</v>
      </c>
      <c r="P8" t="s">
        <v>1256</v>
      </c>
      <c r="Q8" t="s">
        <v>1256</v>
      </c>
      <c r="R8" t="s">
        <v>1326</v>
      </c>
      <c r="S8" t="s">
        <v>1322</v>
      </c>
    </row>
    <row r="9" spans="1:22">
      <c r="A9" s="14" t="s">
        <v>294</v>
      </c>
      <c r="B9" t="s">
        <v>732</v>
      </c>
      <c r="C9" t="s">
        <v>734</v>
      </c>
      <c r="D9" t="s">
        <v>732</v>
      </c>
      <c r="E9" t="s">
        <v>763</v>
      </c>
      <c r="F9" t="s">
        <v>833</v>
      </c>
      <c r="G9" t="s">
        <v>851</v>
      </c>
      <c r="H9" t="s">
        <v>881</v>
      </c>
    </row>
    <row r="10" spans="1:22">
      <c r="A10" s="14" t="s">
        <v>295</v>
      </c>
      <c r="B10" t="s">
        <v>735</v>
      </c>
      <c r="C10" t="s">
        <v>736</v>
      </c>
      <c r="D10" t="s">
        <v>88</v>
      </c>
      <c r="E10" t="s">
        <v>763</v>
      </c>
      <c r="F10" t="s">
        <v>837</v>
      </c>
      <c r="G10" t="s">
        <v>837</v>
      </c>
      <c r="H10" t="s">
        <v>837</v>
      </c>
    </row>
    <row r="11" spans="1:22">
      <c r="A11" s="14" t="s">
        <v>296</v>
      </c>
      <c r="B11" t="s">
        <v>696</v>
      </c>
      <c r="C11" t="s">
        <v>88</v>
      </c>
      <c r="D11" t="s">
        <v>748</v>
      </c>
      <c r="E11" t="s">
        <v>763</v>
      </c>
      <c r="F11" t="s">
        <v>852</v>
      </c>
      <c r="G11" t="s">
        <v>837</v>
      </c>
      <c r="H11" t="s">
        <v>837</v>
      </c>
    </row>
    <row r="12" spans="1:22">
      <c r="A12" s="14" t="s">
        <v>297</v>
      </c>
      <c r="B12" t="s">
        <v>696</v>
      </c>
      <c r="C12" t="s">
        <v>731</v>
      </c>
      <c r="D12" t="s">
        <v>748</v>
      </c>
      <c r="E12" t="s">
        <v>764</v>
      </c>
      <c r="F12" t="s">
        <v>837</v>
      </c>
      <c r="G12" t="s">
        <v>837</v>
      </c>
      <c r="H12" t="s">
        <v>837</v>
      </c>
    </row>
    <row r="13" spans="1:22">
      <c r="A13" s="14" t="s">
        <v>298</v>
      </c>
      <c r="B13" t="s">
        <v>713</v>
      </c>
      <c r="C13" t="s">
        <v>737</v>
      </c>
      <c r="D13" t="s">
        <v>748</v>
      </c>
      <c r="E13" t="s">
        <v>763</v>
      </c>
      <c r="F13" t="s">
        <v>837</v>
      </c>
      <c r="G13" t="s">
        <v>837</v>
      </c>
      <c r="H13" t="s">
        <v>837</v>
      </c>
    </row>
    <row r="14" spans="1:22">
      <c r="A14" s="14" t="s">
        <v>299</v>
      </c>
      <c r="B14" t="s">
        <v>696</v>
      </c>
      <c r="C14" t="s">
        <v>736</v>
      </c>
      <c r="D14" t="s">
        <v>748</v>
      </c>
      <c r="E14" t="s">
        <v>763</v>
      </c>
      <c r="F14" t="s">
        <v>837</v>
      </c>
      <c r="G14" t="s">
        <v>837</v>
      </c>
      <c r="H14" t="s">
        <v>837</v>
      </c>
    </row>
    <row r="15" spans="1:22">
      <c r="A15" t="s">
        <v>300</v>
      </c>
      <c r="B15" t="s">
        <v>88</v>
      </c>
      <c r="C15" t="s">
        <v>88</v>
      </c>
      <c r="D15" t="s">
        <v>88</v>
      </c>
      <c r="E15" t="s">
        <v>88</v>
      </c>
      <c r="F15" t="s">
        <v>833</v>
      </c>
      <c r="G15" t="s">
        <v>833</v>
      </c>
      <c r="H15" t="s">
        <v>833</v>
      </c>
      <c r="I15" t="s">
        <v>908</v>
      </c>
      <c r="J15" t="s">
        <v>997</v>
      </c>
      <c r="K15" t="s">
        <v>1049</v>
      </c>
      <c r="L15" t="s">
        <v>1053</v>
      </c>
      <c r="N15" t="s">
        <v>1194</v>
      </c>
      <c r="O15" t="s">
        <v>1241</v>
      </c>
      <c r="P15" t="s">
        <v>1259</v>
      </c>
      <c r="Q15" t="s">
        <v>1256</v>
      </c>
      <c r="R15" t="s">
        <v>1322</v>
      </c>
      <c r="S15" t="s">
        <v>1322</v>
      </c>
    </row>
    <row r="16" spans="1:22">
      <c r="A16" s="14" t="s">
        <v>301</v>
      </c>
      <c r="B16" t="s">
        <v>716</v>
      </c>
      <c r="C16" t="s">
        <v>736</v>
      </c>
      <c r="D16" t="s">
        <v>88</v>
      </c>
      <c r="E16" t="s">
        <v>763</v>
      </c>
      <c r="F16" t="s">
        <v>837</v>
      </c>
      <c r="G16" t="s">
        <v>833</v>
      </c>
      <c r="H16" t="s">
        <v>837</v>
      </c>
    </row>
    <row r="17" spans="1:19">
      <c r="A17" s="14" t="s">
        <v>302</v>
      </c>
      <c r="B17" t="s">
        <v>713</v>
      </c>
      <c r="C17" t="s">
        <v>738</v>
      </c>
      <c r="D17" t="s">
        <v>748</v>
      </c>
      <c r="E17" t="s">
        <v>763</v>
      </c>
      <c r="F17" t="s">
        <v>837</v>
      </c>
      <c r="G17" t="s">
        <v>837</v>
      </c>
      <c r="H17" t="s">
        <v>837</v>
      </c>
    </row>
    <row r="18" spans="1:19">
      <c r="A18" s="14" t="s">
        <v>303</v>
      </c>
      <c r="B18" t="s">
        <v>713</v>
      </c>
      <c r="C18" t="s">
        <v>738</v>
      </c>
      <c r="D18" t="s">
        <v>88</v>
      </c>
      <c r="E18" t="s">
        <v>763</v>
      </c>
      <c r="F18" t="s">
        <v>837</v>
      </c>
      <c r="G18" t="s">
        <v>837</v>
      </c>
      <c r="H18" t="s">
        <v>837</v>
      </c>
    </row>
    <row r="19" spans="1:19">
      <c r="A19" s="14" t="s">
        <v>304</v>
      </c>
      <c r="B19" t="s">
        <v>696</v>
      </c>
      <c r="C19" t="s">
        <v>738</v>
      </c>
      <c r="D19" t="s">
        <v>88</v>
      </c>
      <c r="E19" t="s">
        <v>763</v>
      </c>
      <c r="F19" t="s">
        <v>837</v>
      </c>
      <c r="G19" t="s">
        <v>837</v>
      </c>
      <c r="H19" t="s">
        <v>837</v>
      </c>
    </row>
    <row r="20" spans="1:19">
      <c r="A20" s="14" t="s">
        <v>305</v>
      </c>
      <c r="B20" t="s">
        <v>696</v>
      </c>
      <c r="C20" t="s">
        <v>736</v>
      </c>
      <c r="D20" t="s">
        <v>88</v>
      </c>
      <c r="E20" t="s">
        <v>763</v>
      </c>
      <c r="F20" t="s">
        <v>837</v>
      </c>
      <c r="G20" t="s">
        <v>837</v>
      </c>
      <c r="H20" t="s">
        <v>837</v>
      </c>
    </row>
    <row r="21" spans="1:19">
      <c r="A21" s="14" t="s">
        <v>306</v>
      </c>
      <c r="B21" t="s">
        <v>716</v>
      </c>
      <c r="C21" t="s">
        <v>738</v>
      </c>
      <c r="D21" t="s">
        <v>88</v>
      </c>
      <c r="E21" t="s">
        <v>763</v>
      </c>
      <c r="F21" t="s">
        <v>837</v>
      </c>
      <c r="G21" t="s">
        <v>837</v>
      </c>
      <c r="H21" t="s">
        <v>705</v>
      </c>
    </row>
    <row r="22" spans="1:19">
      <c r="A22" s="14" t="s">
        <v>307</v>
      </c>
      <c r="B22" t="s">
        <v>713</v>
      </c>
      <c r="C22" t="s">
        <v>738</v>
      </c>
      <c r="D22" t="s">
        <v>88</v>
      </c>
      <c r="E22" t="s">
        <v>763</v>
      </c>
      <c r="F22" t="s">
        <v>837</v>
      </c>
      <c r="G22" t="s">
        <v>837</v>
      </c>
      <c r="H22" t="s">
        <v>705</v>
      </c>
    </row>
    <row r="23" spans="1:19">
      <c r="A23" s="42" t="s">
        <v>308</v>
      </c>
      <c r="B23" t="s">
        <v>735</v>
      </c>
      <c r="C23" t="s">
        <v>88</v>
      </c>
      <c r="D23" t="s">
        <v>765</v>
      </c>
      <c r="E23" t="s">
        <v>763</v>
      </c>
      <c r="F23" t="s">
        <v>851</v>
      </c>
      <c r="G23" t="s">
        <v>853</v>
      </c>
      <c r="H23" t="s">
        <v>732</v>
      </c>
    </row>
    <row r="24" spans="1:19">
      <c r="A24" s="42" t="s">
        <v>309</v>
      </c>
      <c r="B24" t="s">
        <v>88</v>
      </c>
      <c r="C24" t="s">
        <v>88</v>
      </c>
      <c r="D24" t="s">
        <v>748</v>
      </c>
      <c r="E24" t="s">
        <v>763</v>
      </c>
      <c r="F24" t="s">
        <v>851</v>
      </c>
      <c r="G24" t="s">
        <v>833</v>
      </c>
      <c r="H24" t="s">
        <v>705</v>
      </c>
    </row>
    <row r="25" spans="1:19">
      <c r="A25" s="42" t="s">
        <v>310</v>
      </c>
      <c r="B25" t="s">
        <v>733</v>
      </c>
      <c r="C25" t="s">
        <v>88</v>
      </c>
      <c r="D25" t="s">
        <v>748</v>
      </c>
      <c r="E25" t="s">
        <v>763</v>
      </c>
      <c r="F25" t="s">
        <v>853</v>
      </c>
      <c r="G25" t="s">
        <v>851</v>
      </c>
      <c r="H25" t="s">
        <v>837</v>
      </c>
    </row>
    <row r="26" spans="1:19">
      <c r="A26" s="14" t="s">
        <v>311</v>
      </c>
      <c r="B26" t="s">
        <v>713</v>
      </c>
      <c r="C26" t="s">
        <v>88</v>
      </c>
      <c r="D26" t="s">
        <v>748</v>
      </c>
      <c r="E26" t="s">
        <v>763</v>
      </c>
      <c r="F26" t="s">
        <v>837</v>
      </c>
      <c r="G26" t="s">
        <v>837</v>
      </c>
      <c r="H26" t="s">
        <v>705</v>
      </c>
    </row>
    <row r="27" spans="1:19">
      <c r="A27" s="14" t="s">
        <v>312</v>
      </c>
      <c r="B27" t="s">
        <v>733</v>
      </c>
      <c r="C27" t="s">
        <v>88</v>
      </c>
      <c r="D27" t="s">
        <v>748</v>
      </c>
      <c r="E27" t="s">
        <v>763</v>
      </c>
      <c r="F27" t="s">
        <v>851</v>
      </c>
      <c r="G27" t="s">
        <v>851</v>
      </c>
      <c r="H27" t="s">
        <v>851</v>
      </c>
    </row>
    <row r="28" spans="1:19">
      <c r="A28" s="14" t="s">
        <v>313</v>
      </c>
      <c r="B28" t="s">
        <v>733</v>
      </c>
      <c r="C28" t="s">
        <v>88</v>
      </c>
      <c r="D28" t="s">
        <v>748</v>
      </c>
      <c r="E28" t="s">
        <v>763</v>
      </c>
      <c r="F28" t="s">
        <v>851</v>
      </c>
      <c r="G28" t="s">
        <v>851</v>
      </c>
      <c r="H28" t="s">
        <v>851</v>
      </c>
    </row>
    <row r="29" spans="1:19">
      <c r="A29" s="14" t="s">
        <v>314</v>
      </c>
      <c r="B29" t="s">
        <v>713</v>
      </c>
      <c r="C29" t="s">
        <v>713</v>
      </c>
      <c r="D29" t="s">
        <v>748</v>
      </c>
      <c r="E29" t="s">
        <v>763</v>
      </c>
      <c r="F29" t="s">
        <v>837</v>
      </c>
      <c r="G29" t="s">
        <v>837</v>
      </c>
      <c r="H29" t="s">
        <v>837</v>
      </c>
    </row>
    <row r="30" spans="1:19">
      <c r="A30" s="14" t="s">
        <v>315</v>
      </c>
      <c r="B30" t="s">
        <v>88</v>
      </c>
      <c r="C30" t="s">
        <v>88</v>
      </c>
      <c r="D30" t="s">
        <v>88</v>
      </c>
      <c r="E30" t="s">
        <v>88</v>
      </c>
      <c r="F30" t="s">
        <v>833</v>
      </c>
      <c r="G30" t="s">
        <v>833</v>
      </c>
      <c r="H30" t="s">
        <v>833</v>
      </c>
      <c r="I30" t="s">
        <v>892</v>
      </c>
      <c r="J30" t="s">
        <v>992</v>
      </c>
      <c r="K30" t="s">
        <v>1082</v>
      </c>
      <c r="L30" t="s">
        <v>1079</v>
      </c>
      <c r="N30" t="s">
        <v>1179</v>
      </c>
      <c r="O30" t="s">
        <v>1239</v>
      </c>
      <c r="P30" t="s">
        <v>1256</v>
      </c>
      <c r="Q30" t="s">
        <v>1282</v>
      </c>
      <c r="R30" s="49" t="s">
        <v>1329</v>
      </c>
      <c r="S30" s="49"/>
    </row>
    <row r="31" spans="1:19">
      <c r="A31" s="14" t="s">
        <v>316</v>
      </c>
      <c r="B31" t="s">
        <v>733</v>
      </c>
      <c r="C31" t="s">
        <v>733</v>
      </c>
      <c r="D31" t="s">
        <v>765</v>
      </c>
      <c r="E31" t="s">
        <v>766</v>
      </c>
      <c r="F31" t="s">
        <v>851</v>
      </c>
      <c r="G31" t="s">
        <v>851</v>
      </c>
      <c r="H31" t="s">
        <v>851</v>
      </c>
    </row>
    <row r="32" spans="1:19">
      <c r="A32" s="14" t="s">
        <v>317</v>
      </c>
      <c r="B32" t="s">
        <v>88</v>
      </c>
      <c r="C32" t="s">
        <v>88</v>
      </c>
      <c r="D32" t="s">
        <v>748</v>
      </c>
      <c r="E32" t="s">
        <v>88</v>
      </c>
      <c r="F32" t="s">
        <v>837</v>
      </c>
      <c r="G32" t="s">
        <v>833</v>
      </c>
      <c r="H32" t="s">
        <v>833</v>
      </c>
    </row>
    <row r="33" spans="1:19">
      <c r="A33" s="14" t="s">
        <v>318</v>
      </c>
      <c r="B33" t="s">
        <v>713</v>
      </c>
      <c r="C33" t="s">
        <v>713</v>
      </c>
      <c r="D33" t="s">
        <v>748</v>
      </c>
      <c r="E33" t="s">
        <v>763</v>
      </c>
      <c r="F33" t="s">
        <v>837</v>
      </c>
      <c r="G33" t="s">
        <v>837</v>
      </c>
      <c r="H33" t="s">
        <v>837</v>
      </c>
    </row>
    <row r="34" spans="1:19">
      <c r="A34" t="s">
        <v>319</v>
      </c>
      <c r="B34" t="s">
        <v>88</v>
      </c>
      <c r="C34" t="s">
        <v>88</v>
      </c>
      <c r="D34" t="s">
        <v>88</v>
      </c>
      <c r="E34" t="s">
        <v>88</v>
      </c>
      <c r="F34" t="s">
        <v>833</v>
      </c>
      <c r="G34" t="s">
        <v>833</v>
      </c>
      <c r="H34" t="s">
        <v>833</v>
      </c>
      <c r="I34" t="s">
        <v>916</v>
      </c>
      <c r="J34" t="s">
        <v>997</v>
      </c>
      <c r="K34" t="s">
        <v>1086</v>
      </c>
      <c r="L34" t="s">
        <v>1049</v>
      </c>
      <c r="N34" t="s">
        <v>1178</v>
      </c>
      <c r="O34" t="s">
        <v>1250</v>
      </c>
      <c r="P34" t="s">
        <v>1286</v>
      </c>
      <c r="Q34" t="s">
        <v>1256</v>
      </c>
      <c r="R34" t="s">
        <v>1322</v>
      </c>
      <c r="S34" t="s">
        <v>1322</v>
      </c>
    </row>
    <row r="35" spans="1:19">
      <c r="A35" s="14" t="s">
        <v>320</v>
      </c>
      <c r="B35" t="s">
        <v>713</v>
      </c>
      <c r="C35" t="s">
        <v>713</v>
      </c>
      <c r="D35" t="s">
        <v>748</v>
      </c>
      <c r="E35" t="s">
        <v>763</v>
      </c>
      <c r="F35" t="s">
        <v>837</v>
      </c>
      <c r="G35" t="s">
        <v>837</v>
      </c>
      <c r="H35" t="s">
        <v>837</v>
      </c>
    </row>
    <row r="36" spans="1:19">
      <c r="A36" s="14" t="s">
        <v>321</v>
      </c>
      <c r="B36" t="s">
        <v>696</v>
      </c>
      <c r="C36" t="s">
        <v>713</v>
      </c>
      <c r="D36" t="s">
        <v>748</v>
      </c>
      <c r="E36" t="s">
        <v>763</v>
      </c>
      <c r="F36" t="s">
        <v>837</v>
      </c>
      <c r="G36" t="s">
        <v>837</v>
      </c>
      <c r="H36" t="s">
        <v>837</v>
      </c>
    </row>
    <row r="37" spans="1:19">
      <c r="A37" s="14" t="s">
        <v>322</v>
      </c>
      <c r="B37" t="s">
        <v>713</v>
      </c>
      <c r="C37" t="s">
        <v>713</v>
      </c>
      <c r="D37" t="s">
        <v>748</v>
      </c>
      <c r="E37" t="s">
        <v>763</v>
      </c>
      <c r="F37" t="s">
        <v>837</v>
      </c>
      <c r="G37" t="s">
        <v>837</v>
      </c>
      <c r="H37" t="s">
        <v>837</v>
      </c>
    </row>
    <row r="38" spans="1:19">
      <c r="A38" s="14" t="s">
        <v>790</v>
      </c>
      <c r="B38" t="s">
        <v>713</v>
      </c>
      <c r="C38" t="s">
        <v>713</v>
      </c>
      <c r="D38" t="s">
        <v>748</v>
      </c>
      <c r="E38" t="s">
        <v>763</v>
      </c>
      <c r="F38" t="s">
        <v>837</v>
      </c>
      <c r="G38" t="s">
        <v>837</v>
      </c>
      <c r="H38" t="s">
        <v>837</v>
      </c>
    </row>
    <row r="39" spans="1:19">
      <c r="A39" s="14" t="s">
        <v>323</v>
      </c>
      <c r="B39" t="s">
        <v>713</v>
      </c>
      <c r="C39" t="s">
        <v>713</v>
      </c>
      <c r="D39" t="s">
        <v>748</v>
      </c>
      <c r="E39" t="s">
        <v>763</v>
      </c>
      <c r="F39" t="s">
        <v>837</v>
      </c>
      <c r="G39" t="s">
        <v>837</v>
      </c>
      <c r="H39" t="s">
        <v>837</v>
      </c>
    </row>
    <row r="40" spans="1:19">
      <c r="A40" s="14" t="s">
        <v>324</v>
      </c>
      <c r="B40" t="s">
        <v>716</v>
      </c>
      <c r="C40" t="s">
        <v>713</v>
      </c>
      <c r="D40" t="s">
        <v>748</v>
      </c>
      <c r="E40" t="s">
        <v>763</v>
      </c>
      <c r="F40" t="s">
        <v>837</v>
      </c>
      <c r="G40" t="s">
        <v>837</v>
      </c>
      <c r="H40" t="s">
        <v>837</v>
      </c>
    </row>
    <row r="41" spans="1:19">
      <c r="A41" s="14" t="s">
        <v>325</v>
      </c>
      <c r="B41" t="s">
        <v>88</v>
      </c>
      <c r="C41" t="s">
        <v>88</v>
      </c>
      <c r="D41" t="s">
        <v>748</v>
      </c>
      <c r="E41" t="s">
        <v>763</v>
      </c>
      <c r="F41" t="s">
        <v>833</v>
      </c>
      <c r="G41" t="s">
        <v>833</v>
      </c>
      <c r="H41" t="s">
        <v>833</v>
      </c>
    </row>
    <row r="42" spans="1:19">
      <c r="A42" s="14" t="s">
        <v>326</v>
      </c>
      <c r="B42" t="s">
        <v>88</v>
      </c>
      <c r="C42" t="s">
        <v>88</v>
      </c>
      <c r="D42" t="s">
        <v>748</v>
      </c>
      <c r="E42" t="s">
        <v>763</v>
      </c>
      <c r="F42" t="s">
        <v>833</v>
      </c>
      <c r="G42" t="s">
        <v>833</v>
      </c>
      <c r="H42" t="s">
        <v>833</v>
      </c>
    </row>
    <row r="43" spans="1:19">
      <c r="A43" s="14" t="s">
        <v>791</v>
      </c>
      <c r="B43" t="s">
        <v>88</v>
      </c>
      <c r="C43" t="s">
        <v>88</v>
      </c>
      <c r="D43" t="s">
        <v>748</v>
      </c>
      <c r="E43" t="s">
        <v>763</v>
      </c>
      <c r="F43" t="s">
        <v>833</v>
      </c>
      <c r="G43" t="s">
        <v>833</v>
      </c>
      <c r="H43" t="s">
        <v>833</v>
      </c>
    </row>
    <row r="44" spans="1:19">
      <c r="A44" s="14" t="s">
        <v>792</v>
      </c>
      <c r="B44" t="s">
        <v>88</v>
      </c>
      <c r="C44" t="s">
        <v>88</v>
      </c>
      <c r="D44" t="s">
        <v>748</v>
      </c>
      <c r="E44" t="s">
        <v>763</v>
      </c>
      <c r="F44" t="s">
        <v>833</v>
      </c>
      <c r="G44" t="s">
        <v>854</v>
      </c>
      <c r="H44" t="s">
        <v>833</v>
      </c>
    </row>
    <row r="45" spans="1:19">
      <c r="A45" s="14" t="s">
        <v>327</v>
      </c>
      <c r="B45" t="s">
        <v>713</v>
      </c>
      <c r="C45" t="s">
        <v>713</v>
      </c>
      <c r="D45" t="s">
        <v>748</v>
      </c>
      <c r="E45" t="s">
        <v>763</v>
      </c>
      <c r="F45" t="s">
        <v>837</v>
      </c>
      <c r="G45" t="s">
        <v>837</v>
      </c>
      <c r="H45" t="s">
        <v>837</v>
      </c>
    </row>
    <row r="46" spans="1:19">
      <c r="A46" s="14" t="s">
        <v>328</v>
      </c>
      <c r="B46" t="s">
        <v>733</v>
      </c>
      <c r="C46" t="s">
        <v>88</v>
      </c>
      <c r="D46" t="s">
        <v>748</v>
      </c>
      <c r="E46" t="s">
        <v>763</v>
      </c>
      <c r="F46" t="s">
        <v>837</v>
      </c>
      <c r="G46" t="s">
        <v>837</v>
      </c>
      <c r="H46" t="s">
        <v>851</v>
      </c>
    </row>
    <row r="47" spans="1:19">
      <c r="A47" s="14" t="s">
        <v>329</v>
      </c>
      <c r="B47" t="s">
        <v>733</v>
      </c>
      <c r="C47" t="s">
        <v>88</v>
      </c>
      <c r="D47" t="s">
        <v>748</v>
      </c>
      <c r="E47" t="s">
        <v>763</v>
      </c>
      <c r="F47" t="s">
        <v>851</v>
      </c>
      <c r="G47" t="s">
        <v>851</v>
      </c>
      <c r="H47" t="s">
        <v>851</v>
      </c>
    </row>
    <row r="48" spans="1:19">
      <c r="A48" s="14" t="s">
        <v>330</v>
      </c>
      <c r="B48" t="s">
        <v>713</v>
      </c>
      <c r="C48" t="s">
        <v>713</v>
      </c>
      <c r="D48" t="s">
        <v>748</v>
      </c>
      <c r="E48" t="s">
        <v>763</v>
      </c>
      <c r="F48" t="s">
        <v>837</v>
      </c>
      <c r="G48" t="s">
        <v>837</v>
      </c>
      <c r="H48" t="s">
        <v>837</v>
      </c>
    </row>
    <row r="49" spans="1:19">
      <c r="A49" s="14" t="s">
        <v>331</v>
      </c>
      <c r="B49" t="s">
        <v>733</v>
      </c>
      <c r="C49" t="s">
        <v>88</v>
      </c>
      <c r="D49" t="s">
        <v>748</v>
      </c>
      <c r="E49" t="s">
        <v>763</v>
      </c>
      <c r="F49" t="s">
        <v>837</v>
      </c>
      <c r="G49" t="s">
        <v>851</v>
      </c>
      <c r="H49" t="s">
        <v>851</v>
      </c>
    </row>
    <row r="50" spans="1:19">
      <c r="A50" s="14" t="s">
        <v>332</v>
      </c>
      <c r="B50" t="s">
        <v>88</v>
      </c>
      <c r="C50" t="s">
        <v>88</v>
      </c>
      <c r="D50" t="s">
        <v>748</v>
      </c>
      <c r="E50" t="s">
        <v>763</v>
      </c>
      <c r="F50" t="s">
        <v>833</v>
      </c>
      <c r="G50" t="s">
        <v>833</v>
      </c>
      <c r="H50" t="s">
        <v>837</v>
      </c>
    </row>
    <row r="51" spans="1:19">
      <c r="A51" t="s">
        <v>333</v>
      </c>
      <c r="B51" t="s">
        <v>88</v>
      </c>
      <c r="C51" t="s">
        <v>88</v>
      </c>
      <c r="D51" t="s">
        <v>88</v>
      </c>
      <c r="E51" t="s">
        <v>88</v>
      </c>
      <c r="F51" t="s">
        <v>833</v>
      </c>
      <c r="G51" t="s">
        <v>833</v>
      </c>
      <c r="H51" t="s">
        <v>833</v>
      </c>
      <c r="I51" t="s">
        <v>898</v>
      </c>
      <c r="J51" t="s">
        <v>992</v>
      </c>
      <c r="K51" t="s">
        <v>1087</v>
      </c>
      <c r="L51" t="s">
        <v>1049</v>
      </c>
      <c r="N51" t="s">
        <v>1178</v>
      </c>
      <c r="O51" t="s">
        <v>1237</v>
      </c>
      <c r="P51" t="s">
        <v>1260</v>
      </c>
      <c r="Q51" t="s">
        <v>1307</v>
      </c>
      <c r="R51" t="s">
        <v>1322</v>
      </c>
      <c r="S51" t="s">
        <v>1322</v>
      </c>
    </row>
    <row r="52" spans="1:19">
      <c r="A52" s="14" t="s">
        <v>334</v>
      </c>
      <c r="B52" t="s">
        <v>713</v>
      </c>
      <c r="C52" t="s">
        <v>88</v>
      </c>
      <c r="D52" t="s">
        <v>748</v>
      </c>
      <c r="E52" t="s">
        <v>763</v>
      </c>
      <c r="F52" t="s">
        <v>837</v>
      </c>
      <c r="G52" t="s">
        <v>837</v>
      </c>
      <c r="H52" t="s">
        <v>837</v>
      </c>
    </row>
    <row r="53" spans="1:19">
      <c r="A53" s="14" t="s">
        <v>335</v>
      </c>
      <c r="B53" t="s">
        <v>733</v>
      </c>
      <c r="C53" t="s">
        <v>88</v>
      </c>
      <c r="D53" t="s">
        <v>748</v>
      </c>
      <c r="E53" t="s">
        <v>763</v>
      </c>
      <c r="F53" t="s">
        <v>837</v>
      </c>
      <c r="G53" t="s">
        <v>851</v>
      </c>
      <c r="H53" t="s">
        <v>837</v>
      </c>
    </row>
    <row r="54" spans="1:19">
      <c r="A54" s="14" t="s">
        <v>336</v>
      </c>
      <c r="B54" t="s">
        <v>733</v>
      </c>
      <c r="C54" t="s">
        <v>88</v>
      </c>
      <c r="D54" t="s">
        <v>762</v>
      </c>
      <c r="E54" t="s">
        <v>761</v>
      </c>
      <c r="F54" t="s">
        <v>837</v>
      </c>
      <c r="G54" t="s">
        <v>851</v>
      </c>
      <c r="H54" t="s">
        <v>851</v>
      </c>
    </row>
    <row r="55" spans="1:19">
      <c r="A55" s="14" t="s">
        <v>337</v>
      </c>
      <c r="B55" t="s">
        <v>713</v>
      </c>
      <c r="C55" t="s">
        <v>713</v>
      </c>
      <c r="D55" t="s">
        <v>696</v>
      </c>
      <c r="E55" t="s">
        <v>761</v>
      </c>
      <c r="F55" t="s">
        <v>837</v>
      </c>
      <c r="G55" t="s">
        <v>837</v>
      </c>
      <c r="H55" t="s">
        <v>837</v>
      </c>
    </row>
    <row r="56" spans="1:19">
      <c r="A56" s="14" t="s">
        <v>338</v>
      </c>
      <c r="B56" t="s">
        <v>696</v>
      </c>
      <c r="C56" t="s">
        <v>733</v>
      </c>
      <c r="D56" t="s">
        <v>696</v>
      </c>
      <c r="E56" t="s">
        <v>761</v>
      </c>
      <c r="F56" t="s">
        <v>851</v>
      </c>
      <c r="G56" t="s">
        <v>837</v>
      </c>
      <c r="H56" t="s">
        <v>837</v>
      </c>
    </row>
    <row r="57" spans="1:19">
      <c r="A57" t="s">
        <v>339</v>
      </c>
      <c r="B57" t="s">
        <v>88</v>
      </c>
      <c r="C57" t="s">
        <v>88</v>
      </c>
      <c r="D57" t="s">
        <v>88</v>
      </c>
      <c r="E57" t="s">
        <v>88</v>
      </c>
      <c r="F57" t="s">
        <v>833</v>
      </c>
      <c r="G57" t="s">
        <v>833</v>
      </c>
      <c r="H57" t="s">
        <v>833</v>
      </c>
      <c r="I57" t="s">
        <v>917</v>
      </c>
      <c r="J57" t="s">
        <v>1030</v>
      </c>
      <c r="K57" t="s">
        <v>1081</v>
      </c>
      <c r="L57" t="s">
        <v>1053</v>
      </c>
      <c r="N57" t="s">
        <v>1195</v>
      </c>
      <c r="O57" t="s">
        <v>1245</v>
      </c>
      <c r="P57" t="s">
        <v>1279</v>
      </c>
      <c r="Q57" t="s">
        <v>1308</v>
      </c>
      <c r="R57" t="s">
        <v>1322</v>
      </c>
      <c r="S57" t="s">
        <v>1322</v>
      </c>
    </row>
    <row r="58" spans="1:19">
      <c r="A58" t="s">
        <v>340</v>
      </c>
      <c r="B58" t="s">
        <v>88</v>
      </c>
      <c r="C58" t="s">
        <v>88</v>
      </c>
      <c r="D58" t="s">
        <v>88</v>
      </c>
      <c r="E58" t="s">
        <v>88</v>
      </c>
      <c r="F58" t="s">
        <v>833</v>
      </c>
      <c r="G58" t="s">
        <v>833</v>
      </c>
      <c r="H58" t="s">
        <v>833</v>
      </c>
      <c r="I58" t="s">
        <v>890</v>
      </c>
      <c r="J58" t="s">
        <v>992</v>
      </c>
      <c r="K58" t="s">
        <v>1049</v>
      </c>
      <c r="L58" t="s">
        <v>1049</v>
      </c>
      <c r="N58" t="s">
        <v>1196</v>
      </c>
      <c r="O58" t="s">
        <v>1245</v>
      </c>
      <c r="P58" t="s">
        <v>1256</v>
      </c>
      <c r="Q58" t="s">
        <v>1256</v>
      </c>
      <c r="R58" t="s">
        <v>1322</v>
      </c>
      <c r="S58" t="s">
        <v>1322</v>
      </c>
    </row>
    <row r="59" spans="1:19">
      <c r="A59" s="14" t="s">
        <v>341</v>
      </c>
      <c r="B59" t="s">
        <v>713</v>
      </c>
      <c r="C59" t="s">
        <v>713</v>
      </c>
      <c r="D59" t="s">
        <v>767</v>
      </c>
      <c r="E59" t="s">
        <v>763</v>
      </c>
      <c r="F59" t="s">
        <v>837</v>
      </c>
      <c r="G59" t="s">
        <v>837</v>
      </c>
      <c r="H59" t="s">
        <v>837</v>
      </c>
    </row>
    <row r="60" spans="1:19">
      <c r="A60" s="14" t="s">
        <v>342</v>
      </c>
      <c r="B60" t="s">
        <v>713</v>
      </c>
      <c r="C60" t="s">
        <v>713</v>
      </c>
      <c r="D60" t="s">
        <v>748</v>
      </c>
      <c r="E60" t="s">
        <v>763</v>
      </c>
      <c r="F60" t="s">
        <v>837</v>
      </c>
      <c r="G60" t="s">
        <v>837</v>
      </c>
      <c r="H60" t="s">
        <v>837</v>
      </c>
    </row>
    <row r="61" spans="1:19">
      <c r="A61" t="s">
        <v>343</v>
      </c>
      <c r="B61" t="s">
        <v>88</v>
      </c>
      <c r="C61" t="s">
        <v>88</v>
      </c>
      <c r="D61" t="s">
        <v>88</v>
      </c>
      <c r="E61" t="s">
        <v>88</v>
      </c>
      <c r="F61" t="s">
        <v>833</v>
      </c>
      <c r="G61" t="s">
        <v>833</v>
      </c>
      <c r="H61" t="s">
        <v>833</v>
      </c>
      <c r="I61" t="s">
        <v>890</v>
      </c>
      <c r="J61" t="s">
        <v>995</v>
      </c>
      <c r="K61" t="s">
        <v>1049</v>
      </c>
      <c r="L61" t="s">
        <v>1117</v>
      </c>
      <c r="N61" t="s">
        <v>1194</v>
      </c>
      <c r="O61" t="s">
        <v>1245</v>
      </c>
      <c r="P61" t="s">
        <v>1256</v>
      </c>
      <c r="Q61" t="s">
        <v>1259</v>
      </c>
      <c r="R61" t="s">
        <v>1322</v>
      </c>
      <c r="S61" t="s">
        <v>1322</v>
      </c>
    </row>
    <row r="62" spans="1:19">
      <c r="A62" s="14" t="s">
        <v>344</v>
      </c>
      <c r="B62" t="s">
        <v>88</v>
      </c>
      <c r="C62" t="s">
        <v>88</v>
      </c>
      <c r="D62" t="s">
        <v>88</v>
      </c>
      <c r="E62" t="s">
        <v>763</v>
      </c>
      <c r="F62" t="s">
        <v>833</v>
      </c>
      <c r="G62" t="s">
        <v>833</v>
      </c>
      <c r="H62" t="s">
        <v>833</v>
      </c>
    </row>
    <row r="63" spans="1:19">
      <c r="A63" s="14" t="s">
        <v>345</v>
      </c>
      <c r="B63" t="s">
        <v>88</v>
      </c>
      <c r="C63" t="s">
        <v>88</v>
      </c>
      <c r="D63" t="s">
        <v>88</v>
      </c>
      <c r="E63" t="s">
        <v>88</v>
      </c>
      <c r="F63" t="s">
        <v>833</v>
      </c>
      <c r="G63" t="s">
        <v>833</v>
      </c>
      <c r="H63" t="s">
        <v>833</v>
      </c>
      <c r="I63" t="s">
        <v>911</v>
      </c>
      <c r="J63" t="s">
        <v>1030</v>
      </c>
      <c r="K63" t="s">
        <v>1088</v>
      </c>
      <c r="L63" t="s">
        <v>1049</v>
      </c>
      <c r="N63" t="s">
        <v>1178</v>
      </c>
      <c r="O63" t="s">
        <v>1240</v>
      </c>
      <c r="P63" t="s">
        <v>1259</v>
      </c>
      <c r="Q63" t="s">
        <v>1256</v>
      </c>
      <c r="R63" s="49" t="s">
        <v>1329</v>
      </c>
      <c r="S63" s="49"/>
    </row>
    <row r="64" spans="1:19">
      <c r="A64" s="14" t="s">
        <v>346</v>
      </c>
      <c r="B64" t="s">
        <v>713</v>
      </c>
      <c r="C64" t="s">
        <v>713</v>
      </c>
      <c r="D64" t="s">
        <v>88</v>
      </c>
      <c r="E64" t="s">
        <v>88</v>
      </c>
      <c r="F64" t="s">
        <v>837</v>
      </c>
      <c r="G64" t="s">
        <v>837</v>
      </c>
      <c r="H64" t="s">
        <v>837</v>
      </c>
    </row>
    <row r="65" spans="1:19">
      <c r="A65" s="14" t="s">
        <v>347</v>
      </c>
      <c r="B65" t="s">
        <v>713</v>
      </c>
      <c r="C65" t="s">
        <v>88</v>
      </c>
      <c r="D65" t="s">
        <v>748</v>
      </c>
      <c r="E65" t="s">
        <v>763</v>
      </c>
      <c r="F65" t="s">
        <v>837</v>
      </c>
      <c r="G65" t="s">
        <v>837</v>
      </c>
      <c r="H65" t="s">
        <v>837</v>
      </c>
    </row>
    <row r="66" spans="1:19">
      <c r="A66" s="14" t="s">
        <v>348</v>
      </c>
      <c r="B66" t="s">
        <v>696</v>
      </c>
      <c r="C66" t="s">
        <v>713</v>
      </c>
      <c r="D66" t="s">
        <v>748</v>
      </c>
      <c r="E66" t="s">
        <v>768</v>
      </c>
      <c r="F66" t="s">
        <v>837</v>
      </c>
      <c r="G66" t="s">
        <v>837</v>
      </c>
      <c r="H66" t="s">
        <v>837</v>
      </c>
    </row>
    <row r="67" spans="1:19">
      <c r="A67" s="14" t="s">
        <v>349</v>
      </c>
      <c r="B67" t="s">
        <v>88</v>
      </c>
      <c r="C67" t="s">
        <v>696</v>
      </c>
      <c r="D67" t="s">
        <v>748</v>
      </c>
      <c r="E67" t="s">
        <v>768</v>
      </c>
      <c r="F67" t="s">
        <v>837</v>
      </c>
      <c r="G67" t="s">
        <v>837</v>
      </c>
      <c r="H67" t="s">
        <v>837</v>
      </c>
    </row>
    <row r="68" spans="1:19">
      <c r="A68" s="14" t="s">
        <v>350</v>
      </c>
      <c r="B68" t="s">
        <v>696</v>
      </c>
      <c r="C68" t="s">
        <v>713</v>
      </c>
      <c r="D68" t="s">
        <v>767</v>
      </c>
      <c r="E68" t="s">
        <v>768</v>
      </c>
      <c r="F68" t="s">
        <v>837</v>
      </c>
      <c r="G68" t="s">
        <v>837</v>
      </c>
      <c r="H68" t="s">
        <v>833</v>
      </c>
    </row>
    <row r="69" spans="1:19">
      <c r="A69" s="14" t="s">
        <v>351</v>
      </c>
      <c r="B69" t="s">
        <v>88</v>
      </c>
      <c r="C69" t="s">
        <v>713</v>
      </c>
      <c r="D69" t="s">
        <v>88</v>
      </c>
      <c r="E69" t="s">
        <v>768</v>
      </c>
      <c r="F69" t="s">
        <v>837</v>
      </c>
      <c r="G69" t="s">
        <v>837</v>
      </c>
      <c r="H69" t="s">
        <v>837</v>
      </c>
    </row>
    <row r="70" spans="1:19">
      <c r="A70" s="14" t="s">
        <v>352</v>
      </c>
      <c r="B70" t="s">
        <v>713</v>
      </c>
      <c r="C70" t="s">
        <v>88</v>
      </c>
      <c r="D70" t="s">
        <v>88</v>
      </c>
      <c r="E70" t="s">
        <v>88</v>
      </c>
      <c r="F70" t="s">
        <v>833</v>
      </c>
      <c r="G70" t="s">
        <v>833</v>
      </c>
      <c r="H70" t="s">
        <v>833</v>
      </c>
    </row>
    <row r="71" spans="1:19">
      <c r="A71" s="14" t="s">
        <v>353</v>
      </c>
      <c r="B71" t="s">
        <v>733</v>
      </c>
      <c r="C71" t="s">
        <v>88</v>
      </c>
      <c r="D71" t="s">
        <v>88</v>
      </c>
      <c r="E71" t="s">
        <v>88</v>
      </c>
      <c r="F71" t="s">
        <v>851</v>
      </c>
      <c r="G71" t="s">
        <v>851</v>
      </c>
      <c r="H71" t="s">
        <v>833</v>
      </c>
    </row>
    <row r="72" spans="1:19">
      <c r="A72" s="14" t="s">
        <v>354</v>
      </c>
      <c r="B72" t="s">
        <v>733</v>
      </c>
      <c r="C72" t="s">
        <v>88</v>
      </c>
      <c r="D72" t="s">
        <v>88</v>
      </c>
      <c r="E72" t="s">
        <v>88</v>
      </c>
      <c r="F72" t="s">
        <v>851</v>
      </c>
      <c r="G72" t="s">
        <v>851</v>
      </c>
      <c r="H72" t="s">
        <v>833</v>
      </c>
    </row>
    <row r="73" spans="1:19">
      <c r="A73" s="14" t="s">
        <v>355</v>
      </c>
      <c r="B73" t="s">
        <v>88</v>
      </c>
      <c r="C73" t="s">
        <v>88</v>
      </c>
      <c r="D73" t="s">
        <v>765</v>
      </c>
      <c r="E73" t="s">
        <v>766</v>
      </c>
      <c r="F73" t="s">
        <v>833</v>
      </c>
      <c r="G73" t="s">
        <v>833</v>
      </c>
      <c r="H73" t="s">
        <v>851</v>
      </c>
    </row>
    <row r="74" spans="1:19">
      <c r="A74" t="s">
        <v>356</v>
      </c>
      <c r="B74" t="s">
        <v>88</v>
      </c>
      <c r="C74" t="s">
        <v>88</v>
      </c>
      <c r="D74" t="s">
        <v>88</v>
      </c>
      <c r="E74" t="s">
        <v>88</v>
      </c>
      <c r="F74" t="s">
        <v>854</v>
      </c>
      <c r="G74" t="s">
        <v>854</v>
      </c>
      <c r="H74" t="s">
        <v>833</v>
      </c>
      <c r="I74" t="s">
        <v>895</v>
      </c>
      <c r="J74" t="s">
        <v>992</v>
      </c>
      <c r="K74" t="s">
        <v>1049</v>
      </c>
      <c r="L74" t="s">
        <v>1049</v>
      </c>
      <c r="N74" t="s">
        <v>1178</v>
      </c>
      <c r="O74" t="s">
        <v>1239</v>
      </c>
      <c r="P74" t="s">
        <v>1256</v>
      </c>
      <c r="Q74" t="s">
        <v>1303</v>
      </c>
      <c r="R74" t="s">
        <v>1322</v>
      </c>
      <c r="S74" t="s">
        <v>1322</v>
      </c>
    </row>
    <row r="75" spans="1:19">
      <c r="A75" t="s">
        <v>357</v>
      </c>
      <c r="B75" t="s">
        <v>88</v>
      </c>
      <c r="C75" t="s">
        <v>88</v>
      </c>
      <c r="D75" t="s">
        <v>88</v>
      </c>
      <c r="E75" t="s">
        <v>88</v>
      </c>
      <c r="F75" t="s">
        <v>833</v>
      </c>
      <c r="G75" t="s">
        <v>854</v>
      </c>
      <c r="H75" t="s">
        <v>833</v>
      </c>
      <c r="I75" t="s">
        <v>890</v>
      </c>
      <c r="J75" t="s">
        <v>1035</v>
      </c>
      <c r="K75" t="s">
        <v>1049</v>
      </c>
      <c r="L75" t="s">
        <v>1049</v>
      </c>
      <c r="N75" t="s">
        <v>1197</v>
      </c>
      <c r="O75" t="s">
        <v>1237</v>
      </c>
      <c r="P75" t="s">
        <v>1256</v>
      </c>
      <c r="Q75" t="s">
        <v>1256</v>
      </c>
      <c r="R75" t="s">
        <v>1322</v>
      </c>
      <c r="S75" t="s">
        <v>1322</v>
      </c>
    </row>
    <row r="76" spans="1:19">
      <c r="A76" s="14" t="s">
        <v>358</v>
      </c>
      <c r="B76" t="s">
        <v>713</v>
      </c>
      <c r="C76" t="s">
        <v>734</v>
      </c>
      <c r="D76" t="s">
        <v>767</v>
      </c>
      <c r="E76" t="s">
        <v>768</v>
      </c>
      <c r="F76" t="s">
        <v>705</v>
      </c>
      <c r="G76" t="s">
        <v>837</v>
      </c>
      <c r="H76" t="s">
        <v>837</v>
      </c>
    </row>
    <row r="77" spans="1:19">
      <c r="A77" s="14" t="s">
        <v>359</v>
      </c>
      <c r="B77" t="s">
        <v>713</v>
      </c>
      <c r="C77" t="s">
        <v>734</v>
      </c>
      <c r="D77" t="s">
        <v>748</v>
      </c>
      <c r="E77" t="s">
        <v>763</v>
      </c>
      <c r="F77" t="s">
        <v>852</v>
      </c>
      <c r="G77" t="s">
        <v>837</v>
      </c>
      <c r="H77" t="s">
        <v>837</v>
      </c>
    </row>
    <row r="78" spans="1:19">
      <c r="A78" s="14" t="s">
        <v>360</v>
      </c>
      <c r="B78" t="s">
        <v>713</v>
      </c>
      <c r="C78" t="s">
        <v>734</v>
      </c>
      <c r="D78" t="s">
        <v>748</v>
      </c>
      <c r="E78" t="s">
        <v>763</v>
      </c>
      <c r="F78" t="s">
        <v>837</v>
      </c>
      <c r="G78" t="s">
        <v>837</v>
      </c>
      <c r="H78" t="s">
        <v>837</v>
      </c>
    </row>
    <row r="79" spans="1:19">
      <c r="A79" s="14" t="s">
        <v>361</v>
      </c>
      <c r="B79" t="s">
        <v>713</v>
      </c>
      <c r="C79" t="s">
        <v>734</v>
      </c>
      <c r="D79" t="s">
        <v>748</v>
      </c>
      <c r="E79" t="s">
        <v>763</v>
      </c>
      <c r="F79" t="s">
        <v>837</v>
      </c>
      <c r="G79" t="s">
        <v>837</v>
      </c>
      <c r="H79" t="s">
        <v>837</v>
      </c>
    </row>
    <row r="80" spans="1:19">
      <c r="A80" s="14" t="s">
        <v>362</v>
      </c>
      <c r="B80" t="s">
        <v>713</v>
      </c>
      <c r="C80" t="s">
        <v>734</v>
      </c>
      <c r="D80" t="s">
        <v>748</v>
      </c>
      <c r="E80" t="s">
        <v>763</v>
      </c>
      <c r="F80" t="s">
        <v>837</v>
      </c>
      <c r="G80" t="s">
        <v>837</v>
      </c>
      <c r="H80" t="s">
        <v>837</v>
      </c>
    </row>
    <row r="81" spans="1:8">
      <c r="A81" s="14" t="s">
        <v>363</v>
      </c>
      <c r="B81" t="s">
        <v>713</v>
      </c>
      <c r="C81" t="s">
        <v>734</v>
      </c>
      <c r="D81" t="s">
        <v>748</v>
      </c>
      <c r="E81" t="s">
        <v>763</v>
      </c>
      <c r="F81" t="s">
        <v>837</v>
      </c>
      <c r="G81" t="s">
        <v>837</v>
      </c>
      <c r="H81" t="s">
        <v>837</v>
      </c>
    </row>
    <row r="82" spans="1:8">
      <c r="A82" s="14" t="s">
        <v>364</v>
      </c>
      <c r="B82" t="s">
        <v>713</v>
      </c>
      <c r="C82" t="s">
        <v>734</v>
      </c>
      <c r="D82" t="s">
        <v>748</v>
      </c>
      <c r="E82" t="s">
        <v>763</v>
      </c>
      <c r="F82" t="s">
        <v>852</v>
      </c>
      <c r="G82" t="s">
        <v>837</v>
      </c>
      <c r="H82" t="s">
        <v>837</v>
      </c>
    </row>
    <row r="83" spans="1:8">
      <c r="A83" s="14" t="s">
        <v>365</v>
      </c>
      <c r="B83" t="s">
        <v>713</v>
      </c>
      <c r="C83" t="s">
        <v>734</v>
      </c>
      <c r="D83" t="s">
        <v>748</v>
      </c>
      <c r="E83" t="s">
        <v>763</v>
      </c>
      <c r="F83" t="s">
        <v>837</v>
      </c>
      <c r="G83" t="s">
        <v>837</v>
      </c>
      <c r="H83" t="s">
        <v>837</v>
      </c>
    </row>
    <row r="84" spans="1:8">
      <c r="A84" s="14" t="s">
        <v>366</v>
      </c>
      <c r="B84" t="s">
        <v>713</v>
      </c>
      <c r="C84" t="s">
        <v>734</v>
      </c>
      <c r="D84" t="s">
        <v>748</v>
      </c>
      <c r="E84" t="s">
        <v>763</v>
      </c>
      <c r="F84" t="s">
        <v>837</v>
      </c>
      <c r="G84" t="s">
        <v>837</v>
      </c>
      <c r="H84" t="s">
        <v>837</v>
      </c>
    </row>
    <row r="85" spans="1:8">
      <c r="A85" s="14" t="s">
        <v>367</v>
      </c>
      <c r="B85" t="s">
        <v>713</v>
      </c>
      <c r="C85" t="s">
        <v>738</v>
      </c>
      <c r="D85" t="s">
        <v>748</v>
      </c>
      <c r="E85" t="s">
        <v>763</v>
      </c>
      <c r="F85" t="s">
        <v>837</v>
      </c>
      <c r="G85" t="s">
        <v>837</v>
      </c>
      <c r="H85" t="s">
        <v>837</v>
      </c>
    </row>
    <row r="86" spans="1:8">
      <c r="A86" s="14" t="s">
        <v>368</v>
      </c>
      <c r="B86" t="s">
        <v>88</v>
      </c>
      <c r="C86" t="s">
        <v>738</v>
      </c>
      <c r="D86" t="s">
        <v>748</v>
      </c>
      <c r="E86" t="s">
        <v>763</v>
      </c>
      <c r="F86" t="s">
        <v>852</v>
      </c>
      <c r="G86" t="s">
        <v>837</v>
      </c>
      <c r="H86" t="s">
        <v>837</v>
      </c>
    </row>
    <row r="87" spans="1:8">
      <c r="A87" s="14" t="s">
        <v>369</v>
      </c>
      <c r="B87" t="s">
        <v>88</v>
      </c>
      <c r="C87" t="s">
        <v>88</v>
      </c>
      <c r="D87" t="s">
        <v>748</v>
      </c>
      <c r="E87" t="s">
        <v>88</v>
      </c>
      <c r="F87" t="s">
        <v>837</v>
      </c>
      <c r="G87" t="s">
        <v>837</v>
      </c>
      <c r="H87" t="s">
        <v>833</v>
      </c>
    </row>
    <row r="88" spans="1:8">
      <c r="A88" s="14" t="s">
        <v>370</v>
      </c>
      <c r="B88" t="s">
        <v>713</v>
      </c>
      <c r="C88" t="s">
        <v>734</v>
      </c>
      <c r="D88" t="s">
        <v>748</v>
      </c>
      <c r="E88" t="s">
        <v>763</v>
      </c>
      <c r="F88" t="s">
        <v>837</v>
      </c>
      <c r="G88" t="s">
        <v>837</v>
      </c>
      <c r="H88" t="s">
        <v>837</v>
      </c>
    </row>
    <row r="89" spans="1:8">
      <c r="A89" s="14" t="s">
        <v>371</v>
      </c>
      <c r="B89" t="s">
        <v>713</v>
      </c>
      <c r="C89" t="s">
        <v>734</v>
      </c>
      <c r="D89" t="s">
        <v>748</v>
      </c>
      <c r="E89" t="s">
        <v>763</v>
      </c>
      <c r="F89" t="s">
        <v>837</v>
      </c>
      <c r="G89" t="s">
        <v>837</v>
      </c>
      <c r="H89" t="s">
        <v>837</v>
      </c>
    </row>
    <row r="90" spans="1:8">
      <c r="A90" s="14" t="s">
        <v>372</v>
      </c>
      <c r="B90" t="s">
        <v>713</v>
      </c>
      <c r="C90" t="s">
        <v>734</v>
      </c>
      <c r="D90" t="s">
        <v>748</v>
      </c>
      <c r="E90" t="s">
        <v>763</v>
      </c>
      <c r="F90" t="s">
        <v>837</v>
      </c>
      <c r="G90" t="s">
        <v>837</v>
      </c>
      <c r="H90" t="s">
        <v>837</v>
      </c>
    </row>
    <row r="91" spans="1:8">
      <c r="A91" s="14" t="s">
        <v>373</v>
      </c>
      <c r="B91" t="s">
        <v>713</v>
      </c>
      <c r="C91" t="s">
        <v>734</v>
      </c>
      <c r="D91" t="s">
        <v>748</v>
      </c>
      <c r="E91" t="s">
        <v>763</v>
      </c>
      <c r="F91" t="s">
        <v>852</v>
      </c>
      <c r="G91" t="s">
        <v>837</v>
      </c>
      <c r="H91" t="s">
        <v>837</v>
      </c>
    </row>
    <row r="92" spans="1:8">
      <c r="A92" s="14" t="s">
        <v>374</v>
      </c>
      <c r="B92" t="s">
        <v>88</v>
      </c>
      <c r="C92" t="s">
        <v>88</v>
      </c>
      <c r="D92" t="s">
        <v>748</v>
      </c>
      <c r="E92" t="s">
        <v>763</v>
      </c>
      <c r="F92" t="s">
        <v>833</v>
      </c>
      <c r="G92" t="s">
        <v>854</v>
      </c>
      <c r="H92" t="s">
        <v>837</v>
      </c>
    </row>
    <row r="93" spans="1:8">
      <c r="A93" s="14" t="s">
        <v>375</v>
      </c>
      <c r="B93" t="s">
        <v>713</v>
      </c>
      <c r="C93" t="s">
        <v>734</v>
      </c>
      <c r="D93" t="s">
        <v>748</v>
      </c>
      <c r="E93" t="s">
        <v>763</v>
      </c>
      <c r="F93" t="s">
        <v>837</v>
      </c>
      <c r="G93" t="s">
        <v>837</v>
      </c>
      <c r="H93" t="s">
        <v>837</v>
      </c>
    </row>
    <row r="94" spans="1:8">
      <c r="A94" s="14" t="s">
        <v>376</v>
      </c>
      <c r="B94" t="s">
        <v>713</v>
      </c>
      <c r="C94" t="s">
        <v>734</v>
      </c>
      <c r="D94" t="s">
        <v>748</v>
      </c>
      <c r="E94" t="s">
        <v>763</v>
      </c>
      <c r="F94" t="s">
        <v>837</v>
      </c>
      <c r="G94" t="s">
        <v>837</v>
      </c>
      <c r="H94" t="s">
        <v>837</v>
      </c>
    </row>
    <row r="95" spans="1:8">
      <c r="A95" s="14" t="s">
        <v>377</v>
      </c>
      <c r="B95" t="s">
        <v>713</v>
      </c>
      <c r="C95" t="s">
        <v>734</v>
      </c>
      <c r="D95" t="s">
        <v>748</v>
      </c>
      <c r="E95" t="s">
        <v>763</v>
      </c>
      <c r="F95" t="s">
        <v>837</v>
      </c>
      <c r="G95" t="s">
        <v>837</v>
      </c>
      <c r="H95" t="s">
        <v>837</v>
      </c>
    </row>
    <row r="96" spans="1:8">
      <c r="A96" s="14" t="s">
        <v>378</v>
      </c>
      <c r="B96" t="s">
        <v>713</v>
      </c>
      <c r="C96" t="s">
        <v>734</v>
      </c>
      <c r="D96" t="s">
        <v>748</v>
      </c>
      <c r="E96" t="s">
        <v>763</v>
      </c>
      <c r="F96" t="s">
        <v>837</v>
      </c>
      <c r="G96" t="s">
        <v>837</v>
      </c>
      <c r="H96" t="s">
        <v>837</v>
      </c>
    </row>
    <row r="97" spans="1:19">
      <c r="A97" t="s">
        <v>379</v>
      </c>
      <c r="B97" t="s">
        <v>88</v>
      </c>
      <c r="C97" t="s">
        <v>734</v>
      </c>
      <c r="D97" t="s">
        <v>88</v>
      </c>
      <c r="E97" t="s">
        <v>88</v>
      </c>
      <c r="F97" t="s">
        <v>833</v>
      </c>
      <c r="G97" t="s">
        <v>833</v>
      </c>
      <c r="H97" t="s">
        <v>833</v>
      </c>
      <c r="I97" t="s">
        <v>892</v>
      </c>
      <c r="J97" t="s">
        <v>1000</v>
      </c>
      <c r="K97" t="s">
        <v>1074</v>
      </c>
      <c r="L97" t="s">
        <v>1072</v>
      </c>
      <c r="N97" t="s">
        <v>1178</v>
      </c>
      <c r="O97" t="s">
        <v>1237</v>
      </c>
      <c r="P97" t="s">
        <v>1256</v>
      </c>
      <c r="Q97" t="s">
        <v>1256</v>
      </c>
      <c r="R97" t="s">
        <v>1322</v>
      </c>
      <c r="S97" t="s">
        <v>1322</v>
      </c>
    </row>
    <row r="98" spans="1:19">
      <c r="A98" s="14" t="s">
        <v>380</v>
      </c>
      <c r="B98" t="s">
        <v>88</v>
      </c>
      <c r="C98" t="s">
        <v>734</v>
      </c>
      <c r="D98" t="s">
        <v>748</v>
      </c>
      <c r="E98" t="s">
        <v>763</v>
      </c>
      <c r="F98" t="s">
        <v>833</v>
      </c>
      <c r="G98" t="s">
        <v>833</v>
      </c>
      <c r="H98" t="s">
        <v>837</v>
      </c>
    </row>
    <row r="99" spans="1:19">
      <c r="A99" s="14" t="s">
        <v>381</v>
      </c>
      <c r="B99" t="s">
        <v>733</v>
      </c>
      <c r="C99" t="s">
        <v>734</v>
      </c>
      <c r="D99" t="s">
        <v>88</v>
      </c>
      <c r="E99" t="s">
        <v>88</v>
      </c>
      <c r="F99" t="s">
        <v>833</v>
      </c>
      <c r="G99" t="s">
        <v>854</v>
      </c>
      <c r="H99" t="s">
        <v>833</v>
      </c>
    </row>
    <row r="100" spans="1:19">
      <c r="A100" t="s">
        <v>382</v>
      </c>
      <c r="B100" t="s">
        <v>88</v>
      </c>
      <c r="C100" t="s">
        <v>734</v>
      </c>
      <c r="D100" t="s">
        <v>88</v>
      </c>
      <c r="E100" t="s">
        <v>88</v>
      </c>
      <c r="F100" t="s">
        <v>833</v>
      </c>
      <c r="G100" t="s">
        <v>833</v>
      </c>
      <c r="H100" t="s">
        <v>833</v>
      </c>
      <c r="I100" t="s">
        <v>893</v>
      </c>
      <c r="J100" t="s">
        <v>997</v>
      </c>
      <c r="K100" t="s">
        <v>1089</v>
      </c>
      <c r="L100" t="s">
        <v>1116</v>
      </c>
      <c r="N100" t="s">
        <v>1178</v>
      </c>
      <c r="O100" t="s">
        <v>1237</v>
      </c>
      <c r="P100" t="s">
        <v>1256</v>
      </c>
      <c r="Q100" t="s">
        <v>1256</v>
      </c>
      <c r="R100" t="s">
        <v>1322</v>
      </c>
      <c r="S100" t="s">
        <v>1322</v>
      </c>
    </row>
    <row r="101" spans="1:19">
      <c r="A101" s="14" t="s">
        <v>383</v>
      </c>
      <c r="B101" t="s">
        <v>88</v>
      </c>
      <c r="C101" t="s">
        <v>734</v>
      </c>
      <c r="D101" t="s">
        <v>88</v>
      </c>
      <c r="E101" t="s">
        <v>88</v>
      </c>
      <c r="F101" t="s">
        <v>854</v>
      </c>
      <c r="G101" t="s">
        <v>833</v>
      </c>
      <c r="H101" t="s">
        <v>833</v>
      </c>
      <c r="I101" t="s">
        <v>918</v>
      </c>
    </row>
    <row r="102" spans="1:19">
      <c r="A102" s="14" t="s">
        <v>384</v>
      </c>
      <c r="B102" t="s">
        <v>713</v>
      </c>
      <c r="C102" t="s">
        <v>734</v>
      </c>
      <c r="D102" t="s">
        <v>88</v>
      </c>
      <c r="E102" t="s">
        <v>88</v>
      </c>
      <c r="F102" t="s">
        <v>837</v>
      </c>
      <c r="G102" t="s">
        <v>837</v>
      </c>
      <c r="H102" t="s">
        <v>837</v>
      </c>
    </row>
    <row r="103" spans="1:19">
      <c r="A103" s="14" t="s">
        <v>385</v>
      </c>
      <c r="B103" t="s">
        <v>713</v>
      </c>
      <c r="C103" t="s">
        <v>734</v>
      </c>
      <c r="D103" t="s">
        <v>748</v>
      </c>
      <c r="E103" t="s">
        <v>763</v>
      </c>
      <c r="F103" t="s">
        <v>833</v>
      </c>
      <c r="G103" t="s">
        <v>854</v>
      </c>
      <c r="H103" t="s">
        <v>837</v>
      </c>
    </row>
    <row r="104" spans="1:19">
      <c r="A104" s="14" t="s">
        <v>386</v>
      </c>
      <c r="B104" t="s">
        <v>88</v>
      </c>
      <c r="C104" t="s">
        <v>88</v>
      </c>
      <c r="D104" t="s">
        <v>748</v>
      </c>
      <c r="E104" t="s">
        <v>763</v>
      </c>
      <c r="F104" t="s">
        <v>833</v>
      </c>
      <c r="G104" t="s">
        <v>833</v>
      </c>
      <c r="H104" t="s">
        <v>837</v>
      </c>
    </row>
    <row r="105" spans="1:19">
      <c r="A105" s="14" t="s">
        <v>387</v>
      </c>
      <c r="B105" t="s">
        <v>88</v>
      </c>
      <c r="C105" t="s">
        <v>88</v>
      </c>
      <c r="D105" t="s">
        <v>748</v>
      </c>
      <c r="E105" t="s">
        <v>763</v>
      </c>
      <c r="F105" t="s">
        <v>833</v>
      </c>
      <c r="G105" t="s">
        <v>833</v>
      </c>
      <c r="H105" t="s">
        <v>837</v>
      </c>
    </row>
    <row r="106" spans="1:19">
      <c r="A106" s="14" t="s">
        <v>388</v>
      </c>
      <c r="B106" t="s">
        <v>88</v>
      </c>
      <c r="C106" t="s">
        <v>88</v>
      </c>
      <c r="D106" t="s">
        <v>748</v>
      </c>
      <c r="E106" t="s">
        <v>763</v>
      </c>
      <c r="F106" t="s">
        <v>833</v>
      </c>
      <c r="G106" t="s">
        <v>833</v>
      </c>
      <c r="H106" t="s">
        <v>837</v>
      </c>
    </row>
    <row r="107" spans="1:19">
      <c r="A107" s="14" t="s">
        <v>389</v>
      </c>
      <c r="B107" t="s">
        <v>713</v>
      </c>
      <c r="C107" t="s">
        <v>713</v>
      </c>
      <c r="D107" t="s">
        <v>748</v>
      </c>
      <c r="E107" t="s">
        <v>763</v>
      </c>
      <c r="F107" t="s">
        <v>837</v>
      </c>
      <c r="G107" t="s">
        <v>837</v>
      </c>
      <c r="H107" t="s">
        <v>837</v>
      </c>
    </row>
    <row r="108" spans="1:19">
      <c r="A108" t="s">
        <v>390</v>
      </c>
      <c r="B108" t="s">
        <v>88</v>
      </c>
      <c r="C108" t="s">
        <v>88</v>
      </c>
      <c r="D108" t="s">
        <v>88</v>
      </c>
      <c r="E108" t="s">
        <v>88</v>
      </c>
      <c r="F108" t="s">
        <v>833</v>
      </c>
      <c r="G108" t="s">
        <v>833</v>
      </c>
      <c r="H108" t="s">
        <v>833</v>
      </c>
      <c r="I108" t="s">
        <v>890</v>
      </c>
      <c r="J108" t="s">
        <v>992</v>
      </c>
      <c r="K108" t="s">
        <v>1090</v>
      </c>
      <c r="L108" t="s">
        <v>1049</v>
      </c>
      <c r="N108" t="s">
        <v>1188</v>
      </c>
      <c r="O108" t="s">
        <v>1237</v>
      </c>
      <c r="P108" t="s">
        <v>1287</v>
      </c>
      <c r="Q108" t="s">
        <v>1256</v>
      </c>
      <c r="R108" t="s">
        <v>1322</v>
      </c>
      <c r="S108" t="s">
        <v>1326</v>
      </c>
    </row>
    <row r="109" spans="1:19">
      <c r="A109" t="s">
        <v>391</v>
      </c>
      <c r="B109" t="s">
        <v>88</v>
      </c>
      <c r="C109" t="s">
        <v>88</v>
      </c>
      <c r="D109" t="s">
        <v>88</v>
      </c>
      <c r="E109" t="s">
        <v>88</v>
      </c>
      <c r="F109" t="s">
        <v>833</v>
      </c>
      <c r="G109" t="s">
        <v>833</v>
      </c>
      <c r="H109" t="s">
        <v>833</v>
      </c>
      <c r="I109" t="s">
        <v>890</v>
      </c>
      <c r="J109" t="s">
        <v>994</v>
      </c>
      <c r="K109" t="s">
        <v>1074</v>
      </c>
      <c r="L109" t="s">
        <v>1050</v>
      </c>
      <c r="N109" t="s">
        <v>1184</v>
      </c>
      <c r="O109" t="s">
        <v>1245</v>
      </c>
      <c r="P109" t="s">
        <v>1288</v>
      </c>
      <c r="Q109" t="s">
        <v>1256</v>
      </c>
      <c r="R109" t="s">
        <v>1322</v>
      </c>
      <c r="S109" t="s">
        <v>1322</v>
      </c>
    </row>
    <row r="110" spans="1:19">
      <c r="A110" t="s">
        <v>392</v>
      </c>
      <c r="B110" t="s">
        <v>88</v>
      </c>
      <c r="C110" t="s">
        <v>88</v>
      </c>
      <c r="D110" t="s">
        <v>88</v>
      </c>
      <c r="E110" t="s">
        <v>88</v>
      </c>
      <c r="F110" t="s">
        <v>833</v>
      </c>
      <c r="G110" t="s">
        <v>833</v>
      </c>
      <c r="H110" t="s">
        <v>833</v>
      </c>
      <c r="I110" t="s">
        <v>894</v>
      </c>
      <c r="J110" t="s">
        <v>1008</v>
      </c>
      <c r="K110" t="s">
        <v>1053</v>
      </c>
      <c r="L110" t="s">
        <v>1052</v>
      </c>
      <c r="N110" t="s">
        <v>1178</v>
      </c>
      <c r="O110" t="s">
        <v>1241</v>
      </c>
      <c r="P110" t="s">
        <v>1256</v>
      </c>
      <c r="Q110" t="s">
        <v>1256</v>
      </c>
      <c r="R110" t="s">
        <v>1322</v>
      </c>
      <c r="S110" t="s">
        <v>1322</v>
      </c>
    </row>
    <row r="111" spans="1:19">
      <c r="A111" t="s">
        <v>393</v>
      </c>
      <c r="B111" t="s">
        <v>88</v>
      </c>
      <c r="C111" t="s">
        <v>88</v>
      </c>
      <c r="D111" t="s">
        <v>88</v>
      </c>
      <c r="E111" t="s">
        <v>88</v>
      </c>
      <c r="F111" t="s">
        <v>833</v>
      </c>
      <c r="G111" t="s">
        <v>833</v>
      </c>
      <c r="H111" t="s">
        <v>833</v>
      </c>
      <c r="I111" t="s">
        <v>890</v>
      </c>
      <c r="J111" t="s">
        <v>992</v>
      </c>
      <c r="K111" t="s">
        <v>1053</v>
      </c>
      <c r="L111" t="s">
        <v>1050</v>
      </c>
      <c r="N111" t="s">
        <v>1178</v>
      </c>
      <c r="O111" t="s">
        <v>1237</v>
      </c>
      <c r="P111" t="s">
        <v>1256</v>
      </c>
      <c r="Q111" t="s">
        <v>1256</v>
      </c>
      <c r="R111" t="s">
        <v>1322</v>
      </c>
      <c r="S111" t="s">
        <v>1322</v>
      </c>
    </row>
    <row r="112" spans="1:19">
      <c r="A112" s="14" t="s">
        <v>394</v>
      </c>
      <c r="B112" t="s">
        <v>88</v>
      </c>
      <c r="C112" t="s">
        <v>713</v>
      </c>
      <c r="D112" t="s">
        <v>748</v>
      </c>
      <c r="E112" t="s">
        <v>763</v>
      </c>
      <c r="F112" t="s">
        <v>837</v>
      </c>
      <c r="G112" t="s">
        <v>837</v>
      </c>
      <c r="H112" t="s">
        <v>837</v>
      </c>
    </row>
    <row r="113" spans="1:19">
      <c r="A113" s="14" t="s">
        <v>395</v>
      </c>
      <c r="C113" t="s">
        <v>713</v>
      </c>
      <c r="D113" t="s">
        <v>748</v>
      </c>
      <c r="E113" t="s">
        <v>749</v>
      </c>
      <c r="F113" t="s">
        <v>837</v>
      </c>
      <c r="G113" t="s">
        <v>837</v>
      </c>
      <c r="H113" t="s">
        <v>837</v>
      </c>
    </row>
    <row r="114" spans="1:19">
      <c r="A114" s="14" t="s">
        <v>396</v>
      </c>
      <c r="B114" t="s">
        <v>713</v>
      </c>
      <c r="C114" t="s">
        <v>88</v>
      </c>
      <c r="D114" t="s">
        <v>748</v>
      </c>
      <c r="E114" t="s">
        <v>749</v>
      </c>
      <c r="F114" t="s">
        <v>837</v>
      </c>
      <c r="G114" t="s">
        <v>837</v>
      </c>
      <c r="H114" t="s">
        <v>837</v>
      </c>
    </row>
    <row r="115" spans="1:19">
      <c r="A115" s="14" t="s">
        <v>397</v>
      </c>
      <c r="B115" t="s">
        <v>713</v>
      </c>
      <c r="C115" t="s">
        <v>88</v>
      </c>
      <c r="D115" t="s">
        <v>88</v>
      </c>
      <c r="E115" t="s">
        <v>749</v>
      </c>
      <c r="F115" t="s">
        <v>833</v>
      </c>
      <c r="G115" t="s">
        <v>833</v>
      </c>
      <c r="H115" t="s">
        <v>833</v>
      </c>
    </row>
    <row r="116" spans="1:19">
      <c r="A116" t="s">
        <v>398</v>
      </c>
      <c r="B116" t="s">
        <v>88</v>
      </c>
      <c r="C116" t="s">
        <v>88</v>
      </c>
      <c r="D116" t="s">
        <v>88</v>
      </c>
      <c r="E116" t="s">
        <v>88</v>
      </c>
      <c r="F116" t="s">
        <v>833</v>
      </c>
      <c r="G116" t="s">
        <v>833</v>
      </c>
      <c r="H116" t="s">
        <v>833</v>
      </c>
      <c r="I116" t="s">
        <v>890</v>
      </c>
      <c r="J116" t="s">
        <v>1030</v>
      </c>
      <c r="K116" t="s">
        <v>1072</v>
      </c>
      <c r="L116" t="s">
        <v>1053</v>
      </c>
      <c r="N116" t="s">
        <v>1191</v>
      </c>
      <c r="O116" t="s">
        <v>1237</v>
      </c>
      <c r="P116" t="s">
        <v>1259</v>
      </c>
      <c r="Q116" t="s">
        <v>1256</v>
      </c>
      <c r="R116" t="s">
        <v>1322</v>
      </c>
      <c r="S116" t="s">
        <v>1322</v>
      </c>
    </row>
    <row r="117" spans="1:19">
      <c r="A117" t="s">
        <v>399</v>
      </c>
      <c r="B117" t="s">
        <v>88</v>
      </c>
      <c r="C117" t="s">
        <v>88</v>
      </c>
      <c r="D117" t="s">
        <v>88</v>
      </c>
      <c r="E117" t="s">
        <v>88</v>
      </c>
      <c r="F117" t="s">
        <v>833</v>
      </c>
      <c r="G117" t="s">
        <v>833</v>
      </c>
      <c r="H117" t="s">
        <v>833</v>
      </c>
      <c r="I117" t="s">
        <v>919</v>
      </c>
      <c r="J117" t="s">
        <v>994</v>
      </c>
      <c r="K117" t="s">
        <v>1052</v>
      </c>
      <c r="L117" t="s">
        <v>1049</v>
      </c>
      <c r="N117" t="s">
        <v>1195</v>
      </c>
      <c r="O117" t="s">
        <v>1251</v>
      </c>
      <c r="P117" t="s">
        <v>1256</v>
      </c>
      <c r="Q117" t="s">
        <v>1256</v>
      </c>
      <c r="R117" t="s">
        <v>1322</v>
      </c>
      <c r="S117" t="s">
        <v>1326</v>
      </c>
    </row>
    <row r="118" spans="1:19">
      <c r="A118" t="s">
        <v>400</v>
      </c>
      <c r="B118" t="s">
        <v>88</v>
      </c>
      <c r="C118" t="s">
        <v>88</v>
      </c>
      <c r="D118" t="s">
        <v>88</v>
      </c>
      <c r="E118" t="s">
        <v>88</v>
      </c>
      <c r="F118" t="s">
        <v>833</v>
      </c>
      <c r="G118" t="s">
        <v>833</v>
      </c>
      <c r="H118" t="s">
        <v>833</v>
      </c>
      <c r="I118" t="s">
        <v>890</v>
      </c>
      <c r="J118" t="s">
        <v>1030</v>
      </c>
      <c r="K118" t="s">
        <v>1049</v>
      </c>
      <c r="L118" t="s">
        <v>1049</v>
      </c>
      <c r="N118" t="s">
        <v>1198</v>
      </c>
      <c r="O118" t="s">
        <v>1237</v>
      </c>
      <c r="P118" t="s">
        <v>1259</v>
      </c>
      <c r="Q118" t="s">
        <v>1256</v>
      </c>
      <c r="R118" t="s">
        <v>1326</v>
      </c>
      <c r="S118" t="s">
        <v>1322</v>
      </c>
    </row>
    <row r="119" spans="1:19">
      <c r="A119" t="s">
        <v>401</v>
      </c>
      <c r="B119" t="s">
        <v>88</v>
      </c>
      <c r="C119" t="s">
        <v>88</v>
      </c>
      <c r="D119" t="s">
        <v>88</v>
      </c>
      <c r="E119" t="s">
        <v>88</v>
      </c>
      <c r="F119" t="s">
        <v>833</v>
      </c>
      <c r="G119" t="s">
        <v>833</v>
      </c>
      <c r="H119" t="s">
        <v>833</v>
      </c>
      <c r="I119" t="s">
        <v>896</v>
      </c>
      <c r="J119" t="s">
        <v>1030</v>
      </c>
      <c r="K119" t="s">
        <v>1053</v>
      </c>
      <c r="L119" t="s">
        <v>1049</v>
      </c>
      <c r="N119" t="s">
        <v>1179</v>
      </c>
      <c r="O119" t="s">
        <v>1250</v>
      </c>
      <c r="P119" t="s">
        <v>1256</v>
      </c>
      <c r="Q119" t="s">
        <v>1275</v>
      </c>
      <c r="R119" t="s">
        <v>1322</v>
      </c>
      <c r="S119" t="s">
        <v>1322</v>
      </c>
    </row>
    <row r="120" spans="1:19">
      <c r="A120" s="14" t="s">
        <v>402</v>
      </c>
      <c r="B120" t="s">
        <v>88</v>
      </c>
      <c r="C120" t="s">
        <v>88</v>
      </c>
      <c r="D120" t="s">
        <v>748</v>
      </c>
      <c r="E120" t="s">
        <v>749</v>
      </c>
      <c r="F120" t="s">
        <v>833</v>
      </c>
      <c r="G120" t="s">
        <v>833</v>
      </c>
      <c r="H120" t="s">
        <v>837</v>
      </c>
    </row>
    <row r="121" spans="1:19">
      <c r="A121" t="s">
        <v>403</v>
      </c>
      <c r="B121" t="s">
        <v>88</v>
      </c>
      <c r="C121" t="s">
        <v>88</v>
      </c>
      <c r="D121" t="s">
        <v>88</v>
      </c>
      <c r="E121" t="s">
        <v>88</v>
      </c>
      <c r="F121" t="s">
        <v>833</v>
      </c>
      <c r="G121" t="s">
        <v>833</v>
      </c>
      <c r="H121" t="s">
        <v>833</v>
      </c>
      <c r="I121" t="s">
        <v>894</v>
      </c>
      <c r="J121" t="s">
        <v>992</v>
      </c>
      <c r="K121" t="s">
        <v>1052</v>
      </c>
      <c r="L121" t="s">
        <v>1050</v>
      </c>
      <c r="N121" t="s">
        <v>1184</v>
      </c>
      <c r="O121" t="s">
        <v>1241</v>
      </c>
      <c r="P121" t="s">
        <v>1289</v>
      </c>
      <c r="Q121" t="s">
        <v>1261</v>
      </c>
      <c r="R121" t="s">
        <v>1322</v>
      </c>
      <c r="S121" t="s">
        <v>1322</v>
      </c>
    </row>
    <row r="122" spans="1:19">
      <c r="A122" t="s">
        <v>404</v>
      </c>
      <c r="B122" t="s">
        <v>88</v>
      </c>
      <c r="C122" t="s">
        <v>88</v>
      </c>
      <c r="D122" t="s">
        <v>88</v>
      </c>
      <c r="E122" t="s">
        <v>88</v>
      </c>
      <c r="F122" t="s">
        <v>833</v>
      </c>
      <c r="G122" t="s">
        <v>833</v>
      </c>
      <c r="H122" t="s">
        <v>833</v>
      </c>
      <c r="I122" t="s">
        <v>895</v>
      </c>
      <c r="J122" t="s">
        <v>997</v>
      </c>
      <c r="K122" t="s">
        <v>1050</v>
      </c>
      <c r="L122" t="s">
        <v>1089</v>
      </c>
      <c r="N122" t="s">
        <v>1178</v>
      </c>
      <c r="O122" t="s">
        <v>1241</v>
      </c>
      <c r="P122" t="s">
        <v>1256</v>
      </c>
      <c r="Q122" t="s">
        <v>1256</v>
      </c>
      <c r="R122" t="s">
        <v>1322</v>
      </c>
      <c r="S122" t="s">
        <v>1322</v>
      </c>
    </row>
    <row r="123" spans="1:19">
      <c r="A123" s="14" t="s">
        <v>405</v>
      </c>
      <c r="B123" t="s">
        <v>713</v>
      </c>
      <c r="C123" t="s">
        <v>713</v>
      </c>
      <c r="D123" t="s">
        <v>748</v>
      </c>
      <c r="E123" t="s">
        <v>749</v>
      </c>
      <c r="F123" t="s">
        <v>837</v>
      </c>
      <c r="G123" t="s">
        <v>837</v>
      </c>
      <c r="H123" t="s">
        <v>837</v>
      </c>
    </row>
    <row r="124" spans="1:19">
      <c r="A124" s="14" t="s">
        <v>406</v>
      </c>
      <c r="B124" t="s">
        <v>713</v>
      </c>
      <c r="C124" t="s">
        <v>713</v>
      </c>
      <c r="D124" t="s">
        <v>748</v>
      </c>
      <c r="E124" t="s">
        <v>749</v>
      </c>
      <c r="F124" t="s">
        <v>837</v>
      </c>
      <c r="G124" t="s">
        <v>837</v>
      </c>
      <c r="H124" t="s">
        <v>837</v>
      </c>
    </row>
    <row r="125" spans="1:19">
      <c r="A125" s="14" t="s">
        <v>407</v>
      </c>
      <c r="B125" t="s">
        <v>713</v>
      </c>
      <c r="C125" t="s">
        <v>713</v>
      </c>
      <c r="D125" t="s">
        <v>748</v>
      </c>
      <c r="E125" t="s">
        <v>749</v>
      </c>
      <c r="F125" t="s">
        <v>837</v>
      </c>
      <c r="G125" t="s">
        <v>837</v>
      </c>
      <c r="H125" t="s">
        <v>837</v>
      </c>
    </row>
    <row r="126" spans="1:19">
      <c r="A126" s="14" t="s">
        <v>408</v>
      </c>
      <c r="B126" t="s">
        <v>713</v>
      </c>
      <c r="C126" t="s">
        <v>713</v>
      </c>
      <c r="D126" t="s">
        <v>748</v>
      </c>
      <c r="E126" t="s">
        <v>749</v>
      </c>
      <c r="F126" t="s">
        <v>837</v>
      </c>
      <c r="G126" t="s">
        <v>837</v>
      </c>
      <c r="H126" t="s">
        <v>837</v>
      </c>
    </row>
    <row r="127" spans="1:19">
      <c r="A127" s="14" t="s">
        <v>409</v>
      </c>
      <c r="B127" t="s">
        <v>713</v>
      </c>
      <c r="C127" t="s">
        <v>713</v>
      </c>
      <c r="F127" t="s">
        <v>833</v>
      </c>
      <c r="H127" t="s">
        <v>833</v>
      </c>
    </row>
    <row r="128" spans="1:19">
      <c r="A128" s="14" t="s">
        <v>410</v>
      </c>
      <c r="B128" t="s">
        <v>713</v>
      </c>
      <c r="C128" t="s">
        <v>713</v>
      </c>
      <c r="F128" t="s">
        <v>837</v>
      </c>
      <c r="G128" t="s">
        <v>851</v>
      </c>
      <c r="H128" t="s">
        <v>837</v>
      </c>
    </row>
    <row r="129" spans="1:19">
      <c r="A129" s="14" t="s">
        <v>411</v>
      </c>
      <c r="B129" t="s">
        <v>713</v>
      </c>
      <c r="C129" t="s">
        <v>88</v>
      </c>
      <c r="D129" t="s">
        <v>88</v>
      </c>
      <c r="E129" t="s">
        <v>88</v>
      </c>
      <c r="F129" t="s">
        <v>833</v>
      </c>
      <c r="G129" t="s">
        <v>833</v>
      </c>
      <c r="H129" t="s">
        <v>833</v>
      </c>
    </row>
    <row r="130" spans="1:19">
      <c r="A130" s="14" t="s">
        <v>412</v>
      </c>
      <c r="B130" t="s">
        <v>713</v>
      </c>
      <c r="C130" t="s">
        <v>88</v>
      </c>
      <c r="D130" t="s">
        <v>88</v>
      </c>
      <c r="E130" t="s">
        <v>88</v>
      </c>
      <c r="F130" t="s">
        <v>833</v>
      </c>
      <c r="G130" t="s">
        <v>833</v>
      </c>
      <c r="H130" t="s">
        <v>833</v>
      </c>
    </row>
    <row r="131" spans="1:19">
      <c r="A131" s="14" t="s">
        <v>413</v>
      </c>
      <c r="B131" t="s">
        <v>713</v>
      </c>
      <c r="C131" t="s">
        <v>88</v>
      </c>
      <c r="D131" t="s">
        <v>88</v>
      </c>
      <c r="E131" t="s">
        <v>88</v>
      </c>
      <c r="F131" t="s">
        <v>833</v>
      </c>
      <c r="G131" t="s">
        <v>833</v>
      </c>
      <c r="H131" t="s">
        <v>833</v>
      </c>
    </row>
    <row r="132" spans="1:19">
      <c r="A132" s="14" t="s">
        <v>414</v>
      </c>
      <c r="B132" t="s">
        <v>713</v>
      </c>
      <c r="C132" t="s">
        <v>88</v>
      </c>
      <c r="D132" t="s">
        <v>88</v>
      </c>
      <c r="E132" t="s">
        <v>88</v>
      </c>
      <c r="F132" t="s">
        <v>833</v>
      </c>
      <c r="G132" t="s">
        <v>833</v>
      </c>
      <c r="H132" t="s">
        <v>833</v>
      </c>
    </row>
    <row r="133" spans="1:19">
      <c r="A133" t="s">
        <v>415</v>
      </c>
      <c r="B133" t="s">
        <v>88</v>
      </c>
      <c r="C133" t="s">
        <v>88</v>
      </c>
      <c r="D133" t="s">
        <v>88</v>
      </c>
      <c r="E133" t="s">
        <v>88</v>
      </c>
      <c r="F133" t="s">
        <v>833</v>
      </c>
      <c r="G133" t="s">
        <v>833</v>
      </c>
      <c r="H133" t="s">
        <v>833</v>
      </c>
      <c r="I133" t="s">
        <v>893</v>
      </c>
      <c r="J133" t="s">
        <v>992</v>
      </c>
      <c r="K133" t="s">
        <v>1049</v>
      </c>
      <c r="L133" t="s">
        <v>1050</v>
      </c>
      <c r="N133" t="s">
        <v>1194</v>
      </c>
      <c r="O133" t="s">
        <v>1237</v>
      </c>
      <c r="P133" t="s">
        <v>1256</v>
      </c>
      <c r="Q133" t="s">
        <v>1307</v>
      </c>
      <c r="R133" t="s">
        <v>1322</v>
      </c>
      <c r="S133" t="s">
        <v>1322</v>
      </c>
    </row>
    <row r="134" spans="1:19">
      <c r="A134" t="s">
        <v>416</v>
      </c>
      <c r="B134" t="s">
        <v>88</v>
      </c>
      <c r="C134" t="s">
        <v>88</v>
      </c>
      <c r="D134" t="s">
        <v>88</v>
      </c>
      <c r="E134" t="s">
        <v>88</v>
      </c>
      <c r="F134" t="s">
        <v>833</v>
      </c>
      <c r="G134" t="s">
        <v>833</v>
      </c>
      <c r="H134" t="s">
        <v>833</v>
      </c>
      <c r="I134" t="s">
        <v>890</v>
      </c>
      <c r="J134" t="s">
        <v>992</v>
      </c>
      <c r="K134" t="s">
        <v>1049</v>
      </c>
      <c r="L134" t="s">
        <v>1049</v>
      </c>
      <c r="N134" t="s">
        <v>1199</v>
      </c>
      <c r="O134" t="s">
        <v>1237</v>
      </c>
      <c r="P134" t="s">
        <v>1256</v>
      </c>
      <c r="Q134" t="s">
        <v>1259</v>
      </c>
      <c r="R134" t="s">
        <v>1322</v>
      </c>
      <c r="S134" t="s">
        <v>1322</v>
      </c>
    </row>
    <row r="135" spans="1:19">
      <c r="A135" t="s">
        <v>417</v>
      </c>
      <c r="B135" t="s">
        <v>88</v>
      </c>
      <c r="C135" t="s">
        <v>88</v>
      </c>
      <c r="D135" t="s">
        <v>88</v>
      </c>
      <c r="E135" t="s">
        <v>88</v>
      </c>
      <c r="F135" t="s">
        <v>833</v>
      </c>
      <c r="G135" t="s">
        <v>833</v>
      </c>
      <c r="H135" t="s">
        <v>833</v>
      </c>
      <c r="I135" t="s">
        <v>890</v>
      </c>
      <c r="J135" t="s">
        <v>992</v>
      </c>
      <c r="K135" t="s">
        <v>1050</v>
      </c>
      <c r="L135" t="s">
        <v>1052</v>
      </c>
      <c r="N135" t="s">
        <v>1178</v>
      </c>
      <c r="O135" t="s">
        <v>1237</v>
      </c>
      <c r="P135" t="s">
        <v>1257</v>
      </c>
      <c r="Q135" t="s">
        <v>1304</v>
      </c>
      <c r="R135" t="s">
        <v>1322</v>
      </c>
      <c r="S135" t="s">
        <v>1322</v>
      </c>
    </row>
    <row r="136" spans="1:19">
      <c r="A136" t="s">
        <v>418</v>
      </c>
      <c r="B136" t="s">
        <v>88</v>
      </c>
      <c r="C136" t="s">
        <v>88</v>
      </c>
      <c r="D136" t="s">
        <v>88</v>
      </c>
      <c r="E136" t="s">
        <v>88</v>
      </c>
      <c r="F136" t="s">
        <v>833</v>
      </c>
      <c r="G136" t="s">
        <v>833</v>
      </c>
      <c r="H136" t="s">
        <v>833</v>
      </c>
      <c r="I136" t="s">
        <v>912</v>
      </c>
      <c r="J136" t="s">
        <v>992</v>
      </c>
      <c r="K136" t="s">
        <v>1053</v>
      </c>
      <c r="L136" t="s">
        <v>1118</v>
      </c>
      <c r="N136" t="s">
        <v>1194</v>
      </c>
      <c r="O136" t="s">
        <v>1240</v>
      </c>
      <c r="P136" t="s">
        <v>1256</v>
      </c>
      <c r="Q136" t="s">
        <v>1256</v>
      </c>
      <c r="R136" t="s">
        <v>1322</v>
      </c>
      <c r="S136" t="s">
        <v>1322</v>
      </c>
    </row>
    <row r="137" spans="1:19">
      <c r="A137" t="s">
        <v>419</v>
      </c>
      <c r="B137" t="s">
        <v>88</v>
      </c>
      <c r="C137" t="s">
        <v>88</v>
      </c>
      <c r="D137" t="s">
        <v>88</v>
      </c>
      <c r="E137" t="s">
        <v>88</v>
      </c>
      <c r="F137" t="s">
        <v>833</v>
      </c>
      <c r="G137" t="s">
        <v>833</v>
      </c>
      <c r="H137" t="s">
        <v>833</v>
      </c>
      <c r="I137" t="s">
        <v>890</v>
      </c>
      <c r="J137" t="s">
        <v>992</v>
      </c>
      <c r="K137" t="s">
        <v>1081</v>
      </c>
      <c r="L137" t="s">
        <v>1049</v>
      </c>
      <c r="N137" t="s">
        <v>1178</v>
      </c>
      <c r="O137" t="s">
        <v>1239</v>
      </c>
      <c r="P137" t="s">
        <v>1263</v>
      </c>
      <c r="Q137" t="s">
        <v>1256</v>
      </c>
      <c r="R137" t="s">
        <v>1322</v>
      </c>
      <c r="S137" t="s">
        <v>1322</v>
      </c>
    </row>
    <row r="138" spans="1:19">
      <c r="A138" t="s">
        <v>420</v>
      </c>
      <c r="B138" t="s">
        <v>88</v>
      </c>
      <c r="C138" t="s">
        <v>88</v>
      </c>
      <c r="D138" t="s">
        <v>88</v>
      </c>
      <c r="E138" t="s">
        <v>88</v>
      </c>
      <c r="F138" t="s">
        <v>833</v>
      </c>
      <c r="G138" t="s">
        <v>833</v>
      </c>
      <c r="H138" t="s">
        <v>833</v>
      </c>
      <c r="I138" t="s">
        <v>890</v>
      </c>
      <c r="J138" t="s">
        <v>997</v>
      </c>
      <c r="K138" t="s">
        <v>1050</v>
      </c>
      <c r="L138" t="s">
        <v>1050</v>
      </c>
      <c r="N138" t="s">
        <v>1178</v>
      </c>
      <c r="O138" t="s">
        <v>1252</v>
      </c>
      <c r="P138" t="s">
        <v>1256</v>
      </c>
      <c r="Q138" t="s">
        <v>1261</v>
      </c>
      <c r="R138" t="s">
        <v>1322</v>
      </c>
      <c r="S138" t="s">
        <v>1322</v>
      </c>
    </row>
    <row r="139" spans="1:19">
      <c r="A139" s="14" t="s">
        <v>421</v>
      </c>
      <c r="B139" t="s">
        <v>88</v>
      </c>
      <c r="C139" t="s">
        <v>88</v>
      </c>
      <c r="D139" t="s">
        <v>88</v>
      </c>
      <c r="E139" t="s">
        <v>88</v>
      </c>
      <c r="F139" t="s">
        <v>833</v>
      </c>
      <c r="G139" t="s">
        <v>833</v>
      </c>
      <c r="H139" t="s">
        <v>833</v>
      </c>
      <c r="I139" t="s">
        <v>892</v>
      </c>
      <c r="J139" t="s">
        <v>1036</v>
      </c>
      <c r="K139" t="s">
        <v>1052</v>
      </c>
      <c r="L139" t="s">
        <v>1049</v>
      </c>
      <c r="N139" t="s">
        <v>1200</v>
      </c>
      <c r="O139" t="s">
        <v>1237</v>
      </c>
      <c r="P139" t="s">
        <v>1256</v>
      </c>
      <c r="Q139" t="s">
        <v>1276</v>
      </c>
      <c r="R139" s="49" t="s">
        <v>1329</v>
      </c>
      <c r="S139" s="43"/>
    </row>
    <row r="140" spans="1:19">
      <c r="A140" s="14" t="s">
        <v>422</v>
      </c>
      <c r="B140" t="s">
        <v>713</v>
      </c>
      <c r="C140" t="s">
        <v>713</v>
      </c>
      <c r="D140" t="s">
        <v>748</v>
      </c>
      <c r="E140" t="s">
        <v>749</v>
      </c>
      <c r="F140" t="s">
        <v>837</v>
      </c>
      <c r="G140" t="s">
        <v>837</v>
      </c>
      <c r="H140" t="s">
        <v>837</v>
      </c>
      <c r="S140" s="43"/>
    </row>
    <row r="141" spans="1:19">
      <c r="A141" s="14" t="s">
        <v>423</v>
      </c>
      <c r="B141" t="s">
        <v>713</v>
      </c>
      <c r="C141" t="s">
        <v>713</v>
      </c>
      <c r="D141" t="s">
        <v>748</v>
      </c>
      <c r="E141" t="s">
        <v>749</v>
      </c>
      <c r="F141" t="s">
        <v>837</v>
      </c>
      <c r="G141" t="s">
        <v>837</v>
      </c>
      <c r="H141" t="s">
        <v>837</v>
      </c>
      <c r="S141" s="43"/>
    </row>
    <row r="142" spans="1:19">
      <c r="A142" s="14" t="s">
        <v>424</v>
      </c>
      <c r="B142" t="s">
        <v>713</v>
      </c>
      <c r="C142" t="s">
        <v>713</v>
      </c>
      <c r="D142" t="s">
        <v>748</v>
      </c>
      <c r="E142" t="s">
        <v>749</v>
      </c>
      <c r="F142" t="s">
        <v>837</v>
      </c>
      <c r="G142" t="s">
        <v>837</v>
      </c>
      <c r="H142" t="s">
        <v>837</v>
      </c>
      <c r="S142" s="43"/>
    </row>
    <row r="143" spans="1:19">
      <c r="A143" s="14" t="s">
        <v>425</v>
      </c>
      <c r="B143" t="s">
        <v>713</v>
      </c>
      <c r="C143" t="s">
        <v>713</v>
      </c>
      <c r="D143" t="s">
        <v>748</v>
      </c>
      <c r="E143" t="s">
        <v>749</v>
      </c>
      <c r="F143" t="s">
        <v>837</v>
      </c>
      <c r="G143" t="s">
        <v>837</v>
      </c>
      <c r="H143" t="s">
        <v>837</v>
      </c>
      <c r="S143" s="43"/>
    </row>
    <row r="144" spans="1:19">
      <c r="A144" s="14" t="s">
        <v>426</v>
      </c>
      <c r="B144" t="s">
        <v>713</v>
      </c>
      <c r="C144" t="s">
        <v>713</v>
      </c>
      <c r="D144" t="s">
        <v>748</v>
      </c>
      <c r="E144" t="s">
        <v>749</v>
      </c>
      <c r="F144" t="s">
        <v>837</v>
      </c>
      <c r="G144" t="s">
        <v>837</v>
      </c>
      <c r="H144" t="s">
        <v>837</v>
      </c>
      <c r="S144" s="43"/>
    </row>
    <row r="145" spans="1:19">
      <c r="A145" s="14" t="s">
        <v>427</v>
      </c>
      <c r="B145" t="s">
        <v>713</v>
      </c>
      <c r="C145" t="s">
        <v>713</v>
      </c>
      <c r="D145" t="s">
        <v>748</v>
      </c>
      <c r="E145" t="s">
        <v>749</v>
      </c>
      <c r="F145" t="s">
        <v>837</v>
      </c>
      <c r="G145" t="s">
        <v>837</v>
      </c>
      <c r="H145" t="s">
        <v>837</v>
      </c>
      <c r="S145" s="43"/>
    </row>
    <row r="146" spans="1:19">
      <c r="A146" s="14" t="s">
        <v>428</v>
      </c>
      <c r="B146" t="s">
        <v>713</v>
      </c>
      <c r="C146" t="s">
        <v>713</v>
      </c>
      <c r="D146" t="s">
        <v>748</v>
      </c>
      <c r="E146" t="s">
        <v>749</v>
      </c>
      <c r="F146" t="s">
        <v>837</v>
      </c>
      <c r="G146" t="s">
        <v>837</v>
      </c>
      <c r="H146" t="s">
        <v>837</v>
      </c>
      <c r="S146" s="43"/>
    </row>
    <row r="147" spans="1:19">
      <c r="A147" s="14" t="s">
        <v>429</v>
      </c>
      <c r="B147" t="s">
        <v>88</v>
      </c>
      <c r="C147" t="s">
        <v>88</v>
      </c>
      <c r="D147" t="s">
        <v>748</v>
      </c>
      <c r="E147" t="s">
        <v>749</v>
      </c>
      <c r="F147" t="s">
        <v>833</v>
      </c>
      <c r="G147" t="s">
        <v>833</v>
      </c>
      <c r="H147" t="s">
        <v>837</v>
      </c>
      <c r="S147" s="43"/>
    </row>
    <row r="148" spans="1:19">
      <c r="A148" s="14" t="s">
        <v>430</v>
      </c>
      <c r="B148" t="s">
        <v>713</v>
      </c>
      <c r="C148" t="s">
        <v>713</v>
      </c>
      <c r="D148" t="s">
        <v>748</v>
      </c>
      <c r="E148" t="s">
        <v>749</v>
      </c>
      <c r="F148" t="s">
        <v>837</v>
      </c>
      <c r="G148" t="s">
        <v>837</v>
      </c>
      <c r="H148" t="s">
        <v>837</v>
      </c>
      <c r="S148" s="43"/>
    </row>
    <row r="149" spans="1:19">
      <c r="A149" s="14" t="s">
        <v>431</v>
      </c>
      <c r="B149" t="s">
        <v>713</v>
      </c>
      <c r="C149" t="s">
        <v>713</v>
      </c>
      <c r="D149" t="s">
        <v>765</v>
      </c>
      <c r="E149" t="s">
        <v>749</v>
      </c>
      <c r="F149" t="s">
        <v>837</v>
      </c>
      <c r="G149" t="s">
        <v>837</v>
      </c>
      <c r="H149" t="s">
        <v>837</v>
      </c>
      <c r="S149" s="43"/>
    </row>
    <row r="150" spans="1:19">
      <c r="A150" s="14" t="s">
        <v>432</v>
      </c>
      <c r="B150" t="s">
        <v>713</v>
      </c>
      <c r="C150" t="s">
        <v>713</v>
      </c>
      <c r="D150" t="s">
        <v>748</v>
      </c>
      <c r="E150" t="s">
        <v>749</v>
      </c>
      <c r="F150" t="s">
        <v>837</v>
      </c>
      <c r="G150" t="s">
        <v>837</v>
      </c>
      <c r="H150" t="s">
        <v>837</v>
      </c>
      <c r="S150" s="43"/>
    </row>
    <row r="151" spans="1:19">
      <c r="A151" s="14" t="s">
        <v>433</v>
      </c>
      <c r="B151" t="s">
        <v>713</v>
      </c>
      <c r="C151" t="s">
        <v>713</v>
      </c>
      <c r="D151" t="s">
        <v>748</v>
      </c>
      <c r="E151" t="s">
        <v>749</v>
      </c>
      <c r="F151" t="s">
        <v>837</v>
      </c>
      <c r="G151" t="s">
        <v>837</v>
      </c>
      <c r="H151" t="s">
        <v>837</v>
      </c>
      <c r="S151" s="43"/>
    </row>
    <row r="152" spans="1:19">
      <c r="A152" s="14" t="s">
        <v>434</v>
      </c>
      <c r="B152" t="s">
        <v>713</v>
      </c>
      <c r="C152" t="s">
        <v>713</v>
      </c>
      <c r="D152" t="s">
        <v>748</v>
      </c>
      <c r="E152" t="s">
        <v>749</v>
      </c>
      <c r="F152" t="s">
        <v>837</v>
      </c>
      <c r="G152" t="s">
        <v>837</v>
      </c>
      <c r="H152" t="s">
        <v>837</v>
      </c>
      <c r="S152" s="43"/>
    </row>
    <row r="153" spans="1:19">
      <c r="A153" s="14" t="s">
        <v>435</v>
      </c>
      <c r="B153" t="s">
        <v>88</v>
      </c>
      <c r="C153" t="s">
        <v>88</v>
      </c>
      <c r="D153" t="s">
        <v>88</v>
      </c>
      <c r="E153" t="s">
        <v>88</v>
      </c>
      <c r="F153" t="s">
        <v>833</v>
      </c>
      <c r="G153" t="s">
        <v>833</v>
      </c>
      <c r="H153" t="s">
        <v>833</v>
      </c>
      <c r="I153" t="s">
        <v>920</v>
      </c>
      <c r="S153" s="43"/>
    </row>
    <row r="154" spans="1:19">
      <c r="A154" t="s">
        <v>436</v>
      </c>
      <c r="B154" t="s">
        <v>88</v>
      </c>
      <c r="C154" t="s">
        <v>88</v>
      </c>
      <c r="D154" t="s">
        <v>88</v>
      </c>
      <c r="E154" t="s">
        <v>88</v>
      </c>
      <c r="F154" t="s">
        <v>833</v>
      </c>
      <c r="G154" t="s">
        <v>833</v>
      </c>
      <c r="H154" t="s">
        <v>833</v>
      </c>
      <c r="I154" t="s">
        <v>921</v>
      </c>
      <c r="J154" t="s">
        <v>997</v>
      </c>
      <c r="K154" t="s">
        <v>1049</v>
      </c>
      <c r="L154" t="s">
        <v>1049</v>
      </c>
      <c r="N154" t="s">
        <v>1178</v>
      </c>
      <c r="O154" t="s">
        <v>1238</v>
      </c>
      <c r="P154" t="s">
        <v>1285</v>
      </c>
      <c r="Q154" t="s">
        <v>1277</v>
      </c>
      <c r="R154" t="s">
        <v>1322</v>
      </c>
      <c r="S154" s="43" t="s">
        <v>1322</v>
      </c>
    </row>
    <row r="155" spans="1:19">
      <c r="A155" s="14" t="s">
        <v>437</v>
      </c>
      <c r="B155" t="s">
        <v>88</v>
      </c>
      <c r="C155" t="s">
        <v>88</v>
      </c>
      <c r="D155" t="s">
        <v>88</v>
      </c>
      <c r="E155" t="s">
        <v>88</v>
      </c>
      <c r="F155" t="s">
        <v>833</v>
      </c>
      <c r="G155" t="s">
        <v>837</v>
      </c>
      <c r="H155" t="s">
        <v>833</v>
      </c>
      <c r="S155" s="43"/>
    </row>
    <row r="156" spans="1:19">
      <c r="A156" s="14" t="s">
        <v>438</v>
      </c>
      <c r="B156" t="s">
        <v>713</v>
      </c>
      <c r="C156" t="s">
        <v>713</v>
      </c>
      <c r="D156" t="s">
        <v>748</v>
      </c>
      <c r="E156" t="s">
        <v>749</v>
      </c>
      <c r="F156" t="s">
        <v>837</v>
      </c>
      <c r="G156" t="s">
        <v>837</v>
      </c>
      <c r="H156" t="s">
        <v>837</v>
      </c>
      <c r="S156" s="43"/>
    </row>
    <row r="157" spans="1:19">
      <c r="A157" s="14" t="s">
        <v>439</v>
      </c>
      <c r="B157" t="s">
        <v>713</v>
      </c>
      <c r="C157" t="s">
        <v>713</v>
      </c>
      <c r="D157" t="s">
        <v>748</v>
      </c>
      <c r="E157" t="s">
        <v>749</v>
      </c>
      <c r="F157" t="s">
        <v>837</v>
      </c>
      <c r="G157" t="s">
        <v>837</v>
      </c>
      <c r="H157" t="s">
        <v>837</v>
      </c>
      <c r="S157" s="43"/>
    </row>
    <row r="158" spans="1:19">
      <c r="A158" s="14" t="s">
        <v>440</v>
      </c>
      <c r="B158" t="s">
        <v>88</v>
      </c>
      <c r="C158" t="s">
        <v>88</v>
      </c>
      <c r="D158" t="s">
        <v>88</v>
      </c>
      <c r="E158" t="s">
        <v>88</v>
      </c>
      <c r="F158" t="s">
        <v>833</v>
      </c>
      <c r="G158" t="s">
        <v>833</v>
      </c>
      <c r="H158" t="s">
        <v>833</v>
      </c>
      <c r="I158" t="s">
        <v>889</v>
      </c>
      <c r="J158" t="s">
        <v>997</v>
      </c>
      <c r="K158" t="s">
        <v>1049</v>
      </c>
      <c r="L158" t="s">
        <v>1099</v>
      </c>
      <c r="N158" t="s">
        <v>1182</v>
      </c>
      <c r="O158" t="s">
        <v>1237</v>
      </c>
      <c r="P158" t="s">
        <v>1281</v>
      </c>
      <c r="Q158" t="s">
        <v>1289</v>
      </c>
      <c r="R158" s="49" t="s">
        <v>1329</v>
      </c>
      <c r="S158" s="43"/>
    </row>
    <row r="159" spans="1:19">
      <c r="A159" s="14" t="s">
        <v>441</v>
      </c>
      <c r="B159" t="s">
        <v>88</v>
      </c>
      <c r="C159" t="s">
        <v>88</v>
      </c>
      <c r="D159" t="s">
        <v>88</v>
      </c>
      <c r="E159" t="s">
        <v>88</v>
      </c>
      <c r="F159" t="s">
        <v>833</v>
      </c>
      <c r="G159" t="s">
        <v>833</v>
      </c>
      <c r="H159" t="s">
        <v>833</v>
      </c>
      <c r="I159" t="s">
        <v>890</v>
      </c>
      <c r="J159" t="s">
        <v>1036</v>
      </c>
      <c r="K159" t="s">
        <v>1081</v>
      </c>
      <c r="L159" t="s">
        <v>1116</v>
      </c>
      <c r="N159" t="s">
        <v>1190</v>
      </c>
      <c r="O159" t="s">
        <v>1242</v>
      </c>
      <c r="P159" t="s">
        <v>1279</v>
      </c>
      <c r="Q159" t="s">
        <v>1256</v>
      </c>
      <c r="R159" s="49" t="s">
        <v>1329</v>
      </c>
      <c r="S159" s="43"/>
    </row>
    <row r="160" spans="1:19">
      <c r="A160" s="14" t="s">
        <v>442</v>
      </c>
      <c r="B160" t="s">
        <v>713</v>
      </c>
      <c r="C160" t="s">
        <v>88</v>
      </c>
      <c r="D160" t="s">
        <v>88</v>
      </c>
      <c r="E160" t="s">
        <v>88</v>
      </c>
      <c r="F160" t="s">
        <v>833</v>
      </c>
      <c r="G160" t="s">
        <v>833</v>
      </c>
      <c r="H160" t="s">
        <v>833</v>
      </c>
      <c r="S160" s="43"/>
    </row>
    <row r="161" spans="1:19">
      <c r="A161" s="14" t="s">
        <v>443</v>
      </c>
      <c r="B161" t="s">
        <v>713</v>
      </c>
      <c r="C161" t="s">
        <v>713</v>
      </c>
      <c r="D161" t="s">
        <v>748</v>
      </c>
      <c r="E161" t="s">
        <v>749</v>
      </c>
      <c r="F161" t="s">
        <v>837</v>
      </c>
      <c r="G161" t="s">
        <v>837</v>
      </c>
      <c r="H161" t="s">
        <v>837</v>
      </c>
      <c r="S161" s="43"/>
    </row>
    <row r="162" spans="1:19">
      <c r="A162" s="14" t="s">
        <v>444</v>
      </c>
      <c r="B162" t="s">
        <v>713</v>
      </c>
      <c r="C162" t="s">
        <v>713</v>
      </c>
      <c r="D162" t="s">
        <v>748</v>
      </c>
      <c r="E162" t="s">
        <v>749</v>
      </c>
      <c r="F162" t="s">
        <v>833</v>
      </c>
      <c r="G162" t="s">
        <v>837</v>
      </c>
      <c r="H162" t="s">
        <v>837</v>
      </c>
      <c r="S162" s="43"/>
    </row>
    <row r="163" spans="1:19">
      <c r="A163" s="14" t="s">
        <v>445</v>
      </c>
      <c r="B163" t="s">
        <v>713</v>
      </c>
      <c r="C163" t="s">
        <v>713</v>
      </c>
      <c r="D163" t="s">
        <v>748</v>
      </c>
      <c r="E163" t="s">
        <v>749</v>
      </c>
      <c r="F163" t="s">
        <v>837</v>
      </c>
      <c r="G163" t="s">
        <v>837</v>
      </c>
      <c r="H163" t="s">
        <v>837</v>
      </c>
    </row>
    <row r="164" spans="1:19">
      <c r="A164" s="14" t="s">
        <v>446</v>
      </c>
      <c r="B164" t="s">
        <v>713</v>
      </c>
      <c r="C164" t="s">
        <v>713</v>
      </c>
      <c r="D164" t="s">
        <v>748</v>
      </c>
      <c r="E164" t="s">
        <v>749</v>
      </c>
      <c r="F164" t="s">
        <v>837</v>
      </c>
      <c r="G164" t="s">
        <v>837</v>
      </c>
      <c r="H164" t="s">
        <v>837</v>
      </c>
    </row>
    <row r="165" spans="1:19">
      <c r="A165" s="14" t="s">
        <v>447</v>
      </c>
      <c r="B165" t="s">
        <v>713</v>
      </c>
      <c r="C165" t="s">
        <v>713</v>
      </c>
      <c r="D165" t="s">
        <v>748</v>
      </c>
      <c r="E165" t="s">
        <v>749</v>
      </c>
      <c r="F165" t="s">
        <v>837</v>
      </c>
      <c r="G165" t="s">
        <v>837</v>
      </c>
      <c r="H165" t="s">
        <v>837</v>
      </c>
    </row>
    <row r="166" spans="1:19">
      <c r="A166" t="s">
        <v>448</v>
      </c>
      <c r="B166" t="s">
        <v>88</v>
      </c>
      <c r="C166" t="s">
        <v>88</v>
      </c>
      <c r="D166" t="s">
        <v>88</v>
      </c>
      <c r="E166" t="s">
        <v>88</v>
      </c>
      <c r="F166" t="s">
        <v>833</v>
      </c>
      <c r="G166" t="s">
        <v>833</v>
      </c>
      <c r="H166" t="s">
        <v>833</v>
      </c>
      <c r="I166" t="s">
        <v>890</v>
      </c>
      <c r="J166" t="s">
        <v>997</v>
      </c>
      <c r="L166" t="s">
        <v>1049</v>
      </c>
      <c r="N166" t="s">
        <v>1178</v>
      </c>
      <c r="O166" t="s">
        <v>1237</v>
      </c>
      <c r="P166" t="s">
        <v>1256</v>
      </c>
      <c r="Q166" t="s">
        <v>1259</v>
      </c>
      <c r="R166" t="s">
        <v>1322</v>
      </c>
      <c r="S166" t="s">
        <v>1322</v>
      </c>
    </row>
    <row r="167" spans="1:19">
      <c r="A167" s="14" t="s">
        <v>449</v>
      </c>
      <c r="B167" t="s">
        <v>713</v>
      </c>
      <c r="C167" t="s">
        <v>713</v>
      </c>
      <c r="D167" t="s">
        <v>748</v>
      </c>
      <c r="E167" t="s">
        <v>749</v>
      </c>
      <c r="F167" t="s">
        <v>837</v>
      </c>
      <c r="G167" t="s">
        <v>837</v>
      </c>
      <c r="H167" t="s">
        <v>837</v>
      </c>
    </row>
    <row r="168" spans="1:19">
      <c r="A168" s="14" t="s">
        <v>450</v>
      </c>
      <c r="B168" t="s">
        <v>713</v>
      </c>
      <c r="C168" t="s">
        <v>713</v>
      </c>
      <c r="D168" t="s">
        <v>748</v>
      </c>
      <c r="E168" t="s">
        <v>749</v>
      </c>
      <c r="F168" t="s">
        <v>837</v>
      </c>
      <c r="G168" t="s">
        <v>837</v>
      </c>
      <c r="H168" t="s">
        <v>837</v>
      </c>
    </row>
    <row r="169" spans="1:19">
      <c r="A169" s="14" t="s">
        <v>451</v>
      </c>
      <c r="B169" t="s">
        <v>713</v>
      </c>
      <c r="C169" t="s">
        <v>713</v>
      </c>
      <c r="D169" t="s">
        <v>748</v>
      </c>
      <c r="E169" t="s">
        <v>749</v>
      </c>
      <c r="F169" t="s">
        <v>837</v>
      </c>
      <c r="G169" t="s">
        <v>837</v>
      </c>
      <c r="H169" t="s">
        <v>837</v>
      </c>
    </row>
    <row r="170" spans="1:19">
      <c r="A170" s="14" t="s">
        <v>452</v>
      </c>
      <c r="B170" t="s">
        <v>713</v>
      </c>
      <c r="C170" t="s">
        <v>734</v>
      </c>
      <c r="D170" t="s">
        <v>748</v>
      </c>
      <c r="E170" t="s">
        <v>749</v>
      </c>
      <c r="F170" t="s">
        <v>837</v>
      </c>
      <c r="G170" t="s">
        <v>837</v>
      </c>
      <c r="H170" t="s">
        <v>837</v>
      </c>
    </row>
    <row r="171" spans="1:19">
      <c r="A171" s="14" t="s">
        <v>793</v>
      </c>
      <c r="B171" t="s">
        <v>713</v>
      </c>
      <c r="C171" t="s">
        <v>734</v>
      </c>
      <c r="D171" t="s">
        <v>748</v>
      </c>
      <c r="E171" t="s">
        <v>749</v>
      </c>
      <c r="F171" t="s">
        <v>837</v>
      </c>
      <c r="G171" t="s">
        <v>837</v>
      </c>
      <c r="H171" t="s">
        <v>837</v>
      </c>
    </row>
    <row r="172" spans="1:19">
      <c r="A172" s="14" t="s">
        <v>453</v>
      </c>
      <c r="B172" t="s">
        <v>713</v>
      </c>
      <c r="C172" t="s">
        <v>734</v>
      </c>
      <c r="D172" t="s">
        <v>748</v>
      </c>
      <c r="E172" t="s">
        <v>749</v>
      </c>
      <c r="F172" t="s">
        <v>837</v>
      </c>
      <c r="G172" t="s">
        <v>837</v>
      </c>
      <c r="H172" t="s">
        <v>837</v>
      </c>
    </row>
    <row r="173" spans="1:19">
      <c r="A173" s="14" t="s">
        <v>454</v>
      </c>
      <c r="B173" t="s">
        <v>713</v>
      </c>
      <c r="C173" t="s">
        <v>734</v>
      </c>
      <c r="D173" t="s">
        <v>748</v>
      </c>
      <c r="E173" t="s">
        <v>749</v>
      </c>
      <c r="F173" t="s">
        <v>837</v>
      </c>
      <c r="G173" t="s">
        <v>837</v>
      </c>
      <c r="H173" t="s">
        <v>837</v>
      </c>
    </row>
    <row r="174" spans="1:19">
      <c r="A174" s="14" t="s">
        <v>455</v>
      </c>
      <c r="B174" t="s">
        <v>713</v>
      </c>
      <c r="C174" t="s">
        <v>734</v>
      </c>
      <c r="D174" t="s">
        <v>748</v>
      </c>
      <c r="E174" t="s">
        <v>749</v>
      </c>
      <c r="F174" t="s">
        <v>837</v>
      </c>
      <c r="G174" t="s">
        <v>837</v>
      </c>
      <c r="H174" t="s">
        <v>837</v>
      </c>
    </row>
    <row r="175" spans="1:19">
      <c r="A175" s="14" t="s">
        <v>456</v>
      </c>
      <c r="B175" t="s">
        <v>713</v>
      </c>
      <c r="C175" t="s">
        <v>734</v>
      </c>
      <c r="D175" t="s">
        <v>748</v>
      </c>
      <c r="E175" t="s">
        <v>749</v>
      </c>
      <c r="F175" t="s">
        <v>837</v>
      </c>
      <c r="G175" t="s">
        <v>837</v>
      </c>
      <c r="H175" t="s">
        <v>837</v>
      </c>
    </row>
    <row r="176" spans="1:19">
      <c r="A176" s="14" t="s">
        <v>457</v>
      </c>
      <c r="B176" t="s">
        <v>733</v>
      </c>
      <c r="C176" t="s">
        <v>88</v>
      </c>
      <c r="D176" t="s">
        <v>765</v>
      </c>
      <c r="E176" t="s">
        <v>88</v>
      </c>
      <c r="F176" t="s">
        <v>833</v>
      </c>
      <c r="G176" t="s">
        <v>833</v>
      </c>
      <c r="H176" t="s">
        <v>833</v>
      </c>
      <c r="I176" t="s">
        <v>894</v>
      </c>
      <c r="J176" t="s">
        <v>992</v>
      </c>
      <c r="K176" t="s">
        <v>1056</v>
      </c>
      <c r="L176" t="s">
        <v>1099</v>
      </c>
      <c r="N176" t="s">
        <v>1184</v>
      </c>
      <c r="O176" t="s">
        <v>1253</v>
      </c>
      <c r="P176" t="s">
        <v>1277</v>
      </c>
      <c r="Q176" t="s">
        <v>1259</v>
      </c>
      <c r="R176" s="49" t="s">
        <v>1329</v>
      </c>
      <c r="S176" s="49"/>
    </row>
    <row r="177" spans="1:8">
      <c r="A177" s="14" t="s">
        <v>794</v>
      </c>
      <c r="B177" t="s">
        <v>713</v>
      </c>
      <c r="C177" t="s">
        <v>713</v>
      </c>
      <c r="D177" t="s">
        <v>748</v>
      </c>
      <c r="E177" t="s">
        <v>749</v>
      </c>
      <c r="F177" t="s">
        <v>837</v>
      </c>
      <c r="G177" t="s">
        <v>837</v>
      </c>
      <c r="H177" t="s">
        <v>837</v>
      </c>
    </row>
    <row r="178" spans="1:8">
      <c r="A178" s="14" t="s">
        <v>458</v>
      </c>
      <c r="B178" t="s">
        <v>713</v>
      </c>
      <c r="C178" t="s">
        <v>713</v>
      </c>
      <c r="D178" t="s">
        <v>748</v>
      </c>
      <c r="E178" t="s">
        <v>749</v>
      </c>
      <c r="F178" t="s">
        <v>837</v>
      </c>
      <c r="G178" t="s">
        <v>837</v>
      </c>
      <c r="H178" t="s">
        <v>837</v>
      </c>
    </row>
    <row r="179" spans="1:8">
      <c r="A179" s="14" t="s">
        <v>459</v>
      </c>
      <c r="B179" t="s">
        <v>713</v>
      </c>
      <c r="C179" t="s">
        <v>713</v>
      </c>
      <c r="D179" t="s">
        <v>748</v>
      </c>
      <c r="E179" t="s">
        <v>749</v>
      </c>
      <c r="F179" t="s">
        <v>837</v>
      </c>
      <c r="G179" t="s">
        <v>837</v>
      </c>
      <c r="H179" t="s">
        <v>837</v>
      </c>
    </row>
    <row r="180" spans="1:8">
      <c r="A180" s="14" t="s">
        <v>460</v>
      </c>
      <c r="B180" t="s">
        <v>713</v>
      </c>
      <c r="C180" t="s">
        <v>713</v>
      </c>
      <c r="D180" t="s">
        <v>748</v>
      </c>
      <c r="E180" t="s">
        <v>749</v>
      </c>
      <c r="F180" t="s">
        <v>837</v>
      </c>
      <c r="G180" t="s">
        <v>837</v>
      </c>
      <c r="H180" t="s">
        <v>837</v>
      </c>
    </row>
    <row r="181" spans="1:8">
      <c r="A181" s="14" t="s">
        <v>461</v>
      </c>
      <c r="B181" t="s">
        <v>713</v>
      </c>
      <c r="C181" t="s">
        <v>713</v>
      </c>
      <c r="D181" t="s">
        <v>748</v>
      </c>
      <c r="E181" t="s">
        <v>749</v>
      </c>
      <c r="F181" t="s">
        <v>837</v>
      </c>
      <c r="G181" t="s">
        <v>837</v>
      </c>
      <c r="H181" t="s">
        <v>837</v>
      </c>
    </row>
    <row r="182" spans="1:8">
      <c r="A182" s="14" t="s">
        <v>462</v>
      </c>
      <c r="B182" t="s">
        <v>713</v>
      </c>
      <c r="C182" t="s">
        <v>713</v>
      </c>
      <c r="D182" t="s">
        <v>748</v>
      </c>
      <c r="E182" t="s">
        <v>749</v>
      </c>
      <c r="F182" t="s">
        <v>837</v>
      </c>
      <c r="G182" t="s">
        <v>837</v>
      </c>
      <c r="H182" t="s">
        <v>837</v>
      </c>
    </row>
    <row r="183" spans="1:8">
      <c r="A183" s="14" t="s">
        <v>463</v>
      </c>
      <c r="B183" t="s">
        <v>713</v>
      </c>
      <c r="C183" t="s">
        <v>713</v>
      </c>
      <c r="D183" t="s">
        <v>748</v>
      </c>
      <c r="E183" t="s">
        <v>749</v>
      </c>
      <c r="F183" t="s">
        <v>837</v>
      </c>
      <c r="G183" t="s">
        <v>837</v>
      </c>
      <c r="H183" t="s">
        <v>837</v>
      </c>
    </row>
    <row r="184" spans="1:8">
      <c r="A184" s="14" t="s">
        <v>464</v>
      </c>
      <c r="B184" t="s">
        <v>713</v>
      </c>
      <c r="C184" t="s">
        <v>713</v>
      </c>
      <c r="D184" t="s">
        <v>748</v>
      </c>
      <c r="E184" t="s">
        <v>749</v>
      </c>
      <c r="F184" t="s">
        <v>837</v>
      </c>
      <c r="G184" t="s">
        <v>837</v>
      </c>
      <c r="H184" t="s">
        <v>837</v>
      </c>
    </row>
    <row r="185" spans="1:8">
      <c r="A185" s="14" t="s">
        <v>465</v>
      </c>
      <c r="B185" t="s">
        <v>713</v>
      </c>
      <c r="C185" t="s">
        <v>713</v>
      </c>
      <c r="D185" t="s">
        <v>748</v>
      </c>
      <c r="E185" t="s">
        <v>749</v>
      </c>
      <c r="F185" t="s">
        <v>837</v>
      </c>
      <c r="G185" t="s">
        <v>837</v>
      </c>
      <c r="H185" t="s">
        <v>837</v>
      </c>
    </row>
    <row r="186" spans="1:8">
      <c r="A186" s="14" t="s">
        <v>466</v>
      </c>
      <c r="B186" t="s">
        <v>733</v>
      </c>
      <c r="C186" t="s">
        <v>713</v>
      </c>
      <c r="D186" t="s">
        <v>748</v>
      </c>
      <c r="E186" t="s">
        <v>749</v>
      </c>
      <c r="F186" t="s">
        <v>837</v>
      </c>
      <c r="G186" t="s">
        <v>837</v>
      </c>
      <c r="H186" t="s">
        <v>837</v>
      </c>
    </row>
    <row r="187" spans="1:8">
      <c r="A187" s="14" t="s">
        <v>467</v>
      </c>
      <c r="B187" t="s">
        <v>713</v>
      </c>
      <c r="C187" t="s">
        <v>713</v>
      </c>
      <c r="D187" t="s">
        <v>748</v>
      </c>
      <c r="E187" t="s">
        <v>749</v>
      </c>
      <c r="F187" t="s">
        <v>837</v>
      </c>
      <c r="G187" t="s">
        <v>837</v>
      </c>
      <c r="H187" t="s">
        <v>837</v>
      </c>
    </row>
    <row r="188" spans="1:8">
      <c r="A188" s="14" t="s">
        <v>468</v>
      </c>
      <c r="B188" t="s">
        <v>88</v>
      </c>
      <c r="C188" t="s">
        <v>88</v>
      </c>
      <c r="D188" t="s">
        <v>748</v>
      </c>
      <c r="E188" t="s">
        <v>749</v>
      </c>
      <c r="F188" t="s">
        <v>833</v>
      </c>
      <c r="G188" t="s">
        <v>833</v>
      </c>
      <c r="H188" t="s">
        <v>833</v>
      </c>
    </row>
    <row r="189" spans="1:8">
      <c r="A189" s="14" t="s">
        <v>469</v>
      </c>
      <c r="B189" t="s">
        <v>713</v>
      </c>
      <c r="C189" t="s">
        <v>713</v>
      </c>
      <c r="D189" t="s">
        <v>748</v>
      </c>
      <c r="E189" t="s">
        <v>749</v>
      </c>
      <c r="F189" t="s">
        <v>837</v>
      </c>
      <c r="G189" t="s">
        <v>837</v>
      </c>
      <c r="H189" t="s">
        <v>837</v>
      </c>
    </row>
    <row r="190" spans="1:8">
      <c r="A190" s="14" t="s">
        <v>470</v>
      </c>
      <c r="B190" t="s">
        <v>88</v>
      </c>
      <c r="C190" t="s">
        <v>88</v>
      </c>
      <c r="D190" t="s">
        <v>88</v>
      </c>
      <c r="E190" t="s">
        <v>88</v>
      </c>
      <c r="F190" t="s">
        <v>837</v>
      </c>
      <c r="G190" t="s">
        <v>833</v>
      </c>
      <c r="H190" t="s">
        <v>833</v>
      </c>
    </row>
    <row r="191" spans="1:8">
      <c r="A191" s="14" t="s">
        <v>471</v>
      </c>
      <c r="B191" t="s">
        <v>713</v>
      </c>
      <c r="C191" t="s">
        <v>713</v>
      </c>
      <c r="D191" t="s">
        <v>748</v>
      </c>
      <c r="E191" t="s">
        <v>749</v>
      </c>
      <c r="F191" t="s">
        <v>837</v>
      </c>
      <c r="G191" t="s">
        <v>837</v>
      </c>
      <c r="H191" t="s">
        <v>837</v>
      </c>
    </row>
    <row r="192" spans="1:8">
      <c r="A192" s="14" t="s">
        <v>472</v>
      </c>
      <c r="B192" t="s">
        <v>713</v>
      </c>
      <c r="C192" t="s">
        <v>713</v>
      </c>
      <c r="D192" t="s">
        <v>748</v>
      </c>
      <c r="E192" t="s">
        <v>749</v>
      </c>
      <c r="F192" t="s">
        <v>837</v>
      </c>
      <c r="G192" t="s">
        <v>837</v>
      </c>
      <c r="H192" t="s">
        <v>837</v>
      </c>
    </row>
    <row r="193" spans="1:19">
      <c r="A193" s="14" t="s">
        <v>473</v>
      </c>
      <c r="B193" t="s">
        <v>713</v>
      </c>
      <c r="C193" t="s">
        <v>713</v>
      </c>
      <c r="D193" t="s">
        <v>748</v>
      </c>
      <c r="E193" t="s">
        <v>749</v>
      </c>
      <c r="F193" t="s">
        <v>837</v>
      </c>
      <c r="G193" t="s">
        <v>837</v>
      </c>
      <c r="H193" t="s">
        <v>837</v>
      </c>
    </row>
    <row r="194" spans="1:19">
      <c r="A194" s="14" t="s">
        <v>474</v>
      </c>
      <c r="B194" t="s">
        <v>713</v>
      </c>
      <c r="C194" t="s">
        <v>713</v>
      </c>
      <c r="D194" t="s">
        <v>748</v>
      </c>
      <c r="E194" t="s">
        <v>749</v>
      </c>
      <c r="F194" t="s">
        <v>837</v>
      </c>
      <c r="G194" t="s">
        <v>837</v>
      </c>
      <c r="H194" t="s">
        <v>837</v>
      </c>
    </row>
    <row r="195" spans="1:19">
      <c r="A195" s="14" t="s">
        <v>475</v>
      </c>
      <c r="B195" t="s">
        <v>713</v>
      </c>
      <c r="C195" t="s">
        <v>713</v>
      </c>
      <c r="D195" t="s">
        <v>748</v>
      </c>
      <c r="E195" t="s">
        <v>749</v>
      </c>
      <c r="F195" t="s">
        <v>837</v>
      </c>
      <c r="G195" t="s">
        <v>837</v>
      </c>
      <c r="H195" t="s">
        <v>837</v>
      </c>
    </row>
    <row r="196" spans="1:19">
      <c r="A196" t="s">
        <v>476</v>
      </c>
      <c r="B196" t="s">
        <v>88</v>
      </c>
      <c r="C196" t="s">
        <v>88</v>
      </c>
      <c r="D196" t="s">
        <v>88</v>
      </c>
      <c r="E196" t="s">
        <v>88</v>
      </c>
      <c r="F196" t="s">
        <v>833</v>
      </c>
      <c r="G196" t="s">
        <v>833</v>
      </c>
      <c r="H196" t="s">
        <v>833</v>
      </c>
      <c r="I196" t="s">
        <v>890</v>
      </c>
      <c r="K196" t="s">
        <v>1049</v>
      </c>
      <c r="L196" t="s">
        <v>1074</v>
      </c>
      <c r="N196" t="s">
        <v>1178</v>
      </c>
      <c r="O196" t="s">
        <v>1237</v>
      </c>
      <c r="P196" t="s">
        <v>1256</v>
      </c>
      <c r="Q196" t="s">
        <v>1260</v>
      </c>
      <c r="R196" t="s">
        <v>1322</v>
      </c>
      <c r="S196" t="s">
        <v>1322</v>
      </c>
    </row>
    <row r="197" spans="1:19">
      <c r="A197" s="14" t="s">
        <v>477</v>
      </c>
      <c r="B197" t="s">
        <v>713</v>
      </c>
      <c r="C197" t="s">
        <v>713</v>
      </c>
      <c r="D197" t="s">
        <v>748</v>
      </c>
      <c r="E197" t="s">
        <v>749</v>
      </c>
      <c r="F197" t="s">
        <v>833</v>
      </c>
      <c r="G197" t="s">
        <v>833</v>
      </c>
      <c r="H197" t="s">
        <v>833</v>
      </c>
    </row>
    <row r="198" spans="1:19">
      <c r="A198" s="14" t="s">
        <v>478</v>
      </c>
      <c r="B198" t="s">
        <v>713</v>
      </c>
      <c r="C198" t="s">
        <v>713</v>
      </c>
      <c r="D198" t="s">
        <v>748</v>
      </c>
      <c r="E198" t="s">
        <v>749</v>
      </c>
      <c r="F198" t="s">
        <v>837</v>
      </c>
      <c r="G198" t="s">
        <v>837</v>
      </c>
      <c r="H198" t="s">
        <v>837</v>
      </c>
    </row>
    <row r="199" spans="1:19">
      <c r="A199" s="14" t="s">
        <v>479</v>
      </c>
      <c r="B199" t="s">
        <v>713</v>
      </c>
      <c r="C199" t="s">
        <v>713</v>
      </c>
      <c r="D199" t="s">
        <v>748</v>
      </c>
      <c r="E199" t="s">
        <v>749</v>
      </c>
      <c r="F199" t="s">
        <v>837</v>
      </c>
      <c r="G199" t="s">
        <v>837</v>
      </c>
      <c r="H199" t="s">
        <v>837</v>
      </c>
    </row>
    <row r="200" spans="1:19">
      <c r="A200" s="14" t="s">
        <v>480</v>
      </c>
      <c r="B200" t="s">
        <v>713</v>
      </c>
      <c r="C200" t="s">
        <v>713</v>
      </c>
      <c r="D200" t="s">
        <v>748</v>
      </c>
      <c r="E200" t="s">
        <v>749</v>
      </c>
      <c r="F200" t="s">
        <v>837</v>
      </c>
      <c r="G200" t="s">
        <v>837</v>
      </c>
      <c r="H200" t="s">
        <v>837</v>
      </c>
    </row>
    <row r="201" spans="1:19">
      <c r="A201" s="14" t="s">
        <v>481</v>
      </c>
      <c r="B201" t="s">
        <v>713</v>
      </c>
      <c r="C201" t="s">
        <v>713</v>
      </c>
      <c r="D201" t="s">
        <v>748</v>
      </c>
      <c r="E201" t="s">
        <v>749</v>
      </c>
      <c r="F201" t="s">
        <v>837</v>
      </c>
      <c r="G201" t="s">
        <v>837</v>
      </c>
      <c r="H201" t="s">
        <v>837</v>
      </c>
    </row>
    <row r="202" spans="1:19">
      <c r="A202" s="14" t="s">
        <v>482</v>
      </c>
      <c r="B202" t="s">
        <v>713</v>
      </c>
      <c r="C202" t="s">
        <v>713</v>
      </c>
      <c r="D202" t="s">
        <v>748</v>
      </c>
      <c r="E202" t="s">
        <v>749</v>
      </c>
      <c r="F202" t="s">
        <v>837</v>
      </c>
      <c r="G202" t="s">
        <v>837</v>
      </c>
      <c r="H202" t="s">
        <v>837</v>
      </c>
    </row>
    <row r="203" spans="1:19">
      <c r="A203" s="14" t="s">
        <v>483</v>
      </c>
      <c r="B203" t="s">
        <v>713</v>
      </c>
      <c r="C203" t="s">
        <v>713</v>
      </c>
      <c r="D203" t="s">
        <v>748</v>
      </c>
      <c r="E203" t="s">
        <v>749</v>
      </c>
      <c r="F203" t="s">
        <v>837</v>
      </c>
      <c r="G203" t="s">
        <v>837</v>
      </c>
      <c r="H203" t="s">
        <v>837</v>
      </c>
    </row>
    <row r="204" spans="1:19">
      <c r="A204" s="14" t="s">
        <v>484</v>
      </c>
      <c r="B204" t="s">
        <v>713</v>
      </c>
      <c r="C204" t="s">
        <v>713</v>
      </c>
      <c r="D204" t="s">
        <v>748</v>
      </c>
      <c r="E204" t="s">
        <v>749</v>
      </c>
      <c r="F204" t="s">
        <v>837</v>
      </c>
      <c r="G204" t="s">
        <v>837</v>
      </c>
      <c r="H204" t="s">
        <v>837</v>
      </c>
    </row>
    <row r="205" spans="1:19">
      <c r="A205" s="14" t="s">
        <v>485</v>
      </c>
      <c r="B205" t="s">
        <v>713</v>
      </c>
      <c r="C205" t="s">
        <v>713</v>
      </c>
      <c r="D205" t="s">
        <v>748</v>
      </c>
      <c r="E205" t="s">
        <v>749</v>
      </c>
      <c r="F205" t="s">
        <v>837</v>
      </c>
      <c r="G205" t="s">
        <v>837</v>
      </c>
      <c r="H205" t="s">
        <v>837</v>
      </c>
    </row>
    <row r="206" spans="1:19">
      <c r="A206" s="14" t="s">
        <v>486</v>
      </c>
      <c r="B206" t="s">
        <v>713</v>
      </c>
      <c r="C206" t="s">
        <v>713</v>
      </c>
      <c r="D206" t="s">
        <v>748</v>
      </c>
      <c r="E206" t="s">
        <v>749</v>
      </c>
      <c r="F206" t="s">
        <v>837</v>
      </c>
      <c r="G206" t="s">
        <v>837</v>
      </c>
      <c r="H206" t="s">
        <v>837</v>
      </c>
    </row>
    <row r="207" spans="1:19">
      <c r="A207" s="14" t="s">
        <v>487</v>
      </c>
      <c r="B207" t="s">
        <v>713</v>
      </c>
      <c r="C207" t="s">
        <v>713</v>
      </c>
      <c r="D207" t="s">
        <v>748</v>
      </c>
      <c r="E207" t="s">
        <v>749</v>
      </c>
      <c r="F207" t="s">
        <v>837</v>
      </c>
      <c r="G207" t="s">
        <v>837</v>
      </c>
      <c r="H207" t="s">
        <v>837</v>
      </c>
    </row>
    <row r="208" spans="1:19">
      <c r="A208" s="14" t="s">
        <v>488</v>
      </c>
      <c r="B208" t="s">
        <v>713</v>
      </c>
      <c r="C208" t="s">
        <v>713</v>
      </c>
      <c r="D208" t="s">
        <v>748</v>
      </c>
      <c r="E208" t="s">
        <v>749</v>
      </c>
      <c r="F208" t="s">
        <v>837</v>
      </c>
      <c r="G208" t="s">
        <v>837</v>
      </c>
      <c r="H208" t="s">
        <v>837</v>
      </c>
    </row>
    <row r="209" spans="1:8">
      <c r="A209" s="14" t="s">
        <v>489</v>
      </c>
      <c r="B209" t="s">
        <v>713</v>
      </c>
      <c r="C209" t="s">
        <v>713</v>
      </c>
      <c r="D209" t="s">
        <v>748</v>
      </c>
      <c r="E209" t="s">
        <v>749</v>
      </c>
      <c r="F209" t="s">
        <v>837</v>
      </c>
      <c r="G209" t="s">
        <v>837</v>
      </c>
      <c r="H209" t="s">
        <v>837</v>
      </c>
    </row>
    <row r="210" spans="1:8">
      <c r="A210" s="14" t="s">
        <v>490</v>
      </c>
      <c r="B210" t="s">
        <v>713</v>
      </c>
      <c r="C210" t="s">
        <v>713</v>
      </c>
      <c r="D210" t="s">
        <v>748</v>
      </c>
      <c r="E210" t="s">
        <v>749</v>
      </c>
      <c r="F210" t="s">
        <v>837</v>
      </c>
      <c r="G210" t="s">
        <v>837</v>
      </c>
      <c r="H210" t="s">
        <v>837</v>
      </c>
    </row>
    <row r="211" spans="1:8">
      <c r="A211" s="14" t="s">
        <v>491</v>
      </c>
      <c r="B211" t="s">
        <v>713</v>
      </c>
      <c r="C211" t="s">
        <v>713</v>
      </c>
      <c r="D211" t="s">
        <v>748</v>
      </c>
      <c r="E211" t="s">
        <v>749</v>
      </c>
      <c r="F211" t="s">
        <v>837</v>
      </c>
      <c r="G211" t="s">
        <v>837</v>
      </c>
      <c r="H211" t="s">
        <v>837</v>
      </c>
    </row>
    <row r="212" spans="1:8">
      <c r="A212" s="14" t="s">
        <v>492</v>
      </c>
      <c r="B212" t="s">
        <v>713</v>
      </c>
      <c r="C212" t="s">
        <v>713</v>
      </c>
      <c r="D212" t="s">
        <v>748</v>
      </c>
      <c r="E212" t="s">
        <v>749</v>
      </c>
      <c r="F212" t="s">
        <v>837</v>
      </c>
      <c r="G212" t="s">
        <v>837</v>
      </c>
      <c r="H212" t="s">
        <v>837</v>
      </c>
    </row>
    <row r="213" spans="1:8">
      <c r="A213" s="14" t="s">
        <v>493</v>
      </c>
      <c r="B213" t="s">
        <v>713</v>
      </c>
      <c r="C213" t="s">
        <v>713</v>
      </c>
      <c r="D213" t="s">
        <v>88</v>
      </c>
      <c r="E213" t="s">
        <v>749</v>
      </c>
      <c r="F213" t="s">
        <v>837</v>
      </c>
      <c r="G213" t="s">
        <v>837</v>
      </c>
      <c r="H213" t="s">
        <v>837</v>
      </c>
    </row>
    <row r="214" spans="1:8">
      <c r="A214" s="14" t="s">
        <v>494</v>
      </c>
      <c r="B214" t="s">
        <v>713</v>
      </c>
      <c r="C214" t="s">
        <v>713</v>
      </c>
      <c r="D214" t="s">
        <v>88</v>
      </c>
      <c r="E214" t="s">
        <v>749</v>
      </c>
      <c r="F214" t="s">
        <v>837</v>
      </c>
      <c r="G214" t="s">
        <v>837</v>
      </c>
      <c r="H214" t="s">
        <v>837</v>
      </c>
    </row>
    <row r="215" spans="1:8">
      <c r="A215" s="14" t="s">
        <v>795</v>
      </c>
      <c r="B215" t="s">
        <v>713</v>
      </c>
      <c r="C215" t="s">
        <v>713</v>
      </c>
      <c r="D215" t="s">
        <v>748</v>
      </c>
      <c r="E215" t="s">
        <v>749</v>
      </c>
      <c r="F215" t="s">
        <v>837</v>
      </c>
      <c r="G215" t="s">
        <v>837</v>
      </c>
      <c r="H215" t="s">
        <v>837</v>
      </c>
    </row>
    <row r="216" spans="1:8">
      <c r="A216" s="14" t="s">
        <v>495</v>
      </c>
      <c r="B216" t="s">
        <v>713</v>
      </c>
      <c r="C216" t="s">
        <v>713</v>
      </c>
      <c r="D216" t="s">
        <v>88</v>
      </c>
      <c r="E216" t="s">
        <v>749</v>
      </c>
      <c r="F216" t="s">
        <v>837</v>
      </c>
      <c r="G216" t="s">
        <v>837</v>
      </c>
      <c r="H216" t="s">
        <v>837</v>
      </c>
    </row>
    <row r="217" spans="1:8">
      <c r="A217" s="14" t="s">
        <v>496</v>
      </c>
      <c r="B217" t="s">
        <v>713</v>
      </c>
      <c r="C217" t="s">
        <v>713</v>
      </c>
      <c r="D217" t="s">
        <v>88</v>
      </c>
      <c r="E217" t="s">
        <v>749</v>
      </c>
      <c r="F217" t="s">
        <v>837</v>
      </c>
      <c r="G217" t="s">
        <v>837</v>
      </c>
      <c r="H217" t="s">
        <v>837</v>
      </c>
    </row>
    <row r="218" spans="1:8">
      <c r="A218" s="14" t="s">
        <v>497</v>
      </c>
      <c r="B218" t="s">
        <v>713</v>
      </c>
      <c r="C218" t="s">
        <v>713</v>
      </c>
      <c r="D218" t="s">
        <v>88</v>
      </c>
      <c r="E218" t="s">
        <v>88</v>
      </c>
      <c r="F218" t="s">
        <v>837</v>
      </c>
      <c r="G218" t="s">
        <v>837</v>
      </c>
      <c r="H218" t="s">
        <v>837</v>
      </c>
    </row>
    <row r="219" spans="1:8">
      <c r="A219" s="14" t="s">
        <v>498</v>
      </c>
      <c r="B219" t="s">
        <v>713</v>
      </c>
      <c r="C219" t="s">
        <v>713</v>
      </c>
      <c r="D219" t="s">
        <v>88</v>
      </c>
      <c r="E219" t="s">
        <v>88</v>
      </c>
      <c r="F219" t="s">
        <v>837</v>
      </c>
      <c r="G219" t="s">
        <v>837</v>
      </c>
      <c r="H219" t="s">
        <v>837</v>
      </c>
    </row>
    <row r="220" spans="1:8">
      <c r="A220" s="14" t="s">
        <v>499</v>
      </c>
      <c r="B220" t="s">
        <v>713</v>
      </c>
      <c r="C220" t="s">
        <v>713</v>
      </c>
      <c r="D220" t="s">
        <v>748</v>
      </c>
      <c r="E220" t="s">
        <v>749</v>
      </c>
      <c r="F220" t="s">
        <v>837</v>
      </c>
      <c r="G220" t="s">
        <v>837</v>
      </c>
      <c r="H220" t="s">
        <v>837</v>
      </c>
    </row>
    <row r="221" spans="1:8">
      <c r="A221" s="14" t="s">
        <v>500</v>
      </c>
      <c r="B221" t="s">
        <v>713</v>
      </c>
      <c r="C221" t="s">
        <v>713</v>
      </c>
      <c r="D221" t="s">
        <v>748</v>
      </c>
      <c r="E221" t="s">
        <v>749</v>
      </c>
      <c r="F221" t="s">
        <v>837</v>
      </c>
      <c r="G221" t="s">
        <v>837</v>
      </c>
      <c r="H221" t="s">
        <v>837</v>
      </c>
    </row>
    <row r="222" spans="1:8">
      <c r="A222" s="14" t="s">
        <v>501</v>
      </c>
      <c r="B222" t="s">
        <v>713</v>
      </c>
      <c r="C222" t="s">
        <v>713</v>
      </c>
      <c r="D222" t="s">
        <v>748</v>
      </c>
      <c r="E222" t="s">
        <v>749</v>
      </c>
      <c r="F222" t="s">
        <v>837</v>
      </c>
      <c r="G222" t="s">
        <v>837</v>
      </c>
      <c r="H222" t="s">
        <v>837</v>
      </c>
    </row>
    <row r="223" spans="1:8">
      <c r="A223" s="14" t="s">
        <v>502</v>
      </c>
      <c r="B223" t="s">
        <v>713</v>
      </c>
      <c r="C223" t="s">
        <v>713</v>
      </c>
      <c r="D223" t="s">
        <v>748</v>
      </c>
      <c r="E223" t="s">
        <v>749</v>
      </c>
      <c r="F223" t="s">
        <v>837</v>
      </c>
      <c r="G223" t="s">
        <v>837</v>
      </c>
      <c r="H223" t="s">
        <v>837</v>
      </c>
    </row>
    <row r="224" spans="1:8">
      <c r="A224" s="14" t="s">
        <v>503</v>
      </c>
      <c r="B224" t="s">
        <v>713</v>
      </c>
      <c r="C224" t="s">
        <v>713</v>
      </c>
      <c r="D224" t="s">
        <v>88</v>
      </c>
      <c r="E224" t="s">
        <v>88</v>
      </c>
      <c r="F224" t="s">
        <v>837</v>
      </c>
      <c r="G224" t="s">
        <v>837</v>
      </c>
      <c r="H224" t="s">
        <v>837</v>
      </c>
    </row>
    <row r="225" spans="1:19">
      <c r="A225" s="14" t="s">
        <v>504</v>
      </c>
      <c r="B225" t="s">
        <v>713</v>
      </c>
      <c r="C225" t="s">
        <v>713</v>
      </c>
      <c r="D225" t="s">
        <v>748</v>
      </c>
      <c r="E225" t="s">
        <v>749</v>
      </c>
      <c r="F225" t="s">
        <v>837</v>
      </c>
      <c r="G225" t="s">
        <v>837</v>
      </c>
      <c r="H225" t="s">
        <v>837</v>
      </c>
    </row>
    <row r="226" spans="1:19">
      <c r="A226" s="40" t="s">
        <v>505</v>
      </c>
      <c r="B226" t="s">
        <v>88</v>
      </c>
      <c r="C226" t="s">
        <v>88</v>
      </c>
      <c r="D226" t="s">
        <v>88</v>
      </c>
      <c r="E226" t="s">
        <v>88</v>
      </c>
      <c r="F226" t="s">
        <v>833</v>
      </c>
      <c r="G226" t="s">
        <v>833</v>
      </c>
      <c r="H226" t="s">
        <v>833</v>
      </c>
      <c r="I226" t="s">
        <v>890</v>
      </c>
      <c r="J226" t="s">
        <v>992</v>
      </c>
      <c r="K226" t="s">
        <v>1049</v>
      </c>
      <c r="R226" t="s">
        <v>1322</v>
      </c>
      <c r="S226" s="49" t="s">
        <v>1329</v>
      </c>
    </row>
    <row r="227" spans="1:19">
      <c r="A227" s="40" t="s">
        <v>506</v>
      </c>
      <c r="B227" t="s">
        <v>88</v>
      </c>
      <c r="C227" t="s">
        <v>88</v>
      </c>
      <c r="D227" t="s">
        <v>88</v>
      </c>
      <c r="E227" t="s">
        <v>88</v>
      </c>
      <c r="F227" t="s">
        <v>833</v>
      </c>
      <c r="G227" t="s">
        <v>833</v>
      </c>
      <c r="H227" t="s">
        <v>833</v>
      </c>
      <c r="I227" t="s">
        <v>890</v>
      </c>
      <c r="J227" t="s">
        <v>1000</v>
      </c>
      <c r="K227" t="s">
        <v>1070</v>
      </c>
      <c r="R227" s="49" t="s">
        <v>1329</v>
      </c>
      <c r="S227" s="43"/>
    </row>
    <row r="228" spans="1:19">
      <c r="A228" s="14" t="s">
        <v>507</v>
      </c>
      <c r="B228" t="s">
        <v>88</v>
      </c>
      <c r="C228" t="s">
        <v>713</v>
      </c>
      <c r="D228" t="s">
        <v>748</v>
      </c>
      <c r="E228" t="s">
        <v>749</v>
      </c>
      <c r="F228" t="s">
        <v>837</v>
      </c>
      <c r="G228" t="s">
        <v>837</v>
      </c>
      <c r="H228" t="s">
        <v>837</v>
      </c>
    </row>
    <row r="229" spans="1:19">
      <c r="A229" s="14" t="s">
        <v>508</v>
      </c>
      <c r="B229" t="s">
        <v>88</v>
      </c>
      <c r="C229" t="s">
        <v>713</v>
      </c>
      <c r="D229" t="s">
        <v>88</v>
      </c>
      <c r="E229" t="s">
        <v>88</v>
      </c>
      <c r="F229" t="s">
        <v>833</v>
      </c>
      <c r="G229" t="s">
        <v>833</v>
      </c>
      <c r="H229" t="s">
        <v>837</v>
      </c>
    </row>
    <row r="230" spans="1:19">
      <c r="A230" s="14" t="s">
        <v>509</v>
      </c>
      <c r="B230" t="s">
        <v>713</v>
      </c>
      <c r="C230" t="s">
        <v>713</v>
      </c>
      <c r="D230" t="s">
        <v>88</v>
      </c>
      <c r="E230" t="s">
        <v>88</v>
      </c>
      <c r="F230" t="s">
        <v>833</v>
      </c>
      <c r="G230" t="s">
        <v>833</v>
      </c>
      <c r="H230" t="s">
        <v>837</v>
      </c>
    </row>
    <row r="231" spans="1:19">
      <c r="A231" s="14" t="s">
        <v>510</v>
      </c>
      <c r="B231" t="s">
        <v>88</v>
      </c>
      <c r="C231" t="s">
        <v>88</v>
      </c>
      <c r="D231" t="s">
        <v>88</v>
      </c>
      <c r="E231" t="s">
        <v>88</v>
      </c>
      <c r="F231" t="s">
        <v>833</v>
      </c>
      <c r="G231" t="s">
        <v>833</v>
      </c>
      <c r="H231" t="s">
        <v>837</v>
      </c>
    </row>
  </sheetData>
  <phoneticPr fontId="4" type="noConversion"/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4" tint="0.59999389629810485"/>
  </sheetPr>
  <dimension ref="A1:R5"/>
  <sheetViews>
    <sheetView workbookViewId="0">
      <selection activeCell="M1" sqref="M1"/>
    </sheetView>
  </sheetViews>
  <sheetFormatPr defaultRowHeight="15"/>
  <cols>
    <col min="1" max="1" width="40.5703125" bestFit="1" customWidth="1"/>
    <col min="2" max="2" width="20" hidden="1" customWidth="1"/>
    <col min="3" max="3" width="22.5703125" hidden="1" customWidth="1"/>
    <col min="4" max="5" width="9.140625" hidden="1" customWidth="1"/>
    <col min="6" max="6" width="20.85546875" hidden="1" customWidth="1"/>
    <col min="7" max="7" width="9.140625" hidden="1" customWidth="1"/>
    <col min="8" max="8" width="20" hidden="1" customWidth="1"/>
    <col min="9" max="10" width="0" hidden="1" customWidth="1"/>
  </cols>
  <sheetData>
    <row r="1" spans="1:18">
      <c r="A1" s="6" t="s">
        <v>1</v>
      </c>
      <c r="B1" s="2" t="s">
        <v>704</v>
      </c>
      <c r="C1" s="2" t="s">
        <v>730</v>
      </c>
      <c r="D1" s="2" t="s">
        <v>710</v>
      </c>
      <c r="E1" s="2" t="s">
        <v>769</v>
      </c>
      <c r="F1" s="2" t="s">
        <v>699</v>
      </c>
      <c r="G1" s="2" t="s">
        <v>855</v>
      </c>
      <c r="H1" s="2" t="s">
        <v>876</v>
      </c>
      <c r="I1" t="s">
        <v>966</v>
      </c>
      <c r="J1" t="s">
        <v>990</v>
      </c>
      <c r="K1" s="2" t="s">
        <v>701</v>
      </c>
      <c r="L1" s="2" t="s">
        <v>1097</v>
      </c>
      <c r="M1" t="s">
        <v>1142</v>
      </c>
    </row>
    <row r="2" spans="1:18">
      <c r="A2" s="14" t="s">
        <v>511</v>
      </c>
      <c r="B2" t="s">
        <v>739</v>
      </c>
      <c r="C2" t="s">
        <v>736</v>
      </c>
      <c r="D2" t="s">
        <v>88</v>
      </c>
      <c r="E2" t="s">
        <v>88</v>
      </c>
      <c r="F2" t="s">
        <v>856</v>
      </c>
      <c r="G2" t="s">
        <v>856</v>
      </c>
      <c r="H2" t="s">
        <v>859</v>
      </c>
      <c r="R2" s="8" t="s">
        <v>938</v>
      </c>
    </row>
    <row r="3" spans="1:18">
      <c r="A3" s="14" t="s">
        <v>512</v>
      </c>
      <c r="B3" t="s">
        <v>88</v>
      </c>
      <c r="C3" t="s">
        <v>88</v>
      </c>
      <c r="D3" t="s">
        <v>88</v>
      </c>
      <c r="E3" t="s">
        <v>88</v>
      </c>
      <c r="F3" t="s">
        <v>856</v>
      </c>
      <c r="G3" t="s">
        <v>833</v>
      </c>
      <c r="H3" t="s">
        <v>806</v>
      </c>
      <c r="I3" t="s">
        <v>890</v>
      </c>
      <c r="J3" t="s">
        <v>992</v>
      </c>
      <c r="K3" t="s">
        <v>1112</v>
      </c>
      <c r="L3" t="s">
        <v>1113</v>
      </c>
      <c r="P3" t="s">
        <v>935</v>
      </c>
      <c r="Q3">
        <v>3</v>
      </c>
    </row>
    <row r="4" spans="1:18">
      <c r="A4" s="14" t="s">
        <v>513</v>
      </c>
      <c r="B4" t="s">
        <v>88</v>
      </c>
      <c r="C4" t="s">
        <v>88</v>
      </c>
      <c r="D4" t="s">
        <v>88</v>
      </c>
      <c r="E4" t="s">
        <v>88</v>
      </c>
      <c r="F4" t="s">
        <v>856</v>
      </c>
      <c r="G4" t="s">
        <v>856</v>
      </c>
      <c r="H4" t="s">
        <v>832</v>
      </c>
      <c r="I4" t="s">
        <v>890</v>
      </c>
      <c r="J4" t="s">
        <v>997</v>
      </c>
      <c r="K4" t="s">
        <v>1067</v>
      </c>
      <c r="L4" t="s">
        <v>1067</v>
      </c>
      <c r="P4" t="s">
        <v>936</v>
      </c>
      <c r="Q4">
        <v>0</v>
      </c>
      <c r="R4">
        <f>Q4/Q3*100</f>
        <v>0</v>
      </c>
    </row>
    <row r="5" spans="1:18">
      <c r="P5" t="s">
        <v>937</v>
      </c>
      <c r="Q5">
        <f>Q3-Q4</f>
        <v>3</v>
      </c>
      <c r="R5">
        <f>100-R4</f>
        <v>100</v>
      </c>
    </row>
  </sheetData>
  <phoneticPr fontId="4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6">
    <tabColor theme="4" tint="0.59999389629810485"/>
  </sheetPr>
  <dimension ref="A1:Q7"/>
  <sheetViews>
    <sheetView workbookViewId="0">
      <selection activeCell="L1" sqref="L1"/>
    </sheetView>
  </sheetViews>
  <sheetFormatPr defaultRowHeight="15"/>
  <cols>
    <col min="1" max="1" width="39.85546875" bestFit="1" customWidth="1"/>
    <col min="2" max="2" width="20" hidden="1" customWidth="1"/>
    <col min="3" max="3" width="22.5703125" hidden="1" customWidth="1"/>
    <col min="4" max="5" width="9.140625" hidden="1" customWidth="1"/>
    <col min="6" max="6" width="20.85546875" hidden="1" customWidth="1"/>
    <col min="7" max="7" width="19.7109375" hidden="1" customWidth="1"/>
    <col min="8" max="8" width="20" hidden="1" customWidth="1"/>
    <col min="9" max="9" width="9.140625" hidden="1" customWidth="1"/>
    <col min="10" max="10" width="17.42578125" customWidth="1"/>
    <col min="11" max="11" width="15.42578125" customWidth="1"/>
  </cols>
  <sheetData>
    <row r="1" spans="1:17">
      <c r="A1" s="6" t="s">
        <v>1</v>
      </c>
      <c r="B1" s="2" t="s">
        <v>704</v>
      </c>
      <c r="C1" s="2" t="s">
        <v>740</v>
      </c>
      <c r="D1" s="2" t="s">
        <v>710</v>
      </c>
      <c r="E1" s="2" t="s">
        <v>746</v>
      </c>
      <c r="F1" s="2" t="s">
        <v>699</v>
      </c>
      <c r="G1" s="2" t="s">
        <v>804</v>
      </c>
      <c r="H1" s="2" t="s">
        <v>876</v>
      </c>
      <c r="I1" t="s">
        <v>990</v>
      </c>
      <c r="J1" s="2" t="s">
        <v>701</v>
      </c>
      <c r="K1" s="2" t="s">
        <v>1097</v>
      </c>
      <c r="L1" t="s">
        <v>1142</v>
      </c>
    </row>
    <row r="2" spans="1:17">
      <c r="A2" s="14" t="s">
        <v>796</v>
      </c>
      <c r="B2" t="s">
        <v>696</v>
      </c>
      <c r="C2" t="s">
        <v>88</v>
      </c>
      <c r="D2" t="s">
        <v>88</v>
      </c>
      <c r="E2" t="s">
        <v>88</v>
      </c>
      <c r="F2" t="s">
        <v>806</v>
      </c>
      <c r="G2" t="s">
        <v>806</v>
      </c>
      <c r="H2" t="s">
        <v>882</v>
      </c>
      <c r="Q2" s="8" t="s">
        <v>938</v>
      </c>
    </row>
    <row r="3" spans="1:17">
      <c r="A3" s="14" t="s">
        <v>514</v>
      </c>
      <c r="B3" t="s">
        <v>713</v>
      </c>
      <c r="C3" t="s">
        <v>88</v>
      </c>
      <c r="D3" t="s">
        <v>88</v>
      </c>
      <c r="E3" t="s">
        <v>88</v>
      </c>
      <c r="F3" t="s">
        <v>806</v>
      </c>
      <c r="G3" t="s">
        <v>833</v>
      </c>
      <c r="H3" t="s">
        <v>806</v>
      </c>
      <c r="O3" t="s">
        <v>935</v>
      </c>
      <c r="P3">
        <v>6</v>
      </c>
    </row>
    <row r="4" spans="1:17">
      <c r="A4" s="14" t="s">
        <v>515</v>
      </c>
      <c r="B4" t="s">
        <v>696</v>
      </c>
      <c r="C4" t="s">
        <v>88</v>
      </c>
      <c r="D4" t="s">
        <v>88</v>
      </c>
      <c r="E4" t="s">
        <v>88</v>
      </c>
      <c r="F4" t="s">
        <v>806</v>
      </c>
      <c r="G4" t="s">
        <v>806</v>
      </c>
      <c r="H4" t="s">
        <v>806</v>
      </c>
      <c r="O4" t="s">
        <v>936</v>
      </c>
      <c r="P4">
        <v>0</v>
      </c>
      <c r="Q4">
        <f>P4/P3*100</f>
        <v>0</v>
      </c>
    </row>
    <row r="5" spans="1:17">
      <c r="A5" s="14" t="s">
        <v>516</v>
      </c>
      <c r="B5" t="s">
        <v>88</v>
      </c>
      <c r="C5" t="s">
        <v>88</v>
      </c>
      <c r="D5" t="s">
        <v>88</v>
      </c>
      <c r="E5" t="s">
        <v>88</v>
      </c>
      <c r="F5" t="s">
        <v>806</v>
      </c>
      <c r="G5" t="s">
        <v>806</v>
      </c>
      <c r="H5" t="s">
        <v>705</v>
      </c>
      <c r="O5" t="s">
        <v>937</v>
      </c>
      <c r="P5">
        <f>P3-P4</f>
        <v>6</v>
      </c>
      <c r="Q5">
        <f>100-Q4</f>
        <v>100</v>
      </c>
    </row>
    <row r="6" spans="1:17">
      <c r="A6" s="14" t="s">
        <v>517</v>
      </c>
      <c r="B6" t="s">
        <v>88</v>
      </c>
      <c r="C6" t="s">
        <v>88</v>
      </c>
      <c r="D6" t="s">
        <v>88</v>
      </c>
      <c r="E6" t="s">
        <v>88</v>
      </c>
      <c r="F6" t="s">
        <v>806</v>
      </c>
      <c r="G6" t="s">
        <v>833</v>
      </c>
      <c r="H6" t="s">
        <v>837</v>
      </c>
    </row>
    <row r="7" spans="1:17">
      <c r="A7" s="14" t="s">
        <v>518</v>
      </c>
      <c r="B7" t="s">
        <v>713</v>
      </c>
      <c r="C7" t="s">
        <v>738</v>
      </c>
      <c r="D7" t="s">
        <v>88</v>
      </c>
      <c r="E7" t="s">
        <v>88</v>
      </c>
      <c r="F7" t="s">
        <v>806</v>
      </c>
      <c r="G7" t="s">
        <v>806</v>
      </c>
      <c r="H7" t="s">
        <v>705</v>
      </c>
    </row>
  </sheetData>
  <phoneticPr fontId="4" type="noConversion"/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7">
    <tabColor theme="4" tint="0.59999389629810485"/>
  </sheetPr>
  <dimension ref="A1:V127"/>
  <sheetViews>
    <sheetView topLeftCell="A107" zoomScaleNormal="100" workbookViewId="0">
      <selection activeCell="F115" sqref="F115"/>
    </sheetView>
  </sheetViews>
  <sheetFormatPr defaultRowHeight="15"/>
  <cols>
    <col min="1" max="1" width="51.28515625" bestFit="1" customWidth="1"/>
    <col min="2" max="17" width="8.7109375" customWidth="1"/>
  </cols>
  <sheetData>
    <row r="1" spans="1:22">
      <c r="A1" s="6" t="s">
        <v>1</v>
      </c>
      <c r="B1" s="2" t="s">
        <v>704</v>
      </c>
      <c r="C1" s="2" t="s">
        <v>711</v>
      </c>
      <c r="D1" s="2" t="s">
        <v>710</v>
      </c>
      <c r="E1" s="2" t="s">
        <v>770</v>
      </c>
      <c r="F1" s="2" t="s">
        <v>699</v>
      </c>
      <c r="G1" s="2" t="s">
        <v>804</v>
      </c>
      <c r="H1" s="2" t="s">
        <v>883</v>
      </c>
      <c r="I1" t="s">
        <v>966</v>
      </c>
      <c r="J1" t="s">
        <v>990</v>
      </c>
      <c r="K1" s="2" t="s">
        <v>701</v>
      </c>
      <c r="L1" s="2" t="s">
        <v>1097</v>
      </c>
      <c r="M1" t="s">
        <v>1142</v>
      </c>
      <c r="N1" s="44" t="s">
        <v>1225</v>
      </c>
      <c r="O1" s="44" t="s">
        <v>1224</v>
      </c>
      <c r="P1" s="44" t="s">
        <v>1169</v>
      </c>
      <c r="Q1" t="s">
        <v>1300</v>
      </c>
      <c r="R1" s="44" t="s">
        <v>1169</v>
      </c>
      <c r="S1" s="44" t="s">
        <v>1344</v>
      </c>
    </row>
    <row r="2" spans="1:22">
      <c r="A2" s="14" t="s">
        <v>519</v>
      </c>
      <c r="B2" t="s">
        <v>88</v>
      </c>
      <c r="C2" t="s">
        <v>88</v>
      </c>
      <c r="D2" t="s">
        <v>88</v>
      </c>
      <c r="E2" t="s">
        <v>88</v>
      </c>
      <c r="F2" t="s">
        <v>806</v>
      </c>
      <c r="G2" t="s">
        <v>856</v>
      </c>
      <c r="H2" t="s">
        <v>806</v>
      </c>
      <c r="I2" t="s">
        <v>895</v>
      </c>
      <c r="J2" t="s">
        <v>994</v>
      </c>
      <c r="K2" t="s">
        <v>1049</v>
      </c>
      <c r="L2" t="s">
        <v>1049</v>
      </c>
      <c r="M2" t="s">
        <v>1049</v>
      </c>
      <c r="N2" t="s">
        <v>1049</v>
      </c>
      <c r="O2" t="s">
        <v>1049</v>
      </c>
      <c r="P2" t="s">
        <v>1171</v>
      </c>
      <c r="R2" t="s">
        <v>806</v>
      </c>
      <c r="V2" s="8" t="s">
        <v>938</v>
      </c>
    </row>
    <row r="3" spans="1:22">
      <c r="A3" t="s">
        <v>520</v>
      </c>
      <c r="B3" t="s">
        <v>88</v>
      </c>
      <c r="C3" t="s">
        <v>88</v>
      </c>
      <c r="D3" t="s">
        <v>88</v>
      </c>
      <c r="E3" t="s">
        <v>88</v>
      </c>
      <c r="F3" t="s">
        <v>856</v>
      </c>
      <c r="G3" t="s">
        <v>856</v>
      </c>
      <c r="H3" t="s">
        <v>882</v>
      </c>
      <c r="I3" t="s">
        <v>890</v>
      </c>
      <c r="J3" t="s">
        <v>992</v>
      </c>
      <c r="K3" t="s">
        <v>1049</v>
      </c>
      <c r="L3" t="s">
        <v>1105</v>
      </c>
      <c r="M3" t="s">
        <v>1145</v>
      </c>
      <c r="N3" t="s">
        <v>1145</v>
      </c>
      <c r="O3" t="s">
        <v>1145</v>
      </c>
      <c r="P3" t="s">
        <v>1170</v>
      </c>
      <c r="R3" t="s">
        <v>806</v>
      </c>
      <c r="S3" t="s">
        <v>806</v>
      </c>
      <c r="T3" t="s">
        <v>935</v>
      </c>
      <c r="U3">
        <v>126</v>
      </c>
    </row>
    <row r="4" spans="1:22">
      <c r="A4" s="14" t="s">
        <v>521</v>
      </c>
      <c r="B4" t="s">
        <v>88</v>
      </c>
      <c r="C4" t="s">
        <v>88</v>
      </c>
      <c r="D4" t="s">
        <v>88</v>
      </c>
      <c r="E4" t="s">
        <v>748</v>
      </c>
      <c r="F4" t="s">
        <v>856</v>
      </c>
      <c r="G4" t="s">
        <v>856</v>
      </c>
      <c r="H4" t="s">
        <v>882</v>
      </c>
      <c r="P4" t="s">
        <v>1172</v>
      </c>
      <c r="R4" t="s">
        <v>806</v>
      </c>
      <c r="T4" t="s">
        <v>936</v>
      </c>
      <c r="U4">
        <v>85</v>
      </c>
      <c r="V4">
        <f>U4/U3*100</f>
        <v>67.460317460317469</v>
      </c>
    </row>
    <row r="5" spans="1:22">
      <c r="A5" t="s">
        <v>522</v>
      </c>
      <c r="B5" t="s">
        <v>88</v>
      </c>
      <c r="C5" t="s">
        <v>88</v>
      </c>
      <c r="D5" t="s">
        <v>88</v>
      </c>
      <c r="E5" t="s">
        <v>88</v>
      </c>
      <c r="F5" t="s">
        <v>856</v>
      </c>
      <c r="G5" t="s">
        <v>856</v>
      </c>
      <c r="H5" t="s">
        <v>806</v>
      </c>
      <c r="I5" t="s">
        <v>890</v>
      </c>
      <c r="J5" t="s">
        <v>992</v>
      </c>
      <c r="K5" t="s">
        <v>1050</v>
      </c>
      <c r="L5" t="s">
        <v>1050</v>
      </c>
      <c r="M5" t="s">
        <v>1143</v>
      </c>
      <c r="N5" t="s">
        <v>1143</v>
      </c>
      <c r="O5" t="s">
        <v>1143</v>
      </c>
      <c r="P5" t="s">
        <v>1171</v>
      </c>
      <c r="R5" t="s">
        <v>1322</v>
      </c>
      <c r="S5" t="s">
        <v>806</v>
      </c>
      <c r="T5" t="s">
        <v>937</v>
      </c>
      <c r="U5">
        <f>U3-U4</f>
        <v>41</v>
      </c>
      <c r="V5">
        <f>100-V4</f>
        <v>32.539682539682531</v>
      </c>
    </row>
    <row r="6" spans="1:22">
      <c r="A6" t="s">
        <v>523</v>
      </c>
      <c r="B6" t="s">
        <v>88</v>
      </c>
      <c r="C6" t="s">
        <v>88</v>
      </c>
      <c r="D6" t="s">
        <v>88</v>
      </c>
      <c r="E6" t="s">
        <v>88</v>
      </c>
      <c r="F6" t="s">
        <v>856</v>
      </c>
      <c r="G6" t="s">
        <v>856</v>
      </c>
      <c r="H6" t="s">
        <v>882</v>
      </c>
      <c r="I6" t="s">
        <v>892</v>
      </c>
      <c r="J6" t="s">
        <v>997</v>
      </c>
      <c r="K6" t="s">
        <v>1050</v>
      </c>
      <c r="L6" t="s">
        <v>1049</v>
      </c>
      <c r="M6" t="s">
        <v>1144</v>
      </c>
      <c r="N6" t="s">
        <v>908</v>
      </c>
      <c r="O6" t="s">
        <v>908</v>
      </c>
      <c r="P6" t="s">
        <v>1173</v>
      </c>
      <c r="R6" t="s">
        <v>806</v>
      </c>
      <c r="S6" t="s">
        <v>1326</v>
      </c>
    </row>
    <row r="7" spans="1:22">
      <c r="A7" t="s">
        <v>524</v>
      </c>
      <c r="B7" t="s">
        <v>88</v>
      </c>
      <c r="C7" t="s">
        <v>88</v>
      </c>
      <c r="D7" t="s">
        <v>88</v>
      </c>
      <c r="E7" t="s">
        <v>88</v>
      </c>
      <c r="F7" t="s">
        <v>856</v>
      </c>
      <c r="G7" t="s">
        <v>833</v>
      </c>
      <c r="H7" t="s">
        <v>833</v>
      </c>
      <c r="I7" t="s">
        <v>896</v>
      </c>
      <c r="J7" t="s">
        <v>994</v>
      </c>
      <c r="K7" t="s">
        <v>1051</v>
      </c>
      <c r="L7" t="s">
        <v>1049</v>
      </c>
      <c r="M7" t="s">
        <v>1144</v>
      </c>
      <c r="N7" t="s">
        <v>908</v>
      </c>
      <c r="O7" t="s">
        <v>908</v>
      </c>
      <c r="P7" t="s">
        <v>1173</v>
      </c>
      <c r="R7" t="s">
        <v>1322</v>
      </c>
      <c r="S7" t="s">
        <v>1322</v>
      </c>
    </row>
    <row r="8" spans="1:22">
      <c r="A8" t="s">
        <v>525</v>
      </c>
      <c r="B8" t="s">
        <v>88</v>
      </c>
      <c r="C8" t="s">
        <v>88</v>
      </c>
      <c r="D8" t="s">
        <v>88</v>
      </c>
      <c r="E8" t="s">
        <v>88</v>
      </c>
      <c r="F8" t="s">
        <v>856</v>
      </c>
      <c r="G8" t="s">
        <v>856</v>
      </c>
      <c r="H8" t="s">
        <v>806</v>
      </c>
      <c r="I8" t="s">
        <v>890</v>
      </c>
      <c r="J8" t="s">
        <v>994</v>
      </c>
      <c r="K8" t="s">
        <v>1049</v>
      </c>
      <c r="L8" t="s">
        <v>1106</v>
      </c>
      <c r="M8" t="s">
        <v>1145</v>
      </c>
      <c r="N8" t="s">
        <v>1145</v>
      </c>
      <c r="O8" t="s">
        <v>1145</v>
      </c>
      <c r="P8" t="s">
        <v>1171</v>
      </c>
      <c r="R8" t="s">
        <v>806</v>
      </c>
      <c r="S8" t="s">
        <v>1322</v>
      </c>
    </row>
    <row r="9" spans="1:22">
      <c r="A9" t="s">
        <v>526</v>
      </c>
      <c r="B9" t="s">
        <v>88</v>
      </c>
      <c r="C9" t="s">
        <v>88</v>
      </c>
      <c r="D9" t="s">
        <v>88</v>
      </c>
      <c r="E9" t="s">
        <v>88</v>
      </c>
      <c r="F9" t="s">
        <v>856</v>
      </c>
      <c r="G9" t="s">
        <v>856</v>
      </c>
      <c r="H9" t="s">
        <v>882</v>
      </c>
      <c r="I9" t="s">
        <v>894</v>
      </c>
      <c r="J9" t="s">
        <v>1008</v>
      </c>
      <c r="K9" t="s">
        <v>1049</v>
      </c>
      <c r="L9" t="s">
        <v>1049</v>
      </c>
      <c r="M9" t="s">
        <v>1144</v>
      </c>
      <c r="N9" t="s">
        <v>908</v>
      </c>
      <c r="O9" t="s">
        <v>908</v>
      </c>
      <c r="P9" t="s">
        <v>1172</v>
      </c>
      <c r="R9" t="s">
        <v>806</v>
      </c>
      <c r="S9" t="s">
        <v>806</v>
      </c>
    </row>
    <row r="10" spans="1:22">
      <c r="A10" s="14" t="s">
        <v>527</v>
      </c>
      <c r="B10" t="s">
        <v>88</v>
      </c>
      <c r="C10" t="s">
        <v>88</v>
      </c>
      <c r="D10" t="s">
        <v>88</v>
      </c>
      <c r="E10" t="s">
        <v>748</v>
      </c>
      <c r="F10" t="s">
        <v>857</v>
      </c>
      <c r="G10" t="s">
        <v>857</v>
      </c>
      <c r="H10" t="s">
        <v>882</v>
      </c>
      <c r="P10" t="s">
        <v>1173</v>
      </c>
      <c r="R10" t="s">
        <v>1322</v>
      </c>
    </row>
    <row r="11" spans="1:22">
      <c r="A11" s="14" t="s">
        <v>528</v>
      </c>
      <c r="B11" t="s">
        <v>89</v>
      </c>
      <c r="C11" t="s">
        <v>696</v>
      </c>
      <c r="D11" t="s">
        <v>748</v>
      </c>
      <c r="E11" t="s">
        <v>748</v>
      </c>
      <c r="F11" t="s">
        <v>857</v>
      </c>
      <c r="G11" t="s">
        <v>857</v>
      </c>
      <c r="H11" t="s">
        <v>884</v>
      </c>
      <c r="P11" t="s">
        <v>1174</v>
      </c>
      <c r="R11" t="s">
        <v>1345</v>
      </c>
    </row>
    <row r="12" spans="1:22">
      <c r="A12" t="s">
        <v>529</v>
      </c>
      <c r="B12" t="s">
        <v>88</v>
      </c>
      <c r="C12" t="s">
        <v>88</v>
      </c>
      <c r="D12" t="s">
        <v>88</v>
      </c>
      <c r="E12" t="s">
        <v>88</v>
      </c>
      <c r="F12" t="s">
        <v>856</v>
      </c>
      <c r="G12" t="s">
        <v>856</v>
      </c>
      <c r="H12" t="s">
        <v>833</v>
      </c>
      <c r="I12" t="s">
        <v>890</v>
      </c>
      <c r="J12" t="s">
        <v>1009</v>
      </c>
      <c r="K12" t="s">
        <v>1049</v>
      </c>
      <c r="L12" t="s">
        <v>1050</v>
      </c>
      <c r="M12" t="s">
        <v>1144</v>
      </c>
      <c r="N12" t="s">
        <v>908</v>
      </c>
      <c r="O12" t="s">
        <v>908</v>
      </c>
      <c r="P12" t="s">
        <v>1175</v>
      </c>
      <c r="R12" t="s">
        <v>1322</v>
      </c>
      <c r="S12" t="s">
        <v>1322</v>
      </c>
    </row>
    <row r="13" spans="1:22">
      <c r="A13" s="14" t="s">
        <v>530</v>
      </c>
      <c r="B13" t="s">
        <v>88</v>
      </c>
      <c r="C13" t="s">
        <v>88</v>
      </c>
      <c r="D13" t="s">
        <v>88</v>
      </c>
      <c r="E13" t="s">
        <v>748</v>
      </c>
      <c r="F13" t="s">
        <v>833</v>
      </c>
      <c r="G13" t="s">
        <v>856</v>
      </c>
      <c r="H13" t="s">
        <v>882</v>
      </c>
      <c r="P13" t="s">
        <v>1170</v>
      </c>
      <c r="R13" t="s">
        <v>806</v>
      </c>
    </row>
    <row r="14" spans="1:22">
      <c r="A14" t="s">
        <v>531</v>
      </c>
      <c r="B14" t="s">
        <v>88</v>
      </c>
      <c r="C14" t="s">
        <v>88</v>
      </c>
      <c r="D14" t="s">
        <v>88</v>
      </c>
      <c r="E14" t="s">
        <v>88</v>
      </c>
      <c r="F14" t="s">
        <v>856</v>
      </c>
      <c r="G14" t="s">
        <v>856</v>
      </c>
      <c r="H14" t="s">
        <v>833</v>
      </c>
      <c r="I14" t="s">
        <v>890</v>
      </c>
      <c r="J14" t="s">
        <v>997</v>
      </c>
      <c r="K14" t="s">
        <v>1052</v>
      </c>
      <c r="L14" t="s">
        <v>1104</v>
      </c>
      <c r="M14" t="s">
        <v>1144</v>
      </c>
      <c r="N14" t="s">
        <v>908</v>
      </c>
      <c r="O14" t="s">
        <v>908</v>
      </c>
      <c r="P14" t="s">
        <v>1172</v>
      </c>
      <c r="R14" t="s">
        <v>806</v>
      </c>
      <c r="S14" t="s">
        <v>1322</v>
      </c>
    </row>
    <row r="15" spans="1:22">
      <c r="A15" s="14" t="s">
        <v>532</v>
      </c>
      <c r="B15" t="s">
        <v>89</v>
      </c>
      <c r="C15" t="s">
        <v>696</v>
      </c>
      <c r="D15" t="s">
        <v>748</v>
      </c>
      <c r="E15" t="s">
        <v>748</v>
      </c>
      <c r="F15" t="s">
        <v>857</v>
      </c>
      <c r="G15" t="s">
        <v>857</v>
      </c>
      <c r="H15" t="s">
        <v>884</v>
      </c>
      <c r="P15" t="s">
        <v>1174</v>
      </c>
      <c r="R15" t="s">
        <v>1329</v>
      </c>
    </row>
    <row r="16" spans="1:22">
      <c r="A16" s="14" t="s">
        <v>533</v>
      </c>
      <c r="B16" t="s">
        <v>89</v>
      </c>
      <c r="C16" t="s">
        <v>713</v>
      </c>
      <c r="D16" t="s">
        <v>88</v>
      </c>
      <c r="E16" t="s">
        <v>88</v>
      </c>
      <c r="F16" t="s">
        <v>856</v>
      </c>
      <c r="G16" t="s">
        <v>856</v>
      </c>
      <c r="H16" t="s">
        <v>837</v>
      </c>
      <c r="P16" t="s">
        <v>1175</v>
      </c>
      <c r="R16" t="s">
        <v>1322</v>
      </c>
    </row>
    <row r="17" spans="1:19">
      <c r="A17" t="s">
        <v>534</v>
      </c>
      <c r="B17" t="s">
        <v>88</v>
      </c>
      <c r="C17" t="s">
        <v>88</v>
      </c>
      <c r="D17" t="s">
        <v>88</v>
      </c>
      <c r="E17" t="s">
        <v>88</v>
      </c>
      <c r="F17" t="s">
        <v>856</v>
      </c>
      <c r="G17" t="s">
        <v>856</v>
      </c>
      <c r="H17" t="s">
        <v>833</v>
      </c>
      <c r="I17" t="s">
        <v>890</v>
      </c>
      <c r="J17" t="s">
        <v>1010</v>
      </c>
      <c r="K17" t="s">
        <v>1050</v>
      </c>
      <c r="L17" t="s">
        <v>1050</v>
      </c>
      <c r="M17" t="s">
        <v>1146</v>
      </c>
      <c r="N17" t="s">
        <v>1146</v>
      </c>
      <c r="O17" t="s">
        <v>1146</v>
      </c>
      <c r="P17" t="s">
        <v>1175</v>
      </c>
      <c r="R17" t="s">
        <v>1326</v>
      </c>
      <c r="S17" t="s">
        <v>1322</v>
      </c>
    </row>
    <row r="18" spans="1:19">
      <c r="A18" t="s">
        <v>535</v>
      </c>
      <c r="B18" t="s">
        <v>88</v>
      </c>
      <c r="C18" t="s">
        <v>88</v>
      </c>
      <c r="D18" t="s">
        <v>88</v>
      </c>
      <c r="E18" t="s">
        <v>88</v>
      </c>
      <c r="F18" t="s">
        <v>856</v>
      </c>
      <c r="G18" t="s">
        <v>856</v>
      </c>
      <c r="H18" t="s">
        <v>806</v>
      </c>
      <c r="I18" t="s">
        <v>890</v>
      </c>
      <c r="J18" t="s">
        <v>992</v>
      </c>
      <c r="K18" t="s">
        <v>1053</v>
      </c>
      <c r="L18" t="s">
        <v>1049</v>
      </c>
      <c r="M18" t="s">
        <v>1147</v>
      </c>
      <c r="N18" t="s">
        <v>877</v>
      </c>
      <c r="O18" t="s">
        <v>877</v>
      </c>
      <c r="P18" t="s">
        <v>1175</v>
      </c>
      <c r="R18" t="s">
        <v>1326</v>
      </c>
      <c r="S18" t="s">
        <v>1326</v>
      </c>
    </row>
    <row r="19" spans="1:19">
      <c r="A19" t="s">
        <v>536</v>
      </c>
      <c r="B19" t="s">
        <v>88</v>
      </c>
      <c r="C19" t="s">
        <v>88</v>
      </c>
      <c r="D19" t="s">
        <v>88</v>
      </c>
      <c r="E19" t="s">
        <v>88</v>
      </c>
      <c r="F19" t="s">
        <v>856</v>
      </c>
      <c r="G19" t="s">
        <v>856</v>
      </c>
      <c r="H19" t="s">
        <v>833</v>
      </c>
      <c r="I19" t="s">
        <v>893</v>
      </c>
      <c r="J19" t="s">
        <v>997</v>
      </c>
      <c r="K19" t="s">
        <v>1054</v>
      </c>
      <c r="L19" t="s">
        <v>1085</v>
      </c>
      <c r="M19" t="s">
        <v>1144</v>
      </c>
      <c r="N19" t="s">
        <v>908</v>
      </c>
      <c r="O19" t="s">
        <v>908</v>
      </c>
      <c r="P19" t="s">
        <v>1175</v>
      </c>
      <c r="R19" t="s">
        <v>1322</v>
      </c>
      <c r="S19" t="s">
        <v>1322</v>
      </c>
    </row>
    <row r="20" spans="1:19">
      <c r="A20" t="s">
        <v>537</v>
      </c>
      <c r="B20" t="s">
        <v>88</v>
      </c>
      <c r="C20" t="s">
        <v>88</v>
      </c>
      <c r="D20" t="s">
        <v>88</v>
      </c>
      <c r="E20" t="s">
        <v>88</v>
      </c>
      <c r="F20" t="s">
        <v>856</v>
      </c>
      <c r="G20" t="s">
        <v>856</v>
      </c>
      <c r="H20" t="s">
        <v>833</v>
      </c>
      <c r="I20" t="s">
        <v>890</v>
      </c>
      <c r="J20" t="s">
        <v>1011</v>
      </c>
      <c r="K20" t="s">
        <v>1049</v>
      </c>
      <c r="L20" t="s">
        <v>1100</v>
      </c>
      <c r="M20" t="s">
        <v>1148</v>
      </c>
      <c r="N20" t="s">
        <v>934</v>
      </c>
      <c r="O20" t="s">
        <v>934</v>
      </c>
      <c r="P20" t="s">
        <v>1175</v>
      </c>
      <c r="R20" t="s">
        <v>806</v>
      </c>
      <c r="S20" t="s">
        <v>1326</v>
      </c>
    </row>
    <row r="21" spans="1:19">
      <c r="A21" s="14" t="s">
        <v>538</v>
      </c>
      <c r="B21" t="s">
        <v>88</v>
      </c>
      <c r="C21" t="s">
        <v>88</v>
      </c>
      <c r="D21" t="s">
        <v>748</v>
      </c>
      <c r="E21" t="s">
        <v>767</v>
      </c>
      <c r="F21" t="s">
        <v>856</v>
      </c>
      <c r="G21" t="s">
        <v>856</v>
      </c>
      <c r="H21" t="s">
        <v>806</v>
      </c>
      <c r="P21" t="s">
        <v>1171</v>
      </c>
      <c r="R21" t="s">
        <v>1322</v>
      </c>
    </row>
    <row r="22" spans="1:19">
      <c r="A22" s="14" t="s">
        <v>539</v>
      </c>
      <c r="B22" t="s">
        <v>88</v>
      </c>
      <c r="C22" t="s">
        <v>88</v>
      </c>
      <c r="D22" t="s">
        <v>88</v>
      </c>
      <c r="E22" t="s">
        <v>88</v>
      </c>
      <c r="F22" t="s">
        <v>856</v>
      </c>
      <c r="G22" t="s">
        <v>856</v>
      </c>
      <c r="H22" t="s">
        <v>833</v>
      </c>
      <c r="I22" t="s">
        <v>897</v>
      </c>
      <c r="J22" t="s">
        <v>992</v>
      </c>
      <c r="K22" t="s">
        <v>1049</v>
      </c>
      <c r="L22" t="s">
        <v>1088</v>
      </c>
      <c r="M22" t="s">
        <v>1144</v>
      </c>
      <c r="N22" t="s">
        <v>908</v>
      </c>
      <c r="O22" t="s">
        <v>908</v>
      </c>
      <c r="P22" t="s">
        <v>1174</v>
      </c>
      <c r="R22" t="s">
        <v>1329</v>
      </c>
    </row>
    <row r="23" spans="1:19">
      <c r="A23" t="s">
        <v>540</v>
      </c>
      <c r="B23" t="s">
        <v>88</v>
      </c>
      <c r="C23" t="s">
        <v>88</v>
      </c>
      <c r="D23" t="s">
        <v>88</v>
      </c>
      <c r="E23" t="s">
        <v>88</v>
      </c>
      <c r="F23" t="s">
        <v>856</v>
      </c>
      <c r="G23" t="s">
        <v>856</v>
      </c>
      <c r="H23" t="s">
        <v>833</v>
      </c>
      <c r="I23" t="s">
        <v>898</v>
      </c>
      <c r="J23" t="s">
        <v>992</v>
      </c>
      <c r="K23" t="s">
        <v>1055</v>
      </c>
      <c r="L23" t="s">
        <v>1049</v>
      </c>
      <c r="M23" t="s">
        <v>1144</v>
      </c>
      <c r="N23" t="s">
        <v>908</v>
      </c>
      <c r="O23" t="s">
        <v>908</v>
      </c>
      <c r="P23" t="s">
        <v>1175</v>
      </c>
      <c r="R23" t="s">
        <v>1322</v>
      </c>
      <c r="S23" t="s">
        <v>1322</v>
      </c>
    </row>
    <row r="24" spans="1:19">
      <c r="A24" t="s">
        <v>541</v>
      </c>
      <c r="B24" t="s">
        <v>88</v>
      </c>
      <c r="C24" t="s">
        <v>88</v>
      </c>
      <c r="D24" t="s">
        <v>88</v>
      </c>
      <c r="E24" t="s">
        <v>88</v>
      </c>
      <c r="F24" t="s">
        <v>856</v>
      </c>
      <c r="G24" t="s">
        <v>856</v>
      </c>
      <c r="H24" t="s">
        <v>806</v>
      </c>
      <c r="I24" t="s">
        <v>890</v>
      </c>
      <c r="J24" t="s">
        <v>992</v>
      </c>
      <c r="K24" t="s">
        <v>1049</v>
      </c>
      <c r="L24" t="s">
        <v>1050</v>
      </c>
      <c r="M24" t="s">
        <v>1145</v>
      </c>
      <c r="N24" t="s">
        <v>1145</v>
      </c>
      <c r="O24" t="s">
        <v>1145</v>
      </c>
      <c r="P24" t="s">
        <v>1175</v>
      </c>
      <c r="R24" t="s">
        <v>1322</v>
      </c>
      <c r="S24" t="s">
        <v>806</v>
      </c>
    </row>
    <row r="25" spans="1:19">
      <c r="A25" t="s">
        <v>542</v>
      </c>
      <c r="B25" t="s">
        <v>88</v>
      </c>
      <c r="C25" t="s">
        <v>88</v>
      </c>
      <c r="D25" t="s">
        <v>88</v>
      </c>
      <c r="E25" t="s">
        <v>88</v>
      </c>
      <c r="F25" t="s">
        <v>856</v>
      </c>
      <c r="G25" t="s">
        <v>833</v>
      </c>
      <c r="H25" t="s">
        <v>833</v>
      </c>
      <c r="I25" t="s">
        <v>890</v>
      </c>
      <c r="J25" t="s">
        <v>992</v>
      </c>
      <c r="K25" t="s">
        <v>1056</v>
      </c>
      <c r="L25" t="s">
        <v>1049</v>
      </c>
      <c r="M25" t="s">
        <v>1146</v>
      </c>
      <c r="N25" t="s">
        <v>1146</v>
      </c>
      <c r="O25" t="s">
        <v>1146</v>
      </c>
      <c r="P25" t="s">
        <v>1175</v>
      </c>
      <c r="R25" t="s">
        <v>806</v>
      </c>
      <c r="S25" t="s">
        <v>806</v>
      </c>
    </row>
    <row r="26" spans="1:19">
      <c r="A26" t="s">
        <v>543</v>
      </c>
      <c r="B26" t="s">
        <v>88</v>
      </c>
      <c r="C26" t="s">
        <v>88</v>
      </c>
      <c r="D26" t="s">
        <v>88</v>
      </c>
      <c r="E26" t="s">
        <v>88</v>
      </c>
      <c r="F26" t="s">
        <v>833</v>
      </c>
      <c r="G26" t="s">
        <v>833</v>
      </c>
      <c r="H26" t="s">
        <v>833</v>
      </c>
      <c r="I26" t="s">
        <v>895</v>
      </c>
      <c r="J26" t="s">
        <v>992</v>
      </c>
      <c r="K26" t="s">
        <v>1049</v>
      </c>
      <c r="L26" t="s">
        <v>1049</v>
      </c>
      <c r="M26" t="s">
        <v>1145</v>
      </c>
      <c r="N26" t="s">
        <v>1145</v>
      </c>
      <c r="O26" t="s">
        <v>1145</v>
      </c>
      <c r="P26" t="s">
        <v>1175</v>
      </c>
      <c r="R26" t="s">
        <v>1322</v>
      </c>
      <c r="S26" t="s">
        <v>1322</v>
      </c>
    </row>
    <row r="27" spans="1:19">
      <c r="A27" s="43" t="s">
        <v>544</v>
      </c>
      <c r="B27" t="s">
        <v>88</v>
      </c>
      <c r="C27" t="s">
        <v>88</v>
      </c>
      <c r="D27" t="s">
        <v>88</v>
      </c>
      <c r="E27" t="s">
        <v>1137</v>
      </c>
      <c r="F27" t="s">
        <v>833</v>
      </c>
      <c r="G27" t="s">
        <v>833</v>
      </c>
      <c r="H27" t="s">
        <v>882</v>
      </c>
      <c r="I27" t="s">
        <v>1138</v>
      </c>
      <c r="J27" t="s">
        <v>1139</v>
      </c>
      <c r="K27" t="s">
        <v>1140</v>
      </c>
      <c r="L27" t="s">
        <v>1141</v>
      </c>
      <c r="M27" t="s">
        <v>1144</v>
      </c>
      <c r="N27" t="s">
        <v>908</v>
      </c>
      <c r="O27" t="s">
        <v>908</v>
      </c>
      <c r="P27" t="s">
        <v>1175</v>
      </c>
      <c r="R27" t="s">
        <v>1322</v>
      </c>
      <c r="S27" t="s">
        <v>1322</v>
      </c>
    </row>
    <row r="28" spans="1:19">
      <c r="A28" s="14" t="s">
        <v>545</v>
      </c>
      <c r="B28" t="s">
        <v>88</v>
      </c>
      <c r="C28" t="s">
        <v>88</v>
      </c>
      <c r="D28" t="s">
        <v>88</v>
      </c>
      <c r="E28" t="s">
        <v>748</v>
      </c>
      <c r="F28" t="s">
        <v>833</v>
      </c>
      <c r="G28" t="s">
        <v>833</v>
      </c>
      <c r="H28" t="s">
        <v>833</v>
      </c>
      <c r="P28" t="s">
        <v>1175</v>
      </c>
      <c r="R28" t="s">
        <v>1322</v>
      </c>
    </row>
    <row r="29" spans="1:19">
      <c r="A29" t="s">
        <v>546</v>
      </c>
      <c r="B29" t="s">
        <v>88</v>
      </c>
      <c r="C29" t="s">
        <v>88</v>
      </c>
      <c r="D29" t="s">
        <v>88</v>
      </c>
      <c r="E29" t="s">
        <v>88</v>
      </c>
      <c r="F29" t="s">
        <v>833</v>
      </c>
      <c r="G29" t="s">
        <v>833</v>
      </c>
      <c r="H29" t="s">
        <v>833</v>
      </c>
      <c r="I29" t="s">
        <v>895</v>
      </c>
      <c r="J29" t="s">
        <v>992</v>
      </c>
      <c r="K29" t="s">
        <v>1057</v>
      </c>
      <c r="L29" t="s">
        <v>1088</v>
      </c>
      <c r="M29" t="s">
        <v>1146</v>
      </c>
      <c r="N29" t="s">
        <v>1146</v>
      </c>
      <c r="O29" t="s">
        <v>1146</v>
      </c>
      <c r="P29" t="s">
        <v>1175</v>
      </c>
      <c r="R29" t="s">
        <v>1322</v>
      </c>
      <c r="S29" t="s">
        <v>1322</v>
      </c>
    </row>
    <row r="30" spans="1:19">
      <c r="A30" t="s">
        <v>547</v>
      </c>
      <c r="B30" t="s">
        <v>88</v>
      </c>
      <c r="C30" t="s">
        <v>88</v>
      </c>
      <c r="D30" t="s">
        <v>88</v>
      </c>
      <c r="E30" t="s">
        <v>88</v>
      </c>
      <c r="F30" t="s">
        <v>833</v>
      </c>
      <c r="G30" t="s">
        <v>833</v>
      </c>
      <c r="H30" t="s">
        <v>833</v>
      </c>
      <c r="I30" t="s">
        <v>890</v>
      </c>
      <c r="J30" t="s">
        <v>992</v>
      </c>
      <c r="K30" t="s">
        <v>1049</v>
      </c>
      <c r="L30" t="s">
        <v>1049</v>
      </c>
      <c r="M30" t="s">
        <v>1149</v>
      </c>
      <c r="N30" t="s">
        <v>1149</v>
      </c>
      <c r="O30" t="s">
        <v>1149</v>
      </c>
      <c r="P30" t="s">
        <v>1175</v>
      </c>
      <c r="R30" t="s">
        <v>1322</v>
      </c>
      <c r="S30" t="s">
        <v>806</v>
      </c>
    </row>
    <row r="31" spans="1:19">
      <c r="A31" t="s">
        <v>548</v>
      </c>
      <c r="B31" t="s">
        <v>88</v>
      </c>
      <c r="C31" t="s">
        <v>88</v>
      </c>
      <c r="D31" t="s">
        <v>88</v>
      </c>
      <c r="E31" t="s">
        <v>88</v>
      </c>
      <c r="F31" t="s">
        <v>833</v>
      </c>
      <c r="G31" t="s">
        <v>833</v>
      </c>
      <c r="H31" t="s">
        <v>833</v>
      </c>
      <c r="I31" t="s">
        <v>899</v>
      </c>
      <c r="J31" t="s">
        <v>1008</v>
      </c>
      <c r="K31" t="s">
        <v>1049</v>
      </c>
      <c r="L31" t="s">
        <v>1107</v>
      </c>
      <c r="M31" t="s">
        <v>1150</v>
      </c>
      <c r="N31" t="s">
        <v>1150</v>
      </c>
      <c r="O31" t="s">
        <v>1150</v>
      </c>
      <c r="P31" t="s">
        <v>1175</v>
      </c>
      <c r="R31" t="s">
        <v>1322</v>
      </c>
      <c r="S31" t="s">
        <v>1322</v>
      </c>
    </row>
    <row r="32" spans="1:19">
      <c r="A32" t="s">
        <v>549</v>
      </c>
      <c r="B32" t="s">
        <v>88</v>
      </c>
      <c r="C32" t="s">
        <v>88</v>
      </c>
      <c r="D32" t="s">
        <v>88</v>
      </c>
      <c r="E32" t="s">
        <v>88</v>
      </c>
      <c r="F32" t="s">
        <v>833</v>
      </c>
      <c r="G32" t="s">
        <v>833</v>
      </c>
      <c r="H32" t="s">
        <v>833</v>
      </c>
      <c r="I32" t="s">
        <v>896</v>
      </c>
      <c r="J32" t="s">
        <v>992</v>
      </c>
      <c r="K32" t="s">
        <v>1055</v>
      </c>
      <c r="L32" t="s">
        <v>1049</v>
      </c>
      <c r="M32" t="s">
        <v>1144</v>
      </c>
      <c r="N32" t="s">
        <v>908</v>
      </c>
      <c r="O32" t="s">
        <v>908</v>
      </c>
      <c r="P32" t="s">
        <v>1175</v>
      </c>
      <c r="R32" t="s">
        <v>1322</v>
      </c>
      <c r="S32" t="s">
        <v>1322</v>
      </c>
    </row>
    <row r="33" spans="1:19">
      <c r="A33" t="s">
        <v>550</v>
      </c>
      <c r="B33" t="s">
        <v>88</v>
      </c>
      <c r="C33" t="s">
        <v>88</v>
      </c>
      <c r="D33" t="s">
        <v>88</v>
      </c>
      <c r="E33" t="s">
        <v>88</v>
      </c>
      <c r="F33" t="s">
        <v>833</v>
      </c>
      <c r="G33" t="s">
        <v>833</v>
      </c>
      <c r="H33" t="s">
        <v>833</v>
      </c>
      <c r="I33" t="s">
        <v>890</v>
      </c>
      <c r="J33" t="s">
        <v>992</v>
      </c>
      <c r="K33" t="s">
        <v>1049</v>
      </c>
      <c r="L33" t="s">
        <v>1103</v>
      </c>
      <c r="M33" t="s">
        <v>1145</v>
      </c>
      <c r="N33" t="s">
        <v>1145</v>
      </c>
      <c r="O33" t="s">
        <v>1145</v>
      </c>
      <c r="P33" t="s">
        <v>1175</v>
      </c>
      <c r="R33" t="s">
        <v>806</v>
      </c>
      <c r="S33" t="s">
        <v>1322</v>
      </c>
    </row>
    <row r="34" spans="1:19">
      <c r="A34" t="s">
        <v>551</v>
      </c>
      <c r="B34" t="s">
        <v>88</v>
      </c>
      <c r="C34" t="s">
        <v>88</v>
      </c>
      <c r="D34" t="s">
        <v>88</v>
      </c>
      <c r="E34" t="s">
        <v>88</v>
      </c>
      <c r="F34" t="s">
        <v>833</v>
      </c>
      <c r="G34" t="s">
        <v>833</v>
      </c>
      <c r="H34" t="s">
        <v>833</v>
      </c>
      <c r="I34" t="s">
        <v>890</v>
      </c>
      <c r="J34" t="s">
        <v>992</v>
      </c>
      <c r="K34" t="s">
        <v>1049</v>
      </c>
      <c r="L34" t="s">
        <v>1080</v>
      </c>
      <c r="M34" t="s">
        <v>1145</v>
      </c>
      <c r="N34" t="s">
        <v>1145</v>
      </c>
      <c r="O34" t="s">
        <v>1145</v>
      </c>
      <c r="P34" t="s">
        <v>1175</v>
      </c>
      <c r="R34" t="s">
        <v>806</v>
      </c>
      <c r="S34" t="s">
        <v>1322</v>
      </c>
    </row>
    <row r="35" spans="1:19">
      <c r="A35" t="s">
        <v>797</v>
      </c>
      <c r="B35" t="s">
        <v>88</v>
      </c>
      <c r="C35" t="s">
        <v>88</v>
      </c>
      <c r="D35" t="s">
        <v>88</v>
      </c>
      <c r="E35" t="s">
        <v>88</v>
      </c>
      <c r="F35" t="s">
        <v>833</v>
      </c>
      <c r="G35" t="s">
        <v>833</v>
      </c>
      <c r="H35" t="s">
        <v>833</v>
      </c>
      <c r="I35" t="s">
        <v>895</v>
      </c>
      <c r="J35" t="s">
        <v>992</v>
      </c>
      <c r="K35" t="s">
        <v>1058</v>
      </c>
      <c r="L35" t="s">
        <v>1049</v>
      </c>
      <c r="M35" t="s">
        <v>1145</v>
      </c>
      <c r="N35" t="s">
        <v>1145</v>
      </c>
      <c r="O35" t="s">
        <v>1145</v>
      </c>
      <c r="P35" t="s">
        <v>1176</v>
      </c>
      <c r="R35" t="s">
        <v>1322</v>
      </c>
      <c r="S35" t="s">
        <v>1322</v>
      </c>
    </row>
    <row r="36" spans="1:19">
      <c r="A36" s="14" t="s">
        <v>552</v>
      </c>
      <c r="B36" t="s">
        <v>89</v>
      </c>
      <c r="C36" t="s">
        <v>713</v>
      </c>
      <c r="D36" t="s">
        <v>748</v>
      </c>
      <c r="E36" t="s">
        <v>748</v>
      </c>
      <c r="F36" t="s">
        <v>837</v>
      </c>
      <c r="G36" t="s">
        <v>837</v>
      </c>
      <c r="H36" t="s">
        <v>837</v>
      </c>
      <c r="P36" t="s">
        <v>1174</v>
      </c>
      <c r="R36" t="s">
        <v>1329</v>
      </c>
    </row>
    <row r="37" spans="1:19">
      <c r="A37" t="s">
        <v>553</v>
      </c>
      <c r="B37" t="s">
        <v>88</v>
      </c>
      <c r="C37" t="s">
        <v>88</v>
      </c>
      <c r="D37" t="s">
        <v>88</v>
      </c>
      <c r="E37" t="s">
        <v>88</v>
      </c>
      <c r="F37" t="s">
        <v>833</v>
      </c>
      <c r="G37" t="s">
        <v>833</v>
      </c>
      <c r="H37" t="s">
        <v>833</v>
      </c>
      <c r="I37" t="s">
        <v>893</v>
      </c>
      <c r="J37" t="s">
        <v>992</v>
      </c>
      <c r="K37" t="s">
        <v>1049</v>
      </c>
      <c r="L37" t="s">
        <v>1049</v>
      </c>
      <c r="M37" t="s">
        <v>1144</v>
      </c>
      <c r="N37" t="s">
        <v>908</v>
      </c>
      <c r="O37" t="s">
        <v>908</v>
      </c>
      <c r="P37" t="s">
        <v>1175</v>
      </c>
      <c r="R37" t="s">
        <v>1322</v>
      </c>
      <c r="S37" t="s">
        <v>1322</v>
      </c>
    </row>
    <row r="38" spans="1:19">
      <c r="A38" t="s">
        <v>554</v>
      </c>
      <c r="B38" t="s">
        <v>88</v>
      </c>
      <c r="C38" t="s">
        <v>88</v>
      </c>
      <c r="D38" t="s">
        <v>88</v>
      </c>
      <c r="E38" t="s">
        <v>88</v>
      </c>
      <c r="F38" t="s">
        <v>833</v>
      </c>
      <c r="G38" t="s">
        <v>833</v>
      </c>
      <c r="H38" t="s">
        <v>833</v>
      </c>
      <c r="I38" t="s">
        <v>893</v>
      </c>
      <c r="J38" t="s">
        <v>992</v>
      </c>
      <c r="K38" t="s">
        <v>1049</v>
      </c>
      <c r="L38" t="s">
        <v>1050</v>
      </c>
      <c r="M38" t="s">
        <v>1151</v>
      </c>
      <c r="N38" t="s">
        <v>877</v>
      </c>
      <c r="O38" t="s">
        <v>877</v>
      </c>
      <c r="P38" t="s">
        <v>1175</v>
      </c>
      <c r="R38" t="s">
        <v>1322</v>
      </c>
      <c r="S38" t="s">
        <v>1322</v>
      </c>
    </row>
    <row r="39" spans="1:19">
      <c r="A39" t="s">
        <v>555</v>
      </c>
      <c r="B39" t="s">
        <v>88</v>
      </c>
      <c r="C39" t="s">
        <v>88</v>
      </c>
      <c r="D39" t="s">
        <v>88</v>
      </c>
      <c r="E39" t="s">
        <v>88</v>
      </c>
      <c r="F39" t="s">
        <v>833</v>
      </c>
      <c r="G39" t="s">
        <v>833</v>
      </c>
      <c r="H39" t="s">
        <v>833</v>
      </c>
      <c r="I39" t="s">
        <v>889</v>
      </c>
      <c r="J39" t="s">
        <v>1008</v>
      </c>
      <c r="K39" t="s">
        <v>1059</v>
      </c>
      <c r="L39" t="s">
        <v>1050</v>
      </c>
      <c r="M39" t="s">
        <v>1146</v>
      </c>
      <c r="N39" t="s">
        <v>1146</v>
      </c>
      <c r="O39" t="s">
        <v>1146</v>
      </c>
      <c r="P39" t="s">
        <v>1175</v>
      </c>
      <c r="R39" t="s">
        <v>1322</v>
      </c>
      <c r="S39" t="s">
        <v>1326</v>
      </c>
    </row>
    <row r="40" spans="1:19">
      <c r="A40" t="s">
        <v>556</v>
      </c>
      <c r="B40" t="s">
        <v>88</v>
      </c>
      <c r="C40" t="s">
        <v>88</v>
      </c>
      <c r="D40" t="s">
        <v>88</v>
      </c>
      <c r="E40" t="s">
        <v>88</v>
      </c>
      <c r="F40" t="s">
        <v>833</v>
      </c>
      <c r="G40" t="s">
        <v>833</v>
      </c>
      <c r="H40" t="s">
        <v>833</v>
      </c>
      <c r="I40" t="s">
        <v>894</v>
      </c>
      <c r="J40" t="s">
        <v>1012</v>
      </c>
      <c r="K40" t="s">
        <v>1055</v>
      </c>
      <c r="L40" t="s">
        <v>1099</v>
      </c>
      <c r="M40" t="s">
        <v>1145</v>
      </c>
      <c r="N40" t="s">
        <v>1145</v>
      </c>
      <c r="O40" t="s">
        <v>1145</v>
      </c>
      <c r="P40" t="s">
        <v>1173</v>
      </c>
      <c r="R40" t="s">
        <v>1322</v>
      </c>
      <c r="S40" t="s">
        <v>1322</v>
      </c>
    </row>
    <row r="41" spans="1:19">
      <c r="A41" t="s">
        <v>557</v>
      </c>
      <c r="B41" t="s">
        <v>88</v>
      </c>
      <c r="C41" t="s">
        <v>88</v>
      </c>
      <c r="D41" t="s">
        <v>88</v>
      </c>
      <c r="E41" t="s">
        <v>88</v>
      </c>
      <c r="F41" t="s">
        <v>833</v>
      </c>
      <c r="G41" t="s">
        <v>833</v>
      </c>
      <c r="H41" t="s">
        <v>833</v>
      </c>
      <c r="I41" t="s">
        <v>890</v>
      </c>
      <c r="J41" t="s">
        <v>992</v>
      </c>
      <c r="K41" t="s">
        <v>1050</v>
      </c>
      <c r="L41" t="s">
        <v>1085</v>
      </c>
      <c r="M41" t="s">
        <v>1152</v>
      </c>
      <c r="N41" t="s">
        <v>1152</v>
      </c>
      <c r="O41" t="s">
        <v>1152</v>
      </c>
      <c r="P41" t="s">
        <v>1175</v>
      </c>
      <c r="R41" t="s">
        <v>806</v>
      </c>
      <c r="S41" t="s">
        <v>806</v>
      </c>
    </row>
    <row r="42" spans="1:19">
      <c r="A42" t="s">
        <v>558</v>
      </c>
      <c r="B42" t="s">
        <v>88</v>
      </c>
      <c r="C42" t="s">
        <v>88</v>
      </c>
      <c r="D42" t="s">
        <v>88</v>
      </c>
      <c r="E42" t="s">
        <v>88</v>
      </c>
      <c r="F42" t="s">
        <v>833</v>
      </c>
      <c r="G42" t="s">
        <v>833</v>
      </c>
      <c r="H42" t="s">
        <v>833</v>
      </c>
      <c r="I42" t="s">
        <v>893</v>
      </c>
      <c r="J42" t="s">
        <v>997</v>
      </c>
      <c r="K42" t="s">
        <v>1060</v>
      </c>
      <c r="L42" t="s">
        <v>1074</v>
      </c>
      <c r="M42" t="s">
        <v>1145</v>
      </c>
      <c r="N42" t="s">
        <v>1145</v>
      </c>
      <c r="O42" t="s">
        <v>1145</v>
      </c>
      <c r="P42" t="s">
        <v>1175</v>
      </c>
      <c r="R42" t="s">
        <v>1322</v>
      </c>
      <c r="S42" t="s">
        <v>1322</v>
      </c>
    </row>
    <row r="43" spans="1:19">
      <c r="A43" t="s">
        <v>559</v>
      </c>
      <c r="B43" t="s">
        <v>88</v>
      </c>
      <c r="C43" t="s">
        <v>88</v>
      </c>
      <c r="D43" t="s">
        <v>88</v>
      </c>
      <c r="E43" t="s">
        <v>88</v>
      </c>
      <c r="F43" t="s">
        <v>833</v>
      </c>
      <c r="G43" t="s">
        <v>833</v>
      </c>
      <c r="H43" t="s">
        <v>833</v>
      </c>
      <c r="I43" t="s">
        <v>894</v>
      </c>
      <c r="J43" t="s">
        <v>1012</v>
      </c>
      <c r="K43" t="s">
        <v>1049</v>
      </c>
      <c r="L43" t="s">
        <v>1084</v>
      </c>
      <c r="M43" t="s">
        <v>1144</v>
      </c>
      <c r="N43" t="s">
        <v>908</v>
      </c>
      <c r="O43" t="s">
        <v>908</v>
      </c>
      <c r="P43" t="s">
        <v>1175</v>
      </c>
      <c r="R43" t="s">
        <v>1322</v>
      </c>
      <c r="S43" t="s">
        <v>1322</v>
      </c>
    </row>
    <row r="44" spans="1:19">
      <c r="A44" t="s">
        <v>560</v>
      </c>
      <c r="B44" t="s">
        <v>88</v>
      </c>
      <c r="C44" t="s">
        <v>88</v>
      </c>
      <c r="D44" t="s">
        <v>88</v>
      </c>
      <c r="E44" t="s">
        <v>88</v>
      </c>
      <c r="F44" t="s">
        <v>833</v>
      </c>
      <c r="G44" t="s">
        <v>833</v>
      </c>
      <c r="H44" t="s">
        <v>833</v>
      </c>
      <c r="I44" t="s">
        <v>900</v>
      </c>
      <c r="J44" t="s">
        <v>1010</v>
      </c>
      <c r="K44" t="s">
        <v>1061</v>
      </c>
      <c r="L44" t="s">
        <v>1084</v>
      </c>
      <c r="M44" t="s">
        <v>1146</v>
      </c>
      <c r="N44" t="s">
        <v>1146</v>
      </c>
      <c r="O44" t="s">
        <v>1146</v>
      </c>
      <c r="P44" t="s">
        <v>1175</v>
      </c>
      <c r="R44" t="s">
        <v>1322</v>
      </c>
      <c r="S44" t="s">
        <v>1322</v>
      </c>
    </row>
    <row r="45" spans="1:19">
      <c r="A45" t="s">
        <v>561</v>
      </c>
      <c r="B45" t="s">
        <v>88</v>
      </c>
      <c r="C45" t="s">
        <v>88</v>
      </c>
      <c r="D45" t="s">
        <v>88</v>
      </c>
      <c r="E45" t="s">
        <v>88</v>
      </c>
      <c r="F45" t="s">
        <v>833</v>
      </c>
      <c r="G45" t="s">
        <v>833</v>
      </c>
      <c r="H45" t="s">
        <v>833</v>
      </c>
      <c r="I45" t="s">
        <v>893</v>
      </c>
      <c r="J45" t="s">
        <v>992</v>
      </c>
      <c r="K45" t="s">
        <v>1052</v>
      </c>
      <c r="L45" t="s">
        <v>1084</v>
      </c>
      <c r="M45" t="s">
        <v>1145</v>
      </c>
      <c r="N45" t="s">
        <v>1145</v>
      </c>
      <c r="O45" t="s">
        <v>1145</v>
      </c>
      <c r="P45" t="s">
        <v>1175</v>
      </c>
      <c r="R45" t="s">
        <v>1322</v>
      </c>
      <c r="S45" t="s">
        <v>1322</v>
      </c>
    </row>
    <row r="46" spans="1:19">
      <c r="A46" t="s">
        <v>562</v>
      </c>
      <c r="B46" t="s">
        <v>88</v>
      </c>
      <c r="C46" t="s">
        <v>88</v>
      </c>
      <c r="D46" t="s">
        <v>88</v>
      </c>
      <c r="E46" t="s">
        <v>88</v>
      </c>
      <c r="F46" t="s">
        <v>833</v>
      </c>
      <c r="G46" t="s">
        <v>833</v>
      </c>
      <c r="H46" t="s">
        <v>833</v>
      </c>
      <c r="I46" t="s">
        <v>890</v>
      </c>
      <c r="J46" t="s">
        <v>992</v>
      </c>
      <c r="K46" t="s">
        <v>1052</v>
      </c>
      <c r="L46" t="s">
        <v>1050</v>
      </c>
      <c r="M46" t="s">
        <v>1144</v>
      </c>
      <c r="N46" t="s">
        <v>908</v>
      </c>
      <c r="O46" t="s">
        <v>908</v>
      </c>
      <c r="P46" t="s">
        <v>1175</v>
      </c>
      <c r="R46" t="s">
        <v>1322</v>
      </c>
      <c r="S46" t="s">
        <v>806</v>
      </c>
    </row>
    <row r="47" spans="1:19">
      <c r="A47" t="s">
        <v>563</v>
      </c>
      <c r="B47" t="s">
        <v>88</v>
      </c>
      <c r="C47" t="s">
        <v>88</v>
      </c>
      <c r="D47" t="s">
        <v>88</v>
      </c>
      <c r="E47" t="s">
        <v>88</v>
      </c>
      <c r="F47" t="s">
        <v>833</v>
      </c>
      <c r="G47" t="s">
        <v>833</v>
      </c>
      <c r="H47" t="s">
        <v>833</v>
      </c>
      <c r="I47" t="s">
        <v>901</v>
      </c>
      <c r="J47" t="s">
        <v>1003</v>
      </c>
      <c r="K47" t="s">
        <v>1062</v>
      </c>
      <c r="L47" t="s">
        <v>1053</v>
      </c>
      <c r="M47" t="s">
        <v>1146</v>
      </c>
      <c r="N47" t="s">
        <v>1146</v>
      </c>
      <c r="O47" t="s">
        <v>1146</v>
      </c>
      <c r="P47" t="s">
        <v>1175</v>
      </c>
      <c r="R47" t="s">
        <v>1326</v>
      </c>
      <c r="S47" t="s">
        <v>1322</v>
      </c>
    </row>
    <row r="48" spans="1:19">
      <c r="A48" s="14" t="s">
        <v>798</v>
      </c>
      <c r="B48" t="s">
        <v>88</v>
      </c>
      <c r="C48" t="s">
        <v>713</v>
      </c>
      <c r="D48" t="s">
        <v>748</v>
      </c>
      <c r="E48" t="s">
        <v>767</v>
      </c>
      <c r="F48" t="s">
        <v>837</v>
      </c>
      <c r="G48" t="s">
        <v>837</v>
      </c>
      <c r="H48" t="s">
        <v>837</v>
      </c>
      <c r="P48" t="s">
        <v>1175</v>
      </c>
      <c r="R48" t="s">
        <v>1322</v>
      </c>
    </row>
    <row r="49" spans="1:19">
      <c r="A49" t="s">
        <v>564</v>
      </c>
      <c r="B49" t="s">
        <v>88</v>
      </c>
      <c r="C49" t="s">
        <v>88</v>
      </c>
      <c r="D49" t="s">
        <v>88</v>
      </c>
      <c r="E49" t="s">
        <v>88</v>
      </c>
      <c r="F49" t="s">
        <v>833</v>
      </c>
      <c r="G49" t="s">
        <v>833</v>
      </c>
      <c r="H49" t="s">
        <v>833</v>
      </c>
      <c r="I49" t="s">
        <v>895</v>
      </c>
      <c r="J49" t="s">
        <v>1013</v>
      </c>
      <c r="K49" t="s">
        <v>1049</v>
      </c>
      <c r="L49" t="s">
        <v>1049</v>
      </c>
      <c r="M49" t="s">
        <v>1145</v>
      </c>
      <c r="N49" t="s">
        <v>1145</v>
      </c>
      <c r="O49" t="s">
        <v>1145</v>
      </c>
      <c r="P49" t="s">
        <v>1175</v>
      </c>
      <c r="R49" t="s">
        <v>1322</v>
      </c>
      <c r="S49" t="s">
        <v>1322</v>
      </c>
    </row>
    <row r="50" spans="1:19">
      <c r="A50" s="14" t="s">
        <v>565</v>
      </c>
      <c r="B50" t="s">
        <v>88</v>
      </c>
      <c r="C50" t="s">
        <v>88</v>
      </c>
      <c r="D50" t="s">
        <v>88</v>
      </c>
      <c r="E50" t="s">
        <v>88</v>
      </c>
      <c r="F50" t="s">
        <v>833</v>
      </c>
      <c r="G50" t="s">
        <v>833</v>
      </c>
      <c r="H50" t="s">
        <v>833</v>
      </c>
      <c r="I50" t="s">
        <v>894</v>
      </c>
      <c r="J50" t="s">
        <v>1014</v>
      </c>
      <c r="K50" t="s">
        <v>1050</v>
      </c>
      <c r="L50" t="s">
        <v>1049</v>
      </c>
      <c r="M50" t="s">
        <v>1144</v>
      </c>
      <c r="N50" t="s">
        <v>908</v>
      </c>
      <c r="O50" t="s">
        <v>908</v>
      </c>
      <c r="P50" t="s">
        <v>1174</v>
      </c>
      <c r="R50" t="s">
        <v>1329</v>
      </c>
    </row>
    <row r="51" spans="1:19">
      <c r="A51" t="s">
        <v>566</v>
      </c>
      <c r="B51" t="s">
        <v>88</v>
      </c>
      <c r="C51" t="s">
        <v>88</v>
      </c>
      <c r="D51" t="s">
        <v>88</v>
      </c>
      <c r="E51" t="s">
        <v>88</v>
      </c>
      <c r="F51" t="s">
        <v>833</v>
      </c>
      <c r="G51" t="s">
        <v>833</v>
      </c>
      <c r="H51" t="s">
        <v>833</v>
      </c>
      <c r="I51" t="s">
        <v>890</v>
      </c>
      <c r="J51" t="s">
        <v>992</v>
      </c>
      <c r="K51" t="s">
        <v>1063</v>
      </c>
      <c r="L51" t="s">
        <v>1049</v>
      </c>
      <c r="M51" t="s">
        <v>1144</v>
      </c>
      <c r="N51" t="s">
        <v>908</v>
      </c>
      <c r="O51" t="s">
        <v>908</v>
      </c>
      <c r="P51" t="s">
        <v>1175</v>
      </c>
      <c r="R51" t="s">
        <v>806</v>
      </c>
      <c r="S51" t="s">
        <v>1322</v>
      </c>
    </row>
    <row r="52" spans="1:19">
      <c r="A52" t="s">
        <v>567</v>
      </c>
      <c r="B52" t="s">
        <v>88</v>
      </c>
      <c r="C52" t="s">
        <v>88</v>
      </c>
      <c r="D52" t="s">
        <v>88</v>
      </c>
      <c r="E52" t="s">
        <v>88</v>
      </c>
      <c r="F52" t="s">
        <v>833</v>
      </c>
      <c r="G52" t="s">
        <v>833</v>
      </c>
      <c r="H52" t="s">
        <v>833</v>
      </c>
      <c r="I52" t="s">
        <v>890</v>
      </c>
      <c r="J52" t="s">
        <v>992</v>
      </c>
      <c r="K52" t="s">
        <v>1049</v>
      </c>
      <c r="L52" t="s">
        <v>1053</v>
      </c>
      <c r="M52" t="s">
        <v>1145</v>
      </c>
      <c r="N52" t="s">
        <v>1145</v>
      </c>
      <c r="O52" t="s">
        <v>1145</v>
      </c>
      <c r="P52" t="s">
        <v>1175</v>
      </c>
      <c r="R52" t="s">
        <v>1322</v>
      </c>
      <c r="S52" t="s">
        <v>1322</v>
      </c>
    </row>
    <row r="53" spans="1:19">
      <c r="A53" t="s">
        <v>568</v>
      </c>
      <c r="B53" t="s">
        <v>88</v>
      </c>
      <c r="C53" t="s">
        <v>88</v>
      </c>
      <c r="D53" t="s">
        <v>88</v>
      </c>
      <c r="E53" t="s">
        <v>88</v>
      </c>
      <c r="F53" t="s">
        <v>833</v>
      </c>
      <c r="G53" t="s">
        <v>833</v>
      </c>
      <c r="H53" t="s">
        <v>833</v>
      </c>
      <c r="I53" t="s">
        <v>890</v>
      </c>
      <c r="J53" t="s">
        <v>992</v>
      </c>
      <c r="K53" t="s">
        <v>1049</v>
      </c>
      <c r="L53" t="s">
        <v>1049</v>
      </c>
      <c r="M53" t="s">
        <v>1150</v>
      </c>
      <c r="N53" t="s">
        <v>1150</v>
      </c>
      <c r="O53" t="s">
        <v>1150</v>
      </c>
      <c r="P53" t="s">
        <v>1175</v>
      </c>
      <c r="R53" t="s">
        <v>1322</v>
      </c>
      <c r="S53" t="s">
        <v>1322</v>
      </c>
    </row>
    <row r="54" spans="1:19">
      <c r="A54" t="s">
        <v>569</v>
      </c>
      <c r="B54" t="s">
        <v>88</v>
      </c>
      <c r="C54" t="s">
        <v>88</v>
      </c>
      <c r="D54" t="s">
        <v>88</v>
      </c>
      <c r="E54" t="s">
        <v>88</v>
      </c>
      <c r="F54" t="s">
        <v>833</v>
      </c>
      <c r="G54" t="s">
        <v>833</v>
      </c>
      <c r="H54" t="s">
        <v>882</v>
      </c>
      <c r="I54" t="s">
        <v>890</v>
      </c>
      <c r="J54" t="s">
        <v>1010</v>
      </c>
      <c r="K54" t="s">
        <v>1049</v>
      </c>
      <c r="L54" t="s">
        <v>1049</v>
      </c>
      <c r="M54" t="s">
        <v>1153</v>
      </c>
      <c r="N54" t="s">
        <v>1153</v>
      </c>
      <c r="O54" t="s">
        <v>1153</v>
      </c>
      <c r="P54" t="s">
        <v>1175</v>
      </c>
      <c r="R54" t="s">
        <v>1322</v>
      </c>
      <c r="S54" t="s">
        <v>1322</v>
      </c>
    </row>
    <row r="55" spans="1:19">
      <c r="A55" t="s">
        <v>570</v>
      </c>
      <c r="B55" t="s">
        <v>88</v>
      </c>
      <c r="C55" t="s">
        <v>88</v>
      </c>
      <c r="D55" t="s">
        <v>88</v>
      </c>
      <c r="E55" t="s">
        <v>88</v>
      </c>
      <c r="F55" t="s">
        <v>833</v>
      </c>
      <c r="G55" t="s">
        <v>833</v>
      </c>
      <c r="H55" t="s">
        <v>882</v>
      </c>
      <c r="I55" t="s">
        <v>894</v>
      </c>
      <c r="J55" t="s">
        <v>992</v>
      </c>
      <c r="K55" t="s">
        <v>1049</v>
      </c>
      <c r="L55" t="s">
        <v>1049</v>
      </c>
      <c r="M55" t="s">
        <v>1144</v>
      </c>
      <c r="N55" t="s">
        <v>908</v>
      </c>
      <c r="O55" t="s">
        <v>908</v>
      </c>
      <c r="P55" t="s">
        <v>1175</v>
      </c>
      <c r="R55" t="s">
        <v>1322</v>
      </c>
      <c r="S55" t="s">
        <v>1322</v>
      </c>
    </row>
    <row r="56" spans="1:19">
      <c r="A56" s="14" t="s">
        <v>571</v>
      </c>
      <c r="B56" t="s">
        <v>741</v>
      </c>
      <c r="C56" t="s">
        <v>713</v>
      </c>
      <c r="D56" t="s">
        <v>88</v>
      </c>
      <c r="E56" t="s">
        <v>88</v>
      </c>
      <c r="F56" t="s">
        <v>837</v>
      </c>
      <c r="G56" t="s">
        <v>837</v>
      </c>
      <c r="H56" t="s">
        <v>837</v>
      </c>
      <c r="P56" t="s">
        <v>1174</v>
      </c>
      <c r="R56" t="s">
        <v>1329</v>
      </c>
    </row>
    <row r="57" spans="1:19">
      <c r="A57" t="s">
        <v>572</v>
      </c>
      <c r="B57" t="s">
        <v>88</v>
      </c>
      <c r="C57" t="s">
        <v>88</v>
      </c>
      <c r="D57" t="s">
        <v>88</v>
      </c>
      <c r="E57" t="s">
        <v>88</v>
      </c>
      <c r="F57" t="s">
        <v>833</v>
      </c>
      <c r="G57" t="s">
        <v>833</v>
      </c>
      <c r="H57" t="s">
        <v>882</v>
      </c>
      <c r="I57" t="s">
        <v>893</v>
      </c>
      <c r="J57" t="s">
        <v>992</v>
      </c>
      <c r="K57" t="s">
        <v>1053</v>
      </c>
      <c r="L57" t="s">
        <v>1049</v>
      </c>
      <c r="M57" t="s">
        <v>1146</v>
      </c>
      <c r="N57" t="s">
        <v>1146</v>
      </c>
      <c r="O57" t="s">
        <v>1146</v>
      </c>
      <c r="P57" t="s">
        <v>1175</v>
      </c>
      <c r="R57" t="s">
        <v>806</v>
      </c>
      <c r="S57" t="s">
        <v>1322</v>
      </c>
    </row>
    <row r="58" spans="1:19">
      <c r="A58" s="14" t="s">
        <v>573</v>
      </c>
      <c r="B58" t="s">
        <v>88</v>
      </c>
      <c r="C58" t="s">
        <v>88</v>
      </c>
      <c r="D58" t="s">
        <v>748</v>
      </c>
      <c r="E58" t="s">
        <v>748</v>
      </c>
      <c r="F58" t="s">
        <v>833</v>
      </c>
      <c r="G58" t="s">
        <v>833</v>
      </c>
      <c r="H58" t="s">
        <v>882</v>
      </c>
      <c r="P58" t="s">
        <v>1175</v>
      </c>
      <c r="R58" t="s">
        <v>1322</v>
      </c>
    </row>
    <row r="59" spans="1:19">
      <c r="A59" t="s">
        <v>574</v>
      </c>
      <c r="B59" t="s">
        <v>88</v>
      </c>
      <c r="C59" t="s">
        <v>88</v>
      </c>
      <c r="D59" t="s">
        <v>88</v>
      </c>
      <c r="E59" t="s">
        <v>88</v>
      </c>
      <c r="F59" t="s">
        <v>833</v>
      </c>
      <c r="G59" t="s">
        <v>833</v>
      </c>
      <c r="H59" t="s">
        <v>833</v>
      </c>
      <c r="I59" t="s">
        <v>893</v>
      </c>
      <c r="J59" t="s">
        <v>992</v>
      </c>
      <c r="K59" t="s">
        <v>1064</v>
      </c>
      <c r="L59" t="s">
        <v>1050</v>
      </c>
      <c r="M59" t="s">
        <v>1154</v>
      </c>
      <c r="N59" t="s">
        <v>1154</v>
      </c>
      <c r="O59" t="s">
        <v>1154</v>
      </c>
      <c r="P59" t="s">
        <v>1175</v>
      </c>
      <c r="R59" t="s">
        <v>1322</v>
      </c>
      <c r="S59" t="s">
        <v>1322</v>
      </c>
    </row>
    <row r="60" spans="1:19">
      <c r="A60" t="s">
        <v>575</v>
      </c>
      <c r="B60" t="s">
        <v>88</v>
      </c>
      <c r="C60" t="s">
        <v>88</v>
      </c>
      <c r="D60" t="s">
        <v>88</v>
      </c>
      <c r="E60" t="s">
        <v>88</v>
      </c>
      <c r="F60" t="s">
        <v>833</v>
      </c>
      <c r="G60" t="s">
        <v>833</v>
      </c>
      <c r="H60" t="s">
        <v>833</v>
      </c>
      <c r="I60" t="s">
        <v>890</v>
      </c>
      <c r="J60" t="s">
        <v>1015</v>
      </c>
      <c r="K60" t="s">
        <v>1065</v>
      </c>
      <c r="L60" t="s">
        <v>1049</v>
      </c>
      <c r="M60" t="s">
        <v>1144</v>
      </c>
      <c r="N60" t="s">
        <v>908</v>
      </c>
      <c r="O60" t="s">
        <v>908</v>
      </c>
      <c r="P60" t="s">
        <v>1175</v>
      </c>
      <c r="R60" t="s">
        <v>806</v>
      </c>
      <c r="S60" t="s">
        <v>1322</v>
      </c>
    </row>
    <row r="61" spans="1:19">
      <c r="A61" t="s">
        <v>576</v>
      </c>
      <c r="B61" t="s">
        <v>88</v>
      </c>
      <c r="C61" t="s">
        <v>88</v>
      </c>
      <c r="D61" t="s">
        <v>88</v>
      </c>
      <c r="E61" t="s">
        <v>88</v>
      </c>
      <c r="F61" t="s">
        <v>833</v>
      </c>
      <c r="G61" t="s">
        <v>833</v>
      </c>
      <c r="H61" t="s">
        <v>833</v>
      </c>
      <c r="I61" t="s">
        <v>894</v>
      </c>
      <c r="J61" t="s">
        <v>1016</v>
      </c>
      <c r="K61" t="s">
        <v>1049</v>
      </c>
      <c r="L61" t="s">
        <v>1053</v>
      </c>
      <c r="M61" t="s">
        <v>1144</v>
      </c>
      <c r="N61" t="s">
        <v>908</v>
      </c>
      <c r="O61" t="s">
        <v>908</v>
      </c>
      <c r="P61" t="s">
        <v>1175</v>
      </c>
      <c r="R61" t="s">
        <v>806</v>
      </c>
      <c r="S61" t="s">
        <v>1322</v>
      </c>
    </row>
    <row r="62" spans="1:19">
      <c r="A62" t="s">
        <v>577</v>
      </c>
      <c r="B62" t="s">
        <v>88</v>
      </c>
      <c r="C62" t="s">
        <v>88</v>
      </c>
      <c r="D62" t="s">
        <v>88</v>
      </c>
      <c r="E62" t="s">
        <v>88</v>
      </c>
      <c r="F62" t="s">
        <v>833</v>
      </c>
      <c r="G62" t="s">
        <v>833</v>
      </c>
      <c r="H62" t="s">
        <v>833</v>
      </c>
      <c r="I62" t="s">
        <v>893</v>
      </c>
      <c r="J62" t="s">
        <v>1009</v>
      </c>
      <c r="K62" t="s">
        <v>1049</v>
      </c>
      <c r="L62" t="s">
        <v>1108</v>
      </c>
      <c r="M62" t="s">
        <v>1145</v>
      </c>
      <c r="N62" t="s">
        <v>1145</v>
      </c>
      <c r="O62" t="s">
        <v>1145</v>
      </c>
      <c r="P62" t="s">
        <v>1175</v>
      </c>
      <c r="R62" t="s">
        <v>1322</v>
      </c>
      <c r="S62" t="s">
        <v>1322</v>
      </c>
    </row>
    <row r="63" spans="1:19">
      <c r="A63" t="s">
        <v>578</v>
      </c>
      <c r="B63" t="s">
        <v>88</v>
      </c>
      <c r="C63" t="s">
        <v>88</v>
      </c>
      <c r="D63" t="s">
        <v>88</v>
      </c>
      <c r="E63" t="s">
        <v>88</v>
      </c>
      <c r="F63" t="s">
        <v>833</v>
      </c>
      <c r="G63" t="s">
        <v>833</v>
      </c>
      <c r="H63" t="s">
        <v>833</v>
      </c>
      <c r="I63" t="s">
        <v>898</v>
      </c>
      <c r="J63" t="s">
        <v>1008</v>
      </c>
      <c r="K63" t="s">
        <v>1062</v>
      </c>
      <c r="L63" t="s">
        <v>1050</v>
      </c>
      <c r="M63" t="s">
        <v>1144</v>
      </c>
      <c r="N63" t="s">
        <v>908</v>
      </c>
      <c r="O63" t="s">
        <v>908</v>
      </c>
      <c r="P63" t="s">
        <v>1175</v>
      </c>
      <c r="R63" t="s">
        <v>1322</v>
      </c>
      <c r="S63" t="s">
        <v>1322</v>
      </c>
    </row>
    <row r="64" spans="1:19">
      <c r="A64" t="s">
        <v>579</v>
      </c>
      <c r="B64" t="s">
        <v>88</v>
      </c>
      <c r="C64" t="s">
        <v>88</v>
      </c>
      <c r="D64" t="s">
        <v>88</v>
      </c>
      <c r="E64" t="s">
        <v>88</v>
      </c>
      <c r="F64" t="s">
        <v>833</v>
      </c>
      <c r="G64" t="s">
        <v>833</v>
      </c>
      <c r="H64" t="s">
        <v>833</v>
      </c>
      <c r="I64" t="s">
        <v>890</v>
      </c>
      <c r="J64" t="s">
        <v>994</v>
      </c>
      <c r="K64" t="s">
        <v>1049</v>
      </c>
      <c r="L64" t="s">
        <v>1049</v>
      </c>
      <c r="M64" t="s">
        <v>1145</v>
      </c>
      <c r="N64" t="s">
        <v>1145</v>
      </c>
      <c r="O64" t="s">
        <v>1145</v>
      </c>
      <c r="P64" t="s">
        <v>1175</v>
      </c>
      <c r="R64" t="s">
        <v>806</v>
      </c>
      <c r="S64" t="s">
        <v>806</v>
      </c>
    </row>
    <row r="65" spans="1:19">
      <c r="A65" t="s">
        <v>580</v>
      </c>
      <c r="B65" t="s">
        <v>88</v>
      </c>
      <c r="C65" t="s">
        <v>88</v>
      </c>
      <c r="D65" t="s">
        <v>88</v>
      </c>
      <c r="E65" t="s">
        <v>88</v>
      </c>
      <c r="F65" t="s">
        <v>833</v>
      </c>
      <c r="G65" t="s">
        <v>833</v>
      </c>
      <c r="H65" t="s">
        <v>833</v>
      </c>
      <c r="I65" t="s">
        <v>895</v>
      </c>
      <c r="J65" t="s">
        <v>997</v>
      </c>
      <c r="K65" t="s">
        <v>1049</v>
      </c>
      <c r="L65" t="s">
        <v>1080</v>
      </c>
      <c r="M65" t="s">
        <v>1150</v>
      </c>
      <c r="N65" t="s">
        <v>1150</v>
      </c>
      <c r="O65" t="s">
        <v>1150</v>
      </c>
      <c r="P65" t="s">
        <v>1175</v>
      </c>
      <c r="R65" t="s">
        <v>806</v>
      </c>
      <c r="S65" t="s">
        <v>806</v>
      </c>
    </row>
    <row r="66" spans="1:19">
      <c r="A66" t="s">
        <v>581</v>
      </c>
      <c r="B66" t="s">
        <v>88</v>
      </c>
      <c r="C66" t="s">
        <v>88</v>
      </c>
      <c r="D66" t="s">
        <v>88</v>
      </c>
      <c r="E66" t="s">
        <v>88</v>
      </c>
      <c r="F66" t="s">
        <v>833</v>
      </c>
      <c r="G66" t="s">
        <v>833</v>
      </c>
      <c r="H66" t="s">
        <v>833</v>
      </c>
      <c r="I66" t="s">
        <v>894</v>
      </c>
      <c r="J66" t="s">
        <v>994</v>
      </c>
      <c r="K66" t="s">
        <v>1050</v>
      </c>
      <c r="L66" t="s">
        <v>1050</v>
      </c>
      <c r="M66" t="s">
        <v>1145</v>
      </c>
      <c r="N66" t="s">
        <v>1145</v>
      </c>
      <c r="O66" t="s">
        <v>1145</v>
      </c>
      <c r="P66" t="s">
        <v>1175</v>
      </c>
      <c r="R66" t="s">
        <v>1322</v>
      </c>
      <c r="S66" t="s">
        <v>1322</v>
      </c>
    </row>
    <row r="67" spans="1:19">
      <c r="A67" t="s">
        <v>582</v>
      </c>
      <c r="B67" t="s">
        <v>88</v>
      </c>
      <c r="C67" t="s">
        <v>88</v>
      </c>
      <c r="D67" t="s">
        <v>88</v>
      </c>
      <c r="E67" t="s">
        <v>88</v>
      </c>
      <c r="F67" t="s">
        <v>833</v>
      </c>
      <c r="G67" t="s">
        <v>833</v>
      </c>
      <c r="H67" t="s">
        <v>833</v>
      </c>
      <c r="I67" t="s">
        <v>902</v>
      </c>
      <c r="J67" t="s">
        <v>1014</v>
      </c>
      <c r="K67" t="s">
        <v>1058</v>
      </c>
      <c r="L67" t="s">
        <v>1109</v>
      </c>
      <c r="M67" t="s">
        <v>1144</v>
      </c>
      <c r="N67" t="s">
        <v>908</v>
      </c>
      <c r="O67" t="s">
        <v>908</v>
      </c>
      <c r="P67" t="s">
        <v>1175</v>
      </c>
      <c r="R67" t="s">
        <v>806</v>
      </c>
      <c r="S67" t="s">
        <v>1322</v>
      </c>
    </row>
    <row r="68" spans="1:19">
      <c r="A68" s="14" t="s">
        <v>583</v>
      </c>
      <c r="B68" t="s">
        <v>88</v>
      </c>
      <c r="C68" t="s">
        <v>713</v>
      </c>
      <c r="D68" t="s">
        <v>88</v>
      </c>
      <c r="E68" t="s">
        <v>748</v>
      </c>
      <c r="F68" t="s">
        <v>837</v>
      </c>
      <c r="G68" t="s">
        <v>837</v>
      </c>
      <c r="H68" t="s">
        <v>837</v>
      </c>
      <c r="P68" t="s">
        <v>1175</v>
      </c>
      <c r="R68" t="s">
        <v>1322</v>
      </c>
    </row>
    <row r="69" spans="1:19">
      <c r="A69" s="14" t="s">
        <v>584</v>
      </c>
      <c r="B69" t="s">
        <v>88</v>
      </c>
      <c r="C69" t="s">
        <v>88</v>
      </c>
      <c r="D69" t="s">
        <v>748</v>
      </c>
      <c r="E69" t="s">
        <v>748</v>
      </c>
      <c r="F69" t="s">
        <v>837</v>
      </c>
      <c r="G69" t="s">
        <v>837</v>
      </c>
      <c r="H69" t="s">
        <v>833</v>
      </c>
      <c r="P69" t="s">
        <v>1177</v>
      </c>
      <c r="R69" t="s">
        <v>1329</v>
      </c>
    </row>
    <row r="70" spans="1:19">
      <c r="A70" s="14" t="s">
        <v>585</v>
      </c>
      <c r="B70" t="s">
        <v>88</v>
      </c>
      <c r="C70" t="s">
        <v>88</v>
      </c>
      <c r="D70" t="s">
        <v>88</v>
      </c>
      <c r="E70" t="s">
        <v>88</v>
      </c>
      <c r="F70" t="s">
        <v>833</v>
      </c>
      <c r="G70" t="s">
        <v>833</v>
      </c>
      <c r="H70" t="s">
        <v>833</v>
      </c>
      <c r="I70" t="s">
        <v>894</v>
      </c>
      <c r="J70" t="s">
        <v>1017</v>
      </c>
      <c r="K70" t="s">
        <v>1049</v>
      </c>
      <c r="L70" t="s">
        <v>1050</v>
      </c>
      <c r="M70" t="s">
        <v>1144</v>
      </c>
      <c r="N70" t="s">
        <v>1159</v>
      </c>
      <c r="O70" t="s">
        <v>1159</v>
      </c>
      <c r="P70" t="s">
        <v>1175</v>
      </c>
      <c r="R70" t="s">
        <v>1322</v>
      </c>
    </row>
    <row r="71" spans="1:19">
      <c r="A71" t="s">
        <v>586</v>
      </c>
      <c r="B71" t="s">
        <v>88</v>
      </c>
      <c r="C71" t="s">
        <v>88</v>
      </c>
      <c r="D71" t="s">
        <v>88</v>
      </c>
      <c r="E71" t="s">
        <v>88</v>
      </c>
      <c r="F71" t="s">
        <v>833</v>
      </c>
      <c r="G71" t="s">
        <v>833</v>
      </c>
      <c r="H71" t="s">
        <v>833</v>
      </c>
      <c r="I71" t="s">
        <v>890</v>
      </c>
      <c r="J71" t="s">
        <v>992</v>
      </c>
      <c r="K71" t="s">
        <v>1049</v>
      </c>
      <c r="L71" t="s">
        <v>1049</v>
      </c>
      <c r="M71" t="s">
        <v>1145</v>
      </c>
      <c r="N71" t="s">
        <v>1145</v>
      </c>
      <c r="O71" t="s">
        <v>1145</v>
      </c>
      <c r="P71" t="s">
        <v>1175</v>
      </c>
      <c r="R71" t="s">
        <v>806</v>
      </c>
      <c r="S71" t="s">
        <v>1322</v>
      </c>
    </row>
    <row r="72" spans="1:19">
      <c r="A72" t="s">
        <v>587</v>
      </c>
      <c r="B72" t="s">
        <v>88</v>
      </c>
      <c r="C72" t="s">
        <v>88</v>
      </c>
      <c r="D72" t="s">
        <v>88</v>
      </c>
      <c r="E72" t="s">
        <v>88</v>
      </c>
      <c r="F72" t="s">
        <v>833</v>
      </c>
      <c r="G72" t="s">
        <v>833</v>
      </c>
      <c r="H72" t="s">
        <v>833</v>
      </c>
      <c r="I72" t="s">
        <v>894</v>
      </c>
      <c r="J72" t="s">
        <v>994</v>
      </c>
      <c r="K72" t="s">
        <v>1049</v>
      </c>
      <c r="L72" t="s">
        <v>1049</v>
      </c>
      <c r="M72" t="s">
        <v>1145</v>
      </c>
      <c r="N72" t="s">
        <v>1145</v>
      </c>
      <c r="O72" t="s">
        <v>1145</v>
      </c>
      <c r="P72" t="s">
        <v>1175</v>
      </c>
      <c r="R72" t="s">
        <v>1322</v>
      </c>
      <c r="S72" t="s">
        <v>1322</v>
      </c>
    </row>
    <row r="73" spans="1:19">
      <c r="A73" t="s">
        <v>588</v>
      </c>
      <c r="B73" t="s">
        <v>88</v>
      </c>
      <c r="C73" t="s">
        <v>88</v>
      </c>
      <c r="D73" t="s">
        <v>88</v>
      </c>
      <c r="E73" t="s">
        <v>88</v>
      </c>
      <c r="F73" t="s">
        <v>833</v>
      </c>
      <c r="G73" t="s">
        <v>833</v>
      </c>
      <c r="H73" t="s">
        <v>833</v>
      </c>
      <c r="I73" t="s">
        <v>890</v>
      </c>
      <c r="J73" t="s">
        <v>992</v>
      </c>
      <c r="K73" t="s">
        <v>1049</v>
      </c>
      <c r="L73" t="s">
        <v>1053</v>
      </c>
      <c r="M73" t="s">
        <v>1145</v>
      </c>
      <c r="N73" t="s">
        <v>1145</v>
      </c>
      <c r="O73" t="s">
        <v>1145</v>
      </c>
      <c r="P73" t="s">
        <v>1175</v>
      </c>
      <c r="R73" t="s">
        <v>1322</v>
      </c>
      <c r="S73" t="s">
        <v>1322</v>
      </c>
    </row>
    <row r="74" spans="1:19">
      <c r="A74" t="s">
        <v>589</v>
      </c>
      <c r="B74" t="s">
        <v>88</v>
      </c>
      <c r="C74" t="s">
        <v>88</v>
      </c>
      <c r="D74" t="s">
        <v>88</v>
      </c>
      <c r="E74" t="s">
        <v>88</v>
      </c>
      <c r="F74" t="s">
        <v>833</v>
      </c>
      <c r="G74" t="s">
        <v>833</v>
      </c>
      <c r="H74" t="s">
        <v>833</v>
      </c>
      <c r="I74" t="s">
        <v>890</v>
      </c>
      <c r="J74" t="s">
        <v>992</v>
      </c>
      <c r="K74" t="s">
        <v>1049</v>
      </c>
      <c r="L74" t="s">
        <v>1050</v>
      </c>
      <c r="M74" t="s">
        <v>1145</v>
      </c>
      <c r="N74" t="s">
        <v>1145</v>
      </c>
      <c r="O74" t="s">
        <v>1145</v>
      </c>
      <c r="P74" t="s">
        <v>1175</v>
      </c>
      <c r="R74" t="s">
        <v>1322</v>
      </c>
      <c r="S74" t="s">
        <v>1322</v>
      </c>
    </row>
    <row r="75" spans="1:19">
      <c r="A75" t="s">
        <v>590</v>
      </c>
      <c r="B75" t="s">
        <v>88</v>
      </c>
      <c r="C75" t="s">
        <v>88</v>
      </c>
      <c r="D75" t="s">
        <v>88</v>
      </c>
      <c r="E75" t="s">
        <v>88</v>
      </c>
      <c r="F75" t="s">
        <v>833</v>
      </c>
      <c r="G75" t="s">
        <v>833</v>
      </c>
      <c r="H75" t="s">
        <v>833</v>
      </c>
      <c r="I75" t="s">
        <v>890</v>
      </c>
      <c r="J75" t="s">
        <v>991</v>
      </c>
      <c r="K75" t="s">
        <v>1065</v>
      </c>
      <c r="L75" t="s">
        <v>1049</v>
      </c>
      <c r="M75" t="s">
        <v>1144</v>
      </c>
      <c r="N75" t="s">
        <v>908</v>
      </c>
      <c r="O75" t="s">
        <v>908</v>
      </c>
      <c r="P75" t="s">
        <v>1175</v>
      </c>
      <c r="R75" t="s">
        <v>1322</v>
      </c>
      <c r="S75" t="s">
        <v>1322</v>
      </c>
    </row>
    <row r="76" spans="1:19">
      <c r="A76" t="s">
        <v>591</v>
      </c>
      <c r="B76" t="s">
        <v>88</v>
      </c>
      <c r="C76" t="s">
        <v>88</v>
      </c>
      <c r="D76" t="s">
        <v>88</v>
      </c>
      <c r="E76" t="s">
        <v>88</v>
      </c>
      <c r="F76" t="s">
        <v>833</v>
      </c>
      <c r="G76" t="s">
        <v>833</v>
      </c>
      <c r="H76" t="s">
        <v>833</v>
      </c>
      <c r="I76" t="s">
        <v>890</v>
      </c>
      <c r="J76" t="s">
        <v>992</v>
      </c>
      <c r="K76" t="s">
        <v>1049</v>
      </c>
      <c r="L76" t="s">
        <v>1082</v>
      </c>
      <c r="M76" t="s">
        <v>1145</v>
      </c>
      <c r="N76" t="s">
        <v>1145</v>
      </c>
      <c r="O76" t="s">
        <v>1145</v>
      </c>
      <c r="P76" t="s">
        <v>1175</v>
      </c>
      <c r="R76" t="s">
        <v>1322</v>
      </c>
      <c r="S76" t="s">
        <v>1322</v>
      </c>
    </row>
    <row r="77" spans="1:19">
      <c r="A77" s="14" t="s">
        <v>592</v>
      </c>
      <c r="B77" t="s">
        <v>741</v>
      </c>
      <c r="C77" t="s">
        <v>713</v>
      </c>
      <c r="D77" t="s">
        <v>88</v>
      </c>
      <c r="E77" t="s">
        <v>748</v>
      </c>
      <c r="F77" t="s">
        <v>837</v>
      </c>
      <c r="G77" t="s">
        <v>837</v>
      </c>
      <c r="H77" t="s">
        <v>837</v>
      </c>
      <c r="P77" t="s">
        <v>1174</v>
      </c>
      <c r="R77" t="s">
        <v>1329</v>
      </c>
    </row>
    <row r="78" spans="1:19">
      <c r="A78" t="s">
        <v>799</v>
      </c>
      <c r="B78" t="s">
        <v>88</v>
      </c>
      <c r="C78" t="s">
        <v>88</v>
      </c>
      <c r="D78" t="s">
        <v>88</v>
      </c>
      <c r="E78" t="s">
        <v>88</v>
      </c>
      <c r="F78" t="s">
        <v>833</v>
      </c>
      <c r="G78" t="s">
        <v>833</v>
      </c>
      <c r="H78" t="s">
        <v>833</v>
      </c>
      <c r="I78" t="s">
        <v>890</v>
      </c>
      <c r="J78" t="s">
        <v>992</v>
      </c>
      <c r="K78" t="s">
        <v>1049</v>
      </c>
      <c r="L78" t="s">
        <v>1050</v>
      </c>
      <c r="M78" t="s">
        <v>1145</v>
      </c>
      <c r="N78" t="s">
        <v>1145</v>
      </c>
      <c r="O78" t="s">
        <v>1145</v>
      </c>
      <c r="P78" t="s">
        <v>1175</v>
      </c>
      <c r="R78" t="s">
        <v>1322</v>
      </c>
      <c r="S78" t="s">
        <v>1322</v>
      </c>
    </row>
    <row r="79" spans="1:19">
      <c r="A79" t="s">
        <v>593</v>
      </c>
      <c r="B79" t="s">
        <v>88</v>
      </c>
      <c r="C79" t="s">
        <v>88</v>
      </c>
      <c r="D79" t="s">
        <v>88</v>
      </c>
      <c r="E79" t="s">
        <v>88</v>
      </c>
      <c r="F79" t="s">
        <v>833</v>
      </c>
      <c r="G79" t="s">
        <v>833</v>
      </c>
      <c r="H79" t="s">
        <v>833</v>
      </c>
      <c r="I79" t="s">
        <v>895</v>
      </c>
      <c r="J79" t="s">
        <v>997</v>
      </c>
      <c r="K79" t="s">
        <v>1049</v>
      </c>
      <c r="L79" t="s">
        <v>1049</v>
      </c>
      <c r="M79" t="s">
        <v>1143</v>
      </c>
      <c r="N79" t="s">
        <v>1143</v>
      </c>
      <c r="O79" t="s">
        <v>1143</v>
      </c>
      <c r="P79" t="s">
        <v>1175</v>
      </c>
      <c r="R79" t="s">
        <v>1322</v>
      </c>
      <c r="S79" t="s">
        <v>1322</v>
      </c>
    </row>
    <row r="80" spans="1:19">
      <c r="A80" t="s">
        <v>594</v>
      </c>
      <c r="B80" t="s">
        <v>88</v>
      </c>
      <c r="C80" t="s">
        <v>88</v>
      </c>
      <c r="D80" t="s">
        <v>88</v>
      </c>
      <c r="E80" t="s">
        <v>88</v>
      </c>
      <c r="F80" t="s">
        <v>833</v>
      </c>
      <c r="G80" t="s">
        <v>833</v>
      </c>
      <c r="H80" t="s">
        <v>882</v>
      </c>
      <c r="I80" t="s">
        <v>890</v>
      </c>
      <c r="J80" t="s">
        <v>1003</v>
      </c>
      <c r="K80" t="s">
        <v>1052</v>
      </c>
      <c r="L80" t="s">
        <v>1103</v>
      </c>
      <c r="M80" t="s">
        <v>1145</v>
      </c>
      <c r="N80" t="s">
        <v>1145</v>
      </c>
      <c r="O80" t="s">
        <v>1145</v>
      </c>
      <c r="P80" t="s">
        <v>1175</v>
      </c>
      <c r="R80" t="s">
        <v>1322</v>
      </c>
      <c r="S80" t="s">
        <v>1322</v>
      </c>
    </row>
    <row r="81" spans="1:19">
      <c r="A81" t="s">
        <v>595</v>
      </c>
      <c r="B81" t="s">
        <v>88</v>
      </c>
      <c r="C81" t="s">
        <v>88</v>
      </c>
      <c r="D81" t="s">
        <v>88</v>
      </c>
      <c r="E81" t="s">
        <v>88</v>
      </c>
      <c r="F81" t="s">
        <v>833</v>
      </c>
      <c r="G81" t="s">
        <v>833</v>
      </c>
      <c r="H81" t="s">
        <v>833</v>
      </c>
      <c r="I81" t="s">
        <v>890</v>
      </c>
      <c r="J81" t="s">
        <v>997</v>
      </c>
      <c r="K81" t="s">
        <v>1066</v>
      </c>
      <c r="L81" t="s">
        <v>1049</v>
      </c>
      <c r="M81" t="s">
        <v>1155</v>
      </c>
      <c r="N81" t="s">
        <v>913</v>
      </c>
      <c r="O81" t="s">
        <v>913</v>
      </c>
      <c r="P81" t="s">
        <v>1175</v>
      </c>
      <c r="R81" t="s">
        <v>1322</v>
      </c>
      <c r="S81" t="s">
        <v>1322</v>
      </c>
    </row>
    <row r="82" spans="1:19">
      <c r="A82" s="14" t="s">
        <v>800</v>
      </c>
      <c r="B82" t="s">
        <v>88</v>
      </c>
      <c r="C82" t="s">
        <v>88</v>
      </c>
      <c r="D82" t="s">
        <v>88</v>
      </c>
      <c r="E82" t="s">
        <v>748</v>
      </c>
      <c r="F82" t="s">
        <v>833</v>
      </c>
      <c r="G82" t="s">
        <v>833</v>
      </c>
      <c r="H82" t="s">
        <v>833</v>
      </c>
      <c r="P82" t="s">
        <v>1175</v>
      </c>
      <c r="R82" t="s">
        <v>1322</v>
      </c>
    </row>
    <row r="83" spans="1:19">
      <c r="A83" t="s">
        <v>596</v>
      </c>
      <c r="B83" t="s">
        <v>88</v>
      </c>
      <c r="C83" t="s">
        <v>88</v>
      </c>
      <c r="D83" t="s">
        <v>88</v>
      </c>
      <c r="E83" t="s">
        <v>88</v>
      </c>
      <c r="F83" t="s">
        <v>833</v>
      </c>
      <c r="G83" t="s">
        <v>833</v>
      </c>
      <c r="H83" t="s">
        <v>833</v>
      </c>
      <c r="I83" t="s">
        <v>890</v>
      </c>
      <c r="J83" t="s">
        <v>992</v>
      </c>
      <c r="K83" t="s">
        <v>1049</v>
      </c>
      <c r="L83" t="s">
        <v>1049</v>
      </c>
      <c r="M83" t="s">
        <v>1153</v>
      </c>
      <c r="N83" t="s">
        <v>1153</v>
      </c>
      <c r="O83" t="s">
        <v>1153</v>
      </c>
      <c r="P83" t="s">
        <v>1175</v>
      </c>
      <c r="R83" t="s">
        <v>1322</v>
      </c>
      <c r="S83" t="s">
        <v>1322</v>
      </c>
    </row>
    <row r="84" spans="1:19">
      <c r="A84" s="14" t="s">
        <v>597</v>
      </c>
      <c r="B84" t="s">
        <v>88</v>
      </c>
      <c r="C84" t="s">
        <v>713</v>
      </c>
      <c r="D84" t="s">
        <v>88</v>
      </c>
      <c r="E84" t="s">
        <v>88</v>
      </c>
      <c r="F84" t="s">
        <v>837</v>
      </c>
      <c r="G84" t="s">
        <v>837</v>
      </c>
      <c r="H84" t="s">
        <v>837</v>
      </c>
      <c r="P84" t="s">
        <v>1174</v>
      </c>
      <c r="R84" t="s">
        <v>1329</v>
      </c>
    </row>
    <row r="85" spans="1:19">
      <c r="A85" s="14" t="s">
        <v>598</v>
      </c>
      <c r="B85" t="s">
        <v>88</v>
      </c>
      <c r="C85" t="s">
        <v>88</v>
      </c>
      <c r="D85" t="s">
        <v>88</v>
      </c>
      <c r="E85" t="s">
        <v>88</v>
      </c>
      <c r="F85" t="s">
        <v>833</v>
      </c>
      <c r="G85" t="s">
        <v>833</v>
      </c>
      <c r="H85" t="s">
        <v>833</v>
      </c>
      <c r="I85" t="s">
        <v>890</v>
      </c>
      <c r="J85" t="s">
        <v>997</v>
      </c>
      <c r="K85" t="s">
        <v>1067</v>
      </c>
      <c r="P85" t="s">
        <v>1175</v>
      </c>
      <c r="R85" t="s">
        <v>1322</v>
      </c>
    </row>
    <row r="86" spans="1:19">
      <c r="A86" t="s">
        <v>1355</v>
      </c>
      <c r="B86" t="s">
        <v>88</v>
      </c>
      <c r="C86" t="s">
        <v>88</v>
      </c>
      <c r="D86" t="s">
        <v>88</v>
      </c>
      <c r="E86" t="s">
        <v>88</v>
      </c>
      <c r="F86" t="s">
        <v>833</v>
      </c>
      <c r="G86" t="s">
        <v>833</v>
      </c>
      <c r="H86" t="s">
        <v>833</v>
      </c>
      <c r="I86" t="s">
        <v>894</v>
      </c>
      <c r="J86" t="s">
        <v>992</v>
      </c>
      <c r="K86" t="s">
        <v>1052</v>
      </c>
      <c r="L86" t="s">
        <v>1085</v>
      </c>
      <c r="M86" t="s">
        <v>1146</v>
      </c>
      <c r="N86" t="s">
        <v>1146</v>
      </c>
      <c r="O86" t="s">
        <v>1146</v>
      </c>
      <c r="P86" t="s">
        <v>1175</v>
      </c>
      <c r="R86" t="s">
        <v>1322</v>
      </c>
      <c r="S86" t="s">
        <v>1322</v>
      </c>
    </row>
    <row r="87" spans="1:19">
      <c r="A87" t="s">
        <v>599</v>
      </c>
      <c r="B87" t="s">
        <v>88</v>
      </c>
      <c r="C87" t="s">
        <v>88</v>
      </c>
      <c r="D87" t="s">
        <v>88</v>
      </c>
      <c r="E87" t="s">
        <v>88</v>
      </c>
      <c r="F87" t="s">
        <v>833</v>
      </c>
      <c r="G87" t="s">
        <v>833</v>
      </c>
      <c r="H87" t="s">
        <v>833</v>
      </c>
      <c r="I87" t="s">
        <v>894</v>
      </c>
      <c r="J87" t="s">
        <v>992</v>
      </c>
      <c r="K87" t="s">
        <v>1049</v>
      </c>
      <c r="L87" t="s">
        <v>1052</v>
      </c>
      <c r="M87" t="s">
        <v>1144</v>
      </c>
      <c r="N87" t="s">
        <v>908</v>
      </c>
      <c r="O87" t="s">
        <v>908</v>
      </c>
      <c r="P87" t="s">
        <v>1175</v>
      </c>
      <c r="R87" t="s">
        <v>1322</v>
      </c>
      <c r="S87" t="s">
        <v>1322</v>
      </c>
    </row>
    <row r="88" spans="1:19">
      <c r="A88" t="s">
        <v>600</v>
      </c>
      <c r="B88" t="s">
        <v>88</v>
      </c>
      <c r="C88" t="s">
        <v>88</v>
      </c>
      <c r="D88" t="s">
        <v>88</v>
      </c>
      <c r="E88" t="s">
        <v>88</v>
      </c>
      <c r="F88" t="s">
        <v>833</v>
      </c>
      <c r="G88" t="s">
        <v>833</v>
      </c>
      <c r="H88" t="s">
        <v>833</v>
      </c>
      <c r="I88" t="s">
        <v>894</v>
      </c>
      <c r="J88" t="s">
        <v>992</v>
      </c>
      <c r="K88" t="s">
        <v>1052</v>
      </c>
      <c r="L88" t="s">
        <v>1049</v>
      </c>
      <c r="M88" t="s">
        <v>1156</v>
      </c>
      <c r="N88" t="s">
        <v>807</v>
      </c>
      <c r="O88" t="s">
        <v>807</v>
      </c>
      <c r="P88" t="s">
        <v>1175</v>
      </c>
      <c r="R88" t="s">
        <v>1322</v>
      </c>
      <c r="S88" t="s">
        <v>1322</v>
      </c>
    </row>
    <row r="89" spans="1:19">
      <c r="A89" t="s">
        <v>601</v>
      </c>
      <c r="B89" t="s">
        <v>88</v>
      </c>
      <c r="C89" t="s">
        <v>88</v>
      </c>
      <c r="D89" t="s">
        <v>88</v>
      </c>
      <c r="E89" t="s">
        <v>88</v>
      </c>
      <c r="F89" t="s">
        <v>833</v>
      </c>
      <c r="G89" t="s">
        <v>833</v>
      </c>
      <c r="H89" t="s">
        <v>833</v>
      </c>
      <c r="I89" t="s">
        <v>894</v>
      </c>
      <c r="J89" t="s">
        <v>1015</v>
      </c>
      <c r="K89" t="s">
        <v>1068</v>
      </c>
      <c r="L89" t="s">
        <v>1049</v>
      </c>
      <c r="M89" t="s">
        <v>1144</v>
      </c>
      <c r="N89" t="s">
        <v>908</v>
      </c>
      <c r="O89" t="s">
        <v>908</v>
      </c>
      <c r="P89" t="s">
        <v>1176</v>
      </c>
      <c r="R89" t="s">
        <v>1322</v>
      </c>
      <c r="S89" t="s">
        <v>1322</v>
      </c>
    </row>
    <row r="90" spans="1:19">
      <c r="A90" t="s">
        <v>602</v>
      </c>
      <c r="B90" t="s">
        <v>88</v>
      </c>
      <c r="C90" t="s">
        <v>88</v>
      </c>
      <c r="D90" t="s">
        <v>88</v>
      </c>
      <c r="E90" t="s">
        <v>88</v>
      </c>
      <c r="F90" t="s">
        <v>833</v>
      </c>
      <c r="G90" t="s">
        <v>833</v>
      </c>
      <c r="H90" t="s">
        <v>833</v>
      </c>
      <c r="I90" t="s">
        <v>890</v>
      </c>
      <c r="J90" t="s">
        <v>1010</v>
      </c>
      <c r="K90" t="s">
        <v>1049</v>
      </c>
      <c r="L90" t="s">
        <v>1049</v>
      </c>
      <c r="M90" t="s">
        <v>1145</v>
      </c>
      <c r="N90" t="s">
        <v>1145</v>
      </c>
      <c r="O90" t="s">
        <v>1145</v>
      </c>
      <c r="P90" t="s">
        <v>1173</v>
      </c>
      <c r="R90" t="s">
        <v>1322</v>
      </c>
      <c r="S90" t="s">
        <v>1322</v>
      </c>
    </row>
    <row r="91" spans="1:19">
      <c r="A91" t="s">
        <v>603</v>
      </c>
      <c r="B91" t="s">
        <v>88</v>
      </c>
      <c r="C91" t="s">
        <v>88</v>
      </c>
      <c r="D91" t="s">
        <v>88</v>
      </c>
      <c r="E91" t="s">
        <v>88</v>
      </c>
      <c r="F91" t="s">
        <v>833</v>
      </c>
      <c r="G91" t="s">
        <v>833</v>
      </c>
      <c r="H91" t="s">
        <v>833</v>
      </c>
      <c r="I91" t="s">
        <v>890</v>
      </c>
      <c r="J91" t="s">
        <v>992</v>
      </c>
      <c r="K91" t="s">
        <v>1055</v>
      </c>
      <c r="L91" t="s">
        <v>1052</v>
      </c>
      <c r="M91" t="s">
        <v>1144</v>
      </c>
      <c r="N91" t="s">
        <v>908</v>
      </c>
      <c r="O91" t="s">
        <v>908</v>
      </c>
      <c r="P91" t="s">
        <v>1175</v>
      </c>
      <c r="R91" t="s">
        <v>1322</v>
      </c>
      <c r="S91" t="s">
        <v>1322</v>
      </c>
    </row>
    <row r="92" spans="1:19">
      <c r="A92" t="s">
        <v>604</v>
      </c>
      <c r="B92" t="s">
        <v>88</v>
      </c>
      <c r="C92" t="s">
        <v>88</v>
      </c>
      <c r="D92" t="s">
        <v>88</v>
      </c>
      <c r="E92" t="s">
        <v>88</v>
      </c>
      <c r="F92" t="s">
        <v>833</v>
      </c>
      <c r="G92" t="s">
        <v>833</v>
      </c>
      <c r="H92" t="s">
        <v>833</v>
      </c>
      <c r="I92" t="s">
        <v>895</v>
      </c>
      <c r="J92" t="s">
        <v>992</v>
      </c>
      <c r="K92" t="s">
        <v>1049</v>
      </c>
      <c r="L92" t="s">
        <v>1050</v>
      </c>
      <c r="M92" t="s">
        <v>1145</v>
      </c>
      <c r="N92" t="s">
        <v>1145</v>
      </c>
      <c r="O92" t="s">
        <v>1145</v>
      </c>
      <c r="P92" t="s">
        <v>1175</v>
      </c>
      <c r="R92" t="s">
        <v>1322</v>
      </c>
      <c r="S92" t="s">
        <v>1322</v>
      </c>
    </row>
    <row r="93" spans="1:19">
      <c r="A93" t="s">
        <v>605</v>
      </c>
      <c r="B93" t="s">
        <v>88</v>
      </c>
      <c r="C93" t="s">
        <v>88</v>
      </c>
      <c r="D93" t="s">
        <v>88</v>
      </c>
      <c r="E93" t="s">
        <v>88</v>
      </c>
      <c r="F93" t="s">
        <v>833</v>
      </c>
      <c r="G93" t="s">
        <v>833</v>
      </c>
      <c r="H93" t="s">
        <v>833</v>
      </c>
      <c r="I93" t="s">
        <v>890</v>
      </c>
      <c r="J93" t="s">
        <v>994</v>
      </c>
      <c r="K93" t="s">
        <v>1049</v>
      </c>
      <c r="L93" t="s">
        <v>1050</v>
      </c>
      <c r="M93" t="s">
        <v>1153</v>
      </c>
      <c r="N93" t="s">
        <v>1153</v>
      </c>
      <c r="O93" t="s">
        <v>1153</v>
      </c>
      <c r="P93" t="s">
        <v>1175</v>
      </c>
      <c r="R93" t="s">
        <v>806</v>
      </c>
      <c r="S93" t="s">
        <v>1322</v>
      </c>
    </row>
    <row r="94" spans="1:19">
      <c r="A94" t="s">
        <v>606</v>
      </c>
      <c r="B94" t="s">
        <v>88</v>
      </c>
      <c r="C94" t="s">
        <v>88</v>
      </c>
      <c r="D94" t="s">
        <v>88</v>
      </c>
      <c r="E94" t="s">
        <v>88</v>
      </c>
      <c r="F94" t="s">
        <v>833</v>
      </c>
      <c r="G94" t="s">
        <v>833</v>
      </c>
      <c r="H94" t="s">
        <v>833</v>
      </c>
      <c r="I94" t="s">
        <v>890</v>
      </c>
      <c r="J94" t="s">
        <v>992</v>
      </c>
      <c r="K94" t="s">
        <v>1050</v>
      </c>
      <c r="L94" t="s">
        <v>1099</v>
      </c>
      <c r="M94" t="s">
        <v>1153</v>
      </c>
      <c r="N94" t="s">
        <v>1153</v>
      </c>
      <c r="O94" t="s">
        <v>1153</v>
      </c>
      <c r="P94" t="s">
        <v>1175</v>
      </c>
      <c r="R94" t="s">
        <v>1322</v>
      </c>
      <c r="S94" t="s">
        <v>1322</v>
      </c>
    </row>
    <row r="95" spans="1:19">
      <c r="A95" t="s">
        <v>607</v>
      </c>
      <c r="B95" t="s">
        <v>88</v>
      </c>
      <c r="C95" t="s">
        <v>88</v>
      </c>
      <c r="D95" t="s">
        <v>88</v>
      </c>
      <c r="E95" t="s">
        <v>88</v>
      </c>
      <c r="F95" t="s">
        <v>833</v>
      </c>
      <c r="G95" t="s">
        <v>833</v>
      </c>
      <c r="H95" t="s">
        <v>833</v>
      </c>
      <c r="I95" t="s">
        <v>903</v>
      </c>
      <c r="J95" t="s">
        <v>1018</v>
      </c>
      <c r="K95" t="s">
        <v>1049</v>
      </c>
      <c r="L95" t="s">
        <v>1110</v>
      </c>
      <c r="M95" t="s">
        <v>1145</v>
      </c>
      <c r="N95" t="s">
        <v>1145</v>
      </c>
      <c r="O95" t="s">
        <v>1145</v>
      </c>
      <c r="P95" t="s">
        <v>1175</v>
      </c>
      <c r="R95" t="s">
        <v>1322</v>
      </c>
      <c r="S95" t="s">
        <v>1322</v>
      </c>
    </row>
    <row r="96" spans="1:19">
      <c r="A96" t="s">
        <v>608</v>
      </c>
      <c r="B96" t="s">
        <v>88</v>
      </c>
      <c r="C96" t="s">
        <v>88</v>
      </c>
      <c r="D96" t="s">
        <v>88</v>
      </c>
      <c r="E96" t="s">
        <v>88</v>
      </c>
      <c r="F96" t="s">
        <v>833</v>
      </c>
      <c r="G96" t="s">
        <v>833</v>
      </c>
      <c r="H96" t="s">
        <v>833</v>
      </c>
      <c r="I96" t="s">
        <v>904</v>
      </c>
      <c r="J96" t="s">
        <v>992</v>
      </c>
      <c r="K96" t="s">
        <v>1059</v>
      </c>
      <c r="L96" t="s">
        <v>1052</v>
      </c>
      <c r="M96" t="s">
        <v>1145</v>
      </c>
      <c r="N96" t="s">
        <v>1145</v>
      </c>
      <c r="O96" t="s">
        <v>1145</v>
      </c>
      <c r="P96" t="s">
        <v>1175</v>
      </c>
      <c r="R96" t="s">
        <v>806</v>
      </c>
      <c r="S96" t="s">
        <v>1322</v>
      </c>
    </row>
    <row r="97" spans="1:19">
      <c r="A97" t="s">
        <v>609</v>
      </c>
      <c r="B97" t="s">
        <v>88</v>
      </c>
      <c r="C97" t="s">
        <v>88</v>
      </c>
      <c r="D97" t="s">
        <v>88</v>
      </c>
      <c r="E97" t="s">
        <v>88</v>
      </c>
      <c r="F97" t="s">
        <v>833</v>
      </c>
      <c r="G97" t="s">
        <v>833</v>
      </c>
      <c r="H97" t="s">
        <v>833</v>
      </c>
      <c r="I97" t="s">
        <v>890</v>
      </c>
      <c r="J97" t="s">
        <v>1000</v>
      </c>
      <c r="K97" t="s">
        <v>1069</v>
      </c>
      <c r="L97" t="s">
        <v>1053</v>
      </c>
      <c r="M97" t="s">
        <v>1144</v>
      </c>
      <c r="N97" t="s">
        <v>908</v>
      </c>
      <c r="O97" t="s">
        <v>908</v>
      </c>
      <c r="P97" t="s">
        <v>1175</v>
      </c>
      <c r="R97" t="s">
        <v>1322</v>
      </c>
      <c r="S97" t="s">
        <v>1322</v>
      </c>
    </row>
    <row r="98" spans="1:19">
      <c r="A98" t="s">
        <v>610</v>
      </c>
      <c r="B98" t="s">
        <v>88</v>
      </c>
      <c r="C98" t="s">
        <v>88</v>
      </c>
      <c r="D98" t="s">
        <v>88</v>
      </c>
      <c r="E98" t="s">
        <v>88</v>
      </c>
      <c r="F98" t="s">
        <v>833</v>
      </c>
      <c r="G98" t="s">
        <v>833</v>
      </c>
      <c r="H98" t="s">
        <v>833</v>
      </c>
      <c r="I98" t="s">
        <v>890</v>
      </c>
      <c r="J98" t="s">
        <v>992</v>
      </c>
      <c r="K98" t="s">
        <v>1049</v>
      </c>
      <c r="L98" t="s">
        <v>1050</v>
      </c>
      <c r="M98" t="s">
        <v>1144</v>
      </c>
      <c r="N98" t="s">
        <v>908</v>
      </c>
      <c r="O98" t="s">
        <v>908</v>
      </c>
      <c r="P98" t="s">
        <v>1175</v>
      </c>
      <c r="R98" t="s">
        <v>1322</v>
      </c>
      <c r="S98" t="s">
        <v>1322</v>
      </c>
    </row>
    <row r="99" spans="1:19">
      <c r="A99" t="s">
        <v>611</v>
      </c>
      <c r="B99" t="s">
        <v>88</v>
      </c>
      <c r="C99" t="s">
        <v>88</v>
      </c>
      <c r="D99" t="s">
        <v>88</v>
      </c>
      <c r="E99" t="s">
        <v>88</v>
      </c>
      <c r="F99" t="s">
        <v>833</v>
      </c>
      <c r="G99" t="s">
        <v>833</v>
      </c>
      <c r="H99" t="s">
        <v>833</v>
      </c>
      <c r="I99" t="s">
        <v>893</v>
      </c>
      <c r="J99" t="s">
        <v>1009</v>
      </c>
      <c r="K99" t="s">
        <v>1049</v>
      </c>
      <c r="L99" t="s">
        <v>1050</v>
      </c>
      <c r="M99" t="s">
        <v>1145</v>
      </c>
      <c r="N99" t="s">
        <v>1145</v>
      </c>
      <c r="O99" t="s">
        <v>1145</v>
      </c>
      <c r="P99" t="s">
        <v>1175</v>
      </c>
      <c r="R99" t="s">
        <v>1322</v>
      </c>
      <c r="S99" t="s">
        <v>1322</v>
      </c>
    </row>
    <row r="100" spans="1:19">
      <c r="A100" t="s">
        <v>612</v>
      </c>
      <c r="B100" t="s">
        <v>88</v>
      </c>
      <c r="C100" t="s">
        <v>88</v>
      </c>
      <c r="D100" t="s">
        <v>88</v>
      </c>
      <c r="E100" t="s">
        <v>88</v>
      </c>
      <c r="F100" t="s">
        <v>833</v>
      </c>
      <c r="G100" t="s">
        <v>833</v>
      </c>
      <c r="H100" t="s">
        <v>833</v>
      </c>
      <c r="I100" t="s">
        <v>890</v>
      </c>
      <c r="J100" t="s">
        <v>992</v>
      </c>
      <c r="K100" t="s">
        <v>1049</v>
      </c>
      <c r="L100" t="s">
        <v>1049</v>
      </c>
      <c r="M100" t="s">
        <v>1144</v>
      </c>
      <c r="N100" t="s">
        <v>908</v>
      </c>
      <c r="O100" t="s">
        <v>908</v>
      </c>
      <c r="P100" t="s">
        <v>1175</v>
      </c>
      <c r="R100" t="s">
        <v>1322</v>
      </c>
      <c r="S100" t="s">
        <v>1322</v>
      </c>
    </row>
    <row r="101" spans="1:19">
      <c r="A101" s="14" t="s">
        <v>613</v>
      </c>
      <c r="B101" t="s">
        <v>88</v>
      </c>
      <c r="C101" t="s">
        <v>713</v>
      </c>
      <c r="D101" t="s">
        <v>88</v>
      </c>
      <c r="E101" t="s">
        <v>88</v>
      </c>
      <c r="F101" t="s">
        <v>833</v>
      </c>
      <c r="G101" t="s">
        <v>837</v>
      </c>
      <c r="H101" t="s">
        <v>833</v>
      </c>
      <c r="P101" t="s">
        <v>1175</v>
      </c>
      <c r="R101" t="s">
        <v>1322</v>
      </c>
    </row>
    <row r="102" spans="1:19">
      <c r="A102" t="s">
        <v>614</v>
      </c>
      <c r="B102" t="s">
        <v>88</v>
      </c>
      <c r="C102" t="s">
        <v>88</v>
      </c>
      <c r="D102" t="s">
        <v>88</v>
      </c>
      <c r="E102" t="s">
        <v>88</v>
      </c>
      <c r="F102" t="s">
        <v>833</v>
      </c>
      <c r="G102" t="s">
        <v>833</v>
      </c>
      <c r="H102" t="s">
        <v>833</v>
      </c>
      <c r="I102" t="s">
        <v>894</v>
      </c>
      <c r="J102" t="s">
        <v>992</v>
      </c>
      <c r="K102" t="s">
        <v>1049</v>
      </c>
      <c r="L102" t="s">
        <v>1049</v>
      </c>
      <c r="M102" t="s">
        <v>1144</v>
      </c>
      <c r="N102" t="s">
        <v>908</v>
      </c>
      <c r="O102" t="s">
        <v>908</v>
      </c>
      <c r="P102" t="s">
        <v>1175</v>
      </c>
      <c r="R102" t="s">
        <v>1322</v>
      </c>
      <c r="S102" t="s">
        <v>1322</v>
      </c>
    </row>
    <row r="103" spans="1:19">
      <c r="A103" s="14" t="s">
        <v>615</v>
      </c>
      <c r="B103" t="s">
        <v>89</v>
      </c>
      <c r="C103" t="s">
        <v>88</v>
      </c>
      <c r="D103" t="s">
        <v>88</v>
      </c>
      <c r="E103" t="s">
        <v>748</v>
      </c>
      <c r="F103" t="s">
        <v>833</v>
      </c>
      <c r="G103" t="s">
        <v>833</v>
      </c>
      <c r="H103" t="s">
        <v>833</v>
      </c>
      <c r="P103" t="s">
        <v>1174</v>
      </c>
      <c r="R103" t="s">
        <v>1329</v>
      </c>
    </row>
    <row r="104" spans="1:19">
      <c r="A104" s="14" t="s">
        <v>616</v>
      </c>
      <c r="B104" t="s">
        <v>88</v>
      </c>
      <c r="C104" t="s">
        <v>88</v>
      </c>
      <c r="D104" t="s">
        <v>88</v>
      </c>
      <c r="E104" t="s">
        <v>88</v>
      </c>
      <c r="F104" t="s">
        <v>833</v>
      </c>
      <c r="G104" t="s">
        <v>833</v>
      </c>
      <c r="H104" t="s">
        <v>833</v>
      </c>
      <c r="I104" t="s">
        <v>890</v>
      </c>
      <c r="J104" t="s">
        <v>992</v>
      </c>
      <c r="K104" t="s">
        <v>1049</v>
      </c>
      <c r="L104" t="s">
        <v>1049</v>
      </c>
      <c r="M104" t="s">
        <v>1157</v>
      </c>
      <c r="N104" t="s">
        <v>1161</v>
      </c>
      <c r="O104" t="s">
        <v>1254</v>
      </c>
      <c r="P104" t="s">
        <v>1175</v>
      </c>
      <c r="R104" t="s">
        <v>1322</v>
      </c>
      <c r="S104" t="s">
        <v>696</v>
      </c>
    </row>
    <row r="105" spans="1:19">
      <c r="A105" t="s">
        <v>617</v>
      </c>
      <c r="B105" t="s">
        <v>88</v>
      </c>
      <c r="C105" t="s">
        <v>88</v>
      </c>
      <c r="D105" t="s">
        <v>88</v>
      </c>
      <c r="E105" t="s">
        <v>88</v>
      </c>
      <c r="F105" t="s">
        <v>833</v>
      </c>
      <c r="G105" t="s">
        <v>833</v>
      </c>
      <c r="H105" t="s">
        <v>833</v>
      </c>
      <c r="I105" t="s">
        <v>890</v>
      </c>
      <c r="J105" t="s">
        <v>992</v>
      </c>
      <c r="K105" t="s">
        <v>1049</v>
      </c>
      <c r="L105" t="s">
        <v>1049</v>
      </c>
      <c r="M105" t="s">
        <v>1144</v>
      </c>
      <c r="N105" t="s">
        <v>908</v>
      </c>
      <c r="O105" t="s">
        <v>908</v>
      </c>
      <c r="P105" t="s">
        <v>1175</v>
      </c>
      <c r="R105" t="s">
        <v>1322</v>
      </c>
      <c r="S105" t="s">
        <v>806</v>
      </c>
    </row>
    <row r="106" spans="1:19">
      <c r="A106" s="14" t="s">
        <v>618</v>
      </c>
      <c r="B106" t="s">
        <v>89</v>
      </c>
      <c r="C106" t="s">
        <v>88</v>
      </c>
      <c r="D106" t="s">
        <v>88</v>
      </c>
      <c r="E106" t="s">
        <v>88</v>
      </c>
      <c r="F106" t="s">
        <v>833</v>
      </c>
      <c r="G106" t="s">
        <v>833</v>
      </c>
      <c r="H106" t="s">
        <v>833</v>
      </c>
      <c r="P106" t="s">
        <v>1175</v>
      </c>
      <c r="R106" t="s">
        <v>1322</v>
      </c>
    </row>
    <row r="107" spans="1:19">
      <c r="A107" t="s">
        <v>619</v>
      </c>
      <c r="B107" t="s">
        <v>88</v>
      </c>
      <c r="C107" t="s">
        <v>88</v>
      </c>
      <c r="D107" t="s">
        <v>88</v>
      </c>
      <c r="E107" t="s">
        <v>88</v>
      </c>
      <c r="F107" t="s">
        <v>833</v>
      </c>
      <c r="G107" t="s">
        <v>833</v>
      </c>
      <c r="H107" t="s">
        <v>833</v>
      </c>
      <c r="I107" t="s">
        <v>890</v>
      </c>
      <c r="J107" t="s">
        <v>994</v>
      </c>
      <c r="K107" t="s">
        <v>1049</v>
      </c>
      <c r="L107" t="s">
        <v>1049</v>
      </c>
      <c r="M107" t="s">
        <v>1144</v>
      </c>
      <c r="N107" t="s">
        <v>908</v>
      </c>
      <c r="O107" t="s">
        <v>908</v>
      </c>
      <c r="P107" t="s">
        <v>1175</v>
      </c>
      <c r="R107" t="s">
        <v>1322</v>
      </c>
      <c r="S107" t="s">
        <v>806</v>
      </c>
    </row>
    <row r="108" spans="1:19">
      <c r="A108" t="s">
        <v>620</v>
      </c>
      <c r="B108" t="s">
        <v>88</v>
      </c>
      <c r="C108" t="s">
        <v>88</v>
      </c>
      <c r="D108" t="s">
        <v>88</v>
      </c>
      <c r="E108" t="s">
        <v>88</v>
      </c>
      <c r="F108" t="s">
        <v>833</v>
      </c>
      <c r="G108" t="s">
        <v>833</v>
      </c>
      <c r="H108" t="s">
        <v>833</v>
      </c>
      <c r="I108" t="s">
        <v>905</v>
      </c>
      <c r="J108" t="s">
        <v>1004</v>
      </c>
      <c r="K108" t="s">
        <v>1052</v>
      </c>
      <c r="L108" t="s">
        <v>1049</v>
      </c>
      <c r="M108" t="s">
        <v>1145</v>
      </c>
      <c r="N108" t="s">
        <v>1145</v>
      </c>
      <c r="O108" t="s">
        <v>1145</v>
      </c>
      <c r="P108" t="s">
        <v>1175</v>
      </c>
      <c r="R108" t="s">
        <v>806</v>
      </c>
      <c r="S108" t="s">
        <v>1322</v>
      </c>
    </row>
    <row r="109" spans="1:19">
      <c r="A109" t="s">
        <v>621</v>
      </c>
      <c r="B109" t="s">
        <v>88</v>
      </c>
      <c r="C109" t="s">
        <v>88</v>
      </c>
      <c r="D109" t="s">
        <v>88</v>
      </c>
      <c r="E109" t="s">
        <v>88</v>
      </c>
      <c r="F109" t="s">
        <v>833</v>
      </c>
      <c r="G109" t="s">
        <v>833</v>
      </c>
      <c r="H109" t="s">
        <v>833</v>
      </c>
      <c r="I109" t="s">
        <v>890</v>
      </c>
      <c r="J109" t="s">
        <v>992</v>
      </c>
      <c r="K109" t="s">
        <v>1049</v>
      </c>
      <c r="L109" t="s">
        <v>1100</v>
      </c>
      <c r="M109" t="s">
        <v>1153</v>
      </c>
      <c r="N109" t="s">
        <v>1153</v>
      </c>
      <c r="O109" t="s">
        <v>1153</v>
      </c>
      <c r="P109" t="s">
        <v>1175</v>
      </c>
      <c r="R109" t="s">
        <v>1322</v>
      </c>
      <c r="S109" t="s">
        <v>1322</v>
      </c>
    </row>
    <row r="110" spans="1:19">
      <c r="A110" s="14" t="s">
        <v>622</v>
      </c>
      <c r="B110" t="s">
        <v>88</v>
      </c>
      <c r="C110" t="s">
        <v>88</v>
      </c>
      <c r="D110" t="s">
        <v>88</v>
      </c>
      <c r="E110" t="s">
        <v>88</v>
      </c>
      <c r="F110" t="s">
        <v>833</v>
      </c>
      <c r="G110" t="s">
        <v>837</v>
      </c>
      <c r="H110" t="s">
        <v>833</v>
      </c>
      <c r="P110" t="s">
        <v>1175</v>
      </c>
      <c r="R110" t="s">
        <v>1322</v>
      </c>
    </row>
    <row r="111" spans="1:19">
      <c r="A111" s="14" t="s">
        <v>623</v>
      </c>
      <c r="B111" t="s">
        <v>88</v>
      </c>
      <c r="C111" t="s">
        <v>88</v>
      </c>
      <c r="D111" t="s">
        <v>88</v>
      </c>
      <c r="E111" t="s">
        <v>88</v>
      </c>
      <c r="F111" t="s">
        <v>833</v>
      </c>
      <c r="G111" t="s">
        <v>833</v>
      </c>
      <c r="H111" t="s">
        <v>833</v>
      </c>
      <c r="I111" t="s">
        <v>890</v>
      </c>
      <c r="J111" t="s">
        <v>992</v>
      </c>
      <c r="K111" t="s">
        <v>1049</v>
      </c>
      <c r="L111" t="s">
        <v>1050</v>
      </c>
      <c r="M111" t="s">
        <v>1150</v>
      </c>
      <c r="N111" t="s">
        <v>1150</v>
      </c>
      <c r="O111" t="s">
        <v>1150</v>
      </c>
      <c r="P111" t="s">
        <v>1174</v>
      </c>
      <c r="R111" t="s">
        <v>1329</v>
      </c>
    </row>
    <row r="112" spans="1:19">
      <c r="A112" s="14" t="s">
        <v>624</v>
      </c>
      <c r="B112" t="s">
        <v>88</v>
      </c>
      <c r="C112" t="s">
        <v>88</v>
      </c>
      <c r="D112" t="s">
        <v>88</v>
      </c>
      <c r="E112" t="s">
        <v>88</v>
      </c>
      <c r="F112" t="s">
        <v>833</v>
      </c>
      <c r="G112" t="s">
        <v>837</v>
      </c>
      <c r="H112" t="s">
        <v>833</v>
      </c>
      <c r="P112" t="s">
        <v>1175</v>
      </c>
      <c r="R112" t="s">
        <v>1322</v>
      </c>
    </row>
    <row r="113" spans="1:19">
      <c r="A113" t="s">
        <v>625</v>
      </c>
      <c r="B113" t="s">
        <v>88</v>
      </c>
      <c r="C113" t="s">
        <v>88</v>
      </c>
      <c r="D113" t="s">
        <v>88</v>
      </c>
      <c r="E113" t="s">
        <v>88</v>
      </c>
      <c r="F113" t="s">
        <v>833</v>
      </c>
      <c r="G113" t="s">
        <v>833</v>
      </c>
      <c r="H113" t="s">
        <v>833</v>
      </c>
      <c r="I113" t="s">
        <v>890</v>
      </c>
      <c r="J113" t="s">
        <v>1009</v>
      </c>
      <c r="K113" t="s">
        <v>1050</v>
      </c>
      <c r="L113" t="s">
        <v>1050</v>
      </c>
      <c r="M113" t="s">
        <v>1148</v>
      </c>
      <c r="N113" t="s">
        <v>934</v>
      </c>
      <c r="O113" t="s">
        <v>934</v>
      </c>
      <c r="P113" t="s">
        <v>1175</v>
      </c>
      <c r="R113" t="s">
        <v>1322</v>
      </c>
      <c r="S113" t="s">
        <v>1322</v>
      </c>
    </row>
    <row r="114" spans="1:19">
      <c r="A114" s="14" t="s">
        <v>626</v>
      </c>
      <c r="B114" t="s">
        <v>88</v>
      </c>
      <c r="C114" t="s">
        <v>88</v>
      </c>
      <c r="D114" t="s">
        <v>88</v>
      </c>
      <c r="E114" t="s">
        <v>88</v>
      </c>
      <c r="F114" t="s">
        <v>833</v>
      </c>
      <c r="G114" t="s">
        <v>837</v>
      </c>
      <c r="H114" t="s">
        <v>833</v>
      </c>
      <c r="P114" t="s">
        <v>1175</v>
      </c>
      <c r="R114" t="s">
        <v>1322</v>
      </c>
    </row>
    <row r="115" spans="1:19">
      <c r="A115" s="14" t="s">
        <v>627</v>
      </c>
      <c r="B115" t="s">
        <v>88</v>
      </c>
      <c r="C115" t="s">
        <v>713</v>
      </c>
      <c r="D115" t="s">
        <v>88</v>
      </c>
      <c r="E115" t="s">
        <v>88</v>
      </c>
      <c r="F115" t="s">
        <v>833</v>
      </c>
      <c r="G115" t="s">
        <v>837</v>
      </c>
      <c r="H115" t="s">
        <v>833</v>
      </c>
      <c r="P115" t="s">
        <v>1175</v>
      </c>
      <c r="R115" t="s">
        <v>1322</v>
      </c>
    </row>
    <row r="116" spans="1:19">
      <c r="A116" s="14" t="s">
        <v>628</v>
      </c>
      <c r="B116" t="s">
        <v>88</v>
      </c>
      <c r="C116" t="s">
        <v>88</v>
      </c>
      <c r="D116" t="s">
        <v>88</v>
      </c>
      <c r="E116" t="s">
        <v>88</v>
      </c>
      <c r="F116" t="s">
        <v>833</v>
      </c>
      <c r="G116" t="s">
        <v>833</v>
      </c>
      <c r="H116" t="s">
        <v>833</v>
      </c>
      <c r="I116" t="s">
        <v>890</v>
      </c>
      <c r="J116" t="s">
        <v>1004</v>
      </c>
      <c r="K116" t="s">
        <v>1050</v>
      </c>
      <c r="L116" t="s">
        <v>1049</v>
      </c>
      <c r="M116" t="s">
        <v>1145</v>
      </c>
      <c r="N116" t="s">
        <v>1159</v>
      </c>
      <c r="O116" t="s">
        <v>1159</v>
      </c>
      <c r="P116" t="s">
        <v>1175</v>
      </c>
      <c r="R116" t="s">
        <v>1322</v>
      </c>
    </row>
    <row r="117" spans="1:19">
      <c r="A117" s="14" t="s">
        <v>629</v>
      </c>
      <c r="B117" t="s">
        <v>88</v>
      </c>
      <c r="C117" t="s">
        <v>713</v>
      </c>
      <c r="D117" t="s">
        <v>88</v>
      </c>
      <c r="E117" t="s">
        <v>88</v>
      </c>
      <c r="F117" t="s">
        <v>833</v>
      </c>
      <c r="G117" t="s">
        <v>833</v>
      </c>
      <c r="H117" t="s">
        <v>833</v>
      </c>
      <c r="P117" t="s">
        <v>1175</v>
      </c>
      <c r="R117" t="s">
        <v>1322</v>
      </c>
    </row>
    <row r="118" spans="1:19">
      <c r="A118" s="14" t="s">
        <v>630</v>
      </c>
      <c r="B118" t="s">
        <v>89</v>
      </c>
      <c r="C118" t="s">
        <v>713</v>
      </c>
      <c r="D118" t="s">
        <v>88</v>
      </c>
      <c r="E118" t="s">
        <v>88</v>
      </c>
      <c r="F118" t="s">
        <v>833</v>
      </c>
      <c r="G118" t="s">
        <v>833</v>
      </c>
      <c r="H118" t="s">
        <v>882</v>
      </c>
      <c r="P118" t="s">
        <v>1175</v>
      </c>
      <c r="R118" t="s">
        <v>1322</v>
      </c>
    </row>
    <row r="119" spans="1:19">
      <c r="A119" s="14" t="s">
        <v>631</v>
      </c>
      <c r="B119" t="s">
        <v>88</v>
      </c>
      <c r="C119" t="s">
        <v>88</v>
      </c>
      <c r="D119" t="s">
        <v>88</v>
      </c>
      <c r="E119" t="s">
        <v>88</v>
      </c>
      <c r="F119" t="s">
        <v>833</v>
      </c>
      <c r="G119" t="s">
        <v>833</v>
      </c>
      <c r="H119" t="s">
        <v>833</v>
      </c>
      <c r="I119" t="s">
        <v>901</v>
      </c>
      <c r="J119" t="s">
        <v>994</v>
      </c>
      <c r="K119" t="s">
        <v>1050</v>
      </c>
      <c r="L119" t="s">
        <v>1049</v>
      </c>
      <c r="M119" t="s">
        <v>1144</v>
      </c>
      <c r="N119" t="s">
        <v>908</v>
      </c>
      <c r="O119" t="s">
        <v>908</v>
      </c>
      <c r="P119" t="s">
        <v>1175</v>
      </c>
      <c r="R119" t="s">
        <v>1322</v>
      </c>
      <c r="S119" t="s">
        <v>1322</v>
      </c>
    </row>
    <row r="120" spans="1:19">
      <c r="A120" t="s">
        <v>632</v>
      </c>
      <c r="B120" t="s">
        <v>88</v>
      </c>
      <c r="C120" t="s">
        <v>88</v>
      </c>
      <c r="D120" t="s">
        <v>88</v>
      </c>
      <c r="E120" t="s">
        <v>88</v>
      </c>
      <c r="F120" t="s">
        <v>833</v>
      </c>
      <c r="G120" t="s">
        <v>833</v>
      </c>
      <c r="H120" t="s">
        <v>833</v>
      </c>
      <c r="I120" t="s">
        <v>890</v>
      </c>
      <c r="J120" t="s">
        <v>997</v>
      </c>
      <c r="K120" t="s">
        <v>1052</v>
      </c>
      <c r="L120" t="s">
        <v>1049</v>
      </c>
      <c r="M120" t="s">
        <v>1144</v>
      </c>
      <c r="N120" t="s">
        <v>908</v>
      </c>
      <c r="O120" t="s">
        <v>908</v>
      </c>
      <c r="P120" t="s">
        <v>1175</v>
      </c>
      <c r="R120" t="s">
        <v>1322</v>
      </c>
      <c r="S120" t="s">
        <v>1322</v>
      </c>
    </row>
    <row r="121" spans="1:19">
      <c r="A121" s="14" t="s">
        <v>633</v>
      </c>
      <c r="B121" t="s">
        <v>88</v>
      </c>
      <c r="C121" t="s">
        <v>88</v>
      </c>
      <c r="D121" t="s">
        <v>88</v>
      </c>
      <c r="E121" t="s">
        <v>88</v>
      </c>
      <c r="F121" t="s">
        <v>833</v>
      </c>
      <c r="G121" t="s">
        <v>833</v>
      </c>
      <c r="H121" t="s">
        <v>833</v>
      </c>
      <c r="I121" t="s">
        <v>890</v>
      </c>
      <c r="J121" t="s">
        <v>997</v>
      </c>
      <c r="K121" t="s">
        <v>1053</v>
      </c>
      <c r="L121" t="s">
        <v>1049</v>
      </c>
      <c r="M121" t="s">
        <v>1144</v>
      </c>
      <c r="N121" t="s">
        <v>1159</v>
      </c>
      <c r="O121" t="s">
        <v>1159</v>
      </c>
      <c r="P121" t="s">
        <v>1174</v>
      </c>
      <c r="R121" t="s">
        <v>1329</v>
      </c>
    </row>
    <row r="122" spans="1:19">
      <c r="A122" s="14" t="s">
        <v>634</v>
      </c>
      <c r="B122" t="s">
        <v>88</v>
      </c>
      <c r="C122" t="s">
        <v>88</v>
      </c>
      <c r="D122" t="s">
        <v>88</v>
      </c>
      <c r="E122" t="s">
        <v>88</v>
      </c>
      <c r="F122" t="s">
        <v>833</v>
      </c>
      <c r="G122" t="s">
        <v>833</v>
      </c>
      <c r="H122" t="s">
        <v>833</v>
      </c>
      <c r="I122" t="s">
        <v>895</v>
      </c>
      <c r="J122" t="s">
        <v>992</v>
      </c>
      <c r="K122" t="s">
        <v>1049</v>
      </c>
      <c r="L122" t="s">
        <v>1049</v>
      </c>
      <c r="M122" t="s">
        <v>1145</v>
      </c>
      <c r="N122" t="s">
        <v>1160</v>
      </c>
      <c r="O122" t="s">
        <v>1160</v>
      </c>
      <c r="P122" t="s">
        <v>1175</v>
      </c>
      <c r="R122" t="s">
        <v>1322</v>
      </c>
    </row>
    <row r="123" spans="1:19">
      <c r="A123" s="14" t="s">
        <v>635</v>
      </c>
      <c r="B123" t="s">
        <v>88</v>
      </c>
      <c r="C123" t="s">
        <v>88</v>
      </c>
      <c r="D123" t="s">
        <v>88</v>
      </c>
      <c r="E123" t="s">
        <v>88</v>
      </c>
      <c r="F123" t="s">
        <v>837</v>
      </c>
      <c r="G123" t="s">
        <v>837</v>
      </c>
      <c r="H123" t="s">
        <v>837</v>
      </c>
      <c r="P123" t="s">
        <v>1175</v>
      </c>
      <c r="R123" t="s">
        <v>806</v>
      </c>
    </row>
    <row r="124" spans="1:19">
      <c r="A124" s="14" t="s">
        <v>636</v>
      </c>
      <c r="B124" t="s">
        <v>88</v>
      </c>
      <c r="C124" t="s">
        <v>88</v>
      </c>
      <c r="D124" t="s">
        <v>88</v>
      </c>
      <c r="E124" t="s">
        <v>88</v>
      </c>
      <c r="F124" t="s">
        <v>833</v>
      </c>
      <c r="G124" t="s">
        <v>833</v>
      </c>
      <c r="H124" t="s">
        <v>833</v>
      </c>
      <c r="I124" t="s">
        <v>890</v>
      </c>
      <c r="J124" t="s">
        <v>992</v>
      </c>
      <c r="K124" t="s">
        <v>1067</v>
      </c>
      <c r="P124" t="s">
        <v>1175</v>
      </c>
      <c r="R124" t="s">
        <v>1322</v>
      </c>
    </row>
    <row r="125" spans="1:19">
      <c r="A125" s="14" t="s">
        <v>637</v>
      </c>
      <c r="B125" t="s">
        <v>89</v>
      </c>
      <c r="C125" t="s">
        <v>713</v>
      </c>
      <c r="D125" t="s">
        <v>88</v>
      </c>
      <c r="E125" t="s">
        <v>88</v>
      </c>
      <c r="F125" t="s">
        <v>837</v>
      </c>
      <c r="G125" t="s">
        <v>837</v>
      </c>
      <c r="H125" t="s">
        <v>837</v>
      </c>
      <c r="P125" t="s">
        <v>1175</v>
      </c>
      <c r="R125" t="s">
        <v>1322</v>
      </c>
    </row>
    <row r="126" spans="1:19">
      <c r="A126" s="14" t="s">
        <v>638</v>
      </c>
      <c r="B126" t="s">
        <v>88</v>
      </c>
      <c r="C126" t="s">
        <v>88</v>
      </c>
      <c r="D126" t="s">
        <v>88</v>
      </c>
      <c r="E126" t="s">
        <v>88</v>
      </c>
      <c r="F126" t="s">
        <v>837</v>
      </c>
      <c r="G126" t="s">
        <v>837</v>
      </c>
      <c r="H126" t="s">
        <v>837</v>
      </c>
      <c r="P126" t="s">
        <v>1175</v>
      </c>
      <c r="R126" t="s">
        <v>1322</v>
      </c>
    </row>
    <row r="127" spans="1:19">
      <c r="A127" s="14" t="s">
        <v>639</v>
      </c>
      <c r="B127" t="s">
        <v>88</v>
      </c>
      <c r="C127" t="s">
        <v>88</v>
      </c>
      <c r="D127" t="s">
        <v>88</v>
      </c>
      <c r="E127" t="s">
        <v>88</v>
      </c>
      <c r="F127" t="s">
        <v>833</v>
      </c>
      <c r="G127" t="s">
        <v>833</v>
      </c>
      <c r="H127" t="s">
        <v>837</v>
      </c>
      <c r="P127" t="s">
        <v>1175</v>
      </c>
      <c r="R127" t="s">
        <v>1322</v>
      </c>
    </row>
  </sheetData>
  <phoneticPr fontId="4" type="noConversion"/>
  <conditionalFormatting sqref="P2:P127">
    <cfRule type="cellIs" dxfId="1" priority="2" operator="equal">
      <formula>"V"</formula>
    </cfRule>
  </conditionalFormatting>
  <conditionalFormatting sqref="R2:S127">
    <cfRule type="cellIs" dxfId="0" priority="1" operator="equal">
      <formula>"V"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8">
    <tabColor theme="4" tint="0.59999389629810485"/>
  </sheetPr>
  <dimension ref="A1:W21"/>
  <sheetViews>
    <sheetView workbookViewId="0">
      <selection activeCell="T13" sqref="T13:T14"/>
    </sheetView>
  </sheetViews>
  <sheetFormatPr defaultRowHeight="15"/>
  <cols>
    <col min="1" max="1" width="45.7109375" customWidth="1"/>
    <col min="2" max="2" width="20" hidden="1" customWidth="1"/>
    <col min="3" max="3" width="22.5703125" hidden="1" customWidth="1"/>
    <col min="4" max="4" width="9.140625" hidden="1" customWidth="1"/>
    <col min="5" max="5" width="22.5703125" hidden="1" customWidth="1"/>
    <col min="6" max="6" width="20.85546875" hidden="1" customWidth="1"/>
    <col min="7" max="7" width="19.7109375" hidden="1" customWidth="1"/>
    <col min="8" max="8" width="20" hidden="1" customWidth="1"/>
    <col min="9" max="9" width="14.5703125" hidden="1" customWidth="1"/>
    <col min="10" max="11" width="0" hidden="1" customWidth="1"/>
    <col min="12" max="12" width="11.85546875" customWidth="1"/>
    <col min="13" max="13" width="7.28515625" customWidth="1"/>
    <col min="14" max="14" width="7.85546875" customWidth="1"/>
    <col min="15" max="15" width="10.140625" customWidth="1"/>
    <col min="16" max="16" width="13.85546875" customWidth="1"/>
  </cols>
  <sheetData>
    <row r="1" spans="1:23">
      <c r="A1" s="6" t="s">
        <v>1</v>
      </c>
      <c r="B1" s="2" t="s">
        <v>704</v>
      </c>
      <c r="C1" s="2" t="s">
        <v>730</v>
      </c>
      <c r="D1" s="2" t="s">
        <v>710</v>
      </c>
      <c r="E1" s="2" t="s">
        <v>769</v>
      </c>
      <c r="F1" s="2" t="s">
        <v>699</v>
      </c>
      <c r="G1" s="2" t="s">
        <v>858</v>
      </c>
      <c r="H1" s="2" t="s">
        <v>876</v>
      </c>
      <c r="I1" t="s">
        <v>966</v>
      </c>
      <c r="J1" t="s">
        <v>990</v>
      </c>
      <c r="K1" s="2" t="s">
        <v>701</v>
      </c>
      <c r="L1" s="2" t="s">
        <v>1097</v>
      </c>
      <c r="M1" t="s">
        <v>1142</v>
      </c>
      <c r="N1" s="44" t="s">
        <v>1225</v>
      </c>
      <c r="O1" s="44" t="s">
        <v>1224</v>
      </c>
      <c r="P1" t="s">
        <v>1309</v>
      </c>
      <c r="Q1" s="44" t="s">
        <v>1169</v>
      </c>
      <c r="R1" s="44" t="s">
        <v>1320</v>
      </c>
    </row>
    <row r="2" spans="1:23">
      <c r="A2" t="s">
        <v>801</v>
      </c>
      <c r="B2" t="s">
        <v>88</v>
      </c>
      <c r="C2" t="s">
        <v>88</v>
      </c>
      <c r="D2" t="s">
        <v>88</v>
      </c>
      <c r="E2" t="s">
        <v>88</v>
      </c>
      <c r="F2" t="s">
        <v>806</v>
      </c>
      <c r="G2" t="s">
        <v>806</v>
      </c>
      <c r="H2" t="s">
        <v>806</v>
      </c>
      <c r="I2" t="s">
        <v>88</v>
      </c>
      <c r="J2" t="s">
        <v>1019</v>
      </c>
      <c r="K2" t="s">
        <v>1070</v>
      </c>
      <c r="L2" t="s">
        <v>1070</v>
      </c>
      <c r="M2" t="s">
        <v>1144</v>
      </c>
      <c r="N2" t="s">
        <v>1146</v>
      </c>
      <c r="O2" t="s">
        <v>1146</v>
      </c>
      <c r="Q2" t="s">
        <v>806</v>
      </c>
      <c r="R2" t="s">
        <v>806</v>
      </c>
      <c r="W2" s="8" t="s">
        <v>938</v>
      </c>
    </row>
    <row r="3" spans="1:23">
      <c r="A3" t="s">
        <v>640</v>
      </c>
      <c r="B3" t="s">
        <v>88</v>
      </c>
      <c r="C3" t="s">
        <v>88</v>
      </c>
      <c r="D3" t="s">
        <v>88</v>
      </c>
      <c r="E3" t="s">
        <v>88</v>
      </c>
      <c r="F3" t="s">
        <v>806</v>
      </c>
      <c r="G3" t="s">
        <v>806</v>
      </c>
      <c r="H3" t="s">
        <v>878</v>
      </c>
      <c r="I3" t="s">
        <v>88</v>
      </c>
      <c r="J3" t="s">
        <v>994</v>
      </c>
      <c r="K3" t="s">
        <v>1049</v>
      </c>
      <c r="L3" t="s">
        <v>1049</v>
      </c>
      <c r="M3" t="s">
        <v>1145</v>
      </c>
      <c r="N3" t="s">
        <v>1146</v>
      </c>
      <c r="O3" t="s">
        <v>1146</v>
      </c>
      <c r="Q3" t="s">
        <v>1322</v>
      </c>
      <c r="R3" t="s">
        <v>806</v>
      </c>
      <c r="U3" t="s">
        <v>935</v>
      </c>
      <c r="V3">
        <v>20</v>
      </c>
    </row>
    <row r="4" spans="1:23">
      <c r="A4" t="s">
        <v>641</v>
      </c>
      <c r="B4" t="s">
        <v>88</v>
      </c>
      <c r="C4" t="s">
        <v>88</v>
      </c>
      <c r="D4" t="s">
        <v>88</v>
      </c>
      <c r="E4" t="s">
        <v>88</v>
      </c>
      <c r="F4" t="s">
        <v>806</v>
      </c>
      <c r="G4" t="s">
        <v>806</v>
      </c>
      <c r="H4" t="s">
        <v>806</v>
      </c>
      <c r="I4" t="s">
        <v>88</v>
      </c>
      <c r="J4" t="s">
        <v>992</v>
      </c>
      <c r="K4" t="s">
        <v>1049</v>
      </c>
      <c r="L4" t="s">
        <v>1049</v>
      </c>
      <c r="M4" t="s">
        <v>1144</v>
      </c>
      <c r="N4" t="s">
        <v>1146</v>
      </c>
      <c r="O4" t="s">
        <v>1146</v>
      </c>
      <c r="Q4" t="s">
        <v>806</v>
      </c>
      <c r="R4" t="s">
        <v>1322</v>
      </c>
      <c r="U4" t="s">
        <v>936</v>
      </c>
      <c r="V4">
        <v>11</v>
      </c>
      <c r="W4">
        <f>V4/V3*100</f>
        <v>55.000000000000007</v>
      </c>
    </row>
    <row r="5" spans="1:23">
      <c r="A5" t="s">
        <v>642</v>
      </c>
      <c r="B5" t="s">
        <v>88</v>
      </c>
      <c r="C5" t="s">
        <v>88</v>
      </c>
      <c r="D5" t="s">
        <v>88</v>
      </c>
      <c r="E5" t="s">
        <v>88</v>
      </c>
      <c r="F5" t="s">
        <v>806</v>
      </c>
      <c r="G5" t="s">
        <v>806</v>
      </c>
      <c r="H5" t="s">
        <v>806</v>
      </c>
      <c r="I5" t="s">
        <v>88</v>
      </c>
      <c r="J5" t="s">
        <v>1008</v>
      </c>
      <c r="K5" t="s">
        <v>1049</v>
      </c>
      <c r="L5" t="s">
        <v>1049</v>
      </c>
      <c r="M5" t="s">
        <v>1145</v>
      </c>
      <c r="N5" t="s">
        <v>1146</v>
      </c>
      <c r="O5" t="s">
        <v>1146</v>
      </c>
      <c r="Q5" t="s">
        <v>1322</v>
      </c>
      <c r="R5" t="s">
        <v>1322</v>
      </c>
      <c r="U5" t="s">
        <v>937</v>
      </c>
      <c r="V5">
        <f>V3-V4</f>
        <v>9</v>
      </c>
      <c r="W5">
        <f>100-W4</f>
        <v>44.999999999999993</v>
      </c>
    </row>
    <row r="6" spans="1:23">
      <c r="A6" t="s">
        <v>643</v>
      </c>
      <c r="B6" t="s">
        <v>88</v>
      </c>
      <c r="C6" t="s">
        <v>88</v>
      </c>
      <c r="D6" t="s">
        <v>88</v>
      </c>
      <c r="E6" t="s">
        <v>88</v>
      </c>
      <c r="F6" t="s">
        <v>806</v>
      </c>
      <c r="G6" t="s">
        <v>806</v>
      </c>
      <c r="H6" t="s">
        <v>878</v>
      </c>
      <c r="I6" t="s">
        <v>88</v>
      </c>
      <c r="J6" t="s">
        <v>992</v>
      </c>
      <c r="K6" t="s">
        <v>1071</v>
      </c>
      <c r="L6" t="s">
        <v>1071</v>
      </c>
      <c r="M6" t="s">
        <v>1144</v>
      </c>
      <c r="N6" t="s">
        <v>1146</v>
      </c>
      <c r="O6" t="s">
        <v>1146</v>
      </c>
      <c r="Q6" t="s">
        <v>1322</v>
      </c>
      <c r="R6" t="s">
        <v>1322</v>
      </c>
    </row>
    <row r="7" spans="1:23">
      <c r="A7" t="s">
        <v>644</v>
      </c>
      <c r="B7" t="s">
        <v>88</v>
      </c>
      <c r="C7" t="s">
        <v>88</v>
      </c>
      <c r="D7" t="s">
        <v>88</v>
      </c>
      <c r="E7" t="s">
        <v>88</v>
      </c>
      <c r="F7" t="s">
        <v>806</v>
      </c>
      <c r="G7" t="s">
        <v>806</v>
      </c>
      <c r="H7" t="s">
        <v>806</v>
      </c>
      <c r="I7" t="s">
        <v>88</v>
      </c>
      <c r="J7" t="s">
        <v>992</v>
      </c>
      <c r="K7" t="s">
        <v>1053</v>
      </c>
      <c r="L7" t="s">
        <v>1053</v>
      </c>
      <c r="M7" t="s">
        <v>1145</v>
      </c>
      <c r="N7" t="s">
        <v>1146</v>
      </c>
      <c r="O7" t="s">
        <v>1146</v>
      </c>
      <c r="Q7" t="s">
        <v>1322</v>
      </c>
      <c r="R7" t="s">
        <v>1322</v>
      </c>
    </row>
    <row r="8" spans="1:23">
      <c r="A8" t="s">
        <v>645</v>
      </c>
      <c r="B8" t="s">
        <v>88</v>
      </c>
      <c r="C8" t="s">
        <v>88</v>
      </c>
      <c r="D8" t="s">
        <v>88</v>
      </c>
      <c r="E8" t="s">
        <v>88</v>
      </c>
      <c r="F8" t="s">
        <v>806</v>
      </c>
      <c r="G8" t="s">
        <v>833</v>
      </c>
      <c r="H8" t="s">
        <v>806</v>
      </c>
      <c r="I8" t="s">
        <v>88</v>
      </c>
      <c r="J8" t="s">
        <v>992</v>
      </c>
      <c r="K8" t="s">
        <v>1072</v>
      </c>
      <c r="L8" t="s">
        <v>1072</v>
      </c>
      <c r="M8" t="s">
        <v>1144</v>
      </c>
      <c r="N8" t="s">
        <v>1146</v>
      </c>
      <c r="O8" t="s">
        <v>1146</v>
      </c>
      <c r="Q8" t="s">
        <v>1322</v>
      </c>
      <c r="R8" t="s">
        <v>1322</v>
      </c>
    </row>
    <row r="9" spans="1:23">
      <c r="A9" t="s">
        <v>646</v>
      </c>
      <c r="B9" t="s">
        <v>88</v>
      </c>
      <c r="C9" t="s">
        <v>88</v>
      </c>
      <c r="D9" t="s">
        <v>88</v>
      </c>
      <c r="E9" t="s">
        <v>88</v>
      </c>
      <c r="F9" t="s">
        <v>833</v>
      </c>
      <c r="G9" t="s">
        <v>847</v>
      </c>
      <c r="H9" t="s">
        <v>833</v>
      </c>
      <c r="I9" t="s">
        <v>88</v>
      </c>
      <c r="J9" t="s">
        <v>1020</v>
      </c>
      <c r="K9" t="s">
        <v>1072</v>
      </c>
      <c r="L9" t="s">
        <v>1072</v>
      </c>
      <c r="M9" t="s">
        <v>1158</v>
      </c>
      <c r="N9" t="s">
        <v>1146</v>
      </c>
      <c r="O9" t="s">
        <v>1146</v>
      </c>
      <c r="Q9" t="s">
        <v>1322</v>
      </c>
      <c r="R9" t="s">
        <v>1322</v>
      </c>
    </row>
    <row r="10" spans="1:23">
      <c r="A10" t="s">
        <v>647</v>
      </c>
      <c r="B10" t="s">
        <v>88</v>
      </c>
      <c r="C10" t="s">
        <v>88</v>
      </c>
      <c r="D10" t="s">
        <v>88</v>
      </c>
      <c r="E10" t="s">
        <v>88</v>
      </c>
      <c r="F10" t="s">
        <v>847</v>
      </c>
      <c r="G10" t="s">
        <v>847</v>
      </c>
      <c r="H10" t="s">
        <v>833</v>
      </c>
      <c r="I10" t="s">
        <v>88</v>
      </c>
      <c r="J10" t="s">
        <v>1021</v>
      </c>
      <c r="K10" t="s">
        <v>1049</v>
      </c>
      <c r="L10" t="s">
        <v>1049</v>
      </c>
      <c r="M10" t="s">
        <v>1144</v>
      </c>
      <c r="N10" t="s">
        <v>1146</v>
      </c>
      <c r="O10" t="s">
        <v>1146</v>
      </c>
      <c r="Q10" t="s">
        <v>1322</v>
      </c>
      <c r="R10" t="s">
        <v>1322</v>
      </c>
    </row>
    <row r="11" spans="1:23">
      <c r="A11" s="14" t="s">
        <v>648</v>
      </c>
      <c r="B11" t="s">
        <v>88</v>
      </c>
      <c r="C11" t="s">
        <v>88</v>
      </c>
      <c r="D11" t="s">
        <v>88</v>
      </c>
      <c r="E11" t="s">
        <v>88</v>
      </c>
      <c r="F11" t="s">
        <v>847</v>
      </c>
      <c r="G11" t="s">
        <v>859</v>
      </c>
      <c r="H11" t="s">
        <v>833</v>
      </c>
      <c r="Q11" t="s">
        <v>1322</v>
      </c>
    </row>
    <row r="12" spans="1:23">
      <c r="A12" s="14" t="s">
        <v>649</v>
      </c>
      <c r="B12" t="s">
        <v>88</v>
      </c>
      <c r="C12" t="s">
        <v>88</v>
      </c>
      <c r="D12" t="s">
        <v>88</v>
      </c>
      <c r="E12" t="s">
        <v>88</v>
      </c>
      <c r="F12" t="s">
        <v>833</v>
      </c>
      <c r="G12" t="s">
        <v>837</v>
      </c>
      <c r="H12" t="s">
        <v>833</v>
      </c>
      <c r="Q12" t="s">
        <v>1322</v>
      </c>
    </row>
    <row r="13" spans="1:23">
      <c r="A13" s="14" t="s">
        <v>650</v>
      </c>
      <c r="B13" t="s">
        <v>88</v>
      </c>
      <c r="C13" t="s">
        <v>88</v>
      </c>
      <c r="D13" t="s">
        <v>88</v>
      </c>
      <c r="E13" t="s">
        <v>88</v>
      </c>
      <c r="F13" t="s">
        <v>833</v>
      </c>
      <c r="G13" t="s">
        <v>837</v>
      </c>
      <c r="H13" t="s">
        <v>833</v>
      </c>
      <c r="Q13" t="s">
        <v>1322</v>
      </c>
    </row>
    <row r="14" spans="1:23">
      <c r="A14" s="14" t="s">
        <v>651</v>
      </c>
      <c r="B14" t="s">
        <v>88</v>
      </c>
      <c r="C14" t="s">
        <v>88</v>
      </c>
      <c r="D14" t="s">
        <v>88</v>
      </c>
      <c r="E14" t="s">
        <v>88</v>
      </c>
      <c r="F14" t="s">
        <v>833</v>
      </c>
      <c r="G14" t="s">
        <v>837</v>
      </c>
      <c r="H14" t="s">
        <v>878</v>
      </c>
      <c r="Q14" t="s">
        <v>1322</v>
      </c>
    </row>
    <row r="15" spans="1:23">
      <c r="A15" s="14" t="s">
        <v>652</v>
      </c>
      <c r="B15" t="s">
        <v>88</v>
      </c>
      <c r="C15" t="s">
        <v>88</v>
      </c>
      <c r="D15" t="s">
        <v>88</v>
      </c>
      <c r="E15" t="s">
        <v>88</v>
      </c>
      <c r="F15" t="s">
        <v>833</v>
      </c>
      <c r="G15" t="s">
        <v>837</v>
      </c>
      <c r="H15" t="s">
        <v>833</v>
      </c>
      <c r="Q15" t="s">
        <v>1322</v>
      </c>
    </row>
    <row r="16" spans="1:23">
      <c r="A16" t="s">
        <v>653</v>
      </c>
      <c r="B16" t="s">
        <v>88</v>
      </c>
      <c r="C16" t="s">
        <v>88</v>
      </c>
      <c r="D16" t="s">
        <v>88</v>
      </c>
      <c r="E16" t="s">
        <v>88</v>
      </c>
      <c r="F16" t="s">
        <v>833</v>
      </c>
      <c r="G16" t="s">
        <v>833</v>
      </c>
      <c r="H16" t="s">
        <v>878</v>
      </c>
      <c r="I16" t="s">
        <v>906</v>
      </c>
      <c r="J16" t="s">
        <v>1022</v>
      </c>
      <c r="K16" t="s">
        <v>1061</v>
      </c>
      <c r="L16" t="s">
        <v>1111</v>
      </c>
      <c r="M16" t="s">
        <v>1145</v>
      </c>
      <c r="N16" t="s">
        <v>1146</v>
      </c>
      <c r="O16" t="s">
        <v>1146</v>
      </c>
      <c r="Q16" t="s">
        <v>1322</v>
      </c>
      <c r="R16" t="s">
        <v>1322</v>
      </c>
    </row>
    <row r="17" spans="1:18">
      <c r="A17" s="14" t="s">
        <v>654</v>
      </c>
      <c r="B17" t="s">
        <v>88</v>
      </c>
      <c r="C17" t="s">
        <v>88</v>
      </c>
      <c r="D17" t="s">
        <v>88</v>
      </c>
      <c r="E17" t="s">
        <v>88</v>
      </c>
      <c r="F17" t="s">
        <v>833</v>
      </c>
      <c r="G17" t="s">
        <v>837</v>
      </c>
      <c r="H17" t="s">
        <v>806</v>
      </c>
      <c r="Q17" t="s">
        <v>1322</v>
      </c>
    </row>
    <row r="18" spans="1:18">
      <c r="A18" t="s">
        <v>655</v>
      </c>
      <c r="B18" t="s">
        <v>88</v>
      </c>
      <c r="C18" t="s">
        <v>88</v>
      </c>
      <c r="D18" t="s">
        <v>88</v>
      </c>
      <c r="E18" t="s">
        <v>88</v>
      </c>
      <c r="F18" t="s">
        <v>833</v>
      </c>
      <c r="G18" t="s">
        <v>833</v>
      </c>
      <c r="H18" t="s">
        <v>806</v>
      </c>
      <c r="I18" t="s">
        <v>890</v>
      </c>
      <c r="J18" t="s">
        <v>992</v>
      </c>
      <c r="K18" t="s">
        <v>1049</v>
      </c>
      <c r="L18" t="s">
        <v>1049</v>
      </c>
      <c r="M18" t="s">
        <v>1146</v>
      </c>
      <c r="N18" t="s">
        <v>1146</v>
      </c>
      <c r="O18" t="s">
        <v>1146</v>
      </c>
      <c r="Q18" t="s">
        <v>1322</v>
      </c>
      <c r="R18" t="s">
        <v>1322</v>
      </c>
    </row>
    <row r="19" spans="1:18">
      <c r="A19" s="14" t="s">
        <v>656</v>
      </c>
      <c r="B19" t="s">
        <v>88</v>
      </c>
      <c r="C19" t="s">
        <v>88</v>
      </c>
      <c r="D19" t="s">
        <v>88</v>
      </c>
      <c r="E19" t="s">
        <v>88</v>
      </c>
      <c r="F19" t="s">
        <v>837</v>
      </c>
      <c r="G19" t="s">
        <v>837</v>
      </c>
      <c r="H19" t="s">
        <v>833</v>
      </c>
      <c r="Q19" t="s">
        <v>1322</v>
      </c>
    </row>
    <row r="20" spans="1:18">
      <c r="A20" s="14" t="s">
        <v>657</v>
      </c>
      <c r="B20" t="s">
        <v>88</v>
      </c>
      <c r="C20" t="s">
        <v>88</v>
      </c>
      <c r="D20" t="s">
        <v>88</v>
      </c>
      <c r="E20" t="s">
        <v>765</v>
      </c>
      <c r="F20" t="s">
        <v>837</v>
      </c>
      <c r="G20" t="s">
        <v>833</v>
      </c>
      <c r="H20" t="s">
        <v>806</v>
      </c>
      <c r="Q20" t="s">
        <v>1322</v>
      </c>
    </row>
    <row r="21" spans="1:18">
      <c r="A21" s="14" t="s">
        <v>658</v>
      </c>
      <c r="B21" t="s">
        <v>88</v>
      </c>
      <c r="C21" t="s">
        <v>88</v>
      </c>
      <c r="D21" t="s">
        <v>88</v>
      </c>
      <c r="E21" t="s">
        <v>765</v>
      </c>
      <c r="F21" t="s">
        <v>833</v>
      </c>
      <c r="G21" t="s">
        <v>833</v>
      </c>
      <c r="H21" t="s">
        <v>806</v>
      </c>
      <c r="Q21" t="s">
        <v>1322</v>
      </c>
    </row>
  </sheetData>
  <phoneticPr fontId="4" type="noConversion"/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9">
    <tabColor theme="4" tint="0.59999389629810485"/>
  </sheetPr>
  <dimension ref="A1:W15"/>
  <sheetViews>
    <sheetView workbookViewId="0">
      <selection activeCell="A10" sqref="A10:A11"/>
    </sheetView>
  </sheetViews>
  <sheetFormatPr defaultRowHeight="15"/>
  <cols>
    <col min="1" max="1" width="30.5703125" bestFit="1" customWidth="1"/>
    <col min="2" max="3" width="20" hidden="1" customWidth="1"/>
    <col min="4" max="5" width="9.140625" hidden="1" customWidth="1"/>
    <col min="6" max="6" width="20.85546875" hidden="1" customWidth="1"/>
    <col min="7" max="7" width="19.7109375" hidden="1" customWidth="1"/>
    <col min="8" max="8" width="20" hidden="1" customWidth="1"/>
    <col min="9" max="9" width="14.5703125" hidden="1" customWidth="1"/>
    <col min="10" max="13" width="0" hidden="1" customWidth="1"/>
  </cols>
  <sheetData>
    <row r="1" spans="1:23">
      <c r="A1" s="6" t="s">
        <v>1</v>
      </c>
      <c r="B1" s="2" t="s">
        <v>704</v>
      </c>
      <c r="C1" s="2" t="s">
        <v>722</v>
      </c>
      <c r="D1" s="2" t="s">
        <v>710</v>
      </c>
      <c r="E1" s="2" t="s">
        <v>746</v>
      </c>
      <c r="F1" s="2" t="s">
        <v>699</v>
      </c>
      <c r="G1" s="2" t="s">
        <v>804</v>
      </c>
      <c r="H1" s="2" t="s">
        <v>883</v>
      </c>
      <c r="I1" t="s">
        <v>966</v>
      </c>
      <c r="J1" t="s">
        <v>990</v>
      </c>
      <c r="K1" s="2" t="s">
        <v>701</v>
      </c>
      <c r="L1" s="2" t="s">
        <v>1097</v>
      </c>
      <c r="M1" t="s">
        <v>1142</v>
      </c>
      <c r="N1" s="44" t="s">
        <v>1348</v>
      </c>
      <c r="O1" s="44" t="s">
        <v>1224</v>
      </c>
      <c r="P1" s="44" t="s">
        <v>1330</v>
      </c>
      <c r="Q1" s="44" t="s">
        <v>1331</v>
      </c>
      <c r="R1" s="44"/>
      <c r="T1" s="44"/>
      <c r="U1" s="44"/>
    </row>
    <row r="2" spans="1:23">
      <c r="A2" s="14" t="s">
        <v>659</v>
      </c>
      <c r="B2" t="s">
        <v>723</v>
      </c>
      <c r="C2" t="s">
        <v>738</v>
      </c>
      <c r="D2" t="s">
        <v>696</v>
      </c>
      <c r="E2" t="s">
        <v>696</v>
      </c>
      <c r="F2" t="s">
        <v>705</v>
      </c>
      <c r="G2" t="s">
        <v>705</v>
      </c>
      <c r="W2" s="8" t="s">
        <v>938</v>
      </c>
    </row>
    <row r="3" spans="1:23">
      <c r="A3" s="14" t="s">
        <v>660</v>
      </c>
      <c r="B3" t="s">
        <v>723</v>
      </c>
      <c r="C3" t="s">
        <v>742</v>
      </c>
      <c r="D3" t="s">
        <v>771</v>
      </c>
      <c r="E3" t="s">
        <v>748</v>
      </c>
      <c r="F3" t="s">
        <v>705</v>
      </c>
      <c r="G3" t="s">
        <v>705</v>
      </c>
      <c r="R3" t="s">
        <v>935</v>
      </c>
      <c r="V3">
        <v>14</v>
      </c>
    </row>
    <row r="4" spans="1:23">
      <c r="A4" s="14" t="s">
        <v>661</v>
      </c>
      <c r="B4" t="s">
        <v>723</v>
      </c>
      <c r="C4" t="s">
        <v>742</v>
      </c>
      <c r="D4" t="s">
        <v>767</v>
      </c>
      <c r="E4" t="s">
        <v>748</v>
      </c>
      <c r="F4" t="s">
        <v>857</v>
      </c>
      <c r="G4" t="s">
        <v>857</v>
      </c>
      <c r="R4" t="s">
        <v>936</v>
      </c>
      <c r="V4">
        <v>2</v>
      </c>
      <c r="W4">
        <f>V4/V3*100</f>
        <v>14.285714285714285</v>
      </c>
    </row>
    <row r="5" spans="1:23">
      <c r="A5" s="14" t="s">
        <v>662</v>
      </c>
      <c r="B5" t="s">
        <v>723</v>
      </c>
      <c r="C5" t="s">
        <v>742</v>
      </c>
      <c r="D5" t="s">
        <v>748</v>
      </c>
      <c r="E5" t="s">
        <v>767</v>
      </c>
      <c r="F5" t="s">
        <v>705</v>
      </c>
      <c r="G5" t="s">
        <v>705</v>
      </c>
      <c r="R5" t="s">
        <v>937</v>
      </c>
      <c r="V5">
        <f>V3-V4</f>
        <v>12</v>
      </c>
      <c r="W5">
        <f>100-W4</f>
        <v>85.714285714285722</v>
      </c>
    </row>
    <row r="6" spans="1:23">
      <c r="A6" s="14" t="s">
        <v>663</v>
      </c>
      <c r="B6" t="s">
        <v>723</v>
      </c>
      <c r="C6" t="s">
        <v>742</v>
      </c>
      <c r="D6" t="s">
        <v>767</v>
      </c>
      <c r="E6" t="s">
        <v>748</v>
      </c>
      <c r="F6" t="s">
        <v>837</v>
      </c>
      <c r="G6" t="s">
        <v>837</v>
      </c>
    </row>
    <row r="7" spans="1:23">
      <c r="A7" s="14" t="s">
        <v>664</v>
      </c>
      <c r="B7" t="s">
        <v>723</v>
      </c>
      <c r="C7" t="s">
        <v>742</v>
      </c>
      <c r="D7" t="s">
        <v>748</v>
      </c>
      <c r="E7" t="s">
        <v>696</v>
      </c>
      <c r="F7" t="s">
        <v>705</v>
      </c>
      <c r="G7" t="s">
        <v>705</v>
      </c>
    </row>
    <row r="8" spans="1:23">
      <c r="A8" s="14" t="s">
        <v>665</v>
      </c>
      <c r="B8" t="s">
        <v>713</v>
      </c>
      <c r="C8" t="s">
        <v>742</v>
      </c>
      <c r="D8" t="s">
        <v>771</v>
      </c>
      <c r="E8" t="s">
        <v>696</v>
      </c>
      <c r="F8" t="s">
        <v>837</v>
      </c>
      <c r="G8" t="s">
        <v>837</v>
      </c>
    </row>
    <row r="9" spans="1:23">
      <c r="A9" s="14" t="s">
        <v>666</v>
      </c>
      <c r="B9" t="s">
        <v>723</v>
      </c>
      <c r="C9" t="s">
        <v>738</v>
      </c>
      <c r="D9" t="s">
        <v>748</v>
      </c>
      <c r="E9" t="s">
        <v>748</v>
      </c>
      <c r="F9" t="s">
        <v>837</v>
      </c>
      <c r="G9" t="s">
        <v>837</v>
      </c>
    </row>
    <row r="10" spans="1:23">
      <c r="A10" t="s">
        <v>667</v>
      </c>
      <c r="B10" t="s">
        <v>88</v>
      </c>
      <c r="C10" t="s">
        <v>88</v>
      </c>
      <c r="D10" t="s">
        <v>88</v>
      </c>
      <c r="E10" t="s">
        <v>88</v>
      </c>
      <c r="F10" t="s">
        <v>833</v>
      </c>
      <c r="G10" t="s">
        <v>833</v>
      </c>
      <c r="H10" t="s">
        <v>806</v>
      </c>
      <c r="I10" t="s">
        <v>890</v>
      </c>
      <c r="J10" t="s">
        <v>901</v>
      </c>
      <c r="N10" t="s">
        <v>1179</v>
      </c>
      <c r="O10" t="s">
        <v>1111</v>
      </c>
      <c r="P10" t="s">
        <v>806</v>
      </c>
      <c r="Q10" t="s">
        <v>1324</v>
      </c>
    </row>
    <row r="11" spans="1:23">
      <c r="A11" t="s">
        <v>668</v>
      </c>
      <c r="B11" t="s">
        <v>88</v>
      </c>
      <c r="C11" t="s">
        <v>88</v>
      </c>
      <c r="D11" t="s">
        <v>88</v>
      </c>
      <c r="E11" t="s">
        <v>88</v>
      </c>
      <c r="F11" t="s">
        <v>833</v>
      </c>
      <c r="G11" t="s">
        <v>833</v>
      </c>
      <c r="H11" t="s">
        <v>882</v>
      </c>
      <c r="I11" t="s">
        <v>890</v>
      </c>
      <c r="J11" t="s">
        <v>930</v>
      </c>
      <c r="N11" t="s">
        <v>1194</v>
      </c>
      <c r="O11" t="s">
        <v>1194</v>
      </c>
      <c r="P11" t="s">
        <v>1324</v>
      </c>
      <c r="Q11" t="s">
        <v>1324</v>
      </c>
    </row>
    <row r="12" spans="1:23">
      <c r="A12" s="14" t="s">
        <v>669</v>
      </c>
      <c r="B12" t="s">
        <v>696</v>
      </c>
      <c r="C12" t="s">
        <v>736</v>
      </c>
      <c r="D12" t="s">
        <v>767</v>
      </c>
      <c r="E12" t="s">
        <v>696</v>
      </c>
      <c r="F12" t="s">
        <v>705</v>
      </c>
      <c r="G12" t="s">
        <v>705</v>
      </c>
    </row>
    <row r="13" spans="1:23">
      <c r="A13" s="14" t="s">
        <v>802</v>
      </c>
      <c r="B13" t="s">
        <v>732</v>
      </c>
      <c r="C13" t="s">
        <v>743</v>
      </c>
      <c r="D13" t="s">
        <v>748</v>
      </c>
      <c r="E13" t="s">
        <v>748</v>
      </c>
      <c r="F13" t="s">
        <v>705</v>
      </c>
      <c r="G13" t="s">
        <v>705</v>
      </c>
    </row>
    <row r="14" spans="1:23">
      <c r="A14" s="14" t="s">
        <v>670</v>
      </c>
      <c r="B14" t="s">
        <v>723</v>
      </c>
      <c r="C14" t="s">
        <v>742</v>
      </c>
      <c r="D14" t="s">
        <v>767</v>
      </c>
      <c r="E14" t="s">
        <v>748</v>
      </c>
      <c r="F14" t="s">
        <v>705</v>
      </c>
      <c r="G14" t="s">
        <v>705</v>
      </c>
    </row>
    <row r="15" spans="1:23">
      <c r="A15" s="14" t="s">
        <v>671</v>
      </c>
      <c r="B15" t="s">
        <v>713</v>
      </c>
      <c r="C15" t="s">
        <v>88</v>
      </c>
      <c r="D15" t="s">
        <v>748</v>
      </c>
      <c r="E15" t="s">
        <v>748</v>
      </c>
      <c r="F15" t="s">
        <v>837</v>
      </c>
      <c r="G15" t="s">
        <v>837</v>
      </c>
    </row>
  </sheetData>
  <phoneticPr fontId="4" type="noConversion"/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0">
    <tabColor theme="4" tint="0.59999389629810485"/>
  </sheetPr>
  <dimension ref="A1:X29"/>
  <sheetViews>
    <sheetView topLeftCell="A25" workbookViewId="0">
      <selection activeCell="A19" sqref="A19"/>
    </sheetView>
  </sheetViews>
  <sheetFormatPr defaultRowHeight="15"/>
  <cols>
    <col min="1" max="1" width="53.85546875" bestFit="1" customWidth="1"/>
    <col min="2" max="3" width="20" customWidth="1"/>
    <col min="4" max="4" width="9.140625" customWidth="1"/>
    <col min="5" max="5" width="10.28515625" customWidth="1"/>
    <col min="6" max="6" width="20.85546875" customWidth="1"/>
    <col min="7" max="7" width="19.7109375" customWidth="1"/>
    <col min="8" max="8" width="20" customWidth="1"/>
    <col min="9" max="9" width="14.5703125" customWidth="1"/>
    <col min="10" max="11" width="9.140625" customWidth="1"/>
    <col min="12" max="12" width="19.42578125" customWidth="1"/>
    <col min="13" max="15" width="9.140625" customWidth="1"/>
  </cols>
  <sheetData>
    <row r="1" spans="1:24">
      <c r="A1" s="6" t="s">
        <v>1</v>
      </c>
      <c r="B1" s="2" t="s">
        <v>704</v>
      </c>
      <c r="C1" s="2" t="s">
        <v>704</v>
      </c>
      <c r="D1" s="2" t="s">
        <v>710</v>
      </c>
      <c r="E1" s="2" t="s">
        <v>746</v>
      </c>
      <c r="F1" s="2" t="s">
        <v>699</v>
      </c>
      <c r="G1" s="2" t="s">
        <v>860</v>
      </c>
      <c r="H1" s="2" t="s">
        <v>876</v>
      </c>
      <c r="I1" t="s">
        <v>966</v>
      </c>
      <c r="J1" t="s">
        <v>990</v>
      </c>
      <c r="K1" s="2" t="s">
        <v>701</v>
      </c>
      <c r="L1" s="2" t="s">
        <v>1097</v>
      </c>
      <c r="M1" t="s">
        <v>1142</v>
      </c>
      <c r="N1" s="44" t="s">
        <v>1225</v>
      </c>
      <c r="O1" s="44" t="s">
        <v>1224</v>
      </c>
      <c r="P1" t="s">
        <v>1142</v>
      </c>
      <c r="Q1" s="44" t="s">
        <v>1169</v>
      </c>
      <c r="R1" s="44" t="s">
        <v>1320</v>
      </c>
      <c r="S1" s="44"/>
    </row>
    <row r="2" spans="1:24">
      <c r="A2" s="14" t="s">
        <v>672</v>
      </c>
      <c r="B2" t="s">
        <v>89</v>
      </c>
      <c r="C2" t="s">
        <v>89</v>
      </c>
      <c r="D2" t="s">
        <v>967</v>
      </c>
      <c r="E2" t="s">
        <v>968</v>
      </c>
      <c r="F2" t="s">
        <v>861</v>
      </c>
      <c r="G2" t="s">
        <v>705</v>
      </c>
      <c r="H2" t="s">
        <v>879</v>
      </c>
      <c r="Q2" t="s">
        <v>806</v>
      </c>
      <c r="X2" s="8" t="s">
        <v>938</v>
      </c>
    </row>
    <row r="3" spans="1:24">
      <c r="A3" s="14" t="s">
        <v>673</v>
      </c>
      <c r="B3" t="s">
        <v>88</v>
      </c>
      <c r="C3" t="s">
        <v>88</v>
      </c>
      <c r="D3" t="s">
        <v>969</v>
      </c>
      <c r="E3" t="s">
        <v>806</v>
      </c>
      <c r="F3" t="s">
        <v>862</v>
      </c>
      <c r="G3" t="s">
        <v>833</v>
      </c>
      <c r="H3" t="s">
        <v>832</v>
      </c>
      <c r="I3" t="s">
        <v>898</v>
      </c>
      <c r="J3" t="s">
        <v>1024</v>
      </c>
      <c r="K3" t="s">
        <v>1049</v>
      </c>
      <c r="L3" t="s">
        <v>1049</v>
      </c>
      <c r="M3" t="s">
        <v>1144</v>
      </c>
      <c r="N3" t="s">
        <v>1144</v>
      </c>
      <c r="O3" t="s">
        <v>1237</v>
      </c>
      <c r="P3" t="s">
        <v>1290</v>
      </c>
      <c r="Q3" t="s">
        <v>1322</v>
      </c>
      <c r="R3" t="s">
        <v>806</v>
      </c>
      <c r="V3" t="s">
        <v>935</v>
      </c>
      <c r="W3">
        <v>28</v>
      </c>
    </row>
    <row r="4" spans="1:24">
      <c r="A4" t="s">
        <v>674</v>
      </c>
      <c r="B4" t="s">
        <v>88</v>
      </c>
      <c r="C4" t="s">
        <v>88</v>
      </c>
      <c r="D4" t="s">
        <v>970</v>
      </c>
      <c r="E4" t="s">
        <v>806</v>
      </c>
      <c r="F4" t="s">
        <v>862</v>
      </c>
      <c r="G4" t="s">
        <v>862</v>
      </c>
      <c r="H4" t="s">
        <v>806</v>
      </c>
      <c r="I4" t="s">
        <v>894</v>
      </c>
      <c r="J4" t="s">
        <v>1023</v>
      </c>
      <c r="K4" t="s">
        <v>1072</v>
      </c>
      <c r="L4" t="s">
        <v>1080</v>
      </c>
      <c r="M4" t="s">
        <v>1150</v>
      </c>
      <c r="N4" t="s">
        <v>1144</v>
      </c>
      <c r="O4" t="s">
        <v>1255</v>
      </c>
      <c r="P4" t="s">
        <v>1256</v>
      </c>
      <c r="Q4" t="s">
        <v>806</v>
      </c>
      <c r="R4" t="s">
        <v>806</v>
      </c>
      <c r="V4" t="s">
        <v>936</v>
      </c>
      <c r="W4">
        <v>5</v>
      </c>
      <c r="X4">
        <f>W4/W3*100</f>
        <v>17.857142857142858</v>
      </c>
    </row>
    <row r="5" spans="1:24">
      <c r="A5" s="14" t="s">
        <v>675</v>
      </c>
      <c r="B5" t="s">
        <v>89</v>
      </c>
      <c r="C5" t="s">
        <v>89</v>
      </c>
      <c r="D5" t="s">
        <v>696</v>
      </c>
      <c r="E5" t="s">
        <v>971</v>
      </c>
      <c r="F5" t="s">
        <v>862</v>
      </c>
      <c r="G5" t="s">
        <v>806</v>
      </c>
      <c r="H5" t="s">
        <v>833</v>
      </c>
      <c r="Q5" t="s">
        <v>696</v>
      </c>
      <c r="V5" t="s">
        <v>937</v>
      </c>
      <c r="W5">
        <v>19</v>
      </c>
      <c r="X5">
        <f>100-X4</f>
        <v>82.142857142857139</v>
      </c>
    </row>
    <row r="6" spans="1:24">
      <c r="A6" s="14" t="s">
        <v>676</v>
      </c>
      <c r="B6" t="s">
        <v>88</v>
      </c>
      <c r="C6" t="s">
        <v>88</v>
      </c>
      <c r="D6" t="s">
        <v>972</v>
      </c>
      <c r="E6" t="s">
        <v>973</v>
      </c>
      <c r="F6" t="s">
        <v>806</v>
      </c>
      <c r="G6" t="s">
        <v>862</v>
      </c>
      <c r="H6" t="s">
        <v>806</v>
      </c>
      <c r="I6" t="s">
        <v>907</v>
      </c>
      <c r="J6" t="s">
        <v>1024</v>
      </c>
      <c r="K6" t="s">
        <v>1049</v>
      </c>
      <c r="L6" t="s">
        <v>1049</v>
      </c>
      <c r="M6" t="s">
        <v>1159</v>
      </c>
      <c r="N6" t="s">
        <v>1144</v>
      </c>
      <c r="Q6" t="s">
        <v>696</v>
      </c>
    </row>
    <row r="7" spans="1:24">
      <c r="A7" s="14" t="s">
        <v>677</v>
      </c>
      <c r="B7" t="s">
        <v>88</v>
      </c>
      <c r="C7" t="s">
        <v>88</v>
      </c>
      <c r="D7" t="s">
        <v>806</v>
      </c>
      <c r="E7" t="s">
        <v>974</v>
      </c>
      <c r="F7" t="s">
        <v>806</v>
      </c>
      <c r="G7" t="s">
        <v>833</v>
      </c>
      <c r="H7" t="s">
        <v>833</v>
      </c>
      <c r="I7" t="s">
        <v>892</v>
      </c>
      <c r="J7" t="s">
        <v>1025</v>
      </c>
      <c r="K7" t="s">
        <v>1091</v>
      </c>
      <c r="L7" t="s">
        <v>1050</v>
      </c>
      <c r="M7" t="s">
        <v>1144</v>
      </c>
      <c r="N7" t="s">
        <v>1144</v>
      </c>
      <c r="O7" t="s">
        <v>1242</v>
      </c>
      <c r="P7" t="s">
        <v>1290</v>
      </c>
      <c r="Q7" t="s">
        <v>1322</v>
      </c>
      <c r="R7" t="s">
        <v>806</v>
      </c>
    </row>
    <row r="8" spans="1:24">
      <c r="A8" s="14" t="s">
        <v>678</v>
      </c>
      <c r="B8" t="s">
        <v>88</v>
      </c>
      <c r="C8" t="s">
        <v>88</v>
      </c>
      <c r="D8" t="s">
        <v>975</v>
      </c>
      <c r="E8" t="s">
        <v>806</v>
      </c>
      <c r="F8" t="s">
        <v>806</v>
      </c>
      <c r="G8" t="s">
        <v>806</v>
      </c>
      <c r="H8" t="s">
        <v>806</v>
      </c>
      <c r="I8" t="s">
        <v>890</v>
      </c>
      <c r="J8" t="s">
        <v>1026</v>
      </c>
      <c r="K8" t="s">
        <v>1049</v>
      </c>
      <c r="L8" t="s">
        <v>1079</v>
      </c>
      <c r="M8" t="s">
        <v>1144</v>
      </c>
      <c r="N8" t="s">
        <v>1144</v>
      </c>
      <c r="O8" t="s">
        <v>1256</v>
      </c>
      <c r="P8" t="s">
        <v>1291</v>
      </c>
      <c r="Q8" s="49" t="s">
        <v>1329</v>
      </c>
      <c r="R8" s="49"/>
    </row>
    <row r="9" spans="1:24">
      <c r="A9" s="14" t="s">
        <v>679</v>
      </c>
      <c r="B9" t="s">
        <v>88</v>
      </c>
      <c r="C9" t="s">
        <v>88</v>
      </c>
      <c r="D9" t="s">
        <v>972</v>
      </c>
      <c r="E9" t="s">
        <v>972</v>
      </c>
      <c r="F9" t="s">
        <v>806</v>
      </c>
      <c r="G9" t="s">
        <v>833</v>
      </c>
      <c r="H9" t="s">
        <v>833</v>
      </c>
      <c r="I9" t="s">
        <v>892</v>
      </c>
      <c r="J9" t="s">
        <v>1027</v>
      </c>
      <c r="K9" t="s">
        <v>1073</v>
      </c>
      <c r="L9" t="s">
        <v>1049</v>
      </c>
      <c r="M9" t="s">
        <v>1160</v>
      </c>
      <c r="N9" t="s">
        <v>1144</v>
      </c>
      <c r="Q9" t="s">
        <v>1329</v>
      </c>
    </row>
    <row r="10" spans="1:24">
      <c r="A10" s="14" t="s">
        <v>680</v>
      </c>
      <c r="B10" t="s">
        <v>88</v>
      </c>
      <c r="C10" t="s">
        <v>88</v>
      </c>
      <c r="D10" t="s">
        <v>976</v>
      </c>
      <c r="E10" t="s">
        <v>977</v>
      </c>
      <c r="F10" t="s">
        <v>863</v>
      </c>
      <c r="G10" t="s">
        <v>806</v>
      </c>
      <c r="H10" t="s">
        <v>806</v>
      </c>
      <c r="I10" t="s">
        <v>893</v>
      </c>
      <c r="J10" t="s">
        <v>1024</v>
      </c>
      <c r="K10" t="s">
        <v>1049</v>
      </c>
      <c r="L10" t="s">
        <v>1100</v>
      </c>
      <c r="M10" t="s">
        <v>1144</v>
      </c>
      <c r="N10" t="s">
        <v>1144</v>
      </c>
      <c r="Q10" t="s">
        <v>1329</v>
      </c>
    </row>
    <row r="11" spans="1:24">
      <c r="A11" s="14" t="s">
        <v>681</v>
      </c>
      <c r="B11" t="s">
        <v>89</v>
      </c>
      <c r="C11" t="s">
        <v>89</v>
      </c>
      <c r="D11" t="s">
        <v>978</v>
      </c>
      <c r="E11" t="s">
        <v>979</v>
      </c>
      <c r="F11" t="s">
        <v>705</v>
      </c>
      <c r="G11" t="s">
        <v>837</v>
      </c>
      <c r="H11" t="s">
        <v>705</v>
      </c>
      <c r="Q11" t="s">
        <v>1329</v>
      </c>
    </row>
    <row r="12" spans="1:24">
      <c r="A12" s="14" t="s">
        <v>682</v>
      </c>
      <c r="B12" t="s">
        <v>89</v>
      </c>
      <c r="C12" t="s">
        <v>89</v>
      </c>
      <c r="D12" t="s">
        <v>696</v>
      </c>
      <c r="E12" t="s">
        <v>978</v>
      </c>
      <c r="F12" t="s">
        <v>861</v>
      </c>
      <c r="G12" t="s">
        <v>705</v>
      </c>
      <c r="H12" t="s">
        <v>837</v>
      </c>
      <c r="Q12" t="s">
        <v>1329</v>
      </c>
    </row>
    <row r="13" spans="1:24">
      <c r="A13" s="14" t="s">
        <v>683</v>
      </c>
      <c r="B13" t="s">
        <v>88</v>
      </c>
      <c r="C13" t="s">
        <v>88</v>
      </c>
      <c r="D13" t="s">
        <v>980</v>
      </c>
      <c r="E13" t="s">
        <v>981</v>
      </c>
      <c r="F13" t="s">
        <v>705</v>
      </c>
      <c r="G13" t="s">
        <v>837</v>
      </c>
      <c r="H13" t="s">
        <v>837</v>
      </c>
      <c r="Q13" t="s">
        <v>1329</v>
      </c>
    </row>
    <row r="14" spans="1:24">
      <c r="A14" s="14" t="s">
        <v>803</v>
      </c>
      <c r="B14" t="s">
        <v>88</v>
      </c>
      <c r="C14" t="s">
        <v>88</v>
      </c>
      <c r="D14" t="s">
        <v>976</v>
      </c>
      <c r="E14" t="s">
        <v>976</v>
      </c>
      <c r="F14" t="s">
        <v>864</v>
      </c>
      <c r="G14" t="s">
        <v>806</v>
      </c>
      <c r="H14" t="s">
        <v>882</v>
      </c>
      <c r="I14" t="s">
        <v>908</v>
      </c>
      <c r="J14" t="s">
        <v>1024</v>
      </c>
      <c r="K14" t="s">
        <v>1049</v>
      </c>
      <c r="L14" t="s">
        <v>1049</v>
      </c>
      <c r="M14" t="s">
        <v>1144</v>
      </c>
      <c r="N14" t="s">
        <v>1144</v>
      </c>
      <c r="O14" t="s">
        <v>1257</v>
      </c>
      <c r="P14" t="s">
        <v>1290</v>
      </c>
      <c r="Q14" s="49" t="s">
        <v>696</v>
      </c>
      <c r="R14" s="49"/>
    </row>
    <row r="15" spans="1:24">
      <c r="A15" s="14" t="s">
        <v>684</v>
      </c>
      <c r="B15" t="s">
        <v>88</v>
      </c>
      <c r="C15" t="s">
        <v>88</v>
      </c>
      <c r="D15" t="s">
        <v>982</v>
      </c>
      <c r="E15" t="s">
        <v>976</v>
      </c>
      <c r="F15" t="s">
        <v>833</v>
      </c>
      <c r="G15" t="s">
        <v>833</v>
      </c>
      <c r="H15" t="s">
        <v>833</v>
      </c>
      <c r="I15" t="s">
        <v>892</v>
      </c>
      <c r="J15" t="s">
        <v>1028</v>
      </c>
      <c r="K15" t="s">
        <v>1049</v>
      </c>
      <c r="L15" t="s">
        <v>1080</v>
      </c>
      <c r="M15" t="s">
        <v>1144</v>
      </c>
      <c r="N15" t="s">
        <v>1144</v>
      </c>
      <c r="Q15" t="s">
        <v>1329</v>
      </c>
    </row>
    <row r="16" spans="1:24">
      <c r="A16" s="14" t="s">
        <v>685</v>
      </c>
      <c r="B16" t="s">
        <v>89</v>
      </c>
      <c r="C16" t="s">
        <v>89</v>
      </c>
      <c r="D16" t="s">
        <v>967</v>
      </c>
      <c r="E16" t="s">
        <v>978</v>
      </c>
      <c r="F16" t="s">
        <v>806</v>
      </c>
      <c r="G16" t="s">
        <v>837</v>
      </c>
      <c r="H16" t="s">
        <v>806</v>
      </c>
      <c r="Q16" t="s">
        <v>1322</v>
      </c>
    </row>
    <row r="17" spans="1:18">
      <c r="A17" s="14" t="s">
        <v>686</v>
      </c>
      <c r="B17" t="s">
        <v>88</v>
      </c>
      <c r="C17" t="s">
        <v>88</v>
      </c>
      <c r="D17" t="s">
        <v>983</v>
      </c>
      <c r="E17" t="s">
        <v>984</v>
      </c>
      <c r="F17" t="s">
        <v>862</v>
      </c>
      <c r="G17" t="s">
        <v>833</v>
      </c>
      <c r="H17" t="s">
        <v>833</v>
      </c>
      <c r="I17" t="s">
        <v>909</v>
      </c>
      <c r="J17" t="s">
        <v>1024</v>
      </c>
      <c r="K17" t="s">
        <v>1049</v>
      </c>
      <c r="L17" t="s">
        <v>1099</v>
      </c>
      <c r="M17" t="s">
        <v>1144</v>
      </c>
      <c r="N17" t="s">
        <v>1144</v>
      </c>
      <c r="Q17" t="s">
        <v>1329</v>
      </c>
    </row>
    <row r="18" spans="1:18">
      <c r="A18" s="14" t="s">
        <v>687</v>
      </c>
      <c r="B18" t="s">
        <v>88</v>
      </c>
      <c r="C18" t="s">
        <v>88</v>
      </c>
      <c r="D18" t="s">
        <v>976</v>
      </c>
      <c r="E18" t="s">
        <v>969</v>
      </c>
      <c r="F18" t="s">
        <v>806</v>
      </c>
      <c r="G18" t="s">
        <v>833</v>
      </c>
      <c r="H18" t="s">
        <v>833</v>
      </c>
      <c r="I18" t="s">
        <v>909</v>
      </c>
      <c r="J18" t="s">
        <v>1024</v>
      </c>
      <c r="K18" t="s">
        <v>1049</v>
      </c>
      <c r="L18" t="s">
        <v>1049</v>
      </c>
      <c r="M18" t="s">
        <v>1160</v>
      </c>
      <c r="N18" t="s">
        <v>1144</v>
      </c>
      <c r="Q18" t="s">
        <v>1329</v>
      </c>
    </row>
    <row r="19" spans="1:18">
      <c r="A19" t="s">
        <v>688</v>
      </c>
      <c r="B19" t="s">
        <v>88</v>
      </c>
      <c r="C19" t="s">
        <v>88</v>
      </c>
      <c r="D19" t="s">
        <v>976</v>
      </c>
      <c r="E19" t="s">
        <v>969</v>
      </c>
      <c r="F19" t="s">
        <v>833</v>
      </c>
      <c r="G19" t="s">
        <v>833</v>
      </c>
      <c r="H19" t="s">
        <v>833</v>
      </c>
      <c r="I19" t="s">
        <v>893</v>
      </c>
      <c r="J19" t="s">
        <v>1024</v>
      </c>
      <c r="K19" t="s">
        <v>1074</v>
      </c>
      <c r="L19" t="s">
        <v>1050</v>
      </c>
      <c r="M19" t="s">
        <v>1144</v>
      </c>
      <c r="N19" t="s">
        <v>1144</v>
      </c>
      <c r="O19" t="s">
        <v>1258</v>
      </c>
      <c r="P19" t="s">
        <v>1256</v>
      </c>
      <c r="Q19" t="s">
        <v>1322</v>
      </c>
      <c r="R19" t="s">
        <v>1322</v>
      </c>
    </row>
    <row r="20" spans="1:18">
      <c r="A20" s="14" t="s">
        <v>689</v>
      </c>
      <c r="B20" t="s">
        <v>89</v>
      </c>
      <c r="C20" t="s">
        <v>89</v>
      </c>
      <c r="D20" t="s">
        <v>976</v>
      </c>
      <c r="E20" t="s">
        <v>970</v>
      </c>
      <c r="F20" t="s">
        <v>861</v>
      </c>
      <c r="G20" t="s">
        <v>837</v>
      </c>
      <c r="H20" t="s">
        <v>833</v>
      </c>
      <c r="Q20" t="s">
        <v>1322</v>
      </c>
    </row>
    <row r="21" spans="1:18">
      <c r="A21" s="14" t="s">
        <v>690</v>
      </c>
      <c r="B21" t="s">
        <v>89</v>
      </c>
      <c r="C21" t="s">
        <v>89</v>
      </c>
      <c r="D21" t="s">
        <v>978</v>
      </c>
      <c r="E21" t="s">
        <v>978</v>
      </c>
      <c r="F21" t="s">
        <v>861</v>
      </c>
      <c r="G21" t="s">
        <v>837</v>
      </c>
      <c r="H21" t="s">
        <v>833</v>
      </c>
      <c r="Q21" t="s">
        <v>1322</v>
      </c>
    </row>
    <row r="22" spans="1:18">
      <c r="A22" t="s">
        <v>691</v>
      </c>
      <c r="B22" t="s">
        <v>88</v>
      </c>
      <c r="C22" t="s">
        <v>88</v>
      </c>
      <c r="D22" t="s">
        <v>976</v>
      </c>
      <c r="E22" t="s">
        <v>806</v>
      </c>
      <c r="F22" t="s">
        <v>833</v>
      </c>
      <c r="G22" t="s">
        <v>833</v>
      </c>
      <c r="H22" t="s">
        <v>882</v>
      </c>
      <c r="I22" t="s">
        <v>893</v>
      </c>
      <c r="J22" t="s">
        <v>1024</v>
      </c>
      <c r="K22" t="s">
        <v>1049</v>
      </c>
      <c r="L22" t="s">
        <v>1049</v>
      </c>
      <c r="M22" t="s">
        <v>1144</v>
      </c>
      <c r="N22" t="s">
        <v>1144</v>
      </c>
      <c r="O22" t="s">
        <v>1256</v>
      </c>
      <c r="P22" t="s">
        <v>1256</v>
      </c>
      <c r="Q22" t="s">
        <v>1322</v>
      </c>
      <c r="R22" t="s">
        <v>1322</v>
      </c>
    </row>
    <row r="23" spans="1:18">
      <c r="A23" s="14" t="s">
        <v>692</v>
      </c>
      <c r="B23" t="s">
        <v>88</v>
      </c>
      <c r="C23" t="s">
        <v>88</v>
      </c>
      <c r="D23" t="s">
        <v>978</v>
      </c>
      <c r="E23" t="s">
        <v>985</v>
      </c>
      <c r="F23" t="s">
        <v>865</v>
      </c>
      <c r="G23" t="s">
        <v>732</v>
      </c>
      <c r="H23" t="s">
        <v>833</v>
      </c>
      <c r="Q23" t="s">
        <v>1329</v>
      </c>
    </row>
    <row r="24" spans="1:18">
      <c r="A24" s="14" t="s">
        <v>693</v>
      </c>
      <c r="B24" t="s">
        <v>89</v>
      </c>
      <c r="C24" t="s">
        <v>89</v>
      </c>
      <c r="D24" t="s">
        <v>978</v>
      </c>
      <c r="E24" t="s">
        <v>978</v>
      </c>
      <c r="F24" t="s">
        <v>837</v>
      </c>
      <c r="G24" t="s">
        <v>837</v>
      </c>
      <c r="H24" t="s">
        <v>837</v>
      </c>
      <c r="Q24" t="s">
        <v>1329</v>
      </c>
    </row>
    <row r="25" spans="1:18">
      <c r="A25" s="14" t="s">
        <v>694</v>
      </c>
      <c r="B25" t="s">
        <v>88</v>
      </c>
      <c r="C25" t="s">
        <v>88</v>
      </c>
      <c r="D25" t="s">
        <v>978</v>
      </c>
      <c r="E25" t="s">
        <v>978</v>
      </c>
      <c r="F25" t="s">
        <v>866</v>
      </c>
      <c r="G25" t="s">
        <v>865</v>
      </c>
      <c r="H25" t="s">
        <v>833</v>
      </c>
      <c r="Q25" t="s">
        <v>1329</v>
      </c>
    </row>
    <row r="26" spans="1:18">
      <c r="A26" s="14" t="s">
        <v>695</v>
      </c>
      <c r="B26" t="s">
        <v>89</v>
      </c>
      <c r="C26" t="s">
        <v>89</v>
      </c>
      <c r="D26" t="s">
        <v>981</v>
      </c>
      <c r="E26" t="s">
        <v>978</v>
      </c>
      <c r="F26" t="s">
        <v>837</v>
      </c>
      <c r="G26" t="s">
        <v>861</v>
      </c>
      <c r="H26" t="s">
        <v>837</v>
      </c>
      <c r="Q26" t="s">
        <v>1329</v>
      </c>
    </row>
    <row r="27" spans="1:18">
      <c r="A27" t="s">
        <v>1076</v>
      </c>
      <c r="B27" t="s">
        <v>88</v>
      </c>
      <c r="C27" t="s">
        <v>88</v>
      </c>
      <c r="D27" t="s">
        <v>976</v>
      </c>
      <c r="E27" t="s">
        <v>976</v>
      </c>
      <c r="F27" t="s">
        <v>833</v>
      </c>
      <c r="G27" t="s">
        <v>833</v>
      </c>
      <c r="H27" t="s">
        <v>833</v>
      </c>
      <c r="I27" t="s">
        <v>893</v>
      </c>
      <c r="J27" t="s">
        <v>1024</v>
      </c>
      <c r="K27" t="s">
        <v>1052</v>
      </c>
      <c r="L27" t="s">
        <v>1049</v>
      </c>
      <c r="M27" t="s">
        <v>1161</v>
      </c>
      <c r="N27" t="s">
        <v>1144</v>
      </c>
      <c r="O27" t="s">
        <v>1258</v>
      </c>
      <c r="P27" t="s">
        <v>1256</v>
      </c>
      <c r="Q27" t="s">
        <v>806</v>
      </c>
      <c r="R27" t="s">
        <v>1322</v>
      </c>
    </row>
    <row r="28" spans="1:18">
      <c r="A28" t="s">
        <v>1077</v>
      </c>
      <c r="B28" t="s">
        <v>88</v>
      </c>
      <c r="C28" t="s">
        <v>88</v>
      </c>
      <c r="D28" t="s">
        <v>970</v>
      </c>
      <c r="E28" t="s">
        <v>977</v>
      </c>
      <c r="F28" t="s">
        <v>833</v>
      </c>
      <c r="G28" t="s">
        <v>833</v>
      </c>
      <c r="H28" t="s">
        <v>833</v>
      </c>
      <c r="I28" t="s">
        <v>890</v>
      </c>
      <c r="J28" t="s">
        <v>1024</v>
      </c>
      <c r="K28" t="s">
        <v>1075</v>
      </c>
      <c r="L28" t="s">
        <v>1049</v>
      </c>
      <c r="M28" t="s">
        <v>1144</v>
      </c>
      <c r="N28" t="s">
        <v>1144</v>
      </c>
      <c r="O28" t="s">
        <v>1258</v>
      </c>
      <c r="P28" t="s">
        <v>1256</v>
      </c>
      <c r="Q28" t="s">
        <v>1322</v>
      </c>
      <c r="R28" t="s">
        <v>806</v>
      </c>
    </row>
    <row r="29" spans="1:18">
      <c r="A29" s="14" t="s">
        <v>1078</v>
      </c>
      <c r="B29" t="s">
        <v>88</v>
      </c>
      <c r="C29" t="s">
        <v>88</v>
      </c>
      <c r="D29" t="s">
        <v>986</v>
      </c>
      <c r="E29" t="s">
        <v>976</v>
      </c>
      <c r="F29" t="s">
        <v>833</v>
      </c>
      <c r="G29" t="s">
        <v>833</v>
      </c>
      <c r="H29" t="s">
        <v>833</v>
      </c>
      <c r="I29" t="s">
        <v>892</v>
      </c>
      <c r="J29" t="s">
        <v>1028</v>
      </c>
      <c r="K29" t="s">
        <v>1067</v>
      </c>
      <c r="Q29" t="s">
        <v>1322</v>
      </c>
    </row>
  </sheetData>
  <phoneticPr fontId="4" type="noConversion"/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G22"/>
  <sheetViews>
    <sheetView workbookViewId="0">
      <selection activeCell="L7" sqref="L7"/>
    </sheetView>
  </sheetViews>
  <sheetFormatPr defaultRowHeight="15"/>
  <cols>
    <col min="1" max="1" width="34.42578125" style="21" bestFit="1" customWidth="1"/>
    <col min="2" max="2" width="11.140625" bestFit="1" customWidth="1"/>
    <col min="3" max="3" width="14.5703125" bestFit="1" customWidth="1"/>
    <col min="4" max="4" width="12.28515625" bestFit="1" customWidth="1"/>
    <col min="7" max="7" width="19" bestFit="1" customWidth="1"/>
  </cols>
  <sheetData>
    <row r="1" spans="1:7" ht="22.5">
      <c r="A1" s="20" t="s">
        <v>942</v>
      </c>
      <c r="B1" s="18" t="s">
        <v>964</v>
      </c>
      <c r="C1" s="18" t="s">
        <v>965</v>
      </c>
      <c r="D1" s="18" t="s">
        <v>935</v>
      </c>
      <c r="E1" s="19" t="s">
        <v>963</v>
      </c>
      <c r="G1" s="32" t="s">
        <v>988</v>
      </c>
    </row>
    <row r="2" spans="1:7" ht="22.5">
      <c r="A2" s="22" t="s">
        <v>943</v>
      </c>
      <c r="B2" s="23">
        <f>DSP_LIB_DACTrim_AP!U5</f>
        <v>0</v>
      </c>
      <c r="C2" s="23">
        <f>DSP_LIB_DACTrim_AP!U4</f>
        <v>4</v>
      </c>
      <c r="D2" s="23">
        <f>B2+C2</f>
        <v>4</v>
      </c>
      <c r="E2" s="24">
        <f>B2/D2*100</f>
        <v>0</v>
      </c>
      <c r="G2" s="31" t="s">
        <v>704</v>
      </c>
    </row>
    <row r="3" spans="1:7" ht="22.5">
      <c r="A3" s="22" t="s">
        <v>944</v>
      </c>
      <c r="B3" s="23">
        <f>DSP_LIB_HardIP!W4</f>
        <v>56</v>
      </c>
      <c r="C3" s="23">
        <f>DSP_LIB_HardIP!W3</f>
        <v>45</v>
      </c>
      <c r="D3" s="23">
        <f t="shared" ref="D3:D21" si="0">B3+C3</f>
        <v>101</v>
      </c>
      <c r="E3" s="24">
        <f t="shared" ref="E3:E21" si="1">B3/D3*100</f>
        <v>55.445544554455452</v>
      </c>
      <c r="G3" s="31" t="s">
        <v>704</v>
      </c>
    </row>
    <row r="4" spans="1:7" ht="22.5">
      <c r="A4" s="22" t="s">
        <v>945</v>
      </c>
      <c r="B4" s="23">
        <f>DSP_NAND_HARDIP!W5</f>
        <v>0</v>
      </c>
      <c r="C4" s="23">
        <f>DSP_NAND_HARDIP!W4</f>
        <v>21</v>
      </c>
      <c r="D4" s="23">
        <f t="shared" si="0"/>
        <v>21</v>
      </c>
      <c r="E4" s="24">
        <f>B4/D4*100</f>
        <v>0</v>
      </c>
      <c r="G4" s="31" t="s">
        <v>710</v>
      </c>
    </row>
    <row r="5" spans="1:7" ht="22.5">
      <c r="A5" s="25" t="s">
        <v>946</v>
      </c>
      <c r="B5" s="26">
        <f>LIB_DACTrim_AP!V5</f>
        <v>2</v>
      </c>
      <c r="C5" s="26">
        <f>LIB_DACTrim_AP!V4</f>
        <v>59</v>
      </c>
      <c r="D5" s="26">
        <f t="shared" si="0"/>
        <v>61</v>
      </c>
      <c r="E5" s="27">
        <f t="shared" si="1"/>
        <v>3.278688524590164</v>
      </c>
      <c r="G5" s="31" t="s">
        <v>746</v>
      </c>
    </row>
    <row r="6" spans="1:7" ht="22.5">
      <c r="A6" s="25" t="s">
        <v>947</v>
      </c>
      <c r="B6" s="26">
        <f>LIB_HardIP!U5</f>
        <v>197</v>
      </c>
      <c r="C6" s="26">
        <f>LIB_HardIP!U4</f>
        <v>33</v>
      </c>
      <c r="D6" s="26">
        <f t="shared" si="0"/>
        <v>230</v>
      </c>
      <c r="E6" s="27">
        <f t="shared" si="1"/>
        <v>85.652173913043484</v>
      </c>
      <c r="G6" s="31" t="s">
        <v>699</v>
      </c>
    </row>
    <row r="7" spans="1:7" ht="22.5">
      <c r="A7" s="25" t="s">
        <v>948</v>
      </c>
      <c r="B7" s="26">
        <f>LIB_HardIP_ADC_AP!Q5</f>
        <v>3</v>
      </c>
      <c r="C7" s="26">
        <f>LIB_HardIP_ADC_AP!Q4</f>
        <v>0</v>
      </c>
      <c r="D7" s="26">
        <f t="shared" si="0"/>
        <v>3</v>
      </c>
      <c r="E7" s="27">
        <f t="shared" si="1"/>
        <v>100</v>
      </c>
      <c r="G7" s="31" t="s">
        <v>804</v>
      </c>
    </row>
    <row r="8" spans="1:7" ht="22.5">
      <c r="A8" s="25" t="s">
        <v>949</v>
      </c>
      <c r="B8" s="26">
        <f>LIB_HardIP_AP!P5</f>
        <v>6</v>
      </c>
      <c r="C8" s="26">
        <f>LIB_HardIP_AP!P4</f>
        <v>0</v>
      </c>
      <c r="D8" s="26">
        <f t="shared" si="0"/>
        <v>6</v>
      </c>
      <c r="E8" s="27">
        <f t="shared" si="1"/>
        <v>100</v>
      </c>
      <c r="G8" s="31" t="s">
        <v>1353</v>
      </c>
    </row>
    <row r="9" spans="1:7" ht="22.5">
      <c r="A9" s="25" t="s">
        <v>950</v>
      </c>
      <c r="B9" s="26">
        <f>LIB_HardIP_Calc!U5</f>
        <v>41</v>
      </c>
      <c r="C9" s="26">
        <f>LIB_HardIP_Calc!U4</f>
        <v>85</v>
      </c>
      <c r="D9" s="26">
        <f t="shared" si="0"/>
        <v>126</v>
      </c>
      <c r="E9" s="27">
        <f t="shared" si="1"/>
        <v>32.539682539682538</v>
      </c>
      <c r="G9" s="31" t="s">
        <v>1354</v>
      </c>
    </row>
    <row r="10" spans="1:7" ht="22.5">
      <c r="A10" s="25" t="s">
        <v>951</v>
      </c>
      <c r="B10" s="26">
        <f>LIB_HardIP_Calc_Turks_AP!V5</f>
        <v>9</v>
      </c>
      <c r="C10" s="26">
        <f>LIB_HardIP_Calc_Turks_AP!V4</f>
        <v>11</v>
      </c>
      <c r="D10" s="26">
        <f t="shared" si="0"/>
        <v>20</v>
      </c>
      <c r="E10" s="27">
        <f t="shared" si="1"/>
        <v>45</v>
      </c>
      <c r="G10" s="31" t="s">
        <v>987</v>
      </c>
    </row>
    <row r="11" spans="1:7" ht="22.5">
      <c r="A11" s="25" t="s">
        <v>952</v>
      </c>
      <c r="B11" s="26">
        <f>LIB_HardIP_Dictionary!V5</f>
        <v>12</v>
      </c>
      <c r="C11" s="26">
        <f>LIB_HardIP_Dictionary!V4</f>
        <v>2</v>
      </c>
      <c r="D11" s="26">
        <f t="shared" si="0"/>
        <v>14</v>
      </c>
      <c r="E11" s="27">
        <f t="shared" si="1"/>
        <v>85.714285714285708</v>
      </c>
      <c r="G11" s="31" t="s">
        <v>1346</v>
      </c>
    </row>
    <row r="12" spans="1:7" ht="22.5">
      <c r="A12" s="25" t="s">
        <v>953</v>
      </c>
      <c r="B12" s="26">
        <f>LIB_HardIP_Metrology_AP!W5</f>
        <v>19</v>
      </c>
      <c r="C12" s="26">
        <f>LIB_HardIP_Metrology_AP!W4</f>
        <v>5</v>
      </c>
      <c r="D12" s="26">
        <f t="shared" si="0"/>
        <v>24</v>
      </c>
      <c r="E12" s="27">
        <f t="shared" si="1"/>
        <v>79.166666666666657</v>
      </c>
      <c r="G12" s="31" t="s">
        <v>1347</v>
      </c>
    </row>
    <row r="13" spans="1:7" ht="22.5">
      <c r="A13" s="28" t="s">
        <v>954</v>
      </c>
      <c r="B13" s="29">
        <f>VBT_LIB_DACTrim_AP!T5</f>
        <v>0</v>
      </c>
      <c r="C13" s="29">
        <f>VBT_LIB_DACTrim_AP!T4</f>
        <v>2</v>
      </c>
      <c r="D13" s="29">
        <f t="shared" si="0"/>
        <v>2</v>
      </c>
      <c r="E13" s="30">
        <f t="shared" si="1"/>
        <v>0</v>
      </c>
      <c r="G13" s="31" t="s">
        <v>1349</v>
      </c>
    </row>
    <row r="14" spans="1:7" ht="22.5">
      <c r="A14" s="28" t="s">
        <v>955</v>
      </c>
      <c r="B14" s="29">
        <f>VBT_LIB_HardIP!X5</f>
        <v>11</v>
      </c>
      <c r="C14" s="29">
        <f>VBT_LIB_HardIP!X4</f>
        <v>20</v>
      </c>
      <c r="D14" s="29">
        <f t="shared" si="0"/>
        <v>31</v>
      </c>
      <c r="E14" s="30">
        <f t="shared" si="1"/>
        <v>35.483870967741936</v>
      </c>
      <c r="G14" s="31" t="s">
        <v>1350</v>
      </c>
    </row>
    <row r="15" spans="1:7" ht="22.5">
      <c r="A15" s="28" t="s">
        <v>956</v>
      </c>
      <c r="B15" s="29">
        <f>VBT_LIB_HardIP_ADC_AP!U5</f>
        <v>2</v>
      </c>
      <c r="C15" s="29">
        <f>VBT_LIB_HardIP_ADC_AP!U4</f>
        <v>0</v>
      </c>
      <c r="D15" s="29">
        <f t="shared" si="0"/>
        <v>2</v>
      </c>
      <c r="E15" s="30">
        <f t="shared" si="1"/>
        <v>100</v>
      </c>
      <c r="G15" s="31" t="s">
        <v>1351</v>
      </c>
    </row>
    <row r="16" spans="1:7" ht="23.25" thickBot="1">
      <c r="A16" s="28" t="s">
        <v>957</v>
      </c>
      <c r="B16" s="29">
        <f>VBT_LIB_HardIP_AP!V5</f>
        <v>9</v>
      </c>
      <c r="C16" s="29">
        <f>VBT_LIB_HardIP_AP!V4</f>
        <v>21</v>
      </c>
      <c r="D16" s="29">
        <f t="shared" si="0"/>
        <v>30</v>
      </c>
      <c r="E16" s="30">
        <f t="shared" si="1"/>
        <v>30</v>
      </c>
      <c r="G16" s="33" t="s">
        <v>1352</v>
      </c>
    </row>
    <row r="17" spans="1:5" ht="22.5">
      <c r="A17" s="28" t="s">
        <v>958</v>
      </c>
      <c r="B17" s="29">
        <f>VBT_LIB_HardIP_Customize!V5</f>
        <v>10</v>
      </c>
      <c r="C17" s="29">
        <f>VBT_LIB_HardIP_Customize!V4</f>
        <v>3</v>
      </c>
      <c r="D17" s="29">
        <f t="shared" si="0"/>
        <v>13</v>
      </c>
      <c r="E17" s="30">
        <f t="shared" si="1"/>
        <v>76.923076923076934</v>
      </c>
    </row>
    <row r="18" spans="1:5" ht="22.5">
      <c r="A18" s="28" t="s">
        <v>959</v>
      </c>
      <c r="B18" s="29">
        <f>VBT_LIB_HardIP_JitterEye_AP!T5</f>
        <v>0</v>
      </c>
      <c r="C18" s="29">
        <f>VBT_LIB_HardIP_JitterEye_AP!T4</f>
        <v>2</v>
      </c>
      <c r="D18" s="29">
        <f t="shared" si="0"/>
        <v>2</v>
      </c>
      <c r="E18" s="30">
        <f t="shared" si="1"/>
        <v>0</v>
      </c>
    </row>
    <row r="19" spans="1:5" ht="22.5">
      <c r="A19" s="28" t="s">
        <v>960</v>
      </c>
      <c r="B19" s="29">
        <f>VBT_LIB_HardIP_Metrology_AP!W5</f>
        <v>2</v>
      </c>
      <c r="C19" s="29">
        <f>VBT_LIB_HardIP_Metrology_AP!W4</f>
        <v>3</v>
      </c>
      <c r="D19" s="29">
        <f t="shared" si="0"/>
        <v>5</v>
      </c>
      <c r="E19" s="30">
        <f t="shared" si="1"/>
        <v>40</v>
      </c>
    </row>
    <row r="20" spans="1:5" ht="22.5">
      <c r="A20" s="28" t="s">
        <v>961</v>
      </c>
      <c r="B20" s="29">
        <f>VBT_LIB_HardIP_PCIE_PI_AP!W5</f>
        <v>0</v>
      </c>
      <c r="C20" s="29">
        <f>VBT_LIB_HardIP_PCIE_PI_AP!W4</f>
        <v>8</v>
      </c>
      <c r="D20" s="29">
        <f t="shared" si="0"/>
        <v>8</v>
      </c>
      <c r="E20" s="30">
        <f t="shared" si="1"/>
        <v>0</v>
      </c>
    </row>
    <row r="21" spans="1:5" ht="23.25" thickBot="1">
      <c r="A21" s="34" t="s">
        <v>962</v>
      </c>
      <c r="B21" s="35">
        <f>VBT_LIB_K_ADDRIO_AP!V5</f>
        <v>10</v>
      </c>
      <c r="C21" s="35">
        <f>VBT_LIB_K_ADDRIO_AP!V4</f>
        <v>14</v>
      </c>
      <c r="D21" s="35">
        <f t="shared" si="0"/>
        <v>24</v>
      </c>
      <c r="E21" s="36">
        <f t="shared" si="1"/>
        <v>41.666666666666671</v>
      </c>
    </row>
    <row r="22" spans="1:5" ht="15.75" thickBot="1">
      <c r="A22" s="37" t="s">
        <v>989</v>
      </c>
      <c r="B22" s="38">
        <f>SUM(B2:B21)</f>
        <v>389</v>
      </c>
      <c r="C22" s="38">
        <f>SUM(C2:C21)</f>
        <v>338</v>
      </c>
      <c r="D22" s="38">
        <f>SUM(D2:D21)</f>
        <v>727</v>
      </c>
      <c r="E22" s="39"/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Sheet1</vt:lpstr>
      <vt:lpstr>DSP_LIB_HardIP</vt:lpstr>
      <vt:lpstr>DSP_NAND_HARDIP</vt:lpstr>
      <vt:lpstr>DSP_LIB_DACTrim_AP</vt:lpstr>
      <vt:lpstr>VBT_LIB_DACTrim_AP</vt:lpstr>
      <vt:lpstr>VBT_LIB_HardIP</vt:lpstr>
      <vt:lpstr>VBT_LIB_HardIP_ADC_AP</vt:lpstr>
      <vt:lpstr>VBT_LIB_HardIP_AP</vt:lpstr>
      <vt:lpstr>VBT_LIB_HardIP_Customize</vt:lpstr>
      <vt:lpstr>VBT_LIB_HardIP_JitterEye_AP</vt:lpstr>
      <vt:lpstr>VBT_LIB_HardIP_Metrology_AP</vt:lpstr>
      <vt:lpstr>VBT_LIB_HardIP_PCIE_PI_AP</vt:lpstr>
      <vt:lpstr>VBT_LIB_K_ADDRIO_AP</vt:lpstr>
      <vt:lpstr>LIB_DACTrim_AP</vt:lpstr>
      <vt:lpstr>LIB_HardIP</vt:lpstr>
      <vt:lpstr>LIB_HardIP_ADC_AP</vt:lpstr>
      <vt:lpstr>LIB_HardIP_AP</vt:lpstr>
      <vt:lpstr>LIB_HardIP_Calc</vt:lpstr>
      <vt:lpstr>LIB_HardIP_Calc_Turks_AP</vt:lpstr>
      <vt:lpstr>LIB_HardIP_Dictionary</vt:lpstr>
      <vt:lpstr>LIB_HardIP_Metrology_AP</vt:lpstr>
      <vt:lpstr>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Zhi-Yu Hung</dc:creator>
  <cp:lastModifiedBy>CW</cp:lastModifiedBy>
  <cp:lastPrinted>2023-04-17T08:12:14Z</cp:lastPrinted>
  <dcterms:created xsi:type="dcterms:W3CDTF">2022-08-09T03:21:04Z</dcterms:created>
  <dcterms:modified xsi:type="dcterms:W3CDTF">2023-05-29T08:34:52Z</dcterms:modified>
</cp:coreProperties>
</file>